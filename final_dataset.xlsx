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B\Downloads\archive (17)\"/>
    </mc:Choice>
  </mc:AlternateContent>
  <xr:revisionPtr revIDLastSave="0" documentId="13_ncr:1_{E7B1C9F0-64F9-472B-B1DF-E8B3A9DC4C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Sheet1!$A$1:$B$1250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7" i="1"/>
  <c r="C3" i="1"/>
  <c r="C6" i="1"/>
  <c r="C8" i="1"/>
  <c r="C11" i="1"/>
  <c r="C19" i="1"/>
  <c r="C9" i="1"/>
  <c r="C13" i="1"/>
  <c r="C15" i="1"/>
  <c r="C20" i="1"/>
  <c r="C27" i="1"/>
  <c r="C14" i="1"/>
  <c r="C820" i="1"/>
  <c r="C60" i="1"/>
  <c r="C821" i="1"/>
  <c r="C12" i="1"/>
  <c r="C35" i="1"/>
  <c r="C822" i="1"/>
  <c r="C130" i="1"/>
  <c r="C63" i="1"/>
  <c r="C823" i="1"/>
  <c r="C824" i="1"/>
  <c r="C825" i="1"/>
  <c r="C25" i="1"/>
  <c r="C10" i="1"/>
  <c r="C826" i="1"/>
  <c r="C31" i="1"/>
  <c r="C23" i="1"/>
  <c r="C140" i="1"/>
  <c r="C26" i="1"/>
  <c r="C827" i="1"/>
  <c r="C18" i="1"/>
  <c r="C33" i="1"/>
  <c r="C828" i="1"/>
  <c r="C88" i="1"/>
  <c r="C829" i="1"/>
  <c r="C32" i="1"/>
  <c r="C431" i="1"/>
  <c r="C38" i="1"/>
  <c r="C830" i="1"/>
  <c r="C21" i="1"/>
  <c r="C77" i="1"/>
  <c r="C57" i="1"/>
  <c r="C71" i="1"/>
  <c r="C52" i="1"/>
  <c r="C831" i="1"/>
  <c r="C832" i="1"/>
  <c r="C101" i="1"/>
  <c r="C833" i="1"/>
  <c r="C834" i="1"/>
  <c r="C85" i="1"/>
  <c r="C835" i="1"/>
  <c r="C40" i="1"/>
  <c r="C136" i="1"/>
  <c r="C185" i="1"/>
  <c r="C50" i="1"/>
  <c r="C105" i="1"/>
  <c r="C54" i="1"/>
  <c r="C43" i="1"/>
  <c r="C42" i="1"/>
  <c r="C62" i="1"/>
  <c r="C836" i="1"/>
  <c r="C837" i="1"/>
  <c r="C66" i="1"/>
  <c r="C123" i="1"/>
  <c r="C126" i="1"/>
  <c r="C58" i="1"/>
  <c r="C34" i="1"/>
  <c r="C104" i="1"/>
  <c r="C838" i="1"/>
  <c r="C46" i="1"/>
  <c r="C357" i="1"/>
  <c r="C839" i="1"/>
  <c r="C840" i="1"/>
  <c r="C841" i="1"/>
  <c r="C237" i="1"/>
  <c r="C842" i="1"/>
  <c r="C116" i="1"/>
  <c r="C92" i="1"/>
  <c r="C358" i="1"/>
  <c r="C69" i="1"/>
  <c r="C142" i="1"/>
  <c r="C176" i="1"/>
  <c r="C64" i="1"/>
  <c r="C843" i="1"/>
  <c r="C844" i="1"/>
  <c r="C76" i="1"/>
  <c r="C845" i="1"/>
  <c r="C133" i="1"/>
  <c r="C56" i="1"/>
  <c r="C28" i="1"/>
  <c r="C37" i="1"/>
  <c r="C61" i="1"/>
  <c r="C95" i="1"/>
  <c r="C82" i="1"/>
  <c r="C108" i="1"/>
  <c r="C327" i="1"/>
  <c r="C107" i="1"/>
  <c r="C208" i="1"/>
  <c r="C292" i="1"/>
  <c r="C846" i="1"/>
  <c r="C200" i="1"/>
  <c r="C847" i="1"/>
  <c r="C75" i="1"/>
  <c r="C848" i="1"/>
  <c r="C47" i="1"/>
  <c r="C119" i="1"/>
  <c r="C849" i="1"/>
  <c r="C137" i="1"/>
  <c r="C39" i="1"/>
  <c r="C197" i="1"/>
  <c r="C202" i="1"/>
  <c r="C72" i="1"/>
  <c r="C850" i="1"/>
  <c r="C153" i="1"/>
  <c r="C267" i="1"/>
  <c r="C851" i="1"/>
  <c r="C173" i="1"/>
  <c r="C221" i="1"/>
  <c r="C131" i="1"/>
  <c r="C293" i="1"/>
  <c r="C94" i="1"/>
  <c r="C180" i="1"/>
  <c r="C186" i="1"/>
  <c r="C152" i="1"/>
  <c r="C852" i="1"/>
  <c r="C183" i="1"/>
  <c r="C157" i="1"/>
  <c r="C143" i="1"/>
  <c r="C191" i="1"/>
  <c r="C83" i="1"/>
  <c r="C174" i="1"/>
  <c r="C268" i="1"/>
  <c r="C203" i="1"/>
  <c r="C853" i="1"/>
  <c r="C148" i="1"/>
  <c r="C854" i="1"/>
  <c r="C134" i="1"/>
  <c r="C138" i="1"/>
  <c r="C193" i="1"/>
  <c r="C238" i="1"/>
  <c r="C99" i="1"/>
  <c r="C155" i="1"/>
  <c r="C294" i="1"/>
  <c r="C149" i="1"/>
  <c r="C96" i="1"/>
  <c r="C97" i="1"/>
  <c r="C198" i="1"/>
  <c r="C165" i="1"/>
  <c r="C565" i="1"/>
  <c r="C187" i="1"/>
  <c r="C855" i="1"/>
  <c r="C432" i="1"/>
  <c r="C102" i="1"/>
  <c r="C22" i="1"/>
  <c r="C856" i="1"/>
  <c r="C204" i="1"/>
  <c r="C162" i="1"/>
  <c r="C219" i="1"/>
  <c r="C194" i="1"/>
  <c r="C359" i="1"/>
  <c r="C73" i="1"/>
  <c r="C857" i="1"/>
  <c r="C858" i="1"/>
  <c r="C269" i="1"/>
  <c r="C239" i="1"/>
  <c r="C48" i="1"/>
  <c r="C205" i="1"/>
  <c r="C482" i="1"/>
  <c r="C74" i="1"/>
  <c r="C859" i="1"/>
  <c r="C483" i="1"/>
  <c r="C860" i="1"/>
  <c r="C240" i="1"/>
  <c r="C222" i="1"/>
  <c r="C147" i="1"/>
  <c r="C270" i="1"/>
  <c r="C103" i="1"/>
  <c r="C271" i="1"/>
  <c r="C169" i="1"/>
  <c r="C861" i="1"/>
  <c r="C272" i="1"/>
  <c r="C295" i="1"/>
  <c r="C30" i="1"/>
  <c r="C139" i="1"/>
  <c r="C328" i="1"/>
  <c r="C273" i="1"/>
  <c r="C84" i="1"/>
  <c r="C189" i="1"/>
  <c r="C296" i="1"/>
  <c r="C862" i="1"/>
  <c r="C146" i="1"/>
  <c r="C360" i="1"/>
  <c r="C863" i="1"/>
  <c r="C132" i="1"/>
  <c r="C520" i="1"/>
  <c r="C297" i="1"/>
  <c r="C864" i="1"/>
  <c r="C120" i="1"/>
  <c r="C163" i="1"/>
  <c r="C329" i="1"/>
  <c r="C865" i="1"/>
  <c r="C228" i="1"/>
  <c r="C231" i="1"/>
  <c r="C241" i="1"/>
  <c r="C866" i="1"/>
  <c r="C242" i="1"/>
  <c r="C330" i="1"/>
  <c r="C184" i="1"/>
  <c r="C214" i="1"/>
  <c r="C243" i="1"/>
  <c r="C128" i="1"/>
  <c r="C217" i="1"/>
  <c r="C867" i="1"/>
  <c r="C129" i="1"/>
  <c r="C232" i="1"/>
  <c r="C274" i="1"/>
  <c r="C361" i="1"/>
  <c r="C206" i="1"/>
  <c r="C125" i="1"/>
  <c r="C868" i="1"/>
  <c r="C320" i="1"/>
  <c r="C869" i="1"/>
  <c r="C220" i="1"/>
  <c r="C275" i="1"/>
  <c r="C321" i="1"/>
  <c r="C362" i="1"/>
  <c r="C166" i="1"/>
  <c r="C363" i="1"/>
  <c r="C331" i="1"/>
  <c r="C298" i="1"/>
  <c r="C299" i="1"/>
  <c r="C244" i="1"/>
  <c r="C870" i="1"/>
  <c r="C161" i="1"/>
  <c r="C871" i="1"/>
  <c r="C210" i="1"/>
  <c r="C872" i="1"/>
  <c r="C873" i="1"/>
  <c r="C874" i="1"/>
  <c r="C634" i="1"/>
  <c r="C110" i="1"/>
  <c r="C875" i="1"/>
  <c r="C260" i="1"/>
  <c r="C364" i="1"/>
  <c r="C175" i="1"/>
  <c r="C365" i="1"/>
  <c r="C245" i="1"/>
  <c r="C233" i="1"/>
  <c r="C635" i="1"/>
  <c r="C876" i="1"/>
  <c r="C150" i="1"/>
  <c r="C300" i="1"/>
  <c r="C246" i="1"/>
  <c r="C261" i="1"/>
  <c r="C332" i="1"/>
  <c r="C877" i="1"/>
  <c r="C366" i="1"/>
  <c r="C333" i="1"/>
  <c r="C878" i="1"/>
  <c r="C223" i="1"/>
  <c r="C879" i="1"/>
  <c r="C234" i="1"/>
  <c r="C90" i="1"/>
  <c r="C334" i="1"/>
  <c r="C484" i="1"/>
  <c r="C114" i="1"/>
  <c r="C880" i="1"/>
  <c r="C100" i="1"/>
  <c r="C53" i="1"/>
  <c r="C301" i="1"/>
  <c r="C367" i="1"/>
  <c r="C156" i="1"/>
  <c r="C881" i="1"/>
  <c r="C164" i="1"/>
  <c r="C159" i="1"/>
  <c r="C882" i="1"/>
  <c r="C485" i="1"/>
  <c r="C433" i="1"/>
  <c r="C247" i="1"/>
  <c r="C636" i="1"/>
  <c r="C883" i="1"/>
  <c r="C637" i="1"/>
  <c r="C224" i="1"/>
  <c r="C434" i="1"/>
  <c r="C302" i="1"/>
  <c r="C181" i="1"/>
  <c r="C884" i="1"/>
  <c r="C248" i="1"/>
  <c r="C368" i="1"/>
  <c r="C44" i="1"/>
  <c r="C192" i="1"/>
  <c r="C369" i="1"/>
  <c r="C885" i="1"/>
  <c r="C886" i="1"/>
  <c r="C887" i="1"/>
  <c r="C276" i="1"/>
  <c r="C888" i="1"/>
  <c r="C889" i="1"/>
  <c r="C322" i="1"/>
  <c r="C370" i="1"/>
  <c r="C371" i="1"/>
  <c r="C372" i="1"/>
  <c r="C486" i="1"/>
  <c r="C303" i="1"/>
  <c r="C145" i="1"/>
  <c r="C890" i="1"/>
  <c r="C891" i="1"/>
  <c r="C373" i="1"/>
  <c r="C335" i="1"/>
  <c r="C374" i="1"/>
  <c r="C304" i="1"/>
  <c r="C178" i="1"/>
  <c r="C375" i="1"/>
  <c r="C638" i="1"/>
  <c r="C892" i="1"/>
  <c r="C376" i="1"/>
  <c r="C377" i="1"/>
  <c r="C249" i="1"/>
  <c r="C435" i="1"/>
  <c r="C378" i="1"/>
  <c r="C262" i="1"/>
  <c r="C893" i="1"/>
  <c r="C109" i="1"/>
  <c r="C171" i="1"/>
  <c r="C894" i="1"/>
  <c r="C218" i="1"/>
  <c r="C895" i="1"/>
  <c r="C487" i="1"/>
  <c r="C566" i="1"/>
  <c r="C336" i="1"/>
  <c r="C521" i="1"/>
  <c r="C177" i="1"/>
  <c r="C896" i="1"/>
  <c r="C379" i="1"/>
  <c r="C897" i="1"/>
  <c r="C86" i="1"/>
  <c r="C488" i="1"/>
  <c r="C898" i="1"/>
  <c r="C639" i="1"/>
  <c r="C78" i="1"/>
  <c r="C522" i="1"/>
  <c r="C899" i="1"/>
  <c r="C900" i="1"/>
  <c r="C380" i="1"/>
  <c r="C901" i="1"/>
  <c r="C305" i="1"/>
  <c r="C489" i="1"/>
  <c r="C490" i="1"/>
  <c r="C902" i="1"/>
  <c r="C199" i="1"/>
  <c r="C381" i="1"/>
  <c r="C306" i="1"/>
  <c r="C122" i="1"/>
  <c r="C523" i="1"/>
  <c r="C250" i="1"/>
  <c r="C567" i="1"/>
  <c r="C213" i="1"/>
  <c r="C903" i="1"/>
  <c r="C904" i="1"/>
  <c r="C323" i="1"/>
  <c r="C905" i="1"/>
  <c r="C568" i="1"/>
  <c r="C324" i="1"/>
  <c r="C251" i="1"/>
  <c r="C906" i="1"/>
  <c r="C337" i="1"/>
  <c r="C277" i="1"/>
  <c r="C907" i="1"/>
  <c r="C908" i="1"/>
  <c r="C569" i="1"/>
  <c r="C640" i="1"/>
  <c r="C909" i="1"/>
  <c r="C382" i="1"/>
  <c r="C491" i="1"/>
  <c r="C225" i="1"/>
  <c r="C910" i="1"/>
  <c r="C141" i="1"/>
  <c r="C911" i="1"/>
  <c r="C912" i="1"/>
  <c r="C436" i="1"/>
  <c r="C160" i="1"/>
  <c r="C913" i="1"/>
  <c r="C67" i="1"/>
  <c r="C570" i="1"/>
  <c r="C914" i="1"/>
  <c r="C641" i="1"/>
  <c r="C383" i="1"/>
  <c r="C437" i="1"/>
  <c r="C384" i="1"/>
  <c r="C492" i="1"/>
  <c r="C438" i="1"/>
  <c r="C385" i="1"/>
  <c r="C235" i="1"/>
  <c r="C571" i="1"/>
  <c r="C278" i="1"/>
  <c r="C212" i="1"/>
  <c r="C915" i="1"/>
  <c r="C338" i="1"/>
  <c r="C916" i="1"/>
  <c r="C642" i="1"/>
  <c r="C917" i="1"/>
  <c r="C918" i="1"/>
  <c r="C919" i="1"/>
  <c r="C920" i="1"/>
  <c r="C921" i="1"/>
  <c r="C643" i="1"/>
  <c r="C644" i="1"/>
  <c r="C572" i="1"/>
  <c r="C922" i="1"/>
  <c r="C439" i="1"/>
  <c r="C209" i="1"/>
  <c r="C923" i="1"/>
  <c r="C645" i="1"/>
  <c r="C524" i="1"/>
  <c r="C924" i="1"/>
  <c r="C646" i="1"/>
  <c r="C647" i="1"/>
  <c r="C115" i="1"/>
  <c r="C386" i="1"/>
  <c r="C493" i="1"/>
  <c r="C307" i="1"/>
  <c r="C525" i="1"/>
  <c r="C925" i="1"/>
  <c r="C648" i="1"/>
  <c r="C494" i="1"/>
  <c r="C168" i="1"/>
  <c r="C387" i="1"/>
  <c r="C649" i="1"/>
  <c r="C926" i="1"/>
  <c r="C388" i="1"/>
  <c r="C927" i="1"/>
  <c r="C928" i="1"/>
  <c r="C236" i="1"/>
  <c r="C389" i="1"/>
  <c r="C650" i="1"/>
  <c r="C651" i="1"/>
  <c r="C929" i="1"/>
  <c r="C440" i="1"/>
  <c r="C930" i="1"/>
  <c r="C573" i="1"/>
  <c r="C931" i="1"/>
  <c r="C932" i="1"/>
  <c r="C652" i="1"/>
  <c r="C933" i="1"/>
  <c r="C215" i="1"/>
  <c r="C934" i="1"/>
  <c r="C653" i="1"/>
  <c r="C201" i="1"/>
  <c r="C135" i="1"/>
  <c r="C441" i="1"/>
  <c r="C574" i="1"/>
  <c r="C935" i="1"/>
  <c r="C575" i="1"/>
  <c r="C576" i="1"/>
  <c r="C526" i="1"/>
  <c r="C527" i="1"/>
  <c r="C936" i="1"/>
  <c r="C390" i="1"/>
  <c r="C495" i="1"/>
  <c r="C937" i="1"/>
  <c r="C654" i="1"/>
  <c r="C106" i="1"/>
  <c r="C391" i="1"/>
  <c r="C655" i="1"/>
  <c r="C938" i="1"/>
  <c r="C392" i="1"/>
  <c r="C577" i="1"/>
  <c r="C216" i="1"/>
  <c r="C939" i="1"/>
  <c r="C940" i="1"/>
  <c r="C656" i="1"/>
  <c r="C442" i="1"/>
  <c r="C941" i="1"/>
  <c r="C443" i="1"/>
  <c r="C444" i="1"/>
  <c r="C942" i="1"/>
  <c r="C578" i="1"/>
  <c r="C943" i="1"/>
  <c r="C657" i="1"/>
  <c r="C393" i="1"/>
  <c r="C944" i="1"/>
  <c r="C945" i="1"/>
  <c r="C946" i="1"/>
  <c r="C528" i="1"/>
  <c r="C658" i="1"/>
  <c r="C445" i="1"/>
  <c r="C279" i="1"/>
  <c r="C394" i="1"/>
  <c r="C947" i="1"/>
  <c r="C395" i="1"/>
  <c r="C280" i="1"/>
  <c r="C195" i="1"/>
  <c r="C948" i="1"/>
  <c r="C529" i="1"/>
  <c r="C530" i="1"/>
  <c r="C949" i="1"/>
  <c r="C659" i="1"/>
  <c r="C396" i="1"/>
  <c r="C950" i="1"/>
  <c r="C579" i="1"/>
  <c r="C397" i="1"/>
  <c r="C951" i="1"/>
  <c r="C339" i="1"/>
  <c r="C281" i="1"/>
  <c r="C398" i="1"/>
  <c r="C952" i="1"/>
  <c r="C399" i="1"/>
  <c r="C308" i="1"/>
  <c r="C446" i="1"/>
  <c r="C953" i="1"/>
  <c r="C954" i="1"/>
  <c r="C447" i="1"/>
  <c r="C531" i="1"/>
  <c r="C448" i="1"/>
  <c r="C955" i="1"/>
  <c r="C400" i="1"/>
  <c r="C660" i="1"/>
  <c r="C340" i="1"/>
  <c r="C956" i="1"/>
  <c r="C309" i="1"/>
  <c r="C957" i="1"/>
  <c r="C449" i="1"/>
  <c r="C958" i="1"/>
  <c r="C959" i="1"/>
  <c r="C960" i="1"/>
  <c r="C961" i="1"/>
  <c r="C661" i="1"/>
  <c r="C962" i="1"/>
  <c r="C310" i="1"/>
  <c r="C532" i="1"/>
  <c r="C662" i="1"/>
  <c r="C963" i="1"/>
  <c r="C580" i="1"/>
  <c r="C533" i="1"/>
  <c r="C964" i="1"/>
  <c r="C534" i="1"/>
  <c r="C401" i="1"/>
  <c r="C965" i="1"/>
  <c r="C966" i="1"/>
  <c r="C967" i="1"/>
  <c r="C968" i="1"/>
  <c r="C969" i="1"/>
  <c r="C93" i="1"/>
  <c r="C970" i="1"/>
  <c r="C282" i="1"/>
  <c r="C535" i="1"/>
  <c r="C450" i="1"/>
  <c r="C341" i="1"/>
  <c r="C971" i="1"/>
  <c r="C451" i="1"/>
  <c r="C311" i="1"/>
  <c r="C452" i="1"/>
  <c r="C342" i="1"/>
  <c r="C312" i="1"/>
  <c r="C402" i="1"/>
  <c r="C536" i="1"/>
  <c r="C972" i="1"/>
  <c r="C453" i="1"/>
  <c r="C973" i="1"/>
  <c r="C974" i="1"/>
  <c r="C975" i="1"/>
  <c r="C976" i="1"/>
  <c r="C581" i="1"/>
  <c r="C537" i="1"/>
  <c r="C252" i="1"/>
  <c r="C977" i="1"/>
  <c r="C454" i="1"/>
  <c r="C978" i="1"/>
  <c r="C582" i="1"/>
  <c r="C979" i="1"/>
  <c r="C496" i="1"/>
  <c r="C980" i="1"/>
  <c r="C981" i="1"/>
  <c r="C325" i="1"/>
  <c r="C982" i="1"/>
  <c r="C283" i="1"/>
  <c r="C983" i="1"/>
  <c r="C538" i="1"/>
  <c r="C403" i="1"/>
  <c r="C984" i="1"/>
  <c r="C455" i="1"/>
  <c r="C583" i="1"/>
  <c r="C663" i="1"/>
  <c r="C539" i="1"/>
  <c r="C540" i="1"/>
  <c r="C664" i="1"/>
  <c r="C665" i="1"/>
  <c r="C230" i="1"/>
  <c r="C985" i="1"/>
  <c r="C666" i="1"/>
  <c r="C667" i="1"/>
  <c r="C986" i="1"/>
  <c r="C987" i="1"/>
  <c r="C988" i="1"/>
  <c r="C404" i="1"/>
  <c r="C668" i="1"/>
  <c r="C669" i="1"/>
  <c r="C989" i="1"/>
  <c r="C343" i="1"/>
  <c r="C584" i="1"/>
  <c r="C670" i="1"/>
  <c r="C456" i="1"/>
  <c r="C990" i="1"/>
  <c r="C671" i="1"/>
  <c r="C457" i="1"/>
  <c r="C991" i="1"/>
  <c r="C344" i="1"/>
  <c r="C992" i="1"/>
  <c r="C993" i="1"/>
  <c r="C405" i="1"/>
  <c r="C585" i="1"/>
  <c r="C994" i="1"/>
  <c r="C497" i="1"/>
  <c r="C458" i="1"/>
  <c r="C459" i="1"/>
  <c r="C313" i="1"/>
  <c r="C672" i="1"/>
  <c r="C995" i="1"/>
  <c r="C996" i="1"/>
  <c r="C997" i="1"/>
  <c r="C673" i="1"/>
  <c r="C586" i="1"/>
  <c r="C345" i="1"/>
  <c r="C998" i="1"/>
  <c r="C999" i="1"/>
  <c r="C167" i="1"/>
  <c r="C460" i="1"/>
  <c r="C1000" i="1"/>
  <c r="C284" i="1"/>
  <c r="C461" i="1"/>
  <c r="C1001" i="1"/>
  <c r="C1002" i="1"/>
  <c r="C674" i="1"/>
  <c r="C1003" i="1"/>
  <c r="C1004" i="1"/>
  <c r="C1005" i="1"/>
  <c r="C675" i="1"/>
  <c r="C462" i="1"/>
  <c r="C587" i="1"/>
  <c r="C463" i="1"/>
  <c r="C1006" i="1"/>
  <c r="C406" i="1"/>
  <c r="C588" i="1"/>
  <c r="C541" i="1"/>
  <c r="C1007" i="1"/>
  <c r="C542" i="1"/>
  <c r="C407" i="1"/>
  <c r="C1008" i="1"/>
  <c r="C498" i="1"/>
  <c r="C589" i="1"/>
  <c r="C1009" i="1"/>
  <c r="C1010" i="1"/>
  <c r="C590" i="1"/>
  <c r="C1011" i="1"/>
  <c r="C676" i="1"/>
  <c r="C677" i="1"/>
  <c r="C678" i="1"/>
  <c r="C408" i="1"/>
  <c r="C591" i="1"/>
  <c r="C1012" i="1"/>
  <c r="C1013" i="1"/>
  <c r="C1014" i="1"/>
  <c r="C464" i="1"/>
  <c r="C1015" i="1"/>
  <c r="C409" i="1"/>
  <c r="C499" i="1"/>
  <c r="C679" i="1"/>
  <c r="C1016" i="1"/>
  <c r="C1017" i="1"/>
  <c r="C1018" i="1"/>
  <c r="C1019" i="1"/>
  <c r="C592" i="1"/>
  <c r="C1020" i="1"/>
  <c r="C593" i="1"/>
  <c r="C680" i="1"/>
  <c r="C1021" i="1"/>
  <c r="C465" i="1"/>
  <c r="C1022" i="1"/>
  <c r="C1023" i="1"/>
  <c r="C118" i="1"/>
  <c r="C500" i="1"/>
  <c r="C1024" i="1"/>
  <c r="C594" i="1"/>
  <c r="C1025" i="1"/>
  <c r="C1026" i="1"/>
  <c r="C1027" i="1"/>
  <c r="C1028" i="1"/>
  <c r="C1029" i="1"/>
  <c r="C314" i="1"/>
  <c r="C681" i="1"/>
  <c r="C1030" i="1"/>
  <c r="C1031" i="1"/>
  <c r="C595" i="1"/>
  <c r="C501" i="1"/>
  <c r="C466" i="1"/>
  <c r="C1032" i="1"/>
  <c r="C1033" i="1"/>
  <c r="C682" i="1"/>
  <c r="C596" i="1"/>
  <c r="C1034" i="1"/>
  <c r="C467" i="1"/>
  <c r="C597" i="1"/>
  <c r="C543" i="1"/>
  <c r="C1035" i="1"/>
  <c r="C468" i="1"/>
  <c r="C1036" i="1"/>
  <c r="C469" i="1"/>
  <c r="C1037" i="1"/>
  <c r="C470" i="1"/>
  <c r="C1038" i="1"/>
  <c r="C1039" i="1"/>
  <c r="C1040" i="1"/>
  <c r="C1041" i="1"/>
  <c r="C683" i="1"/>
  <c r="C1042" i="1"/>
  <c r="C1043" i="1"/>
  <c r="C1044" i="1"/>
  <c r="C1045" i="1"/>
  <c r="C1046" i="1"/>
  <c r="C1047" i="1"/>
  <c r="C1048" i="1"/>
  <c r="C1049" i="1"/>
  <c r="C1050" i="1"/>
  <c r="C1051" i="1"/>
  <c r="C684" i="1"/>
  <c r="C471" i="1"/>
  <c r="C472" i="1"/>
  <c r="C502" i="1"/>
  <c r="C1052" i="1"/>
  <c r="C1053" i="1"/>
  <c r="C1054" i="1"/>
  <c r="C1055" i="1"/>
  <c r="C1056" i="1"/>
  <c r="C1057" i="1"/>
  <c r="C685" i="1"/>
  <c r="C1058" i="1"/>
  <c r="C1059" i="1"/>
  <c r="C410" i="1"/>
  <c r="C1060" i="1"/>
  <c r="C473" i="1"/>
  <c r="C1061" i="1"/>
  <c r="C1062" i="1"/>
  <c r="C1063" i="1"/>
  <c r="C1064" i="1"/>
  <c r="C598" i="1"/>
  <c r="C1065" i="1"/>
  <c r="C1066" i="1"/>
  <c r="C686" i="1"/>
  <c r="C1067" i="1"/>
  <c r="C1068" i="1"/>
  <c r="C1069" i="1"/>
  <c r="C687" i="1"/>
  <c r="C1070" i="1"/>
  <c r="C411" i="1"/>
  <c r="C1071" i="1"/>
  <c r="C1072" i="1"/>
  <c r="C544" i="1"/>
  <c r="C1073" i="1"/>
  <c r="C285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599" i="1"/>
  <c r="C1089" i="1"/>
  <c r="C346" i="1"/>
  <c r="C688" i="1"/>
  <c r="C1090" i="1"/>
  <c r="C689" i="1"/>
  <c r="C1091" i="1"/>
  <c r="C1092" i="1"/>
  <c r="C1093" i="1"/>
  <c r="C1094" i="1"/>
  <c r="C1095" i="1"/>
  <c r="C1096" i="1"/>
  <c r="C1097" i="1"/>
  <c r="C1098" i="1"/>
  <c r="C474" i="1"/>
  <c r="C1099" i="1"/>
  <c r="C1100" i="1"/>
  <c r="C1101" i="1"/>
  <c r="C1102" i="1"/>
  <c r="C600" i="1"/>
  <c r="C690" i="1"/>
  <c r="C179" i="1"/>
  <c r="C1103" i="1"/>
  <c r="C1104" i="1"/>
  <c r="C1105" i="1"/>
  <c r="C1106" i="1"/>
  <c r="C475" i="1"/>
  <c r="C1107" i="1"/>
  <c r="C1108" i="1"/>
  <c r="C412" i="1"/>
  <c r="C347" i="1"/>
  <c r="C1109" i="1"/>
  <c r="C691" i="1"/>
  <c r="C692" i="1"/>
  <c r="C1110" i="1"/>
  <c r="C693" i="1"/>
  <c r="C694" i="1"/>
  <c r="C601" i="1"/>
  <c r="C1111" i="1"/>
  <c r="C695" i="1"/>
  <c r="C1112" i="1"/>
  <c r="C696" i="1"/>
  <c r="C1113" i="1"/>
  <c r="C1114" i="1"/>
  <c r="C1115" i="1"/>
  <c r="C697" i="1"/>
  <c r="C698" i="1"/>
  <c r="C602" i="1"/>
  <c r="C1116" i="1"/>
  <c r="C545" i="1"/>
  <c r="C476" i="1"/>
  <c r="C1117" i="1"/>
  <c r="C1118" i="1"/>
  <c r="C1119" i="1"/>
  <c r="C699" i="1"/>
  <c r="C700" i="1"/>
  <c r="C1120" i="1"/>
  <c r="C603" i="1"/>
  <c r="C1121" i="1"/>
  <c r="C1122" i="1"/>
  <c r="C1123" i="1"/>
  <c r="C1124" i="1"/>
  <c r="C701" i="1"/>
  <c r="C413" i="1"/>
  <c r="C604" i="1"/>
  <c r="C1125" i="1"/>
  <c r="C414" i="1"/>
  <c r="C1126" i="1"/>
  <c r="C702" i="1"/>
  <c r="C605" i="1"/>
  <c r="C1127" i="1"/>
  <c r="C1128" i="1"/>
  <c r="C1129" i="1"/>
  <c r="C1130" i="1"/>
  <c r="C703" i="1"/>
  <c r="C1131" i="1"/>
  <c r="C1132" i="1"/>
  <c r="C1133" i="1"/>
  <c r="C704" i="1"/>
  <c r="C606" i="1"/>
  <c r="C1134" i="1"/>
  <c r="C1135" i="1"/>
  <c r="C1136" i="1"/>
  <c r="C286" i="1"/>
  <c r="C1137" i="1"/>
  <c r="C705" i="1"/>
  <c r="C121" i="1"/>
  <c r="C607" i="1"/>
  <c r="C706" i="1"/>
  <c r="C546" i="1"/>
  <c r="C1138" i="1"/>
  <c r="C415" i="1"/>
  <c r="C707" i="1"/>
  <c r="C1139" i="1"/>
  <c r="C708" i="1"/>
  <c r="C1140" i="1"/>
  <c r="C1141" i="1"/>
  <c r="C608" i="1"/>
  <c r="C1142" i="1"/>
  <c r="C1143" i="1"/>
  <c r="C709" i="1"/>
  <c r="C710" i="1"/>
  <c r="C1144" i="1"/>
  <c r="C1145" i="1"/>
  <c r="C1146" i="1"/>
  <c r="C1147" i="1"/>
  <c r="C1148" i="1"/>
  <c r="C1149" i="1"/>
  <c r="C1150" i="1"/>
  <c r="C416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547" i="1"/>
  <c r="C711" i="1"/>
  <c r="C1164" i="1"/>
  <c r="C1165" i="1"/>
  <c r="C712" i="1"/>
  <c r="C1166" i="1"/>
  <c r="C1167" i="1"/>
  <c r="C713" i="1"/>
  <c r="C714" i="1"/>
  <c r="C477" i="1"/>
  <c r="C1168" i="1"/>
  <c r="C1169" i="1"/>
  <c r="C1170" i="1"/>
  <c r="C417" i="1"/>
  <c r="C715" i="1"/>
  <c r="C609" i="1"/>
  <c r="C1171" i="1"/>
  <c r="C1172" i="1"/>
  <c r="C1173" i="1"/>
  <c r="C112" i="1"/>
  <c r="C1174" i="1"/>
  <c r="C418" i="1"/>
  <c r="C1175" i="1"/>
  <c r="C1176" i="1"/>
  <c r="C716" i="1"/>
  <c r="C1177" i="1"/>
  <c r="C717" i="1"/>
  <c r="C419" i="1"/>
  <c r="C1178" i="1"/>
  <c r="C1179" i="1"/>
  <c r="C1180" i="1"/>
  <c r="C1181" i="1"/>
  <c r="C1182" i="1"/>
  <c r="C1183" i="1"/>
  <c r="C1184" i="1"/>
  <c r="C1185" i="1"/>
  <c r="C610" i="1"/>
  <c r="C718" i="1"/>
  <c r="C1186" i="1"/>
  <c r="C1187" i="1"/>
  <c r="C719" i="1"/>
  <c r="C1188" i="1"/>
  <c r="C1189" i="1"/>
  <c r="C1190" i="1"/>
  <c r="C1191" i="1"/>
  <c r="C1192" i="1"/>
  <c r="C1193" i="1"/>
  <c r="C1194" i="1"/>
  <c r="C1195" i="1"/>
  <c r="C1196" i="1"/>
  <c r="C720" i="1"/>
  <c r="C503" i="1"/>
  <c r="C721" i="1"/>
  <c r="C1197" i="1"/>
  <c r="C1198" i="1"/>
  <c r="C1199" i="1"/>
  <c r="C1200" i="1"/>
  <c r="C1201" i="1"/>
  <c r="C611" i="1"/>
  <c r="C1202" i="1"/>
  <c r="C1203" i="1"/>
  <c r="C722" i="1"/>
  <c r="C1204" i="1"/>
  <c r="C1205" i="1"/>
  <c r="C1206" i="1"/>
  <c r="C158" i="1"/>
  <c r="C1207" i="1"/>
  <c r="C478" i="1"/>
  <c r="C1208" i="1"/>
  <c r="C504" i="1"/>
  <c r="C1209" i="1"/>
  <c r="C1210" i="1"/>
  <c r="C1211" i="1"/>
  <c r="C723" i="1"/>
  <c r="C1212" i="1"/>
  <c r="C612" i="1"/>
  <c r="C1213" i="1"/>
  <c r="C1214" i="1"/>
  <c r="C1215" i="1"/>
  <c r="C724" i="1"/>
  <c r="C1216" i="1"/>
  <c r="C1217" i="1"/>
  <c r="C1218" i="1"/>
  <c r="C725" i="1"/>
  <c r="C1219" i="1"/>
  <c r="C1220" i="1"/>
  <c r="C505" i="1"/>
  <c r="C315" i="1"/>
  <c r="C1221" i="1"/>
  <c r="C1222" i="1"/>
  <c r="C1223" i="1"/>
  <c r="C726" i="1"/>
  <c r="C1224" i="1"/>
  <c r="C1225" i="1"/>
  <c r="C1226" i="1"/>
  <c r="C1227" i="1"/>
  <c r="C1228" i="1"/>
  <c r="C1229" i="1"/>
  <c r="C1230" i="1"/>
  <c r="C727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420" i="1"/>
  <c r="C548" i="1"/>
  <c r="C1244" i="1"/>
  <c r="C728" i="1"/>
  <c r="C1245" i="1"/>
  <c r="C1246" i="1"/>
  <c r="C729" i="1"/>
  <c r="C1247" i="1"/>
  <c r="C1248" i="1"/>
  <c r="C1249" i="1"/>
  <c r="C1250" i="1"/>
  <c r="C45" i="1"/>
  <c r="C51" i="1"/>
  <c r="C730" i="1"/>
  <c r="C731" i="1"/>
  <c r="C732" i="1"/>
  <c r="C549" i="1"/>
  <c r="C733" i="1"/>
  <c r="C734" i="1"/>
  <c r="C735" i="1"/>
  <c r="C736" i="1"/>
  <c r="C737" i="1"/>
  <c r="C738" i="1"/>
  <c r="C739" i="1"/>
  <c r="C740" i="1"/>
  <c r="C613" i="1"/>
  <c r="C614" i="1"/>
  <c r="C348" i="1"/>
  <c r="C741" i="1"/>
  <c r="C421" i="1"/>
  <c r="C742" i="1"/>
  <c r="C550" i="1"/>
  <c r="C551" i="1"/>
  <c r="C316" i="1"/>
  <c r="C552" i="1"/>
  <c r="C743" i="1"/>
  <c r="C615" i="1"/>
  <c r="C229" i="1"/>
  <c r="C506" i="1"/>
  <c r="C744" i="1"/>
  <c r="C287" i="1"/>
  <c r="C263" i="1"/>
  <c r="C745" i="1"/>
  <c r="C616" i="1"/>
  <c r="C746" i="1"/>
  <c r="C617" i="1"/>
  <c r="C747" i="1"/>
  <c r="C16" i="1"/>
  <c r="C748" i="1"/>
  <c r="C749" i="1"/>
  <c r="C750" i="1"/>
  <c r="C751" i="1"/>
  <c r="C172" i="1"/>
  <c r="C752" i="1"/>
  <c r="C89" i="1"/>
  <c r="C618" i="1"/>
  <c r="C170" i="1"/>
  <c r="C507" i="1"/>
  <c r="C753" i="1"/>
  <c r="C754" i="1"/>
  <c r="C422" i="1"/>
  <c r="C755" i="1"/>
  <c r="C508" i="1"/>
  <c r="C81" i="1"/>
  <c r="C756" i="1"/>
  <c r="C757" i="1"/>
  <c r="C288" i="1"/>
  <c r="C226" i="1"/>
  <c r="C127" i="1"/>
  <c r="C758" i="1"/>
  <c r="C349" i="1"/>
  <c r="C479" i="1"/>
  <c r="C759" i="1"/>
  <c r="C509" i="1"/>
  <c r="C65" i="1"/>
  <c r="C91" i="1"/>
  <c r="C553" i="1"/>
  <c r="C760" i="1"/>
  <c r="C619" i="1"/>
  <c r="C620" i="1"/>
  <c r="C350" i="1"/>
  <c r="C761" i="1"/>
  <c r="C554" i="1"/>
  <c r="C423" i="1"/>
  <c r="C762" i="1"/>
  <c r="C763" i="1"/>
  <c r="C480" i="1"/>
  <c r="C764" i="1"/>
  <c r="C765" i="1"/>
  <c r="C70" i="1"/>
  <c r="C621" i="1"/>
  <c r="C264" i="1"/>
  <c r="C622" i="1"/>
  <c r="C555" i="1"/>
  <c r="C623" i="1"/>
  <c r="C510" i="1"/>
  <c r="C511" i="1"/>
  <c r="C190" i="1"/>
  <c r="C766" i="1"/>
  <c r="C98" i="1"/>
  <c r="C117" i="1"/>
  <c r="C265" i="1"/>
  <c r="C151" i="1"/>
  <c r="C767" i="1"/>
  <c r="C624" i="1"/>
  <c r="C768" i="1"/>
  <c r="C769" i="1"/>
  <c r="C770" i="1"/>
  <c r="C113" i="1"/>
  <c r="C771" i="1"/>
  <c r="C625" i="1"/>
  <c r="C196" i="1"/>
  <c r="C317" i="1"/>
  <c r="C772" i="1"/>
  <c r="C266" i="1"/>
  <c r="C111" i="1"/>
  <c r="C773" i="1"/>
  <c r="C211" i="1"/>
  <c r="C774" i="1"/>
  <c r="C207" i="1"/>
  <c r="C775" i="1"/>
  <c r="C776" i="1"/>
  <c r="C777" i="1"/>
  <c r="C778" i="1"/>
  <c r="C626" i="1"/>
  <c r="C779" i="1"/>
  <c r="C556" i="1"/>
  <c r="C780" i="1"/>
  <c r="C253" i="1"/>
  <c r="C351" i="1"/>
  <c r="C289" i="1"/>
  <c r="C781" i="1"/>
  <c r="C782" i="1"/>
  <c r="C424" i="1"/>
  <c r="C783" i="1"/>
  <c r="C627" i="1"/>
  <c r="C784" i="1"/>
  <c r="C352" i="1"/>
  <c r="C254" i="1"/>
  <c r="C182" i="1"/>
  <c r="C785" i="1"/>
  <c r="C557" i="1"/>
  <c r="C87" i="1"/>
  <c r="C786" i="1"/>
  <c r="C353" i="1"/>
  <c r="C787" i="1"/>
  <c r="C326" i="1"/>
  <c r="C788" i="1"/>
  <c r="C425" i="1"/>
  <c r="C789" i="1"/>
  <c r="C80" i="1"/>
  <c r="C318" i="1"/>
  <c r="C354" i="1"/>
  <c r="C255" i="1"/>
  <c r="C558" i="1"/>
  <c r="C628" i="1"/>
  <c r="C559" i="1"/>
  <c r="C790" i="1"/>
  <c r="C791" i="1"/>
  <c r="C792" i="1"/>
  <c r="C560" i="1"/>
  <c r="C793" i="1"/>
  <c r="C256" i="1"/>
  <c r="C794" i="1"/>
  <c r="C629" i="1"/>
  <c r="C630" i="1"/>
  <c r="C795" i="1"/>
  <c r="C796" i="1"/>
  <c r="C797" i="1"/>
  <c r="C144" i="1"/>
  <c r="C798" i="1"/>
  <c r="C799" i="1"/>
  <c r="C124" i="1"/>
  <c r="C800" i="1"/>
  <c r="C801" i="1"/>
  <c r="C36" i="1"/>
  <c r="C802" i="1"/>
  <c r="C803" i="1"/>
  <c r="C561" i="1"/>
  <c r="C804" i="1"/>
  <c r="C805" i="1"/>
  <c r="C227" i="1"/>
  <c r="C355" i="1"/>
  <c r="C426" i="1"/>
  <c r="C59" i="1"/>
  <c r="C257" i="1"/>
  <c r="C17" i="1"/>
  <c r="C290" i="1"/>
  <c r="C55" i="1"/>
  <c r="C291" i="1"/>
  <c r="C356" i="1"/>
  <c r="C806" i="1"/>
  <c r="C319" i="1"/>
  <c r="C427" i="1"/>
  <c r="C807" i="1"/>
  <c r="C481" i="1"/>
  <c r="C68" i="1"/>
  <c r="C562" i="1"/>
  <c r="C512" i="1"/>
  <c r="C513" i="1"/>
  <c r="C808" i="1"/>
  <c r="C563" i="1"/>
  <c r="C809" i="1"/>
  <c r="C810" i="1"/>
  <c r="C811" i="1"/>
  <c r="C258" i="1"/>
  <c r="C514" i="1"/>
  <c r="C428" i="1"/>
  <c r="C812" i="1"/>
  <c r="C515" i="1"/>
  <c r="C516" i="1"/>
  <c r="C517" i="1"/>
  <c r="C813" i="1"/>
  <c r="C631" i="1"/>
  <c r="C564" i="1"/>
  <c r="C188" i="1"/>
  <c r="C24" i="1"/>
  <c r="C814" i="1"/>
  <c r="C259" i="1"/>
  <c r="C815" i="1"/>
  <c r="C49" i="1"/>
  <c r="C29" i="1"/>
  <c r="C632" i="1"/>
  <c r="C816" i="1"/>
  <c r="C817" i="1"/>
  <c r="C429" i="1"/>
  <c r="C518" i="1"/>
  <c r="C154" i="1"/>
  <c r="C430" i="1"/>
  <c r="C41" i="1"/>
  <c r="C818" i="1"/>
  <c r="C519" i="1"/>
  <c r="C79" i="1"/>
  <c r="C633" i="1"/>
  <c r="C819" i="1"/>
  <c r="C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30" i="1"/>
  <c r="Z32" i="1"/>
  <c r="Z34" i="1"/>
  <c r="Z33" i="1"/>
  <c r="Z35" i="1"/>
  <c r="Z36" i="1"/>
  <c r="Z37" i="1"/>
  <c r="Z38" i="1"/>
  <c r="Z39" i="1"/>
  <c r="Z40" i="1"/>
  <c r="Z41" i="1"/>
  <c r="Z42" i="1"/>
  <c r="Z43" i="1"/>
  <c r="Z44" i="1"/>
  <c r="Z45" i="1"/>
  <c r="Z47" i="1"/>
  <c r="Z46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8" i="1"/>
  <c r="Z69" i="1"/>
  <c r="Z70" i="1"/>
  <c r="Z71" i="1"/>
  <c r="Z72" i="1"/>
  <c r="Z73" i="1"/>
  <c r="Z74" i="1"/>
  <c r="Z75" i="1"/>
  <c r="Z76" i="1"/>
  <c r="Z78" i="1"/>
  <c r="Z77" i="1"/>
  <c r="Z79" i="1"/>
  <c r="Z80" i="1"/>
  <c r="Z81" i="1"/>
  <c r="Z82" i="1"/>
  <c r="Z83" i="1"/>
  <c r="Z84" i="1"/>
  <c r="Z87" i="1"/>
  <c r="Z86" i="1"/>
  <c r="Z89" i="1"/>
  <c r="Z88" i="1"/>
  <c r="Z90" i="1"/>
  <c r="Z91" i="1"/>
  <c r="Z92" i="1"/>
  <c r="Z93" i="1"/>
  <c r="Z94" i="1"/>
  <c r="Z97" i="1"/>
  <c r="Z95" i="1"/>
  <c r="Z96" i="1"/>
  <c r="Z99" i="1"/>
  <c r="Z100" i="1"/>
  <c r="Z103" i="1"/>
  <c r="Z101" i="1"/>
  <c r="Z102" i="1"/>
  <c r="Z104" i="1"/>
  <c r="Z105" i="1"/>
  <c r="Z106" i="1"/>
  <c r="Z107" i="1"/>
  <c r="Z108" i="1"/>
  <c r="Z109" i="1"/>
  <c r="Z110" i="1"/>
  <c r="Z111" i="1"/>
  <c r="Z113" i="1"/>
  <c r="Z115" i="1"/>
  <c r="Z114" i="1"/>
  <c r="Z117" i="1"/>
  <c r="Z116" i="1"/>
  <c r="Z118" i="1"/>
  <c r="Z121" i="1"/>
  <c r="Z119" i="1"/>
  <c r="Z122" i="1"/>
  <c r="Z123" i="1"/>
  <c r="Z124" i="1"/>
  <c r="Z125" i="1"/>
  <c r="Z126" i="1"/>
  <c r="Z127" i="1"/>
  <c r="Z129" i="1"/>
  <c r="Z128" i="1"/>
  <c r="Z131" i="1"/>
  <c r="Z132" i="1"/>
  <c r="Z134" i="1"/>
  <c r="Z135" i="1"/>
  <c r="Z133" i="1"/>
  <c r="Z137" i="1"/>
  <c r="Z138" i="1"/>
  <c r="Z139" i="1"/>
  <c r="Z140" i="1"/>
  <c r="Z141" i="1"/>
  <c r="Z142" i="1"/>
  <c r="Z144" i="1"/>
  <c r="Z143" i="1"/>
  <c r="Z145" i="1"/>
  <c r="Z146" i="1"/>
  <c r="Z147" i="1"/>
  <c r="Z148" i="1"/>
  <c r="Z149" i="1"/>
  <c r="Z151" i="1"/>
  <c r="Z150" i="1"/>
  <c r="Z152" i="1"/>
  <c r="Z153" i="1"/>
  <c r="Z154" i="1"/>
  <c r="Z156" i="1"/>
  <c r="Z155" i="1"/>
  <c r="Z158" i="1"/>
  <c r="Z157" i="1"/>
  <c r="Z160" i="1"/>
  <c r="Z159" i="1"/>
  <c r="Z164" i="1"/>
  <c r="Z167" i="1"/>
  <c r="Z166" i="1"/>
  <c r="Z165" i="1"/>
  <c r="Z168" i="1"/>
  <c r="Z170" i="1"/>
  <c r="Z169" i="1"/>
  <c r="Z172" i="1"/>
  <c r="Z173" i="1"/>
  <c r="Z175" i="1"/>
  <c r="Z176" i="1"/>
  <c r="Z177" i="1"/>
  <c r="Z179" i="1"/>
  <c r="Z180" i="1"/>
  <c r="Z183" i="1"/>
  <c r="Z184" i="1"/>
  <c r="Z186" i="1"/>
  <c r="Z187" i="1"/>
  <c r="Z188" i="1"/>
  <c r="Z191" i="1"/>
  <c r="Z192" i="1"/>
  <c r="Z194" i="1"/>
  <c r="Z195" i="1"/>
  <c r="Z198" i="1"/>
  <c r="Z199" i="1"/>
  <c r="Z197" i="1"/>
  <c r="Z200" i="1"/>
  <c r="Z204" i="1"/>
  <c r="Z205" i="1"/>
  <c r="Z202" i="1"/>
  <c r="Z209" i="1"/>
  <c r="Z210" i="1"/>
  <c r="Z212" i="1"/>
  <c r="Z213" i="1"/>
  <c r="Z215" i="1"/>
  <c r="Z216" i="1"/>
  <c r="Z217" i="1"/>
  <c r="Z218" i="1"/>
  <c r="Z219" i="1"/>
  <c r="Z223" i="1"/>
  <c r="Z222" i="1"/>
  <c r="Z221" i="1"/>
  <c r="Z224" i="1"/>
  <c r="Z226" i="1"/>
  <c r="Z228" i="1"/>
  <c r="Z230" i="1"/>
  <c r="Z232" i="1"/>
  <c r="Z231" i="1"/>
  <c r="Z235" i="1"/>
  <c r="Z236" i="1"/>
  <c r="Z29" i="1"/>
  <c r="Z31" i="1"/>
  <c r="Z85" i="1"/>
  <c r="Z120" i="1"/>
  <c r="Z130" i="1"/>
  <c r="Z136" i="1"/>
  <c r="Z161" i="1"/>
  <c r="Z163" i="1"/>
  <c r="Z162" i="1"/>
  <c r="Z171" i="1"/>
  <c r="Z174" i="1"/>
  <c r="Z178" i="1"/>
  <c r="Z182" i="1"/>
  <c r="Z181" i="1"/>
  <c r="Z185" i="1"/>
  <c r="Z190" i="1"/>
  <c r="Z189" i="1"/>
  <c r="Z193" i="1"/>
  <c r="Z196" i="1"/>
  <c r="Z203" i="1"/>
  <c r="Z208" i="1"/>
  <c r="Z214" i="1"/>
  <c r="Z220" i="1"/>
  <c r="Z225" i="1"/>
  <c r="Z233" i="1"/>
  <c r="Z234" i="1"/>
  <c r="Z246" i="1"/>
  <c r="Z242" i="1"/>
  <c r="Z251" i="1"/>
  <c r="Z237" i="1"/>
  <c r="Z249" i="1"/>
  <c r="Z254" i="1"/>
  <c r="Z244" i="1"/>
  <c r="Z255" i="1"/>
  <c r="Z248" i="1"/>
  <c r="Z256" i="1"/>
  <c r="Z252" i="1"/>
  <c r="Z241" i="1"/>
  <c r="Z239" i="1"/>
  <c r="Z257" i="1"/>
  <c r="Z250" i="1"/>
  <c r="Z258" i="1"/>
  <c r="Z240" i="1"/>
  <c r="Z247" i="1"/>
  <c r="Z259" i="1"/>
  <c r="Z238" i="1"/>
  <c r="Z284" i="1"/>
  <c r="Z278" i="1"/>
  <c r="Z287" i="1"/>
  <c r="Z280" i="1"/>
  <c r="Z273" i="1"/>
  <c r="Z268" i="1"/>
  <c r="Z279" i="1"/>
  <c r="Z289" i="1"/>
  <c r="Z281" i="1"/>
  <c r="Z274" i="1"/>
  <c r="Z269" i="1"/>
  <c r="Z270" i="1"/>
  <c r="Z271" i="1"/>
  <c r="Z290" i="1"/>
  <c r="Z291" i="1"/>
  <c r="Z272" i="1"/>
  <c r="Z277" i="1"/>
  <c r="Z312" i="1"/>
  <c r="Z316" i="1"/>
  <c r="Z314" i="1"/>
  <c r="Z292" i="1"/>
  <c r="Z302" i="1"/>
  <c r="Z317" i="1"/>
  <c r="Z303" i="1"/>
  <c r="Z304" i="1"/>
  <c r="Z313" i="1"/>
  <c r="Z318" i="1"/>
  <c r="Z307" i="1"/>
  <c r="Z309" i="1"/>
  <c r="Z298" i="1"/>
  <c r="Z306" i="1"/>
  <c r="Z294" i="1"/>
  <c r="Z293" i="1"/>
  <c r="Z300" i="1"/>
  <c r="Z308" i="1"/>
  <c r="Z310" i="1"/>
  <c r="Z301" i="1"/>
  <c r="Z296" i="1"/>
  <c r="Z347" i="1"/>
  <c r="Z335" i="1"/>
  <c r="Z328" i="1"/>
  <c r="Z346" i="1"/>
  <c r="Z327" i="1"/>
  <c r="Z350" i="1"/>
  <c r="Z344" i="1"/>
  <c r="Z351" i="1"/>
  <c r="Z352" i="1"/>
  <c r="Z353" i="1"/>
  <c r="Z354" i="1"/>
  <c r="Z336" i="1"/>
  <c r="Z342" i="1"/>
  <c r="Z337" i="1"/>
  <c r="Z340" i="1"/>
  <c r="Z329" i="1"/>
  <c r="Z333" i="1"/>
  <c r="Z330" i="1"/>
  <c r="Z341" i="1"/>
  <c r="Z332" i="1"/>
  <c r="Z343" i="1"/>
  <c r="Z338" i="1"/>
  <c r="Z404" i="1"/>
  <c r="Z385" i="1"/>
  <c r="Z398" i="1"/>
  <c r="Z421" i="1"/>
  <c r="Z417" i="1"/>
  <c r="Z418" i="1"/>
  <c r="Z375" i="1"/>
  <c r="Z389" i="1"/>
  <c r="Z401" i="1"/>
  <c r="Z393" i="1"/>
  <c r="Z409" i="1"/>
  <c r="Z357" i="1"/>
  <c r="Z366" i="1"/>
  <c r="Z372" i="1"/>
  <c r="Z423" i="1"/>
  <c r="Z403" i="1"/>
  <c r="Z384" i="1"/>
  <c r="Z358" i="1"/>
  <c r="Z360" i="1"/>
  <c r="Z413" i="1"/>
  <c r="Z424" i="1"/>
  <c r="Z391" i="1"/>
  <c r="Z402" i="1"/>
  <c r="Z394" i="1"/>
  <c r="Z382" i="1"/>
  <c r="Z383" i="1"/>
  <c r="Z407" i="1"/>
  <c r="Z359" i="1"/>
  <c r="Z377" i="1"/>
  <c r="Z376" i="1"/>
  <c r="Z361" i="1"/>
  <c r="Z399" i="1"/>
  <c r="Z392" i="1"/>
  <c r="Z427" i="1"/>
  <c r="Z373" i="1"/>
  <c r="Z368" i="1"/>
  <c r="Z428" i="1"/>
  <c r="Z410" i="1"/>
  <c r="Z397" i="1"/>
  <c r="Z388" i="1"/>
  <c r="Z405" i="1"/>
  <c r="Z371" i="1"/>
  <c r="Z416" i="1"/>
  <c r="Z386" i="1"/>
  <c r="Z387" i="1"/>
  <c r="Z365" i="1"/>
  <c r="Z430" i="1"/>
  <c r="Z470" i="1"/>
  <c r="Z451" i="1"/>
  <c r="Z447" i="1"/>
  <c r="Z458" i="1"/>
  <c r="Z459" i="1"/>
  <c r="Z446" i="1"/>
  <c r="Z448" i="1"/>
  <c r="Z460" i="1"/>
  <c r="Z444" i="1"/>
  <c r="Z468" i="1"/>
  <c r="Z433" i="1"/>
  <c r="Z435" i="1"/>
  <c r="Z432" i="1"/>
  <c r="Z436" i="1"/>
  <c r="Z462" i="1"/>
  <c r="Z479" i="1"/>
  <c r="Z472" i="1"/>
  <c r="Z469" i="1"/>
  <c r="Z452" i="1"/>
  <c r="Z461" i="1"/>
  <c r="Z475" i="1"/>
  <c r="Z454" i="1"/>
  <c r="Z477" i="1"/>
  <c r="Z456" i="1"/>
  <c r="Z476" i="1"/>
  <c r="Z464" i="1"/>
  <c r="Z480" i="1"/>
  <c r="Z465" i="1"/>
  <c r="Z439" i="1"/>
  <c r="Z455" i="1"/>
  <c r="Z443" i="1"/>
  <c r="Z441" i="1"/>
  <c r="Z434" i="1"/>
  <c r="Z467" i="1"/>
  <c r="Z473" i="1"/>
  <c r="Z457" i="1"/>
  <c r="Z437" i="1"/>
  <c r="Z450" i="1"/>
  <c r="Z463" i="1"/>
  <c r="Z466" i="1"/>
  <c r="Z481" i="1"/>
  <c r="Z474" i="1"/>
  <c r="Z471" i="1"/>
  <c r="Z442" i="1"/>
  <c r="Z453" i="1"/>
  <c r="Z438" i="1"/>
  <c r="Z445" i="1"/>
  <c r="Z449" i="1"/>
  <c r="Z431" i="1"/>
  <c r="Z440" i="1"/>
  <c r="Z478" i="1"/>
  <c r="Z98" i="1"/>
  <c r="Z206" i="1"/>
  <c r="Z245" i="1"/>
  <c r="Z253" i="1"/>
  <c r="Z243" i="1"/>
  <c r="Z286" i="1"/>
  <c r="Z283" i="1"/>
  <c r="Z288" i="1"/>
  <c r="Z275" i="1"/>
  <c r="Z267" i="1"/>
  <c r="Z285" i="1"/>
  <c r="Z299" i="1"/>
  <c r="Z305" i="1"/>
  <c r="Z348" i="1"/>
  <c r="Z334" i="1"/>
  <c r="Z356" i="1"/>
  <c r="Z331" i="1"/>
  <c r="Z363" i="1"/>
  <c r="Z420" i="1"/>
  <c r="Z374" i="1"/>
  <c r="Z414" i="1"/>
  <c r="Z364" i="1"/>
  <c r="Z362" i="1"/>
  <c r="Z396" i="1"/>
  <c r="Z400" i="1"/>
  <c r="Z380" i="1"/>
  <c r="Z406" i="1"/>
  <c r="Z378" i="1"/>
  <c r="Z497" i="1"/>
  <c r="Z508" i="1"/>
  <c r="Z488" i="1"/>
  <c r="Z511" i="1"/>
  <c r="Z482" i="1"/>
  <c r="Z492" i="1"/>
  <c r="Z486" i="1"/>
  <c r="Z499" i="1"/>
  <c r="Z495" i="1"/>
  <c r="Z500" i="1"/>
  <c r="Z516" i="1"/>
  <c r="Z517" i="1"/>
  <c r="Z501" i="1"/>
  <c r="Z282" i="1"/>
  <c r="Z297" i="1"/>
  <c r="Z319" i="1"/>
  <c r="Z345" i="1"/>
  <c r="Z411" i="1"/>
  <c r="Z506" i="1"/>
  <c r="Z483" i="1"/>
  <c r="Z487" i="1"/>
  <c r="Z496" i="1"/>
  <c r="Z493" i="1"/>
  <c r="Z490" i="1"/>
  <c r="Z484" i="1"/>
  <c r="Z489" i="1"/>
  <c r="Z513" i="1"/>
  <c r="Z67" i="1"/>
  <c r="Z201" i="1"/>
  <c r="Z211" i="1"/>
  <c r="Z276" i="1"/>
  <c r="Z315" i="1"/>
  <c r="Z311" i="1"/>
  <c r="Z295" i="1"/>
  <c r="Z339" i="1"/>
  <c r="Z349" i="1"/>
  <c r="Z355" i="1"/>
  <c r="Z395" i="1"/>
  <c r="Z419" i="1"/>
  <c r="Z426" i="1"/>
  <c r="Z381" i="1"/>
  <c r="Z370" i="1"/>
  <c r="Z491" i="1"/>
  <c r="Z503" i="1"/>
  <c r="Z498" i="1"/>
  <c r="Z485" i="1"/>
  <c r="Z512" i="1"/>
  <c r="Z505" i="1"/>
  <c r="Z519" i="1"/>
  <c r="Z112" i="1"/>
  <c r="Z207" i="1"/>
  <c r="Z227" i="1"/>
  <c r="Z229" i="1"/>
  <c r="Z263" i="1"/>
  <c r="Z261" i="1"/>
  <c r="Z264" i="1"/>
  <c r="Z260" i="1"/>
  <c r="Z265" i="1"/>
  <c r="Z266" i="1"/>
  <c r="Z262" i="1"/>
  <c r="Z320" i="1"/>
  <c r="Z322" i="1"/>
  <c r="Z325" i="1"/>
  <c r="Z323" i="1"/>
  <c r="Z324" i="1"/>
  <c r="Z321" i="1"/>
  <c r="Z326" i="1"/>
  <c r="Z415" i="1"/>
  <c r="Z379" i="1"/>
  <c r="Z412" i="1"/>
  <c r="Z422" i="1"/>
  <c r="Z369" i="1"/>
  <c r="Z367" i="1"/>
  <c r="Z408" i="1"/>
  <c r="Z390" i="1"/>
  <c r="Z425" i="1"/>
  <c r="Z429" i="1"/>
  <c r="Z504" i="1"/>
  <c r="Z515" i="1"/>
  <c r="Z502" i="1"/>
  <c r="Z507" i="1"/>
  <c r="Z494" i="1"/>
  <c r="Z510" i="1"/>
  <c r="Z514" i="1"/>
  <c r="Z509" i="1"/>
  <c r="Z518" i="1"/>
  <c r="Z549" i="1"/>
  <c r="Z550" i="1"/>
  <c r="Z531" i="1"/>
  <c r="Z551" i="1"/>
  <c r="Z552" i="1"/>
  <c r="Z540" i="1"/>
  <c r="Z524" i="1"/>
  <c r="Z530" i="1"/>
  <c r="Z520" i="1"/>
  <c r="Z525" i="1"/>
  <c r="Z545" i="1"/>
  <c r="Z532" i="1"/>
  <c r="Z541" i="1"/>
  <c r="Z522" i="1"/>
  <c r="Z542" i="1"/>
  <c r="Z538" i="1"/>
  <c r="Z539" i="1"/>
  <c r="Z548" i="1"/>
  <c r="Z561" i="1"/>
  <c r="Z553" i="1"/>
  <c r="Z547" i="1"/>
  <c r="Z543" i="1"/>
  <c r="Z537" i="1"/>
  <c r="Z521" i="1"/>
  <c r="Z554" i="1"/>
  <c r="Z534" i="1"/>
  <c r="Z544" i="1"/>
  <c r="Z533" i="1"/>
  <c r="Z557" i="1"/>
  <c r="Z555" i="1"/>
  <c r="Z536" i="1"/>
  <c r="Z526" i="1"/>
  <c r="Z546" i="1"/>
  <c r="Z562" i="1"/>
  <c r="Z563" i="1"/>
  <c r="Z528" i="1"/>
  <c r="Z527" i="1"/>
  <c r="Z556" i="1"/>
  <c r="Z535" i="1"/>
  <c r="Z529" i="1"/>
  <c r="Z558" i="1"/>
  <c r="Z559" i="1"/>
  <c r="Z560" i="1"/>
  <c r="Z564" i="1"/>
  <c r="Z523" i="1"/>
  <c r="Z581" i="1"/>
  <c r="Z612" i="1"/>
  <c r="Z629" i="1"/>
  <c r="Z613" i="1"/>
  <c r="Z580" i="1"/>
  <c r="Z614" i="1"/>
  <c r="Z568" i="1"/>
  <c r="Z600" i="1"/>
  <c r="Z590" i="1"/>
  <c r="Z630" i="1"/>
  <c r="Z582" i="1"/>
  <c r="Z615" i="1"/>
  <c r="Z574" i="1"/>
  <c r="Z597" i="1"/>
  <c r="Z604" i="1"/>
  <c r="Z599" i="1"/>
  <c r="Z616" i="1"/>
  <c r="Z593" i="1"/>
  <c r="Z617" i="1"/>
  <c r="Z566" i="1"/>
  <c r="Z575" i="1"/>
  <c r="Z596" i="1"/>
  <c r="Z572" i="1"/>
  <c r="Z618" i="1"/>
  <c r="Z609" i="1"/>
  <c r="Z576" i="1"/>
  <c r="Z601" i="1"/>
  <c r="Z588" i="1"/>
  <c r="Z611" i="1"/>
  <c r="Z602" i="1"/>
  <c r="Z605" i="1"/>
  <c r="Z598" i="1"/>
  <c r="Z591" i="1"/>
  <c r="Z587" i="1"/>
  <c r="Z619" i="1"/>
  <c r="Z620" i="1"/>
  <c r="Z607" i="1"/>
  <c r="Z589" i="1"/>
  <c r="Z577" i="1"/>
  <c r="Z608" i="1"/>
  <c r="Z621" i="1"/>
  <c r="Z565" i="1"/>
  <c r="Z622" i="1"/>
  <c r="Z583" i="1"/>
  <c r="Z623" i="1"/>
  <c r="Z624" i="1"/>
  <c r="Z592" i="1"/>
  <c r="Z585" i="1"/>
  <c r="Z573" i="1"/>
  <c r="Z625" i="1"/>
  <c r="Z603" i="1"/>
  <c r="Z578" i="1"/>
  <c r="Z586" i="1"/>
  <c r="Z567" i="1"/>
  <c r="Z584" i="1"/>
  <c r="Z570" i="1"/>
  <c r="Z628" i="1"/>
  <c r="Z626" i="1"/>
  <c r="Z579" i="1"/>
  <c r="Z627" i="1"/>
  <c r="Z606" i="1"/>
  <c r="Z594" i="1"/>
  <c r="Z571" i="1"/>
  <c r="Z595" i="1"/>
  <c r="Z569" i="1"/>
  <c r="Z631" i="1"/>
  <c r="Z610" i="1"/>
  <c r="Z632" i="1"/>
  <c r="Z633" i="1"/>
  <c r="Z720" i="1"/>
  <c r="Z730" i="1"/>
  <c r="Z676" i="1"/>
  <c r="Z653" i="1"/>
  <c r="Z704" i="1"/>
  <c r="Z731" i="1"/>
  <c r="Z732" i="1"/>
  <c r="Z733" i="1"/>
  <c r="Z734" i="1"/>
  <c r="Z735" i="1"/>
  <c r="Z736" i="1"/>
  <c r="Z794" i="1"/>
  <c r="Z657" i="1"/>
  <c r="Z737" i="1"/>
  <c r="Z738" i="1"/>
  <c r="Z739" i="1"/>
  <c r="Z740" i="1"/>
  <c r="Z698" i="1"/>
  <c r="Z741" i="1"/>
  <c r="Z695" i="1"/>
  <c r="Z742" i="1"/>
  <c r="Z694" i="1"/>
  <c r="Z712" i="1"/>
  <c r="Z700" i="1"/>
  <c r="Z723" i="1"/>
  <c r="Z696" i="1"/>
  <c r="Z691" i="1"/>
  <c r="Z711" i="1"/>
  <c r="Z743" i="1"/>
  <c r="Z699" i="1"/>
  <c r="Z795" i="1"/>
  <c r="Z721" i="1"/>
  <c r="Z796" i="1"/>
  <c r="Z669" i="1"/>
  <c r="Z717" i="1"/>
  <c r="Z724" i="1"/>
  <c r="Z710" i="1"/>
  <c r="Z641" i="1"/>
  <c r="Z715" i="1"/>
  <c r="Z744" i="1"/>
  <c r="Z643" i="1"/>
  <c r="Z697" i="1"/>
  <c r="Z642" i="1"/>
  <c r="Z637" i="1"/>
  <c r="Z682" i="1"/>
  <c r="Z673" i="1"/>
  <c r="Z685" i="1"/>
  <c r="Z745" i="1"/>
  <c r="Z634" i="1"/>
  <c r="Z680" i="1"/>
  <c r="Z651" i="1"/>
  <c r="Z797" i="1"/>
  <c r="Z746" i="1"/>
  <c r="Z663" i="1"/>
  <c r="Z690" i="1"/>
  <c r="Z640" i="1"/>
  <c r="Z747" i="1"/>
  <c r="Z725" i="1"/>
  <c r="Z659" i="1"/>
  <c r="Z749" i="1"/>
  <c r="Z665" i="1"/>
  <c r="Z714" i="1"/>
  <c r="Z718" i="1"/>
  <c r="Z750" i="1"/>
  <c r="Z748" i="1"/>
  <c r="Z719" i="1"/>
  <c r="Z726" i="1"/>
  <c r="Z751" i="1"/>
  <c r="Z798" i="1"/>
  <c r="Z677" i="1"/>
  <c r="Z752" i="1"/>
  <c r="Z799" i="1"/>
  <c r="Z678" i="1"/>
  <c r="Z800" i="1"/>
  <c r="Z666" i="1"/>
  <c r="Z801" i="1"/>
  <c r="Z802" i="1"/>
  <c r="Z672" i="1"/>
  <c r="Z728" i="1"/>
  <c r="Z671" i="1"/>
  <c r="Z650" i="1"/>
  <c r="Z803" i="1"/>
  <c r="Z753" i="1"/>
  <c r="Z658" i="1"/>
  <c r="Z754" i="1"/>
  <c r="Z688" i="1"/>
  <c r="Z755" i="1"/>
  <c r="Z756" i="1"/>
  <c r="Z757" i="1"/>
  <c r="Z662" i="1"/>
  <c r="Z644" i="1"/>
  <c r="Z638" i="1"/>
  <c r="Z758" i="1"/>
  <c r="Z804" i="1"/>
  <c r="Z759" i="1"/>
  <c r="Z805" i="1"/>
  <c r="Z661" i="1"/>
  <c r="Z652" i="1"/>
  <c r="Z760" i="1"/>
  <c r="Z635" i="1"/>
  <c r="Z692" i="1"/>
  <c r="Z647" i="1"/>
  <c r="Z806" i="1"/>
  <c r="Z761" i="1"/>
  <c r="Z705" i="1"/>
  <c r="Z675" i="1"/>
  <c r="Z729" i="1"/>
  <c r="Z713" i="1"/>
  <c r="Z762" i="1"/>
  <c r="Z763" i="1"/>
  <c r="Z648" i="1"/>
  <c r="Z764" i="1"/>
  <c r="Z722" i="1"/>
  <c r="Z765" i="1"/>
  <c r="Z708" i="1"/>
  <c r="Z709" i="1"/>
  <c r="Z655" i="1"/>
  <c r="Z636" i="1"/>
  <c r="Z668" i="1"/>
  <c r="Z807" i="1"/>
  <c r="Z766" i="1"/>
  <c r="Z674" i="1"/>
  <c r="Z707" i="1"/>
  <c r="Z767" i="1"/>
  <c r="Z768" i="1"/>
  <c r="Z769" i="1"/>
  <c r="Z770" i="1"/>
  <c r="Z771" i="1"/>
  <c r="Z772" i="1"/>
  <c r="Z679" i="1"/>
  <c r="Z706" i="1"/>
  <c r="Z808" i="1"/>
  <c r="Z809" i="1"/>
  <c r="Z773" i="1"/>
  <c r="Z774" i="1"/>
  <c r="Z670" i="1"/>
  <c r="Z701" i="1"/>
  <c r="Z775" i="1"/>
  <c r="Z684" i="1"/>
  <c r="Z776" i="1"/>
  <c r="Z777" i="1"/>
  <c r="Z656" i="1"/>
  <c r="Z686" i="1"/>
  <c r="Z660" i="1"/>
  <c r="Z810" i="1"/>
  <c r="Z778" i="1"/>
  <c r="Z649" i="1"/>
  <c r="Z779" i="1"/>
  <c r="Z811" i="1"/>
  <c r="Z780" i="1"/>
  <c r="Z716" i="1"/>
  <c r="Z812" i="1"/>
  <c r="Z781" i="1"/>
  <c r="Z782" i="1"/>
  <c r="Z783" i="1"/>
  <c r="Z683" i="1"/>
  <c r="Z693" i="1"/>
  <c r="Z784" i="1"/>
  <c r="Z646" i="1"/>
  <c r="Z687" i="1"/>
  <c r="Z703" i="1"/>
  <c r="Z785" i="1"/>
  <c r="Z667" i="1"/>
  <c r="Z786" i="1"/>
  <c r="Z787" i="1"/>
  <c r="Z645" i="1"/>
  <c r="Z788" i="1"/>
  <c r="Z664" i="1"/>
  <c r="Z789" i="1"/>
  <c r="Z790" i="1"/>
  <c r="Z791" i="1"/>
  <c r="Z792" i="1"/>
  <c r="Z793" i="1"/>
  <c r="Z816" i="1"/>
  <c r="Z817" i="1"/>
  <c r="Z702" i="1"/>
  <c r="Z681" i="1"/>
  <c r="Z814" i="1"/>
  <c r="Z813" i="1"/>
  <c r="Z818" i="1"/>
  <c r="Z815" i="1"/>
  <c r="Z727" i="1"/>
  <c r="Z689" i="1"/>
  <c r="Z819" i="1"/>
  <c r="Z654" i="1"/>
  <c r="Z639" i="1"/>
  <c r="Z1250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3" i="1"/>
  <c r="Z844" i="1"/>
  <c r="Z846" i="1"/>
  <c r="Z848" i="1"/>
  <c r="Z849" i="1"/>
  <c r="Z842" i="1"/>
  <c r="Z845" i="1"/>
  <c r="Z850" i="1"/>
  <c r="Z847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3" i="1"/>
  <c r="Z1154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80" i="1"/>
  <c r="Z1181" i="1"/>
  <c r="Z1182" i="1"/>
  <c r="Z1183" i="1"/>
  <c r="Z1184" i="1"/>
  <c r="Z1185" i="1"/>
  <c r="Z1186" i="1"/>
  <c r="Z1187" i="1"/>
  <c r="Z1188" i="1"/>
  <c r="Z1189" i="1"/>
  <c r="Z1190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4" i="1"/>
  <c r="Z1226" i="1"/>
  <c r="Z1228" i="1"/>
  <c r="Z1229" i="1"/>
  <c r="Z1230" i="1"/>
  <c r="Z1231" i="1"/>
  <c r="Z1232" i="1"/>
  <c r="Z1233" i="1"/>
  <c r="Z1234" i="1"/>
  <c r="Z1235" i="1"/>
  <c r="Z1236" i="1"/>
  <c r="Z1238" i="1"/>
  <c r="Z1239" i="1"/>
  <c r="Z1240" i="1"/>
  <c r="Z1241" i="1"/>
  <c r="Z1243" i="1"/>
  <c r="Z1245" i="1"/>
  <c r="Z1246" i="1"/>
  <c r="Z1247" i="1"/>
  <c r="Z1248" i="1"/>
  <c r="Z1249" i="1"/>
  <c r="Z869" i="1"/>
  <c r="Z942" i="1"/>
  <c r="Z1050" i="1"/>
  <c r="Z1100" i="1"/>
  <c r="Z1152" i="1"/>
  <c r="Z1155" i="1"/>
  <c r="Z1179" i="1"/>
  <c r="Z1191" i="1"/>
  <c r="Z1207" i="1"/>
  <c r="Z1208" i="1"/>
  <c r="Z1223" i="1"/>
  <c r="Z1225" i="1"/>
  <c r="Z1227" i="1"/>
  <c r="Z1237" i="1"/>
  <c r="Z1242" i="1"/>
  <c r="Z1244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30" i="1"/>
  <c r="Y32" i="1"/>
  <c r="Y34" i="1"/>
  <c r="Y33" i="1"/>
  <c r="Y35" i="1"/>
  <c r="Y36" i="1"/>
  <c r="Y37" i="1"/>
  <c r="Y38" i="1"/>
  <c r="Y39" i="1"/>
  <c r="Y40" i="1"/>
  <c r="Y41" i="1"/>
  <c r="Y42" i="1"/>
  <c r="Y43" i="1"/>
  <c r="Y44" i="1"/>
  <c r="Y45" i="1"/>
  <c r="Y47" i="1"/>
  <c r="Y46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8" i="1"/>
  <c r="Y69" i="1"/>
  <c r="Y70" i="1"/>
  <c r="Y71" i="1"/>
  <c r="Y72" i="1"/>
  <c r="Y73" i="1"/>
  <c r="Y74" i="1"/>
  <c r="Y75" i="1"/>
  <c r="Y76" i="1"/>
  <c r="Y78" i="1"/>
  <c r="Y77" i="1"/>
  <c r="Y79" i="1"/>
  <c r="Y80" i="1"/>
  <c r="Y81" i="1"/>
  <c r="Y82" i="1"/>
  <c r="Y83" i="1"/>
  <c r="Y84" i="1"/>
  <c r="Y87" i="1"/>
  <c r="Y86" i="1"/>
  <c r="Y89" i="1"/>
  <c r="Y88" i="1"/>
  <c r="Y90" i="1"/>
  <c r="Y91" i="1"/>
  <c r="Y92" i="1"/>
  <c r="Y93" i="1"/>
  <c r="Y94" i="1"/>
  <c r="Y97" i="1"/>
  <c r="Y95" i="1"/>
  <c r="Y96" i="1"/>
  <c r="Y99" i="1"/>
  <c r="Y100" i="1"/>
  <c r="Y103" i="1"/>
  <c r="Y101" i="1"/>
  <c r="Y102" i="1"/>
  <c r="Y104" i="1"/>
  <c r="Y105" i="1"/>
  <c r="Y106" i="1"/>
  <c r="Y107" i="1"/>
  <c r="Y108" i="1"/>
  <c r="Y109" i="1"/>
  <c r="Y110" i="1"/>
  <c r="Y111" i="1"/>
  <c r="Y113" i="1"/>
  <c r="Y115" i="1"/>
  <c r="Y114" i="1"/>
  <c r="Y117" i="1"/>
  <c r="Y116" i="1"/>
  <c r="Y118" i="1"/>
  <c r="Y121" i="1"/>
  <c r="Y119" i="1"/>
  <c r="Y122" i="1"/>
  <c r="Y123" i="1"/>
  <c r="Y124" i="1"/>
  <c r="Y125" i="1"/>
  <c r="Y126" i="1"/>
  <c r="Y127" i="1"/>
  <c r="Y129" i="1"/>
  <c r="Y128" i="1"/>
  <c r="Y131" i="1"/>
  <c r="Y132" i="1"/>
  <c r="Y134" i="1"/>
  <c r="Y135" i="1"/>
  <c r="Y133" i="1"/>
  <c r="Y137" i="1"/>
  <c r="Y138" i="1"/>
  <c r="Y139" i="1"/>
  <c r="Y140" i="1"/>
  <c r="Y141" i="1"/>
  <c r="Y142" i="1"/>
  <c r="Y144" i="1"/>
  <c r="Y143" i="1"/>
  <c r="Y145" i="1"/>
  <c r="Y146" i="1"/>
  <c r="Y147" i="1"/>
  <c r="Y148" i="1"/>
  <c r="Y149" i="1"/>
  <c r="Y151" i="1"/>
  <c r="Y150" i="1"/>
  <c r="Y152" i="1"/>
  <c r="Y153" i="1"/>
  <c r="Y154" i="1"/>
  <c r="Y156" i="1"/>
  <c r="Y155" i="1"/>
  <c r="Y158" i="1"/>
  <c r="Y157" i="1"/>
  <c r="Y160" i="1"/>
  <c r="Y159" i="1"/>
  <c r="Y164" i="1"/>
  <c r="Y167" i="1"/>
  <c r="Y166" i="1"/>
  <c r="Y165" i="1"/>
  <c r="Y168" i="1"/>
  <c r="Y170" i="1"/>
  <c r="Y169" i="1"/>
  <c r="Y172" i="1"/>
  <c r="Y173" i="1"/>
  <c r="Y175" i="1"/>
  <c r="Y176" i="1"/>
  <c r="Y177" i="1"/>
  <c r="Y179" i="1"/>
  <c r="Y180" i="1"/>
  <c r="Y183" i="1"/>
  <c r="Y184" i="1"/>
  <c r="Y186" i="1"/>
  <c r="Y187" i="1"/>
  <c r="Y188" i="1"/>
  <c r="Y191" i="1"/>
  <c r="Y192" i="1"/>
  <c r="Y194" i="1"/>
  <c r="Y195" i="1"/>
  <c r="Y198" i="1"/>
  <c r="Y199" i="1"/>
  <c r="Y197" i="1"/>
  <c r="Y200" i="1"/>
  <c r="Y204" i="1"/>
  <c r="Y205" i="1"/>
  <c r="Y202" i="1"/>
  <c r="Y209" i="1"/>
  <c r="Y210" i="1"/>
  <c r="Y212" i="1"/>
  <c r="Y213" i="1"/>
  <c r="Y215" i="1"/>
  <c r="Y216" i="1"/>
  <c r="Y217" i="1"/>
  <c r="Y218" i="1"/>
  <c r="Y219" i="1"/>
  <c r="Y223" i="1"/>
  <c r="Y222" i="1"/>
  <c r="Y221" i="1"/>
  <c r="Y224" i="1"/>
  <c r="Y226" i="1"/>
  <c r="Y228" i="1"/>
  <c r="Y230" i="1"/>
  <c r="Y232" i="1"/>
  <c r="Y231" i="1"/>
  <c r="Y235" i="1"/>
  <c r="Y236" i="1"/>
  <c r="Y29" i="1"/>
  <c r="Y31" i="1"/>
  <c r="Y85" i="1"/>
  <c r="Y120" i="1"/>
  <c r="Y130" i="1"/>
  <c r="Y136" i="1"/>
  <c r="Y161" i="1"/>
  <c r="Y163" i="1"/>
  <c r="Y162" i="1"/>
  <c r="Y171" i="1"/>
  <c r="Y174" i="1"/>
  <c r="Y178" i="1"/>
  <c r="Y182" i="1"/>
  <c r="Y181" i="1"/>
  <c r="Y185" i="1"/>
  <c r="Y190" i="1"/>
  <c r="Y189" i="1"/>
  <c r="Y193" i="1"/>
  <c r="Y196" i="1"/>
  <c r="Y203" i="1"/>
  <c r="Y208" i="1"/>
  <c r="Y214" i="1"/>
  <c r="Y220" i="1"/>
  <c r="Y225" i="1"/>
  <c r="Y233" i="1"/>
  <c r="Y234" i="1"/>
  <c r="Y246" i="1"/>
  <c r="Y242" i="1"/>
  <c r="Y251" i="1"/>
  <c r="Y237" i="1"/>
  <c r="Y249" i="1"/>
  <c r="Y254" i="1"/>
  <c r="Y244" i="1"/>
  <c r="Y255" i="1"/>
  <c r="Y248" i="1"/>
  <c r="Y256" i="1"/>
  <c r="Y252" i="1"/>
  <c r="Y241" i="1"/>
  <c r="Y239" i="1"/>
  <c r="Y257" i="1"/>
  <c r="Y250" i="1"/>
  <c r="Y258" i="1"/>
  <c r="Y240" i="1"/>
  <c r="Y247" i="1"/>
  <c r="Y259" i="1"/>
  <c r="Y238" i="1"/>
  <c r="Y284" i="1"/>
  <c r="Y278" i="1"/>
  <c r="Y287" i="1"/>
  <c r="Y280" i="1"/>
  <c r="Y273" i="1"/>
  <c r="Y268" i="1"/>
  <c r="Y279" i="1"/>
  <c r="Y289" i="1"/>
  <c r="Y281" i="1"/>
  <c r="Y274" i="1"/>
  <c r="Y269" i="1"/>
  <c r="Y270" i="1"/>
  <c r="Y271" i="1"/>
  <c r="Y290" i="1"/>
  <c r="Y291" i="1"/>
  <c r="Y272" i="1"/>
  <c r="Y277" i="1"/>
  <c r="Y312" i="1"/>
  <c r="Y316" i="1"/>
  <c r="Y314" i="1"/>
  <c r="Y292" i="1"/>
  <c r="Y302" i="1"/>
  <c r="Y317" i="1"/>
  <c r="Y303" i="1"/>
  <c r="Y304" i="1"/>
  <c r="Y313" i="1"/>
  <c r="Y318" i="1"/>
  <c r="Y307" i="1"/>
  <c r="Y309" i="1"/>
  <c r="Y298" i="1"/>
  <c r="Y306" i="1"/>
  <c r="Y294" i="1"/>
  <c r="Y293" i="1"/>
  <c r="Y300" i="1"/>
  <c r="Y308" i="1"/>
  <c r="Y310" i="1"/>
  <c r="Y301" i="1"/>
  <c r="Y296" i="1"/>
  <c r="Y347" i="1"/>
  <c r="Y335" i="1"/>
  <c r="Y328" i="1"/>
  <c r="Y346" i="1"/>
  <c r="Y327" i="1"/>
  <c r="Y350" i="1"/>
  <c r="Y344" i="1"/>
  <c r="Y351" i="1"/>
  <c r="Y352" i="1"/>
  <c r="Y353" i="1"/>
  <c r="Y354" i="1"/>
  <c r="Y336" i="1"/>
  <c r="Y342" i="1"/>
  <c r="Y337" i="1"/>
  <c r="Y340" i="1"/>
  <c r="Y329" i="1"/>
  <c r="Y333" i="1"/>
  <c r="Y330" i="1"/>
  <c r="Y341" i="1"/>
  <c r="Y332" i="1"/>
  <c r="Y343" i="1"/>
  <c r="Y338" i="1"/>
  <c r="Y404" i="1"/>
  <c r="Y385" i="1"/>
  <c r="Y398" i="1"/>
  <c r="Y421" i="1"/>
  <c r="Y417" i="1"/>
  <c r="Y418" i="1"/>
  <c r="Y375" i="1"/>
  <c r="Y389" i="1"/>
  <c r="Y401" i="1"/>
  <c r="Y393" i="1"/>
  <c r="Y409" i="1"/>
  <c r="Y357" i="1"/>
  <c r="Y366" i="1"/>
  <c r="Y372" i="1"/>
  <c r="Y423" i="1"/>
  <c r="Y403" i="1"/>
  <c r="Y384" i="1"/>
  <c r="Y358" i="1"/>
  <c r="Y360" i="1"/>
  <c r="Y413" i="1"/>
  <c r="Y424" i="1"/>
  <c r="Y391" i="1"/>
  <c r="Y402" i="1"/>
  <c r="Y394" i="1"/>
  <c r="Y382" i="1"/>
  <c r="Y383" i="1"/>
  <c r="Y407" i="1"/>
  <c r="Y359" i="1"/>
  <c r="Y377" i="1"/>
  <c r="Y376" i="1"/>
  <c r="Y361" i="1"/>
  <c r="Y399" i="1"/>
  <c r="Y392" i="1"/>
  <c r="Y427" i="1"/>
  <c r="Y373" i="1"/>
  <c r="Y368" i="1"/>
  <c r="Y428" i="1"/>
  <c r="Y410" i="1"/>
  <c r="Y397" i="1"/>
  <c r="Y388" i="1"/>
  <c r="Y405" i="1"/>
  <c r="Y371" i="1"/>
  <c r="Y416" i="1"/>
  <c r="Y386" i="1"/>
  <c r="Y387" i="1"/>
  <c r="Y365" i="1"/>
  <c r="Y430" i="1"/>
  <c r="Y470" i="1"/>
  <c r="Y451" i="1"/>
  <c r="Y447" i="1"/>
  <c r="Y458" i="1"/>
  <c r="Y459" i="1"/>
  <c r="Y446" i="1"/>
  <c r="Y448" i="1"/>
  <c r="Y460" i="1"/>
  <c r="Y444" i="1"/>
  <c r="Y468" i="1"/>
  <c r="Y433" i="1"/>
  <c r="Y435" i="1"/>
  <c r="Y432" i="1"/>
  <c r="Y436" i="1"/>
  <c r="Y462" i="1"/>
  <c r="Y479" i="1"/>
  <c r="Y472" i="1"/>
  <c r="Y469" i="1"/>
  <c r="Y452" i="1"/>
  <c r="Y461" i="1"/>
  <c r="Y475" i="1"/>
  <c r="Y454" i="1"/>
  <c r="Y477" i="1"/>
  <c r="Y456" i="1"/>
  <c r="Y476" i="1"/>
  <c r="Y464" i="1"/>
  <c r="Y480" i="1"/>
  <c r="Y465" i="1"/>
  <c r="Y439" i="1"/>
  <c r="Y455" i="1"/>
  <c r="Y443" i="1"/>
  <c r="Y441" i="1"/>
  <c r="Y434" i="1"/>
  <c r="Y467" i="1"/>
  <c r="Y473" i="1"/>
  <c r="Y457" i="1"/>
  <c r="Y437" i="1"/>
  <c r="Y450" i="1"/>
  <c r="Y463" i="1"/>
  <c r="Y466" i="1"/>
  <c r="Y481" i="1"/>
  <c r="Y474" i="1"/>
  <c r="Y471" i="1"/>
  <c r="Y442" i="1"/>
  <c r="Y453" i="1"/>
  <c r="Y438" i="1"/>
  <c r="Y445" i="1"/>
  <c r="Y449" i="1"/>
  <c r="Y431" i="1"/>
  <c r="Y440" i="1"/>
  <c r="Y478" i="1"/>
  <c r="Y98" i="1"/>
  <c r="Y206" i="1"/>
  <c r="Y245" i="1"/>
  <c r="Y253" i="1"/>
  <c r="Y243" i="1"/>
  <c r="Y286" i="1"/>
  <c r="Y283" i="1"/>
  <c r="Y288" i="1"/>
  <c r="Y275" i="1"/>
  <c r="Y267" i="1"/>
  <c r="Y285" i="1"/>
  <c r="Y299" i="1"/>
  <c r="Y305" i="1"/>
  <c r="Y348" i="1"/>
  <c r="Y334" i="1"/>
  <c r="Y356" i="1"/>
  <c r="Y331" i="1"/>
  <c r="Y363" i="1"/>
  <c r="Y420" i="1"/>
  <c r="Y374" i="1"/>
  <c r="Y414" i="1"/>
  <c r="Y364" i="1"/>
  <c r="Y362" i="1"/>
  <c r="Y396" i="1"/>
  <c r="Y400" i="1"/>
  <c r="Y380" i="1"/>
  <c r="Y406" i="1"/>
  <c r="Y378" i="1"/>
  <c r="Y497" i="1"/>
  <c r="Y508" i="1"/>
  <c r="Y488" i="1"/>
  <c r="Y511" i="1"/>
  <c r="Y482" i="1"/>
  <c r="Y492" i="1"/>
  <c r="Y486" i="1"/>
  <c r="Y499" i="1"/>
  <c r="Y495" i="1"/>
  <c r="Y500" i="1"/>
  <c r="Y516" i="1"/>
  <c r="Y517" i="1"/>
  <c r="Y501" i="1"/>
  <c r="Y282" i="1"/>
  <c r="Y297" i="1"/>
  <c r="Y319" i="1"/>
  <c r="Y345" i="1"/>
  <c r="Y411" i="1"/>
  <c r="Y506" i="1"/>
  <c r="Y483" i="1"/>
  <c r="Y487" i="1"/>
  <c r="Y496" i="1"/>
  <c r="Y493" i="1"/>
  <c r="Y490" i="1"/>
  <c r="Y484" i="1"/>
  <c r="Y489" i="1"/>
  <c r="Y513" i="1"/>
  <c r="Y67" i="1"/>
  <c r="Y201" i="1"/>
  <c r="Y211" i="1"/>
  <c r="Y276" i="1"/>
  <c r="Y315" i="1"/>
  <c r="Y311" i="1"/>
  <c r="Y295" i="1"/>
  <c r="Y339" i="1"/>
  <c r="Y349" i="1"/>
  <c r="Y355" i="1"/>
  <c r="Y395" i="1"/>
  <c r="Y419" i="1"/>
  <c r="Y426" i="1"/>
  <c r="Y381" i="1"/>
  <c r="Y370" i="1"/>
  <c r="Y491" i="1"/>
  <c r="Y503" i="1"/>
  <c r="Y498" i="1"/>
  <c r="Y485" i="1"/>
  <c r="Y512" i="1"/>
  <c r="Y505" i="1"/>
  <c r="Y519" i="1"/>
  <c r="Y112" i="1"/>
  <c r="Y207" i="1"/>
  <c r="Y227" i="1"/>
  <c r="Y229" i="1"/>
  <c r="Y263" i="1"/>
  <c r="Y261" i="1"/>
  <c r="Y264" i="1"/>
  <c r="Y260" i="1"/>
  <c r="Y265" i="1"/>
  <c r="Y266" i="1"/>
  <c r="Y262" i="1"/>
  <c r="Y320" i="1"/>
  <c r="Y322" i="1"/>
  <c r="Y325" i="1"/>
  <c r="Y323" i="1"/>
  <c r="Y324" i="1"/>
  <c r="Y321" i="1"/>
  <c r="Y326" i="1"/>
  <c r="Y415" i="1"/>
  <c r="Y379" i="1"/>
  <c r="Y412" i="1"/>
  <c r="Y422" i="1"/>
  <c r="Y369" i="1"/>
  <c r="Y367" i="1"/>
  <c r="Y408" i="1"/>
  <c r="Y390" i="1"/>
  <c r="Y425" i="1"/>
  <c r="Y429" i="1"/>
  <c r="Y504" i="1"/>
  <c r="Y515" i="1"/>
  <c r="Y502" i="1"/>
  <c r="Y507" i="1"/>
  <c r="Y494" i="1"/>
  <c r="Y510" i="1"/>
  <c r="Y514" i="1"/>
  <c r="Y509" i="1"/>
  <c r="Y518" i="1"/>
  <c r="Y549" i="1"/>
  <c r="Y550" i="1"/>
  <c r="Y531" i="1"/>
  <c r="Y551" i="1"/>
  <c r="Y552" i="1"/>
  <c r="Y540" i="1"/>
  <c r="Y524" i="1"/>
  <c r="Y530" i="1"/>
  <c r="Y520" i="1"/>
  <c r="Y525" i="1"/>
  <c r="Y545" i="1"/>
  <c r="Y532" i="1"/>
  <c r="Y541" i="1"/>
  <c r="Y522" i="1"/>
  <c r="Y542" i="1"/>
  <c r="Y538" i="1"/>
  <c r="Y539" i="1"/>
  <c r="Y548" i="1"/>
  <c r="Y561" i="1"/>
  <c r="Y553" i="1"/>
  <c r="Y547" i="1"/>
  <c r="Y543" i="1"/>
  <c r="Y537" i="1"/>
  <c r="Y521" i="1"/>
  <c r="Y554" i="1"/>
  <c r="Y534" i="1"/>
  <c r="Y544" i="1"/>
  <c r="Y533" i="1"/>
  <c r="Y557" i="1"/>
  <c r="Y555" i="1"/>
  <c r="Y536" i="1"/>
  <c r="Y526" i="1"/>
  <c r="Y546" i="1"/>
  <c r="Y562" i="1"/>
  <c r="Y563" i="1"/>
  <c r="Y528" i="1"/>
  <c r="Y527" i="1"/>
  <c r="Y556" i="1"/>
  <c r="Y535" i="1"/>
  <c r="Y529" i="1"/>
  <c r="Y558" i="1"/>
  <c r="Y559" i="1"/>
  <c r="Y560" i="1"/>
  <c r="Y564" i="1"/>
  <c r="Y523" i="1"/>
  <c r="Y581" i="1"/>
  <c r="Y612" i="1"/>
  <c r="Y629" i="1"/>
  <c r="Y613" i="1"/>
  <c r="Y580" i="1"/>
  <c r="Y614" i="1"/>
  <c r="Y568" i="1"/>
  <c r="Y600" i="1"/>
  <c r="Y590" i="1"/>
  <c r="Y630" i="1"/>
  <c r="Y582" i="1"/>
  <c r="Y615" i="1"/>
  <c r="Y574" i="1"/>
  <c r="Y597" i="1"/>
  <c r="Y604" i="1"/>
  <c r="Y599" i="1"/>
  <c r="Y616" i="1"/>
  <c r="Y593" i="1"/>
  <c r="Y617" i="1"/>
  <c r="Y566" i="1"/>
  <c r="Y575" i="1"/>
  <c r="Y596" i="1"/>
  <c r="Y572" i="1"/>
  <c r="Y618" i="1"/>
  <c r="Y609" i="1"/>
  <c r="Y576" i="1"/>
  <c r="Y601" i="1"/>
  <c r="Y588" i="1"/>
  <c r="Y611" i="1"/>
  <c r="Y602" i="1"/>
  <c r="Y605" i="1"/>
  <c r="Y598" i="1"/>
  <c r="Y591" i="1"/>
  <c r="Y587" i="1"/>
  <c r="Y619" i="1"/>
  <c r="Y620" i="1"/>
  <c r="Y607" i="1"/>
  <c r="Y589" i="1"/>
  <c r="Y577" i="1"/>
  <c r="Y608" i="1"/>
  <c r="Y621" i="1"/>
  <c r="Y565" i="1"/>
  <c r="Y622" i="1"/>
  <c r="Y583" i="1"/>
  <c r="Y623" i="1"/>
  <c r="Y624" i="1"/>
  <c r="Y592" i="1"/>
  <c r="Y585" i="1"/>
  <c r="Y573" i="1"/>
  <c r="Y625" i="1"/>
  <c r="Y603" i="1"/>
  <c r="Y578" i="1"/>
  <c r="Y586" i="1"/>
  <c r="Y567" i="1"/>
  <c r="Y584" i="1"/>
  <c r="Y570" i="1"/>
  <c r="Y628" i="1"/>
  <c r="Y626" i="1"/>
  <c r="Y579" i="1"/>
  <c r="Y627" i="1"/>
  <c r="Y606" i="1"/>
  <c r="Y594" i="1"/>
  <c r="Y571" i="1"/>
  <c r="Y595" i="1"/>
  <c r="Y569" i="1"/>
  <c r="Y631" i="1"/>
  <c r="Y610" i="1"/>
  <c r="Y632" i="1"/>
  <c r="Y633" i="1"/>
  <c r="Y720" i="1"/>
  <c r="Y730" i="1"/>
  <c r="Y676" i="1"/>
  <c r="Y653" i="1"/>
  <c r="Y704" i="1"/>
  <c r="Y731" i="1"/>
  <c r="Y732" i="1"/>
  <c r="Y733" i="1"/>
  <c r="Y734" i="1"/>
  <c r="Y735" i="1"/>
  <c r="Y736" i="1"/>
  <c r="Y794" i="1"/>
  <c r="Y657" i="1"/>
  <c r="Y737" i="1"/>
  <c r="Y738" i="1"/>
  <c r="Y739" i="1"/>
  <c r="Y740" i="1"/>
  <c r="Y698" i="1"/>
  <c r="Y741" i="1"/>
  <c r="Y695" i="1"/>
  <c r="Y742" i="1"/>
  <c r="Y694" i="1"/>
  <c r="Y712" i="1"/>
  <c r="Y700" i="1"/>
  <c r="Y723" i="1"/>
  <c r="Y696" i="1"/>
  <c r="Y691" i="1"/>
  <c r="Y711" i="1"/>
  <c r="Y743" i="1"/>
  <c r="Y699" i="1"/>
  <c r="Y795" i="1"/>
  <c r="Y721" i="1"/>
  <c r="Y796" i="1"/>
  <c r="Y669" i="1"/>
  <c r="Y717" i="1"/>
  <c r="Y724" i="1"/>
  <c r="Y710" i="1"/>
  <c r="Y641" i="1"/>
  <c r="Y715" i="1"/>
  <c r="Y744" i="1"/>
  <c r="Y643" i="1"/>
  <c r="Y697" i="1"/>
  <c r="Y642" i="1"/>
  <c r="Y637" i="1"/>
  <c r="Y682" i="1"/>
  <c r="Y673" i="1"/>
  <c r="Y685" i="1"/>
  <c r="Y745" i="1"/>
  <c r="Y634" i="1"/>
  <c r="Y680" i="1"/>
  <c r="Y651" i="1"/>
  <c r="Y797" i="1"/>
  <c r="Y746" i="1"/>
  <c r="Y663" i="1"/>
  <c r="Y690" i="1"/>
  <c r="Y640" i="1"/>
  <c r="Y747" i="1"/>
  <c r="Y725" i="1"/>
  <c r="Y659" i="1"/>
  <c r="Y749" i="1"/>
  <c r="Y665" i="1"/>
  <c r="Y714" i="1"/>
  <c r="Y718" i="1"/>
  <c r="Y750" i="1"/>
  <c r="Y748" i="1"/>
  <c r="Y719" i="1"/>
  <c r="Y726" i="1"/>
  <c r="Y751" i="1"/>
  <c r="Y798" i="1"/>
  <c r="Y677" i="1"/>
  <c r="Y752" i="1"/>
  <c r="Y799" i="1"/>
  <c r="Y678" i="1"/>
  <c r="Y800" i="1"/>
  <c r="Y666" i="1"/>
  <c r="Y801" i="1"/>
  <c r="Y802" i="1"/>
  <c r="Y672" i="1"/>
  <c r="Y728" i="1"/>
  <c r="Y671" i="1"/>
  <c r="Y650" i="1"/>
  <c r="Y803" i="1"/>
  <c r="Y753" i="1"/>
  <c r="Y658" i="1"/>
  <c r="Y754" i="1"/>
  <c r="Y688" i="1"/>
  <c r="Y755" i="1"/>
  <c r="Y756" i="1"/>
  <c r="Y757" i="1"/>
  <c r="Y662" i="1"/>
  <c r="Y644" i="1"/>
  <c r="Y638" i="1"/>
  <c r="Y758" i="1"/>
  <c r="Y804" i="1"/>
  <c r="Y759" i="1"/>
  <c r="Y805" i="1"/>
  <c r="Y661" i="1"/>
  <c r="Y652" i="1"/>
  <c r="Y760" i="1"/>
  <c r="Y635" i="1"/>
  <c r="Y692" i="1"/>
  <c r="Y647" i="1"/>
  <c r="Y806" i="1"/>
  <c r="Y761" i="1"/>
  <c r="Y705" i="1"/>
  <c r="Y675" i="1"/>
  <c r="Y729" i="1"/>
  <c r="Y713" i="1"/>
  <c r="Y762" i="1"/>
  <c r="Y763" i="1"/>
  <c r="Y648" i="1"/>
  <c r="Y764" i="1"/>
  <c r="Y722" i="1"/>
  <c r="Y765" i="1"/>
  <c r="Y708" i="1"/>
  <c r="Y709" i="1"/>
  <c r="Y655" i="1"/>
  <c r="Y636" i="1"/>
  <c r="Y668" i="1"/>
  <c r="Y807" i="1"/>
  <c r="Y766" i="1"/>
  <c r="Y674" i="1"/>
  <c r="Y707" i="1"/>
  <c r="Y767" i="1"/>
  <c r="Y768" i="1"/>
  <c r="Y769" i="1"/>
  <c r="Y770" i="1"/>
  <c r="Y771" i="1"/>
  <c r="Y772" i="1"/>
  <c r="Y679" i="1"/>
  <c r="Y706" i="1"/>
  <c r="Y808" i="1"/>
  <c r="Y809" i="1"/>
  <c r="Y773" i="1"/>
  <c r="Y774" i="1"/>
  <c r="Y670" i="1"/>
  <c r="Y701" i="1"/>
  <c r="Y775" i="1"/>
  <c r="Y684" i="1"/>
  <c r="Y776" i="1"/>
  <c r="Y777" i="1"/>
  <c r="Y656" i="1"/>
  <c r="Y686" i="1"/>
  <c r="Y660" i="1"/>
  <c r="Y810" i="1"/>
  <c r="Y778" i="1"/>
  <c r="Y649" i="1"/>
  <c r="Y779" i="1"/>
  <c r="Y811" i="1"/>
  <c r="Y780" i="1"/>
  <c r="Y716" i="1"/>
  <c r="Y812" i="1"/>
  <c r="Y781" i="1"/>
  <c r="Y782" i="1"/>
  <c r="Y783" i="1"/>
  <c r="Y683" i="1"/>
  <c r="Y693" i="1"/>
  <c r="Y784" i="1"/>
  <c r="Y646" i="1"/>
  <c r="Y687" i="1"/>
  <c r="Y703" i="1"/>
  <c r="Y785" i="1"/>
  <c r="Y667" i="1"/>
  <c r="Y786" i="1"/>
  <c r="Y787" i="1"/>
  <c r="Y645" i="1"/>
  <c r="Y788" i="1"/>
  <c r="Y664" i="1"/>
  <c r="Y789" i="1"/>
  <c r="Y790" i="1"/>
  <c r="Y791" i="1"/>
  <c r="Y792" i="1"/>
  <c r="Y793" i="1"/>
  <c r="Y816" i="1"/>
  <c r="Y817" i="1"/>
  <c r="Y702" i="1"/>
  <c r="Y681" i="1"/>
  <c r="Y814" i="1"/>
  <c r="Y813" i="1"/>
  <c r="Y818" i="1"/>
  <c r="Y815" i="1"/>
  <c r="Y727" i="1"/>
  <c r="Y689" i="1"/>
  <c r="Y819" i="1"/>
  <c r="Y654" i="1"/>
  <c r="Y639" i="1"/>
  <c r="Y1250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3" i="1"/>
  <c r="Y844" i="1"/>
  <c r="Y846" i="1"/>
  <c r="Y848" i="1"/>
  <c r="Y849" i="1"/>
  <c r="Y842" i="1"/>
  <c r="Y845" i="1"/>
  <c r="Y850" i="1"/>
  <c r="Y847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3" i="1"/>
  <c r="Y1154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80" i="1"/>
  <c r="Y1181" i="1"/>
  <c r="Y1182" i="1"/>
  <c r="Y1183" i="1"/>
  <c r="Y1184" i="1"/>
  <c r="Y1185" i="1"/>
  <c r="Y1186" i="1"/>
  <c r="Y1187" i="1"/>
  <c r="Y1188" i="1"/>
  <c r="Y1189" i="1"/>
  <c r="Y1190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4" i="1"/>
  <c r="Y1226" i="1"/>
  <c r="Y1228" i="1"/>
  <c r="Y1229" i="1"/>
  <c r="Y1230" i="1"/>
  <c r="Y1231" i="1"/>
  <c r="Y1232" i="1"/>
  <c r="Y1233" i="1"/>
  <c r="Y1234" i="1"/>
  <c r="Y1235" i="1"/>
  <c r="Y1236" i="1"/>
  <c r="Y1238" i="1"/>
  <c r="Y1239" i="1"/>
  <c r="Y1240" i="1"/>
  <c r="Y1241" i="1"/>
  <c r="Y1243" i="1"/>
  <c r="Y1245" i="1"/>
  <c r="Y1246" i="1"/>
  <c r="Y1247" i="1"/>
  <c r="Y1248" i="1"/>
  <c r="Y1249" i="1"/>
  <c r="Y869" i="1"/>
  <c r="Y942" i="1"/>
  <c r="Y1050" i="1"/>
  <c r="Y1100" i="1"/>
  <c r="Y1152" i="1"/>
  <c r="Y1155" i="1"/>
  <c r="Y1179" i="1"/>
  <c r="Y1191" i="1"/>
  <c r="Y1207" i="1"/>
  <c r="Y1208" i="1"/>
  <c r="Y1223" i="1"/>
  <c r="Y1225" i="1"/>
  <c r="Y1227" i="1"/>
  <c r="Y1237" i="1"/>
  <c r="Y1242" i="1"/>
  <c r="Y1244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30" i="1"/>
  <c r="X32" i="1"/>
  <c r="X34" i="1"/>
  <c r="X33" i="1"/>
  <c r="X35" i="1"/>
  <c r="X36" i="1"/>
  <c r="X37" i="1"/>
  <c r="X38" i="1"/>
  <c r="X39" i="1"/>
  <c r="X40" i="1"/>
  <c r="X41" i="1"/>
  <c r="X42" i="1"/>
  <c r="X43" i="1"/>
  <c r="X44" i="1"/>
  <c r="X45" i="1"/>
  <c r="X47" i="1"/>
  <c r="X46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8" i="1"/>
  <c r="X69" i="1"/>
  <c r="X70" i="1"/>
  <c r="X71" i="1"/>
  <c r="X72" i="1"/>
  <c r="X73" i="1"/>
  <c r="X74" i="1"/>
  <c r="X75" i="1"/>
  <c r="X76" i="1"/>
  <c r="X78" i="1"/>
  <c r="X77" i="1"/>
  <c r="X79" i="1"/>
  <c r="X80" i="1"/>
  <c r="X81" i="1"/>
  <c r="X82" i="1"/>
  <c r="X83" i="1"/>
  <c r="X84" i="1"/>
  <c r="X87" i="1"/>
  <c r="X86" i="1"/>
  <c r="X89" i="1"/>
  <c r="X88" i="1"/>
  <c r="X90" i="1"/>
  <c r="X91" i="1"/>
  <c r="X92" i="1"/>
  <c r="X93" i="1"/>
  <c r="X94" i="1"/>
  <c r="X97" i="1"/>
  <c r="X95" i="1"/>
  <c r="X96" i="1"/>
  <c r="X99" i="1"/>
  <c r="X100" i="1"/>
  <c r="X103" i="1"/>
  <c r="X101" i="1"/>
  <c r="X102" i="1"/>
  <c r="X104" i="1"/>
  <c r="X105" i="1"/>
  <c r="X106" i="1"/>
  <c r="X107" i="1"/>
  <c r="X108" i="1"/>
  <c r="X109" i="1"/>
  <c r="X110" i="1"/>
  <c r="X111" i="1"/>
  <c r="X113" i="1"/>
  <c r="X115" i="1"/>
  <c r="X114" i="1"/>
  <c r="X117" i="1"/>
  <c r="X116" i="1"/>
  <c r="X118" i="1"/>
  <c r="X121" i="1"/>
  <c r="X119" i="1"/>
  <c r="X122" i="1"/>
  <c r="X123" i="1"/>
  <c r="X124" i="1"/>
  <c r="X125" i="1"/>
  <c r="X126" i="1"/>
  <c r="X127" i="1"/>
  <c r="X129" i="1"/>
  <c r="X128" i="1"/>
  <c r="X131" i="1"/>
  <c r="X132" i="1"/>
  <c r="X134" i="1"/>
  <c r="X135" i="1"/>
  <c r="X133" i="1"/>
  <c r="X137" i="1"/>
  <c r="X138" i="1"/>
  <c r="X139" i="1"/>
  <c r="X140" i="1"/>
  <c r="X141" i="1"/>
  <c r="X142" i="1"/>
  <c r="X144" i="1"/>
  <c r="X143" i="1"/>
  <c r="X145" i="1"/>
  <c r="X146" i="1"/>
  <c r="X147" i="1"/>
  <c r="X148" i="1"/>
  <c r="X149" i="1"/>
  <c r="X151" i="1"/>
  <c r="X150" i="1"/>
  <c r="X152" i="1"/>
  <c r="X153" i="1"/>
  <c r="X154" i="1"/>
  <c r="X156" i="1"/>
  <c r="X155" i="1"/>
  <c r="X158" i="1"/>
  <c r="X157" i="1"/>
  <c r="X160" i="1"/>
  <c r="X159" i="1"/>
  <c r="X164" i="1"/>
  <c r="X167" i="1"/>
  <c r="X166" i="1"/>
  <c r="X165" i="1"/>
  <c r="X168" i="1"/>
  <c r="X170" i="1"/>
  <c r="X169" i="1"/>
  <c r="X172" i="1"/>
  <c r="X173" i="1"/>
  <c r="X175" i="1"/>
  <c r="X176" i="1"/>
  <c r="X177" i="1"/>
  <c r="X179" i="1"/>
  <c r="X180" i="1"/>
  <c r="X183" i="1"/>
  <c r="X184" i="1"/>
  <c r="X186" i="1"/>
  <c r="X187" i="1"/>
  <c r="X188" i="1"/>
  <c r="X191" i="1"/>
  <c r="X192" i="1"/>
  <c r="X194" i="1"/>
  <c r="X195" i="1"/>
  <c r="X198" i="1"/>
  <c r="X199" i="1"/>
  <c r="X197" i="1"/>
  <c r="X200" i="1"/>
  <c r="X204" i="1"/>
  <c r="X205" i="1"/>
  <c r="X202" i="1"/>
  <c r="X209" i="1"/>
  <c r="X210" i="1"/>
  <c r="X212" i="1"/>
  <c r="X213" i="1"/>
  <c r="X215" i="1"/>
  <c r="X216" i="1"/>
  <c r="X217" i="1"/>
  <c r="X218" i="1"/>
  <c r="X219" i="1"/>
  <c r="X223" i="1"/>
  <c r="X222" i="1"/>
  <c r="X221" i="1"/>
  <c r="X224" i="1"/>
  <c r="X226" i="1"/>
  <c r="X228" i="1"/>
  <c r="X230" i="1"/>
  <c r="X232" i="1"/>
  <c r="X231" i="1"/>
  <c r="X235" i="1"/>
  <c r="X236" i="1"/>
  <c r="X29" i="1"/>
  <c r="X31" i="1"/>
  <c r="X85" i="1"/>
  <c r="X120" i="1"/>
  <c r="X130" i="1"/>
  <c r="X136" i="1"/>
  <c r="X161" i="1"/>
  <c r="X163" i="1"/>
  <c r="X162" i="1"/>
  <c r="X171" i="1"/>
  <c r="X174" i="1"/>
  <c r="X178" i="1"/>
  <c r="X182" i="1"/>
  <c r="X181" i="1"/>
  <c r="X185" i="1"/>
  <c r="X190" i="1"/>
  <c r="X189" i="1"/>
  <c r="X193" i="1"/>
  <c r="X196" i="1"/>
  <c r="X203" i="1"/>
  <c r="X208" i="1"/>
  <c r="X214" i="1"/>
  <c r="X220" i="1"/>
  <c r="X225" i="1"/>
  <c r="X233" i="1"/>
  <c r="X234" i="1"/>
  <c r="X246" i="1"/>
  <c r="X242" i="1"/>
  <c r="X251" i="1"/>
  <c r="X237" i="1"/>
  <c r="X249" i="1"/>
  <c r="X254" i="1"/>
  <c r="X244" i="1"/>
  <c r="X255" i="1"/>
  <c r="X248" i="1"/>
  <c r="X256" i="1"/>
  <c r="X252" i="1"/>
  <c r="X241" i="1"/>
  <c r="X239" i="1"/>
  <c r="X257" i="1"/>
  <c r="X250" i="1"/>
  <c r="X258" i="1"/>
  <c r="X240" i="1"/>
  <c r="X247" i="1"/>
  <c r="X259" i="1"/>
  <c r="X238" i="1"/>
  <c r="X284" i="1"/>
  <c r="X278" i="1"/>
  <c r="X287" i="1"/>
  <c r="X280" i="1"/>
  <c r="X273" i="1"/>
  <c r="X268" i="1"/>
  <c r="X279" i="1"/>
  <c r="X289" i="1"/>
  <c r="X281" i="1"/>
  <c r="X274" i="1"/>
  <c r="X269" i="1"/>
  <c r="X270" i="1"/>
  <c r="X271" i="1"/>
  <c r="X290" i="1"/>
  <c r="X291" i="1"/>
  <c r="X272" i="1"/>
  <c r="X277" i="1"/>
  <c r="X312" i="1"/>
  <c r="X316" i="1"/>
  <c r="X314" i="1"/>
  <c r="X292" i="1"/>
  <c r="X302" i="1"/>
  <c r="X317" i="1"/>
  <c r="X303" i="1"/>
  <c r="X304" i="1"/>
  <c r="X313" i="1"/>
  <c r="X318" i="1"/>
  <c r="X307" i="1"/>
  <c r="X309" i="1"/>
  <c r="X298" i="1"/>
  <c r="X306" i="1"/>
  <c r="X294" i="1"/>
  <c r="X293" i="1"/>
  <c r="X300" i="1"/>
  <c r="X308" i="1"/>
  <c r="X310" i="1"/>
  <c r="X301" i="1"/>
  <c r="X296" i="1"/>
  <c r="X347" i="1"/>
  <c r="X335" i="1"/>
  <c r="X328" i="1"/>
  <c r="X346" i="1"/>
  <c r="X327" i="1"/>
  <c r="X350" i="1"/>
  <c r="X344" i="1"/>
  <c r="X351" i="1"/>
  <c r="X352" i="1"/>
  <c r="X353" i="1"/>
  <c r="X354" i="1"/>
  <c r="X336" i="1"/>
  <c r="X342" i="1"/>
  <c r="X337" i="1"/>
  <c r="X340" i="1"/>
  <c r="X329" i="1"/>
  <c r="X333" i="1"/>
  <c r="X330" i="1"/>
  <c r="X341" i="1"/>
  <c r="X332" i="1"/>
  <c r="X343" i="1"/>
  <c r="X338" i="1"/>
  <c r="X404" i="1"/>
  <c r="X385" i="1"/>
  <c r="X398" i="1"/>
  <c r="X421" i="1"/>
  <c r="X417" i="1"/>
  <c r="X418" i="1"/>
  <c r="X375" i="1"/>
  <c r="X389" i="1"/>
  <c r="X401" i="1"/>
  <c r="X393" i="1"/>
  <c r="X409" i="1"/>
  <c r="X357" i="1"/>
  <c r="X366" i="1"/>
  <c r="X372" i="1"/>
  <c r="X423" i="1"/>
  <c r="X403" i="1"/>
  <c r="X384" i="1"/>
  <c r="X358" i="1"/>
  <c r="X360" i="1"/>
  <c r="X413" i="1"/>
  <c r="X424" i="1"/>
  <c r="X391" i="1"/>
  <c r="X402" i="1"/>
  <c r="X394" i="1"/>
  <c r="X382" i="1"/>
  <c r="X383" i="1"/>
  <c r="X407" i="1"/>
  <c r="X359" i="1"/>
  <c r="X377" i="1"/>
  <c r="X376" i="1"/>
  <c r="X361" i="1"/>
  <c r="X399" i="1"/>
  <c r="X392" i="1"/>
  <c r="X427" i="1"/>
  <c r="X373" i="1"/>
  <c r="X368" i="1"/>
  <c r="X428" i="1"/>
  <c r="X410" i="1"/>
  <c r="X397" i="1"/>
  <c r="X388" i="1"/>
  <c r="X405" i="1"/>
  <c r="X371" i="1"/>
  <c r="X416" i="1"/>
  <c r="X386" i="1"/>
  <c r="X387" i="1"/>
  <c r="X365" i="1"/>
  <c r="X430" i="1"/>
  <c r="X470" i="1"/>
  <c r="X451" i="1"/>
  <c r="X447" i="1"/>
  <c r="X458" i="1"/>
  <c r="X459" i="1"/>
  <c r="X446" i="1"/>
  <c r="X448" i="1"/>
  <c r="X460" i="1"/>
  <c r="X444" i="1"/>
  <c r="X468" i="1"/>
  <c r="X433" i="1"/>
  <c r="X435" i="1"/>
  <c r="X432" i="1"/>
  <c r="X436" i="1"/>
  <c r="X462" i="1"/>
  <c r="X479" i="1"/>
  <c r="X472" i="1"/>
  <c r="X469" i="1"/>
  <c r="X452" i="1"/>
  <c r="X461" i="1"/>
  <c r="X475" i="1"/>
  <c r="X454" i="1"/>
  <c r="X477" i="1"/>
  <c r="X456" i="1"/>
  <c r="X476" i="1"/>
  <c r="X464" i="1"/>
  <c r="X480" i="1"/>
  <c r="X465" i="1"/>
  <c r="X439" i="1"/>
  <c r="X455" i="1"/>
  <c r="X443" i="1"/>
  <c r="X441" i="1"/>
  <c r="X434" i="1"/>
  <c r="X467" i="1"/>
  <c r="X473" i="1"/>
  <c r="X457" i="1"/>
  <c r="X437" i="1"/>
  <c r="X450" i="1"/>
  <c r="X463" i="1"/>
  <c r="X466" i="1"/>
  <c r="X481" i="1"/>
  <c r="X474" i="1"/>
  <c r="X471" i="1"/>
  <c r="X442" i="1"/>
  <c r="X453" i="1"/>
  <c r="X438" i="1"/>
  <c r="X445" i="1"/>
  <c r="X449" i="1"/>
  <c r="X431" i="1"/>
  <c r="X440" i="1"/>
  <c r="X478" i="1"/>
  <c r="X98" i="1"/>
  <c r="X206" i="1"/>
  <c r="X245" i="1"/>
  <c r="X253" i="1"/>
  <c r="X243" i="1"/>
  <c r="X286" i="1"/>
  <c r="X283" i="1"/>
  <c r="X288" i="1"/>
  <c r="X275" i="1"/>
  <c r="X267" i="1"/>
  <c r="X285" i="1"/>
  <c r="X299" i="1"/>
  <c r="X305" i="1"/>
  <c r="X348" i="1"/>
  <c r="X334" i="1"/>
  <c r="X356" i="1"/>
  <c r="X331" i="1"/>
  <c r="X363" i="1"/>
  <c r="X420" i="1"/>
  <c r="X374" i="1"/>
  <c r="X414" i="1"/>
  <c r="X364" i="1"/>
  <c r="X362" i="1"/>
  <c r="X396" i="1"/>
  <c r="X400" i="1"/>
  <c r="X380" i="1"/>
  <c r="X406" i="1"/>
  <c r="X378" i="1"/>
  <c r="X497" i="1"/>
  <c r="X508" i="1"/>
  <c r="X488" i="1"/>
  <c r="X511" i="1"/>
  <c r="X482" i="1"/>
  <c r="X492" i="1"/>
  <c r="X486" i="1"/>
  <c r="X499" i="1"/>
  <c r="X495" i="1"/>
  <c r="X500" i="1"/>
  <c r="X516" i="1"/>
  <c r="X517" i="1"/>
  <c r="X501" i="1"/>
  <c r="X282" i="1"/>
  <c r="X297" i="1"/>
  <c r="X319" i="1"/>
  <c r="X345" i="1"/>
  <c r="X411" i="1"/>
  <c r="X506" i="1"/>
  <c r="X483" i="1"/>
  <c r="X487" i="1"/>
  <c r="X496" i="1"/>
  <c r="X493" i="1"/>
  <c r="X490" i="1"/>
  <c r="X484" i="1"/>
  <c r="X489" i="1"/>
  <c r="X513" i="1"/>
  <c r="X67" i="1"/>
  <c r="X201" i="1"/>
  <c r="X211" i="1"/>
  <c r="X276" i="1"/>
  <c r="X315" i="1"/>
  <c r="X311" i="1"/>
  <c r="X295" i="1"/>
  <c r="X339" i="1"/>
  <c r="X349" i="1"/>
  <c r="X355" i="1"/>
  <c r="X395" i="1"/>
  <c r="X419" i="1"/>
  <c r="X426" i="1"/>
  <c r="X381" i="1"/>
  <c r="X370" i="1"/>
  <c r="X491" i="1"/>
  <c r="X503" i="1"/>
  <c r="X498" i="1"/>
  <c r="X485" i="1"/>
  <c r="X512" i="1"/>
  <c r="X505" i="1"/>
  <c r="X519" i="1"/>
  <c r="X112" i="1"/>
  <c r="X207" i="1"/>
  <c r="X227" i="1"/>
  <c r="X229" i="1"/>
  <c r="X263" i="1"/>
  <c r="X261" i="1"/>
  <c r="X264" i="1"/>
  <c r="X260" i="1"/>
  <c r="X265" i="1"/>
  <c r="X266" i="1"/>
  <c r="X262" i="1"/>
  <c r="X320" i="1"/>
  <c r="X322" i="1"/>
  <c r="X325" i="1"/>
  <c r="X323" i="1"/>
  <c r="X324" i="1"/>
  <c r="X321" i="1"/>
  <c r="X326" i="1"/>
  <c r="X415" i="1"/>
  <c r="X379" i="1"/>
  <c r="X412" i="1"/>
  <c r="X422" i="1"/>
  <c r="X369" i="1"/>
  <c r="X367" i="1"/>
  <c r="X408" i="1"/>
  <c r="X390" i="1"/>
  <c r="X425" i="1"/>
  <c r="X429" i="1"/>
  <c r="X504" i="1"/>
  <c r="X515" i="1"/>
  <c r="X502" i="1"/>
  <c r="X507" i="1"/>
  <c r="X494" i="1"/>
  <c r="X510" i="1"/>
  <c r="X514" i="1"/>
  <c r="X509" i="1"/>
  <c r="X518" i="1"/>
  <c r="X549" i="1"/>
  <c r="X550" i="1"/>
  <c r="X531" i="1"/>
  <c r="X551" i="1"/>
  <c r="X552" i="1"/>
  <c r="X540" i="1"/>
  <c r="X524" i="1"/>
  <c r="X530" i="1"/>
  <c r="X520" i="1"/>
  <c r="X525" i="1"/>
  <c r="X545" i="1"/>
  <c r="X532" i="1"/>
  <c r="X541" i="1"/>
  <c r="X522" i="1"/>
  <c r="X542" i="1"/>
  <c r="X538" i="1"/>
  <c r="X539" i="1"/>
  <c r="X548" i="1"/>
  <c r="X561" i="1"/>
  <c r="X553" i="1"/>
  <c r="X547" i="1"/>
  <c r="X543" i="1"/>
  <c r="X537" i="1"/>
  <c r="X521" i="1"/>
  <c r="X554" i="1"/>
  <c r="X534" i="1"/>
  <c r="X544" i="1"/>
  <c r="X533" i="1"/>
  <c r="X557" i="1"/>
  <c r="X555" i="1"/>
  <c r="X536" i="1"/>
  <c r="X526" i="1"/>
  <c r="X546" i="1"/>
  <c r="X562" i="1"/>
  <c r="X563" i="1"/>
  <c r="X528" i="1"/>
  <c r="X527" i="1"/>
  <c r="X556" i="1"/>
  <c r="X535" i="1"/>
  <c r="X529" i="1"/>
  <c r="X558" i="1"/>
  <c r="X559" i="1"/>
  <c r="X560" i="1"/>
  <c r="X564" i="1"/>
  <c r="X523" i="1"/>
  <c r="X581" i="1"/>
  <c r="X612" i="1"/>
  <c r="X629" i="1"/>
  <c r="X613" i="1"/>
  <c r="X580" i="1"/>
  <c r="X614" i="1"/>
  <c r="X568" i="1"/>
  <c r="X600" i="1"/>
  <c r="X590" i="1"/>
  <c r="X630" i="1"/>
  <c r="X582" i="1"/>
  <c r="X615" i="1"/>
  <c r="X574" i="1"/>
  <c r="X597" i="1"/>
  <c r="X604" i="1"/>
  <c r="X599" i="1"/>
  <c r="X616" i="1"/>
  <c r="X593" i="1"/>
  <c r="X617" i="1"/>
  <c r="X566" i="1"/>
  <c r="X575" i="1"/>
  <c r="X596" i="1"/>
  <c r="X572" i="1"/>
  <c r="X618" i="1"/>
  <c r="X609" i="1"/>
  <c r="X576" i="1"/>
  <c r="X601" i="1"/>
  <c r="X588" i="1"/>
  <c r="X611" i="1"/>
  <c r="X602" i="1"/>
  <c r="X605" i="1"/>
  <c r="X598" i="1"/>
  <c r="X591" i="1"/>
  <c r="X587" i="1"/>
  <c r="X619" i="1"/>
  <c r="X620" i="1"/>
  <c r="X607" i="1"/>
  <c r="X589" i="1"/>
  <c r="X577" i="1"/>
  <c r="X608" i="1"/>
  <c r="X621" i="1"/>
  <c r="X565" i="1"/>
  <c r="X622" i="1"/>
  <c r="X583" i="1"/>
  <c r="X623" i="1"/>
  <c r="X624" i="1"/>
  <c r="X592" i="1"/>
  <c r="X585" i="1"/>
  <c r="X573" i="1"/>
  <c r="X625" i="1"/>
  <c r="X603" i="1"/>
  <c r="X578" i="1"/>
  <c r="X586" i="1"/>
  <c r="X567" i="1"/>
  <c r="X584" i="1"/>
  <c r="X570" i="1"/>
  <c r="X628" i="1"/>
  <c r="X626" i="1"/>
  <c r="X579" i="1"/>
  <c r="X627" i="1"/>
  <c r="X606" i="1"/>
  <c r="X594" i="1"/>
  <c r="X571" i="1"/>
  <c r="X595" i="1"/>
  <c r="X569" i="1"/>
  <c r="X631" i="1"/>
  <c r="X610" i="1"/>
  <c r="X632" i="1"/>
  <c r="X633" i="1"/>
  <c r="X720" i="1"/>
  <c r="X730" i="1"/>
  <c r="X676" i="1"/>
  <c r="X653" i="1"/>
  <c r="X704" i="1"/>
  <c r="X731" i="1"/>
  <c r="X732" i="1"/>
  <c r="X733" i="1"/>
  <c r="X734" i="1"/>
  <c r="X735" i="1"/>
  <c r="X736" i="1"/>
  <c r="X794" i="1"/>
  <c r="X657" i="1"/>
  <c r="X737" i="1"/>
  <c r="X738" i="1"/>
  <c r="X739" i="1"/>
  <c r="X740" i="1"/>
  <c r="X698" i="1"/>
  <c r="X741" i="1"/>
  <c r="X695" i="1"/>
  <c r="X742" i="1"/>
  <c r="X694" i="1"/>
  <c r="X712" i="1"/>
  <c r="X700" i="1"/>
  <c r="X723" i="1"/>
  <c r="X696" i="1"/>
  <c r="X691" i="1"/>
  <c r="X711" i="1"/>
  <c r="X743" i="1"/>
  <c r="X699" i="1"/>
  <c r="X795" i="1"/>
  <c r="X721" i="1"/>
  <c r="X796" i="1"/>
  <c r="X669" i="1"/>
  <c r="X717" i="1"/>
  <c r="X724" i="1"/>
  <c r="X710" i="1"/>
  <c r="X641" i="1"/>
  <c r="X715" i="1"/>
  <c r="X744" i="1"/>
  <c r="X643" i="1"/>
  <c r="X697" i="1"/>
  <c r="X642" i="1"/>
  <c r="X637" i="1"/>
  <c r="X682" i="1"/>
  <c r="X673" i="1"/>
  <c r="X685" i="1"/>
  <c r="X745" i="1"/>
  <c r="X634" i="1"/>
  <c r="X680" i="1"/>
  <c r="X651" i="1"/>
  <c r="X797" i="1"/>
  <c r="X746" i="1"/>
  <c r="X663" i="1"/>
  <c r="X690" i="1"/>
  <c r="X640" i="1"/>
  <c r="X747" i="1"/>
  <c r="X725" i="1"/>
  <c r="X659" i="1"/>
  <c r="X749" i="1"/>
  <c r="X665" i="1"/>
  <c r="X714" i="1"/>
  <c r="X718" i="1"/>
  <c r="X750" i="1"/>
  <c r="X748" i="1"/>
  <c r="X719" i="1"/>
  <c r="X726" i="1"/>
  <c r="X751" i="1"/>
  <c r="X798" i="1"/>
  <c r="X677" i="1"/>
  <c r="X752" i="1"/>
  <c r="X799" i="1"/>
  <c r="X678" i="1"/>
  <c r="X800" i="1"/>
  <c r="X666" i="1"/>
  <c r="X801" i="1"/>
  <c r="X802" i="1"/>
  <c r="X672" i="1"/>
  <c r="X728" i="1"/>
  <c r="X671" i="1"/>
  <c r="X650" i="1"/>
  <c r="X803" i="1"/>
  <c r="X753" i="1"/>
  <c r="X658" i="1"/>
  <c r="X754" i="1"/>
  <c r="X688" i="1"/>
  <c r="X755" i="1"/>
  <c r="X756" i="1"/>
  <c r="X757" i="1"/>
  <c r="X662" i="1"/>
  <c r="X644" i="1"/>
  <c r="X638" i="1"/>
  <c r="X758" i="1"/>
  <c r="X804" i="1"/>
  <c r="X759" i="1"/>
  <c r="X805" i="1"/>
  <c r="X661" i="1"/>
  <c r="X652" i="1"/>
  <c r="X760" i="1"/>
  <c r="X635" i="1"/>
  <c r="X692" i="1"/>
  <c r="X647" i="1"/>
  <c r="X806" i="1"/>
  <c r="X761" i="1"/>
  <c r="X705" i="1"/>
  <c r="X675" i="1"/>
  <c r="X729" i="1"/>
  <c r="X713" i="1"/>
  <c r="X762" i="1"/>
  <c r="X763" i="1"/>
  <c r="X648" i="1"/>
  <c r="X764" i="1"/>
  <c r="X722" i="1"/>
  <c r="X765" i="1"/>
  <c r="X708" i="1"/>
  <c r="X709" i="1"/>
  <c r="X655" i="1"/>
  <c r="X636" i="1"/>
  <c r="X668" i="1"/>
  <c r="X807" i="1"/>
  <c r="X766" i="1"/>
  <c r="X674" i="1"/>
  <c r="X707" i="1"/>
  <c r="X767" i="1"/>
  <c r="X768" i="1"/>
  <c r="X769" i="1"/>
  <c r="X770" i="1"/>
  <c r="X771" i="1"/>
  <c r="X772" i="1"/>
  <c r="X679" i="1"/>
  <c r="X706" i="1"/>
  <c r="X808" i="1"/>
  <c r="X809" i="1"/>
  <c r="X773" i="1"/>
  <c r="X774" i="1"/>
  <c r="X670" i="1"/>
  <c r="X701" i="1"/>
  <c r="X775" i="1"/>
  <c r="X684" i="1"/>
  <c r="X776" i="1"/>
  <c r="X777" i="1"/>
  <c r="X656" i="1"/>
  <c r="X686" i="1"/>
  <c r="X660" i="1"/>
  <c r="X810" i="1"/>
  <c r="X778" i="1"/>
  <c r="X649" i="1"/>
  <c r="X779" i="1"/>
  <c r="X811" i="1"/>
  <c r="X780" i="1"/>
  <c r="X716" i="1"/>
  <c r="X812" i="1"/>
  <c r="X781" i="1"/>
  <c r="X782" i="1"/>
  <c r="X783" i="1"/>
  <c r="X683" i="1"/>
  <c r="X693" i="1"/>
  <c r="X784" i="1"/>
  <c r="X646" i="1"/>
  <c r="X687" i="1"/>
  <c r="X703" i="1"/>
  <c r="X785" i="1"/>
  <c r="X667" i="1"/>
  <c r="X786" i="1"/>
  <c r="X787" i="1"/>
  <c r="X645" i="1"/>
  <c r="X788" i="1"/>
  <c r="X664" i="1"/>
  <c r="X789" i="1"/>
  <c r="X790" i="1"/>
  <c r="X791" i="1"/>
  <c r="X792" i="1"/>
  <c r="X793" i="1"/>
  <c r="X816" i="1"/>
  <c r="X817" i="1"/>
  <c r="X702" i="1"/>
  <c r="X681" i="1"/>
  <c r="X814" i="1"/>
  <c r="X813" i="1"/>
  <c r="X818" i="1"/>
  <c r="X815" i="1"/>
  <c r="X727" i="1"/>
  <c r="X689" i="1"/>
  <c r="X819" i="1"/>
  <c r="X654" i="1"/>
  <c r="X639" i="1"/>
  <c r="X1250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3" i="1"/>
  <c r="X844" i="1"/>
  <c r="X846" i="1"/>
  <c r="X848" i="1"/>
  <c r="X849" i="1"/>
  <c r="X842" i="1"/>
  <c r="X845" i="1"/>
  <c r="X850" i="1"/>
  <c r="X847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3" i="1"/>
  <c r="X1154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80" i="1"/>
  <c r="X1181" i="1"/>
  <c r="X1182" i="1"/>
  <c r="X1183" i="1"/>
  <c r="X1184" i="1"/>
  <c r="X1185" i="1"/>
  <c r="X1186" i="1"/>
  <c r="X1187" i="1"/>
  <c r="X1188" i="1"/>
  <c r="X1189" i="1"/>
  <c r="X1190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4" i="1"/>
  <c r="X1226" i="1"/>
  <c r="X1228" i="1"/>
  <c r="X1229" i="1"/>
  <c r="X1230" i="1"/>
  <c r="X1231" i="1"/>
  <c r="X1232" i="1"/>
  <c r="X1233" i="1"/>
  <c r="X1234" i="1"/>
  <c r="X1235" i="1"/>
  <c r="X1236" i="1"/>
  <c r="X1238" i="1"/>
  <c r="X1239" i="1"/>
  <c r="X1240" i="1"/>
  <c r="X1241" i="1"/>
  <c r="X1243" i="1"/>
  <c r="X1245" i="1"/>
  <c r="X1246" i="1"/>
  <c r="X1247" i="1"/>
  <c r="X1248" i="1"/>
  <c r="X1249" i="1"/>
  <c r="X869" i="1"/>
  <c r="X942" i="1"/>
  <c r="X1050" i="1"/>
  <c r="X1100" i="1"/>
  <c r="X1152" i="1"/>
  <c r="X1155" i="1"/>
  <c r="X1179" i="1"/>
  <c r="X1191" i="1"/>
  <c r="X1207" i="1"/>
  <c r="X1208" i="1"/>
  <c r="X1223" i="1"/>
  <c r="X1225" i="1"/>
  <c r="X1227" i="1"/>
  <c r="X1237" i="1"/>
  <c r="X1242" i="1"/>
  <c r="X1244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30" i="1"/>
  <c r="W32" i="1"/>
  <c r="W34" i="1"/>
  <c r="W33" i="1"/>
  <c r="W35" i="1"/>
  <c r="W36" i="1"/>
  <c r="W37" i="1"/>
  <c r="W38" i="1"/>
  <c r="W39" i="1"/>
  <c r="W40" i="1"/>
  <c r="W41" i="1"/>
  <c r="W42" i="1"/>
  <c r="W43" i="1"/>
  <c r="W44" i="1"/>
  <c r="W45" i="1"/>
  <c r="W47" i="1"/>
  <c r="W46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8" i="1"/>
  <c r="W69" i="1"/>
  <c r="W70" i="1"/>
  <c r="W71" i="1"/>
  <c r="W72" i="1"/>
  <c r="W73" i="1"/>
  <c r="W74" i="1"/>
  <c r="W75" i="1"/>
  <c r="W76" i="1"/>
  <c r="W78" i="1"/>
  <c r="W77" i="1"/>
  <c r="W79" i="1"/>
  <c r="W80" i="1"/>
  <c r="W81" i="1"/>
  <c r="W82" i="1"/>
  <c r="W83" i="1"/>
  <c r="W84" i="1"/>
  <c r="W87" i="1"/>
  <c r="W86" i="1"/>
  <c r="W89" i="1"/>
  <c r="W88" i="1"/>
  <c r="W90" i="1"/>
  <c r="W91" i="1"/>
  <c r="W92" i="1"/>
  <c r="W93" i="1"/>
  <c r="W94" i="1"/>
  <c r="W97" i="1"/>
  <c r="W95" i="1"/>
  <c r="W96" i="1"/>
  <c r="W99" i="1"/>
  <c r="W100" i="1"/>
  <c r="W103" i="1"/>
  <c r="W101" i="1"/>
  <c r="W102" i="1"/>
  <c r="W104" i="1"/>
  <c r="W105" i="1"/>
  <c r="W106" i="1"/>
  <c r="W107" i="1"/>
  <c r="W108" i="1"/>
  <c r="W109" i="1"/>
  <c r="W110" i="1"/>
  <c r="W111" i="1"/>
  <c r="W113" i="1"/>
  <c r="W115" i="1"/>
  <c r="W114" i="1"/>
  <c r="W117" i="1"/>
  <c r="W116" i="1"/>
  <c r="W118" i="1"/>
  <c r="W121" i="1"/>
  <c r="W119" i="1"/>
  <c r="W122" i="1"/>
  <c r="W123" i="1"/>
  <c r="W124" i="1"/>
  <c r="W125" i="1"/>
  <c r="W126" i="1"/>
  <c r="W127" i="1"/>
  <c r="W129" i="1"/>
  <c r="W128" i="1"/>
  <c r="W131" i="1"/>
  <c r="W132" i="1"/>
  <c r="W134" i="1"/>
  <c r="W135" i="1"/>
  <c r="W133" i="1"/>
  <c r="W137" i="1"/>
  <c r="W138" i="1"/>
  <c r="W139" i="1"/>
  <c r="W140" i="1"/>
  <c r="W141" i="1"/>
  <c r="W142" i="1"/>
  <c r="W144" i="1"/>
  <c r="W143" i="1"/>
  <c r="W145" i="1"/>
  <c r="W146" i="1"/>
  <c r="W147" i="1"/>
  <c r="W148" i="1"/>
  <c r="W149" i="1"/>
  <c r="W151" i="1"/>
  <c r="W150" i="1"/>
  <c r="W152" i="1"/>
  <c r="W153" i="1"/>
  <c r="W154" i="1"/>
  <c r="W156" i="1"/>
  <c r="W155" i="1"/>
  <c r="W158" i="1"/>
  <c r="W157" i="1"/>
  <c r="W160" i="1"/>
  <c r="W159" i="1"/>
  <c r="W164" i="1"/>
  <c r="W167" i="1"/>
  <c r="W166" i="1"/>
  <c r="W165" i="1"/>
  <c r="W168" i="1"/>
  <c r="W170" i="1"/>
  <c r="W169" i="1"/>
  <c r="W172" i="1"/>
  <c r="W173" i="1"/>
  <c r="W175" i="1"/>
  <c r="W176" i="1"/>
  <c r="W177" i="1"/>
  <c r="W179" i="1"/>
  <c r="W180" i="1"/>
  <c r="W183" i="1"/>
  <c r="W184" i="1"/>
  <c r="W186" i="1"/>
  <c r="W187" i="1"/>
  <c r="W188" i="1"/>
  <c r="W191" i="1"/>
  <c r="W192" i="1"/>
  <c r="W194" i="1"/>
  <c r="W195" i="1"/>
  <c r="W198" i="1"/>
  <c r="W199" i="1"/>
  <c r="W197" i="1"/>
  <c r="W200" i="1"/>
  <c r="W204" i="1"/>
  <c r="W205" i="1"/>
  <c r="W202" i="1"/>
  <c r="W209" i="1"/>
  <c r="W210" i="1"/>
  <c r="W212" i="1"/>
  <c r="W213" i="1"/>
  <c r="W215" i="1"/>
  <c r="W216" i="1"/>
  <c r="W217" i="1"/>
  <c r="W218" i="1"/>
  <c r="W219" i="1"/>
  <c r="W223" i="1"/>
  <c r="W222" i="1"/>
  <c r="W221" i="1"/>
  <c r="W224" i="1"/>
  <c r="W226" i="1"/>
  <c r="W228" i="1"/>
  <c r="W230" i="1"/>
  <c r="W232" i="1"/>
  <c r="W231" i="1"/>
  <c r="W235" i="1"/>
  <c r="W236" i="1"/>
  <c r="W29" i="1"/>
  <c r="W31" i="1"/>
  <c r="W85" i="1"/>
  <c r="W120" i="1"/>
  <c r="W130" i="1"/>
  <c r="W136" i="1"/>
  <c r="W161" i="1"/>
  <c r="W163" i="1"/>
  <c r="W162" i="1"/>
  <c r="W171" i="1"/>
  <c r="W174" i="1"/>
  <c r="W178" i="1"/>
  <c r="W182" i="1"/>
  <c r="W181" i="1"/>
  <c r="W185" i="1"/>
  <c r="W190" i="1"/>
  <c r="W189" i="1"/>
  <c r="W193" i="1"/>
  <c r="W196" i="1"/>
  <c r="W203" i="1"/>
  <c r="W208" i="1"/>
  <c r="W214" i="1"/>
  <c r="W220" i="1"/>
  <c r="W225" i="1"/>
  <c r="W233" i="1"/>
  <c r="W234" i="1"/>
  <c r="W246" i="1"/>
  <c r="W242" i="1"/>
  <c r="W251" i="1"/>
  <c r="W237" i="1"/>
  <c r="W249" i="1"/>
  <c r="W254" i="1"/>
  <c r="W244" i="1"/>
  <c r="W255" i="1"/>
  <c r="W248" i="1"/>
  <c r="W256" i="1"/>
  <c r="W252" i="1"/>
  <c r="W241" i="1"/>
  <c r="W239" i="1"/>
  <c r="W257" i="1"/>
  <c r="W250" i="1"/>
  <c r="W258" i="1"/>
  <c r="W240" i="1"/>
  <c r="W247" i="1"/>
  <c r="W259" i="1"/>
  <c r="W238" i="1"/>
  <c r="W284" i="1"/>
  <c r="W278" i="1"/>
  <c r="W287" i="1"/>
  <c r="W280" i="1"/>
  <c r="W273" i="1"/>
  <c r="W268" i="1"/>
  <c r="W279" i="1"/>
  <c r="W289" i="1"/>
  <c r="W281" i="1"/>
  <c r="W274" i="1"/>
  <c r="W269" i="1"/>
  <c r="W270" i="1"/>
  <c r="W271" i="1"/>
  <c r="W290" i="1"/>
  <c r="W291" i="1"/>
  <c r="W272" i="1"/>
  <c r="W277" i="1"/>
  <c r="W312" i="1"/>
  <c r="W316" i="1"/>
  <c r="W314" i="1"/>
  <c r="W292" i="1"/>
  <c r="W302" i="1"/>
  <c r="W317" i="1"/>
  <c r="W303" i="1"/>
  <c r="W304" i="1"/>
  <c r="W313" i="1"/>
  <c r="W318" i="1"/>
  <c r="W307" i="1"/>
  <c r="W309" i="1"/>
  <c r="W298" i="1"/>
  <c r="W306" i="1"/>
  <c r="W294" i="1"/>
  <c r="W293" i="1"/>
  <c r="W300" i="1"/>
  <c r="W308" i="1"/>
  <c r="W310" i="1"/>
  <c r="W301" i="1"/>
  <c r="W296" i="1"/>
  <c r="W347" i="1"/>
  <c r="W335" i="1"/>
  <c r="W328" i="1"/>
  <c r="W346" i="1"/>
  <c r="W327" i="1"/>
  <c r="W350" i="1"/>
  <c r="W344" i="1"/>
  <c r="W351" i="1"/>
  <c r="W352" i="1"/>
  <c r="W353" i="1"/>
  <c r="W354" i="1"/>
  <c r="W336" i="1"/>
  <c r="W342" i="1"/>
  <c r="W337" i="1"/>
  <c r="W340" i="1"/>
  <c r="W329" i="1"/>
  <c r="W333" i="1"/>
  <c r="W330" i="1"/>
  <c r="W341" i="1"/>
  <c r="W332" i="1"/>
  <c r="W343" i="1"/>
  <c r="W338" i="1"/>
  <c r="W404" i="1"/>
  <c r="W385" i="1"/>
  <c r="W398" i="1"/>
  <c r="W421" i="1"/>
  <c r="W417" i="1"/>
  <c r="W418" i="1"/>
  <c r="W375" i="1"/>
  <c r="W389" i="1"/>
  <c r="W401" i="1"/>
  <c r="W393" i="1"/>
  <c r="W409" i="1"/>
  <c r="W357" i="1"/>
  <c r="W366" i="1"/>
  <c r="W372" i="1"/>
  <c r="W423" i="1"/>
  <c r="W403" i="1"/>
  <c r="W384" i="1"/>
  <c r="W358" i="1"/>
  <c r="W360" i="1"/>
  <c r="W413" i="1"/>
  <c r="W424" i="1"/>
  <c r="W391" i="1"/>
  <c r="W402" i="1"/>
  <c r="W394" i="1"/>
  <c r="W382" i="1"/>
  <c r="W383" i="1"/>
  <c r="W407" i="1"/>
  <c r="W359" i="1"/>
  <c r="W377" i="1"/>
  <c r="W376" i="1"/>
  <c r="W361" i="1"/>
  <c r="W399" i="1"/>
  <c r="W392" i="1"/>
  <c r="W427" i="1"/>
  <c r="W373" i="1"/>
  <c r="W368" i="1"/>
  <c r="W428" i="1"/>
  <c r="W410" i="1"/>
  <c r="W397" i="1"/>
  <c r="W388" i="1"/>
  <c r="W405" i="1"/>
  <c r="W371" i="1"/>
  <c r="W416" i="1"/>
  <c r="W386" i="1"/>
  <c r="W387" i="1"/>
  <c r="W365" i="1"/>
  <c r="W430" i="1"/>
  <c r="W470" i="1"/>
  <c r="W451" i="1"/>
  <c r="W447" i="1"/>
  <c r="W458" i="1"/>
  <c r="W459" i="1"/>
  <c r="W446" i="1"/>
  <c r="W448" i="1"/>
  <c r="W460" i="1"/>
  <c r="W444" i="1"/>
  <c r="W468" i="1"/>
  <c r="W433" i="1"/>
  <c r="W435" i="1"/>
  <c r="W432" i="1"/>
  <c r="W436" i="1"/>
  <c r="W462" i="1"/>
  <c r="W479" i="1"/>
  <c r="W472" i="1"/>
  <c r="W469" i="1"/>
  <c r="W452" i="1"/>
  <c r="W461" i="1"/>
  <c r="W475" i="1"/>
  <c r="W454" i="1"/>
  <c r="W477" i="1"/>
  <c r="W456" i="1"/>
  <c r="W476" i="1"/>
  <c r="W464" i="1"/>
  <c r="W480" i="1"/>
  <c r="W465" i="1"/>
  <c r="W439" i="1"/>
  <c r="W455" i="1"/>
  <c r="W443" i="1"/>
  <c r="W441" i="1"/>
  <c r="W434" i="1"/>
  <c r="W467" i="1"/>
  <c r="W473" i="1"/>
  <c r="W457" i="1"/>
  <c r="W437" i="1"/>
  <c r="W450" i="1"/>
  <c r="W463" i="1"/>
  <c r="W466" i="1"/>
  <c r="W481" i="1"/>
  <c r="W474" i="1"/>
  <c r="W471" i="1"/>
  <c r="W442" i="1"/>
  <c r="W453" i="1"/>
  <c r="W438" i="1"/>
  <c r="W445" i="1"/>
  <c r="W449" i="1"/>
  <c r="W431" i="1"/>
  <c r="W440" i="1"/>
  <c r="W478" i="1"/>
  <c r="W98" i="1"/>
  <c r="W206" i="1"/>
  <c r="W245" i="1"/>
  <c r="W253" i="1"/>
  <c r="W243" i="1"/>
  <c r="W286" i="1"/>
  <c r="W283" i="1"/>
  <c r="W288" i="1"/>
  <c r="W275" i="1"/>
  <c r="W267" i="1"/>
  <c r="W285" i="1"/>
  <c r="W299" i="1"/>
  <c r="W305" i="1"/>
  <c r="W348" i="1"/>
  <c r="W334" i="1"/>
  <c r="W356" i="1"/>
  <c r="W331" i="1"/>
  <c r="W363" i="1"/>
  <c r="W420" i="1"/>
  <c r="W374" i="1"/>
  <c r="W414" i="1"/>
  <c r="W364" i="1"/>
  <c r="W362" i="1"/>
  <c r="W396" i="1"/>
  <c r="W400" i="1"/>
  <c r="W380" i="1"/>
  <c r="W406" i="1"/>
  <c r="W378" i="1"/>
  <c r="W497" i="1"/>
  <c r="W508" i="1"/>
  <c r="W488" i="1"/>
  <c r="W511" i="1"/>
  <c r="W482" i="1"/>
  <c r="W492" i="1"/>
  <c r="W486" i="1"/>
  <c r="W499" i="1"/>
  <c r="W495" i="1"/>
  <c r="W500" i="1"/>
  <c r="W516" i="1"/>
  <c r="W517" i="1"/>
  <c r="W501" i="1"/>
  <c r="W282" i="1"/>
  <c r="W297" i="1"/>
  <c r="W319" i="1"/>
  <c r="W345" i="1"/>
  <c r="W411" i="1"/>
  <c r="W506" i="1"/>
  <c r="W483" i="1"/>
  <c r="W487" i="1"/>
  <c r="W496" i="1"/>
  <c r="W493" i="1"/>
  <c r="W490" i="1"/>
  <c r="W484" i="1"/>
  <c r="W489" i="1"/>
  <c r="W513" i="1"/>
  <c r="W67" i="1"/>
  <c r="W201" i="1"/>
  <c r="W211" i="1"/>
  <c r="W276" i="1"/>
  <c r="W315" i="1"/>
  <c r="W311" i="1"/>
  <c r="W295" i="1"/>
  <c r="W339" i="1"/>
  <c r="W349" i="1"/>
  <c r="W355" i="1"/>
  <c r="W395" i="1"/>
  <c r="W419" i="1"/>
  <c r="W426" i="1"/>
  <c r="W381" i="1"/>
  <c r="W370" i="1"/>
  <c r="W491" i="1"/>
  <c r="W503" i="1"/>
  <c r="W498" i="1"/>
  <c r="W485" i="1"/>
  <c r="W512" i="1"/>
  <c r="W505" i="1"/>
  <c r="W519" i="1"/>
  <c r="W112" i="1"/>
  <c r="W207" i="1"/>
  <c r="W227" i="1"/>
  <c r="W229" i="1"/>
  <c r="W263" i="1"/>
  <c r="W261" i="1"/>
  <c r="W264" i="1"/>
  <c r="W260" i="1"/>
  <c r="W265" i="1"/>
  <c r="W266" i="1"/>
  <c r="W262" i="1"/>
  <c r="W320" i="1"/>
  <c r="W322" i="1"/>
  <c r="W325" i="1"/>
  <c r="W323" i="1"/>
  <c r="W324" i="1"/>
  <c r="W321" i="1"/>
  <c r="W326" i="1"/>
  <c r="W415" i="1"/>
  <c r="W379" i="1"/>
  <c r="W412" i="1"/>
  <c r="W422" i="1"/>
  <c r="W369" i="1"/>
  <c r="W367" i="1"/>
  <c r="W408" i="1"/>
  <c r="W390" i="1"/>
  <c r="W425" i="1"/>
  <c r="W429" i="1"/>
  <c r="W504" i="1"/>
  <c r="W515" i="1"/>
  <c r="W502" i="1"/>
  <c r="W507" i="1"/>
  <c r="W494" i="1"/>
  <c r="W510" i="1"/>
  <c r="W514" i="1"/>
  <c r="W509" i="1"/>
  <c r="W518" i="1"/>
  <c r="W549" i="1"/>
  <c r="W550" i="1"/>
  <c r="W531" i="1"/>
  <c r="W551" i="1"/>
  <c r="W552" i="1"/>
  <c r="W540" i="1"/>
  <c r="W524" i="1"/>
  <c r="W530" i="1"/>
  <c r="W520" i="1"/>
  <c r="W525" i="1"/>
  <c r="W545" i="1"/>
  <c r="W532" i="1"/>
  <c r="W541" i="1"/>
  <c r="W522" i="1"/>
  <c r="W542" i="1"/>
  <c r="W538" i="1"/>
  <c r="W539" i="1"/>
  <c r="W548" i="1"/>
  <c r="W561" i="1"/>
  <c r="W553" i="1"/>
  <c r="W547" i="1"/>
  <c r="W543" i="1"/>
  <c r="W537" i="1"/>
  <c r="W521" i="1"/>
  <c r="W554" i="1"/>
  <c r="W534" i="1"/>
  <c r="W544" i="1"/>
  <c r="W533" i="1"/>
  <c r="W557" i="1"/>
  <c r="W555" i="1"/>
  <c r="W536" i="1"/>
  <c r="W526" i="1"/>
  <c r="W546" i="1"/>
  <c r="W562" i="1"/>
  <c r="W563" i="1"/>
  <c r="W528" i="1"/>
  <c r="W527" i="1"/>
  <c r="W556" i="1"/>
  <c r="W535" i="1"/>
  <c r="W529" i="1"/>
  <c r="W558" i="1"/>
  <c r="W559" i="1"/>
  <c r="W560" i="1"/>
  <c r="W564" i="1"/>
  <c r="W523" i="1"/>
  <c r="W581" i="1"/>
  <c r="W612" i="1"/>
  <c r="W629" i="1"/>
  <c r="W613" i="1"/>
  <c r="W580" i="1"/>
  <c r="W614" i="1"/>
  <c r="W568" i="1"/>
  <c r="W600" i="1"/>
  <c r="W590" i="1"/>
  <c r="W630" i="1"/>
  <c r="W582" i="1"/>
  <c r="W615" i="1"/>
  <c r="W574" i="1"/>
  <c r="W597" i="1"/>
  <c r="W604" i="1"/>
  <c r="W599" i="1"/>
  <c r="W616" i="1"/>
  <c r="W593" i="1"/>
  <c r="W617" i="1"/>
  <c r="W566" i="1"/>
  <c r="W575" i="1"/>
  <c r="W596" i="1"/>
  <c r="W572" i="1"/>
  <c r="W618" i="1"/>
  <c r="W609" i="1"/>
  <c r="W576" i="1"/>
  <c r="W601" i="1"/>
  <c r="W588" i="1"/>
  <c r="W611" i="1"/>
  <c r="W602" i="1"/>
  <c r="W605" i="1"/>
  <c r="W598" i="1"/>
  <c r="W591" i="1"/>
  <c r="W587" i="1"/>
  <c r="W619" i="1"/>
  <c r="W620" i="1"/>
  <c r="W607" i="1"/>
  <c r="W589" i="1"/>
  <c r="W577" i="1"/>
  <c r="W608" i="1"/>
  <c r="W621" i="1"/>
  <c r="W565" i="1"/>
  <c r="W622" i="1"/>
  <c r="W583" i="1"/>
  <c r="W623" i="1"/>
  <c r="W624" i="1"/>
  <c r="W592" i="1"/>
  <c r="W585" i="1"/>
  <c r="W573" i="1"/>
  <c r="W625" i="1"/>
  <c r="W603" i="1"/>
  <c r="W578" i="1"/>
  <c r="W586" i="1"/>
  <c r="W567" i="1"/>
  <c r="W584" i="1"/>
  <c r="W570" i="1"/>
  <c r="W628" i="1"/>
  <c r="W626" i="1"/>
  <c r="W579" i="1"/>
  <c r="W627" i="1"/>
  <c r="W606" i="1"/>
  <c r="W594" i="1"/>
  <c r="W571" i="1"/>
  <c r="W595" i="1"/>
  <c r="W569" i="1"/>
  <c r="W631" i="1"/>
  <c r="W610" i="1"/>
  <c r="W632" i="1"/>
  <c r="W633" i="1"/>
  <c r="W720" i="1"/>
  <c r="W730" i="1"/>
  <c r="W676" i="1"/>
  <c r="W653" i="1"/>
  <c r="W704" i="1"/>
  <c r="W731" i="1"/>
  <c r="W732" i="1"/>
  <c r="W733" i="1"/>
  <c r="W734" i="1"/>
  <c r="W735" i="1"/>
  <c r="W736" i="1"/>
  <c r="W794" i="1"/>
  <c r="W657" i="1"/>
  <c r="W737" i="1"/>
  <c r="W738" i="1"/>
  <c r="W739" i="1"/>
  <c r="W740" i="1"/>
  <c r="W698" i="1"/>
  <c r="W741" i="1"/>
  <c r="W695" i="1"/>
  <c r="W742" i="1"/>
  <c r="W694" i="1"/>
  <c r="W712" i="1"/>
  <c r="W700" i="1"/>
  <c r="W723" i="1"/>
  <c r="W696" i="1"/>
  <c r="W691" i="1"/>
  <c r="W711" i="1"/>
  <c r="W743" i="1"/>
  <c r="W699" i="1"/>
  <c r="W795" i="1"/>
  <c r="W721" i="1"/>
  <c r="W796" i="1"/>
  <c r="W669" i="1"/>
  <c r="W717" i="1"/>
  <c r="W724" i="1"/>
  <c r="W710" i="1"/>
  <c r="W641" i="1"/>
  <c r="W715" i="1"/>
  <c r="W744" i="1"/>
  <c r="W643" i="1"/>
  <c r="W697" i="1"/>
  <c r="W642" i="1"/>
  <c r="W637" i="1"/>
  <c r="W682" i="1"/>
  <c r="W673" i="1"/>
  <c r="W685" i="1"/>
  <c r="W745" i="1"/>
  <c r="W634" i="1"/>
  <c r="W680" i="1"/>
  <c r="W651" i="1"/>
  <c r="W797" i="1"/>
  <c r="W746" i="1"/>
  <c r="W663" i="1"/>
  <c r="W690" i="1"/>
  <c r="W640" i="1"/>
  <c r="W747" i="1"/>
  <c r="W725" i="1"/>
  <c r="W659" i="1"/>
  <c r="W749" i="1"/>
  <c r="W665" i="1"/>
  <c r="W714" i="1"/>
  <c r="W718" i="1"/>
  <c r="W750" i="1"/>
  <c r="W748" i="1"/>
  <c r="W719" i="1"/>
  <c r="W726" i="1"/>
  <c r="W751" i="1"/>
  <c r="W798" i="1"/>
  <c r="W677" i="1"/>
  <c r="W752" i="1"/>
  <c r="W799" i="1"/>
  <c r="W678" i="1"/>
  <c r="W800" i="1"/>
  <c r="W666" i="1"/>
  <c r="W801" i="1"/>
  <c r="W802" i="1"/>
  <c r="W672" i="1"/>
  <c r="W728" i="1"/>
  <c r="W671" i="1"/>
  <c r="W650" i="1"/>
  <c r="W803" i="1"/>
  <c r="W753" i="1"/>
  <c r="W658" i="1"/>
  <c r="W754" i="1"/>
  <c r="W688" i="1"/>
  <c r="W755" i="1"/>
  <c r="W756" i="1"/>
  <c r="W757" i="1"/>
  <c r="W662" i="1"/>
  <c r="W644" i="1"/>
  <c r="W638" i="1"/>
  <c r="W758" i="1"/>
  <c r="W804" i="1"/>
  <c r="W759" i="1"/>
  <c r="W805" i="1"/>
  <c r="W661" i="1"/>
  <c r="W652" i="1"/>
  <c r="W760" i="1"/>
  <c r="W635" i="1"/>
  <c r="W692" i="1"/>
  <c r="W647" i="1"/>
  <c r="W806" i="1"/>
  <c r="W761" i="1"/>
  <c r="W705" i="1"/>
  <c r="W675" i="1"/>
  <c r="W729" i="1"/>
  <c r="W713" i="1"/>
  <c r="W762" i="1"/>
  <c r="W763" i="1"/>
  <c r="W648" i="1"/>
  <c r="W764" i="1"/>
  <c r="W722" i="1"/>
  <c r="W765" i="1"/>
  <c r="W708" i="1"/>
  <c r="W709" i="1"/>
  <c r="W655" i="1"/>
  <c r="W636" i="1"/>
  <c r="W668" i="1"/>
  <c r="W807" i="1"/>
  <c r="W766" i="1"/>
  <c r="W674" i="1"/>
  <c r="W707" i="1"/>
  <c r="W767" i="1"/>
  <c r="W768" i="1"/>
  <c r="W769" i="1"/>
  <c r="W770" i="1"/>
  <c r="W771" i="1"/>
  <c r="W772" i="1"/>
  <c r="W679" i="1"/>
  <c r="W706" i="1"/>
  <c r="W808" i="1"/>
  <c r="W809" i="1"/>
  <c r="W773" i="1"/>
  <c r="W774" i="1"/>
  <c r="W670" i="1"/>
  <c r="W701" i="1"/>
  <c r="W775" i="1"/>
  <c r="W684" i="1"/>
  <c r="W776" i="1"/>
  <c r="W777" i="1"/>
  <c r="W656" i="1"/>
  <c r="W686" i="1"/>
  <c r="W660" i="1"/>
  <c r="W810" i="1"/>
  <c r="W778" i="1"/>
  <c r="W649" i="1"/>
  <c r="W779" i="1"/>
  <c r="W811" i="1"/>
  <c r="W780" i="1"/>
  <c r="W716" i="1"/>
  <c r="W812" i="1"/>
  <c r="W781" i="1"/>
  <c r="W782" i="1"/>
  <c r="W783" i="1"/>
  <c r="W683" i="1"/>
  <c r="W693" i="1"/>
  <c r="W784" i="1"/>
  <c r="W646" i="1"/>
  <c r="W687" i="1"/>
  <c r="W703" i="1"/>
  <c r="W785" i="1"/>
  <c r="W667" i="1"/>
  <c r="W786" i="1"/>
  <c r="W787" i="1"/>
  <c r="W645" i="1"/>
  <c r="W788" i="1"/>
  <c r="W664" i="1"/>
  <c r="W789" i="1"/>
  <c r="W790" i="1"/>
  <c r="W791" i="1"/>
  <c r="W792" i="1"/>
  <c r="W793" i="1"/>
  <c r="W816" i="1"/>
  <c r="W817" i="1"/>
  <c r="W702" i="1"/>
  <c r="W681" i="1"/>
  <c r="W814" i="1"/>
  <c r="W813" i="1"/>
  <c r="W818" i="1"/>
  <c r="W815" i="1"/>
  <c r="W727" i="1"/>
  <c r="W689" i="1"/>
  <c r="W819" i="1"/>
  <c r="W654" i="1"/>
  <c r="W639" i="1"/>
  <c r="W1250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3" i="1"/>
  <c r="W844" i="1"/>
  <c r="W846" i="1"/>
  <c r="W848" i="1"/>
  <c r="W849" i="1"/>
  <c r="W842" i="1"/>
  <c r="W845" i="1"/>
  <c r="W850" i="1"/>
  <c r="W847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3" i="1"/>
  <c r="W1154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80" i="1"/>
  <c r="W1181" i="1"/>
  <c r="W1182" i="1"/>
  <c r="W1183" i="1"/>
  <c r="W1184" i="1"/>
  <c r="W1185" i="1"/>
  <c r="W1186" i="1"/>
  <c r="W1187" i="1"/>
  <c r="W1188" i="1"/>
  <c r="W1189" i="1"/>
  <c r="W1190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4" i="1"/>
  <c r="W1226" i="1"/>
  <c r="W1228" i="1"/>
  <c r="W1229" i="1"/>
  <c r="W1230" i="1"/>
  <c r="W1231" i="1"/>
  <c r="W1232" i="1"/>
  <c r="W1233" i="1"/>
  <c r="W1234" i="1"/>
  <c r="W1235" i="1"/>
  <c r="W1236" i="1"/>
  <c r="W1238" i="1"/>
  <c r="W1239" i="1"/>
  <c r="W1240" i="1"/>
  <c r="W1241" i="1"/>
  <c r="W1243" i="1"/>
  <c r="W1245" i="1"/>
  <c r="W1246" i="1"/>
  <c r="W1247" i="1"/>
  <c r="W1248" i="1"/>
  <c r="W1249" i="1"/>
  <c r="W869" i="1"/>
  <c r="W942" i="1"/>
  <c r="W1050" i="1"/>
  <c r="W1100" i="1"/>
  <c r="W1152" i="1"/>
  <c r="W1155" i="1"/>
  <c r="W1179" i="1"/>
  <c r="W1191" i="1"/>
  <c r="W1207" i="1"/>
  <c r="W1208" i="1"/>
  <c r="W1223" i="1"/>
  <c r="W1225" i="1"/>
  <c r="W1227" i="1"/>
  <c r="W1237" i="1"/>
  <c r="W1242" i="1"/>
  <c r="W1244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30" i="1"/>
  <c r="V32" i="1"/>
  <c r="V34" i="1"/>
  <c r="V33" i="1"/>
  <c r="V35" i="1"/>
  <c r="V36" i="1"/>
  <c r="V37" i="1"/>
  <c r="V38" i="1"/>
  <c r="V39" i="1"/>
  <c r="V40" i="1"/>
  <c r="V41" i="1"/>
  <c r="V42" i="1"/>
  <c r="V43" i="1"/>
  <c r="V44" i="1"/>
  <c r="V45" i="1"/>
  <c r="V47" i="1"/>
  <c r="V46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8" i="1"/>
  <c r="V69" i="1"/>
  <c r="V70" i="1"/>
  <c r="V71" i="1"/>
  <c r="V72" i="1"/>
  <c r="V73" i="1"/>
  <c r="V74" i="1"/>
  <c r="V75" i="1"/>
  <c r="V76" i="1"/>
  <c r="V78" i="1"/>
  <c r="V77" i="1"/>
  <c r="V79" i="1"/>
  <c r="V80" i="1"/>
  <c r="V81" i="1"/>
  <c r="V82" i="1"/>
  <c r="V83" i="1"/>
  <c r="V84" i="1"/>
  <c r="V87" i="1"/>
  <c r="V86" i="1"/>
  <c r="V89" i="1"/>
  <c r="V88" i="1"/>
  <c r="V90" i="1"/>
  <c r="V91" i="1"/>
  <c r="V92" i="1"/>
  <c r="V93" i="1"/>
  <c r="V94" i="1"/>
  <c r="V97" i="1"/>
  <c r="V95" i="1"/>
  <c r="V96" i="1"/>
  <c r="V99" i="1"/>
  <c r="V100" i="1"/>
  <c r="V103" i="1"/>
  <c r="V101" i="1"/>
  <c r="V102" i="1"/>
  <c r="V104" i="1"/>
  <c r="V105" i="1"/>
  <c r="V106" i="1"/>
  <c r="V107" i="1"/>
  <c r="V108" i="1"/>
  <c r="V109" i="1"/>
  <c r="V110" i="1"/>
  <c r="V111" i="1"/>
  <c r="V113" i="1"/>
  <c r="V115" i="1"/>
  <c r="V114" i="1"/>
  <c r="V117" i="1"/>
  <c r="V116" i="1"/>
  <c r="V118" i="1"/>
  <c r="V121" i="1"/>
  <c r="V119" i="1"/>
  <c r="V122" i="1"/>
  <c r="V123" i="1"/>
  <c r="V124" i="1"/>
  <c r="V125" i="1"/>
  <c r="V126" i="1"/>
  <c r="V127" i="1"/>
  <c r="V129" i="1"/>
  <c r="V128" i="1"/>
  <c r="V131" i="1"/>
  <c r="V132" i="1"/>
  <c r="V134" i="1"/>
  <c r="V135" i="1"/>
  <c r="V133" i="1"/>
  <c r="V137" i="1"/>
  <c r="V138" i="1"/>
  <c r="V139" i="1"/>
  <c r="V140" i="1"/>
  <c r="V141" i="1"/>
  <c r="V142" i="1"/>
  <c r="V144" i="1"/>
  <c r="V143" i="1"/>
  <c r="V145" i="1"/>
  <c r="V146" i="1"/>
  <c r="V147" i="1"/>
  <c r="V148" i="1"/>
  <c r="V149" i="1"/>
  <c r="V151" i="1"/>
  <c r="V150" i="1"/>
  <c r="V152" i="1"/>
  <c r="V153" i="1"/>
  <c r="V154" i="1"/>
  <c r="V156" i="1"/>
  <c r="V155" i="1"/>
  <c r="V158" i="1"/>
  <c r="V157" i="1"/>
  <c r="V160" i="1"/>
  <c r="V159" i="1"/>
  <c r="V164" i="1"/>
  <c r="V167" i="1"/>
  <c r="V166" i="1"/>
  <c r="V165" i="1"/>
  <c r="V168" i="1"/>
  <c r="V170" i="1"/>
  <c r="V169" i="1"/>
  <c r="V172" i="1"/>
  <c r="V173" i="1"/>
  <c r="V175" i="1"/>
  <c r="V176" i="1"/>
  <c r="V177" i="1"/>
  <c r="V179" i="1"/>
  <c r="V180" i="1"/>
  <c r="V183" i="1"/>
  <c r="V184" i="1"/>
  <c r="V186" i="1"/>
  <c r="V187" i="1"/>
  <c r="V188" i="1"/>
  <c r="V191" i="1"/>
  <c r="V192" i="1"/>
  <c r="V194" i="1"/>
  <c r="V195" i="1"/>
  <c r="V198" i="1"/>
  <c r="V199" i="1"/>
  <c r="V197" i="1"/>
  <c r="V200" i="1"/>
  <c r="V204" i="1"/>
  <c r="V205" i="1"/>
  <c r="V202" i="1"/>
  <c r="V209" i="1"/>
  <c r="V210" i="1"/>
  <c r="V212" i="1"/>
  <c r="V213" i="1"/>
  <c r="V215" i="1"/>
  <c r="V216" i="1"/>
  <c r="V217" i="1"/>
  <c r="V218" i="1"/>
  <c r="V219" i="1"/>
  <c r="V223" i="1"/>
  <c r="V222" i="1"/>
  <c r="V221" i="1"/>
  <c r="V224" i="1"/>
  <c r="V226" i="1"/>
  <c r="V228" i="1"/>
  <c r="V230" i="1"/>
  <c r="V232" i="1"/>
  <c r="V231" i="1"/>
  <c r="V235" i="1"/>
  <c r="V236" i="1"/>
  <c r="V29" i="1"/>
  <c r="V31" i="1"/>
  <c r="V85" i="1"/>
  <c r="V120" i="1"/>
  <c r="V130" i="1"/>
  <c r="V136" i="1"/>
  <c r="V161" i="1"/>
  <c r="V163" i="1"/>
  <c r="V162" i="1"/>
  <c r="V171" i="1"/>
  <c r="V174" i="1"/>
  <c r="V178" i="1"/>
  <c r="V182" i="1"/>
  <c r="V181" i="1"/>
  <c r="V185" i="1"/>
  <c r="V190" i="1"/>
  <c r="V189" i="1"/>
  <c r="V193" i="1"/>
  <c r="V196" i="1"/>
  <c r="V203" i="1"/>
  <c r="V208" i="1"/>
  <c r="V214" i="1"/>
  <c r="V220" i="1"/>
  <c r="V225" i="1"/>
  <c r="V233" i="1"/>
  <c r="V234" i="1"/>
  <c r="V246" i="1"/>
  <c r="V242" i="1"/>
  <c r="V251" i="1"/>
  <c r="V237" i="1"/>
  <c r="V249" i="1"/>
  <c r="V254" i="1"/>
  <c r="V244" i="1"/>
  <c r="V255" i="1"/>
  <c r="V248" i="1"/>
  <c r="V256" i="1"/>
  <c r="V252" i="1"/>
  <c r="V241" i="1"/>
  <c r="V239" i="1"/>
  <c r="V257" i="1"/>
  <c r="V250" i="1"/>
  <c r="V258" i="1"/>
  <c r="V240" i="1"/>
  <c r="V247" i="1"/>
  <c r="V259" i="1"/>
  <c r="V238" i="1"/>
  <c r="V284" i="1"/>
  <c r="V278" i="1"/>
  <c r="V287" i="1"/>
  <c r="V280" i="1"/>
  <c r="V273" i="1"/>
  <c r="V268" i="1"/>
  <c r="V279" i="1"/>
  <c r="V289" i="1"/>
  <c r="V281" i="1"/>
  <c r="V274" i="1"/>
  <c r="V269" i="1"/>
  <c r="V270" i="1"/>
  <c r="V271" i="1"/>
  <c r="V290" i="1"/>
  <c r="V291" i="1"/>
  <c r="V272" i="1"/>
  <c r="V277" i="1"/>
  <c r="V312" i="1"/>
  <c r="V316" i="1"/>
  <c r="V314" i="1"/>
  <c r="V292" i="1"/>
  <c r="V302" i="1"/>
  <c r="V317" i="1"/>
  <c r="V303" i="1"/>
  <c r="V304" i="1"/>
  <c r="V313" i="1"/>
  <c r="V318" i="1"/>
  <c r="V307" i="1"/>
  <c r="V309" i="1"/>
  <c r="V298" i="1"/>
  <c r="V306" i="1"/>
  <c r="V294" i="1"/>
  <c r="V293" i="1"/>
  <c r="V300" i="1"/>
  <c r="V308" i="1"/>
  <c r="V310" i="1"/>
  <c r="V301" i="1"/>
  <c r="V296" i="1"/>
  <c r="V347" i="1"/>
  <c r="V335" i="1"/>
  <c r="V328" i="1"/>
  <c r="V346" i="1"/>
  <c r="V327" i="1"/>
  <c r="V350" i="1"/>
  <c r="V344" i="1"/>
  <c r="V351" i="1"/>
  <c r="V352" i="1"/>
  <c r="V353" i="1"/>
  <c r="V354" i="1"/>
  <c r="V336" i="1"/>
  <c r="V342" i="1"/>
  <c r="V337" i="1"/>
  <c r="V340" i="1"/>
  <c r="V329" i="1"/>
  <c r="V333" i="1"/>
  <c r="V330" i="1"/>
  <c r="V341" i="1"/>
  <c r="V332" i="1"/>
  <c r="V343" i="1"/>
  <c r="V338" i="1"/>
  <c r="V404" i="1"/>
  <c r="V385" i="1"/>
  <c r="V398" i="1"/>
  <c r="V421" i="1"/>
  <c r="V417" i="1"/>
  <c r="V418" i="1"/>
  <c r="V375" i="1"/>
  <c r="V389" i="1"/>
  <c r="V401" i="1"/>
  <c r="V393" i="1"/>
  <c r="V409" i="1"/>
  <c r="V357" i="1"/>
  <c r="V366" i="1"/>
  <c r="V372" i="1"/>
  <c r="V423" i="1"/>
  <c r="V403" i="1"/>
  <c r="V384" i="1"/>
  <c r="V358" i="1"/>
  <c r="V360" i="1"/>
  <c r="V413" i="1"/>
  <c r="V424" i="1"/>
  <c r="V391" i="1"/>
  <c r="V402" i="1"/>
  <c r="V394" i="1"/>
  <c r="V382" i="1"/>
  <c r="V383" i="1"/>
  <c r="V407" i="1"/>
  <c r="V359" i="1"/>
  <c r="V377" i="1"/>
  <c r="V376" i="1"/>
  <c r="V361" i="1"/>
  <c r="V399" i="1"/>
  <c r="V392" i="1"/>
  <c r="V427" i="1"/>
  <c r="V373" i="1"/>
  <c r="V368" i="1"/>
  <c r="V428" i="1"/>
  <c r="V410" i="1"/>
  <c r="V397" i="1"/>
  <c r="V388" i="1"/>
  <c r="V405" i="1"/>
  <c r="V371" i="1"/>
  <c r="V416" i="1"/>
  <c r="V386" i="1"/>
  <c r="V387" i="1"/>
  <c r="V365" i="1"/>
  <c r="V430" i="1"/>
  <c r="V470" i="1"/>
  <c r="V451" i="1"/>
  <c r="V447" i="1"/>
  <c r="V458" i="1"/>
  <c r="V459" i="1"/>
  <c r="V446" i="1"/>
  <c r="V448" i="1"/>
  <c r="V460" i="1"/>
  <c r="V444" i="1"/>
  <c r="V468" i="1"/>
  <c r="V433" i="1"/>
  <c r="V435" i="1"/>
  <c r="V432" i="1"/>
  <c r="V436" i="1"/>
  <c r="V462" i="1"/>
  <c r="V479" i="1"/>
  <c r="V472" i="1"/>
  <c r="V469" i="1"/>
  <c r="V452" i="1"/>
  <c r="V461" i="1"/>
  <c r="V475" i="1"/>
  <c r="V454" i="1"/>
  <c r="V477" i="1"/>
  <c r="V456" i="1"/>
  <c r="V476" i="1"/>
  <c r="V464" i="1"/>
  <c r="V480" i="1"/>
  <c r="V465" i="1"/>
  <c r="V439" i="1"/>
  <c r="V455" i="1"/>
  <c r="V443" i="1"/>
  <c r="V441" i="1"/>
  <c r="V434" i="1"/>
  <c r="V467" i="1"/>
  <c r="V473" i="1"/>
  <c r="V457" i="1"/>
  <c r="V437" i="1"/>
  <c r="V450" i="1"/>
  <c r="V463" i="1"/>
  <c r="V466" i="1"/>
  <c r="V481" i="1"/>
  <c r="V474" i="1"/>
  <c r="V471" i="1"/>
  <c r="V442" i="1"/>
  <c r="V453" i="1"/>
  <c r="V438" i="1"/>
  <c r="V445" i="1"/>
  <c r="V449" i="1"/>
  <c r="V431" i="1"/>
  <c r="V440" i="1"/>
  <c r="V478" i="1"/>
  <c r="V98" i="1"/>
  <c r="V206" i="1"/>
  <c r="V245" i="1"/>
  <c r="V253" i="1"/>
  <c r="V243" i="1"/>
  <c r="V286" i="1"/>
  <c r="V283" i="1"/>
  <c r="V288" i="1"/>
  <c r="V275" i="1"/>
  <c r="V267" i="1"/>
  <c r="V285" i="1"/>
  <c r="V299" i="1"/>
  <c r="V305" i="1"/>
  <c r="V348" i="1"/>
  <c r="V334" i="1"/>
  <c r="V356" i="1"/>
  <c r="V331" i="1"/>
  <c r="V363" i="1"/>
  <c r="V420" i="1"/>
  <c r="V374" i="1"/>
  <c r="V414" i="1"/>
  <c r="V364" i="1"/>
  <c r="V362" i="1"/>
  <c r="V396" i="1"/>
  <c r="V400" i="1"/>
  <c r="V380" i="1"/>
  <c r="V406" i="1"/>
  <c r="V378" i="1"/>
  <c r="V497" i="1"/>
  <c r="V508" i="1"/>
  <c r="V488" i="1"/>
  <c r="V511" i="1"/>
  <c r="V482" i="1"/>
  <c r="V492" i="1"/>
  <c r="V486" i="1"/>
  <c r="V499" i="1"/>
  <c r="V495" i="1"/>
  <c r="V500" i="1"/>
  <c r="V516" i="1"/>
  <c r="V517" i="1"/>
  <c r="V501" i="1"/>
  <c r="V282" i="1"/>
  <c r="V297" i="1"/>
  <c r="V319" i="1"/>
  <c r="V345" i="1"/>
  <c r="V411" i="1"/>
  <c r="V506" i="1"/>
  <c r="V483" i="1"/>
  <c r="V487" i="1"/>
  <c r="V496" i="1"/>
  <c r="V493" i="1"/>
  <c r="V490" i="1"/>
  <c r="V484" i="1"/>
  <c r="V489" i="1"/>
  <c r="V513" i="1"/>
  <c r="V67" i="1"/>
  <c r="V201" i="1"/>
  <c r="V211" i="1"/>
  <c r="V276" i="1"/>
  <c r="V315" i="1"/>
  <c r="V311" i="1"/>
  <c r="V295" i="1"/>
  <c r="V339" i="1"/>
  <c r="V349" i="1"/>
  <c r="V355" i="1"/>
  <c r="V395" i="1"/>
  <c r="V419" i="1"/>
  <c r="V426" i="1"/>
  <c r="V381" i="1"/>
  <c r="V370" i="1"/>
  <c r="V491" i="1"/>
  <c r="V503" i="1"/>
  <c r="V498" i="1"/>
  <c r="V485" i="1"/>
  <c r="V512" i="1"/>
  <c r="V505" i="1"/>
  <c r="V519" i="1"/>
  <c r="V112" i="1"/>
  <c r="V207" i="1"/>
  <c r="V227" i="1"/>
  <c r="V229" i="1"/>
  <c r="V263" i="1"/>
  <c r="V261" i="1"/>
  <c r="V264" i="1"/>
  <c r="V260" i="1"/>
  <c r="V265" i="1"/>
  <c r="V266" i="1"/>
  <c r="V262" i="1"/>
  <c r="V320" i="1"/>
  <c r="V322" i="1"/>
  <c r="V325" i="1"/>
  <c r="V323" i="1"/>
  <c r="V324" i="1"/>
  <c r="V321" i="1"/>
  <c r="V326" i="1"/>
  <c r="V415" i="1"/>
  <c r="V379" i="1"/>
  <c r="V412" i="1"/>
  <c r="V422" i="1"/>
  <c r="V369" i="1"/>
  <c r="V367" i="1"/>
  <c r="V408" i="1"/>
  <c r="V390" i="1"/>
  <c r="V425" i="1"/>
  <c r="V429" i="1"/>
  <c r="V504" i="1"/>
  <c r="V515" i="1"/>
  <c r="V502" i="1"/>
  <c r="V507" i="1"/>
  <c r="V494" i="1"/>
  <c r="V510" i="1"/>
  <c r="V514" i="1"/>
  <c r="V509" i="1"/>
  <c r="V518" i="1"/>
  <c r="V549" i="1"/>
  <c r="V550" i="1"/>
  <c r="V531" i="1"/>
  <c r="V551" i="1"/>
  <c r="V552" i="1"/>
  <c r="V540" i="1"/>
  <c r="V524" i="1"/>
  <c r="V530" i="1"/>
  <c r="V520" i="1"/>
  <c r="V525" i="1"/>
  <c r="V545" i="1"/>
  <c r="V532" i="1"/>
  <c r="V541" i="1"/>
  <c r="V522" i="1"/>
  <c r="V542" i="1"/>
  <c r="V538" i="1"/>
  <c r="V539" i="1"/>
  <c r="V548" i="1"/>
  <c r="V561" i="1"/>
  <c r="V553" i="1"/>
  <c r="V547" i="1"/>
  <c r="V543" i="1"/>
  <c r="V537" i="1"/>
  <c r="V521" i="1"/>
  <c r="V554" i="1"/>
  <c r="V534" i="1"/>
  <c r="V544" i="1"/>
  <c r="V533" i="1"/>
  <c r="V557" i="1"/>
  <c r="V555" i="1"/>
  <c r="V536" i="1"/>
  <c r="V526" i="1"/>
  <c r="V546" i="1"/>
  <c r="V562" i="1"/>
  <c r="V563" i="1"/>
  <c r="V528" i="1"/>
  <c r="V527" i="1"/>
  <c r="V556" i="1"/>
  <c r="V535" i="1"/>
  <c r="V529" i="1"/>
  <c r="V558" i="1"/>
  <c r="V559" i="1"/>
  <c r="V560" i="1"/>
  <c r="V564" i="1"/>
  <c r="V523" i="1"/>
  <c r="V581" i="1"/>
  <c r="V612" i="1"/>
  <c r="V629" i="1"/>
  <c r="V613" i="1"/>
  <c r="V580" i="1"/>
  <c r="V614" i="1"/>
  <c r="V568" i="1"/>
  <c r="V600" i="1"/>
  <c r="V590" i="1"/>
  <c r="V630" i="1"/>
  <c r="V582" i="1"/>
  <c r="V615" i="1"/>
  <c r="V574" i="1"/>
  <c r="V597" i="1"/>
  <c r="V604" i="1"/>
  <c r="V599" i="1"/>
  <c r="V616" i="1"/>
  <c r="V593" i="1"/>
  <c r="V617" i="1"/>
  <c r="V566" i="1"/>
  <c r="V575" i="1"/>
  <c r="V596" i="1"/>
  <c r="V572" i="1"/>
  <c r="V618" i="1"/>
  <c r="V609" i="1"/>
  <c r="V576" i="1"/>
  <c r="V601" i="1"/>
  <c r="V588" i="1"/>
  <c r="V611" i="1"/>
  <c r="V602" i="1"/>
  <c r="V605" i="1"/>
  <c r="V598" i="1"/>
  <c r="V591" i="1"/>
  <c r="V587" i="1"/>
  <c r="V619" i="1"/>
  <c r="V620" i="1"/>
  <c r="V607" i="1"/>
  <c r="V589" i="1"/>
  <c r="V577" i="1"/>
  <c r="V608" i="1"/>
  <c r="V621" i="1"/>
  <c r="V565" i="1"/>
  <c r="V622" i="1"/>
  <c r="V583" i="1"/>
  <c r="V623" i="1"/>
  <c r="V624" i="1"/>
  <c r="V592" i="1"/>
  <c r="V585" i="1"/>
  <c r="V573" i="1"/>
  <c r="V625" i="1"/>
  <c r="V603" i="1"/>
  <c r="V578" i="1"/>
  <c r="V586" i="1"/>
  <c r="V567" i="1"/>
  <c r="V584" i="1"/>
  <c r="V570" i="1"/>
  <c r="V628" i="1"/>
  <c r="V626" i="1"/>
  <c r="V579" i="1"/>
  <c r="V627" i="1"/>
  <c r="V606" i="1"/>
  <c r="V594" i="1"/>
  <c r="V571" i="1"/>
  <c r="V595" i="1"/>
  <c r="V569" i="1"/>
  <c r="V631" i="1"/>
  <c r="V610" i="1"/>
  <c r="V632" i="1"/>
  <c r="V633" i="1"/>
  <c r="V720" i="1"/>
  <c r="V730" i="1"/>
  <c r="V676" i="1"/>
  <c r="V653" i="1"/>
  <c r="V704" i="1"/>
  <c r="V731" i="1"/>
  <c r="V732" i="1"/>
  <c r="V733" i="1"/>
  <c r="V734" i="1"/>
  <c r="V735" i="1"/>
  <c r="V736" i="1"/>
  <c r="V794" i="1"/>
  <c r="V657" i="1"/>
  <c r="V737" i="1"/>
  <c r="V738" i="1"/>
  <c r="V739" i="1"/>
  <c r="V740" i="1"/>
  <c r="V698" i="1"/>
  <c r="V741" i="1"/>
  <c r="V695" i="1"/>
  <c r="V742" i="1"/>
  <c r="V694" i="1"/>
  <c r="V712" i="1"/>
  <c r="V700" i="1"/>
  <c r="V723" i="1"/>
  <c r="V696" i="1"/>
  <c r="V691" i="1"/>
  <c r="V711" i="1"/>
  <c r="V743" i="1"/>
  <c r="V699" i="1"/>
  <c r="V795" i="1"/>
  <c r="V721" i="1"/>
  <c r="V796" i="1"/>
  <c r="V669" i="1"/>
  <c r="V717" i="1"/>
  <c r="V724" i="1"/>
  <c r="V710" i="1"/>
  <c r="V641" i="1"/>
  <c r="V715" i="1"/>
  <c r="V744" i="1"/>
  <c r="V643" i="1"/>
  <c r="V697" i="1"/>
  <c r="V642" i="1"/>
  <c r="V637" i="1"/>
  <c r="V682" i="1"/>
  <c r="V673" i="1"/>
  <c r="V685" i="1"/>
  <c r="V745" i="1"/>
  <c r="V634" i="1"/>
  <c r="V680" i="1"/>
  <c r="V651" i="1"/>
  <c r="V797" i="1"/>
  <c r="V746" i="1"/>
  <c r="V663" i="1"/>
  <c r="V690" i="1"/>
  <c r="V640" i="1"/>
  <c r="V747" i="1"/>
  <c r="V725" i="1"/>
  <c r="V659" i="1"/>
  <c r="V749" i="1"/>
  <c r="V665" i="1"/>
  <c r="V714" i="1"/>
  <c r="V718" i="1"/>
  <c r="V750" i="1"/>
  <c r="V748" i="1"/>
  <c r="V719" i="1"/>
  <c r="V726" i="1"/>
  <c r="V751" i="1"/>
  <c r="V798" i="1"/>
  <c r="V677" i="1"/>
  <c r="V752" i="1"/>
  <c r="V799" i="1"/>
  <c r="V678" i="1"/>
  <c r="V800" i="1"/>
  <c r="V666" i="1"/>
  <c r="V801" i="1"/>
  <c r="V802" i="1"/>
  <c r="V672" i="1"/>
  <c r="V728" i="1"/>
  <c r="V671" i="1"/>
  <c r="V650" i="1"/>
  <c r="V803" i="1"/>
  <c r="V753" i="1"/>
  <c r="V658" i="1"/>
  <c r="V754" i="1"/>
  <c r="V688" i="1"/>
  <c r="V755" i="1"/>
  <c r="V756" i="1"/>
  <c r="V757" i="1"/>
  <c r="V662" i="1"/>
  <c r="V644" i="1"/>
  <c r="V638" i="1"/>
  <c r="V758" i="1"/>
  <c r="V804" i="1"/>
  <c r="V759" i="1"/>
  <c r="V805" i="1"/>
  <c r="V661" i="1"/>
  <c r="V652" i="1"/>
  <c r="V760" i="1"/>
  <c r="V635" i="1"/>
  <c r="V692" i="1"/>
  <c r="V647" i="1"/>
  <c r="V806" i="1"/>
  <c r="V761" i="1"/>
  <c r="V705" i="1"/>
  <c r="V675" i="1"/>
  <c r="V729" i="1"/>
  <c r="V713" i="1"/>
  <c r="V762" i="1"/>
  <c r="V763" i="1"/>
  <c r="V648" i="1"/>
  <c r="V764" i="1"/>
  <c r="V722" i="1"/>
  <c r="V765" i="1"/>
  <c r="V708" i="1"/>
  <c r="V709" i="1"/>
  <c r="V655" i="1"/>
  <c r="V636" i="1"/>
  <c r="V668" i="1"/>
  <c r="V807" i="1"/>
  <c r="V766" i="1"/>
  <c r="V674" i="1"/>
  <c r="V707" i="1"/>
  <c r="V767" i="1"/>
  <c r="V768" i="1"/>
  <c r="V769" i="1"/>
  <c r="V770" i="1"/>
  <c r="V771" i="1"/>
  <c r="V772" i="1"/>
  <c r="V679" i="1"/>
  <c r="V706" i="1"/>
  <c r="V808" i="1"/>
  <c r="V809" i="1"/>
  <c r="V773" i="1"/>
  <c r="V774" i="1"/>
  <c r="V670" i="1"/>
  <c r="V701" i="1"/>
  <c r="V775" i="1"/>
  <c r="V684" i="1"/>
  <c r="V776" i="1"/>
  <c r="V777" i="1"/>
  <c r="V656" i="1"/>
  <c r="V686" i="1"/>
  <c r="V660" i="1"/>
  <c r="V810" i="1"/>
  <c r="V778" i="1"/>
  <c r="V649" i="1"/>
  <c r="V779" i="1"/>
  <c r="V811" i="1"/>
  <c r="V780" i="1"/>
  <c r="V716" i="1"/>
  <c r="V812" i="1"/>
  <c r="V781" i="1"/>
  <c r="V782" i="1"/>
  <c r="V783" i="1"/>
  <c r="V683" i="1"/>
  <c r="V693" i="1"/>
  <c r="V784" i="1"/>
  <c r="V646" i="1"/>
  <c r="V687" i="1"/>
  <c r="V703" i="1"/>
  <c r="V785" i="1"/>
  <c r="V667" i="1"/>
  <c r="V786" i="1"/>
  <c r="V787" i="1"/>
  <c r="V645" i="1"/>
  <c r="V788" i="1"/>
  <c r="V664" i="1"/>
  <c r="V789" i="1"/>
  <c r="V790" i="1"/>
  <c r="V791" i="1"/>
  <c r="V792" i="1"/>
  <c r="V793" i="1"/>
  <c r="V816" i="1"/>
  <c r="V817" i="1"/>
  <c r="V702" i="1"/>
  <c r="V681" i="1"/>
  <c r="V814" i="1"/>
  <c r="V813" i="1"/>
  <c r="V818" i="1"/>
  <c r="V815" i="1"/>
  <c r="V727" i="1"/>
  <c r="V689" i="1"/>
  <c r="V819" i="1"/>
  <c r="V654" i="1"/>
  <c r="V639" i="1"/>
  <c r="V1250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3" i="1"/>
  <c r="V844" i="1"/>
  <c r="V846" i="1"/>
  <c r="V848" i="1"/>
  <c r="V849" i="1"/>
  <c r="V842" i="1"/>
  <c r="V845" i="1"/>
  <c r="V850" i="1"/>
  <c r="V847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3" i="1"/>
  <c r="V1154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80" i="1"/>
  <c r="V1181" i="1"/>
  <c r="V1182" i="1"/>
  <c r="V1183" i="1"/>
  <c r="V1184" i="1"/>
  <c r="V1185" i="1"/>
  <c r="V1186" i="1"/>
  <c r="V1187" i="1"/>
  <c r="V1188" i="1"/>
  <c r="V1189" i="1"/>
  <c r="V1190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4" i="1"/>
  <c r="V1226" i="1"/>
  <c r="V1228" i="1"/>
  <c r="V1229" i="1"/>
  <c r="V1230" i="1"/>
  <c r="V1231" i="1"/>
  <c r="V1232" i="1"/>
  <c r="V1233" i="1"/>
  <c r="V1234" i="1"/>
  <c r="V1235" i="1"/>
  <c r="V1236" i="1"/>
  <c r="V1238" i="1"/>
  <c r="V1239" i="1"/>
  <c r="V1240" i="1"/>
  <c r="V1241" i="1"/>
  <c r="V1243" i="1"/>
  <c r="V1245" i="1"/>
  <c r="V1246" i="1"/>
  <c r="V1247" i="1"/>
  <c r="V1248" i="1"/>
  <c r="V1249" i="1"/>
  <c r="V869" i="1"/>
  <c r="V942" i="1"/>
  <c r="V1050" i="1"/>
  <c r="V1100" i="1"/>
  <c r="V1152" i="1"/>
  <c r="V1155" i="1"/>
  <c r="V1179" i="1"/>
  <c r="V1191" i="1"/>
  <c r="V1207" i="1"/>
  <c r="V1208" i="1"/>
  <c r="V1223" i="1"/>
  <c r="V1225" i="1"/>
  <c r="V1227" i="1"/>
  <c r="V1237" i="1"/>
  <c r="V1242" i="1"/>
  <c r="V1244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30" i="1"/>
  <c r="U32" i="1"/>
  <c r="U34" i="1"/>
  <c r="U33" i="1"/>
  <c r="U35" i="1"/>
  <c r="U36" i="1"/>
  <c r="U37" i="1"/>
  <c r="U38" i="1"/>
  <c r="U39" i="1"/>
  <c r="U40" i="1"/>
  <c r="U41" i="1"/>
  <c r="U42" i="1"/>
  <c r="U43" i="1"/>
  <c r="U44" i="1"/>
  <c r="U45" i="1"/>
  <c r="U47" i="1"/>
  <c r="U46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8" i="1"/>
  <c r="U69" i="1"/>
  <c r="U70" i="1"/>
  <c r="U71" i="1"/>
  <c r="U72" i="1"/>
  <c r="U73" i="1"/>
  <c r="U74" i="1"/>
  <c r="U75" i="1"/>
  <c r="U76" i="1"/>
  <c r="U78" i="1"/>
  <c r="U77" i="1"/>
  <c r="U79" i="1"/>
  <c r="U80" i="1"/>
  <c r="U81" i="1"/>
  <c r="U82" i="1"/>
  <c r="U83" i="1"/>
  <c r="U84" i="1"/>
  <c r="U87" i="1"/>
  <c r="U86" i="1"/>
  <c r="U89" i="1"/>
  <c r="U88" i="1"/>
  <c r="U90" i="1"/>
  <c r="U91" i="1"/>
  <c r="U92" i="1"/>
  <c r="U93" i="1"/>
  <c r="U94" i="1"/>
  <c r="U97" i="1"/>
  <c r="U95" i="1"/>
  <c r="U96" i="1"/>
  <c r="U99" i="1"/>
  <c r="U100" i="1"/>
  <c r="U103" i="1"/>
  <c r="U101" i="1"/>
  <c r="U102" i="1"/>
  <c r="U104" i="1"/>
  <c r="U105" i="1"/>
  <c r="U106" i="1"/>
  <c r="U107" i="1"/>
  <c r="U108" i="1"/>
  <c r="U109" i="1"/>
  <c r="U110" i="1"/>
  <c r="U111" i="1"/>
  <c r="U113" i="1"/>
  <c r="U115" i="1"/>
  <c r="U114" i="1"/>
  <c r="U117" i="1"/>
  <c r="U116" i="1"/>
  <c r="U118" i="1"/>
  <c r="U121" i="1"/>
  <c r="U119" i="1"/>
  <c r="U122" i="1"/>
  <c r="U123" i="1"/>
  <c r="U124" i="1"/>
  <c r="U125" i="1"/>
  <c r="U126" i="1"/>
  <c r="U127" i="1"/>
  <c r="U129" i="1"/>
  <c r="U128" i="1"/>
  <c r="U131" i="1"/>
  <c r="U132" i="1"/>
  <c r="U134" i="1"/>
  <c r="U135" i="1"/>
  <c r="U133" i="1"/>
  <c r="U137" i="1"/>
  <c r="U138" i="1"/>
  <c r="U139" i="1"/>
  <c r="U140" i="1"/>
  <c r="U141" i="1"/>
  <c r="U142" i="1"/>
  <c r="U144" i="1"/>
  <c r="U143" i="1"/>
  <c r="U145" i="1"/>
  <c r="U146" i="1"/>
  <c r="U147" i="1"/>
  <c r="U148" i="1"/>
  <c r="U149" i="1"/>
  <c r="U151" i="1"/>
  <c r="U150" i="1"/>
  <c r="U152" i="1"/>
  <c r="U153" i="1"/>
  <c r="U154" i="1"/>
  <c r="U156" i="1"/>
  <c r="U155" i="1"/>
  <c r="U158" i="1"/>
  <c r="U157" i="1"/>
  <c r="U160" i="1"/>
  <c r="U159" i="1"/>
  <c r="U164" i="1"/>
  <c r="U167" i="1"/>
  <c r="U166" i="1"/>
  <c r="U165" i="1"/>
  <c r="U168" i="1"/>
  <c r="U170" i="1"/>
  <c r="U169" i="1"/>
  <c r="U172" i="1"/>
  <c r="U173" i="1"/>
  <c r="U175" i="1"/>
  <c r="U176" i="1"/>
  <c r="U177" i="1"/>
  <c r="U179" i="1"/>
  <c r="U180" i="1"/>
  <c r="U183" i="1"/>
  <c r="U184" i="1"/>
  <c r="U186" i="1"/>
  <c r="U187" i="1"/>
  <c r="U188" i="1"/>
  <c r="U191" i="1"/>
  <c r="U192" i="1"/>
  <c r="U194" i="1"/>
  <c r="U195" i="1"/>
  <c r="U198" i="1"/>
  <c r="U199" i="1"/>
  <c r="U197" i="1"/>
  <c r="U200" i="1"/>
  <c r="U204" i="1"/>
  <c r="U205" i="1"/>
  <c r="U202" i="1"/>
  <c r="U209" i="1"/>
  <c r="U210" i="1"/>
  <c r="U212" i="1"/>
  <c r="U213" i="1"/>
  <c r="U215" i="1"/>
  <c r="U216" i="1"/>
  <c r="U217" i="1"/>
  <c r="U218" i="1"/>
  <c r="U219" i="1"/>
  <c r="U223" i="1"/>
  <c r="U222" i="1"/>
  <c r="U221" i="1"/>
  <c r="U224" i="1"/>
  <c r="U226" i="1"/>
  <c r="U228" i="1"/>
  <c r="U230" i="1"/>
  <c r="U232" i="1"/>
  <c r="U231" i="1"/>
  <c r="U235" i="1"/>
  <c r="U236" i="1"/>
  <c r="U29" i="1"/>
  <c r="U31" i="1"/>
  <c r="U85" i="1"/>
  <c r="U120" i="1"/>
  <c r="U130" i="1"/>
  <c r="U136" i="1"/>
  <c r="U161" i="1"/>
  <c r="U163" i="1"/>
  <c r="U162" i="1"/>
  <c r="U171" i="1"/>
  <c r="U174" i="1"/>
  <c r="U178" i="1"/>
  <c r="U182" i="1"/>
  <c r="U181" i="1"/>
  <c r="U185" i="1"/>
  <c r="U190" i="1"/>
  <c r="U189" i="1"/>
  <c r="U193" i="1"/>
  <c r="U196" i="1"/>
  <c r="U203" i="1"/>
  <c r="U208" i="1"/>
  <c r="U214" i="1"/>
  <c r="U220" i="1"/>
  <c r="U225" i="1"/>
  <c r="U233" i="1"/>
  <c r="U234" i="1"/>
  <c r="U246" i="1"/>
  <c r="U242" i="1"/>
  <c r="U251" i="1"/>
  <c r="U237" i="1"/>
  <c r="U249" i="1"/>
  <c r="U254" i="1"/>
  <c r="U244" i="1"/>
  <c r="U255" i="1"/>
  <c r="U248" i="1"/>
  <c r="U256" i="1"/>
  <c r="U252" i="1"/>
  <c r="U241" i="1"/>
  <c r="U239" i="1"/>
  <c r="U257" i="1"/>
  <c r="U250" i="1"/>
  <c r="U258" i="1"/>
  <c r="U240" i="1"/>
  <c r="U247" i="1"/>
  <c r="U259" i="1"/>
  <c r="U238" i="1"/>
  <c r="U284" i="1"/>
  <c r="U278" i="1"/>
  <c r="U287" i="1"/>
  <c r="U280" i="1"/>
  <c r="U273" i="1"/>
  <c r="U268" i="1"/>
  <c r="U279" i="1"/>
  <c r="U289" i="1"/>
  <c r="U281" i="1"/>
  <c r="U274" i="1"/>
  <c r="U269" i="1"/>
  <c r="U270" i="1"/>
  <c r="U271" i="1"/>
  <c r="U290" i="1"/>
  <c r="U291" i="1"/>
  <c r="U272" i="1"/>
  <c r="U277" i="1"/>
  <c r="U312" i="1"/>
  <c r="U316" i="1"/>
  <c r="U314" i="1"/>
  <c r="U292" i="1"/>
  <c r="U302" i="1"/>
  <c r="U317" i="1"/>
  <c r="U303" i="1"/>
  <c r="U304" i="1"/>
  <c r="U313" i="1"/>
  <c r="U318" i="1"/>
  <c r="U307" i="1"/>
  <c r="U309" i="1"/>
  <c r="U298" i="1"/>
  <c r="U306" i="1"/>
  <c r="U294" i="1"/>
  <c r="U293" i="1"/>
  <c r="U300" i="1"/>
  <c r="U308" i="1"/>
  <c r="U310" i="1"/>
  <c r="U301" i="1"/>
  <c r="U296" i="1"/>
  <c r="U347" i="1"/>
  <c r="U335" i="1"/>
  <c r="U328" i="1"/>
  <c r="U346" i="1"/>
  <c r="U327" i="1"/>
  <c r="U350" i="1"/>
  <c r="U344" i="1"/>
  <c r="U351" i="1"/>
  <c r="U352" i="1"/>
  <c r="U353" i="1"/>
  <c r="U354" i="1"/>
  <c r="U336" i="1"/>
  <c r="U342" i="1"/>
  <c r="U337" i="1"/>
  <c r="U340" i="1"/>
  <c r="U329" i="1"/>
  <c r="U333" i="1"/>
  <c r="U330" i="1"/>
  <c r="U341" i="1"/>
  <c r="U332" i="1"/>
  <c r="U343" i="1"/>
  <c r="U338" i="1"/>
  <c r="U404" i="1"/>
  <c r="U385" i="1"/>
  <c r="U398" i="1"/>
  <c r="U421" i="1"/>
  <c r="U417" i="1"/>
  <c r="U418" i="1"/>
  <c r="U375" i="1"/>
  <c r="U389" i="1"/>
  <c r="U401" i="1"/>
  <c r="U393" i="1"/>
  <c r="U409" i="1"/>
  <c r="U357" i="1"/>
  <c r="U366" i="1"/>
  <c r="U372" i="1"/>
  <c r="U423" i="1"/>
  <c r="U403" i="1"/>
  <c r="U384" i="1"/>
  <c r="U358" i="1"/>
  <c r="U360" i="1"/>
  <c r="U413" i="1"/>
  <c r="U424" i="1"/>
  <c r="U391" i="1"/>
  <c r="U402" i="1"/>
  <c r="U394" i="1"/>
  <c r="U382" i="1"/>
  <c r="U383" i="1"/>
  <c r="U407" i="1"/>
  <c r="U359" i="1"/>
  <c r="U377" i="1"/>
  <c r="U376" i="1"/>
  <c r="U361" i="1"/>
  <c r="U399" i="1"/>
  <c r="U392" i="1"/>
  <c r="U427" i="1"/>
  <c r="U373" i="1"/>
  <c r="U368" i="1"/>
  <c r="U428" i="1"/>
  <c r="U410" i="1"/>
  <c r="U397" i="1"/>
  <c r="U388" i="1"/>
  <c r="U405" i="1"/>
  <c r="U371" i="1"/>
  <c r="U416" i="1"/>
  <c r="U386" i="1"/>
  <c r="U387" i="1"/>
  <c r="U365" i="1"/>
  <c r="U430" i="1"/>
  <c r="U470" i="1"/>
  <c r="U451" i="1"/>
  <c r="U447" i="1"/>
  <c r="U458" i="1"/>
  <c r="U459" i="1"/>
  <c r="U446" i="1"/>
  <c r="U448" i="1"/>
  <c r="U460" i="1"/>
  <c r="U444" i="1"/>
  <c r="U468" i="1"/>
  <c r="U433" i="1"/>
  <c r="U435" i="1"/>
  <c r="U432" i="1"/>
  <c r="U436" i="1"/>
  <c r="U462" i="1"/>
  <c r="U479" i="1"/>
  <c r="U472" i="1"/>
  <c r="U469" i="1"/>
  <c r="U452" i="1"/>
  <c r="U461" i="1"/>
  <c r="U475" i="1"/>
  <c r="U454" i="1"/>
  <c r="U477" i="1"/>
  <c r="U456" i="1"/>
  <c r="U476" i="1"/>
  <c r="U464" i="1"/>
  <c r="U480" i="1"/>
  <c r="U465" i="1"/>
  <c r="U439" i="1"/>
  <c r="U455" i="1"/>
  <c r="U443" i="1"/>
  <c r="U441" i="1"/>
  <c r="U434" i="1"/>
  <c r="U467" i="1"/>
  <c r="U473" i="1"/>
  <c r="U457" i="1"/>
  <c r="U437" i="1"/>
  <c r="U450" i="1"/>
  <c r="U463" i="1"/>
  <c r="U466" i="1"/>
  <c r="U481" i="1"/>
  <c r="U474" i="1"/>
  <c r="U471" i="1"/>
  <c r="U442" i="1"/>
  <c r="U453" i="1"/>
  <c r="U438" i="1"/>
  <c r="U445" i="1"/>
  <c r="U449" i="1"/>
  <c r="U431" i="1"/>
  <c r="U440" i="1"/>
  <c r="U478" i="1"/>
  <c r="U98" i="1"/>
  <c r="U206" i="1"/>
  <c r="U245" i="1"/>
  <c r="U253" i="1"/>
  <c r="U243" i="1"/>
  <c r="U286" i="1"/>
  <c r="U283" i="1"/>
  <c r="U288" i="1"/>
  <c r="U275" i="1"/>
  <c r="U267" i="1"/>
  <c r="U285" i="1"/>
  <c r="U299" i="1"/>
  <c r="U305" i="1"/>
  <c r="U348" i="1"/>
  <c r="U334" i="1"/>
  <c r="U356" i="1"/>
  <c r="U331" i="1"/>
  <c r="U363" i="1"/>
  <c r="U420" i="1"/>
  <c r="U374" i="1"/>
  <c r="U414" i="1"/>
  <c r="U364" i="1"/>
  <c r="U362" i="1"/>
  <c r="U396" i="1"/>
  <c r="U400" i="1"/>
  <c r="U380" i="1"/>
  <c r="U406" i="1"/>
  <c r="U378" i="1"/>
  <c r="U497" i="1"/>
  <c r="U508" i="1"/>
  <c r="U488" i="1"/>
  <c r="U511" i="1"/>
  <c r="U482" i="1"/>
  <c r="U492" i="1"/>
  <c r="U486" i="1"/>
  <c r="U499" i="1"/>
  <c r="U495" i="1"/>
  <c r="U500" i="1"/>
  <c r="U516" i="1"/>
  <c r="U517" i="1"/>
  <c r="U501" i="1"/>
  <c r="U282" i="1"/>
  <c r="U297" i="1"/>
  <c r="U319" i="1"/>
  <c r="U345" i="1"/>
  <c r="U411" i="1"/>
  <c r="U506" i="1"/>
  <c r="U483" i="1"/>
  <c r="U487" i="1"/>
  <c r="U496" i="1"/>
  <c r="U493" i="1"/>
  <c r="U490" i="1"/>
  <c r="U484" i="1"/>
  <c r="U489" i="1"/>
  <c r="U513" i="1"/>
  <c r="U67" i="1"/>
  <c r="U201" i="1"/>
  <c r="U211" i="1"/>
  <c r="U276" i="1"/>
  <c r="U315" i="1"/>
  <c r="U311" i="1"/>
  <c r="U295" i="1"/>
  <c r="U339" i="1"/>
  <c r="U349" i="1"/>
  <c r="U355" i="1"/>
  <c r="U395" i="1"/>
  <c r="U419" i="1"/>
  <c r="U426" i="1"/>
  <c r="U381" i="1"/>
  <c r="U370" i="1"/>
  <c r="U491" i="1"/>
  <c r="U503" i="1"/>
  <c r="U498" i="1"/>
  <c r="U485" i="1"/>
  <c r="U512" i="1"/>
  <c r="U505" i="1"/>
  <c r="U519" i="1"/>
  <c r="U112" i="1"/>
  <c r="U207" i="1"/>
  <c r="U227" i="1"/>
  <c r="U229" i="1"/>
  <c r="U263" i="1"/>
  <c r="U261" i="1"/>
  <c r="U264" i="1"/>
  <c r="U260" i="1"/>
  <c r="U265" i="1"/>
  <c r="U266" i="1"/>
  <c r="U262" i="1"/>
  <c r="U320" i="1"/>
  <c r="U322" i="1"/>
  <c r="U325" i="1"/>
  <c r="U323" i="1"/>
  <c r="U324" i="1"/>
  <c r="U321" i="1"/>
  <c r="U326" i="1"/>
  <c r="U415" i="1"/>
  <c r="U379" i="1"/>
  <c r="U412" i="1"/>
  <c r="U422" i="1"/>
  <c r="U369" i="1"/>
  <c r="U367" i="1"/>
  <c r="U408" i="1"/>
  <c r="U390" i="1"/>
  <c r="U425" i="1"/>
  <c r="U429" i="1"/>
  <c r="U504" i="1"/>
  <c r="U515" i="1"/>
  <c r="U502" i="1"/>
  <c r="U507" i="1"/>
  <c r="U494" i="1"/>
  <c r="U510" i="1"/>
  <c r="U514" i="1"/>
  <c r="U509" i="1"/>
  <c r="U518" i="1"/>
  <c r="U549" i="1"/>
  <c r="U550" i="1"/>
  <c r="U531" i="1"/>
  <c r="U551" i="1"/>
  <c r="U552" i="1"/>
  <c r="U540" i="1"/>
  <c r="U524" i="1"/>
  <c r="U530" i="1"/>
  <c r="U520" i="1"/>
  <c r="U525" i="1"/>
  <c r="U545" i="1"/>
  <c r="U532" i="1"/>
  <c r="U541" i="1"/>
  <c r="U522" i="1"/>
  <c r="U542" i="1"/>
  <c r="U538" i="1"/>
  <c r="U539" i="1"/>
  <c r="U548" i="1"/>
  <c r="U561" i="1"/>
  <c r="U553" i="1"/>
  <c r="U547" i="1"/>
  <c r="U543" i="1"/>
  <c r="U537" i="1"/>
  <c r="U521" i="1"/>
  <c r="U554" i="1"/>
  <c r="U534" i="1"/>
  <c r="U544" i="1"/>
  <c r="U533" i="1"/>
  <c r="U557" i="1"/>
  <c r="U555" i="1"/>
  <c r="U536" i="1"/>
  <c r="U526" i="1"/>
  <c r="U546" i="1"/>
  <c r="U562" i="1"/>
  <c r="U563" i="1"/>
  <c r="U528" i="1"/>
  <c r="U527" i="1"/>
  <c r="U556" i="1"/>
  <c r="U535" i="1"/>
  <c r="U529" i="1"/>
  <c r="U558" i="1"/>
  <c r="U559" i="1"/>
  <c r="U560" i="1"/>
  <c r="U564" i="1"/>
  <c r="U523" i="1"/>
  <c r="U581" i="1"/>
  <c r="U612" i="1"/>
  <c r="U629" i="1"/>
  <c r="U613" i="1"/>
  <c r="U580" i="1"/>
  <c r="U614" i="1"/>
  <c r="U568" i="1"/>
  <c r="U600" i="1"/>
  <c r="U590" i="1"/>
  <c r="U630" i="1"/>
  <c r="U582" i="1"/>
  <c r="U615" i="1"/>
  <c r="U574" i="1"/>
  <c r="U597" i="1"/>
  <c r="U604" i="1"/>
  <c r="U599" i="1"/>
  <c r="U616" i="1"/>
  <c r="U593" i="1"/>
  <c r="U617" i="1"/>
  <c r="U566" i="1"/>
  <c r="U575" i="1"/>
  <c r="U596" i="1"/>
  <c r="U572" i="1"/>
  <c r="U618" i="1"/>
  <c r="U609" i="1"/>
  <c r="U576" i="1"/>
  <c r="U601" i="1"/>
  <c r="U588" i="1"/>
  <c r="U611" i="1"/>
  <c r="U602" i="1"/>
  <c r="U605" i="1"/>
  <c r="U598" i="1"/>
  <c r="U591" i="1"/>
  <c r="U587" i="1"/>
  <c r="U619" i="1"/>
  <c r="U620" i="1"/>
  <c r="U607" i="1"/>
  <c r="U589" i="1"/>
  <c r="U577" i="1"/>
  <c r="U608" i="1"/>
  <c r="U621" i="1"/>
  <c r="U565" i="1"/>
  <c r="U622" i="1"/>
  <c r="U583" i="1"/>
  <c r="U623" i="1"/>
  <c r="U624" i="1"/>
  <c r="U592" i="1"/>
  <c r="U585" i="1"/>
  <c r="U573" i="1"/>
  <c r="U625" i="1"/>
  <c r="U603" i="1"/>
  <c r="U578" i="1"/>
  <c r="U586" i="1"/>
  <c r="U567" i="1"/>
  <c r="U584" i="1"/>
  <c r="U570" i="1"/>
  <c r="U628" i="1"/>
  <c r="U626" i="1"/>
  <c r="U579" i="1"/>
  <c r="U627" i="1"/>
  <c r="U606" i="1"/>
  <c r="U594" i="1"/>
  <c r="U571" i="1"/>
  <c r="U595" i="1"/>
  <c r="U569" i="1"/>
  <c r="U631" i="1"/>
  <c r="U610" i="1"/>
  <c r="U632" i="1"/>
  <c r="U633" i="1"/>
  <c r="U720" i="1"/>
  <c r="U730" i="1"/>
  <c r="U676" i="1"/>
  <c r="U653" i="1"/>
  <c r="U704" i="1"/>
  <c r="U731" i="1"/>
  <c r="U732" i="1"/>
  <c r="U733" i="1"/>
  <c r="U734" i="1"/>
  <c r="U735" i="1"/>
  <c r="U736" i="1"/>
  <c r="U794" i="1"/>
  <c r="U657" i="1"/>
  <c r="U737" i="1"/>
  <c r="U738" i="1"/>
  <c r="U739" i="1"/>
  <c r="U740" i="1"/>
  <c r="U698" i="1"/>
  <c r="U741" i="1"/>
  <c r="U695" i="1"/>
  <c r="U742" i="1"/>
  <c r="U694" i="1"/>
  <c r="U712" i="1"/>
  <c r="U700" i="1"/>
  <c r="U723" i="1"/>
  <c r="U696" i="1"/>
  <c r="U691" i="1"/>
  <c r="U711" i="1"/>
  <c r="U743" i="1"/>
  <c r="U699" i="1"/>
  <c r="U795" i="1"/>
  <c r="U721" i="1"/>
  <c r="U796" i="1"/>
  <c r="U669" i="1"/>
  <c r="U717" i="1"/>
  <c r="U724" i="1"/>
  <c r="U710" i="1"/>
  <c r="U641" i="1"/>
  <c r="U715" i="1"/>
  <c r="U744" i="1"/>
  <c r="U643" i="1"/>
  <c r="U697" i="1"/>
  <c r="U642" i="1"/>
  <c r="U637" i="1"/>
  <c r="U682" i="1"/>
  <c r="U673" i="1"/>
  <c r="U685" i="1"/>
  <c r="U745" i="1"/>
  <c r="U634" i="1"/>
  <c r="U680" i="1"/>
  <c r="U651" i="1"/>
  <c r="U797" i="1"/>
  <c r="U746" i="1"/>
  <c r="U663" i="1"/>
  <c r="U690" i="1"/>
  <c r="U640" i="1"/>
  <c r="U747" i="1"/>
  <c r="U725" i="1"/>
  <c r="U659" i="1"/>
  <c r="U749" i="1"/>
  <c r="U665" i="1"/>
  <c r="U714" i="1"/>
  <c r="U718" i="1"/>
  <c r="U750" i="1"/>
  <c r="U748" i="1"/>
  <c r="U719" i="1"/>
  <c r="U726" i="1"/>
  <c r="U751" i="1"/>
  <c r="U798" i="1"/>
  <c r="U677" i="1"/>
  <c r="U752" i="1"/>
  <c r="U799" i="1"/>
  <c r="U678" i="1"/>
  <c r="U800" i="1"/>
  <c r="U666" i="1"/>
  <c r="U801" i="1"/>
  <c r="U802" i="1"/>
  <c r="U672" i="1"/>
  <c r="U728" i="1"/>
  <c r="U671" i="1"/>
  <c r="U650" i="1"/>
  <c r="U803" i="1"/>
  <c r="U753" i="1"/>
  <c r="U658" i="1"/>
  <c r="U754" i="1"/>
  <c r="U688" i="1"/>
  <c r="U755" i="1"/>
  <c r="U756" i="1"/>
  <c r="U757" i="1"/>
  <c r="U662" i="1"/>
  <c r="U644" i="1"/>
  <c r="U638" i="1"/>
  <c r="U758" i="1"/>
  <c r="U804" i="1"/>
  <c r="U759" i="1"/>
  <c r="U805" i="1"/>
  <c r="U661" i="1"/>
  <c r="U652" i="1"/>
  <c r="U760" i="1"/>
  <c r="U635" i="1"/>
  <c r="U692" i="1"/>
  <c r="U647" i="1"/>
  <c r="U806" i="1"/>
  <c r="U761" i="1"/>
  <c r="U705" i="1"/>
  <c r="U675" i="1"/>
  <c r="U729" i="1"/>
  <c r="U713" i="1"/>
  <c r="U762" i="1"/>
  <c r="U763" i="1"/>
  <c r="U648" i="1"/>
  <c r="U764" i="1"/>
  <c r="U722" i="1"/>
  <c r="U765" i="1"/>
  <c r="U708" i="1"/>
  <c r="U709" i="1"/>
  <c r="U655" i="1"/>
  <c r="U636" i="1"/>
  <c r="U668" i="1"/>
  <c r="U807" i="1"/>
  <c r="U766" i="1"/>
  <c r="U674" i="1"/>
  <c r="U707" i="1"/>
  <c r="U767" i="1"/>
  <c r="U768" i="1"/>
  <c r="U769" i="1"/>
  <c r="U770" i="1"/>
  <c r="U771" i="1"/>
  <c r="U772" i="1"/>
  <c r="U679" i="1"/>
  <c r="U706" i="1"/>
  <c r="U808" i="1"/>
  <c r="U809" i="1"/>
  <c r="U773" i="1"/>
  <c r="U774" i="1"/>
  <c r="U670" i="1"/>
  <c r="U701" i="1"/>
  <c r="U775" i="1"/>
  <c r="U684" i="1"/>
  <c r="U776" i="1"/>
  <c r="U777" i="1"/>
  <c r="U656" i="1"/>
  <c r="U686" i="1"/>
  <c r="U660" i="1"/>
  <c r="U810" i="1"/>
  <c r="U778" i="1"/>
  <c r="U649" i="1"/>
  <c r="U779" i="1"/>
  <c r="U811" i="1"/>
  <c r="U780" i="1"/>
  <c r="U716" i="1"/>
  <c r="U812" i="1"/>
  <c r="U781" i="1"/>
  <c r="U782" i="1"/>
  <c r="U783" i="1"/>
  <c r="U683" i="1"/>
  <c r="U693" i="1"/>
  <c r="U784" i="1"/>
  <c r="U646" i="1"/>
  <c r="U687" i="1"/>
  <c r="U703" i="1"/>
  <c r="U785" i="1"/>
  <c r="U667" i="1"/>
  <c r="U786" i="1"/>
  <c r="U787" i="1"/>
  <c r="U645" i="1"/>
  <c r="U788" i="1"/>
  <c r="U664" i="1"/>
  <c r="U789" i="1"/>
  <c r="U790" i="1"/>
  <c r="U791" i="1"/>
  <c r="U792" i="1"/>
  <c r="U793" i="1"/>
  <c r="U816" i="1"/>
  <c r="U817" i="1"/>
  <c r="U702" i="1"/>
  <c r="U681" i="1"/>
  <c r="U814" i="1"/>
  <c r="U813" i="1"/>
  <c r="U818" i="1"/>
  <c r="U815" i="1"/>
  <c r="U727" i="1"/>
  <c r="U689" i="1"/>
  <c r="U819" i="1"/>
  <c r="U654" i="1"/>
  <c r="U639" i="1"/>
  <c r="U1250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3" i="1"/>
  <c r="U844" i="1"/>
  <c r="U846" i="1"/>
  <c r="U848" i="1"/>
  <c r="U849" i="1"/>
  <c r="U842" i="1"/>
  <c r="U845" i="1"/>
  <c r="U850" i="1"/>
  <c r="U847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3" i="1"/>
  <c r="U1154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80" i="1"/>
  <c r="U1181" i="1"/>
  <c r="U1182" i="1"/>
  <c r="U1183" i="1"/>
  <c r="U1184" i="1"/>
  <c r="U1185" i="1"/>
  <c r="U1186" i="1"/>
  <c r="U1187" i="1"/>
  <c r="U1188" i="1"/>
  <c r="U1189" i="1"/>
  <c r="U1190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4" i="1"/>
  <c r="U1226" i="1"/>
  <c r="U1228" i="1"/>
  <c r="U1229" i="1"/>
  <c r="U1230" i="1"/>
  <c r="U1231" i="1"/>
  <c r="U1232" i="1"/>
  <c r="U1233" i="1"/>
  <c r="U1234" i="1"/>
  <c r="U1235" i="1"/>
  <c r="U1236" i="1"/>
  <c r="U1238" i="1"/>
  <c r="U1239" i="1"/>
  <c r="U1240" i="1"/>
  <c r="U1241" i="1"/>
  <c r="U1243" i="1"/>
  <c r="U1245" i="1"/>
  <c r="U1246" i="1"/>
  <c r="U1247" i="1"/>
  <c r="U1248" i="1"/>
  <c r="U1249" i="1"/>
  <c r="U869" i="1"/>
  <c r="U942" i="1"/>
  <c r="U1050" i="1"/>
  <c r="U1100" i="1"/>
  <c r="U1152" i="1"/>
  <c r="U1155" i="1"/>
  <c r="U1179" i="1"/>
  <c r="U1191" i="1"/>
  <c r="U1207" i="1"/>
  <c r="U1208" i="1"/>
  <c r="U1223" i="1"/>
  <c r="U1225" i="1"/>
  <c r="U1227" i="1"/>
  <c r="U1237" i="1"/>
  <c r="U1242" i="1"/>
  <c r="U1244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30" i="1"/>
  <c r="T32" i="1"/>
  <c r="T34" i="1"/>
  <c r="T33" i="1"/>
  <c r="T35" i="1"/>
  <c r="T36" i="1"/>
  <c r="T37" i="1"/>
  <c r="T38" i="1"/>
  <c r="T39" i="1"/>
  <c r="T40" i="1"/>
  <c r="T41" i="1"/>
  <c r="T42" i="1"/>
  <c r="T43" i="1"/>
  <c r="T44" i="1"/>
  <c r="T45" i="1"/>
  <c r="T47" i="1"/>
  <c r="T46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8" i="1"/>
  <c r="T69" i="1"/>
  <c r="T70" i="1"/>
  <c r="T71" i="1"/>
  <c r="T72" i="1"/>
  <c r="T73" i="1"/>
  <c r="T74" i="1"/>
  <c r="T75" i="1"/>
  <c r="T76" i="1"/>
  <c r="T78" i="1"/>
  <c r="T77" i="1"/>
  <c r="T79" i="1"/>
  <c r="T80" i="1"/>
  <c r="T81" i="1"/>
  <c r="T82" i="1"/>
  <c r="T83" i="1"/>
  <c r="T84" i="1"/>
  <c r="T87" i="1"/>
  <c r="T86" i="1"/>
  <c r="T89" i="1"/>
  <c r="T88" i="1"/>
  <c r="T90" i="1"/>
  <c r="T91" i="1"/>
  <c r="T92" i="1"/>
  <c r="T93" i="1"/>
  <c r="T94" i="1"/>
  <c r="T97" i="1"/>
  <c r="T95" i="1"/>
  <c r="T96" i="1"/>
  <c r="T99" i="1"/>
  <c r="T100" i="1"/>
  <c r="T103" i="1"/>
  <c r="T101" i="1"/>
  <c r="T102" i="1"/>
  <c r="T104" i="1"/>
  <c r="T105" i="1"/>
  <c r="T106" i="1"/>
  <c r="T107" i="1"/>
  <c r="T108" i="1"/>
  <c r="T109" i="1"/>
  <c r="T110" i="1"/>
  <c r="T111" i="1"/>
  <c r="T113" i="1"/>
  <c r="T115" i="1"/>
  <c r="T114" i="1"/>
  <c r="T117" i="1"/>
  <c r="T116" i="1"/>
  <c r="T118" i="1"/>
  <c r="T121" i="1"/>
  <c r="T119" i="1"/>
  <c r="T122" i="1"/>
  <c r="T123" i="1"/>
  <c r="T124" i="1"/>
  <c r="T125" i="1"/>
  <c r="T126" i="1"/>
  <c r="T127" i="1"/>
  <c r="T129" i="1"/>
  <c r="T128" i="1"/>
  <c r="T131" i="1"/>
  <c r="T132" i="1"/>
  <c r="T134" i="1"/>
  <c r="T135" i="1"/>
  <c r="T133" i="1"/>
  <c r="T137" i="1"/>
  <c r="T138" i="1"/>
  <c r="T139" i="1"/>
  <c r="T140" i="1"/>
  <c r="T141" i="1"/>
  <c r="T142" i="1"/>
  <c r="T144" i="1"/>
  <c r="T143" i="1"/>
  <c r="T145" i="1"/>
  <c r="T146" i="1"/>
  <c r="T147" i="1"/>
  <c r="T148" i="1"/>
  <c r="T149" i="1"/>
  <c r="T151" i="1"/>
  <c r="T150" i="1"/>
  <c r="T152" i="1"/>
  <c r="T153" i="1"/>
  <c r="T154" i="1"/>
  <c r="T156" i="1"/>
  <c r="T155" i="1"/>
  <c r="T158" i="1"/>
  <c r="T157" i="1"/>
  <c r="T160" i="1"/>
  <c r="T159" i="1"/>
  <c r="T164" i="1"/>
  <c r="T167" i="1"/>
  <c r="T166" i="1"/>
  <c r="T165" i="1"/>
  <c r="T168" i="1"/>
  <c r="T170" i="1"/>
  <c r="T169" i="1"/>
  <c r="T172" i="1"/>
  <c r="T173" i="1"/>
  <c r="T175" i="1"/>
  <c r="T176" i="1"/>
  <c r="T177" i="1"/>
  <c r="T179" i="1"/>
  <c r="T180" i="1"/>
  <c r="T183" i="1"/>
  <c r="T184" i="1"/>
  <c r="T186" i="1"/>
  <c r="T187" i="1"/>
  <c r="T188" i="1"/>
  <c r="T191" i="1"/>
  <c r="T192" i="1"/>
  <c r="T194" i="1"/>
  <c r="T195" i="1"/>
  <c r="T198" i="1"/>
  <c r="T199" i="1"/>
  <c r="T197" i="1"/>
  <c r="T200" i="1"/>
  <c r="T204" i="1"/>
  <c r="T205" i="1"/>
  <c r="T202" i="1"/>
  <c r="T209" i="1"/>
  <c r="T210" i="1"/>
  <c r="T212" i="1"/>
  <c r="T213" i="1"/>
  <c r="T215" i="1"/>
  <c r="T216" i="1"/>
  <c r="T217" i="1"/>
  <c r="T218" i="1"/>
  <c r="T219" i="1"/>
  <c r="T223" i="1"/>
  <c r="T222" i="1"/>
  <c r="T221" i="1"/>
  <c r="T224" i="1"/>
  <c r="T226" i="1"/>
  <c r="T228" i="1"/>
  <c r="T230" i="1"/>
  <c r="T232" i="1"/>
  <c r="T231" i="1"/>
  <c r="T235" i="1"/>
  <c r="T236" i="1"/>
  <c r="T29" i="1"/>
  <c r="T31" i="1"/>
  <c r="T85" i="1"/>
  <c r="T120" i="1"/>
  <c r="T130" i="1"/>
  <c r="T136" i="1"/>
  <c r="T161" i="1"/>
  <c r="T163" i="1"/>
  <c r="T162" i="1"/>
  <c r="T171" i="1"/>
  <c r="T174" i="1"/>
  <c r="T178" i="1"/>
  <c r="T182" i="1"/>
  <c r="T181" i="1"/>
  <c r="T185" i="1"/>
  <c r="T190" i="1"/>
  <c r="T189" i="1"/>
  <c r="T193" i="1"/>
  <c r="T196" i="1"/>
  <c r="T203" i="1"/>
  <c r="T208" i="1"/>
  <c r="T214" i="1"/>
  <c r="T220" i="1"/>
  <c r="T225" i="1"/>
  <c r="T233" i="1"/>
  <c r="T234" i="1"/>
  <c r="T246" i="1"/>
  <c r="T242" i="1"/>
  <c r="T251" i="1"/>
  <c r="T237" i="1"/>
  <c r="T249" i="1"/>
  <c r="T254" i="1"/>
  <c r="T244" i="1"/>
  <c r="T255" i="1"/>
  <c r="T248" i="1"/>
  <c r="T256" i="1"/>
  <c r="T252" i="1"/>
  <c r="T241" i="1"/>
  <c r="T239" i="1"/>
  <c r="T257" i="1"/>
  <c r="T250" i="1"/>
  <c r="T258" i="1"/>
  <c r="T240" i="1"/>
  <c r="T247" i="1"/>
  <c r="T259" i="1"/>
  <c r="T238" i="1"/>
  <c r="T284" i="1"/>
  <c r="T278" i="1"/>
  <c r="T287" i="1"/>
  <c r="T280" i="1"/>
  <c r="T273" i="1"/>
  <c r="T268" i="1"/>
  <c r="T279" i="1"/>
  <c r="T289" i="1"/>
  <c r="T281" i="1"/>
  <c r="T274" i="1"/>
  <c r="T269" i="1"/>
  <c r="T270" i="1"/>
  <c r="T271" i="1"/>
  <c r="T290" i="1"/>
  <c r="T291" i="1"/>
  <c r="T272" i="1"/>
  <c r="T277" i="1"/>
  <c r="T312" i="1"/>
  <c r="T316" i="1"/>
  <c r="T314" i="1"/>
  <c r="T292" i="1"/>
  <c r="T302" i="1"/>
  <c r="T317" i="1"/>
  <c r="T303" i="1"/>
  <c r="T304" i="1"/>
  <c r="T313" i="1"/>
  <c r="T318" i="1"/>
  <c r="T307" i="1"/>
  <c r="T309" i="1"/>
  <c r="T298" i="1"/>
  <c r="T306" i="1"/>
  <c r="T294" i="1"/>
  <c r="T293" i="1"/>
  <c r="T300" i="1"/>
  <c r="T308" i="1"/>
  <c r="T310" i="1"/>
  <c r="T301" i="1"/>
  <c r="T296" i="1"/>
  <c r="T347" i="1"/>
  <c r="T335" i="1"/>
  <c r="T328" i="1"/>
  <c r="T346" i="1"/>
  <c r="T327" i="1"/>
  <c r="T350" i="1"/>
  <c r="T344" i="1"/>
  <c r="T351" i="1"/>
  <c r="T352" i="1"/>
  <c r="T353" i="1"/>
  <c r="T354" i="1"/>
  <c r="T336" i="1"/>
  <c r="T342" i="1"/>
  <c r="T337" i="1"/>
  <c r="T340" i="1"/>
  <c r="T329" i="1"/>
  <c r="T333" i="1"/>
  <c r="T330" i="1"/>
  <c r="T341" i="1"/>
  <c r="T332" i="1"/>
  <c r="T343" i="1"/>
  <c r="T338" i="1"/>
  <c r="T404" i="1"/>
  <c r="T385" i="1"/>
  <c r="T398" i="1"/>
  <c r="T421" i="1"/>
  <c r="T417" i="1"/>
  <c r="T418" i="1"/>
  <c r="T375" i="1"/>
  <c r="T389" i="1"/>
  <c r="T401" i="1"/>
  <c r="T393" i="1"/>
  <c r="T409" i="1"/>
  <c r="T357" i="1"/>
  <c r="T366" i="1"/>
  <c r="T372" i="1"/>
  <c r="T423" i="1"/>
  <c r="T403" i="1"/>
  <c r="T384" i="1"/>
  <c r="T358" i="1"/>
  <c r="T360" i="1"/>
  <c r="T413" i="1"/>
  <c r="T424" i="1"/>
  <c r="T391" i="1"/>
  <c r="T402" i="1"/>
  <c r="T394" i="1"/>
  <c r="T382" i="1"/>
  <c r="T383" i="1"/>
  <c r="T407" i="1"/>
  <c r="T359" i="1"/>
  <c r="T377" i="1"/>
  <c r="T376" i="1"/>
  <c r="T361" i="1"/>
  <c r="T399" i="1"/>
  <c r="T392" i="1"/>
  <c r="T427" i="1"/>
  <c r="T373" i="1"/>
  <c r="T368" i="1"/>
  <c r="T428" i="1"/>
  <c r="T410" i="1"/>
  <c r="T397" i="1"/>
  <c r="T388" i="1"/>
  <c r="T405" i="1"/>
  <c r="T371" i="1"/>
  <c r="T416" i="1"/>
  <c r="T386" i="1"/>
  <c r="T387" i="1"/>
  <c r="T365" i="1"/>
  <c r="T430" i="1"/>
  <c r="T470" i="1"/>
  <c r="T451" i="1"/>
  <c r="T447" i="1"/>
  <c r="T458" i="1"/>
  <c r="T459" i="1"/>
  <c r="T446" i="1"/>
  <c r="T448" i="1"/>
  <c r="T460" i="1"/>
  <c r="T444" i="1"/>
  <c r="T468" i="1"/>
  <c r="T433" i="1"/>
  <c r="T435" i="1"/>
  <c r="T432" i="1"/>
  <c r="T436" i="1"/>
  <c r="T462" i="1"/>
  <c r="T479" i="1"/>
  <c r="T472" i="1"/>
  <c r="T469" i="1"/>
  <c r="T452" i="1"/>
  <c r="T461" i="1"/>
  <c r="T475" i="1"/>
  <c r="T454" i="1"/>
  <c r="T477" i="1"/>
  <c r="T456" i="1"/>
  <c r="T476" i="1"/>
  <c r="T464" i="1"/>
  <c r="T480" i="1"/>
  <c r="T465" i="1"/>
  <c r="T439" i="1"/>
  <c r="T455" i="1"/>
  <c r="T443" i="1"/>
  <c r="T441" i="1"/>
  <c r="T434" i="1"/>
  <c r="T467" i="1"/>
  <c r="T473" i="1"/>
  <c r="T457" i="1"/>
  <c r="T437" i="1"/>
  <c r="T450" i="1"/>
  <c r="T463" i="1"/>
  <c r="T466" i="1"/>
  <c r="T481" i="1"/>
  <c r="T474" i="1"/>
  <c r="T471" i="1"/>
  <c r="T442" i="1"/>
  <c r="T453" i="1"/>
  <c r="T438" i="1"/>
  <c r="T445" i="1"/>
  <c r="T449" i="1"/>
  <c r="T431" i="1"/>
  <c r="T440" i="1"/>
  <c r="T478" i="1"/>
  <c r="T98" i="1"/>
  <c r="T206" i="1"/>
  <c r="T245" i="1"/>
  <c r="T253" i="1"/>
  <c r="T243" i="1"/>
  <c r="T286" i="1"/>
  <c r="T283" i="1"/>
  <c r="T288" i="1"/>
  <c r="T275" i="1"/>
  <c r="T267" i="1"/>
  <c r="T285" i="1"/>
  <c r="T299" i="1"/>
  <c r="T305" i="1"/>
  <c r="T348" i="1"/>
  <c r="T334" i="1"/>
  <c r="T356" i="1"/>
  <c r="T331" i="1"/>
  <c r="T363" i="1"/>
  <c r="T420" i="1"/>
  <c r="T374" i="1"/>
  <c r="T414" i="1"/>
  <c r="T364" i="1"/>
  <c r="T362" i="1"/>
  <c r="T396" i="1"/>
  <c r="T400" i="1"/>
  <c r="T380" i="1"/>
  <c r="T406" i="1"/>
  <c r="T378" i="1"/>
  <c r="T497" i="1"/>
  <c r="T508" i="1"/>
  <c r="T488" i="1"/>
  <c r="T511" i="1"/>
  <c r="T482" i="1"/>
  <c r="T492" i="1"/>
  <c r="T486" i="1"/>
  <c r="T499" i="1"/>
  <c r="T495" i="1"/>
  <c r="T500" i="1"/>
  <c r="T516" i="1"/>
  <c r="T517" i="1"/>
  <c r="T501" i="1"/>
  <c r="T282" i="1"/>
  <c r="T297" i="1"/>
  <c r="T319" i="1"/>
  <c r="T345" i="1"/>
  <c r="T411" i="1"/>
  <c r="T506" i="1"/>
  <c r="T483" i="1"/>
  <c r="T487" i="1"/>
  <c r="T496" i="1"/>
  <c r="T493" i="1"/>
  <c r="T490" i="1"/>
  <c r="T484" i="1"/>
  <c r="T489" i="1"/>
  <c r="T513" i="1"/>
  <c r="T67" i="1"/>
  <c r="T201" i="1"/>
  <c r="T211" i="1"/>
  <c r="T276" i="1"/>
  <c r="T315" i="1"/>
  <c r="T311" i="1"/>
  <c r="T295" i="1"/>
  <c r="T339" i="1"/>
  <c r="T349" i="1"/>
  <c r="T355" i="1"/>
  <c r="T395" i="1"/>
  <c r="T419" i="1"/>
  <c r="T426" i="1"/>
  <c r="T381" i="1"/>
  <c r="T370" i="1"/>
  <c r="T491" i="1"/>
  <c r="T503" i="1"/>
  <c r="T498" i="1"/>
  <c r="T485" i="1"/>
  <c r="T512" i="1"/>
  <c r="T505" i="1"/>
  <c r="T519" i="1"/>
  <c r="T112" i="1"/>
  <c r="T207" i="1"/>
  <c r="T227" i="1"/>
  <c r="T229" i="1"/>
  <c r="T263" i="1"/>
  <c r="T261" i="1"/>
  <c r="T264" i="1"/>
  <c r="T260" i="1"/>
  <c r="T265" i="1"/>
  <c r="T266" i="1"/>
  <c r="T262" i="1"/>
  <c r="T320" i="1"/>
  <c r="T322" i="1"/>
  <c r="T325" i="1"/>
  <c r="T323" i="1"/>
  <c r="T324" i="1"/>
  <c r="T321" i="1"/>
  <c r="T326" i="1"/>
  <c r="T415" i="1"/>
  <c r="T379" i="1"/>
  <c r="T412" i="1"/>
  <c r="T422" i="1"/>
  <c r="T369" i="1"/>
  <c r="T367" i="1"/>
  <c r="T408" i="1"/>
  <c r="T390" i="1"/>
  <c r="T425" i="1"/>
  <c r="T429" i="1"/>
  <c r="T504" i="1"/>
  <c r="T515" i="1"/>
  <c r="T502" i="1"/>
  <c r="T507" i="1"/>
  <c r="T494" i="1"/>
  <c r="T510" i="1"/>
  <c r="T514" i="1"/>
  <c r="T509" i="1"/>
  <c r="T518" i="1"/>
  <c r="T549" i="1"/>
  <c r="T550" i="1"/>
  <c r="T531" i="1"/>
  <c r="T551" i="1"/>
  <c r="T552" i="1"/>
  <c r="T540" i="1"/>
  <c r="T524" i="1"/>
  <c r="T530" i="1"/>
  <c r="T520" i="1"/>
  <c r="T525" i="1"/>
  <c r="T545" i="1"/>
  <c r="T532" i="1"/>
  <c r="T541" i="1"/>
  <c r="T522" i="1"/>
  <c r="T542" i="1"/>
  <c r="T538" i="1"/>
  <c r="T539" i="1"/>
  <c r="T548" i="1"/>
  <c r="T561" i="1"/>
  <c r="T553" i="1"/>
  <c r="T547" i="1"/>
  <c r="T543" i="1"/>
  <c r="T537" i="1"/>
  <c r="T521" i="1"/>
  <c r="T554" i="1"/>
  <c r="T534" i="1"/>
  <c r="T544" i="1"/>
  <c r="T533" i="1"/>
  <c r="T557" i="1"/>
  <c r="T555" i="1"/>
  <c r="T536" i="1"/>
  <c r="T526" i="1"/>
  <c r="T546" i="1"/>
  <c r="T562" i="1"/>
  <c r="T563" i="1"/>
  <c r="T528" i="1"/>
  <c r="T527" i="1"/>
  <c r="T556" i="1"/>
  <c r="T535" i="1"/>
  <c r="T529" i="1"/>
  <c r="T558" i="1"/>
  <c r="T559" i="1"/>
  <c r="T560" i="1"/>
  <c r="T564" i="1"/>
  <c r="T523" i="1"/>
  <c r="T581" i="1"/>
  <c r="T612" i="1"/>
  <c r="T629" i="1"/>
  <c r="T613" i="1"/>
  <c r="T580" i="1"/>
  <c r="T614" i="1"/>
  <c r="T568" i="1"/>
  <c r="T600" i="1"/>
  <c r="T590" i="1"/>
  <c r="T630" i="1"/>
  <c r="T582" i="1"/>
  <c r="T615" i="1"/>
  <c r="T574" i="1"/>
  <c r="T597" i="1"/>
  <c r="T604" i="1"/>
  <c r="T599" i="1"/>
  <c r="T616" i="1"/>
  <c r="T593" i="1"/>
  <c r="T617" i="1"/>
  <c r="T566" i="1"/>
  <c r="T575" i="1"/>
  <c r="T596" i="1"/>
  <c r="T572" i="1"/>
  <c r="T618" i="1"/>
  <c r="T609" i="1"/>
  <c r="T576" i="1"/>
  <c r="T601" i="1"/>
  <c r="T588" i="1"/>
  <c r="T611" i="1"/>
  <c r="T602" i="1"/>
  <c r="T605" i="1"/>
  <c r="T598" i="1"/>
  <c r="T591" i="1"/>
  <c r="T587" i="1"/>
  <c r="T619" i="1"/>
  <c r="T620" i="1"/>
  <c r="T607" i="1"/>
  <c r="T589" i="1"/>
  <c r="T577" i="1"/>
  <c r="T608" i="1"/>
  <c r="T621" i="1"/>
  <c r="T565" i="1"/>
  <c r="T622" i="1"/>
  <c r="T583" i="1"/>
  <c r="T623" i="1"/>
  <c r="T624" i="1"/>
  <c r="T592" i="1"/>
  <c r="T585" i="1"/>
  <c r="T573" i="1"/>
  <c r="T625" i="1"/>
  <c r="T603" i="1"/>
  <c r="T578" i="1"/>
  <c r="T586" i="1"/>
  <c r="T567" i="1"/>
  <c r="T584" i="1"/>
  <c r="T570" i="1"/>
  <c r="T628" i="1"/>
  <c r="T626" i="1"/>
  <c r="T579" i="1"/>
  <c r="T627" i="1"/>
  <c r="T606" i="1"/>
  <c r="T594" i="1"/>
  <c r="T571" i="1"/>
  <c r="T595" i="1"/>
  <c r="T569" i="1"/>
  <c r="T631" i="1"/>
  <c r="T610" i="1"/>
  <c r="T632" i="1"/>
  <c r="T633" i="1"/>
  <c r="T720" i="1"/>
  <c r="T730" i="1"/>
  <c r="T676" i="1"/>
  <c r="T653" i="1"/>
  <c r="T704" i="1"/>
  <c r="T731" i="1"/>
  <c r="T732" i="1"/>
  <c r="T733" i="1"/>
  <c r="T734" i="1"/>
  <c r="T735" i="1"/>
  <c r="T736" i="1"/>
  <c r="T794" i="1"/>
  <c r="T657" i="1"/>
  <c r="T737" i="1"/>
  <c r="T738" i="1"/>
  <c r="T739" i="1"/>
  <c r="T740" i="1"/>
  <c r="T698" i="1"/>
  <c r="T741" i="1"/>
  <c r="T695" i="1"/>
  <c r="T742" i="1"/>
  <c r="T694" i="1"/>
  <c r="T712" i="1"/>
  <c r="T700" i="1"/>
  <c r="T723" i="1"/>
  <c r="T696" i="1"/>
  <c r="T691" i="1"/>
  <c r="T711" i="1"/>
  <c r="T743" i="1"/>
  <c r="T699" i="1"/>
  <c r="T795" i="1"/>
  <c r="T721" i="1"/>
  <c r="T796" i="1"/>
  <c r="T669" i="1"/>
  <c r="T717" i="1"/>
  <c r="T724" i="1"/>
  <c r="T710" i="1"/>
  <c r="T641" i="1"/>
  <c r="T715" i="1"/>
  <c r="T744" i="1"/>
  <c r="T643" i="1"/>
  <c r="T697" i="1"/>
  <c r="T642" i="1"/>
  <c r="T637" i="1"/>
  <c r="T682" i="1"/>
  <c r="T673" i="1"/>
  <c r="T685" i="1"/>
  <c r="T745" i="1"/>
  <c r="T634" i="1"/>
  <c r="T680" i="1"/>
  <c r="T651" i="1"/>
  <c r="T797" i="1"/>
  <c r="T746" i="1"/>
  <c r="T663" i="1"/>
  <c r="T690" i="1"/>
  <c r="T640" i="1"/>
  <c r="T747" i="1"/>
  <c r="T725" i="1"/>
  <c r="T659" i="1"/>
  <c r="T749" i="1"/>
  <c r="T665" i="1"/>
  <c r="T714" i="1"/>
  <c r="T718" i="1"/>
  <c r="T750" i="1"/>
  <c r="T748" i="1"/>
  <c r="T719" i="1"/>
  <c r="T726" i="1"/>
  <c r="T751" i="1"/>
  <c r="T798" i="1"/>
  <c r="T677" i="1"/>
  <c r="T752" i="1"/>
  <c r="T799" i="1"/>
  <c r="T678" i="1"/>
  <c r="T800" i="1"/>
  <c r="T666" i="1"/>
  <c r="T801" i="1"/>
  <c r="T802" i="1"/>
  <c r="T672" i="1"/>
  <c r="T728" i="1"/>
  <c r="T671" i="1"/>
  <c r="T650" i="1"/>
  <c r="T803" i="1"/>
  <c r="T753" i="1"/>
  <c r="T658" i="1"/>
  <c r="T754" i="1"/>
  <c r="T688" i="1"/>
  <c r="T755" i="1"/>
  <c r="T756" i="1"/>
  <c r="T757" i="1"/>
  <c r="T662" i="1"/>
  <c r="T644" i="1"/>
  <c r="T638" i="1"/>
  <c r="T758" i="1"/>
  <c r="T804" i="1"/>
  <c r="T759" i="1"/>
  <c r="T805" i="1"/>
  <c r="T661" i="1"/>
  <c r="T652" i="1"/>
  <c r="T760" i="1"/>
  <c r="T635" i="1"/>
  <c r="T692" i="1"/>
  <c r="T647" i="1"/>
  <c r="T806" i="1"/>
  <c r="T761" i="1"/>
  <c r="T705" i="1"/>
  <c r="T675" i="1"/>
  <c r="T729" i="1"/>
  <c r="T713" i="1"/>
  <c r="T762" i="1"/>
  <c r="T763" i="1"/>
  <c r="T648" i="1"/>
  <c r="T764" i="1"/>
  <c r="T722" i="1"/>
  <c r="T765" i="1"/>
  <c r="T708" i="1"/>
  <c r="T709" i="1"/>
  <c r="T655" i="1"/>
  <c r="T636" i="1"/>
  <c r="T668" i="1"/>
  <c r="T807" i="1"/>
  <c r="T766" i="1"/>
  <c r="T674" i="1"/>
  <c r="T707" i="1"/>
  <c r="T767" i="1"/>
  <c r="T768" i="1"/>
  <c r="T769" i="1"/>
  <c r="T770" i="1"/>
  <c r="T771" i="1"/>
  <c r="T772" i="1"/>
  <c r="T679" i="1"/>
  <c r="T706" i="1"/>
  <c r="T808" i="1"/>
  <c r="T809" i="1"/>
  <c r="T773" i="1"/>
  <c r="T774" i="1"/>
  <c r="T670" i="1"/>
  <c r="T701" i="1"/>
  <c r="T775" i="1"/>
  <c r="T684" i="1"/>
  <c r="T776" i="1"/>
  <c r="T777" i="1"/>
  <c r="T656" i="1"/>
  <c r="T686" i="1"/>
  <c r="T660" i="1"/>
  <c r="T810" i="1"/>
  <c r="T778" i="1"/>
  <c r="T649" i="1"/>
  <c r="T779" i="1"/>
  <c r="T811" i="1"/>
  <c r="T780" i="1"/>
  <c r="T716" i="1"/>
  <c r="T812" i="1"/>
  <c r="T781" i="1"/>
  <c r="T782" i="1"/>
  <c r="T783" i="1"/>
  <c r="T683" i="1"/>
  <c r="T693" i="1"/>
  <c r="T784" i="1"/>
  <c r="T646" i="1"/>
  <c r="T687" i="1"/>
  <c r="T703" i="1"/>
  <c r="T785" i="1"/>
  <c r="T667" i="1"/>
  <c r="T786" i="1"/>
  <c r="T787" i="1"/>
  <c r="T645" i="1"/>
  <c r="T788" i="1"/>
  <c r="T664" i="1"/>
  <c r="T789" i="1"/>
  <c r="T790" i="1"/>
  <c r="T791" i="1"/>
  <c r="T792" i="1"/>
  <c r="T793" i="1"/>
  <c r="T816" i="1"/>
  <c r="T817" i="1"/>
  <c r="T702" i="1"/>
  <c r="T681" i="1"/>
  <c r="T814" i="1"/>
  <c r="T813" i="1"/>
  <c r="T818" i="1"/>
  <c r="T815" i="1"/>
  <c r="T727" i="1"/>
  <c r="T689" i="1"/>
  <c r="T819" i="1"/>
  <c r="T654" i="1"/>
  <c r="T639" i="1"/>
  <c r="T1250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3" i="1"/>
  <c r="T844" i="1"/>
  <c r="T846" i="1"/>
  <c r="T848" i="1"/>
  <c r="T849" i="1"/>
  <c r="T842" i="1"/>
  <c r="T845" i="1"/>
  <c r="T850" i="1"/>
  <c r="T847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3" i="1"/>
  <c r="T1154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80" i="1"/>
  <c r="T1181" i="1"/>
  <c r="T1182" i="1"/>
  <c r="T1183" i="1"/>
  <c r="T1184" i="1"/>
  <c r="T1185" i="1"/>
  <c r="T1186" i="1"/>
  <c r="T1187" i="1"/>
  <c r="T1188" i="1"/>
  <c r="T1189" i="1"/>
  <c r="T1190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4" i="1"/>
  <c r="T1226" i="1"/>
  <c r="T1228" i="1"/>
  <c r="T1229" i="1"/>
  <c r="T1230" i="1"/>
  <c r="T1231" i="1"/>
  <c r="T1232" i="1"/>
  <c r="T1233" i="1"/>
  <c r="T1234" i="1"/>
  <c r="T1235" i="1"/>
  <c r="T1236" i="1"/>
  <c r="T1238" i="1"/>
  <c r="T1239" i="1"/>
  <c r="T1240" i="1"/>
  <c r="T1241" i="1"/>
  <c r="T1243" i="1"/>
  <c r="T1245" i="1"/>
  <c r="T1246" i="1"/>
  <c r="T1247" i="1"/>
  <c r="T1248" i="1"/>
  <c r="T1249" i="1"/>
  <c r="T869" i="1"/>
  <c r="T942" i="1"/>
  <c r="T1050" i="1"/>
  <c r="T1100" i="1"/>
  <c r="T1152" i="1"/>
  <c r="T1155" i="1"/>
  <c r="T1179" i="1"/>
  <c r="T1191" i="1"/>
  <c r="T1207" i="1"/>
  <c r="T1208" i="1"/>
  <c r="T1223" i="1"/>
  <c r="T1225" i="1"/>
  <c r="T1227" i="1"/>
  <c r="T1237" i="1"/>
  <c r="T1242" i="1"/>
  <c r="T1244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30" i="1"/>
  <c r="S32" i="1"/>
  <c r="S34" i="1"/>
  <c r="S33" i="1"/>
  <c r="S35" i="1"/>
  <c r="S36" i="1"/>
  <c r="S37" i="1"/>
  <c r="S38" i="1"/>
  <c r="S39" i="1"/>
  <c r="S40" i="1"/>
  <c r="S41" i="1"/>
  <c r="S42" i="1"/>
  <c r="S43" i="1"/>
  <c r="S44" i="1"/>
  <c r="S45" i="1"/>
  <c r="S47" i="1"/>
  <c r="S46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8" i="1"/>
  <c r="S69" i="1"/>
  <c r="S70" i="1"/>
  <c r="S71" i="1"/>
  <c r="S72" i="1"/>
  <c r="S73" i="1"/>
  <c r="S74" i="1"/>
  <c r="S75" i="1"/>
  <c r="S76" i="1"/>
  <c r="S78" i="1"/>
  <c r="S77" i="1"/>
  <c r="S79" i="1"/>
  <c r="S80" i="1"/>
  <c r="S81" i="1"/>
  <c r="S82" i="1"/>
  <c r="S83" i="1"/>
  <c r="S84" i="1"/>
  <c r="S87" i="1"/>
  <c r="S86" i="1"/>
  <c r="S89" i="1"/>
  <c r="S88" i="1"/>
  <c r="S90" i="1"/>
  <c r="S91" i="1"/>
  <c r="S92" i="1"/>
  <c r="S93" i="1"/>
  <c r="S94" i="1"/>
  <c r="S97" i="1"/>
  <c r="S95" i="1"/>
  <c r="S96" i="1"/>
  <c r="S99" i="1"/>
  <c r="S100" i="1"/>
  <c r="S103" i="1"/>
  <c r="S101" i="1"/>
  <c r="S102" i="1"/>
  <c r="S104" i="1"/>
  <c r="S105" i="1"/>
  <c r="S106" i="1"/>
  <c r="S107" i="1"/>
  <c r="S108" i="1"/>
  <c r="S109" i="1"/>
  <c r="S110" i="1"/>
  <c r="S111" i="1"/>
  <c r="S113" i="1"/>
  <c r="S115" i="1"/>
  <c r="S114" i="1"/>
  <c r="S117" i="1"/>
  <c r="S116" i="1"/>
  <c r="S118" i="1"/>
  <c r="S121" i="1"/>
  <c r="S119" i="1"/>
  <c r="S122" i="1"/>
  <c r="S123" i="1"/>
  <c r="S124" i="1"/>
  <c r="S125" i="1"/>
  <c r="S126" i="1"/>
  <c r="S127" i="1"/>
  <c r="S129" i="1"/>
  <c r="S128" i="1"/>
  <c r="S131" i="1"/>
  <c r="S132" i="1"/>
  <c r="S134" i="1"/>
  <c r="S135" i="1"/>
  <c r="S133" i="1"/>
  <c r="S137" i="1"/>
  <c r="S138" i="1"/>
  <c r="S139" i="1"/>
  <c r="S140" i="1"/>
  <c r="S141" i="1"/>
  <c r="S142" i="1"/>
  <c r="S144" i="1"/>
  <c r="S143" i="1"/>
  <c r="S145" i="1"/>
  <c r="S146" i="1"/>
  <c r="S147" i="1"/>
  <c r="S148" i="1"/>
  <c r="S149" i="1"/>
  <c r="S151" i="1"/>
  <c r="S150" i="1"/>
  <c r="S152" i="1"/>
  <c r="S153" i="1"/>
  <c r="S154" i="1"/>
  <c r="S156" i="1"/>
  <c r="S155" i="1"/>
  <c r="S158" i="1"/>
  <c r="S157" i="1"/>
  <c r="S160" i="1"/>
  <c r="S159" i="1"/>
  <c r="S164" i="1"/>
  <c r="S167" i="1"/>
  <c r="S166" i="1"/>
  <c r="S165" i="1"/>
  <c r="S168" i="1"/>
  <c r="S170" i="1"/>
  <c r="S169" i="1"/>
  <c r="S172" i="1"/>
  <c r="S173" i="1"/>
  <c r="S175" i="1"/>
  <c r="S176" i="1"/>
  <c r="S177" i="1"/>
  <c r="S179" i="1"/>
  <c r="S180" i="1"/>
  <c r="S183" i="1"/>
  <c r="S184" i="1"/>
  <c r="S186" i="1"/>
  <c r="S187" i="1"/>
  <c r="S188" i="1"/>
  <c r="S191" i="1"/>
  <c r="S192" i="1"/>
  <c r="S194" i="1"/>
  <c r="S195" i="1"/>
  <c r="S198" i="1"/>
  <c r="S199" i="1"/>
  <c r="S197" i="1"/>
  <c r="S200" i="1"/>
  <c r="S204" i="1"/>
  <c r="S205" i="1"/>
  <c r="S202" i="1"/>
  <c r="S209" i="1"/>
  <c r="S210" i="1"/>
  <c r="S212" i="1"/>
  <c r="S213" i="1"/>
  <c r="S215" i="1"/>
  <c r="S216" i="1"/>
  <c r="S217" i="1"/>
  <c r="S218" i="1"/>
  <c r="S219" i="1"/>
  <c r="S223" i="1"/>
  <c r="S222" i="1"/>
  <c r="S221" i="1"/>
  <c r="S224" i="1"/>
  <c r="S226" i="1"/>
  <c r="S228" i="1"/>
  <c r="S230" i="1"/>
  <c r="S232" i="1"/>
  <c r="S231" i="1"/>
  <c r="S235" i="1"/>
  <c r="S236" i="1"/>
  <c r="S29" i="1"/>
  <c r="S31" i="1"/>
  <c r="S85" i="1"/>
  <c r="S120" i="1"/>
  <c r="S130" i="1"/>
  <c r="S136" i="1"/>
  <c r="S161" i="1"/>
  <c r="S163" i="1"/>
  <c r="S162" i="1"/>
  <c r="S171" i="1"/>
  <c r="S174" i="1"/>
  <c r="S178" i="1"/>
  <c r="S182" i="1"/>
  <c r="S181" i="1"/>
  <c r="S185" i="1"/>
  <c r="S190" i="1"/>
  <c r="S189" i="1"/>
  <c r="S193" i="1"/>
  <c r="S196" i="1"/>
  <c r="S203" i="1"/>
  <c r="S208" i="1"/>
  <c r="S214" i="1"/>
  <c r="S220" i="1"/>
  <c r="S225" i="1"/>
  <c r="S233" i="1"/>
  <c r="S234" i="1"/>
  <c r="S246" i="1"/>
  <c r="S242" i="1"/>
  <c r="S251" i="1"/>
  <c r="S237" i="1"/>
  <c r="S249" i="1"/>
  <c r="S254" i="1"/>
  <c r="S244" i="1"/>
  <c r="S255" i="1"/>
  <c r="S248" i="1"/>
  <c r="S256" i="1"/>
  <c r="S252" i="1"/>
  <c r="S241" i="1"/>
  <c r="S239" i="1"/>
  <c r="S257" i="1"/>
  <c r="S250" i="1"/>
  <c r="S258" i="1"/>
  <c r="S240" i="1"/>
  <c r="S247" i="1"/>
  <c r="S259" i="1"/>
  <c r="S238" i="1"/>
  <c r="S284" i="1"/>
  <c r="S278" i="1"/>
  <c r="S287" i="1"/>
  <c r="S280" i="1"/>
  <c r="S273" i="1"/>
  <c r="S268" i="1"/>
  <c r="S279" i="1"/>
  <c r="S289" i="1"/>
  <c r="S281" i="1"/>
  <c r="S274" i="1"/>
  <c r="S269" i="1"/>
  <c r="S270" i="1"/>
  <c r="S271" i="1"/>
  <c r="S290" i="1"/>
  <c r="S291" i="1"/>
  <c r="S272" i="1"/>
  <c r="S277" i="1"/>
  <c r="S312" i="1"/>
  <c r="S316" i="1"/>
  <c r="S314" i="1"/>
  <c r="S292" i="1"/>
  <c r="S302" i="1"/>
  <c r="S317" i="1"/>
  <c r="S303" i="1"/>
  <c r="S304" i="1"/>
  <c r="S313" i="1"/>
  <c r="S318" i="1"/>
  <c r="S307" i="1"/>
  <c r="S309" i="1"/>
  <c r="S298" i="1"/>
  <c r="S306" i="1"/>
  <c r="S294" i="1"/>
  <c r="S293" i="1"/>
  <c r="S300" i="1"/>
  <c r="S308" i="1"/>
  <c r="S310" i="1"/>
  <c r="S301" i="1"/>
  <c r="S296" i="1"/>
  <c r="S347" i="1"/>
  <c r="S335" i="1"/>
  <c r="S328" i="1"/>
  <c r="S346" i="1"/>
  <c r="S327" i="1"/>
  <c r="S350" i="1"/>
  <c r="S344" i="1"/>
  <c r="S351" i="1"/>
  <c r="S352" i="1"/>
  <c r="S353" i="1"/>
  <c r="S354" i="1"/>
  <c r="S336" i="1"/>
  <c r="S342" i="1"/>
  <c r="S337" i="1"/>
  <c r="S340" i="1"/>
  <c r="S329" i="1"/>
  <c r="S333" i="1"/>
  <c r="S330" i="1"/>
  <c r="S341" i="1"/>
  <c r="S332" i="1"/>
  <c r="S343" i="1"/>
  <c r="S338" i="1"/>
  <c r="S404" i="1"/>
  <c r="S385" i="1"/>
  <c r="S398" i="1"/>
  <c r="S421" i="1"/>
  <c r="S417" i="1"/>
  <c r="S418" i="1"/>
  <c r="S375" i="1"/>
  <c r="S389" i="1"/>
  <c r="S401" i="1"/>
  <c r="S393" i="1"/>
  <c r="S409" i="1"/>
  <c r="S357" i="1"/>
  <c r="S366" i="1"/>
  <c r="S372" i="1"/>
  <c r="S423" i="1"/>
  <c r="S403" i="1"/>
  <c r="S384" i="1"/>
  <c r="S358" i="1"/>
  <c r="S360" i="1"/>
  <c r="S413" i="1"/>
  <c r="S424" i="1"/>
  <c r="S391" i="1"/>
  <c r="S402" i="1"/>
  <c r="S394" i="1"/>
  <c r="S382" i="1"/>
  <c r="S383" i="1"/>
  <c r="S407" i="1"/>
  <c r="S359" i="1"/>
  <c r="S377" i="1"/>
  <c r="S376" i="1"/>
  <c r="S361" i="1"/>
  <c r="S399" i="1"/>
  <c r="S392" i="1"/>
  <c r="S427" i="1"/>
  <c r="S373" i="1"/>
  <c r="S368" i="1"/>
  <c r="S428" i="1"/>
  <c r="S410" i="1"/>
  <c r="S397" i="1"/>
  <c r="S388" i="1"/>
  <c r="S405" i="1"/>
  <c r="S371" i="1"/>
  <c r="S416" i="1"/>
  <c r="S386" i="1"/>
  <c r="S387" i="1"/>
  <c r="S365" i="1"/>
  <c r="S430" i="1"/>
  <c r="S470" i="1"/>
  <c r="S451" i="1"/>
  <c r="S447" i="1"/>
  <c r="S458" i="1"/>
  <c r="S459" i="1"/>
  <c r="S446" i="1"/>
  <c r="S448" i="1"/>
  <c r="S460" i="1"/>
  <c r="S444" i="1"/>
  <c r="S468" i="1"/>
  <c r="S433" i="1"/>
  <c r="S435" i="1"/>
  <c r="S432" i="1"/>
  <c r="S436" i="1"/>
  <c r="S462" i="1"/>
  <c r="S479" i="1"/>
  <c r="S472" i="1"/>
  <c r="S469" i="1"/>
  <c r="S452" i="1"/>
  <c r="S461" i="1"/>
  <c r="S475" i="1"/>
  <c r="S454" i="1"/>
  <c r="S477" i="1"/>
  <c r="S456" i="1"/>
  <c r="S476" i="1"/>
  <c r="S464" i="1"/>
  <c r="S480" i="1"/>
  <c r="S465" i="1"/>
  <c r="S439" i="1"/>
  <c r="S455" i="1"/>
  <c r="S443" i="1"/>
  <c r="S441" i="1"/>
  <c r="S434" i="1"/>
  <c r="S467" i="1"/>
  <c r="S473" i="1"/>
  <c r="S457" i="1"/>
  <c r="S437" i="1"/>
  <c r="S450" i="1"/>
  <c r="S463" i="1"/>
  <c r="S466" i="1"/>
  <c r="S481" i="1"/>
  <c r="S474" i="1"/>
  <c r="S471" i="1"/>
  <c r="S442" i="1"/>
  <c r="S453" i="1"/>
  <c r="S438" i="1"/>
  <c r="S445" i="1"/>
  <c r="S449" i="1"/>
  <c r="S431" i="1"/>
  <c r="S440" i="1"/>
  <c r="S478" i="1"/>
  <c r="S98" i="1"/>
  <c r="S206" i="1"/>
  <c r="S245" i="1"/>
  <c r="S253" i="1"/>
  <c r="S243" i="1"/>
  <c r="S286" i="1"/>
  <c r="S283" i="1"/>
  <c r="S288" i="1"/>
  <c r="S275" i="1"/>
  <c r="S267" i="1"/>
  <c r="S285" i="1"/>
  <c r="S299" i="1"/>
  <c r="S305" i="1"/>
  <c r="S348" i="1"/>
  <c r="S334" i="1"/>
  <c r="S356" i="1"/>
  <c r="S331" i="1"/>
  <c r="S363" i="1"/>
  <c r="S420" i="1"/>
  <c r="S374" i="1"/>
  <c r="S414" i="1"/>
  <c r="S364" i="1"/>
  <c r="S362" i="1"/>
  <c r="S396" i="1"/>
  <c r="S400" i="1"/>
  <c r="S380" i="1"/>
  <c r="S406" i="1"/>
  <c r="S378" i="1"/>
  <c r="S497" i="1"/>
  <c r="S508" i="1"/>
  <c r="S488" i="1"/>
  <c r="S511" i="1"/>
  <c r="S482" i="1"/>
  <c r="S492" i="1"/>
  <c r="S486" i="1"/>
  <c r="S499" i="1"/>
  <c r="S495" i="1"/>
  <c r="S500" i="1"/>
  <c r="S516" i="1"/>
  <c r="S517" i="1"/>
  <c r="S501" i="1"/>
  <c r="S282" i="1"/>
  <c r="S297" i="1"/>
  <c r="S319" i="1"/>
  <c r="S345" i="1"/>
  <c r="S411" i="1"/>
  <c r="S506" i="1"/>
  <c r="S483" i="1"/>
  <c r="S487" i="1"/>
  <c r="S496" i="1"/>
  <c r="S493" i="1"/>
  <c r="S490" i="1"/>
  <c r="S484" i="1"/>
  <c r="S489" i="1"/>
  <c r="S513" i="1"/>
  <c r="S67" i="1"/>
  <c r="S201" i="1"/>
  <c r="S211" i="1"/>
  <c r="S276" i="1"/>
  <c r="S315" i="1"/>
  <c r="S311" i="1"/>
  <c r="S295" i="1"/>
  <c r="S339" i="1"/>
  <c r="S349" i="1"/>
  <c r="S355" i="1"/>
  <c r="S395" i="1"/>
  <c r="S419" i="1"/>
  <c r="S426" i="1"/>
  <c r="S381" i="1"/>
  <c r="S370" i="1"/>
  <c r="S491" i="1"/>
  <c r="S503" i="1"/>
  <c r="S498" i="1"/>
  <c r="S485" i="1"/>
  <c r="S512" i="1"/>
  <c r="S505" i="1"/>
  <c r="S519" i="1"/>
  <c r="S112" i="1"/>
  <c r="S207" i="1"/>
  <c r="S227" i="1"/>
  <c r="S229" i="1"/>
  <c r="S263" i="1"/>
  <c r="S261" i="1"/>
  <c r="S264" i="1"/>
  <c r="S260" i="1"/>
  <c r="S265" i="1"/>
  <c r="S266" i="1"/>
  <c r="S262" i="1"/>
  <c r="S320" i="1"/>
  <c r="S322" i="1"/>
  <c r="S325" i="1"/>
  <c r="S323" i="1"/>
  <c r="S324" i="1"/>
  <c r="S321" i="1"/>
  <c r="S326" i="1"/>
  <c r="S415" i="1"/>
  <c r="S379" i="1"/>
  <c r="S412" i="1"/>
  <c r="S422" i="1"/>
  <c r="S369" i="1"/>
  <c r="S367" i="1"/>
  <c r="S408" i="1"/>
  <c r="S390" i="1"/>
  <c r="S425" i="1"/>
  <c r="S429" i="1"/>
  <c r="S504" i="1"/>
  <c r="S515" i="1"/>
  <c r="S502" i="1"/>
  <c r="S507" i="1"/>
  <c r="S494" i="1"/>
  <c r="S510" i="1"/>
  <c r="S514" i="1"/>
  <c r="S509" i="1"/>
  <c r="S518" i="1"/>
  <c r="S549" i="1"/>
  <c r="S550" i="1"/>
  <c r="S531" i="1"/>
  <c r="S551" i="1"/>
  <c r="S552" i="1"/>
  <c r="S540" i="1"/>
  <c r="S524" i="1"/>
  <c r="S530" i="1"/>
  <c r="S520" i="1"/>
  <c r="S525" i="1"/>
  <c r="S545" i="1"/>
  <c r="S532" i="1"/>
  <c r="S541" i="1"/>
  <c r="S522" i="1"/>
  <c r="S542" i="1"/>
  <c r="S538" i="1"/>
  <c r="S539" i="1"/>
  <c r="S548" i="1"/>
  <c r="S561" i="1"/>
  <c r="S553" i="1"/>
  <c r="S547" i="1"/>
  <c r="S543" i="1"/>
  <c r="S537" i="1"/>
  <c r="S521" i="1"/>
  <c r="S554" i="1"/>
  <c r="S534" i="1"/>
  <c r="S544" i="1"/>
  <c r="S533" i="1"/>
  <c r="S557" i="1"/>
  <c r="S555" i="1"/>
  <c r="S536" i="1"/>
  <c r="S526" i="1"/>
  <c r="S546" i="1"/>
  <c r="S562" i="1"/>
  <c r="S563" i="1"/>
  <c r="S528" i="1"/>
  <c r="S527" i="1"/>
  <c r="S556" i="1"/>
  <c r="S535" i="1"/>
  <c r="S529" i="1"/>
  <c r="S558" i="1"/>
  <c r="S559" i="1"/>
  <c r="S560" i="1"/>
  <c r="S564" i="1"/>
  <c r="S523" i="1"/>
  <c r="S581" i="1"/>
  <c r="S612" i="1"/>
  <c r="S629" i="1"/>
  <c r="S613" i="1"/>
  <c r="S580" i="1"/>
  <c r="S614" i="1"/>
  <c r="S568" i="1"/>
  <c r="S600" i="1"/>
  <c r="S590" i="1"/>
  <c r="S630" i="1"/>
  <c r="S582" i="1"/>
  <c r="S615" i="1"/>
  <c r="S574" i="1"/>
  <c r="S597" i="1"/>
  <c r="S604" i="1"/>
  <c r="S599" i="1"/>
  <c r="S616" i="1"/>
  <c r="S593" i="1"/>
  <c r="S617" i="1"/>
  <c r="S566" i="1"/>
  <c r="S575" i="1"/>
  <c r="S596" i="1"/>
  <c r="S572" i="1"/>
  <c r="S618" i="1"/>
  <c r="S609" i="1"/>
  <c r="S576" i="1"/>
  <c r="S601" i="1"/>
  <c r="S588" i="1"/>
  <c r="S611" i="1"/>
  <c r="S602" i="1"/>
  <c r="S605" i="1"/>
  <c r="S598" i="1"/>
  <c r="S591" i="1"/>
  <c r="S587" i="1"/>
  <c r="S619" i="1"/>
  <c r="S620" i="1"/>
  <c r="S607" i="1"/>
  <c r="S589" i="1"/>
  <c r="S577" i="1"/>
  <c r="S608" i="1"/>
  <c r="S621" i="1"/>
  <c r="S565" i="1"/>
  <c r="S622" i="1"/>
  <c r="S583" i="1"/>
  <c r="S623" i="1"/>
  <c r="S624" i="1"/>
  <c r="S592" i="1"/>
  <c r="S585" i="1"/>
  <c r="S573" i="1"/>
  <c r="S625" i="1"/>
  <c r="S603" i="1"/>
  <c r="S578" i="1"/>
  <c r="S586" i="1"/>
  <c r="S567" i="1"/>
  <c r="S584" i="1"/>
  <c r="S570" i="1"/>
  <c r="S628" i="1"/>
  <c r="S626" i="1"/>
  <c r="S579" i="1"/>
  <c r="S627" i="1"/>
  <c r="S606" i="1"/>
  <c r="S594" i="1"/>
  <c r="S571" i="1"/>
  <c r="S595" i="1"/>
  <c r="S569" i="1"/>
  <c r="S631" i="1"/>
  <c r="S610" i="1"/>
  <c r="S632" i="1"/>
  <c r="S633" i="1"/>
  <c r="S720" i="1"/>
  <c r="S730" i="1"/>
  <c r="S676" i="1"/>
  <c r="S653" i="1"/>
  <c r="S704" i="1"/>
  <c r="S731" i="1"/>
  <c r="S732" i="1"/>
  <c r="S733" i="1"/>
  <c r="S734" i="1"/>
  <c r="S735" i="1"/>
  <c r="S736" i="1"/>
  <c r="S794" i="1"/>
  <c r="S657" i="1"/>
  <c r="S737" i="1"/>
  <c r="S738" i="1"/>
  <c r="S739" i="1"/>
  <c r="S740" i="1"/>
  <c r="S698" i="1"/>
  <c r="S741" i="1"/>
  <c r="S695" i="1"/>
  <c r="S742" i="1"/>
  <c r="S694" i="1"/>
  <c r="S712" i="1"/>
  <c r="S700" i="1"/>
  <c r="S723" i="1"/>
  <c r="S696" i="1"/>
  <c r="S691" i="1"/>
  <c r="S711" i="1"/>
  <c r="S743" i="1"/>
  <c r="S699" i="1"/>
  <c r="S795" i="1"/>
  <c r="S721" i="1"/>
  <c r="S796" i="1"/>
  <c r="S669" i="1"/>
  <c r="S717" i="1"/>
  <c r="S724" i="1"/>
  <c r="S710" i="1"/>
  <c r="S641" i="1"/>
  <c r="S715" i="1"/>
  <c r="S744" i="1"/>
  <c r="S643" i="1"/>
  <c r="S697" i="1"/>
  <c r="S642" i="1"/>
  <c r="S637" i="1"/>
  <c r="S682" i="1"/>
  <c r="S673" i="1"/>
  <c r="S685" i="1"/>
  <c r="S745" i="1"/>
  <c r="S634" i="1"/>
  <c r="S680" i="1"/>
  <c r="S651" i="1"/>
  <c r="S797" i="1"/>
  <c r="S746" i="1"/>
  <c r="S663" i="1"/>
  <c r="S690" i="1"/>
  <c r="S640" i="1"/>
  <c r="S747" i="1"/>
  <c r="S725" i="1"/>
  <c r="S659" i="1"/>
  <c r="S749" i="1"/>
  <c r="S665" i="1"/>
  <c r="S714" i="1"/>
  <c r="S718" i="1"/>
  <c r="S750" i="1"/>
  <c r="S748" i="1"/>
  <c r="S719" i="1"/>
  <c r="S726" i="1"/>
  <c r="S751" i="1"/>
  <c r="S798" i="1"/>
  <c r="S677" i="1"/>
  <c r="S752" i="1"/>
  <c r="S799" i="1"/>
  <c r="S678" i="1"/>
  <c r="S800" i="1"/>
  <c r="S666" i="1"/>
  <c r="S801" i="1"/>
  <c r="S802" i="1"/>
  <c r="S672" i="1"/>
  <c r="S728" i="1"/>
  <c r="S671" i="1"/>
  <c r="S650" i="1"/>
  <c r="S803" i="1"/>
  <c r="S753" i="1"/>
  <c r="S658" i="1"/>
  <c r="S754" i="1"/>
  <c r="S688" i="1"/>
  <c r="S755" i="1"/>
  <c r="S756" i="1"/>
  <c r="S757" i="1"/>
  <c r="S662" i="1"/>
  <c r="S644" i="1"/>
  <c r="S638" i="1"/>
  <c r="S758" i="1"/>
  <c r="S804" i="1"/>
  <c r="S759" i="1"/>
  <c r="S805" i="1"/>
  <c r="S661" i="1"/>
  <c r="S652" i="1"/>
  <c r="S760" i="1"/>
  <c r="S635" i="1"/>
  <c r="S692" i="1"/>
  <c r="S647" i="1"/>
  <c r="S806" i="1"/>
  <c r="S761" i="1"/>
  <c r="S705" i="1"/>
  <c r="S675" i="1"/>
  <c r="S729" i="1"/>
  <c r="S713" i="1"/>
  <c r="S762" i="1"/>
  <c r="S763" i="1"/>
  <c r="S648" i="1"/>
  <c r="S764" i="1"/>
  <c r="S722" i="1"/>
  <c r="S765" i="1"/>
  <c r="S708" i="1"/>
  <c r="S709" i="1"/>
  <c r="S655" i="1"/>
  <c r="S636" i="1"/>
  <c r="S668" i="1"/>
  <c r="S807" i="1"/>
  <c r="S766" i="1"/>
  <c r="S674" i="1"/>
  <c r="S707" i="1"/>
  <c r="S767" i="1"/>
  <c r="S768" i="1"/>
  <c r="S769" i="1"/>
  <c r="S770" i="1"/>
  <c r="S771" i="1"/>
  <c r="S772" i="1"/>
  <c r="S679" i="1"/>
  <c r="S706" i="1"/>
  <c r="S808" i="1"/>
  <c r="S809" i="1"/>
  <c r="S773" i="1"/>
  <c r="S774" i="1"/>
  <c r="S670" i="1"/>
  <c r="S701" i="1"/>
  <c r="S775" i="1"/>
  <c r="S684" i="1"/>
  <c r="S776" i="1"/>
  <c r="S777" i="1"/>
  <c r="S656" i="1"/>
  <c r="S686" i="1"/>
  <c r="S660" i="1"/>
  <c r="S810" i="1"/>
  <c r="S778" i="1"/>
  <c r="S649" i="1"/>
  <c r="S779" i="1"/>
  <c r="S811" i="1"/>
  <c r="S780" i="1"/>
  <c r="S716" i="1"/>
  <c r="S812" i="1"/>
  <c r="S781" i="1"/>
  <c r="S782" i="1"/>
  <c r="S783" i="1"/>
  <c r="S683" i="1"/>
  <c r="S693" i="1"/>
  <c r="S784" i="1"/>
  <c r="S646" i="1"/>
  <c r="S687" i="1"/>
  <c r="S703" i="1"/>
  <c r="S785" i="1"/>
  <c r="S667" i="1"/>
  <c r="S786" i="1"/>
  <c r="S787" i="1"/>
  <c r="S645" i="1"/>
  <c r="S788" i="1"/>
  <c r="S664" i="1"/>
  <c r="S789" i="1"/>
  <c r="S790" i="1"/>
  <c r="S791" i="1"/>
  <c r="S792" i="1"/>
  <c r="S793" i="1"/>
  <c r="S816" i="1"/>
  <c r="S817" i="1"/>
  <c r="S702" i="1"/>
  <c r="S681" i="1"/>
  <c r="S814" i="1"/>
  <c r="S813" i="1"/>
  <c r="S818" i="1"/>
  <c r="S815" i="1"/>
  <c r="S727" i="1"/>
  <c r="S689" i="1"/>
  <c r="S819" i="1"/>
  <c r="S654" i="1"/>
  <c r="S639" i="1"/>
  <c r="S1250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3" i="1"/>
  <c r="S844" i="1"/>
  <c r="S846" i="1"/>
  <c r="S848" i="1"/>
  <c r="S849" i="1"/>
  <c r="S842" i="1"/>
  <c r="S845" i="1"/>
  <c r="S850" i="1"/>
  <c r="S847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3" i="1"/>
  <c r="S1154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80" i="1"/>
  <c r="S1181" i="1"/>
  <c r="S1182" i="1"/>
  <c r="S1183" i="1"/>
  <c r="S1184" i="1"/>
  <c r="S1185" i="1"/>
  <c r="S1186" i="1"/>
  <c r="S1187" i="1"/>
  <c r="S1188" i="1"/>
  <c r="S1189" i="1"/>
  <c r="S1190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4" i="1"/>
  <c r="S1226" i="1"/>
  <c r="S1228" i="1"/>
  <c r="S1229" i="1"/>
  <c r="S1230" i="1"/>
  <c r="S1231" i="1"/>
  <c r="S1232" i="1"/>
  <c r="S1233" i="1"/>
  <c r="S1234" i="1"/>
  <c r="S1235" i="1"/>
  <c r="S1236" i="1"/>
  <c r="S1238" i="1"/>
  <c r="S1239" i="1"/>
  <c r="S1240" i="1"/>
  <c r="S1241" i="1"/>
  <c r="S1243" i="1"/>
  <c r="S1245" i="1"/>
  <c r="S1246" i="1"/>
  <c r="S1247" i="1"/>
  <c r="S1248" i="1"/>
  <c r="S1249" i="1"/>
  <c r="S869" i="1"/>
  <c r="S942" i="1"/>
  <c r="S1050" i="1"/>
  <c r="S1100" i="1"/>
  <c r="S1152" i="1"/>
  <c r="S1155" i="1"/>
  <c r="S1179" i="1"/>
  <c r="S1191" i="1"/>
  <c r="S1207" i="1"/>
  <c r="S1208" i="1"/>
  <c r="S1223" i="1"/>
  <c r="S1225" i="1"/>
  <c r="S1227" i="1"/>
  <c r="S1237" i="1"/>
  <c r="S1242" i="1"/>
  <c r="S1244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30" i="1"/>
  <c r="R32" i="1"/>
  <c r="R34" i="1"/>
  <c r="R33" i="1"/>
  <c r="R35" i="1"/>
  <c r="R36" i="1"/>
  <c r="R37" i="1"/>
  <c r="R38" i="1"/>
  <c r="R39" i="1"/>
  <c r="R40" i="1"/>
  <c r="R41" i="1"/>
  <c r="R42" i="1"/>
  <c r="R43" i="1"/>
  <c r="R44" i="1"/>
  <c r="R45" i="1"/>
  <c r="R47" i="1"/>
  <c r="R46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8" i="1"/>
  <c r="R69" i="1"/>
  <c r="R70" i="1"/>
  <c r="R71" i="1"/>
  <c r="R72" i="1"/>
  <c r="R73" i="1"/>
  <c r="R74" i="1"/>
  <c r="R75" i="1"/>
  <c r="R76" i="1"/>
  <c r="R78" i="1"/>
  <c r="R77" i="1"/>
  <c r="R79" i="1"/>
  <c r="R80" i="1"/>
  <c r="R81" i="1"/>
  <c r="R82" i="1"/>
  <c r="R83" i="1"/>
  <c r="R84" i="1"/>
  <c r="R87" i="1"/>
  <c r="R86" i="1"/>
  <c r="R89" i="1"/>
  <c r="R88" i="1"/>
  <c r="R90" i="1"/>
  <c r="R91" i="1"/>
  <c r="R92" i="1"/>
  <c r="R93" i="1"/>
  <c r="R94" i="1"/>
  <c r="R97" i="1"/>
  <c r="R95" i="1"/>
  <c r="R96" i="1"/>
  <c r="R99" i="1"/>
  <c r="R100" i="1"/>
  <c r="R103" i="1"/>
  <c r="R101" i="1"/>
  <c r="R102" i="1"/>
  <c r="R104" i="1"/>
  <c r="R105" i="1"/>
  <c r="R106" i="1"/>
  <c r="R107" i="1"/>
  <c r="R108" i="1"/>
  <c r="R109" i="1"/>
  <c r="R110" i="1"/>
  <c r="R111" i="1"/>
  <c r="R113" i="1"/>
  <c r="R115" i="1"/>
  <c r="R114" i="1"/>
  <c r="R117" i="1"/>
  <c r="R116" i="1"/>
  <c r="R118" i="1"/>
  <c r="R121" i="1"/>
  <c r="R119" i="1"/>
  <c r="R122" i="1"/>
  <c r="R123" i="1"/>
  <c r="R124" i="1"/>
  <c r="R125" i="1"/>
  <c r="R126" i="1"/>
  <c r="R127" i="1"/>
  <c r="R129" i="1"/>
  <c r="R128" i="1"/>
  <c r="R131" i="1"/>
  <c r="R132" i="1"/>
  <c r="R134" i="1"/>
  <c r="R135" i="1"/>
  <c r="R133" i="1"/>
  <c r="R137" i="1"/>
  <c r="R138" i="1"/>
  <c r="R139" i="1"/>
  <c r="R140" i="1"/>
  <c r="R141" i="1"/>
  <c r="R142" i="1"/>
  <c r="R144" i="1"/>
  <c r="R143" i="1"/>
  <c r="R145" i="1"/>
  <c r="R146" i="1"/>
  <c r="R147" i="1"/>
  <c r="R148" i="1"/>
  <c r="R149" i="1"/>
  <c r="R151" i="1"/>
  <c r="R150" i="1"/>
  <c r="R152" i="1"/>
  <c r="R153" i="1"/>
  <c r="R154" i="1"/>
  <c r="R156" i="1"/>
  <c r="R155" i="1"/>
  <c r="R158" i="1"/>
  <c r="R157" i="1"/>
  <c r="R160" i="1"/>
  <c r="R159" i="1"/>
  <c r="R164" i="1"/>
  <c r="R167" i="1"/>
  <c r="R166" i="1"/>
  <c r="R165" i="1"/>
  <c r="R168" i="1"/>
  <c r="R170" i="1"/>
  <c r="R169" i="1"/>
  <c r="R172" i="1"/>
  <c r="R173" i="1"/>
  <c r="R175" i="1"/>
  <c r="R176" i="1"/>
  <c r="R177" i="1"/>
  <c r="R179" i="1"/>
  <c r="R180" i="1"/>
  <c r="R183" i="1"/>
  <c r="R184" i="1"/>
  <c r="R186" i="1"/>
  <c r="R187" i="1"/>
  <c r="R188" i="1"/>
  <c r="R191" i="1"/>
  <c r="R192" i="1"/>
  <c r="R194" i="1"/>
  <c r="R195" i="1"/>
  <c r="R198" i="1"/>
  <c r="R199" i="1"/>
  <c r="R197" i="1"/>
  <c r="R200" i="1"/>
  <c r="R204" i="1"/>
  <c r="R205" i="1"/>
  <c r="R202" i="1"/>
  <c r="R209" i="1"/>
  <c r="R210" i="1"/>
  <c r="R212" i="1"/>
  <c r="R213" i="1"/>
  <c r="R215" i="1"/>
  <c r="R216" i="1"/>
  <c r="R217" i="1"/>
  <c r="R218" i="1"/>
  <c r="R219" i="1"/>
  <c r="R223" i="1"/>
  <c r="R222" i="1"/>
  <c r="R221" i="1"/>
  <c r="R224" i="1"/>
  <c r="R226" i="1"/>
  <c r="R228" i="1"/>
  <c r="R230" i="1"/>
  <c r="R232" i="1"/>
  <c r="R231" i="1"/>
  <c r="R235" i="1"/>
  <c r="R236" i="1"/>
  <c r="R29" i="1"/>
  <c r="R31" i="1"/>
  <c r="R85" i="1"/>
  <c r="R120" i="1"/>
  <c r="R130" i="1"/>
  <c r="R136" i="1"/>
  <c r="R161" i="1"/>
  <c r="R163" i="1"/>
  <c r="R162" i="1"/>
  <c r="R171" i="1"/>
  <c r="R174" i="1"/>
  <c r="R178" i="1"/>
  <c r="R182" i="1"/>
  <c r="R181" i="1"/>
  <c r="R185" i="1"/>
  <c r="R190" i="1"/>
  <c r="R189" i="1"/>
  <c r="R193" i="1"/>
  <c r="R196" i="1"/>
  <c r="R203" i="1"/>
  <c r="R208" i="1"/>
  <c r="R214" i="1"/>
  <c r="R220" i="1"/>
  <c r="R225" i="1"/>
  <c r="R233" i="1"/>
  <c r="R234" i="1"/>
  <c r="R246" i="1"/>
  <c r="R242" i="1"/>
  <c r="R251" i="1"/>
  <c r="R237" i="1"/>
  <c r="R249" i="1"/>
  <c r="R254" i="1"/>
  <c r="R244" i="1"/>
  <c r="R255" i="1"/>
  <c r="R248" i="1"/>
  <c r="R256" i="1"/>
  <c r="R252" i="1"/>
  <c r="R241" i="1"/>
  <c r="R239" i="1"/>
  <c r="R257" i="1"/>
  <c r="R250" i="1"/>
  <c r="R258" i="1"/>
  <c r="R240" i="1"/>
  <c r="R247" i="1"/>
  <c r="R259" i="1"/>
  <c r="R238" i="1"/>
  <c r="R284" i="1"/>
  <c r="R278" i="1"/>
  <c r="R287" i="1"/>
  <c r="R280" i="1"/>
  <c r="R273" i="1"/>
  <c r="R268" i="1"/>
  <c r="R279" i="1"/>
  <c r="R289" i="1"/>
  <c r="R281" i="1"/>
  <c r="R274" i="1"/>
  <c r="R269" i="1"/>
  <c r="R270" i="1"/>
  <c r="R271" i="1"/>
  <c r="R290" i="1"/>
  <c r="R291" i="1"/>
  <c r="R272" i="1"/>
  <c r="R277" i="1"/>
  <c r="R312" i="1"/>
  <c r="R316" i="1"/>
  <c r="R314" i="1"/>
  <c r="R292" i="1"/>
  <c r="R302" i="1"/>
  <c r="R317" i="1"/>
  <c r="R303" i="1"/>
  <c r="R304" i="1"/>
  <c r="R313" i="1"/>
  <c r="R318" i="1"/>
  <c r="R307" i="1"/>
  <c r="R309" i="1"/>
  <c r="R298" i="1"/>
  <c r="R306" i="1"/>
  <c r="R294" i="1"/>
  <c r="R293" i="1"/>
  <c r="R300" i="1"/>
  <c r="R308" i="1"/>
  <c r="R310" i="1"/>
  <c r="R301" i="1"/>
  <c r="R296" i="1"/>
  <c r="R347" i="1"/>
  <c r="R335" i="1"/>
  <c r="R328" i="1"/>
  <c r="R346" i="1"/>
  <c r="R327" i="1"/>
  <c r="R350" i="1"/>
  <c r="R344" i="1"/>
  <c r="R351" i="1"/>
  <c r="R352" i="1"/>
  <c r="R353" i="1"/>
  <c r="R354" i="1"/>
  <c r="R336" i="1"/>
  <c r="R342" i="1"/>
  <c r="R337" i="1"/>
  <c r="R340" i="1"/>
  <c r="R329" i="1"/>
  <c r="R333" i="1"/>
  <c r="R330" i="1"/>
  <c r="R341" i="1"/>
  <c r="R332" i="1"/>
  <c r="R343" i="1"/>
  <c r="R338" i="1"/>
  <c r="R404" i="1"/>
  <c r="R385" i="1"/>
  <c r="R398" i="1"/>
  <c r="R421" i="1"/>
  <c r="R417" i="1"/>
  <c r="R418" i="1"/>
  <c r="R375" i="1"/>
  <c r="R389" i="1"/>
  <c r="R401" i="1"/>
  <c r="R393" i="1"/>
  <c r="R409" i="1"/>
  <c r="R357" i="1"/>
  <c r="R366" i="1"/>
  <c r="R372" i="1"/>
  <c r="R423" i="1"/>
  <c r="R403" i="1"/>
  <c r="R384" i="1"/>
  <c r="R358" i="1"/>
  <c r="R360" i="1"/>
  <c r="R413" i="1"/>
  <c r="R424" i="1"/>
  <c r="R391" i="1"/>
  <c r="R402" i="1"/>
  <c r="R394" i="1"/>
  <c r="R382" i="1"/>
  <c r="R383" i="1"/>
  <c r="R407" i="1"/>
  <c r="R359" i="1"/>
  <c r="R377" i="1"/>
  <c r="R376" i="1"/>
  <c r="R361" i="1"/>
  <c r="R399" i="1"/>
  <c r="R392" i="1"/>
  <c r="R427" i="1"/>
  <c r="R373" i="1"/>
  <c r="R368" i="1"/>
  <c r="R428" i="1"/>
  <c r="R410" i="1"/>
  <c r="R397" i="1"/>
  <c r="R388" i="1"/>
  <c r="R405" i="1"/>
  <c r="R371" i="1"/>
  <c r="R416" i="1"/>
  <c r="R386" i="1"/>
  <c r="R387" i="1"/>
  <c r="R365" i="1"/>
  <c r="R430" i="1"/>
  <c r="R470" i="1"/>
  <c r="R451" i="1"/>
  <c r="R447" i="1"/>
  <c r="R458" i="1"/>
  <c r="R459" i="1"/>
  <c r="R446" i="1"/>
  <c r="R448" i="1"/>
  <c r="R460" i="1"/>
  <c r="R444" i="1"/>
  <c r="R468" i="1"/>
  <c r="R433" i="1"/>
  <c r="R435" i="1"/>
  <c r="R432" i="1"/>
  <c r="R436" i="1"/>
  <c r="R462" i="1"/>
  <c r="R479" i="1"/>
  <c r="R472" i="1"/>
  <c r="R469" i="1"/>
  <c r="R452" i="1"/>
  <c r="R461" i="1"/>
  <c r="R475" i="1"/>
  <c r="R454" i="1"/>
  <c r="R477" i="1"/>
  <c r="R456" i="1"/>
  <c r="R476" i="1"/>
  <c r="R464" i="1"/>
  <c r="R480" i="1"/>
  <c r="R465" i="1"/>
  <c r="R439" i="1"/>
  <c r="R455" i="1"/>
  <c r="R443" i="1"/>
  <c r="R441" i="1"/>
  <c r="R434" i="1"/>
  <c r="R467" i="1"/>
  <c r="R473" i="1"/>
  <c r="R457" i="1"/>
  <c r="R437" i="1"/>
  <c r="R450" i="1"/>
  <c r="R463" i="1"/>
  <c r="R466" i="1"/>
  <c r="R481" i="1"/>
  <c r="R474" i="1"/>
  <c r="R471" i="1"/>
  <c r="R442" i="1"/>
  <c r="R453" i="1"/>
  <c r="R438" i="1"/>
  <c r="R445" i="1"/>
  <c r="R449" i="1"/>
  <c r="R431" i="1"/>
  <c r="R440" i="1"/>
  <c r="R478" i="1"/>
  <c r="R98" i="1"/>
  <c r="R206" i="1"/>
  <c r="R245" i="1"/>
  <c r="R253" i="1"/>
  <c r="R243" i="1"/>
  <c r="R286" i="1"/>
  <c r="R283" i="1"/>
  <c r="R288" i="1"/>
  <c r="R275" i="1"/>
  <c r="R267" i="1"/>
  <c r="R285" i="1"/>
  <c r="R299" i="1"/>
  <c r="R305" i="1"/>
  <c r="R348" i="1"/>
  <c r="R334" i="1"/>
  <c r="R356" i="1"/>
  <c r="R331" i="1"/>
  <c r="R363" i="1"/>
  <c r="R420" i="1"/>
  <c r="R374" i="1"/>
  <c r="R414" i="1"/>
  <c r="R364" i="1"/>
  <c r="R362" i="1"/>
  <c r="R396" i="1"/>
  <c r="R400" i="1"/>
  <c r="R380" i="1"/>
  <c r="R406" i="1"/>
  <c r="R378" i="1"/>
  <c r="R497" i="1"/>
  <c r="R508" i="1"/>
  <c r="R488" i="1"/>
  <c r="R511" i="1"/>
  <c r="R482" i="1"/>
  <c r="R492" i="1"/>
  <c r="R486" i="1"/>
  <c r="R499" i="1"/>
  <c r="R495" i="1"/>
  <c r="R500" i="1"/>
  <c r="R516" i="1"/>
  <c r="R517" i="1"/>
  <c r="R501" i="1"/>
  <c r="R282" i="1"/>
  <c r="R297" i="1"/>
  <c r="R319" i="1"/>
  <c r="R345" i="1"/>
  <c r="R411" i="1"/>
  <c r="R506" i="1"/>
  <c r="R483" i="1"/>
  <c r="R487" i="1"/>
  <c r="R496" i="1"/>
  <c r="R493" i="1"/>
  <c r="R490" i="1"/>
  <c r="R484" i="1"/>
  <c r="R489" i="1"/>
  <c r="R513" i="1"/>
  <c r="R67" i="1"/>
  <c r="R201" i="1"/>
  <c r="R211" i="1"/>
  <c r="R276" i="1"/>
  <c r="R315" i="1"/>
  <c r="R311" i="1"/>
  <c r="R295" i="1"/>
  <c r="R339" i="1"/>
  <c r="R349" i="1"/>
  <c r="R355" i="1"/>
  <c r="R395" i="1"/>
  <c r="R419" i="1"/>
  <c r="R426" i="1"/>
  <c r="R381" i="1"/>
  <c r="R370" i="1"/>
  <c r="R491" i="1"/>
  <c r="R503" i="1"/>
  <c r="R498" i="1"/>
  <c r="R485" i="1"/>
  <c r="R512" i="1"/>
  <c r="R505" i="1"/>
  <c r="R519" i="1"/>
  <c r="R112" i="1"/>
  <c r="R207" i="1"/>
  <c r="R227" i="1"/>
  <c r="R229" i="1"/>
  <c r="R263" i="1"/>
  <c r="R261" i="1"/>
  <c r="R264" i="1"/>
  <c r="R260" i="1"/>
  <c r="R265" i="1"/>
  <c r="R266" i="1"/>
  <c r="R262" i="1"/>
  <c r="R320" i="1"/>
  <c r="R322" i="1"/>
  <c r="R325" i="1"/>
  <c r="R323" i="1"/>
  <c r="R324" i="1"/>
  <c r="R321" i="1"/>
  <c r="R326" i="1"/>
  <c r="R415" i="1"/>
  <c r="R379" i="1"/>
  <c r="R412" i="1"/>
  <c r="R422" i="1"/>
  <c r="R369" i="1"/>
  <c r="R367" i="1"/>
  <c r="R408" i="1"/>
  <c r="R390" i="1"/>
  <c r="R425" i="1"/>
  <c r="R429" i="1"/>
  <c r="R504" i="1"/>
  <c r="R515" i="1"/>
  <c r="R502" i="1"/>
  <c r="R507" i="1"/>
  <c r="R494" i="1"/>
  <c r="R510" i="1"/>
  <c r="R514" i="1"/>
  <c r="R509" i="1"/>
  <c r="R518" i="1"/>
  <c r="R549" i="1"/>
  <c r="R550" i="1"/>
  <c r="R531" i="1"/>
  <c r="R551" i="1"/>
  <c r="R552" i="1"/>
  <c r="R540" i="1"/>
  <c r="R524" i="1"/>
  <c r="R530" i="1"/>
  <c r="R520" i="1"/>
  <c r="R525" i="1"/>
  <c r="R545" i="1"/>
  <c r="R532" i="1"/>
  <c r="R541" i="1"/>
  <c r="R522" i="1"/>
  <c r="R542" i="1"/>
  <c r="R538" i="1"/>
  <c r="R539" i="1"/>
  <c r="R548" i="1"/>
  <c r="R561" i="1"/>
  <c r="R553" i="1"/>
  <c r="R547" i="1"/>
  <c r="R543" i="1"/>
  <c r="R537" i="1"/>
  <c r="R521" i="1"/>
  <c r="R554" i="1"/>
  <c r="R534" i="1"/>
  <c r="R544" i="1"/>
  <c r="R533" i="1"/>
  <c r="R557" i="1"/>
  <c r="R555" i="1"/>
  <c r="R536" i="1"/>
  <c r="R526" i="1"/>
  <c r="R546" i="1"/>
  <c r="R562" i="1"/>
  <c r="R563" i="1"/>
  <c r="R528" i="1"/>
  <c r="R527" i="1"/>
  <c r="R556" i="1"/>
  <c r="R535" i="1"/>
  <c r="R529" i="1"/>
  <c r="R558" i="1"/>
  <c r="R559" i="1"/>
  <c r="R560" i="1"/>
  <c r="R564" i="1"/>
  <c r="R523" i="1"/>
  <c r="R581" i="1"/>
  <c r="R612" i="1"/>
  <c r="R629" i="1"/>
  <c r="R613" i="1"/>
  <c r="R580" i="1"/>
  <c r="R614" i="1"/>
  <c r="R568" i="1"/>
  <c r="R600" i="1"/>
  <c r="R590" i="1"/>
  <c r="R630" i="1"/>
  <c r="R582" i="1"/>
  <c r="R615" i="1"/>
  <c r="R574" i="1"/>
  <c r="R597" i="1"/>
  <c r="R604" i="1"/>
  <c r="R599" i="1"/>
  <c r="R616" i="1"/>
  <c r="R593" i="1"/>
  <c r="R617" i="1"/>
  <c r="R566" i="1"/>
  <c r="R575" i="1"/>
  <c r="R596" i="1"/>
  <c r="R572" i="1"/>
  <c r="R618" i="1"/>
  <c r="R609" i="1"/>
  <c r="R576" i="1"/>
  <c r="R601" i="1"/>
  <c r="R588" i="1"/>
  <c r="R611" i="1"/>
  <c r="R602" i="1"/>
  <c r="R605" i="1"/>
  <c r="R598" i="1"/>
  <c r="R591" i="1"/>
  <c r="R587" i="1"/>
  <c r="R619" i="1"/>
  <c r="R620" i="1"/>
  <c r="R607" i="1"/>
  <c r="R589" i="1"/>
  <c r="R577" i="1"/>
  <c r="R608" i="1"/>
  <c r="R621" i="1"/>
  <c r="R565" i="1"/>
  <c r="R622" i="1"/>
  <c r="R583" i="1"/>
  <c r="R623" i="1"/>
  <c r="R624" i="1"/>
  <c r="R592" i="1"/>
  <c r="R585" i="1"/>
  <c r="R573" i="1"/>
  <c r="R625" i="1"/>
  <c r="R603" i="1"/>
  <c r="R578" i="1"/>
  <c r="R586" i="1"/>
  <c r="R567" i="1"/>
  <c r="R584" i="1"/>
  <c r="R570" i="1"/>
  <c r="R628" i="1"/>
  <c r="R626" i="1"/>
  <c r="R579" i="1"/>
  <c r="R627" i="1"/>
  <c r="R606" i="1"/>
  <c r="R594" i="1"/>
  <c r="R571" i="1"/>
  <c r="R595" i="1"/>
  <c r="R569" i="1"/>
  <c r="R631" i="1"/>
  <c r="R610" i="1"/>
  <c r="R632" i="1"/>
  <c r="R633" i="1"/>
  <c r="R720" i="1"/>
  <c r="R730" i="1"/>
  <c r="R676" i="1"/>
  <c r="R653" i="1"/>
  <c r="R704" i="1"/>
  <c r="R731" i="1"/>
  <c r="R732" i="1"/>
  <c r="R733" i="1"/>
  <c r="R734" i="1"/>
  <c r="R735" i="1"/>
  <c r="R736" i="1"/>
  <c r="R794" i="1"/>
  <c r="R657" i="1"/>
  <c r="R737" i="1"/>
  <c r="R738" i="1"/>
  <c r="R739" i="1"/>
  <c r="R740" i="1"/>
  <c r="R698" i="1"/>
  <c r="R741" i="1"/>
  <c r="R695" i="1"/>
  <c r="R742" i="1"/>
  <c r="R694" i="1"/>
  <c r="R712" i="1"/>
  <c r="R700" i="1"/>
  <c r="R723" i="1"/>
  <c r="R696" i="1"/>
  <c r="R691" i="1"/>
  <c r="R711" i="1"/>
  <c r="R743" i="1"/>
  <c r="R699" i="1"/>
  <c r="R795" i="1"/>
  <c r="R721" i="1"/>
  <c r="R796" i="1"/>
  <c r="R669" i="1"/>
  <c r="R717" i="1"/>
  <c r="R724" i="1"/>
  <c r="R710" i="1"/>
  <c r="R641" i="1"/>
  <c r="R715" i="1"/>
  <c r="R744" i="1"/>
  <c r="R643" i="1"/>
  <c r="R697" i="1"/>
  <c r="R642" i="1"/>
  <c r="R637" i="1"/>
  <c r="R682" i="1"/>
  <c r="R673" i="1"/>
  <c r="R685" i="1"/>
  <c r="R745" i="1"/>
  <c r="R634" i="1"/>
  <c r="R680" i="1"/>
  <c r="R651" i="1"/>
  <c r="R797" i="1"/>
  <c r="R746" i="1"/>
  <c r="R663" i="1"/>
  <c r="R690" i="1"/>
  <c r="R640" i="1"/>
  <c r="R747" i="1"/>
  <c r="R725" i="1"/>
  <c r="R659" i="1"/>
  <c r="R749" i="1"/>
  <c r="R665" i="1"/>
  <c r="R714" i="1"/>
  <c r="R718" i="1"/>
  <c r="R750" i="1"/>
  <c r="R748" i="1"/>
  <c r="R719" i="1"/>
  <c r="R726" i="1"/>
  <c r="R751" i="1"/>
  <c r="R798" i="1"/>
  <c r="R677" i="1"/>
  <c r="R752" i="1"/>
  <c r="R799" i="1"/>
  <c r="R678" i="1"/>
  <c r="R800" i="1"/>
  <c r="R666" i="1"/>
  <c r="R801" i="1"/>
  <c r="R802" i="1"/>
  <c r="R672" i="1"/>
  <c r="R728" i="1"/>
  <c r="R671" i="1"/>
  <c r="R650" i="1"/>
  <c r="R803" i="1"/>
  <c r="R753" i="1"/>
  <c r="R658" i="1"/>
  <c r="R754" i="1"/>
  <c r="R688" i="1"/>
  <c r="R755" i="1"/>
  <c r="R756" i="1"/>
  <c r="R757" i="1"/>
  <c r="R662" i="1"/>
  <c r="R644" i="1"/>
  <c r="R638" i="1"/>
  <c r="R758" i="1"/>
  <c r="R804" i="1"/>
  <c r="R759" i="1"/>
  <c r="R805" i="1"/>
  <c r="R661" i="1"/>
  <c r="R652" i="1"/>
  <c r="R760" i="1"/>
  <c r="R635" i="1"/>
  <c r="R692" i="1"/>
  <c r="R647" i="1"/>
  <c r="R806" i="1"/>
  <c r="R761" i="1"/>
  <c r="R705" i="1"/>
  <c r="R675" i="1"/>
  <c r="R729" i="1"/>
  <c r="R713" i="1"/>
  <c r="R762" i="1"/>
  <c r="R763" i="1"/>
  <c r="R648" i="1"/>
  <c r="R764" i="1"/>
  <c r="R722" i="1"/>
  <c r="R765" i="1"/>
  <c r="R708" i="1"/>
  <c r="R709" i="1"/>
  <c r="R655" i="1"/>
  <c r="R636" i="1"/>
  <c r="R668" i="1"/>
  <c r="R807" i="1"/>
  <c r="R766" i="1"/>
  <c r="R674" i="1"/>
  <c r="R707" i="1"/>
  <c r="R767" i="1"/>
  <c r="R768" i="1"/>
  <c r="R769" i="1"/>
  <c r="R770" i="1"/>
  <c r="R771" i="1"/>
  <c r="R772" i="1"/>
  <c r="R679" i="1"/>
  <c r="R706" i="1"/>
  <c r="R808" i="1"/>
  <c r="R809" i="1"/>
  <c r="R773" i="1"/>
  <c r="R774" i="1"/>
  <c r="R670" i="1"/>
  <c r="R701" i="1"/>
  <c r="R775" i="1"/>
  <c r="R684" i="1"/>
  <c r="R776" i="1"/>
  <c r="R777" i="1"/>
  <c r="R656" i="1"/>
  <c r="R686" i="1"/>
  <c r="R660" i="1"/>
  <c r="R810" i="1"/>
  <c r="R778" i="1"/>
  <c r="R649" i="1"/>
  <c r="R779" i="1"/>
  <c r="R811" i="1"/>
  <c r="R780" i="1"/>
  <c r="R716" i="1"/>
  <c r="R812" i="1"/>
  <c r="R781" i="1"/>
  <c r="R782" i="1"/>
  <c r="R783" i="1"/>
  <c r="R683" i="1"/>
  <c r="R693" i="1"/>
  <c r="R784" i="1"/>
  <c r="R646" i="1"/>
  <c r="R687" i="1"/>
  <c r="R703" i="1"/>
  <c r="R785" i="1"/>
  <c r="R667" i="1"/>
  <c r="R786" i="1"/>
  <c r="R787" i="1"/>
  <c r="R645" i="1"/>
  <c r="R788" i="1"/>
  <c r="R664" i="1"/>
  <c r="R789" i="1"/>
  <c r="R790" i="1"/>
  <c r="R791" i="1"/>
  <c r="R792" i="1"/>
  <c r="R793" i="1"/>
  <c r="R816" i="1"/>
  <c r="R817" i="1"/>
  <c r="R702" i="1"/>
  <c r="R681" i="1"/>
  <c r="R814" i="1"/>
  <c r="R813" i="1"/>
  <c r="R818" i="1"/>
  <c r="R815" i="1"/>
  <c r="R727" i="1"/>
  <c r="R689" i="1"/>
  <c r="R819" i="1"/>
  <c r="R654" i="1"/>
  <c r="R639" i="1"/>
  <c r="R1250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3" i="1"/>
  <c r="R844" i="1"/>
  <c r="R846" i="1"/>
  <c r="R848" i="1"/>
  <c r="R849" i="1"/>
  <c r="R842" i="1"/>
  <c r="R845" i="1"/>
  <c r="R850" i="1"/>
  <c r="R847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3" i="1"/>
  <c r="R1154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80" i="1"/>
  <c r="R1181" i="1"/>
  <c r="R1182" i="1"/>
  <c r="R1183" i="1"/>
  <c r="R1184" i="1"/>
  <c r="R1185" i="1"/>
  <c r="R1186" i="1"/>
  <c r="R1187" i="1"/>
  <c r="R1188" i="1"/>
  <c r="R1189" i="1"/>
  <c r="R1190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4" i="1"/>
  <c r="R1226" i="1"/>
  <c r="R1228" i="1"/>
  <c r="R1229" i="1"/>
  <c r="R1230" i="1"/>
  <c r="R1231" i="1"/>
  <c r="R1232" i="1"/>
  <c r="R1233" i="1"/>
  <c r="R1234" i="1"/>
  <c r="R1235" i="1"/>
  <c r="R1236" i="1"/>
  <c r="R1238" i="1"/>
  <c r="R1239" i="1"/>
  <c r="R1240" i="1"/>
  <c r="R1241" i="1"/>
  <c r="R1243" i="1"/>
  <c r="R1245" i="1"/>
  <c r="R1246" i="1"/>
  <c r="R1247" i="1"/>
  <c r="R1248" i="1"/>
  <c r="R1249" i="1"/>
  <c r="R869" i="1"/>
  <c r="R942" i="1"/>
  <c r="R1050" i="1"/>
  <c r="R1100" i="1"/>
  <c r="R1152" i="1"/>
  <c r="R1155" i="1"/>
  <c r="R1179" i="1"/>
  <c r="R1191" i="1"/>
  <c r="R1207" i="1"/>
  <c r="R1208" i="1"/>
  <c r="R1223" i="1"/>
  <c r="R1225" i="1"/>
  <c r="R1227" i="1"/>
  <c r="R1237" i="1"/>
  <c r="R1242" i="1"/>
  <c r="R1244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30" i="1"/>
  <c r="Q32" i="1"/>
  <c r="Q34" i="1"/>
  <c r="Q33" i="1"/>
  <c r="Q35" i="1"/>
  <c r="Q36" i="1"/>
  <c r="Q37" i="1"/>
  <c r="Q38" i="1"/>
  <c r="Q39" i="1"/>
  <c r="Q40" i="1"/>
  <c r="Q41" i="1"/>
  <c r="Q42" i="1"/>
  <c r="Q43" i="1"/>
  <c r="Q44" i="1"/>
  <c r="Q45" i="1"/>
  <c r="Q47" i="1"/>
  <c r="Q46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8" i="1"/>
  <c r="Q69" i="1"/>
  <c r="Q70" i="1"/>
  <c r="Q71" i="1"/>
  <c r="Q72" i="1"/>
  <c r="Q73" i="1"/>
  <c r="Q74" i="1"/>
  <c r="Q75" i="1"/>
  <c r="Q76" i="1"/>
  <c r="Q78" i="1"/>
  <c r="Q77" i="1"/>
  <c r="Q79" i="1"/>
  <c r="Q80" i="1"/>
  <c r="Q81" i="1"/>
  <c r="Q82" i="1"/>
  <c r="Q83" i="1"/>
  <c r="Q84" i="1"/>
  <c r="Q87" i="1"/>
  <c r="Q86" i="1"/>
  <c r="Q89" i="1"/>
  <c r="Q88" i="1"/>
  <c r="Q90" i="1"/>
  <c r="Q91" i="1"/>
  <c r="Q92" i="1"/>
  <c r="Q93" i="1"/>
  <c r="Q94" i="1"/>
  <c r="Q97" i="1"/>
  <c r="Q95" i="1"/>
  <c r="Q96" i="1"/>
  <c r="Q99" i="1"/>
  <c r="Q100" i="1"/>
  <c r="Q103" i="1"/>
  <c r="Q101" i="1"/>
  <c r="Q102" i="1"/>
  <c r="Q104" i="1"/>
  <c r="Q105" i="1"/>
  <c r="Q106" i="1"/>
  <c r="Q107" i="1"/>
  <c r="Q108" i="1"/>
  <c r="Q109" i="1"/>
  <c r="Q110" i="1"/>
  <c r="Q111" i="1"/>
  <c r="Q113" i="1"/>
  <c r="Q115" i="1"/>
  <c r="Q114" i="1"/>
  <c r="Q117" i="1"/>
  <c r="Q116" i="1"/>
  <c r="Q118" i="1"/>
  <c r="Q121" i="1"/>
  <c r="Q119" i="1"/>
  <c r="Q122" i="1"/>
  <c r="Q123" i="1"/>
  <c r="Q124" i="1"/>
  <c r="Q125" i="1"/>
  <c r="Q126" i="1"/>
  <c r="Q127" i="1"/>
  <c r="Q129" i="1"/>
  <c r="Q128" i="1"/>
  <c r="Q131" i="1"/>
  <c r="Q132" i="1"/>
  <c r="Q134" i="1"/>
  <c r="Q135" i="1"/>
  <c r="Q133" i="1"/>
  <c r="Q137" i="1"/>
  <c r="Q138" i="1"/>
  <c r="Q139" i="1"/>
  <c r="Q140" i="1"/>
  <c r="Q141" i="1"/>
  <c r="Q142" i="1"/>
  <c r="Q144" i="1"/>
  <c r="Q143" i="1"/>
  <c r="Q145" i="1"/>
  <c r="Q146" i="1"/>
  <c r="Q147" i="1"/>
  <c r="Q148" i="1"/>
  <c r="Q149" i="1"/>
  <c r="Q151" i="1"/>
  <c r="Q150" i="1"/>
  <c r="Q152" i="1"/>
  <c r="Q153" i="1"/>
  <c r="Q154" i="1"/>
  <c r="Q156" i="1"/>
  <c r="Q155" i="1"/>
  <c r="Q158" i="1"/>
  <c r="Q157" i="1"/>
  <c r="Q160" i="1"/>
  <c r="Q159" i="1"/>
  <c r="Q164" i="1"/>
  <c r="Q167" i="1"/>
  <c r="Q166" i="1"/>
  <c r="Q165" i="1"/>
  <c r="Q168" i="1"/>
  <c r="Q170" i="1"/>
  <c r="Q169" i="1"/>
  <c r="Q172" i="1"/>
  <c r="Q173" i="1"/>
  <c r="Q175" i="1"/>
  <c r="Q176" i="1"/>
  <c r="Q177" i="1"/>
  <c r="Q179" i="1"/>
  <c r="Q180" i="1"/>
  <c r="Q183" i="1"/>
  <c r="Q184" i="1"/>
  <c r="Q186" i="1"/>
  <c r="Q187" i="1"/>
  <c r="Q188" i="1"/>
  <c r="Q191" i="1"/>
  <c r="Q192" i="1"/>
  <c r="Q194" i="1"/>
  <c r="Q195" i="1"/>
  <c r="Q198" i="1"/>
  <c r="Q199" i="1"/>
  <c r="Q197" i="1"/>
  <c r="Q200" i="1"/>
  <c r="Q204" i="1"/>
  <c r="Q205" i="1"/>
  <c r="Q202" i="1"/>
  <c r="Q209" i="1"/>
  <c r="Q210" i="1"/>
  <c r="Q212" i="1"/>
  <c r="Q213" i="1"/>
  <c r="Q215" i="1"/>
  <c r="Q216" i="1"/>
  <c r="Q217" i="1"/>
  <c r="Q218" i="1"/>
  <c r="Q219" i="1"/>
  <c r="Q223" i="1"/>
  <c r="Q222" i="1"/>
  <c r="Q221" i="1"/>
  <c r="Q224" i="1"/>
  <c r="Q226" i="1"/>
  <c r="Q228" i="1"/>
  <c r="Q230" i="1"/>
  <c r="Q232" i="1"/>
  <c r="Q231" i="1"/>
  <c r="Q235" i="1"/>
  <c r="Q236" i="1"/>
  <c r="Q29" i="1"/>
  <c r="Q31" i="1"/>
  <c r="Q85" i="1"/>
  <c r="Q120" i="1"/>
  <c r="Q130" i="1"/>
  <c r="Q136" i="1"/>
  <c r="Q161" i="1"/>
  <c r="Q163" i="1"/>
  <c r="Q162" i="1"/>
  <c r="Q171" i="1"/>
  <c r="Q174" i="1"/>
  <c r="Q178" i="1"/>
  <c r="Q182" i="1"/>
  <c r="Q181" i="1"/>
  <c r="Q185" i="1"/>
  <c r="Q190" i="1"/>
  <c r="Q189" i="1"/>
  <c r="Q193" i="1"/>
  <c r="Q196" i="1"/>
  <c r="Q203" i="1"/>
  <c r="Q208" i="1"/>
  <c r="Q214" i="1"/>
  <c r="Q220" i="1"/>
  <c r="Q225" i="1"/>
  <c r="Q233" i="1"/>
  <c r="Q234" i="1"/>
  <c r="Q246" i="1"/>
  <c r="Q242" i="1"/>
  <c r="Q251" i="1"/>
  <c r="Q237" i="1"/>
  <c r="Q249" i="1"/>
  <c r="Q254" i="1"/>
  <c r="Q244" i="1"/>
  <c r="Q255" i="1"/>
  <c r="Q248" i="1"/>
  <c r="Q256" i="1"/>
  <c r="Q252" i="1"/>
  <c r="Q241" i="1"/>
  <c r="Q239" i="1"/>
  <c r="Q257" i="1"/>
  <c r="Q250" i="1"/>
  <c r="Q258" i="1"/>
  <c r="Q240" i="1"/>
  <c r="Q247" i="1"/>
  <c r="Q259" i="1"/>
  <c r="Q238" i="1"/>
  <c r="Q284" i="1"/>
  <c r="Q278" i="1"/>
  <c r="Q287" i="1"/>
  <c r="Q280" i="1"/>
  <c r="Q273" i="1"/>
  <c r="Q268" i="1"/>
  <c r="Q279" i="1"/>
  <c r="Q289" i="1"/>
  <c r="Q281" i="1"/>
  <c r="Q274" i="1"/>
  <c r="Q269" i="1"/>
  <c r="Q270" i="1"/>
  <c r="Q271" i="1"/>
  <c r="Q290" i="1"/>
  <c r="Q291" i="1"/>
  <c r="Q272" i="1"/>
  <c r="Q277" i="1"/>
  <c r="Q312" i="1"/>
  <c r="Q316" i="1"/>
  <c r="Q314" i="1"/>
  <c r="Q292" i="1"/>
  <c r="Q302" i="1"/>
  <c r="Q317" i="1"/>
  <c r="Q303" i="1"/>
  <c r="Q304" i="1"/>
  <c r="Q313" i="1"/>
  <c r="Q318" i="1"/>
  <c r="Q307" i="1"/>
  <c r="Q309" i="1"/>
  <c r="Q298" i="1"/>
  <c r="Q306" i="1"/>
  <c r="Q294" i="1"/>
  <c r="Q293" i="1"/>
  <c r="Q300" i="1"/>
  <c r="Q308" i="1"/>
  <c r="Q310" i="1"/>
  <c r="Q301" i="1"/>
  <c r="Q296" i="1"/>
  <c r="Q347" i="1"/>
  <c r="Q335" i="1"/>
  <c r="Q328" i="1"/>
  <c r="Q346" i="1"/>
  <c r="Q327" i="1"/>
  <c r="Q350" i="1"/>
  <c r="Q344" i="1"/>
  <c r="Q351" i="1"/>
  <c r="Q352" i="1"/>
  <c r="Q353" i="1"/>
  <c r="Q354" i="1"/>
  <c r="Q336" i="1"/>
  <c r="Q342" i="1"/>
  <c r="Q337" i="1"/>
  <c r="Q340" i="1"/>
  <c r="Q329" i="1"/>
  <c r="Q333" i="1"/>
  <c r="Q330" i="1"/>
  <c r="Q341" i="1"/>
  <c r="Q332" i="1"/>
  <c r="Q343" i="1"/>
  <c r="Q338" i="1"/>
  <c r="Q404" i="1"/>
  <c r="Q385" i="1"/>
  <c r="Q398" i="1"/>
  <c r="Q421" i="1"/>
  <c r="Q417" i="1"/>
  <c r="Q418" i="1"/>
  <c r="Q375" i="1"/>
  <c r="Q389" i="1"/>
  <c r="Q401" i="1"/>
  <c r="Q393" i="1"/>
  <c r="Q409" i="1"/>
  <c r="Q357" i="1"/>
  <c r="Q366" i="1"/>
  <c r="Q372" i="1"/>
  <c r="Q423" i="1"/>
  <c r="Q403" i="1"/>
  <c r="Q384" i="1"/>
  <c r="Q358" i="1"/>
  <c r="Q360" i="1"/>
  <c r="Q413" i="1"/>
  <c r="Q424" i="1"/>
  <c r="Q391" i="1"/>
  <c r="Q402" i="1"/>
  <c r="Q394" i="1"/>
  <c r="Q382" i="1"/>
  <c r="Q383" i="1"/>
  <c r="Q407" i="1"/>
  <c r="Q359" i="1"/>
  <c r="Q377" i="1"/>
  <c r="Q376" i="1"/>
  <c r="Q361" i="1"/>
  <c r="Q399" i="1"/>
  <c r="Q392" i="1"/>
  <c r="Q427" i="1"/>
  <c r="Q373" i="1"/>
  <c r="Q368" i="1"/>
  <c r="Q428" i="1"/>
  <c r="Q410" i="1"/>
  <c r="Q397" i="1"/>
  <c r="Q388" i="1"/>
  <c r="Q405" i="1"/>
  <c r="Q371" i="1"/>
  <c r="Q416" i="1"/>
  <c r="Q386" i="1"/>
  <c r="Q387" i="1"/>
  <c r="Q365" i="1"/>
  <c r="Q430" i="1"/>
  <c r="Q470" i="1"/>
  <c r="Q451" i="1"/>
  <c r="Q447" i="1"/>
  <c r="Q458" i="1"/>
  <c r="Q459" i="1"/>
  <c r="Q446" i="1"/>
  <c r="Q448" i="1"/>
  <c r="Q460" i="1"/>
  <c r="Q444" i="1"/>
  <c r="Q468" i="1"/>
  <c r="Q433" i="1"/>
  <c r="Q435" i="1"/>
  <c r="Q432" i="1"/>
  <c r="Q436" i="1"/>
  <c r="Q462" i="1"/>
  <c r="Q479" i="1"/>
  <c r="Q472" i="1"/>
  <c r="Q469" i="1"/>
  <c r="Q452" i="1"/>
  <c r="Q461" i="1"/>
  <c r="Q475" i="1"/>
  <c r="Q454" i="1"/>
  <c r="Q477" i="1"/>
  <c r="Q456" i="1"/>
  <c r="Q476" i="1"/>
  <c r="Q464" i="1"/>
  <c r="Q480" i="1"/>
  <c r="Q465" i="1"/>
  <c r="Q439" i="1"/>
  <c r="Q455" i="1"/>
  <c r="Q443" i="1"/>
  <c r="Q441" i="1"/>
  <c r="Q434" i="1"/>
  <c r="Q467" i="1"/>
  <c r="Q473" i="1"/>
  <c r="Q457" i="1"/>
  <c r="Q437" i="1"/>
  <c r="Q450" i="1"/>
  <c r="Q463" i="1"/>
  <c r="Q466" i="1"/>
  <c r="Q481" i="1"/>
  <c r="Q474" i="1"/>
  <c r="Q471" i="1"/>
  <c r="Q442" i="1"/>
  <c r="Q453" i="1"/>
  <c r="Q438" i="1"/>
  <c r="Q445" i="1"/>
  <c r="Q449" i="1"/>
  <c r="Q431" i="1"/>
  <c r="Q440" i="1"/>
  <c r="Q478" i="1"/>
  <c r="Q98" i="1"/>
  <c r="Q206" i="1"/>
  <c r="Q245" i="1"/>
  <c r="Q253" i="1"/>
  <c r="Q243" i="1"/>
  <c r="Q286" i="1"/>
  <c r="Q283" i="1"/>
  <c r="Q288" i="1"/>
  <c r="Q275" i="1"/>
  <c r="Q267" i="1"/>
  <c r="Q285" i="1"/>
  <c r="Q299" i="1"/>
  <c r="Q305" i="1"/>
  <c r="Q348" i="1"/>
  <c r="Q334" i="1"/>
  <c r="Q356" i="1"/>
  <c r="Q331" i="1"/>
  <c r="Q363" i="1"/>
  <c r="Q420" i="1"/>
  <c r="Q374" i="1"/>
  <c r="Q414" i="1"/>
  <c r="Q364" i="1"/>
  <c r="Q362" i="1"/>
  <c r="Q396" i="1"/>
  <c r="Q400" i="1"/>
  <c r="Q380" i="1"/>
  <c r="Q406" i="1"/>
  <c r="Q378" i="1"/>
  <c r="Q497" i="1"/>
  <c r="Q508" i="1"/>
  <c r="Q488" i="1"/>
  <c r="Q511" i="1"/>
  <c r="Q482" i="1"/>
  <c r="Q492" i="1"/>
  <c r="Q486" i="1"/>
  <c r="Q499" i="1"/>
  <c r="Q495" i="1"/>
  <c r="Q500" i="1"/>
  <c r="Q516" i="1"/>
  <c r="Q517" i="1"/>
  <c r="Q501" i="1"/>
  <c r="Q282" i="1"/>
  <c r="Q297" i="1"/>
  <c r="Q319" i="1"/>
  <c r="Q345" i="1"/>
  <c r="Q411" i="1"/>
  <c r="Q506" i="1"/>
  <c r="Q483" i="1"/>
  <c r="Q487" i="1"/>
  <c r="Q496" i="1"/>
  <c r="Q493" i="1"/>
  <c r="Q490" i="1"/>
  <c r="Q484" i="1"/>
  <c r="Q489" i="1"/>
  <c r="Q513" i="1"/>
  <c r="Q67" i="1"/>
  <c r="Q201" i="1"/>
  <c r="Q211" i="1"/>
  <c r="Q276" i="1"/>
  <c r="Q315" i="1"/>
  <c r="Q311" i="1"/>
  <c r="Q295" i="1"/>
  <c r="Q339" i="1"/>
  <c r="Q349" i="1"/>
  <c r="Q355" i="1"/>
  <c r="Q395" i="1"/>
  <c r="Q419" i="1"/>
  <c r="Q426" i="1"/>
  <c r="Q381" i="1"/>
  <c r="Q370" i="1"/>
  <c r="Q491" i="1"/>
  <c r="Q503" i="1"/>
  <c r="Q498" i="1"/>
  <c r="Q485" i="1"/>
  <c r="Q512" i="1"/>
  <c r="Q505" i="1"/>
  <c r="Q519" i="1"/>
  <c r="Q112" i="1"/>
  <c r="Q207" i="1"/>
  <c r="Q227" i="1"/>
  <c r="Q229" i="1"/>
  <c r="Q263" i="1"/>
  <c r="Q261" i="1"/>
  <c r="Q264" i="1"/>
  <c r="Q260" i="1"/>
  <c r="Q265" i="1"/>
  <c r="Q266" i="1"/>
  <c r="Q262" i="1"/>
  <c r="Q320" i="1"/>
  <c r="Q322" i="1"/>
  <c r="Q325" i="1"/>
  <c r="Q323" i="1"/>
  <c r="Q324" i="1"/>
  <c r="Q321" i="1"/>
  <c r="Q326" i="1"/>
  <c r="Q415" i="1"/>
  <c r="Q379" i="1"/>
  <c r="Q412" i="1"/>
  <c r="Q422" i="1"/>
  <c r="Q369" i="1"/>
  <c r="Q367" i="1"/>
  <c r="Q408" i="1"/>
  <c r="Q390" i="1"/>
  <c r="Q425" i="1"/>
  <c r="Q429" i="1"/>
  <c r="Q504" i="1"/>
  <c r="Q515" i="1"/>
  <c r="Q502" i="1"/>
  <c r="Q507" i="1"/>
  <c r="Q494" i="1"/>
  <c r="Q510" i="1"/>
  <c r="Q514" i="1"/>
  <c r="Q509" i="1"/>
  <c r="Q518" i="1"/>
  <c r="Q549" i="1"/>
  <c r="Q550" i="1"/>
  <c r="Q531" i="1"/>
  <c r="Q551" i="1"/>
  <c r="Q552" i="1"/>
  <c r="Q540" i="1"/>
  <c r="Q524" i="1"/>
  <c r="Q530" i="1"/>
  <c r="Q520" i="1"/>
  <c r="Q525" i="1"/>
  <c r="Q545" i="1"/>
  <c r="Q532" i="1"/>
  <c r="Q541" i="1"/>
  <c r="Q522" i="1"/>
  <c r="Q542" i="1"/>
  <c r="Q538" i="1"/>
  <c r="Q539" i="1"/>
  <c r="Q548" i="1"/>
  <c r="Q561" i="1"/>
  <c r="Q553" i="1"/>
  <c r="Q547" i="1"/>
  <c r="Q543" i="1"/>
  <c r="Q537" i="1"/>
  <c r="Q521" i="1"/>
  <c r="Q554" i="1"/>
  <c r="Q534" i="1"/>
  <c r="Q544" i="1"/>
  <c r="Q533" i="1"/>
  <c r="Q557" i="1"/>
  <c r="Q555" i="1"/>
  <c r="Q536" i="1"/>
  <c r="Q526" i="1"/>
  <c r="Q546" i="1"/>
  <c r="Q562" i="1"/>
  <c r="Q563" i="1"/>
  <c r="Q528" i="1"/>
  <c r="Q527" i="1"/>
  <c r="Q556" i="1"/>
  <c r="Q535" i="1"/>
  <c r="Q529" i="1"/>
  <c r="Q558" i="1"/>
  <c r="Q559" i="1"/>
  <c r="Q560" i="1"/>
  <c r="Q564" i="1"/>
  <c r="Q523" i="1"/>
  <c r="Q581" i="1"/>
  <c r="Q612" i="1"/>
  <c r="Q629" i="1"/>
  <c r="Q613" i="1"/>
  <c r="Q580" i="1"/>
  <c r="Q614" i="1"/>
  <c r="Q568" i="1"/>
  <c r="Q600" i="1"/>
  <c r="Q590" i="1"/>
  <c r="Q630" i="1"/>
  <c r="Q582" i="1"/>
  <c r="Q615" i="1"/>
  <c r="Q574" i="1"/>
  <c r="Q597" i="1"/>
  <c r="Q604" i="1"/>
  <c r="Q599" i="1"/>
  <c r="Q616" i="1"/>
  <c r="Q593" i="1"/>
  <c r="Q617" i="1"/>
  <c r="Q566" i="1"/>
  <c r="Q575" i="1"/>
  <c r="Q596" i="1"/>
  <c r="Q572" i="1"/>
  <c r="Q618" i="1"/>
  <c r="Q609" i="1"/>
  <c r="Q576" i="1"/>
  <c r="Q601" i="1"/>
  <c r="Q588" i="1"/>
  <c r="Q611" i="1"/>
  <c r="Q602" i="1"/>
  <c r="Q605" i="1"/>
  <c r="Q598" i="1"/>
  <c r="Q591" i="1"/>
  <c r="Q587" i="1"/>
  <c r="Q619" i="1"/>
  <c r="Q620" i="1"/>
  <c r="Q607" i="1"/>
  <c r="Q589" i="1"/>
  <c r="Q577" i="1"/>
  <c r="Q608" i="1"/>
  <c r="Q621" i="1"/>
  <c r="Q565" i="1"/>
  <c r="Q622" i="1"/>
  <c r="Q583" i="1"/>
  <c r="Q623" i="1"/>
  <c r="Q624" i="1"/>
  <c r="Q592" i="1"/>
  <c r="Q585" i="1"/>
  <c r="Q573" i="1"/>
  <c r="Q625" i="1"/>
  <c r="Q603" i="1"/>
  <c r="Q578" i="1"/>
  <c r="Q586" i="1"/>
  <c r="Q567" i="1"/>
  <c r="Q584" i="1"/>
  <c r="Q570" i="1"/>
  <c r="Q628" i="1"/>
  <c r="Q626" i="1"/>
  <c r="Q579" i="1"/>
  <c r="Q627" i="1"/>
  <c r="Q606" i="1"/>
  <c r="Q594" i="1"/>
  <c r="Q571" i="1"/>
  <c r="Q595" i="1"/>
  <c r="Q569" i="1"/>
  <c r="Q631" i="1"/>
  <c r="Q610" i="1"/>
  <c r="Q632" i="1"/>
  <c r="Q633" i="1"/>
  <c r="Q720" i="1"/>
  <c r="Q730" i="1"/>
  <c r="Q676" i="1"/>
  <c r="Q653" i="1"/>
  <c r="Q704" i="1"/>
  <c r="Q731" i="1"/>
  <c r="Q732" i="1"/>
  <c r="Q733" i="1"/>
  <c r="Q734" i="1"/>
  <c r="Q735" i="1"/>
  <c r="Q736" i="1"/>
  <c r="Q794" i="1"/>
  <c r="Q657" i="1"/>
  <c r="Q737" i="1"/>
  <c r="Q738" i="1"/>
  <c r="Q739" i="1"/>
  <c r="Q740" i="1"/>
  <c r="Q698" i="1"/>
  <c r="Q741" i="1"/>
  <c r="Q695" i="1"/>
  <c r="Q742" i="1"/>
  <c r="Q694" i="1"/>
  <c r="Q712" i="1"/>
  <c r="Q700" i="1"/>
  <c r="Q723" i="1"/>
  <c r="Q696" i="1"/>
  <c r="Q691" i="1"/>
  <c r="Q711" i="1"/>
  <c r="Q743" i="1"/>
  <c r="Q699" i="1"/>
  <c r="Q795" i="1"/>
  <c r="Q721" i="1"/>
  <c r="Q796" i="1"/>
  <c r="Q669" i="1"/>
  <c r="Q717" i="1"/>
  <c r="Q724" i="1"/>
  <c r="Q710" i="1"/>
  <c r="Q641" i="1"/>
  <c r="Q715" i="1"/>
  <c r="Q744" i="1"/>
  <c r="Q643" i="1"/>
  <c r="Q697" i="1"/>
  <c r="Q642" i="1"/>
  <c r="Q637" i="1"/>
  <c r="Q682" i="1"/>
  <c r="Q673" i="1"/>
  <c r="Q685" i="1"/>
  <c r="Q745" i="1"/>
  <c r="Q634" i="1"/>
  <c r="Q680" i="1"/>
  <c r="Q651" i="1"/>
  <c r="Q797" i="1"/>
  <c r="Q746" i="1"/>
  <c r="Q663" i="1"/>
  <c r="Q690" i="1"/>
  <c r="Q640" i="1"/>
  <c r="Q747" i="1"/>
  <c r="Q725" i="1"/>
  <c r="Q659" i="1"/>
  <c r="Q749" i="1"/>
  <c r="Q665" i="1"/>
  <c r="Q714" i="1"/>
  <c r="Q718" i="1"/>
  <c r="Q750" i="1"/>
  <c r="Q748" i="1"/>
  <c r="Q719" i="1"/>
  <c r="Q726" i="1"/>
  <c r="Q751" i="1"/>
  <c r="Q798" i="1"/>
  <c r="Q677" i="1"/>
  <c r="Q752" i="1"/>
  <c r="Q799" i="1"/>
  <c r="Q678" i="1"/>
  <c r="Q800" i="1"/>
  <c r="Q666" i="1"/>
  <c r="Q801" i="1"/>
  <c r="Q802" i="1"/>
  <c r="Q672" i="1"/>
  <c r="Q728" i="1"/>
  <c r="Q671" i="1"/>
  <c r="Q650" i="1"/>
  <c r="Q803" i="1"/>
  <c r="Q753" i="1"/>
  <c r="Q658" i="1"/>
  <c r="Q754" i="1"/>
  <c r="Q688" i="1"/>
  <c r="Q755" i="1"/>
  <c r="Q756" i="1"/>
  <c r="Q757" i="1"/>
  <c r="Q662" i="1"/>
  <c r="Q644" i="1"/>
  <c r="Q638" i="1"/>
  <c r="Q758" i="1"/>
  <c r="Q804" i="1"/>
  <c r="Q759" i="1"/>
  <c r="Q805" i="1"/>
  <c r="Q661" i="1"/>
  <c r="Q652" i="1"/>
  <c r="Q760" i="1"/>
  <c r="Q635" i="1"/>
  <c r="Q692" i="1"/>
  <c r="Q647" i="1"/>
  <c r="Q806" i="1"/>
  <c r="Q761" i="1"/>
  <c r="Q705" i="1"/>
  <c r="Q675" i="1"/>
  <c r="Q729" i="1"/>
  <c r="Q713" i="1"/>
  <c r="Q762" i="1"/>
  <c r="Q763" i="1"/>
  <c r="Q648" i="1"/>
  <c r="Q764" i="1"/>
  <c r="Q722" i="1"/>
  <c r="Q765" i="1"/>
  <c r="Q708" i="1"/>
  <c r="Q709" i="1"/>
  <c r="Q655" i="1"/>
  <c r="Q636" i="1"/>
  <c r="Q668" i="1"/>
  <c r="Q807" i="1"/>
  <c r="Q766" i="1"/>
  <c r="Q674" i="1"/>
  <c r="Q707" i="1"/>
  <c r="Q767" i="1"/>
  <c r="Q768" i="1"/>
  <c r="Q769" i="1"/>
  <c r="Q770" i="1"/>
  <c r="Q771" i="1"/>
  <c r="Q772" i="1"/>
  <c r="Q679" i="1"/>
  <c r="Q706" i="1"/>
  <c r="Q808" i="1"/>
  <c r="Q809" i="1"/>
  <c r="Q773" i="1"/>
  <c r="Q774" i="1"/>
  <c r="Q670" i="1"/>
  <c r="Q701" i="1"/>
  <c r="Q775" i="1"/>
  <c r="Q684" i="1"/>
  <c r="Q776" i="1"/>
  <c r="Q777" i="1"/>
  <c r="Q656" i="1"/>
  <c r="Q686" i="1"/>
  <c r="Q660" i="1"/>
  <c r="Q810" i="1"/>
  <c r="Q778" i="1"/>
  <c r="Q649" i="1"/>
  <c r="Q779" i="1"/>
  <c r="Q811" i="1"/>
  <c r="Q780" i="1"/>
  <c r="Q716" i="1"/>
  <c r="Q812" i="1"/>
  <c r="Q781" i="1"/>
  <c r="Q782" i="1"/>
  <c r="Q783" i="1"/>
  <c r="Q683" i="1"/>
  <c r="Q693" i="1"/>
  <c r="Q784" i="1"/>
  <c r="Q646" i="1"/>
  <c r="Q687" i="1"/>
  <c r="Q703" i="1"/>
  <c r="Q785" i="1"/>
  <c r="Q667" i="1"/>
  <c r="Q786" i="1"/>
  <c r="Q787" i="1"/>
  <c r="Q645" i="1"/>
  <c r="Q788" i="1"/>
  <c r="Q664" i="1"/>
  <c r="Q789" i="1"/>
  <c r="Q790" i="1"/>
  <c r="Q791" i="1"/>
  <c r="Q792" i="1"/>
  <c r="Q793" i="1"/>
  <c r="Q816" i="1"/>
  <c r="Q817" i="1"/>
  <c r="Q702" i="1"/>
  <c r="Q681" i="1"/>
  <c r="Q814" i="1"/>
  <c r="Q813" i="1"/>
  <c r="Q818" i="1"/>
  <c r="Q815" i="1"/>
  <c r="Q727" i="1"/>
  <c r="Q689" i="1"/>
  <c r="Q819" i="1"/>
  <c r="Q654" i="1"/>
  <c r="Q639" i="1"/>
  <c r="Q1250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3" i="1"/>
  <c r="Q844" i="1"/>
  <c r="Q846" i="1"/>
  <c r="Q848" i="1"/>
  <c r="Q849" i="1"/>
  <c r="Q842" i="1"/>
  <c r="Q845" i="1"/>
  <c r="Q850" i="1"/>
  <c r="Q847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3" i="1"/>
  <c r="Q1154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80" i="1"/>
  <c r="Q1181" i="1"/>
  <c r="Q1182" i="1"/>
  <c r="Q1183" i="1"/>
  <c r="Q1184" i="1"/>
  <c r="Q1185" i="1"/>
  <c r="Q1186" i="1"/>
  <c r="Q1187" i="1"/>
  <c r="Q1188" i="1"/>
  <c r="Q1189" i="1"/>
  <c r="Q1190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4" i="1"/>
  <c r="Q1226" i="1"/>
  <c r="Q1228" i="1"/>
  <c r="Q1229" i="1"/>
  <c r="Q1230" i="1"/>
  <c r="Q1231" i="1"/>
  <c r="Q1232" i="1"/>
  <c r="Q1233" i="1"/>
  <c r="Q1234" i="1"/>
  <c r="Q1235" i="1"/>
  <c r="Q1236" i="1"/>
  <c r="Q1238" i="1"/>
  <c r="Q1239" i="1"/>
  <c r="Q1240" i="1"/>
  <c r="Q1241" i="1"/>
  <c r="Q1243" i="1"/>
  <c r="Q1245" i="1"/>
  <c r="Q1246" i="1"/>
  <c r="Q1247" i="1"/>
  <c r="Q1248" i="1"/>
  <c r="Q1249" i="1"/>
  <c r="Q869" i="1"/>
  <c r="Q942" i="1"/>
  <c r="Q1050" i="1"/>
  <c r="Q1100" i="1"/>
  <c r="Q1152" i="1"/>
  <c r="Q1155" i="1"/>
  <c r="Q1179" i="1"/>
  <c r="Q1191" i="1"/>
  <c r="Q1207" i="1"/>
  <c r="Q1208" i="1"/>
  <c r="Q1223" i="1"/>
  <c r="Q1225" i="1"/>
  <c r="Q1227" i="1"/>
  <c r="Q1237" i="1"/>
  <c r="Q1242" i="1"/>
  <c r="Q1244" i="1"/>
  <c r="Z2" i="1"/>
  <c r="Y2" i="1"/>
  <c r="X2" i="1"/>
  <c r="W2" i="1"/>
  <c r="V2" i="1"/>
  <c r="U2" i="1"/>
  <c r="T2" i="1"/>
  <c r="S2" i="1"/>
  <c r="R2" i="1"/>
  <c r="Q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30" i="1"/>
  <c r="P32" i="1"/>
  <c r="P34" i="1"/>
  <c r="P33" i="1"/>
  <c r="P35" i="1"/>
  <c r="P36" i="1"/>
  <c r="P37" i="1"/>
  <c r="P38" i="1"/>
  <c r="P39" i="1"/>
  <c r="P40" i="1"/>
  <c r="P41" i="1"/>
  <c r="P42" i="1"/>
  <c r="P43" i="1"/>
  <c r="P45" i="1"/>
  <c r="P47" i="1"/>
  <c r="P46" i="1"/>
  <c r="P48" i="1"/>
  <c r="P49" i="1"/>
  <c r="P50" i="1"/>
  <c r="P51" i="1"/>
  <c r="P52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8" i="1"/>
  <c r="P69" i="1"/>
  <c r="P70" i="1"/>
  <c r="P71" i="1"/>
  <c r="P72" i="1"/>
  <c r="P73" i="1"/>
  <c r="P74" i="1"/>
  <c r="P75" i="1"/>
  <c r="P76" i="1"/>
  <c r="P77" i="1"/>
  <c r="P79" i="1"/>
  <c r="P80" i="1"/>
  <c r="P81" i="1"/>
  <c r="P82" i="1"/>
  <c r="P83" i="1"/>
  <c r="P87" i="1"/>
  <c r="P86" i="1"/>
  <c r="P89" i="1"/>
  <c r="P88" i="1"/>
  <c r="P91" i="1"/>
  <c r="P92" i="1"/>
  <c r="P93" i="1"/>
  <c r="P94" i="1"/>
  <c r="P97" i="1"/>
  <c r="P95" i="1"/>
  <c r="P96" i="1"/>
  <c r="P99" i="1"/>
  <c r="P103" i="1"/>
  <c r="P101" i="1"/>
  <c r="P102" i="1"/>
  <c r="P104" i="1"/>
  <c r="P105" i="1"/>
  <c r="P107" i="1"/>
  <c r="P108" i="1"/>
  <c r="P109" i="1"/>
  <c r="P111" i="1"/>
  <c r="P113" i="1"/>
  <c r="P115" i="1"/>
  <c r="P117" i="1"/>
  <c r="P116" i="1"/>
  <c r="P119" i="1"/>
  <c r="P123" i="1"/>
  <c r="P124" i="1"/>
  <c r="P126" i="1"/>
  <c r="P127" i="1"/>
  <c r="P131" i="1"/>
  <c r="P132" i="1"/>
  <c r="P134" i="1"/>
  <c r="P133" i="1"/>
  <c r="P137" i="1"/>
  <c r="P138" i="1"/>
  <c r="P139" i="1"/>
  <c r="P140" i="1"/>
  <c r="P141" i="1"/>
  <c r="P142" i="1"/>
  <c r="P144" i="1"/>
  <c r="P143" i="1"/>
  <c r="P145" i="1"/>
  <c r="P146" i="1"/>
  <c r="P147" i="1"/>
  <c r="P148" i="1"/>
  <c r="P149" i="1"/>
  <c r="P151" i="1"/>
  <c r="P150" i="1"/>
  <c r="P152" i="1"/>
  <c r="P153" i="1"/>
  <c r="P154" i="1"/>
  <c r="P155" i="1"/>
  <c r="P157" i="1"/>
  <c r="P165" i="1"/>
  <c r="P168" i="1"/>
  <c r="P170" i="1"/>
  <c r="P169" i="1"/>
  <c r="P172" i="1"/>
  <c r="P173" i="1"/>
  <c r="P176" i="1"/>
  <c r="P180" i="1"/>
  <c r="P183" i="1"/>
  <c r="P184" i="1"/>
  <c r="P186" i="1"/>
  <c r="P187" i="1"/>
  <c r="P188" i="1"/>
  <c r="P191" i="1"/>
  <c r="P192" i="1"/>
  <c r="P194" i="1"/>
  <c r="P198" i="1"/>
  <c r="P197" i="1"/>
  <c r="P200" i="1"/>
  <c r="P204" i="1"/>
  <c r="P205" i="1"/>
  <c r="P202" i="1"/>
  <c r="P215" i="1"/>
  <c r="P216" i="1"/>
  <c r="P219" i="1"/>
  <c r="P222" i="1"/>
  <c r="P221" i="1"/>
  <c r="P226" i="1"/>
  <c r="P228" i="1"/>
  <c r="P231" i="1"/>
  <c r="P235" i="1"/>
  <c r="P29" i="1"/>
  <c r="P31" i="1"/>
  <c r="P85" i="1"/>
  <c r="P120" i="1"/>
  <c r="P130" i="1"/>
  <c r="P136" i="1"/>
  <c r="P162" i="1"/>
  <c r="P171" i="1"/>
  <c r="P174" i="1"/>
  <c r="P182" i="1"/>
  <c r="P181" i="1"/>
  <c r="P185" i="1"/>
  <c r="P190" i="1"/>
  <c r="P189" i="1"/>
  <c r="P193" i="1"/>
  <c r="P196" i="1"/>
  <c r="P203" i="1"/>
  <c r="P208" i="1"/>
  <c r="P214" i="1"/>
  <c r="P220" i="1"/>
  <c r="P237" i="1"/>
  <c r="P254" i="1"/>
  <c r="P255" i="1"/>
  <c r="P256" i="1"/>
  <c r="P252" i="1"/>
  <c r="P241" i="1"/>
  <c r="P239" i="1"/>
  <c r="P257" i="1"/>
  <c r="P250" i="1"/>
  <c r="P258" i="1"/>
  <c r="P240" i="1"/>
  <c r="P259" i="1"/>
  <c r="P238" i="1"/>
  <c r="P287" i="1"/>
  <c r="P273" i="1"/>
  <c r="P268" i="1"/>
  <c r="P289" i="1"/>
  <c r="P269" i="1"/>
  <c r="P270" i="1"/>
  <c r="P271" i="1"/>
  <c r="P290" i="1"/>
  <c r="P291" i="1"/>
  <c r="P272" i="1"/>
  <c r="P277" i="1"/>
  <c r="P316" i="1"/>
  <c r="P292" i="1"/>
  <c r="P317" i="1"/>
  <c r="P304" i="1"/>
  <c r="P318" i="1"/>
  <c r="P298" i="1"/>
  <c r="P294" i="1"/>
  <c r="P293" i="1"/>
  <c r="P300" i="1"/>
  <c r="P308" i="1"/>
  <c r="P310" i="1"/>
  <c r="P301" i="1"/>
  <c r="P296" i="1"/>
  <c r="P328" i="1"/>
  <c r="P327" i="1"/>
  <c r="P350" i="1"/>
  <c r="P351" i="1"/>
  <c r="P352" i="1"/>
  <c r="P353" i="1"/>
  <c r="P354" i="1"/>
  <c r="P329" i="1"/>
  <c r="P341" i="1"/>
  <c r="P343" i="1"/>
  <c r="P338" i="1"/>
  <c r="P421" i="1"/>
  <c r="P357" i="1"/>
  <c r="P366" i="1"/>
  <c r="P423" i="1"/>
  <c r="P358" i="1"/>
  <c r="P360" i="1"/>
  <c r="P424" i="1"/>
  <c r="P383" i="1"/>
  <c r="P359" i="1"/>
  <c r="P361" i="1"/>
  <c r="P427" i="1"/>
  <c r="P368" i="1"/>
  <c r="P428" i="1"/>
  <c r="P410" i="1"/>
  <c r="P397" i="1"/>
  <c r="P388" i="1"/>
  <c r="P405" i="1"/>
  <c r="P371" i="1"/>
  <c r="P416" i="1"/>
  <c r="P386" i="1"/>
  <c r="P365" i="1"/>
  <c r="P430" i="1"/>
  <c r="P435" i="1"/>
  <c r="P479" i="1"/>
  <c r="P469" i="1"/>
  <c r="P461" i="1"/>
  <c r="P480" i="1"/>
  <c r="P455" i="1"/>
  <c r="P450" i="1"/>
  <c r="P463" i="1"/>
  <c r="P481" i="1"/>
  <c r="P474" i="1"/>
  <c r="P442" i="1"/>
  <c r="P438" i="1"/>
  <c r="P445" i="1"/>
  <c r="P449" i="1"/>
  <c r="P431" i="1"/>
  <c r="P440" i="1"/>
  <c r="P478" i="1"/>
  <c r="P98" i="1"/>
  <c r="P253" i="1"/>
  <c r="P243" i="1"/>
  <c r="P288" i="1"/>
  <c r="P267" i="1"/>
  <c r="P285" i="1"/>
  <c r="P348" i="1"/>
  <c r="P356" i="1"/>
  <c r="P331" i="1"/>
  <c r="P364" i="1"/>
  <c r="P396" i="1"/>
  <c r="P400" i="1"/>
  <c r="P508" i="1"/>
  <c r="P511" i="1"/>
  <c r="P482" i="1"/>
  <c r="P492" i="1"/>
  <c r="P495" i="1"/>
  <c r="P500" i="1"/>
  <c r="P516" i="1"/>
  <c r="P517" i="1"/>
  <c r="P501" i="1"/>
  <c r="P297" i="1"/>
  <c r="P319" i="1"/>
  <c r="P345" i="1"/>
  <c r="P411" i="1"/>
  <c r="P506" i="1"/>
  <c r="P483" i="1"/>
  <c r="P490" i="1"/>
  <c r="P484" i="1"/>
  <c r="P513" i="1"/>
  <c r="P211" i="1"/>
  <c r="P276" i="1"/>
  <c r="P311" i="1"/>
  <c r="P295" i="1"/>
  <c r="P349" i="1"/>
  <c r="P355" i="1"/>
  <c r="P419" i="1"/>
  <c r="P426" i="1"/>
  <c r="P370" i="1"/>
  <c r="P512" i="1"/>
  <c r="P505" i="1"/>
  <c r="P519" i="1"/>
  <c r="P112" i="1"/>
  <c r="P207" i="1"/>
  <c r="P227" i="1"/>
  <c r="P229" i="1"/>
  <c r="P263" i="1"/>
  <c r="P264" i="1"/>
  <c r="P260" i="1"/>
  <c r="P265" i="1"/>
  <c r="P266" i="1"/>
  <c r="P322" i="1"/>
  <c r="P326" i="1"/>
  <c r="P422" i="1"/>
  <c r="P367" i="1"/>
  <c r="P425" i="1"/>
  <c r="P429" i="1"/>
  <c r="P504" i="1"/>
  <c r="P515" i="1"/>
  <c r="P507" i="1"/>
  <c r="P494" i="1"/>
  <c r="P510" i="1"/>
  <c r="P514" i="1"/>
  <c r="P509" i="1"/>
  <c r="P518" i="1"/>
  <c r="P549" i="1"/>
  <c r="P550" i="1"/>
  <c r="P531" i="1"/>
  <c r="P551" i="1"/>
  <c r="P552" i="1"/>
  <c r="P540" i="1"/>
  <c r="P520" i="1"/>
  <c r="P522" i="1"/>
  <c r="P561" i="1"/>
  <c r="P553" i="1"/>
  <c r="P537" i="1"/>
  <c r="P554" i="1"/>
  <c r="P544" i="1"/>
  <c r="P533" i="1"/>
  <c r="P557" i="1"/>
  <c r="P555" i="1"/>
  <c r="P536" i="1"/>
  <c r="P562" i="1"/>
  <c r="P563" i="1"/>
  <c r="P528" i="1"/>
  <c r="P527" i="1"/>
  <c r="P556" i="1"/>
  <c r="P535" i="1"/>
  <c r="P529" i="1"/>
  <c r="P558" i="1"/>
  <c r="P559" i="1"/>
  <c r="P560" i="1"/>
  <c r="P564" i="1"/>
  <c r="P523" i="1"/>
  <c r="P629" i="1"/>
  <c r="P613" i="1"/>
  <c r="P614" i="1"/>
  <c r="P590" i="1"/>
  <c r="P630" i="1"/>
  <c r="P615" i="1"/>
  <c r="P616" i="1"/>
  <c r="P617" i="1"/>
  <c r="P596" i="1"/>
  <c r="P618" i="1"/>
  <c r="P619" i="1"/>
  <c r="P620" i="1"/>
  <c r="P621" i="1"/>
  <c r="P622" i="1"/>
  <c r="P583" i="1"/>
  <c r="P623" i="1"/>
  <c r="P624" i="1"/>
  <c r="P592" i="1"/>
  <c r="P585" i="1"/>
  <c r="P573" i="1"/>
  <c r="P625" i="1"/>
  <c r="P603" i="1"/>
  <c r="P578" i="1"/>
  <c r="P586" i="1"/>
  <c r="P584" i="1"/>
  <c r="P628" i="1"/>
  <c r="P626" i="1"/>
  <c r="P627" i="1"/>
  <c r="P594" i="1"/>
  <c r="P595" i="1"/>
  <c r="P569" i="1"/>
  <c r="P631" i="1"/>
  <c r="P610" i="1"/>
  <c r="P632" i="1"/>
  <c r="P633" i="1"/>
  <c r="P730" i="1"/>
  <c r="P731" i="1"/>
  <c r="P732" i="1"/>
  <c r="P733" i="1"/>
  <c r="P734" i="1"/>
  <c r="P735" i="1"/>
  <c r="P736" i="1"/>
  <c r="P794" i="1"/>
  <c r="P737" i="1"/>
  <c r="P738" i="1"/>
  <c r="P739" i="1"/>
  <c r="P740" i="1"/>
  <c r="P741" i="1"/>
  <c r="P695" i="1"/>
  <c r="P742" i="1"/>
  <c r="P694" i="1"/>
  <c r="P723" i="1"/>
  <c r="P711" i="1"/>
  <c r="P743" i="1"/>
  <c r="P795" i="1"/>
  <c r="P721" i="1"/>
  <c r="P796" i="1"/>
  <c r="P744" i="1"/>
  <c r="P745" i="1"/>
  <c r="P797" i="1"/>
  <c r="P746" i="1"/>
  <c r="P690" i="1"/>
  <c r="P747" i="1"/>
  <c r="P749" i="1"/>
  <c r="P750" i="1"/>
  <c r="P748" i="1"/>
  <c r="P726" i="1"/>
  <c r="P751" i="1"/>
  <c r="P798" i="1"/>
  <c r="P752" i="1"/>
  <c r="P799" i="1"/>
  <c r="P800" i="1"/>
  <c r="P801" i="1"/>
  <c r="P802" i="1"/>
  <c r="P803" i="1"/>
  <c r="P753" i="1"/>
  <c r="P754" i="1"/>
  <c r="P755" i="1"/>
  <c r="P756" i="1"/>
  <c r="P757" i="1"/>
  <c r="P758" i="1"/>
  <c r="P804" i="1"/>
  <c r="P759" i="1"/>
  <c r="P805" i="1"/>
  <c r="P760" i="1"/>
  <c r="P635" i="1"/>
  <c r="P692" i="1"/>
  <c r="P647" i="1"/>
  <c r="P806" i="1"/>
  <c r="P761" i="1"/>
  <c r="P729" i="1"/>
  <c r="P762" i="1"/>
  <c r="P763" i="1"/>
  <c r="P764" i="1"/>
  <c r="P765" i="1"/>
  <c r="P807" i="1"/>
  <c r="P766" i="1"/>
  <c r="P674" i="1"/>
  <c r="P767" i="1"/>
  <c r="P768" i="1"/>
  <c r="P769" i="1"/>
  <c r="P770" i="1"/>
  <c r="P771" i="1"/>
  <c r="P772" i="1"/>
  <c r="P679" i="1"/>
  <c r="P808" i="1"/>
  <c r="P809" i="1"/>
  <c r="P773" i="1"/>
  <c r="P774" i="1"/>
  <c r="P670" i="1"/>
  <c r="P775" i="1"/>
  <c r="P776" i="1"/>
  <c r="P777" i="1"/>
  <c r="P656" i="1"/>
  <c r="P810" i="1"/>
  <c r="P778" i="1"/>
  <c r="P779" i="1"/>
  <c r="P811" i="1"/>
  <c r="P780" i="1"/>
  <c r="P716" i="1"/>
  <c r="P812" i="1"/>
  <c r="P781" i="1"/>
  <c r="P782" i="1"/>
  <c r="P783" i="1"/>
  <c r="P683" i="1"/>
  <c r="P784" i="1"/>
  <c r="P646" i="1"/>
  <c r="P687" i="1"/>
  <c r="P703" i="1"/>
  <c r="P785" i="1"/>
  <c r="P786" i="1"/>
  <c r="P787" i="1"/>
  <c r="P788" i="1"/>
  <c r="P789" i="1"/>
  <c r="P790" i="1"/>
  <c r="P791" i="1"/>
  <c r="P792" i="1"/>
  <c r="P793" i="1"/>
  <c r="P816" i="1"/>
  <c r="P817" i="1"/>
  <c r="P702" i="1"/>
  <c r="P681" i="1"/>
  <c r="P814" i="1"/>
  <c r="P813" i="1"/>
  <c r="P818" i="1"/>
  <c r="P815" i="1"/>
  <c r="P689" i="1"/>
  <c r="P819" i="1"/>
  <c r="P654" i="1"/>
  <c r="P639" i="1"/>
  <c r="P1250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3" i="1"/>
  <c r="P844" i="1"/>
  <c r="P846" i="1"/>
  <c r="P848" i="1"/>
  <c r="P849" i="1"/>
  <c r="P842" i="1"/>
  <c r="P845" i="1"/>
  <c r="P850" i="1"/>
  <c r="P847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6" i="1"/>
  <c r="P870" i="1"/>
  <c r="P872" i="1"/>
  <c r="P873" i="1"/>
  <c r="P874" i="1"/>
  <c r="P875" i="1"/>
  <c r="P878" i="1"/>
  <c r="P881" i="1"/>
  <c r="P883" i="1"/>
  <c r="P884" i="1"/>
  <c r="P887" i="1"/>
  <c r="P891" i="1"/>
  <c r="P892" i="1"/>
  <c r="P896" i="1"/>
  <c r="P897" i="1"/>
  <c r="P898" i="1"/>
  <c r="P903" i="1"/>
  <c r="P904" i="1"/>
  <c r="P907" i="1"/>
  <c r="P909" i="1"/>
  <c r="P910" i="1"/>
  <c r="P912" i="1"/>
  <c r="P916" i="1"/>
  <c r="P917" i="1"/>
  <c r="P918" i="1"/>
  <c r="P919" i="1"/>
  <c r="P921" i="1"/>
  <c r="P923" i="1"/>
  <c r="P927" i="1"/>
  <c r="P930" i="1"/>
  <c r="P933" i="1"/>
  <c r="P937" i="1"/>
  <c r="P939" i="1"/>
  <c r="P940" i="1"/>
  <c r="P943" i="1"/>
  <c r="P945" i="1"/>
  <c r="P948" i="1"/>
  <c r="P956" i="1"/>
  <c r="P957" i="1"/>
  <c r="P961" i="1"/>
  <c r="P962" i="1"/>
  <c r="P964" i="1"/>
  <c r="P966" i="1"/>
  <c r="P970" i="1"/>
  <c r="P977" i="1"/>
  <c r="P984" i="1"/>
  <c r="P985" i="1"/>
  <c r="P989" i="1"/>
  <c r="P991" i="1"/>
  <c r="P993" i="1"/>
  <c r="P998" i="1"/>
  <c r="P1006" i="1"/>
  <c r="P1009" i="1"/>
  <c r="P1010" i="1"/>
  <c r="P1013" i="1"/>
  <c r="P1020" i="1"/>
  <c r="P1025" i="1"/>
  <c r="P1030" i="1"/>
  <c r="P1031" i="1"/>
  <c r="P1033" i="1"/>
  <c r="P1035" i="1"/>
  <c r="P1038" i="1"/>
  <c r="P1042" i="1"/>
  <c r="P1043" i="1"/>
  <c r="P1045" i="1"/>
  <c r="P1048" i="1"/>
  <c r="P1049" i="1"/>
  <c r="P1051" i="1"/>
  <c r="P1053" i="1"/>
  <c r="P1055" i="1"/>
  <c r="P1061" i="1"/>
  <c r="P1063" i="1"/>
  <c r="P1065" i="1"/>
  <c r="P1066" i="1"/>
  <c r="P1068" i="1"/>
  <c r="P1071" i="1"/>
  <c r="P1075" i="1"/>
  <c r="P1079" i="1"/>
  <c r="P1080" i="1"/>
  <c r="P1089" i="1"/>
  <c r="P1090" i="1"/>
  <c r="P1094" i="1"/>
  <c r="P1095" i="1"/>
  <c r="P1103" i="1"/>
  <c r="P1107" i="1"/>
  <c r="P1109" i="1"/>
  <c r="P1110" i="1"/>
  <c r="P1112" i="1"/>
  <c r="P1113" i="1"/>
  <c r="P1114" i="1"/>
  <c r="P1115" i="1"/>
  <c r="P1116" i="1"/>
  <c r="P1119" i="1"/>
  <c r="P1120" i="1"/>
  <c r="P1121" i="1"/>
  <c r="P1125" i="1"/>
  <c r="P1126" i="1"/>
  <c r="P1130" i="1"/>
  <c r="P1133" i="1"/>
  <c r="P1134" i="1"/>
  <c r="P1135" i="1"/>
  <c r="P1137" i="1"/>
  <c r="P1139" i="1"/>
  <c r="P1141" i="1"/>
  <c r="P1147" i="1"/>
  <c r="P1151" i="1"/>
  <c r="P1153" i="1"/>
  <c r="P1158" i="1"/>
  <c r="P1161" i="1"/>
  <c r="P1163" i="1"/>
  <c r="P1164" i="1"/>
  <c r="P1166" i="1"/>
  <c r="P1172" i="1"/>
  <c r="P1174" i="1"/>
  <c r="P1175" i="1"/>
  <c r="P1177" i="1"/>
  <c r="P1184" i="1"/>
  <c r="P1185" i="1"/>
  <c r="P1186" i="1"/>
  <c r="P1193" i="1"/>
  <c r="P1197" i="1"/>
  <c r="P1202" i="1"/>
  <c r="P1203" i="1"/>
  <c r="P1204" i="1"/>
  <c r="P1209" i="1"/>
  <c r="P1214" i="1"/>
  <c r="P1215" i="1"/>
  <c r="P1220" i="1"/>
  <c r="P1221" i="1"/>
  <c r="P1231" i="1"/>
  <c r="P1238" i="1"/>
  <c r="P1239" i="1"/>
  <c r="P1243" i="1"/>
  <c r="P1245" i="1"/>
  <c r="P1247" i="1"/>
  <c r="P1249" i="1"/>
  <c r="P869" i="1"/>
  <c r="P1179" i="1"/>
  <c r="P1191" i="1"/>
  <c r="P1207" i="1"/>
  <c r="P1223" i="1"/>
  <c r="P1225" i="1"/>
  <c r="P1227" i="1"/>
  <c r="P1242" i="1"/>
  <c r="P1244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30" i="1"/>
  <c r="O32" i="1"/>
  <c r="O34" i="1"/>
  <c r="O33" i="1"/>
  <c r="O35" i="1"/>
  <c r="O36" i="1"/>
  <c r="O37" i="1"/>
  <c r="O38" i="1"/>
  <c r="O39" i="1"/>
  <c r="O40" i="1"/>
  <c r="O41" i="1"/>
  <c r="O42" i="1"/>
  <c r="O43" i="1"/>
  <c r="O44" i="1"/>
  <c r="O45" i="1"/>
  <c r="O47" i="1"/>
  <c r="O46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8" i="1"/>
  <c r="O69" i="1"/>
  <c r="O70" i="1"/>
  <c r="O71" i="1"/>
  <c r="O72" i="1"/>
  <c r="O73" i="1"/>
  <c r="O74" i="1"/>
  <c r="O75" i="1"/>
  <c r="O76" i="1"/>
  <c r="O78" i="1"/>
  <c r="O77" i="1"/>
  <c r="O79" i="1"/>
  <c r="O80" i="1"/>
  <c r="O81" i="1"/>
  <c r="O82" i="1"/>
  <c r="O83" i="1"/>
  <c r="O84" i="1"/>
  <c r="O87" i="1"/>
  <c r="O86" i="1"/>
  <c r="O89" i="1"/>
  <c r="O88" i="1"/>
  <c r="O90" i="1"/>
  <c r="O91" i="1"/>
  <c r="O92" i="1"/>
  <c r="O93" i="1"/>
  <c r="O94" i="1"/>
  <c r="O97" i="1"/>
  <c r="O95" i="1"/>
  <c r="O96" i="1"/>
  <c r="O99" i="1"/>
  <c r="O100" i="1"/>
  <c r="O103" i="1"/>
  <c r="O101" i="1"/>
  <c r="O102" i="1"/>
  <c r="O104" i="1"/>
  <c r="O105" i="1"/>
  <c r="O106" i="1"/>
  <c r="O107" i="1"/>
  <c r="O108" i="1"/>
  <c r="O109" i="1"/>
  <c r="O110" i="1"/>
  <c r="O111" i="1"/>
  <c r="O113" i="1"/>
  <c r="O115" i="1"/>
  <c r="O114" i="1"/>
  <c r="O117" i="1"/>
  <c r="O116" i="1"/>
  <c r="O118" i="1"/>
  <c r="O121" i="1"/>
  <c r="O119" i="1"/>
  <c r="O122" i="1"/>
  <c r="O123" i="1"/>
  <c r="O124" i="1"/>
  <c r="O125" i="1"/>
  <c r="O126" i="1"/>
  <c r="O127" i="1"/>
  <c r="O129" i="1"/>
  <c r="O128" i="1"/>
  <c r="O131" i="1"/>
  <c r="O132" i="1"/>
  <c r="O134" i="1"/>
  <c r="O135" i="1"/>
  <c r="O133" i="1"/>
  <c r="O137" i="1"/>
  <c r="O138" i="1"/>
  <c r="O139" i="1"/>
  <c r="O140" i="1"/>
  <c r="O141" i="1"/>
  <c r="O142" i="1"/>
  <c r="O144" i="1"/>
  <c r="O143" i="1"/>
  <c r="O145" i="1"/>
  <c r="O146" i="1"/>
  <c r="O147" i="1"/>
  <c r="O148" i="1"/>
  <c r="O149" i="1"/>
  <c r="O151" i="1"/>
  <c r="O150" i="1"/>
  <c r="O152" i="1"/>
  <c r="O153" i="1"/>
  <c r="O154" i="1"/>
  <c r="O156" i="1"/>
  <c r="O155" i="1"/>
  <c r="O158" i="1"/>
  <c r="O157" i="1"/>
  <c r="O160" i="1"/>
  <c r="O159" i="1"/>
  <c r="O164" i="1"/>
  <c r="O167" i="1"/>
  <c r="O166" i="1"/>
  <c r="O165" i="1"/>
  <c r="O168" i="1"/>
  <c r="O170" i="1"/>
  <c r="O169" i="1"/>
  <c r="O172" i="1"/>
  <c r="O173" i="1"/>
  <c r="O175" i="1"/>
  <c r="O176" i="1"/>
  <c r="O177" i="1"/>
  <c r="O179" i="1"/>
  <c r="O180" i="1"/>
  <c r="O183" i="1"/>
  <c r="O184" i="1"/>
  <c r="O186" i="1"/>
  <c r="O187" i="1"/>
  <c r="O188" i="1"/>
  <c r="O191" i="1"/>
  <c r="O192" i="1"/>
  <c r="O194" i="1"/>
  <c r="O195" i="1"/>
  <c r="O198" i="1"/>
  <c r="O199" i="1"/>
  <c r="O197" i="1"/>
  <c r="O200" i="1"/>
  <c r="O204" i="1"/>
  <c r="O205" i="1"/>
  <c r="O202" i="1"/>
  <c r="O209" i="1"/>
  <c r="O210" i="1"/>
  <c r="O212" i="1"/>
  <c r="O213" i="1"/>
  <c r="O215" i="1"/>
  <c r="O216" i="1"/>
  <c r="O217" i="1"/>
  <c r="O218" i="1"/>
  <c r="O219" i="1"/>
  <c r="O223" i="1"/>
  <c r="O222" i="1"/>
  <c r="O221" i="1"/>
  <c r="O224" i="1"/>
  <c r="O226" i="1"/>
  <c r="O228" i="1"/>
  <c r="O230" i="1"/>
  <c r="O232" i="1"/>
  <c r="O231" i="1"/>
  <c r="O235" i="1"/>
  <c r="O236" i="1"/>
  <c r="O29" i="1"/>
  <c r="O31" i="1"/>
  <c r="O85" i="1"/>
  <c r="O120" i="1"/>
  <c r="O130" i="1"/>
  <c r="O136" i="1"/>
  <c r="O161" i="1"/>
  <c r="O163" i="1"/>
  <c r="O162" i="1"/>
  <c r="O171" i="1"/>
  <c r="O174" i="1"/>
  <c r="O178" i="1"/>
  <c r="O182" i="1"/>
  <c r="O181" i="1"/>
  <c r="O185" i="1"/>
  <c r="O190" i="1"/>
  <c r="O189" i="1"/>
  <c r="O193" i="1"/>
  <c r="O196" i="1"/>
  <c r="O203" i="1"/>
  <c r="O208" i="1"/>
  <c r="O214" i="1"/>
  <c r="O220" i="1"/>
  <c r="O225" i="1"/>
  <c r="O233" i="1"/>
  <c r="O234" i="1"/>
  <c r="O246" i="1"/>
  <c r="O242" i="1"/>
  <c r="O251" i="1"/>
  <c r="O237" i="1"/>
  <c r="O249" i="1"/>
  <c r="O254" i="1"/>
  <c r="O244" i="1"/>
  <c r="O255" i="1"/>
  <c r="O248" i="1"/>
  <c r="O256" i="1"/>
  <c r="O252" i="1"/>
  <c r="O241" i="1"/>
  <c r="O239" i="1"/>
  <c r="O257" i="1"/>
  <c r="O250" i="1"/>
  <c r="O258" i="1"/>
  <c r="O240" i="1"/>
  <c r="O247" i="1"/>
  <c r="O259" i="1"/>
  <c r="O238" i="1"/>
  <c r="O284" i="1"/>
  <c r="O278" i="1"/>
  <c r="O287" i="1"/>
  <c r="O280" i="1"/>
  <c r="O273" i="1"/>
  <c r="O268" i="1"/>
  <c r="O279" i="1"/>
  <c r="O289" i="1"/>
  <c r="O281" i="1"/>
  <c r="O274" i="1"/>
  <c r="O269" i="1"/>
  <c r="O270" i="1"/>
  <c r="O271" i="1"/>
  <c r="O290" i="1"/>
  <c r="O291" i="1"/>
  <c r="O272" i="1"/>
  <c r="O277" i="1"/>
  <c r="O312" i="1"/>
  <c r="O316" i="1"/>
  <c r="O314" i="1"/>
  <c r="O292" i="1"/>
  <c r="O302" i="1"/>
  <c r="O317" i="1"/>
  <c r="O303" i="1"/>
  <c r="O304" i="1"/>
  <c r="O313" i="1"/>
  <c r="O318" i="1"/>
  <c r="O307" i="1"/>
  <c r="O309" i="1"/>
  <c r="O298" i="1"/>
  <c r="O306" i="1"/>
  <c r="O294" i="1"/>
  <c r="O293" i="1"/>
  <c r="O300" i="1"/>
  <c r="O308" i="1"/>
  <c r="O310" i="1"/>
  <c r="O301" i="1"/>
  <c r="O296" i="1"/>
  <c r="O347" i="1"/>
  <c r="O335" i="1"/>
  <c r="O328" i="1"/>
  <c r="O346" i="1"/>
  <c r="O327" i="1"/>
  <c r="O350" i="1"/>
  <c r="O344" i="1"/>
  <c r="O351" i="1"/>
  <c r="O352" i="1"/>
  <c r="O353" i="1"/>
  <c r="O354" i="1"/>
  <c r="O336" i="1"/>
  <c r="O342" i="1"/>
  <c r="O337" i="1"/>
  <c r="O340" i="1"/>
  <c r="O329" i="1"/>
  <c r="O333" i="1"/>
  <c r="O330" i="1"/>
  <c r="O341" i="1"/>
  <c r="O332" i="1"/>
  <c r="O343" i="1"/>
  <c r="O338" i="1"/>
  <c r="O404" i="1"/>
  <c r="O385" i="1"/>
  <c r="O398" i="1"/>
  <c r="O421" i="1"/>
  <c r="O417" i="1"/>
  <c r="O418" i="1"/>
  <c r="O375" i="1"/>
  <c r="O389" i="1"/>
  <c r="O401" i="1"/>
  <c r="O393" i="1"/>
  <c r="O409" i="1"/>
  <c r="O357" i="1"/>
  <c r="O366" i="1"/>
  <c r="O372" i="1"/>
  <c r="O423" i="1"/>
  <c r="O403" i="1"/>
  <c r="O384" i="1"/>
  <c r="O358" i="1"/>
  <c r="O360" i="1"/>
  <c r="O413" i="1"/>
  <c r="O424" i="1"/>
  <c r="O391" i="1"/>
  <c r="O402" i="1"/>
  <c r="O394" i="1"/>
  <c r="O382" i="1"/>
  <c r="O383" i="1"/>
  <c r="O407" i="1"/>
  <c r="O359" i="1"/>
  <c r="O377" i="1"/>
  <c r="O376" i="1"/>
  <c r="O361" i="1"/>
  <c r="O399" i="1"/>
  <c r="O392" i="1"/>
  <c r="O427" i="1"/>
  <c r="O373" i="1"/>
  <c r="O368" i="1"/>
  <c r="O428" i="1"/>
  <c r="O410" i="1"/>
  <c r="O397" i="1"/>
  <c r="O388" i="1"/>
  <c r="O405" i="1"/>
  <c r="O371" i="1"/>
  <c r="O416" i="1"/>
  <c r="O386" i="1"/>
  <c r="O387" i="1"/>
  <c r="O365" i="1"/>
  <c r="O430" i="1"/>
  <c r="O470" i="1"/>
  <c r="O451" i="1"/>
  <c r="O447" i="1"/>
  <c r="O458" i="1"/>
  <c r="O459" i="1"/>
  <c r="O446" i="1"/>
  <c r="O448" i="1"/>
  <c r="O460" i="1"/>
  <c r="O444" i="1"/>
  <c r="O468" i="1"/>
  <c r="O433" i="1"/>
  <c r="O435" i="1"/>
  <c r="O432" i="1"/>
  <c r="O436" i="1"/>
  <c r="O462" i="1"/>
  <c r="O479" i="1"/>
  <c r="O472" i="1"/>
  <c r="O469" i="1"/>
  <c r="O452" i="1"/>
  <c r="O461" i="1"/>
  <c r="O475" i="1"/>
  <c r="O454" i="1"/>
  <c r="O477" i="1"/>
  <c r="O456" i="1"/>
  <c r="O476" i="1"/>
  <c r="O464" i="1"/>
  <c r="O480" i="1"/>
  <c r="O465" i="1"/>
  <c r="O439" i="1"/>
  <c r="O455" i="1"/>
  <c r="O443" i="1"/>
  <c r="O441" i="1"/>
  <c r="O434" i="1"/>
  <c r="O467" i="1"/>
  <c r="O473" i="1"/>
  <c r="O457" i="1"/>
  <c r="O437" i="1"/>
  <c r="O450" i="1"/>
  <c r="O463" i="1"/>
  <c r="O466" i="1"/>
  <c r="O481" i="1"/>
  <c r="O474" i="1"/>
  <c r="O471" i="1"/>
  <c r="O442" i="1"/>
  <c r="O453" i="1"/>
  <c r="O438" i="1"/>
  <c r="O445" i="1"/>
  <c r="O449" i="1"/>
  <c r="O431" i="1"/>
  <c r="O440" i="1"/>
  <c r="O478" i="1"/>
  <c r="O98" i="1"/>
  <c r="O206" i="1"/>
  <c r="O245" i="1"/>
  <c r="O253" i="1"/>
  <c r="O243" i="1"/>
  <c r="O286" i="1"/>
  <c r="O283" i="1"/>
  <c r="O288" i="1"/>
  <c r="O275" i="1"/>
  <c r="O267" i="1"/>
  <c r="O285" i="1"/>
  <c r="O299" i="1"/>
  <c r="O305" i="1"/>
  <c r="O348" i="1"/>
  <c r="O334" i="1"/>
  <c r="O356" i="1"/>
  <c r="O331" i="1"/>
  <c r="O363" i="1"/>
  <c r="O420" i="1"/>
  <c r="O374" i="1"/>
  <c r="O414" i="1"/>
  <c r="O364" i="1"/>
  <c r="O362" i="1"/>
  <c r="O396" i="1"/>
  <c r="O400" i="1"/>
  <c r="O380" i="1"/>
  <c r="O406" i="1"/>
  <c r="O378" i="1"/>
  <c r="O497" i="1"/>
  <c r="O508" i="1"/>
  <c r="O488" i="1"/>
  <c r="O511" i="1"/>
  <c r="O482" i="1"/>
  <c r="O492" i="1"/>
  <c r="O486" i="1"/>
  <c r="O499" i="1"/>
  <c r="O495" i="1"/>
  <c r="O500" i="1"/>
  <c r="O516" i="1"/>
  <c r="O517" i="1"/>
  <c r="O501" i="1"/>
  <c r="O282" i="1"/>
  <c r="O297" i="1"/>
  <c r="O319" i="1"/>
  <c r="O345" i="1"/>
  <c r="O411" i="1"/>
  <c r="O506" i="1"/>
  <c r="O483" i="1"/>
  <c r="O487" i="1"/>
  <c r="O496" i="1"/>
  <c r="O493" i="1"/>
  <c r="O490" i="1"/>
  <c r="O484" i="1"/>
  <c r="O489" i="1"/>
  <c r="O513" i="1"/>
  <c r="O67" i="1"/>
  <c r="O201" i="1"/>
  <c r="O211" i="1"/>
  <c r="O276" i="1"/>
  <c r="O315" i="1"/>
  <c r="O311" i="1"/>
  <c r="O295" i="1"/>
  <c r="O339" i="1"/>
  <c r="O349" i="1"/>
  <c r="O355" i="1"/>
  <c r="O395" i="1"/>
  <c r="O419" i="1"/>
  <c r="O426" i="1"/>
  <c r="O381" i="1"/>
  <c r="O370" i="1"/>
  <c r="O491" i="1"/>
  <c r="O503" i="1"/>
  <c r="O498" i="1"/>
  <c r="O485" i="1"/>
  <c r="O512" i="1"/>
  <c r="O505" i="1"/>
  <c r="O519" i="1"/>
  <c r="O112" i="1"/>
  <c r="O207" i="1"/>
  <c r="O227" i="1"/>
  <c r="O229" i="1"/>
  <c r="O263" i="1"/>
  <c r="O261" i="1"/>
  <c r="O264" i="1"/>
  <c r="O260" i="1"/>
  <c r="O265" i="1"/>
  <c r="O266" i="1"/>
  <c r="O262" i="1"/>
  <c r="O320" i="1"/>
  <c r="O322" i="1"/>
  <c r="O325" i="1"/>
  <c r="O323" i="1"/>
  <c r="O324" i="1"/>
  <c r="O321" i="1"/>
  <c r="O326" i="1"/>
  <c r="O415" i="1"/>
  <c r="O379" i="1"/>
  <c r="O412" i="1"/>
  <c r="O422" i="1"/>
  <c r="O369" i="1"/>
  <c r="O367" i="1"/>
  <c r="O408" i="1"/>
  <c r="O390" i="1"/>
  <c r="O425" i="1"/>
  <c r="O429" i="1"/>
  <c r="O504" i="1"/>
  <c r="O515" i="1"/>
  <c r="O502" i="1"/>
  <c r="O507" i="1"/>
  <c r="O494" i="1"/>
  <c r="O510" i="1"/>
  <c r="O514" i="1"/>
  <c r="O509" i="1"/>
  <c r="O518" i="1"/>
  <c r="O549" i="1"/>
  <c r="O550" i="1"/>
  <c r="O531" i="1"/>
  <c r="O551" i="1"/>
  <c r="O552" i="1"/>
  <c r="O540" i="1"/>
  <c r="O524" i="1"/>
  <c r="O530" i="1"/>
  <c r="O520" i="1"/>
  <c r="O525" i="1"/>
  <c r="O545" i="1"/>
  <c r="O532" i="1"/>
  <c r="O541" i="1"/>
  <c r="O522" i="1"/>
  <c r="O542" i="1"/>
  <c r="O538" i="1"/>
  <c r="O539" i="1"/>
  <c r="O548" i="1"/>
  <c r="O561" i="1"/>
  <c r="O553" i="1"/>
  <c r="O547" i="1"/>
  <c r="O543" i="1"/>
  <c r="O537" i="1"/>
  <c r="O521" i="1"/>
  <c r="O554" i="1"/>
  <c r="O534" i="1"/>
  <c r="O544" i="1"/>
  <c r="O533" i="1"/>
  <c r="O557" i="1"/>
  <c r="O555" i="1"/>
  <c r="O536" i="1"/>
  <c r="O526" i="1"/>
  <c r="O546" i="1"/>
  <c r="O562" i="1"/>
  <c r="O563" i="1"/>
  <c r="O528" i="1"/>
  <c r="O527" i="1"/>
  <c r="O556" i="1"/>
  <c r="O535" i="1"/>
  <c r="O529" i="1"/>
  <c r="O558" i="1"/>
  <c r="O559" i="1"/>
  <c r="O560" i="1"/>
  <c r="O564" i="1"/>
  <c r="O523" i="1"/>
  <c r="O581" i="1"/>
  <c r="O612" i="1"/>
  <c r="O629" i="1"/>
  <c r="O613" i="1"/>
  <c r="O580" i="1"/>
  <c r="O614" i="1"/>
  <c r="O568" i="1"/>
  <c r="O600" i="1"/>
  <c r="O590" i="1"/>
  <c r="O630" i="1"/>
  <c r="O582" i="1"/>
  <c r="O615" i="1"/>
  <c r="O574" i="1"/>
  <c r="O597" i="1"/>
  <c r="O604" i="1"/>
  <c r="O599" i="1"/>
  <c r="O616" i="1"/>
  <c r="O593" i="1"/>
  <c r="O617" i="1"/>
  <c r="O566" i="1"/>
  <c r="O575" i="1"/>
  <c r="O596" i="1"/>
  <c r="O572" i="1"/>
  <c r="O618" i="1"/>
  <c r="O609" i="1"/>
  <c r="O576" i="1"/>
  <c r="O601" i="1"/>
  <c r="O588" i="1"/>
  <c r="O611" i="1"/>
  <c r="O602" i="1"/>
  <c r="O605" i="1"/>
  <c r="O598" i="1"/>
  <c r="O591" i="1"/>
  <c r="O587" i="1"/>
  <c r="O619" i="1"/>
  <c r="O620" i="1"/>
  <c r="O607" i="1"/>
  <c r="O589" i="1"/>
  <c r="O577" i="1"/>
  <c r="O608" i="1"/>
  <c r="O621" i="1"/>
  <c r="O565" i="1"/>
  <c r="O622" i="1"/>
  <c r="O583" i="1"/>
  <c r="O623" i="1"/>
  <c r="O624" i="1"/>
  <c r="O592" i="1"/>
  <c r="O585" i="1"/>
  <c r="O573" i="1"/>
  <c r="O625" i="1"/>
  <c r="O603" i="1"/>
  <c r="O578" i="1"/>
  <c r="O586" i="1"/>
  <c r="O567" i="1"/>
  <c r="O584" i="1"/>
  <c r="O570" i="1"/>
  <c r="O628" i="1"/>
  <c r="O626" i="1"/>
  <c r="O579" i="1"/>
  <c r="O627" i="1"/>
  <c r="O606" i="1"/>
  <c r="O594" i="1"/>
  <c r="O571" i="1"/>
  <c r="O595" i="1"/>
  <c r="O569" i="1"/>
  <c r="O631" i="1"/>
  <c r="O610" i="1"/>
  <c r="O632" i="1"/>
  <c r="O633" i="1"/>
  <c r="O720" i="1"/>
  <c r="O730" i="1"/>
  <c r="O676" i="1"/>
  <c r="O653" i="1"/>
  <c r="O704" i="1"/>
  <c r="O731" i="1"/>
  <c r="O732" i="1"/>
  <c r="O733" i="1"/>
  <c r="O734" i="1"/>
  <c r="O735" i="1"/>
  <c r="O736" i="1"/>
  <c r="O794" i="1"/>
  <c r="O657" i="1"/>
  <c r="O737" i="1"/>
  <c r="O738" i="1"/>
  <c r="O739" i="1"/>
  <c r="O740" i="1"/>
  <c r="O698" i="1"/>
  <c r="O741" i="1"/>
  <c r="O695" i="1"/>
  <c r="O742" i="1"/>
  <c r="O694" i="1"/>
  <c r="O712" i="1"/>
  <c r="O700" i="1"/>
  <c r="O723" i="1"/>
  <c r="O696" i="1"/>
  <c r="O691" i="1"/>
  <c r="O711" i="1"/>
  <c r="O743" i="1"/>
  <c r="O699" i="1"/>
  <c r="O795" i="1"/>
  <c r="O721" i="1"/>
  <c r="O796" i="1"/>
  <c r="O669" i="1"/>
  <c r="O717" i="1"/>
  <c r="O724" i="1"/>
  <c r="O710" i="1"/>
  <c r="O641" i="1"/>
  <c r="O715" i="1"/>
  <c r="O744" i="1"/>
  <c r="O643" i="1"/>
  <c r="O697" i="1"/>
  <c r="O642" i="1"/>
  <c r="O637" i="1"/>
  <c r="O682" i="1"/>
  <c r="O673" i="1"/>
  <c r="O685" i="1"/>
  <c r="O745" i="1"/>
  <c r="O634" i="1"/>
  <c r="O680" i="1"/>
  <c r="O651" i="1"/>
  <c r="O797" i="1"/>
  <c r="O746" i="1"/>
  <c r="O663" i="1"/>
  <c r="O690" i="1"/>
  <c r="O640" i="1"/>
  <c r="O747" i="1"/>
  <c r="O725" i="1"/>
  <c r="O659" i="1"/>
  <c r="O749" i="1"/>
  <c r="O665" i="1"/>
  <c r="O714" i="1"/>
  <c r="O718" i="1"/>
  <c r="O750" i="1"/>
  <c r="O748" i="1"/>
  <c r="O719" i="1"/>
  <c r="O726" i="1"/>
  <c r="O751" i="1"/>
  <c r="O798" i="1"/>
  <c r="O677" i="1"/>
  <c r="O752" i="1"/>
  <c r="O799" i="1"/>
  <c r="O678" i="1"/>
  <c r="O800" i="1"/>
  <c r="O666" i="1"/>
  <c r="O801" i="1"/>
  <c r="O802" i="1"/>
  <c r="O672" i="1"/>
  <c r="O728" i="1"/>
  <c r="O671" i="1"/>
  <c r="O650" i="1"/>
  <c r="O803" i="1"/>
  <c r="O753" i="1"/>
  <c r="O658" i="1"/>
  <c r="O754" i="1"/>
  <c r="O688" i="1"/>
  <c r="O755" i="1"/>
  <c r="O756" i="1"/>
  <c r="O757" i="1"/>
  <c r="O662" i="1"/>
  <c r="O644" i="1"/>
  <c r="O638" i="1"/>
  <c r="O758" i="1"/>
  <c r="O804" i="1"/>
  <c r="O759" i="1"/>
  <c r="O805" i="1"/>
  <c r="O661" i="1"/>
  <c r="O652" i="1"/>
  <c r="O760" i="1"/>
  <c r="O635" i="1"/>
  <c r="O692" i="1"/>
  <c r="O647" i="1"/>
  <c r="O806" i="1"/>
  <c r="O761" i="1"/>
  <c r="O705" i="1"/>
  <c r="O675" i="1"/>
  <c r="O729" i="1"/>
  <c r="O713" i="1"/>
  <c r="O762" i="1"/>
  <c r="O763" i="1"/>
  <c r="O648" i="1"/>
  <c r="O764" i="1"/>
  <c r="O722" i="1"/>
  <c r="O765" i="1"/>
  <c r="O708" i="1"/>
  <c r="O709" i="1"/>
  <c r="O655" i="1"/>
  <c r="O636" i="1"/>
  <c r="O668" i="1"/>
  <c r="O807" i="1"/>
  <c r="O766" i="1"/>
  <c r="O674" i="1"/>
  <c r="O707" i="1"/>
  <c r="O767" i="1"/>
  <c r="O768" i="1"/>
  <c r="O769" i="1"/>
  <c r="O770" i="1"/>
  <c r="O771" i="1"/>
  <c r="O772" i="1"/>
  <c r="O679" i="1"/>
  <c r="O706" i="1"/>
  <c r="O808" i="1"/>
  <c r="O809" i="1"/>
  <c r="O773" i="1"/>
  <c r="O774" i="1"/>
  <c r="O670" i="1"/>
  <c r="O701" i="1"/>
  <c r="O775" i="1"/>
  <c r="O684" i="1"/>
  <c r="O776" i="1"/>
  <c r="O777" i="1"/>
  <c r="O656" i="1"/>
  <c r="O686" i="1"/>
  <c r="O660" i="1"/>
  <c r="O810" i="1"/>
  <c r="O778" i="1"/>
  <c r="O649" i="1"/>
  <c r="O779" i="1"/>
  <c r="O811" i="1"/>
  <c r="O780" i="1"/>
  <c r="O716" i="1"/>
  <c r="O812" i="1"/>
  <c r="O781" i="1"/>
  <c r="O782" i="1"/>
  <c r="O783" i="1"/>
  <c r="O683" i="1"/>
  <c r="O693" i="1"/>
  <c r="O784" i="1"/>
  <c r="O646" i="1"/>
  <c r="O687" i="1"/>
  <c r="O703" i="1"/>
  <c r="O785" i="1"/>
  <c r="O667" i="1"/>
  <c r="O786" i="1"/>
  <c r="O787" i="1"/>
  <c r="O645" i="1"/>
  <c r="O788" i="1"/>
  <c r="O664" i="1"/>
  <c r="O789" i="1"/>
  <c r="O790" i="1"/>
  <c r="O791" i="1"/>
  <c r="O792" i="1"/>
  <c r="O793" i="1"/>
  <c r="O816" i="1"/>
  <c r="O817" i="1"/>
  <c r="O702" i="1"/>
  <c r="O681" i="1"/>
  <c r="O814" i="1"/>
  <c r="O813" i="1"/>
  <c r="O818" i="1"/>
  <c r="O815" i="1"/>
  <c r="O727" i="1"/>
  <c r="O689" i="1"/>
  <c r="O819" i="1"/>
  <c r="O654" i="1"/>
  <c r="O639" i="1"/>
  <c r="O1250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3" i="1"/>
  <c r="O844" i="1"/>
  <c r="O846" i="1"/>
  <c r="O848" i="1"/>
  <c r="O849" i="1"/>
  <c r="O842" i="1"/>
  <c r="O845" i="1"/>
  <c r="O850" i="1"/>
  <c r="O847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3" i="1"/>
  <c r="O1154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80" i="1"/>
  <c r="O1181" i="1"/>
  <c r="O1182" i="1"/>
  <c r="O1183" i="1"/>
  <c r="O1184" i="1"/>
  <c r="O1185" i="1"/>
  <c r="O1186" i="1"/>
  <c r="O1187" i="1"/>
  <c r="O1188" i="1"/>
  <c r="O1189" i="1"/>
  <c r="O1190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4" i="1"/>
  <c r="O1226" i="1"/>
  <c r="O1228" i="1"/>
  <c r="O1229" i="1"/>
  <c r="O1230" i="1"/>
  <c r="O1231" i="1"/>
  <c r="O1232" i="1"/>
  <c r="O1233" i="1"/>
  <c r="O1234" i="1"/>
  <c r="O1235" i="1"/>
  <c r="O1236" i="1"/>
  <c r="O1238" i="1"/>
  <c r="O1239" i="1"/>
  <c r="O1240" i="1"/>
  <c r="O1241" i="1"/>
  <c r="O1243" i="1"/>
  <c r="O1245" i="1"/>
  <c r="O1246" i="1"/>
  <c r="O1247" i="1"/>
  <c r="O1248" i="1"/>
  <c r="O1249" i="1"/>
  <c r="O869" i="1"/>
  <c r="O942" i="1"/>
  <c r="O1050" i="1"/>
  <c r="O1100" i="1"/>
  <c r="O1152" i="1"/>
  <c r="O1155" i="1"/>
  <c r="O1179" i="1"/>
  <c r="O1191" i="1"/>
  <c r="O1207" i="1"/>
  <c r="O1208" i="1"/>
  <c r="O1223" i="1"/>
  <c r="O1225" i="1"/>
  <c r="O1227" i="1"/>
  <c r="O1237" i="1"/>
  <c r="O1242" i="1"/>
  <c r="O1244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0" i="1"/>
  <c r="N32" i="1"/>
  <c r="N34" i="1"/>
  <c r="N33" i="1"/>
  <c r="N35" i="1"/>
  <c r="N36" i="1"/>
  <c r="N37" i="1"/>
  <c r="N38" i="1"/>
  <c r="N39" i="1"/>
  <c r="N40" i="1"/>
  <c r="N41" i="1"/>
  <c r="N42" i="1"/>
  <c r="N43" i="1"/>
  <c r="N44" i="1"/>
  <c r="N45" i="1"/>
  <c r="N47" i="1"/>
  <c r="N46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8" i="1"/>
  <c r="N69" i="1"/>
  <c r="N70" i="1"/>
  <c r="N71" i="1"/>
  <c r="N72" i="1"/>
  <c r="N73" i="1"/>
  <c r="N74" i="1"/>
  <c r="N75" i="1"/>
  <c r="N76" i="1"/>
  <c r="N78" i="1"/>
  <c r="N77" i="1"/>
  <c r="N79" i="1"/>
  <c r="N80" i="1"/>
  <c r="N81" i="1"/>
  <c r="N82" i="1"/>
  <c r="N83" i="1"/>
  <c r="N84" i="1"/>
  <c r="N87" i="1"/>
  <c r="N86" i="1"/>
  <c r="N89" i="1"/>
  <c r="N88" i="1"/>
  <c r="N90" i="1"/>
  <c r="N91" i="1"/>
  <c r="N92" i="1"/>
  <c r="N93" i="1"/>
  <c r="N94" i="1"/>
  <c r="N97" i="1"/>
  <c r="N95" i="1"/>
  <c r="N96" i="1"/>
  <c r="N99" i="1"/>
  <c r="N100" i="1"/>
  <c r="N103" i="1"/>
  <c r="N101" i="1"/>
  <c r="N102" i="1"/>
  <c r="N104" i="1"/>
  <c r="N105" i="1"/>
  <c r="N106" i="1"/>
  <c r="N107" i="1"/>
  <c r="N108" i="1"/>
  <c r="N109" i="1"/>
  <c r="N110" i="1"/>
  <c r="N111" i="1"/>
  <c r="N113" i="1"/>
  <c r="N115" i="1"/>
  <c r="N114" i="1"/>
  <c r="N117" i="1"/>
  <c r="N116" i="1"/>
  <c r="N118" i="1"/>
  <c r="N121" i="1"/>
  <c r="N119" i="1"/>
  <c r="N122" i="1"/>
  <c r="N123" i="1"/>
  <c r="N124" i="1"/>
  <c r="N125" i="1"/>
  <c r="N126" i="1"/>
  <c r="N127" i="1"/>
  <c r="N129" i="1"/>
  <c r="N128" i="1"/>
  <c r="N131" i="1"/>
  <c r="N132" i="1"/>
  <c r="N134" i="1"/>
  <c r="N135" i="1"/>
  <c r="N133" i="1"/>
  <c r="N137" i="1"/>
  <c r="N138" i="1"/>
  <c r="N139" i="1"/>
  <c r="N140" i="1"/>
  <c r="N141" i="1"/>
  <c r="N142" i="1"/>
  <c r="N144" i="1"/>
  <c r="N143" i="1"/>
  <c r="N145" i="1"/>
  <c r="N146" i="1"/>
  <c r="N147" i="1"/>
  <c r="N148" i="1"/>
  <c r="N149" i="1"/>
  <c r="N151" i="1"/>
  <c r="N150" i="1"/>
  <c r="N152" i="1"/>
  <c r="N153" i="1"/>
  <c r="N154" i="1"/>
  <c r="N156" i="1"/>
  <c r="N155" i="1"/>
  <c r="N158" i="1"/>
  <c r="N157" i="1"/>
  <c r="N160" i="1"/>
  <c r="N159" i="1"/>
  <c r="N164" i="1"/>
  <c r="N167" i="1"/>
  <c r="N166" i="1"/>
  <c r="N165" i="1"/>
  <c r="N168" i="1"/>
  <c r="N170" i="1"/>
  <c r="N169" i="1"/>
  <c r="N172" i="1"/>
  <c r="N173" i="1"/>
  <c r="N175" i="1"/>
  <c r="N176" i="1"/>
  <c r="N177" i="1"/>
  <c r="N179" i="1"/>
  <c r="N180" i="1"/>
  <c r="N183" i="1"/>
  <c r="N184" i="1"/>
  <c r="N186" i="1"/>
  <c r="N187" i="1"/>
  <c r="N188" i="1"/>
  <c r="N191" i="1"/>
  <c r="N192" i="1"/>
  <c r="N194" i="1"/>
  <c r="N195" i="1"/>
  <c r="N198" i="1"/>
  <c r="N199" i="1"/>
  <c r="N197" i="1"/>
  <c r="N200" i="1"/>
  <c r="N204" i="1"/>
  <c r="N205" i="1"/>
  <c r="N202" i="1"/>
  <c r="N209" i="1"/>
  <c r="N210" i="1"/>
  <c r="N212" i="1"/>
  <c r="N213" i="1"/>
  <c r="N215" i="1"/>
  <c r="N216" i="1"/>
  <c r="N217" i="1"/>
  <c r="N218" i="1"/>
  <c r="N219" i="1"/>
  <c r="N223" i="1"/>
  <c r="N222" i="1"/>
  <c r="N221" i="1"/>
  <c r="N224" i="1"/>
  <c r="N226" i="1"/>
  <c r="N228" i="1"/>
  <c r="N230" i="1"/>
  <c r="N232" i="1"/>
  <c r="N231" i="1"/>
  <c r="N235" i="1"/>
  <c r="N236" i="1"/>
  <c r="N29" i="1"/>
  <c r="N31" i="1"/>
  <c r="N85" i="1"/>
  <c r="N120" i="1"/>
  <c r="N130" i="1"/>
  <c r="N136" i="1"/>
  <c r="N161" i="1"/>
  <c r="N163" i="1"/>
  <c r="N162" i="1"/>
  <c r="N171" i="1"/>
  <c r="N174" i="1"/>
  <c r="N178" i="1"/>
  <c r="N182" i="1"/>
  <c r="N181" i="1"/>
  <c r="N185" i="1"/>
  <c r="N190" i="1"/>
  <c r="N189" i="1"/>
  <c r="N193" i="1"/>
  <c r="N196" i="1"/>
  <c r="N203" i="1"/>
  <c r="N208" i="1"/>
  <c r="N214" i="1"/>
  <c r="N220" i="1"/>
  <c r="N225" i="1"/>
  <c r="N233" i="1"/>
  <c r="N234" i="1"/>
  <c r="N246" i="1"/>
  <c r="N242" i="1"/>
  <c r="N251" i="1"/>
  <c r="N237" i="1"/>
  <c r="N249" i="1"/>
  <c r="N254" i="1"/>
  <c r="N244" i="1"/>
  <c r="N255" i="1"/>
  <c r="N248" i="1"/>
  <c r="N256" i="1"/>
  <c r="N252" i="1"/>
  <c r="N241" i="1"/>
  <c r="N239" i="1"/>
  <c r="N257" i="1"/>
  <c r="N250" i="1"/>
  <c r="N258" i="1"/>
  <c r="N240" i="1"/>
  <c r="N247" i="1"/>
  <c r="N259" i="1"/>
  <c r="N238" i="1"/>
  <c r="N284" i="1"/>
  <c r="N278" i="1"/>
  <c r="N287" i="1"/>
  <c r="N280" i="1"/>
  <c r="N273" i="1"/>
  <c r="N268" i="1"/>
  <c r="N279" i="1"/>
  <c r="N289" i="1"/>
  <c r="N281" i="1"/>
  <c r="N274" i="1"/>
  <c r="N269" i="1"/>
  <c r="N270" i="1"/>
  <c r="N271" i="1"/>
  <c r="N290" i="1"/>
  <c r="N291" i="1"/>
  <c r="N272" i="1"/>
  <c r="N277" i="1"/>
  <c r="N312" i="1"/>
  <c r="N316" i="1"/>
  <c r="N314" i="1"/>
  <c r="N292" i="1"/>
  <c r="N302" i="1"/>
  <c r="N317" i="1"/>
  <c r="N303" i="1"/>
  <c r="N304" i="1"/>
  <c r="N313" i="1"/>
  <c r="N318" i="1"/>
  <c r="N307" i="1"/>
  <c r="N309" i="1"/>
  <c r="N298" i="1"/>
  <c r="N306" i="1"/>
  <c r="N294" i="1"/>
  <c r="N293" i="1"/>
  <c r="N300" i="1"/>
  <c r="N308" i="1"/>
  <c r="N310" i="1"/>
  <c r="N301" i="1"/>
  <c r="N296" i="1"/>
  <c r="N347" i="1"/>
  <c r="N335" i="1"/>
  <c r="N328" i="1"/>
  <c r="N346" i="1"/>
  <c r="N327" i="1"/>
  <c r="N350" i="1"/>
  <c r="N344" i="1"/>
  <c r="N351" i="1"/>
  <c r="N352" i="1"/>
  <c r="N353" i="1"/>
  <c r="N354" i="1"/>
  <c r="N336" i="1"/>
  <c r="N342" i="1"/>
  <c r="N337" i="1"/>
  <c r="N340" i="1"/>
  <c r="N329" i="1"/>
  <c r="N333" i="1"/>
  <c r="N330" i="1"/>
  <c r="N341" i="1"/>
  <c r="N332" i="1"/>
  <c r="N343" i="1"/>
  <c r="N338" i="1"/>
  <c r="N404" i="1"/>
  <c r="N385" i="1"/>
  <c r="N398" i="1"/>
  <c r="N421" i="1"/>
  <c r="N417" i="1"/>
  <c r="N418" i="1"/>
  <c r="N375" i="1"/>
  <c r="N389" i="1"/>
  <c r="N401" i="1"/>
  <c r="N393" i="1"/>
  <c r="N409" i="1"/>
  <c r="N357" i="1"/>
  <c r="N366" i="1"/>
  <c r="N372" i="1"/>
  <c r="N423" i="1"/>
  <c r="N403" i="1"/>
  <c r="N384" i="1"/>
  <c r="N358" i="1"/>
  <c r="N360" i="1"/>
  <c r="N413" i="1"/>
  <c r="N424" i="1"/>
  <c r="N391" i="1"/>
  <c r="N402" i="1"/>
  <c r="N394" i="1"/>
  <c r="N382" i="1"/>
  <c r="N383" i="1"/>
  <c r="N407" i="1"/>
  <c r="N359" i="1"/>
  <c r="N377" i="1"/>
  <c r="N376" i="1"/>
  <c r="N361" i="1"/>
  <c r="N399" i="1"/>
  <c r="N392" i="1"/>
  <c r="N427" i="1"/>
  <c r="N373" i="1"/>
  <c r="N368" i="1"/>
  <c r="N428" i="1"/>
  <c r="N410" i="1"/>
  <c r="N397" i="1"/>
  <c r="N388" i="1"/>
  <c r="N405" i="1"/>
  <c r="N371" i="1"/>
  <c r="N416" i="1"/>
  <c r="N386" i="1"/>
  <c r="N387" i="1"/>
  <c r="N365" i="1"/>
  <c r="N430" i="1"/>
  <c r="N470" i="1"/>
  <c r="N451" i="1"/>
  <c r="N447" i="1"/>
  <c r="N458" i="1"/>
  <c r="N459" i="1"/>
  <c r="N446" i="1"/>
  <c r="N448" i="1"/>
  <c r="N460" i="1"/>
  <c r="N444" i="1"/>
  <c r="N468" i="1"/>
  <c r="N433" i="1"/>
  <c r="N435" i="1"/>
  <c r="N432" i="1"/>
  <c r="N436" i="1"/>
  <c r="N462" i="1"/>
  <c r="N479" i="1"/>
  <c r="N472" i="1"/>
  <c r="N469" i="1"/>
  <c r="N452" i="1"/>
  <c r="N461" i="1"/>
  <c r="N475" i="1"/>
  <c r="N454" i="1"/>
  <c r="N477" i="1"/>
  <c r="N456" i="1"/>
  <c r="N476" i="1"/>
  <c r="N464" i="1"/>
  <c r="N480" i="1"/>
  <c r="N465" i="1"/>
  <c r="N439" i="1"/>
  <c r="N455" i="1"/>
  <c r="N443" i="1"/>
  <c r="N441" i="1"/>
  <c r="N434" i="1"/>
  <c r="N467" i="1"/>
  <c r="N473" i="1"/>
  <c r="N457" i="1"/>
  <c r="N437" i="1"/>
  <c r="N450" i="1"/>
  <c r="N463" i="1"/>
  <c r="N466" i="1"/>
  <c r="N481" i="1"/>
  <c r="N474" i="1"/>
  <c r="N471" i="1"/>
  <c r="N442" i="1"/>
  <c r="N453" i="1"/>
  <c r="N438" i="1"/>
  <c r="N445" i="1"/>
  <c r="N449" i="1"/>
  <c r="N431" i="1"/>
  <c r="N440" i="1"/>
  <c r="N478" i="1"/>
  <c r="N98" i="1"/>
  <c r="N206" i="1"/>
  <c r="N245" i="1"/>
  <c r="N253" i="1"/>
  <c r="N243" i="1"/>
  <c r="N286" i="1"/>
  <c r="N283" i="1"/>
  <c r="N288" i="1"/>
  <c r="N275" i="1"/>
  <c r="N267" i="1"/>
  <c r="N285" i="1"/>
  <c r="N299" i="1"/>
  <c r="N305" i="1"/>
  <c r="N348" i="1"/>
  <c r="N334" i="1"/>
  <c r="N356" i="1"/>
  <c r="N331" i="1"/>
  <c r="N363" i="1"/>
  <c r="N420" i="1"/>
  <c r="N374" i="1"/>
  <c r="N414" i="1"/>
  <c r="N364" i="1"/>
  <c r="N362" i="1"/>
  <c r="N396" i="1"/>
  <c r="N400" i="1"/>
  <c r="N380" i="1"/>
  <c r="N406" i="1"/>
  <c r="N378" i="1"/>
  <c r="N497" i="1"/>
  <c r="N508" i="1"/>
  <c r="N488" i="1"/>
  <c r="N511" i="1"/>
  <c r="N482" i="1"/>
  <c r="N492" i="1"/>
  <c r="N486" i="1"/>
  <c r="N499" i="1"/>
  <c r="N495" i="1"/>
  <c r="N500" i="1"/>
  <c r="N516" i="1"/>
  <c r="N517" i="1"/>
  <c r="N501" i="1"/>
  <c r="N282" i="1"/>
  <c r="N297" i="1"/>
  <c r="N319" i="1"/>
  <c r="N345" i="1"/>
  <c r="N411" i="1"/>
  <c r="N506" i="1"/>
  <c r="N483" i="1"/>
  <c r="N487" i="1"/>
  <c r="N496" i="1"/>
  <c r="N493" i="1"/>
  <c r="N490" i="1"/>
  <c r="N484" i="1"/>
  <c r="N489" i="1"/>
  <c r="N513" i="1"/>
  <c r="N67" i="1"/>
  <c r="N201" i="1"/>
  <c r="N211" i="1"/>
  <c r="N276" i="1"/>
  <c r="N315" i="1"/>
  <c r="N311" i="1"/>
  <c r="N295" i="1"/>
  <c r="N339" i="1"/>
  <c r="N349" i="1"/>
  <c r="N355" i="1"/>
  <c r="N395" i="1"/>
  <c r="N419" i="1"/>
  <c r="N426" i="1"/>
  <c r="N381" i="1"/>
  <c r="N370" i="1"/>
  <c r="N491" i="1"/>
  <c r="N503" i="1"/>
  <c r="N498" i="1"/>
  <c r="N485" i="1"/>
  <c r="N512" i="1"/>
  <c r="N505" i="1"/>
  <c r="N519" i="1"/>
  <c r="N112" i="1"/>
  <c r="N207" i="1"/>
  <c r="N227" i="1"/>
  <c r="N229" i="1"/>
  <c r="N263" i="1"/>
  <c r="N261" i="1"/>
  <c r="N264" i="1"/>
  <c r="N260" i="1"/>
  <c r="N265" i="1"/>
  <c r="N266" i="1"/>
  <c r="N262" i="1"/>
  <c r="N320" i="1"/>
  <c r="N322" i="1"/>
  <c r="N325" i="1"/>
  <c r="N323" i="1"/>
  <c r="N324" i="1"/>
  <c r="N321" i="1"/>
  <c r="N326" i="1"/>
  <c r="N415" i="1"/>
  <c r="N379" i="1"/>
  <c r="N412" i="1"/>
  <c r="N422" i="1"/>
  <c r="N369" i="1"/>
  <c r="N367" i="1"/>
  <c r="N408" i="1"/>
  <c r="N390" i="1"/>
  <c r="N425" i="1"/>
  <c r="N429" i="1"/>
  <c r="N504" i="1"/>
  <c r="N515" i="1"/>
  <c r="N502" i="1"/>
  <c r="N507" i="1"/>
  <c r="N494" i="1"/>
  <c r="N510" i="1"/>
  <c r="N514" i="1"/>
  <c r="N509" i="1"/>
  <c r="N518" i="1"/>
  <c r="N549" i="1"/>
  <c r="N550" i="1"/>
  <c r="N531" i="1"/>
  <c r="N551" i="1"/>
  <c r="N552" i="1"/>
  <c r="N540" i="1"/>
  <c r="N524" i="1"/>
  <c r="N530" i="1"/>
  <c r="N520" i="1"/>
  <c r="N525" i="1"/>
  <c r="N545" i="1"/>
  <c r="N532" i="1"/>
  <c r="N541" i="1"/>
  <c r="N522" i="1"/>
  <c r="N542" i="1"/>
  <c r="N538" i="1"/>
  <c r="N539" i="1"/>
  <c r="N548" i="1"/>
  <c r="N561" i="1"/>
  <c r="N553" i="1"/>
  <c r="N547" i="1"/>
  <c r="N543" i="1"/>
  <c r="N537" i="1"/>
  <c r="N521" i="1"/>
  <c r="N554" i="1"/>
  <c r="N534" i="1"/>
  <c r="N544" i="1"/>
  <c r="N533" i="1"/>
  <c r="N557" i="1"/>
  <c r="N555" i="1"/>
  <c r="N536" i="1"/>
  <c r="N526" i="1"/>
  <c r="N546" i="1"/>
  <c r="N562" i="1"/>
  <c r="N563" i="1"/>
  <c r="N528" i="1"/>
  <c r="N527" i="1"/>
  <c r="N556" i="1"/>
  <c r="N535" i="1"/>
  <c r="N529" i="1"/>
  <c r="N558" i="1"/>
  <c r="N559" i="1"/>
  <c r="N560" i="1"/>
  <c r="N564" i="1"/>
  <c r="N523" i="1"/>
  <c r="N581" i="1"/>
  <c r="N612" i="1"/>
  <c r="N629" i="1"/>
  <c r="N613" i="1"/>
  <c r="N580" i="1"/>
  <c r="N614" i="1"/>
  <c r="N568" i="1"/>
  <c r="N600" i="1"/>
  <c r="N590" i="1"/>
  <c r="N630" i="1"/>
  <c r="N582" i="1"/>
  <c r="N615" i="1"/>
  <c r="N574" i="1"/>
  <c r="N597" i="1"/>
  <c r="N604" i="1"/>
  <c r="N599" i="1"/>
  <c r="N616" i="1"/>
  <c r="N593" i="1"/>
  <c r="N617" i="1"/>
  <c r="N566" i="1"/>
  <c r="N575" i="1"/>
  <c r="N596" i="1"/>
  <c r="N572" i="1"/>
  <c r="N618" i="1"/>
  <c r="N609" i="1"/>
  <c r="N576" i="1"/>
  <c r="N601" i="1"/>
  <c r="N588" i="1"/>
  <c r="N611" i="1"/>
  <c r="N602" i="1"/>
  <c r="N605" i="1"/>
  <c r="N598" i="1"/>
  <c r="N591" i="1"/>
  <c r="N587" i="1"/>
  <c r="N619" i="1"/>
  <c r="N620" i="1"/>
  <c r="N607" i="1"/>
  <c r="N589" i="1"/>
  <c r="N577" i="1"/>
  <c r="N608" i="1"/>
  <c r="N621" i="1"/>
  <c r="N565" i="1"/>
  <c r="N622" i="1"/>
  <c r="N583" i="1"/>
  <c r="N623" i="1"/>
  <c r="N624" i="1"/>
  <c r="N592" i="1"/>
  <c r="N585" i="1"/>
  <c r="N573" i="1"/>
  <c r="N625" i="1"/>
  <c r="N603" i="1"/>
  <c r="N578" i="1"/>
  <c r="N586" i="1"/>
  <c r="N567" i="1"/>
  <c r="N584" i="1"/>
  <c r="N570" i="1"/>
  <c r="N628" i="1"/>
  <c r="N626" i="1"/>
  <c r="N579" i="1"/>
  <c r="N627" i="1"/>
  <c r="N606" i="1"/>
  <c r="N594" i="1"/>
  <c r="N571" i="1"/>
  <c r="N595" i="1"/>
  <c r="N569" i="1"/>
  <c r="N631" i="1"/>
  <c r="N610" i="1"/>
  <c r="N632" i="1"/>
  <c r="N633" i="1"/>
  <c r="N720" i="1"/>
  <c r="N730" i="1"/>
  <c r="N676" i="1"/>
  <c r="N653" i="1"/>
  <c r="N704" i="1"/>
  <c r="N731" i="1"/>
  <c r="N732" i="1"/>
  <c r="N733" i="1"/>
  <c r="N734" i="1"/>
  <c r="N735" i="1"/>
  <c r="N736" i="1"/>
  <c r="N794" i="1"/>
  <c r="N657" i="1"/>
  <c r="N737" i="1"/>
  <c r="N738" i="1"/>
  <c r="N739" i="1"/>
  <c r="N740" i="1"/>
  <c r="N698" i="1"/>
  <c r="N741" i="1"/>
  <c r="N695" i="1"/>
  <c r="N742" i="1"/>
  <c r="N694" i="1"/>
  <c r="N712" i="1"/>
  <c r="N700" i="1"/>
  <c r="N723" i="1"/>
  <c r="N696" i="1"/>
  <c r="N691" i="1"/>
  <c r="N711" i="1"/>
  <c r="N743" i="1"/>
  <c r="N699" i="1"/>
  <c r="N795" i="1"/>
  <c r="N721" i="1"/>
  <c r="N796" i="1"/>
  <c r="N669" i="1"/>
  <c r="N717" i="1"/>
  <c r="N724" i="1"/>
  <c r="N710" i="1"/>
  <c r="N641" i="1"/>
  <c r="N715" i="1"/>
  <c r="N744" i="1"/>
  <c r="N643" i="1"/>
  <c r="N697" i="1"/>
  <c r="N642" i="1"/>
  <c r="N637" i="1"/>
  <c r="N682" i="1"/>
  <c r="N673" i="1"/>
  <c r="N685" i="1"/>
  <c r="N745" i="1"/>
  <c r="N634" i="1"/>
  <c r="N680" i="1"/>
  <c r="N651" i="1"/>
  <c r="N797" i="1"/>
  <c r="N746" i="1"/>
  <c r="N663" i="1"/>
  <c r="N690" i="1"/>
  <c r="N640" i="1"/>
  <c r="N747" i="1"/>
  <c r="N725" i="1"/>
  <c r="N659" i="1"/>
  <c r="N749" i="1"/>
  <c r="N665" i="1"/>
  <c r="N714" i="1"/>
  <c r="N718" i="1"/>
  <c r="N750" i="1"/>
  <c r="N748" i="1"/>
  <c r="N719" i="1"/>
  <c r="N726" i="1"/>
  <c r="N751" i="1"/>
  <c r="N798" i="1"/>
  <c r="N677" i="1"/>
  <c r="N752" i="1"/>
  <c r="N799" i="1"/>
  <c r="N678" i="1"/>
  <c r="N800" i="1"/>
  <c r="N666" i="1"/>
  <c r="N801" i="1"/>
  <c r="N802" i="1"/>
  <c r="N672" i="1"/>
  <c r="N728" i="1"/>
  <c r="N671" i="1"/>
  <c r="N650" i="1"/>
  <c r="N803" i="1"/>
  <c r="N753" i="1"/>
  <c r="N658" i="1"/>
  <c r="N754" i="1"/>
  <c r="N688" i="1"/>
  <c r="N755" i="1"/>
  <c r="N756" i="1"/>
  <c r="N757" i="1"/>
  <c r="N662" i="1"/>
  <c r="N644" i="1"/>
  <c r="N638" i="1"/>
  <c r="N758" i="1"/>
  <c r="N804" i="1"/>
  <c r="N759" i="1"/>
  <c r="N805" i="1"/>
  <c r="N661" i="1"/>
  <c r="N652" i="1"/>
  <c r="N760" i="1"/>
  <c r="N635" i="1"/>
  <c r="N692" i="1"/>
  <c r="N647" i="1"/>
  <c r="N806" i="1"/>
  <c r="N761" i="1"/>
  <c r="N705" i="1"/>
  <c r="N675" i="1"/>
  <c r="N729" i="1"/>
  <c r="N713" i="1"/>
  <c r="N762" i="1"/>
  <c r="N763" i="1"/>
  <c r="N648" i="1"/>
  <c r="N764" i="1"/>
  <c r="N722" i="1"/>
  <c r="N765" i="1"/>
  <c r="N708" i="1"/>
  <c r="N709" i="1"/>
  <c r="N655" i="1"/>
  <c r="N636" i="1"/>
  <c r="N668" i="1"/>
  <c r="N807" i="1"/>
  <c r="N766" i="1"/>
  <c r="N674" i="1"/>
  <c r="N707" i="1"/>
  <c r="N767" i="1"/>
  <c r="N768" i="1"/>
  <c r="N769" i="1"/>
  <c r="N770" i="1"/>
  <c r="N771" i="1"/>
  <c r="N772" i="1"/>
  <c r="N679" i="1"/>
  <c r="N706" i="1"/>
  <c r="N808" i="1"/>
  <c r="N809" i="1"/>
  <c r="N773" i="1"/>
  <c r="N774" i="1"/>
  <c r="N670" i="1"/>
  <c r="N701" i="1"/>
  <c r="N775" i="1"/>
  <c r="N684" i="1"/>
  <c r="N776" i="1"/>
  <c r="N777" i="1"/>
  <c r="N656" i="1"/>
  <c r="N686" i="1"/>
  <c r="N660" i="1"/>
  <c r="N810" i="1"/>
  <c r="N778" i="1"/>
  <c r="N649" i="1"/>
  <c r="N779" i="1"/>
  <c r="N811" i="1"/>
  <c r="N780" i="1"/>
  <c r="N716" i="1"/>
  <c r="N812" i="1"/>
  <c r="N781" i="1"/>
  <c r="N782" i="1"/>
  <c r="N783" i="1"/>
  <c r="N683" i="1"/>
  <c r="N693" i="1"/>
  <c r="N784" i="1"/>
  <c r="N646" i="1"/>
  <c r="N687" i="1"/>
  <c r="N703" i="1"/>
  <c r="N785" i="1"/>
  <c r="N667" i="1"/>
  <c r="N786" i="1"/>
  <c r="N787" i="1"/>
  <c r="N645" i="1"/>
  <c r="N788" i="1"/>
  <c r="N664" i="1"/>
  <c r="N789" i="1"/>
  <c r="N790" i="1"/>
  <c r="N791" i="1"/>
  <c r="N792" i="1"/>
  <c r="N793" i="1"/>
  <c r="N816" i="1"/>
  <c r="N817" i="1"/>
  <c r="N702" i="1"/>
  <c r="N681" i="1"/>
  <c r="N814" i="1"/>
  <c r="N813" i="1"/>
  <c r="N818" i="1"/>
  <c r="N815" i="1"/>
  <c r="N727" i="1"/>
  <c r="N689" i="1"/>
  <c r="N819" i="1"/>
  <c r="N654" i="1"/>
  <c r="N639" i="1"/>
  <c r="N1250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3" i="1"/>
  <c r="N844" i="1"/>
  <c r="N846" i="1"/>
  <c r="N848" i="1"/>
  <c r="N849" i="1"/>
  <c r="N842" i="1"/>
  <c r="N845" i="1"/>
  <c r="N850" i="1"/>
  <c r="N847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3" i="1"/>
  <c r="N1154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80" i="1"/>
  <c r="N1181" i="1"/>
  <c r="N1182" i="1"/>
  <c r="N1183" i="1"/>
  <c r="N1184" i="1"/>
  <c r="N1185" i="1"/>
  <c r="N1186" i="1"/>
  <c r="N1187" i="1"/>
  <c r="N1188" i="1"/>
  <c r="N1189" i="1"/>
  <c r="N1190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4" i="1"/>
  <c r="N1226" i="1"/>
  <c r="N1228" i="1"/>
  <c r="N1229" i="1"/>
  <c r="N1230" i="1"/>
  <c r="N1231" i="1"/>
  <c r="N1232" i="1"/>
  <c r="N1233" i="1"/>
  <c r="N1234" i="1"/>
  <c r="N1235" i="1"/>
  <c r="N1236" i="1"/>
  <c r="N1238" i="1"/>
  <c r="N1239" i="1"/>
  <c r="N1240" i="1"/>
  <c r="N1241" i="1"/>
  <c r="N1243" i="1"/>
  <c r="N1245" i="1"/>
  <c r="N1246" i="1"/>
  <c r="N1247" i="1"/>
  <c r="N1248" i="1"/>
  <c r="N1249" i="1"/>
  <c r="N869" i="1"/>
  <c r="N942" i="1"/>
  <c r="N1050" i="1"/>
  <c r="N1100" i="1"/>
  <c r="N1152" i="1"/>
  <c r="N1155" i="1"/>
  <c r="N1179" i="1"/>
  <c r="N1191" i="1"/>
  <c r="N1207" i="1"/>
  <c r="N1208" i="1"/>
  <c r="N1223" i="1"/>
  <c r="N1225" i="1"/>
  <c r="N1227" i="1"/>
  <c r="N1237" i="1"/>
  <c r="N1242" i="1"/>
  <c r="N1244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30" i="1"/>
  <c r="M32" i="1"/>
  <c r="M34" i="1"/>
  <c r="M33" i="1"/>
  <c r="M35" i="1"/>
  <c r="M36" i="1"/>
  <c r="M37" i="1"/>
  <c r="M38" i="1"/>
  <c r="M39" i="1"/>
  <c r="M40" i="1"/>
  <c r="M41" i="1"/>
  <c r="M42" i="1"/>
  <c r="M43" i="1"/>
  <c r="M44" i="1"/>
  <c r="M45" i="1"/>
  <c r="M47" i="1"/>
  <c r="M46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8" i="1"/>
  <c r="M69" i="1"/>
  <c r="M70" i="1"/>
  <c r="M71" i="1"/>
  <c r="M72" i="1"/>
  <c r="M73" i="1"/>
  <c r="M74" i="1"/>
  <c r="M75" i="1"/>
  <c r="M76" i="1"/>
  <c r="M78" i="1"/>
  <c r="M77" i="1"/>
  <c r="M79" i="1"/>
  <c r="M80" i="1"/>
  <c r="M81" i="1"/>
  <c r="M82" i="1"/>
  <c r="M83" i="1"/>
  <c r="M84" i="1"/>
  <c r="M87" i="1"/>
  <c r="M86" i="1"/>
  <c r="M89" i="1"/>
  <c r="M88" i="1"/>
  <c r="M90" i="1"/>
  <c r="M91" i="1"/>
  <c r="M92" i="1"/>
  <c r="M93" i="1"/>
  <c r="M94" i="1"/>
  <c r="M97" i="1"/>
  <c r="M95" i="1"/>
  <c r="M96" i="1"/>
  <c r="M99" i="1"/>
  <c r="M100" i="1"/>
  <c r="M103" i="1"/>
  <c r="M101" i="1"/>
  <c r="M102" i="1"/>
  <c r="M104" i="1"/>
  <c r="M105" i="1"/>
  <c r="M106" i="1"/>
  <c r="M107" i="1"/>
  <c r="M108" i="1"/>
  <c r="M109" i="1"/>
  <c r="M110" i="1"/>
  <c r="M111" i="1"/>
  <c r="M113" i="1"/>
  <c r="M115" i="1"/>
  <c r="M114" i="1"/>
  <c r="M117" i="1"/>
  <c r="M116" i="1"/>
  <c r="M118" i="1"/>
  <c r="M121" i="1"/>
  <c r="M119" i="1"/>
  <c r="M122" i="1"/>
  <c r="M123" i="1"/>
  <c r="M124" i="1"/>
  <c r="M125" i="1"/>
  <c r="M126" i="1"/>
  <c r="M127" i="1"/>
  <c r="M129" i="1"/>
  <c r="M128" i="1"/>
  <c r="M131" i="1"/>
  <c r="M132" i="1"/>
  <c r="M134" i="1"/>
  <c r="M135" i="1"/>
  <c r="M133" i="1"/>
  <c r="M137" i="1"/>
  <c r="M138" i="1"/>
  <c r="M139" i="1"/>
  <c r="M140" i="1"/>
  <c r="M141" i="1"/>
  <c r="M142" i="1"/>
  <c r="M144" i="1"/>
  <c r="M143" i="1"/>
  <c r="M145" i="1"/>
  <c r="M146" i="1"/>
  <c r="M147" i="1"/>
  <c r="M148" i="1"/>
  <c r="M149" i="1"/>
  <c r="M151" i="1"/>
  <c r="M150" i="1"/>
  <c r="M152" i="1"/>
  <c r="M153" i="1"/>
  <c r="M154" i="1"/>
  <c r="M156" i="1"/>
  <c r="M155" i="1"/>
  <c r="M158" i="1"/>
  <c r="M157" i="1"/>
  <c r="M160" i="1"/>
  <c r="M159" i="1"/>
  <c r="M164" i="1"/>
  <c r="M167" i="1"/>
  <c r="M166" i="1"/>
  <c r="M165" i="1"/>
  <c r="M168" i="1"/>
  <c r="M170" i="1"/>
  <c r="M169" i="1"/>
  <c r="M172" i="1"/>
  <c r="M173" i="1"/>
  <c r="M175" i="1"/>
  <c r="M176" i="1"/>
  <c r="M177" i="1"/>
  <c r="M179" i="1"/>
  <c r="M180" i="1"/>
  <c r="M183" i="1"/>
  <c r="M184" i="1"/>
  <c r="M186" i="1"/>
  <c r="M187" i="1"/>
  <c r="M188" i="1"/>
  <c r="M191" i="1"/>
  <c r="M192" i="1"/>
  <c r="M194" i="1"/>
  <c r="M195" i="1"/>
  <c r="M198" i="1"/>
  <c r="M199" i="1"/>
  <c r="M197" i="1"/>
  <c r="M200" i="1"/>
  <c r="M204" i="1"/>
  <c r="M205" i="1"/>
  <c r="M202" i="1"/>
  <c r="M209" i="1"/>
  <c r="M210" i="1"/>
  <c r="M212" i="1"/>
  <c r="M213" i="1"/>
  <c r="M215" i="1"/>
  <c r="M216" i="1"/>
  <c r="M217" i="1"/>
  <c r="M218" i="1"/>
  <c r="M219" i="1"/>
  <c r="M223" i="1"/>
  <c r="M222" i="1"/>
  <c r="M221" i="1"/>
  <c r="M224" i="1"/>
  <c r="M226" i="1"/>
  <c r="M228" i="1"/>
  <c r="M230" i="1"/>
  <c r="M232" i="1"/>
  <c r="M231" i="1"/>
  <c r="M235" i="1"/>
  <c r="M236" i="1"/>
  <c r="M29" i="1"/>
  <c r="M31" i="1"/>
  <c r="M85" i="1"/>
  <c r="M120" i="1"/>
  <c r="M130" i="1"/>
  <c r="M136" i="1"/>
  <c r="M161" i="1"/>
  <c r="M163" i="1"/>
  <c r="M162" i="1"/>
  <c r="M171" i="1"/>
  <c r="M174" i="1"/>
  <c r="M178" i="1"/>
  <c r="M182" i="1"/>
  <c r="M181" i="1"/>
  <c r="M185" i="1"/>
  <c r="M190" i="1"/>
  <c r="M189" i="1"/>
  <c r="M193" i="1"/>
  <c r="M196" i="1"/>
  <c r="M203" i="1"/>
  <c r="M208" i="1"/>
  <c r="M214" i="1"/>
  <c r="M220" i="1"/>
  <c r="M225" i="1"/>
  <c r="M233" i="1"/>
  <c r="M234" i="1"/>
  <c r="M246" i="1"/>
  <c r="M242" i="1"/>
  <c r="M251" i="1"/>
  <c r="M237" i="1"/>
  <c r="M249" i="1"/>
  <c r="M254" i="1"/>
  <c r="M244" i="1"/>
  <c r="M255" i="1"/>
  <c r="M248" i="1"/>
  <c r="M256" i="1"/>
  <c r="M252" i="1"/>
  <c r="M241" i="1"/>
  <c r="M239" i="1"/>
  <c r="M257" i="1"/>
  <c r="M250" i="1"/>
  <c r="M258" i="1"/>
  <c r="M240" i="1"/>
  <c r="M247" i="1"/>
  <c r="M259" i="1"/>
  <c r="M238" i="1"/>
  <c r="M284" i="1"/>
  <c r="M278" i="1"/>
  <c r="M287" i="1"/>
  <c r="M280" i="1"/>
  <c r="M273" i="1"/>
  <c r="M268" i="1"/>
  <c r="M279" i="1"/>
  <c r="M289" i="1"/>
  <c r="M281" i="1"/>
  <c r="M274" i="1"/>
  <c r="M269" i="1"/>
  <c r="M270" i="1"/>
  <c r="M271" i="1"/>
  <c r="M290" i="1"/>
  <c r="M291" i="1"/>
  <c r="M272" i="1"/>
  <c r="M277" i="1"/>
  <c r="M312" i="1"/>
  <c r="M316" i="1"/>
  <c r="M314" i="1"/>
  <c r="M292" i="1"/>
  <c r="M302" i="1"/>
  <c r="M317" i="1"/>
  <c r="M303" i="1"/>
  <c r="M304" i="1"/>
  <c r="M313" i="1"/>
  <c r="M318" i="1"/>
  <c r="M307" i="1"/>
  <c r="M309" i="1"/>
  <c r="M298" i="1"/>
  <c r="M306" i="1"/>
  <c r="M294" i="1"/>
  <c r="M293" i="1"/>
  <c r="M300" i="1"/>
  <c r="M308" i="1"/>
  <c r="M310" i="1"/>
  <c r="M301" i="1"/>
  <c r="M296" i="1"/>
  <c r="M347" i="1"/>
  <c r="M335" i="1"/>
  <c r="M328" i="1"/>
  <c r="M346" i="1"/>
  <c r="M327" i="1"/>
  <c r="M350" i="1"/>
  <c r="M344" i="1"/>
  <c r="M351" i="1"/>
  <c r="M352" i="1"/>
  <c r="M353" i="1"/>
  <c r="M354" i="1"/>
  <c r="M336" i="1"/>
  <c r="M342" i="1"/>
  <c r="M337" i="1"/>
  <c r="M340" i="1"/>
  <c r="M329" i="1"/>
  <c r="M333" i="1"/>
  <c r="M330" i="1"/>
  <c r="M341" i="1"/>
  <c r="M332" i="1"/>
  <c r="M343" i="1"/>
  <c r="M338" i="1"/>
  <c r="M404" i="1"/>
  <c r="M385" i="1"/>
  <c r="M398" i="1"/>
  <c r="M421" i="1"/>
  <c r="M417" i="1"/>
  <c r="M418" i="1"/>
  <c r="M375" i="1"/>
  <c r="M389" i="1"/>
  <c r="M401" i="1"/>
  <c r="M393" i="1"/>
  <c r="M409" i="1"/>
  <c r="M357" i="1"/>
  <c r="M366" i="1"/>
  <c r="M372" i="1"/>
  <c r="M423" i="1"/>
  <c r="M403" i="1"/>
  <c r="M384" i="1"/>
  <c r="M358" i="1"/>
  <c r="M360" i="1"/>
  <c r="M413" i="1"/>
  <c r="M424" i="1"/>
  <c r="M391" i="1"/>
  <c r="M402" i="1"/>
  <c r="M394" i="1"/>
  <c r="M382" i="1"/>
  <c r="M383" i="1"/>
  <c r="M407" i="1"/>
  <c r="M359" i="1"/>
  <c r="M377" i="1"/>
  <c r="M376" i="1"/>
  <c r="M361" i="1"/>
  <c r="M399" i="1"/>
  <c r="M392" i="1"/>
  <c r="M427" i="1"/>
  <c r="M373" i="1"/>
  <c r="M368" i="1"/>
  <c r="M428" i="1"/>
  <c r="M410" i="1"/>
  <c r="M397" i="1"/>
  <c r="M388" i="1"/>
  <c r="M405" i="1"/>
  <c r="M371" i="1"/>
  <c r="M416" i="1"/>
  <c r="M386" i="1"/>
  <c r="M387" i="1"/>
  <c r="M365" i="1"/>
  <c r="M430" i="1"/>
  <c r="M470" i="1"/>
  <c r="M451" i="1"/>
  <c r="M447" i="1"/>
  <c r="M458" i="1"/>
  <c r="M459" i="1"/>
  <c r="M446" i="1"/>
  <c r="M448" i="1"/>
  <c r="M460" i="1"/>
  <c r="M444" i="1"/>
  <c r="M468" i="1"/>
  <c r="M433" i="1"/>
  <c r="M435" i="1"/>
  <c r="M432" i="1"/>
  <c r="M436" i="1"/>
  <c r="M462" i="1"/>
  <c r="M479" i="1"/>
  <c r="M472" i="1"/>
  <c r="M469" i="1"/>
  <c r="M452" i="1"/>
  <c r="M461" i="1"/>
  <c r="M475" i="1"/>
  <c r="M454" i="1"/>
  <c r="M477" i="1"/>
  <c r="M456" i="1"/>
  <c r="M476" i="1"/>
  <c r="M464" i="1"/>
  <c r="M480" i="1"/>
  <c r="M465" i="1"/>
  <c r="M439" i="1"/>
  <c r="M455" i="1"/>
  <c r="M443" i="1"/>
  <c r="M441" i="1"/>
  <c r="M434" i="1"/>
  <c r="M467" i="1"/>
  <c r="M473" i="1"/>
  <c r="M457" i="1"/>
  <c r="M437" i="1"/>
  <c r="M450" i="1"/>
  <c r="M463" i="1"/>
  <c r="M466" i="1"/>
  <c r="M481" i="1"/>
  <c r="M474" i="1"/>
  <c r="M471" i="1"/>
  <c r="M442" i="1"/>
  <c r="M453" i="1"/>
  <c r="M438" i="1"/>
  <c r="M445" i="1"/>
  <c r="M449" i="1"/>
  <c r="M431" i="1"/>
  <c r="M440" i="1"/>
  <c r="M478" i="1"/>
  <c r="M98" i="1"/>
  <c r="M206" i="1"/>
  <c r="M245" i="1"/>
  <c r="M253" i="1"/>
  <c r="M243" i="1"/>
  <c r="M286" i="1"/>
  <c r="M283" i="1"/>
  <c r="M288" i="1"/>
  <c r="M275" i="1"/>
  <c r="M267" i="1"/>
  <c r="M285" i="1"/>
  <c r="M299" i="1"/>
  <c r="M305" i="1"/>
  <c r="M348" i="1"/>
  <c r="M334" i="1"/>
  <c r="M356" i="1"/>
  <c r="M331" i="1"/>
  <c r="M363" i="1"/>
  <c r="M420" i="1"/>
  <c r="M374" i="1"/>
  <c r="M414" i="1"/>
  <c r="M364" i="1"/>
  <c r="M362" i="1"/>
  <c r="M396" i="1"/>
  <c r="M400" i="1"/>
  <c r="M380" i="1"/>
  <c r="M406" i="1"/>
  <c r="M378" i="1"/>
  <c r="M497" i="1"/>
  <c r="M508" i="1"/>
  <c r="M488" i="1"/>
  <c r="M511" i="1"/>
  <c r="M482" i="1"/>
  <c r="M492" i="1"/>
  <c r="M486" i="1"/>
  <c r="M499" i="1"/>
  <c r="M495" i="1"/>
  <c r="M500" i="1"/>
  <c r="M516" i="1"/>
  <c r="M517" i="1"/>
  <c r="M501" i="1"/>
  <c r="M282" i="1"/>
  <c r="M297" i="1"/>
  <c r="M319" i="1"/>
  <c r="M345" i="1"/>
  <c r="M411" i="1"/>
  <c r="M506" i="1"/>
  <c r="M483" i="1"/>
  <c r="M487" i="1"/>
  <c r="M496" i="1"/>
  <c r="M493" i="1"/>
  <c r="M490" i="1"/>
  <c r="M484" i="1"/>
  <c r="M489" i="1"/>
  <c r="M513" i="1"/>
  <c r="M67" i="1"/>
  <c r="M201" i="1"/>
  <c r="M211" i="1"/>
  <c r="M276" i="1"/>
  <c r="M315" i="1"/>
  <c r="M311" i="1"/>
  <c r="M295" i="1"/>
  <c r="M339" i="1"/>
  <c r="M349" i="1"/>
  <c r="M355" i="1"/>
  <c r="M395" i="1"/>
  <c r="M419" i="1"/>
  <c r="M426" i="1"/>
  <c r="M381" i="1"/>
  <c r="M370" i="1"/>
  <c r="M491" i="1"/>
  <c r="M503" i="1"/>
  <c r="M498" i="1"/>
  <c r="M485" i="1"/>
  <c r="M512" i="1"/>
  <c r="M505" i="1"/>
  <c r="M519" i="1"/>
  <c r="M112" i="1"/>
  <c r="M207" i="1"/>
  <c r="M227" i="1"/>
  <c r="M229" i="1"/>
  <c r="M263" i="1"/>
  <c r="M261" i="1"/>
  <c r="M264" i="1"/>
  <c r="M260" i="1"/>
  <c r="M265" i="1"/>
  <c r="M266" i="1"/>
  <c r="M262" i="1"/>
  <c r="M320" i="1"/>
  <c r="M322" i="1"/>
  <c r="M325" i="1"/>
  <c r="M323" i="1"/>
  <c r="M324" i="1"/>
  <c r="M321" i="1"/>
  <c r="M326" i="1"/>
  <c r="M415" i="1"/>
  <c r="M379" i="1"/>
  <c r="M412" i="1"/>
  <c r="M422" i="1"/>
  <c r="M369" i="1"/>
  <c r="M367" i="1"/>
  <c r="M408" i="1"/>
  <c r="M390" i="1"/>
  <c r="M425" i="1"/>
  <c r="M429" i="1"/>
  <c r="M504" i="1"/>
  <c r="M515" i="1"/>
  <c r="M502" i="1"/>
  <c r="M507" i="1"/>
  <c r="M494" i="1"/>
  <c r="M510" i="1"/>
  <c r="M514" i="1"/>
  <c r="M509" i="1"/>
  <c r="M518" i="1"/>
  <c r="M549" i="1"/>
  <c r="M550" i="1"/>
  <c r="M531" i="1"/>
  <c r="M551" i="1"/>
  <c r="M552" i="1"/>
  <c r="M540" i="1"/>
  <c r="M524" i="1"/>
  <c r="M530" i="1"/>
  <c r="M520" i="1"/>
  <c r="M525" i="1"/>
  <c r="M545" i="1"/>
  <c r="M532" i="1"/>
  <c r="M541" i="1"/>
  <c r="M522" i="1"/>
  <c r="M542" i="1"/>
  <c r="M538" i="1"/>
  <c r="M539" i="1"/>
  <c r="M548" i="1"/>
  <c r="M561" i="1"/>
  <c r="M553" i="1"/>
  <c r="M547" i="1"/>
  <c r="M543" i="1"/>
  <c r="M537" i="1"/>
  <c r="M521" i="1"/>
  <c r="M554" i="1"/>
  <c r="M534" i="1"/>
  <c r="M544" i="1"/>
  <c r="M533" i="1"/>
  <c r="M557" i="1"/>
  <c r="M555" i="1"/>
  <c r="M536" i="1"/>
  <c r="M526" i="1"/>
  <c r="M546" i="1"/>
  <c r="M562" i="1"/>
  <c r="M563" i="1"/>
  <c r="M528" i="1"/>
  <c r="M527" i="1"/>
  <c r="M556" i="1"/>
  <c r="M535" i="1"/>
  <c r="M529" i="1"/>
  <c r="M558" i="1"/>
  <c r="M559" i="1"/>
  <c r="M560" i="1"/>
  <c r="M564" i="1"/>
  <c r="M523" i="1"/>
  <c r="M581" i="1"/>
  <c r="M612" i="1"/>
  <c r="M629" i="1"/>
  <c r="M613" i="1"/>
  <c r="M580" i="1"/>
  <c r="M614" i="1"/>
  <c r="M568" i="1"/>
  <c r="M600" i="1"/>
  <c r="M590" i="1"/>
  <c r="M630" i="1"/>
  <c r="M582" i="1"/>
  <c r="M615" i="1"/>
  <c r="M574" i="1"/>
  <c r="M597" i="1"/>
  <c r="M604" i="1"/>
  <c r="M599" i="1"/>
  <c r="M616" i="1"/>
  <c r="M593" i="1"/>
  <c r="M617" i="1"/>
  <c r="M566" i="1"/>
  <c r="M575" i="1"/>
  <c r="M596" i="1"/>
  <c r="M572" i="1"/>
  <c r="M618" i="1"/>
  <c r="M609" i="1"/>
  <c r="M576" i="1"/>
  <c r="M601" i="1"/>
  <c r="M588" i="1"/>
  <c r="M611" i="1"/>
  <c r="M602" i="1"/>
  <c r="M605" i="1"/>
  <c r="M598" i="1"/>
  <c r="M591" i="1"/>
  <c r="M587" i="1"/>
  <c r="M619" i="1"/>
  <c r="M620" i="1"/>
  <c r="M607" i="1"/>
  <c r="M589" i="1"/>
  <c r="M577" i="1"/>
  <c r="M608" i="1"/>
  <c r="M621" i="1"/>
  <c r="M565" i="1"/>
  <c r="M622" i="1"/>
  <c r="M583" i="1"/>
  <c r="M623" i="1"/>
  <c r="M624" i="1"/>
  <c r="M592" i="1"/>
  <c r="M585" i="1"/>
  <c r="M573" i="1"/>
  <c r="M625" i="1"/>
  <c r="M603" i="1"/>
  <c r="M578" i="1"/>
  <c r="M586" i="1"/>
  <c r="M567" i="1"/>
  <c r="M584" i="1"/>
  <c r="M570" i="1"/>
  <c r="M628" i="1"/>
  <c r="M626" i="1"/>
  <c r="M579" i="1"/>
  <c r="M627" i="1"/>
  <c r="M606" i="1"/>
  <c r="M594" i="1"/>
  <c r="M571" i="1"/>
  <c r="M595" i="1"/>
  <c r="M569" i="1"/>
  <c r="M631" i="1"/>
  <c r="M610" i="1"/>
  <c r="M632" i="1"/>
  <c r="M633" i="1"/>
  <c r="M720" i="1"/>
  <c r="M730" i="1"/>
  <c r="M676" i="1"/>
  <c r="M653" i="1"/>
  <c r="M704" i="1"/>
  <c r="M731" i="1"/>
  <c r="M732" i="1"/>
  <c r="M733" i="1"/>
  <c r="M734" i="1"/>
  <c r="M735" i="1"/>
  <c r="M736" i="1"/>
  <c r="M794" i="1"/>
  <c r="M657" i="1"/>
  <c r="M737" i="1"/>
  <c r="M738" i="1"/>
  <c r="M739" i="1"/>
  <c r="M740" i="1"/>
  <c r="M698" i="1"/>
  <c r="M741" i="1"/>
  <c r="M695" i="1"/>
  <c r="M742" i="1"/>
  <c r="M694" i="1"/>
  <c r="M712" i="1"/>
  <c r="M700" i="1"/>
  <c r="M723" i="1"/>
  <c r="M696" i="1"/>
  <c r="M691" i="1"/>
  <c r="M711" i="1"/>
  <c r="M743" i="1"/>
  <c r="M699" i="1"/>
  <c r="M795" i="1"/>
  <c r="M721" i="1"/>
  <c r="M796" i="1"/>
  <c r="M669" i="1"/>
  <c r="M717" i="1"/>
  <c r="M724" i="1"/>
  <c r="M710" i="1"/>
  <c r="M641" i="1"/>
  <c r="M715" i="1"/>
  <c r="M744" i="1"/>
  <c r="M643" i="1"/>
  <c r="M697" i="1"/>
  <c r="M642" i="1"/>
  <c r="M637" i="1"/>
  <c r="M682" i="1"/>
  <c r="M673" i="1"/>
  <c r="M685" i="1"/>
  <c r="M745" i="1"/>
  <c r="M634" i="1"/>
  <c r="M680" i="1"/>
  <c r="M651" i="1"/>
  <c r="M797" i="1"/>
  <c r="M746" i="1"/>
  <c r="M663" i="1"/>
  <c r="M690" i="1"/>
  <c r="M640" i="1"/>
  <c r="M747" i="1"/>
  <c r="M725" i="1"/>
  <c r="M659" i="1"/>
  <c r="M749" i="1"/>
  <c r="M665" i="1"/>
  <c r="M714" i="1"/>
  <c r="M718" i="1"/>
  <c r="M750" i="1"/>
  <c r="M748" i="1"/>
  <c r="M719" i="1"/>
  <c r="M726" i="1"/>
  <c r="M751" i="1"/>
  <c r="M798" i="1"/>
  <c r="M677" i="1"/>
  <c r="M752" i="1"/>
  <c r="M799" i="1"/>
  <c r="M678" i="1"/>
  <c r="M800" i="1"/>
  <c r="M666" i="1"/>
  <c r="M801" i="1"/>
  <c r="M802" i="1"/>
  <c r="M672" i="1"/>
  <c r="M728" i="1"/>
  <c r="M671" i="1"/>
  <c r="M650" i="1"/>
  <c r="M803" i="1"/>
  <c r="M753" i="1"/>
  <c r="M658" i="1"/>
  <c r="M754" i="1"/>
  <c r="M688" i="1"/>
  <c r="M755" i="1"/>
  <c r="M756" i="1"/>
  <c r="M757" i="1"/>
  <c r="M662" i="1"/>
  <c r="M644" i="1"/>
  <c r="M638" i="1"/>
  <c r="M758" i="1"/>
  <c r="M804" i="1"/>
  <c r="M759" i="1"/>
  <c r="M805" i="1"/>
  <c r="M661" i="1"/>
  <c r="M652" i="1"/>
  <c r="M760" i="1"/>
  <c r="M635" i="1"/>
  <c r="M692" i="1"/>
  <c r="M647" i="1"/>
  <c r="M806" i="1"/>
  <c r="M761" i="1"/>
  <c r="M705" i="1"/>
  <c r="M675" i="1"/>
  <c r="M729" i="1"/>
  <c r="M713" i="1"/>
  <c r="M762" i="1"/>
  <c r="M763" i="1"/>
  <c r="M648" i="1"/>
  <c r="M764" i="1"/>
  <c r="M722" i="1"/>
  <c r="M765" i="1"/>
  <c r="M708" i="1"/>
  <c r="M709" i="1"/>
  <c r="M655" i="1"/>
  <c r="M636" i="1"/>
  <c r="M668" i="1"/>
  <c r="M807" i="1"/>
  <c r="M766" i="1"/>
  <c r="M674" i="1"/>
  <c r="M707" i="1"/>
  <c r="M767" i="1"/>
  <c r="M768" i="1"/>
  <c r="M769" i="1"/>
  <c r="M770" i="1"/>
  <c r="M771" i="1"/>
  <c r="M772" i="1"/>
  <c r="M679" i="1"/>
  <c r="M706" i="1"/>
  <c r="M808" i="1"/>
  <c r="M809" i="1"/>
  <c r="M773" i="1"/>
  <c r="M774" i="1"/>
  <c r="M670" i="1"/>
  <c r="M701" i="1"/>
  <c r="M775" i="1"/>
  <c r="M684" i="1"/>
  <c r="M776" i="1"/>
  <c r="M777" i="1"/>
  <c r="M656" i="1"/>
  <c r="M686" i="1"/>
  <c r="M660" i="1"/>
  <c r="M810" i="1"/>
  <c r="M778" i="1"/>
  <c r="M649" i="1"/>
  <c r="M779" i="1"/>
  <c r="M811" i="1"/>
  <c r="M780" i="1"/>
  <c r="M716" i="1"/>
  <c r="M812" i="1"/>
  <c r="M781" i="1"/>
  <c r="M782" i="1"/>
  <c r="M783" i="1"/>
  <c r="M683" i="1"/>
  <c r="M693" i="1"/>
  <c r="M784" i="1"/>
  <c r="M646" i="1"/>
  <c r="M687" i="1"/>
  <c r="M703" i="1"/>
  <c r="M785" i="1"/>
  <c r="M667" i="1"/>
  <c r="M786" i="1"/>
  <c r="M787" i="1"/>
  <c r="M645" i="1"/>
  <c r="M788" i="1"/>
  <c r="M664" i="1"/>
  <c r="M789" i="1"/>
  <c r="M790" i="1"/>
  <c r="M791" i="1"/>
  <c r="M792" i="1"/>
  <c r="M793" i="1"/>
  <c r="M816" i="1"/>
  <c r="M817" i="1"/>
  <c r="M702" i="1"/>
  <c r="M681" i="1"/>
  <c r="M814" i="1"/>
  <c r="M813" i="1"/>
  <c r="M818" i="1"/>
  <c r="M815" i="1"/>
  <c r="M727" i="1"/>
  <c r="M689" i="1"/>
  <c r="M819" i="1"/>
  <c r="M654" i="1"/>
  <c r="M639" i="1"/>
  <c r="M1250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3" i="1"/>
  <c r="M844" i="1"/>
  <c r="M846" i="1"/>
  <c r="M848" i="1"/>
  <c r="M849" i="1"/>
  <c r="M842" i="1"/>
  <c r="M845" i="1"/>
  <c r="M850" i="1"/>
  <c r="M847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3" i="1"/>
  <c r="M1154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80" i="1"/>
  <c r="M1181" i="1"/>
  <c r="M1182" i="1"/>
  <c r="M1183" i="1"/>
  <c r="M1184" i="1"/>
  <c r="M1185" i="1"/>
  <c r="M1186" i="1"/>
  <c r="M1187" i="1"/>
  <c r="M1188" i="1"/>
  <c r="M1189" i="1"/>
  <c r="M1190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4" i="1"/>
  <c r="M1226" i="1"/>
  <c r="M1228" i="1"/>
  <c r="M1229" i="1"/>
  <c r="M1230" i="1"/>
  <c r="M1231" i="1"/>
  <c r="M1232" i="1"/>
  <c r="M1233" i="1"/>
  <c r="M1234" i="1"/>
  <c r="M1235" i="1"/>
  <c r="M1236" i="1"/>
  <c r="M1238" i="1"/>
  <c r="M1239" i="1"/>
  <c r="M1240" i="1"/>
  <c r="M1241" i="1"/>
  <c r="M1243" i="1"/>
  <c r="M1245" i="1"/>
  <c r="M1246" i="1"/>
  <c r="M1247" i="1"/>
  <c r="M1248" i="1"/>
  <c r="M1249" i="1"/>
  <c r="M869" i="1"/>
  <c r="M942" i="1"/>
  <c r="M1050" i="1"/>
  <c r="M1100" i="1"/>
  <c r="M1152" i="1"/>
  <c r="M1155" i="1"/>
  <c r="M1179" i="1"/>
  <c r="M1191" i="1"/>
  <c r="M1207" i="1"/>
  <c r="M1208" i="1"/>
  <c r="M1223" i="1"/>
  <c r="M1225" i="1"/>
  <c r="M1227" i="1"/>
  <c r="M1237" i="1"/>
  <c r="M1242" i="1"/>
  <c r="M124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30" i="1"/>
  <c r="L32" i="1"/>
  <c r="L34" i="1"/>
  <c r="L33" i="1"/>
  <c r="L35" i="1"/>
  <c r="L36" i="1"/>
  <c r="L37" i="1"/>
  <c r="L38" i="1"/>
  <c r="L39" i="1"/>
  <c r="L40" i="1"/>
  <c r="L41" i="1"/>
  <c r="L42" i="1"/>
  <c r="L43" i="1"/>
  <c r="L44" i="1"/>
  <c r="L45" i="1"/>
  <c r="L47" i="1"/>
  <c r="L46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8" i="1"/>
  <c r="L69" i="1"/>
  <c r="L70" i="1"/>
  <c r="L71" i="1"/>
  <c r="L72" i="1"/>
  <c r="L73" i="1"/>
  <c r="L74" i="1"/>
  <c r="L75" i="1"/>
  <c r="L76" i="1"/>
  <c r="L78" i="1"/>
  <c r="L77" i="1"/>
  <c r="L79" i="1"/>
  <c r="L80" i="1"/>
  <c r="L81" i="1"/>
  <c r="L82" i="1"/>
  <c r="L83" i="1"/>
  <c r="L84" i="1"/>
  <c r="L87" i="1"/>
  <c r="L86" i="1"/>
  <c r="L89" i="1"/>
  <c r="L88" i="1"/>
  <c r="L90" i="1"/>
  <c r="L91" i="1"/>
  <c r="L92" i="1"/>
  <c r="L93" i="1"/>
  <c r="L94" i="1"/>
  <c r="L97" i="1"/>
  <c r="L95" i="1"/>
  <c r="L96" i="1"/>
  <c r="L99" i="1"/>
  <c r="L100" i="1"/>
  <c r="L103" i="1"/>
  <c r="L101" i="1"/>
  <c r="L102" i="1"/>
  <c r="L104" i="1"/>
  <c r="L105" i="1"/>
  <c r="L106" i="1"/>
  <c r="L107" i="1"/>
  <c r="L108" i="1"/>
  <c r="L109" i="1"/>
  <c r="L110" i="1"/>
  <c r="L111" i="1"/>
  <c r="L113" i="1"/>
  <c r="L115" i="1"/>
  <c r="L114" i="1"/>
  <c r="L117" i="1"/>
  <c r="L116" i="1"/>
  <c r="L118" i="1"/>
  <c r="L121" i="1"/>
  <c r="L119" i="1"/>
  <c r="L122" i="1"/>
  <c r="L123" i="1"/>
  <c r="L124" i="1"/>
  <c r="L125" i="1"/>
  <c r="L126" i="1"/>
  <c r="L127" i="1"/>
  <c r="L129" i="1"/>
  <c r="L128" i="1"/>
  <c r="L131" i="1"/>
  <c r="L132" i="1"/>
  <c r="L134" i="1"/>
  <c r="L135" i="1"/>
  <c r="L133" i="1"/>
  <c r="L137" i="1"/>
  <c r="L138" i="1"/>
  <c r="L139" i="1"/>
  <c r="L140" i="1"/>
  <c r="L141" i="1"/>
  <c r="L142" i="1"/>
  <c r="L144" i="1"/>
  <c r="L143" i="1"/>
  <c r="L145" i="1"/>
  <c r="L146" i="1"/>
  <c r="L147" i="1"/>
  <c r="L148" i="1"/>
  <c r="L149" i="1"/>
  <c r="L151" i="1"/>
  <c r="L150" i="1"/>
  <c r="L152" i="1"/>
  <c r="L153" i="1"/>
  <c r="L154" i="1"/>
  <c r="L156" i="1"/>
  <c r="L155" i="1"/>
  <c r="L158" i="1"/>
  <c r="L157" i="1"/>
  <c r="L160" i="1"/>
  <c r="L159" i="1"/>
  <c r="L164" i="1"/>
  <c r="L167" i="1"/>
  <c r="L166" i="1"/>
  <c r="L165" i="1"/>
  <c r="L168" i="1"/>
  <c r="L170" i="1"/>
  <c r="L169" i="1"/>
  <c r="L172" i="1"/>
  <c r="L173" i="1"/>
  <c r="L175" i="1"/>
  <c r="L176" i="1"/>
  <c r="L177" i="1"/>
  <c r="L179" i="1"/>
  <c r="L180" i="1"/>
  <c r="L183" i="1"/>
  <c r="L184" i="1"/>
  <c r="L186" i="1"/>
  <c r="L187" i="1"/>
  <c r="L188" i="1"/>
  <c r="L191" i="1"/>
  <c r="L192" i="1"/>
  <c r="L194" i="1"/>
  <c r="L195" i="1"/>
  <c r="L198" i="1"/>
  <c r="L199" i="1"/>
  <c r="L197" i="1"/>
  <c r="L200" i="1"/>
  <c r="L204" i="1"/>
  <c r="L205" i="1"/>
  <c r="L202" i="1"/>
  <c r="L209" i="1"/>
  <c r="L210" i="1"/>
  <c r="L212" i="1"/>
  <c r="L213" i="1"/>
  <c r="L215" i="1"/>
  <c r="L216" i="1"/>
  <c r="L217" i="1"/>
  <c r="L218" i="1"/>
  <c r="L219" i="1"/>
  <c r="L223" i="1"/>
  <c r="L222" i="1"/>
  <c r="L221" i="1"/>
  <c r="L224" i="1"/>
  <c r="L226" i="1"/>
  <c r="L228" i="1"/>
  <c r="L230" i="1"/>
  <c r="L232" i="1"/>
  <c r="L231" i="1"/>
  <c r="L235" i="1"/>
  <c r="L236" i="1"/>
  <c r="L29" i="1"/>
  <c r="L31" i="1"/>
  <c r="L85" i="1"/>
  <c r="L120" i="1"/>
  <c r="L130" i="1"/>
  <c r="L136" i="1"/>
  <c r="L161" i="1"/>
  <c r="L163" i="1"/>
  <c r="L162" i="1"/>
  <c r="L171" i="1"/>
  <c r="L174" i="1"/>
  <c r="L178" i="1"/>
  <c r="L182" i="1"/>
  <c r="L181" i="1"/>
  <c r="L185" i="1"/>
  <c r="L190" i="1"/>
  <c r="L189" i="1"/>
  <c r="L193" i="1"/>
  <c r="L196" i="1"/>
  <c r="L203" i="1"/>
  <c r="L208" i="1"/>
  <c r="L214" i="1"/>
  <c r="L220" i="1"/>
  <c r="L225" i="1"/>
  <c r="L233" i="1"/>
  <c r="L234" i="1"/>
  <c r="L246" i="1"/>
  <c r="L242" i="1"/>
  <c r="L251" i="1"/>
  <c r="L237" i="1"/>
  <c r="L249" i="1"/>
  <c r="L254" i="1"/>
  <c r="L244" i="1"/>
  <c r="L255" i="1"/>
  <c r="L248" i="1"/>
  <c r="L256" i="1"/>
  <c r="L252" i="1"/>
  <c r="L241" i="1"/>
  <c r="L239" i="1"/>
  <c r="L257" i="1"/>
  <c r="L250" i="1"/>
  <c r="L258" i="1"/>
  <c r="L240" i="1"/>
  <c r="L247" i="1"/>
  <c r="L259" i="1"/>
  <c r="L238" i="1"/>
  <c r="L284" i="1"/>
  <c r="L278" i="1"/>
  <c r="L287" i="1"/>
  <c r="L280" i="1"/>
  <c r="L273" i="1"/>
  <c r="L268" i="1"/>
  <c r="L279" i="1"/>
  <c r="L289" i="1"/>
  <c r="L281" i="1"/>
  <c r="L274" i="1"/>
  <c r="L269" i="1"/>
  <c r="L270" i="1"/>
  <c r="L271" i="1"/>
  <c r="L290" i="1"/>
  <c r="L291" i="1"/>
  <c r="L272" i="1"/>
  <c r="L277" i="1"/>
  <c r="L312" i="1"/>
  <c r="L316" i="1"/>
  <c r="L314" i="1"/>
  <c r="L292" i="1"/>
  <c r="L302" i="1"/>
  <c r="L317" i="1"/>
  <c r="L303" i="1"/>
  <c r="L304" i="1"/>
  <c r="L313" i="1"/>
  <c r="L318" i="1"/>
  <c r="L307" i="1"/>
  <c r="L309" i="1"/>
  <c r="L298" i="1"/>
  <c r="L306" i="1"/>
  <c r="L294" i="1"/>
  <c r="L293" i="1"/>
  <c r="L300" i="1"/>
  <c r="L308" i="1"/>
  <c r="L310" i="1"/>
  <c r="L301" i="1"/>
  <c r="L296" i="1"/>
  <c r="L347" i="1"/>
  <c r="L335" i="1"/>
  <c r="L328" i="1"/>
  <c r="L346" i="1"/>
  <c r="L327" i="1"/>
  <c r="L350" i="1"/>
  <c r="L344" i="1"/>
  <c r="L351" i="1"/>
  <c r="L352" i="1"/>
  <c r="L353" i="1"/>
  <c r="L354" i="1"/>
  <c r="L336" i="1"/>
  <c r="L342" i="1"/>
  <c r="L337" i="1"/>
  <c r="L340" i="1"/>
  <c r="L329" i="1"/>
  <c r="L333" i="1"/>
  <c r="L330" i="1"/>
  <c r="L341" i="1"/>
  <c r="L332" i="1"/>
  <c r="L343" i="1"/>
  <c r="L338" i="1"/>
  <c r="L404" i="1"/>
  <c r="L385" i="1"/>
  <c r="L398" i="1"/>
  <c r="L421" i="1"/>
  <c r="L417" i="1"/>
  <c r="L418" i="1"/>
  <c r="L375" i="1"/>
  <c r="L389" i="1"/>
  <c r="L401" i="1"/>
  <c r="L393" i="1"/>
  <c r="L409" i="1"/>
  <c r="L357" i="1"/>
  <c r="L366" i="1"/>
  <c r="L372" i="1"/>
  <c r="L423" i="1"/>
  <c r="L403" i="1"/>
  <c r="L384" i="1"/>
  <c r="L358" i="1"/>
  <c r="L360" i="1"/>
  <c r="L413" i="1"/>
  <c r="L424" i="1"/>
  <c r="L391" i="1"/>
  <c r="L402" i="1"/>
  <c r="L394" i="1"/>
  <c r="L382" i="1"/>
  <c r="L383" i="1"/>
  <c r="L407" i="1"/>
  <c r="L359" i="1"/>
  <c r="L377" i="1"/>
  <c r="L376" i="1"/>
  <c r="L361" i="1"/>
  <c r="L399" i="1"/>
  <c r="L392" i="1"/>
  <c r="L427" i="1"/>
  <c r="L373" i="1"/>
  <c r="L368" i="1"/>
  <c r="L428" i="1"/>
  <c r="L410" i="1"/>
  <c r="L397" i="1"/>
  <c r="L388" i="1"/>
  <c r="L405" i="1"/>
  <c r="L371" i="1"/>
  <c r="L416" i="1"/>
  <c r="L386" i="1"/>
  <c r="L387" i="1"/>
  <c r="L365" i="1"/>
  <c r="L430" i="1"/>
  <c r="L470" i="1"/>
  <c r="L451" i="1"/>
  <c r="L447" i="1"/>
  <c r="L458" i="1"/>
  <c r="L459" i="1"/>
  <c r="L446" i="1"/>
  <c r="L448" i="1"/>
  <c r="L460" i="1"/>
  <c r="L444" i="1"/>
  <c r="L468" i="1"/>
  <c r="L433" i="1"/>
  <c r="L435" i="1"/>
  <c r="L432" i="1"/>
  <c r="L436" i="1"/>
  <c r="L462" i="1"/>
  <c r="L479" i="1"/>
  <c r="L472" i="1"/>
  <c r="L469" i="1"/>
  <c r="L452" i="1"/>
  <c r="L461" i="1"/>
  <c r="L475" i="1"/>
  <c r="L454" i="1"/>
  <c r="L477" i="1"/>
  <c r="L456" i="1"/>
  <c r="L476" i="1"/>
  <c r="L464" i="1"/>
  <c r="L480" i="1"/>
  <c r="L465" i="1"/>
  <c r="L439" i="1"/>
  <c r="L455" i="1"/>
  <c r="L443" i="1"/>
  <c r="L441" i="1"/>
  <c r="L434" i="1"/>
  <c r="L467" i="1"/>
  <c r="L473" i="1"/>
  <c r="L457" i="1"/>
  <c r="L437" i="1"/>
  <c r="L450" i="1"/>
  <c r="L463" i="1"/>
  <c r="L466" i="1"/>
  <c r="L481" i="1"/>
  <c r="L474" i="1"/>
  <c r="L471" i="1"/>
  <c r="L442" i="1"/>
  <c r="L453" i="1"/>
  <c r="L438" i="1"/>
  <c r="L445" i="1"/>
  <c r="L449" i="1"/>
  <c r="L431" i="1"/>
  <c r="L440" i="1"/>
  <c r="L478" i="1"/>
  <c r="L98" i="1"/>
  <c r="L206" i="1"/>
  <c r="L245" i="1"/>
  <c r="L253" i="1"/>
  <c r="L243" i="1"/>
  <c r="L286" i="1"/>
  <c r="L283" i="1"/>
  <c r="L288" i="1"/>
  <c r="L275" i="1"/>
  <c r="L267" i="1"/>
  <c r="L285" i="1"/>
  <c r="L299" i="1"/>
  <c r="L305" i="1"/>
  <c r="L348" i="1"/>
  <c r="L334" i="1"/>
  <c r="L356" i="1"/>
  <c r="L331" i="1"/>
  <c r="L363" i="1"/>
  <c r="L420" i="1"/>
  <c r="L374" i="1"/>
  <c r="L414" i="1"/>
  <c r="L364" i="1"/>
  <c r="L362" i="1"/>
  <c r="L396" i="1"/>
  <c r="L400" i="1"/>
  <c r="L380" i="1"/>
  <c r="L406" i="1"/>
  <c r="L378" i="1"/>
  <c r="L497" i="1"/>
  <c r="L508" i="1"/>
  <c r="L488" i="1"/>
  <c r="L511" i="1"/>
  <c r="L482" i="1"/>
  <c r="L492" i="1"/>
  <c r="L486" i="1"/>
  <c r="L499" i="1"/>
  <c r="L495" i="1"/>
  <c r="L500" i="1"/>
  <c r="L516" i="1"/>
  <c r="L517" i="1"/>
  <c r="L501" i="1"/>
  <c r="L282" i="1"/>
  <c r="L297" i="1"/>
  <c r="L319" i="1"/>
  <c r="L345" i="1"/>
  <c r="L411" i="1"/>
  <c r="L506" i="1"/>
  <c r="L483" i="1"/>
  <c r="L487" i="1"/>
  <c r="L496" i="1"/>
  <c r="L493" i="1"/>
  <c r="L490" i="1"/>
  <c r="L484" i="1"/>
  <c r="L489" i="1"/>
  <c r="L513" i="1"/>
  <c r="L67" i="1"/>
  <c r="L201" i="1"/>
  <c r="L211" i="1"/>
  <c r="L276" i="1"/>
  <c r="L315" i="1"/>
  <c r="L311" i="1"/>
  <c r="L295" i="1"/>
  <c r="L339" i="1"/>
  <c r="L349" i="1"/>
  <c r="L355" i="1"/>
  <c r="L395" i="1"/>
  <c r="L419" i="1"/>
  <c r="L426" i="1"/>
  <c r="L381" i="1"/>
  <c r="L370" i="1"/>
  <c r="L491" i="1"/>
  <c r="L503" i="1"/>
  <c r="L498" i="1"/>
  <c r="L485" i="1"/>
  <c r="L512" i="1"/>
  <c r="L505" i="1"/>
  <c r="L519" i="1"/>
  <c r="L112" i="1"/>
  <c r="L207" i="1"/>
  <c r="L227" i="1"/>
  <c r="L229" i="1"/>
  <c r="L263" i="1"/>
  <c r="L261" i="1"/>
  <c r="L264" i="1"/>
  <c r="L260" i="1"/>
  <c r="L265" i="1"/>
  <c r="L266" i="1"/>
  <c r="L262" i="1"/>
  <c r="L320" i="1"/>
  <c r="L322" i="1"/>
  <c r="L325" i="1"/>
  <c r="L323" i="1"/>
  <c r="L324" i="1"/>
  <c r="L321" i="1"/>
  <c r="L326" i="1"/>
  <c r="L415" i="1"/>
  <c r="L379" i="1"/>
  <c r="L412" i="1"/>
  <c r="L422" i="1"/>
  <c r="L369" i="1"/>
  <c r="L367" i="1"/>
  <c r="L408" i="1"/>
  <c r="L390" i="1"/>
  <c r="L425" i="1"/>
  <c r="L429" i="1"/>
  <c r="L504" i="1"/>
  <c r="L515" i="1"/>
  <c r="L502" i="1"/>
  <c r="L507" i="1"/>
  <c r="L494" i="1"/>
  <c r="L510" i="1"/>
  <c r="L514" i="1"/>
  <c r="L509" i="1"/>
  <c r="L518" i="1"/>
  <c r="L549" i="1"/>
  <c r="L550" i="1"/>
  <c r="L531" i="1"/>
  <c r="L551" i="1"/>
  <c r="L552" i="1"/>
  <c r="L540" i="1"/>
  <c r="L524" i="1"/>
  <c r="L530" i="1"/>
  <c r="L520" i="1"/>
  <c r="L525" i="1"/>
  <c r="L545" i="1"/>
  <c r="L532" i="1"/>
  <c r="L541" i="1"/>
  <c r="L522" i="1"/>
  <c r="L542" i="1"/>
  <c r="L538" i="1"/>
  <c r="L539" i="1"/>
  <c r="L548" i="1"/>
  <c r="L561" i="1"/>
  <c r="L553" i="1"/>
  <c r="L547" i="1"/>
  <c r="L543" i="1"/>
  <c r="L537" i="1"/>
  <c r="L521" i="1"/>
  <c r="L554" i="1"/>
  <c r="L534" i="1"/>
  <c r="L544" i="1"/>
  <c r="L533" i="1"/>
  <c r="L557" i="1"/>
  <c r="L555" i="1"/>
  <c r="L536" i="1"/>
  <c r="L526" i="1"/>
  <c r="L546" i="1"/>
  <c r="L562" i="1"/>
  <c r="L563" i="1"/>
  <c r="L528" i="1"/>
  <c r="L527" i="1"/>
  <c r="L556" i="1"/>
  <c r="L535" i="1"/>
  <c r="L529" i="1"/>
  <c r="L558" i="1"/>
  <c r="L559" i="1"/>
  <c r="L560" i="1"/>
  <c r="L564" i="1"/>
  <c r="L523" i="1"/>
  <c r="L581" i="1"/>
  <c r="L612" i="1"/>
  <c r="L629" i="1"/>
  <c r="L613" i="1"/>
  <c r="L580" i="1"/>
  <c r="L614" i="1"/>
  <c r="L568" i="1"/>
  <c r="L600" i="1"/>
  <c r="L590" i="1"/>
  <c r="L630" i="1"/>
  <c r="L582" i="1"/>
  <c r="L615" i="1"/>
  <c r="L574" i="1"/>
  <c r="L597" i="1"/>
  <c r="L604" i="1"/>
  <c r="L599" i="1"/>
  <c r="L616" i="1"/>
  <c r="L593" i="1"/>
  <c r="L617" i="1"/>
  <c r="L566" i="1"/>
  <c r="L575" i="1"/>
  <c r="L596" i="1"/>
  <c r="L572" i="1"/>
  <c r="L618" i="1"/>
  <c r="L609" i="1"/>
  <c r="L576" i="1"/>
  <c r="L601" i="1"/>
  <c r="L588" i="1"/>
  <c r="L611" i="1"/>
  <c r="L602" i="1"/>
  <c r="L605" i="1"/>
  <c r="L598" i="1"/>
  <c r="L591" i="1"/>
  <c r="L587" i="1"/>
  <c r="L619" i="1"/>
  <c r="L620" i="1"/>
  <c r="L607" i="1"/>
  <c r="L589" i="1"/>
  <c r="L577" i="1"/>
  <c r="L608" i="1"/>
  <c r="L621" i="1"/>
  <c r="L565" i="1"/>
  <c r="L622" i="1"/>
  <c r="L583" i="1"/>
  <c r="L623" i="1"/>
  <c r="L624" i="1"/>
  <c r="L592" i="1"/>
  <c r="L585" i="1"/>
  <c r="L573" i="1"/>
  <c r="L625" i="1"/>
  <c r="L603" i="1"/>
  <c r="L578" i="1"/>
  <c r="L586" i="1"/>
  <c r="L567" i="1"/>
  <c r="L584" i="1"/>
  <c r="L570" i="1"/>
  <c r="L628" i="1"/>
  <c r="L626" i="1"/>
  <c r="L579" i="1"/>
  <c r="L627" i="1"/>
  <c r="L606" i="1"/>
  <c r="L594" i="1"/>
  <c r="L571" i="1"/>
  <c r="L595" i="1"/>
  <c r="L569" i="1"/>
  <c r="L631" i="1"/>
  <c r="L610" i="1"/>
  <c r="L632" i="1"/>
  <c r="L633" i="1"/>
  <c r="L720" i="1"/>
  <c r="L730" i="1"/>
  <c r="L676" i="1"/>
  <c r="L653" i="1"/>
  <c r="L704" i="1"/>
  <c r="L731" i="1"/>
  <c r="L732" i="1"/>
  <c r="L733" i="1"/>
  <c r="L734" i="1"/>
  <c r="L735" i="1"/>
  <c r="L736" i="1"/>
  <c r="L794" i="1"/>
  <c r="L657" i="1"/>
  <c r="L737" i="1"/>
  <c r="L738" i="1"/>
  <c r="L739" i="1"/>
  <c r="L740" i="1"/>
  <c r="L698" i="1"/>
  <c r="L741" i="1"/>
  <c r="L695" i="1"/>
  <c r="L742" i="1"/>
  <c r="L694" i="1"/>
  <c r="L712" i="1"/>
  <c r="L700" i="1"/>
  <c r="L723" i="1"/>
  <c r="L696" i="1"/>
  <c r="L691" i="1"/>
  <c r="L711" i="1"/>
  <c r="L743" i="1"/>
  <c r="L699" i="1"/>
  <c r="L795" i="1"/>
  <c r="L721" i="1"/>
  <c r="L796" i="1"/>
  <c r="L669" i="1"/>
  <c r="L717" i="1"/>
  <c r="L724" i="1"/>
  <c r="L710" i="1"/>
  <c r="L641" i="1"/>
  <c r="L715" i="1"/>
  <c r="L744" i="1"/>
  <c r="L643" i="1"/>
  <c r="L697" i="1"/>
  <c r="L642" i="1"/>
  <c r="L637" i="1"/>
  <c r="L682" i="1"/>
  <c r="L673" i="1"/>
  <c r="L685" i="1"/>
  <c r="L745" i="1"/>
  <c r="L634" i="1"/>
  <c r="L680" i="1"/>
  <c r="L651" i="1"/>
  <c r="L797" i="1"/>
  <c r="L746" i="1"/>
  <c r="L663" i="1"/>
  <c r="L690" i="1"/>
  <c r="L640" i="1"/>
  <c r="L747" i="1"/>
  <c r="L725" i="1"/>
  <c r="L659" i="1"/>
  <c r="L749" i="1"/>
  <c r="L665" i="1"/>
  <c r="L714" i="1"/>
  <c r="L718" i="1"/>
  <c r="L750" i="1"/>
  <c r="L748" i="1"/>
  <c r="L719" i="1"/>
  <c r="L726" i="1"/>
  <c r="L751" i="1"/>
  <c r="L798" i="1"/>
  <c r="L677" i="1"/>
  <c r="L752" i="1"/>
  <c r="L799" i="1"/>
  <c r="L678" i="1"/>
  <c r="L800" i="1"/>
  <c r="L666" i="1"/>
  <c r="L801" i="1"/>
  <c r="L802" i="1"/>
  <c r="L672" i="1"/>
  <c r="L728" i="1"/>
  <c r="L671" i="1"/>
  <c r="L650" i="1"/>
  <c r="L803" i="1"/>
  <c r="L753" i="1"/>
  <c r="L658" i="1"/>
  <c r="L754" i="1"/>
  <c r="L688" i="1"/>
  <c r="L755" i="1"/>
  <c r="L756" i="1"/>
  <c r="L757" i="1"/>
  <c r="L662" i="1"/>
  <c r="L644" i="1"/>
  <c r="L638" i="1"/>
  <c r="L758" i="1"/>
  <c r="L804" i="1"/>
  <c r="L759" i="1"/>
  <c r="L805" i="1"/>
  <c r="L661" i="1"/>
  <c r="L652" i="1"/>
  <c r="L760" i="1"/>
  <c r="L635" i="1"/>
  <c r="L692" i="1"/>
  <c r="L647" i="1"/>
  <c r="L806" i="1"/>
  <c r="L761" i="1"/>
  <c r="L705" i="1"/>
  <c r="L675" i="1"/>
  <c r="L729" i="1"/>
  <c r="L713" i="1"/>
  <c r="L762" i="1"/>
  <c r="L763" i="1"/>
  <c r="L648" i="1"/>
  <c r="L764" i="1"/>
  <c r="L722" i="1"/>
  <c r="L765" i="1"/>
  <c r="L708" i="1"/>
  <c r="L709" i="1"/>
  <c r="L655" i="1"/>
  <c r="L636" i="1"/>
  <c r="L668" i="1"/>
  <c r="L807" i="1"/>
  <c r="L766" i="1"/>
  <c r="L674" i="1"/>
  <c r="L707" i="1"/>
  <c r="L767" i="1"/>
  <c r="L768" i="1"/>
  <c r="L769" i="1"/>
  <c r="L770" i="1"/>
  <c r="L771" i="1"/>
  <c r="L772" i="1"/>
  <c r="L679" i="1"/>
  <c r="L706" i="1"/>
  <c r="L808" i="1"/>
  <c r="L809" i="1"/>
  <c r="L773" i="1"/>
  <c r="L774" i="1"/>
  <c r="L670" i="1"/>
  <c r="L701" i="1"/>
  <c r="L775" i="1"/>
  <c r="L684" i="1"/>
  <c r="L776" i="1"/>
  <c r="L777" i="1"/>
  <c r="L656" i="1"/>
  <c r="L686" i="1"/>
  <c r="L660" i="1"/>
  <c r="L810" i="1"/>
  <c r="L778" i="1"/>
  <c r="L649" i="1"/>
  <c r="L779" i="1"/>
  <c r="L811" i="1"/>
  <c r="L780" i="1"/>
  <c r="L716" i="1"/>
  <c r="L812" i="1"/>
  <c r="L781" i="1"/>
  <c r="L782" i="1"/>
  <c r="L783" i="1"/>
  <c r="L683" i="1"/>
  <c r="L693" i="1"/>
  <c r="L784" i="1"/>
  <c r="L646" i="1"/>
  <c r="L687" i="1"/>
  <c r="L703" i="1"/>
  <c r="L785" i="1"/>
  <c r="L667" i="1"/>
  <c r="L786" i="1"/>
  <c r="L787" i="1"/>
  <c r="L645" i="1"/>
  <c r="L788" i="1"/>
  <c r="L664" i="1"/>
  <c r="L789" i="1"/>
  <c r="L790" i="1"/>
  <c r="L791" i="1"/>
  <c r="L792" i="1"/>
  <c r="L793" i="1"/>
  <c r="L816" i="1"/>
  <c r="L817" i="1"/>
  <c r="L702" i="1"/>
  <c r="L681" i="1"/>
  <c r="L814" i="1"/>
  <c r="L813" i="1"/>
  <c r="L818" i="1"/>
  <c r="L815" i="1"/>
  <c r="L727" i="1"/>
  <c r="L689" i="1"/>
  <c r="L819" i="1"/>
  <c r="L654" i="1"/>
  <c r="L639" i="1"/>
  <c r="L1250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3" i="1"/>
  <c r="L844" i="1"/>
  <c r="L846" i="1"/>
  <c r="L848" i="1"/>
  <c r="L849" i="1"/>
  <c r="L842" i="1"/>
  <c r="L845" i="1"/>
  <c r="L850" i="1"/>
  <c r="L847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3" i="1"/>
  <c r="L1154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80" i="1"/>
  <c r="L1181" i="1"/>
  <c r="L1182" i="1"/>
  <c r="L1183" i="1"/>
  <c r="L1184" i="1"/>
  <c r="L1185" i="1"/>
  <c r="L1186" i="1"/>
  <c r="L1187" i="1"/>
  <c r="L1188" i="1"/>
  <c r="L1189" i="1"/>
  <c r="L1190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4" i="1"/>
  <c r="L1226" i="1"/>
  <c r="L1228" i="1"/>
  <c r="L1229" i="1"/>
  <c r="L1230" i="1"/>
  <c r="L1231" i="1"/>
  <c r="L1232" i="1"/>
  <c r="L1233" i="1"/>
  <c r="L1234" i="1"/>
  <c r="L1235" i="1"/>
  <c r="L1236" i="1"/>
  <c r="L1238" i="1"/>
  <c r="L1239" i="1"/>
  <c r="L1240" i="1"/>
  <c r="L1241" i="1"/>
  <c r="L1243" i="1"/>
  <c r="L1245" i="1"/>
  <c r="L1246" i="1"/>
  <c r="L1247" i="1"/>
  <c r="L1248" i="1"/>
  <c r="L1249" i="1"/>
  <c r="L869" i="1"/>
  <c r="L942" i="1"/>
  <c r="L1050" i="1"/>
  <c r="L1100" i="1"/>
  <c r="L1152" i="1"/>
  <c r="L1155" i="1"/>
  <c r="L1179" i="1"/>
  <c r="L1191" i="1"/>
  <c r="L1207" i="1"/>
  <c r="L1208" i="1"/>
  <c r="L1223" i="1"/>
  <c r="L1225" i="1"/>
  <c r="L1227" i="1"/>
  <c r="L1237" i="1"/>
  <c r="L1242" i="1"/>
  <c r="L1244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30" i="1"/>
  <c r="K32" i="1"/>
  <c r="K34" i="1"/>
  <c r="K33" i="1"/>
  <c r="K35" i="1"/>
  <c r="K36" i="1"/>
  <c r="K37" i="1"/>
  <c r="K38" i="1"/>
  <c r="K39" i="1"/>
  <c r="K40" i="1"/>
  <c r="K41" i="1"/>
  <c r="K42" i="1"/>
  <c r="K43" i="1"/>
  <c r="K44" i="1"/>
  <c r="K45" i="1"/>
  <c r="K47" i="1"/>
  <c r="K46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8" i="1"/>
  <c r="K69" i="1"/>
  <c r="K70" i="1"/>
  <c r="K71" i="1"/>
  <c r="K72" i="1"/>
  <c r="K73" i="1"/>
  <c r="K74" i="1"/>
  <c r="K75" i="1"/>
  <c r="K76" i="1"/>
  <c r="K78" i="1"/>
  <c r="K77" i="1"/>
  <c r="K79" i="1"/>
  <c r="K80" i="1"/>
  <c r="K81" i="1"/>
  <c r="K82" i="1"/>
  <c r="K83" i="1"/>
  <c r="K84" i="1"/>
  <c r="K87" i="1"/>
  <c r="K86" i="1"/>
  <c r="K89" i="1"/>
  <c r="K88" i="1"/>
  <c r="K90" i="1"/>
  <c r="K91" i="1"/>
  <c r="K92" i="1"/>
  <c r="K93" i="1"/>
  <c r="K94" i="1"/>
  <c r="K97" i="1"/>
  <c r="K95" i="1"/>
  <c r="K96" i="1"/>
  <c r="K99" i="1"/>
  <c r="K100" i="1"/>
  <c r="K103" i="1"/>
  <c r="K101" i="1"/>
  <c r="K102" i="1"/>
  <c r="K104" i="1"/>
  <c r="K105" i="1"/>
  <c r="K106" i="1"/>
  <c r="K107" i="1"/>
  <c r="K108" i="1"/>
  <c r="K109" i="1"/>
  <c r="K110" i="1"/>
  <c r="K111" i="1"/>
  <c r="K113" i="1"/>
  <c r="K115" i="1"/>
  <c r="K114" i="1"/>
  <c r="K117" i="1"/>
  <c r="K116" i="1"/>
  <c r="K118" i="1"/>
  <c r="K121" i="1"/>
  <c r="K119" i="1"/>
  <c r="K122" i="1"/>
  <c r="K123" i="1"/>
  <c r="K124" i="1"/>
  <c r="K125" i="1"/>
  <c r="K126" i="1"/>
  <c r="K127" i="1"/>
  <c r="K129" i="1"/>
  <c r="K128" i="1"/>
  <c r="K131" i="1"/>
  <c r="K132" i="1"/>
  <c r="K134" i="1"/>
  <c r="K135" i="1"/>
  <c r="K133" i="1"/>
  <c r="K137" i="1"/>
  <c r="K138" i="1"/>
  <c r="K139" i="1"/>
  <c r="K140" i="1"/>
  <c r="K141" i="1"/>
  <c r="K142" i="1"/>
  <c r="K144" i="1"/>
  <c r="K143" i="1"/>
  <c r="K145" i="1"/>
  <c r="K146" i="1"/>
  <c r="K147" i="1"/>
  <c r="K148" i="1"/>
  <c r="K149" i="1"/>
  <c r="K151" i="1"/>
  <c r="K150" i="1"/>
  <c r="K152" i="1"/>
  <c r="K153" i="1"/>
  <c r="K154" i="1"/>
  <c r="K156" i="1"/>
  <c r="K155" i="1"/>
  <c r="K158" i="1"/>
  <c r="K157" i="1"/>
  <c r="K160" i="1"/>
  <c r="K159" i="1"/>
  <c r="K164" i="1"/>
  <c r="K167" i="1"/>
  <c r="K166" i="1"/>
  <c r="K165" i="1"/>
  <c r="K168" i="1"/>
  <c r="K170" i="1"/>
  <c r="K169" i="1"/>
  <c r="K172" i="1"/>
  <c r="K173" i="1"/>
  <c r="K175" i="1"/>
  <c r="K176" i="1"/>
  <c r="K177" i="1"/>
  <c r="K179" i="1"/>
  <c r="K180" i="1"/>
  <c r="K183" i="1"/>
  <c r="K184" i="1"/>
  <c r="K186" i="1"/>
  <c r="K187" i="1"/>
  <c r="K188" i="1"/>
  <c r="K191" i="1"/>
  <c r="K192" i="1"/>
  <c r="K194" i="1"/>
  <c r="K195" i="1"/>
  <c r="K198" i="1"/>
  <c r="K199" i="1"/>
  <c r="K197" i="1"/>
  <c r="K200" i="1"/>
  <c r="K204" i="1"/>
  <c r="K205" i="1"/>
  <c r="K202" i="1"/>
  <c r="K209" i="1"/>
  <c r="K210" i="1"/>
  <c r="K212" i="1"/>
  <c r="K213" i="1"/>
  <c r="K215" i="1"/>
  <c r="K216" i="1"/>
  <c r="K217" i="1"/>
  <c r="K218" i="1"/>
  <c r="K219" i="1"/>
  <c r="K223" i="1"/>
  <c r="K222" i="1"/>
  <c r="K221" i="1"/>
  <c r="K224" i="1"/>
  <c r="K226" i="1"/>
  <c r="K228" i="1"/>
  <c r="K230" i="1"/>
  <c r="K232" i="1"/>
  <c r="K231" i="1"/>
  <c r="K235" i="1"/>
  <c r="K236" i="1"/>
  <c r="K29" i="1"/>
  <c r="K31" i="1"/>
  <c r="K85" i="1"/>
  <c r="K120" i="1"/>
  <c r="K130" i="1"/>
  <c r="K136" i="1"/>
  <c r="K161" i="1"/>
  <c r="K163" i="1"/>
  <c r="K162" i="1"/>
  <c r="K171" i="1"/>
  <c r="K174" i="1"/>
  <c r="K178" i="1"/>
  <c r="K182" i="1"/>
  <c r="K181" i="1"/>
  <c r="K185" i="1"/>
  <c r="K190" i="1"/>
  <c r="K189" i="1"/>
  <c r="K193" i="1"/>
  <c r="K196" i="1"/>
  <c r="K203" i="1"/>
  <c r="K208" i="1"/>
  <c r="K214" i="1"/>
  <c r="K220" i="1"/>
  <c r="K225" i="1"/>
  <c r="K233" i="1"/>
  <c r="K234" i="1"/>
  <c r="K246" i="1"/>
  <c r="K242" i="1"/>
  <c r="K251" i="1"/>
  <c r="K237" i="1"/>
  <c r="K249" i="1"/>
  <c r="K254" i="1"/>
  <c r="K244" i="1"/>
  <c r="K255" i="1"/>
  <c r="K248" i="1"/>
  <c r="K256" i="1"/>
  <c r="K252" i="1"/>
  <c r="K241" i="1"/>
  <c r="K239" i="1"/>
  <c r="K257" i="1"/>
  <c r="K250" i="1"/>
  <c r="K258" i="1"/>
  <c r="K240" i="1"/>
  <c r="K247" i="1"/>
  <c r="K259" i="1"/>
  <c r="K238" i="1"/>
  <c r="K284" i="1"/>
  <c r="K278" i="1"/>
  <c r="K287" i="1"/>
  <c r="K280" i="1"/>
  <c r="K273" i="1"/>
  <c r="K268" i="1"/>
  <c r="K279" i="1"/>
  <c r="K289" i="1"/>
  <c r="K281" i="1"/>
  <c r="K274" i="1"/>
  <c r="K269" i="1"/>
  <c r="K270" i="1"/>
  <c r="K271" i="1"/>
  <c r="K290" i="1"/>
  <c r="K291" i="1"/>
  <c r="K272" i="1"/>
  <c r="K277" i="1"/>
  <c r="K312" i="1"/>
  <c r="K316" i="1"/>
  <c r="K314" i="1"/>
  <c r="K292" i="1"/>
  <c r="K302" i="1"/>
  <c r="K317" i="1"/>
  <c r="K303" i="1"/>
  <c r="K304" i="1"/>
  <c r="K313" i="1"/>
  <c r="K318" i="1"/>
  <c r="K307" i="1"/>
  <c r="K309" i="1"/>
  <c r="K298" i="1"/>
  <c r="K306" i="1"/>
  <c r="K294" i="1"/>
  <c r="K293" i="1"/>
  <c r="K300" i="1"/>
  <c r="K308" i="1"/>
  <c r="K310" i="1"/>
  <c r="K301" i="1"/>
  <c r="K296" i="1"/>
  <c r="K347" i="1"/>
  <c r="K335" i="1"/>
  <c r="K328" i="1"/>
  <c r="K346" i="1"/>
  <c r="K327" i="1"/>
  <c r="K350" i="1"/>
  <c r="K344" i="1"/>
  <c r="K351" i="1"/>
  <c r="K352" i="1"/>
  <c r="K353" i="1"/>
  <c r="K354" i="1"/>
  <c r="K336" i="1"/>
  <c r="K342" i="1"/>
  <c r="K337" i="1"/>
  <c r="K340" i="1"/>
  <c r="K329" i="1"/>
  <c r="K333" i="1"/>
  <c r="K330" i="1"/>
  <c r="K341" i="1"/>
  <c r="K332" i="1"/>
  <c r="K343" i="1"/>
  <c r="K338" i="1"/>
  <c r="K404" i="1"/>
  <c r="K385" i="1"/>
  <c r="K398" i="1"/>
  <c r="K421" i="1"/>
  <c r="K417" i="1"/>
  <c r="K418" i="1"/>
  <c r="K375" i="1"/>
  <c r="K389" i="1"/>
  <c r="K401" i="1"/>
  <c r="K393" i="1"/>
  <c r="K409" i="1"/>
  <c r="K357" i="1"/>
  <c r="K366" i="1"/>
  <c r="K372" i="1"/>
  <c r="K423" i="1"/>
  <c r="K403" i="1"/>
  <c r="K384" i="1"/>
  <c r="K358" i="1"/>
  <c r="K360" i="1"/>
  <c r="K413" i="1"/>
  <c r="K424" i="1"/>
  <c r="K391" i="1"/>
  <c r="K402" i="1"/>
  <c r="K394" i="1"/>
  <c r="K382" i="1"/>
  <c r="K383" i="1"/>
  <c r="K407" i="1"/>
  <c r="K359" i="1"/>
  <c r="K377" i="1"/>
  <c r="K376" i="1"/>
  <c r="K361" i="1"/>
  <c r="K399" i="1"/>
  <c r="K392" i="1"/>
  <c r="K427" i="1"/>
  <c r="K373" i="1"/>
  <c r="K368" i="1"/>
  <c r="K428" i="1"/>
  <c r="K410" i="1"/>
  <c r="K397" i="1"/>
  <c r="K388" i="1"/>
  <c r="K405" i="1"/>
  <c r="K371" i="1"/>
  <c r="K416" i="1"/>
  <c r="K386" i="1"/>
  <c r="K387" i="1"/>
  <c r="K365" i="1"/>
  <c r="K430" i="1"/>
  <c r="K470" i="1"/>
  <c r="K451" i="1"/>
  <c r="K447" i="1"/>
  <c r="K458" i="1"/>
  <c r="K459" i="1"/>
  <c r="K446" i="1"/>
  <c r="K448" i="1"/>
  <c r="K460" i="1"/>
  <c r="K444" i="1"/>
  <c r="K468" i="1"/>
  <c r="K433" i="1"/>
  <c r="K435" i="1"/>
  <c r="K432" i="1"/>
  <c r="K436" i="1"/>
  <c r="K462" i="1"/>
  <c r="K479" i="1"/>
  <c r="K472" i="1"/>
  <c r="K469" i="1"/>
  <c r="K452" i="1"/>
  <c r="K461" i="1"/>
  <c r="K475" i="1"/>
  <c r="K454" i="1"/>
  <c r="K477" i="1"/>
  <c r="K456" i="1"/>
  <c r="K476" i="1"/>
  <c r="K464" i="1"/>
  <c r="K480" i="1"/>
  <c r="K465" i="1"/>
  <c r="K439" i="1"/>
  <c r="K455" i="1"/>
  <c r="K443" i="1"/>
  <c r="K441" i="1"/>
  <c r="K434" i="1"/>
  <c r="K467" i="1"/>
  <c r="K473" i="1"/>
  <c r="K457" i="1"/>
  <c r="K437" i="1"/>
  <c r="K450" i="1"/>
  <c r="K463" i="1"/>
  <c r="K466" i="1"/>
  <c r="K481" i="1"/>
  <c r="K474" i="1"/>
  <c r="K471" i="1"/>
  <c r="K442" i="1"/>
  <c r="K453" i="1"/>
  <c r="K438" i="1"/>
  <c r="K445" i="1"/>
  <c r="K449" i="1"/>
  <c r="K431" i="1"/>
  <c r="K440" i="1"/>
  <c r="K478" i="1"/>
  <c r="K98" i="1"/>
  <c r="K206" i="1"/>
  <c r="K245" i="1"/>
  <c r="K253" i="1"/>
  <c r="K243" i="1"/>
  <c r="K286" i="1"/>
  <c r="K283" i="1"/>
  <c r="K288" i="1"/>
  <c r="K275" i="1"/>
  <c r="K267" i="1"/>
  <c r="K285" i="1"/>
  <c r="K299" i="1"/>
  <c r="K305" i="1"/>
  <c r="K348" i="1"/>
  <c r="K334" i="1"/>
  <c r="K356" i="1"/>
  <c r="K331" i="1"/>
  <c r="K363" i="1"/>
  <c r="K420" i="1"/>
  <c r="K374" i="1"/>
  <c r="K414" i="1"/>
  <c r="K364" i="1"/>
  <c r="K362" i="1"/>
  <c r="K396" i="1"/>
  <c r="K400" i="1"/>
  <c r="K380" i="1"/>
  <c r="K406" i="1"/>
  <c r="K378" i="1"/>
  <c r="K497" i="1"/>
  <c r="K508" i="1"/>
  <c r="K488" i="1"/>
  <c r="K511" i="1"/>
  <c r="K482" i="1"/>
  <c r="K492" i="1"/>
  <c r="K486" i="1"/>
  <c r="K499" i="1"/>
  <c r="K495" i="1"/>
  <c r="K500" i="1"/>
  <c r="K516" i="1"/>
  <c r="K517" i="1"/>
  <c r="K501" i="1"/>
  <c r="K282" i="1"/>
  <c r="K297" i="1"/>
  <c r="K319" i="1"/>
  <c r="K345" i="1"/>
  <c r="K411" i="1"/>
  <c r="K506" i="1"/>
  <c r="K483" i="1"/>
  <c r="K487" i="1"/>
  <c r="K496" i="1"/>
  <c r="K493" i="1"/>
  <c r="K490" i="1"/>
  <c r="K484" i="1"/>
  <c r="K489" i="1"/>
  <c r="K513" i="1"/>
  <c r="K67" i="1"/>
  <c r="K201" i="1"/>
  <c r="K211" i="1"/>
  <c r="K276" i="1"/>
  <c r="K315" i="1"/>
  <c r="K311" i="1"/>
  <c r="K295" i="1"/>
  <c r="K339" i="1"/>
  <c r="K349" i="1"/>
  <c r="K355" i="1"/>
  <c r="K395" i="1"/>
  <c r="K419" i="1"/>
  <c r="K426" i="1"/>
  <c r="K381" i="1"/>
  <c r="K370" i="1"/>
  <c r="K491" i="1"/>
  <c r="K503" i="1"/>
  <c r="K498" i="1"/>
  <c r="K485" i="1"/>
  <c r="K512" i="1"/>
  <c r="K505" i="1"/>
  <c r="K519" i="1"/>
  <c r="K112" i="1"/>
  <c r="K207" i="1"/>
  <c r="K227" i="1"/>
  <c r="K229" i="1"/>
  <c r="K263" i="1"/>
  <c r="K261" i="1"/>
  <c r="K264" i="1"/>
  <c r="K260" i="1"/>
  <c r="K265" i="1"/>
  <c r="K266" i="1"/>
  <c r="K262" i="1"/>
  <c r="K320" i="1"/>
  <c r="K322" i="1"/>
  <c r="K325" i="1"/>
  <c r="K323" i="1"/>
  <c r="K324" i="1"/>
  <c r="K321" i="1"/>
  <c r="K326" i="1"/>
  <c r="K415" i="1"/>
  <c r="K379" i="1"/>
  <c r="K412" i="1"/>
  <c r="K422" i="1"/>
  <c r="K369" i="1"/>
  <c r="K367" i="1"/>
  <c r="K408" i="1"/>
  <c r="K390" i="1"/>
  <c r="K425" i="1"/>
  <c r="K429" i="1"/>
  <c r="K504" i="1"/>
  <c r="K515" i="1"/>
  <c r="K502" i="1"/>
  <c r="K507" i="1"/>
  <c r="K494" i="1"/>
  <c r="K510" i="1"/>
  <c r="K514" i="1"/>
  <c r="K509" i="1"/>
  <c r="K518" i="1"/>
  <c r="K549" i="1"/>
  <c r="K550" i="1"/>
  <c r="K531" i="1"/>
  <c r="K551" i="1"/>
  <c r="K552" i="1"/>
  <c r="K540" i="1"/>
  <c r="K524" i="1"/>
  <c r="K530" i="1"/>
  <c r="K520" i="1"/>
  <c r="K525" i="1"/>
  <c r="K545" i="1"/>
  <c r="K532" i="1"/>
  <c r="K541" i="1"/>
  <c r="K522" i="1"/>
  <c r="K542" i="1"/>
  <c r="K538" i="1"/>
  <c r="K539" i="1"/>
  <c r="K548" i="1"/>
  <c r="K561" i="1"/>
  <c r="K553" i="1"/>
  <c r="K547" i="1"/>
  <c r="K543" i="1"/>
  <c r="K537" i="1"/>
  <c r="K521" i="1"/>
  <c r="K554" i="1"/>
  <c r="K534" i="1"/>
  <c r="K544" i="1"/>
  <c r="K533" i="1"/>
  <c r="K557" i="1"/>
  <c r="K555" i="1"/>
  <c r="K536" i="1"/>
  <c r="K526" i="1"/>
  <c r="K546" i="1"/>
  <c r="K562" i="1"/>
  <c r="K563" i="1"/>
  <c r="K528" i="1"/>
  <c r="K527" i="1"/>
  <c r="K556" i="1"/>
  <c r="K535" i="1"/>
  <c r="K529" i="1"/>
  <c r="K558" i="1"/>
  <c r="K559" i="1"/>
  <c r="K560" i="1"/>
  <c r="K564" i="1"/>
  <c r="K523" i="1"/>
  <c r="K581" i="1"/>
  <c r="K612" i="1"/>
  <c r="K629" i="1"/>
  <c r="K613" i="1"/>
  <c r="K580" i="1"/>
  <c r="K614" i="1"/>
  <c r="K568" i="1"/>
  <c r="K600" i="1"/>
  <c r="K590" i="1"/>
  <c r="K630" i="1"/>
  <c r="K582" i="1"/>
  <c r="K615" i="1"/>
  <c r="K574" i="1"/>
  <c r="K597" i="1"/>
  <c r="K604" i="1"/>
  <c r="K599" i="1"/>
  <c r="K616" i="1"/>
  <c r="K593" i="1"/>
  <c r="K617" i="1"/>
  <c r="K566" i="1"/>
  <c r="K575" i="1"/>
  <c r="K596" i="1"/>
  <c r="K572" i="1"/>
  <c r="K618" i="1"/>
  <c r="K609" i="1"/>
  <c r="K576" i="1"/>
  <c r="K601" i="1"/>
  <c r="K588" i="1"/>
  <c r="K611" i="1"/>
  <c r="K602" i="1"/>
  <c r="K605" i="1"/>
  <c r="K598" i="1"/>
  <c r="K591" i="1"/>
  <c r="K587" i="1"/>
  <c r="K619" i="1"/>
  <c r="K620" i="1"/>
  <c r="K607" i="1"/>
  <c r="K589" i="1"/>
  <c r="K577" i="1"/>
  <c r="K608" i="1"/>
  <c r="K621" i="1"/>
  <c r="K565" i="1"/>
  <c r="K622" i="1"/>
  <c r="K583" i="1"/>
  <c r="K623" i="1"/>
  <c r="K624" i="1"/>
  <c r="K592" i="1"/>
  <c r="K585" i="1"/>
  <c r="K573" i="1"/>
  <c r="K625" i="1"/>
  <c r="K603" i="1"/>
  <c r="K578" i="1"/>
  <c r="K586" i="1"/>
  <c r="K567" i="1"/>
  <c r="K584" i="1"/>
  <c r="K570" i="1"/>
  <c r="K628" i="1"/>
  <c r="K626" i="1"/>
  <c r="K579" i="1"/>
  <c r="K627" i="1"/>
  <c r="K606" i="1"/>
  <c r="K594" i="1"/>
  <c r="K571" i="1"/>
  <c r="K595" i="1"/>
  <c r="K569" i="1"/>
  <c r="K631" i="1"/>
  <c r="K610" i="1"/>
  <c r="K632" i="1"/>
  <c r="K633" i="1"/>
  <c r="K720" i="1"/>
  <c r="K730" i="1"/>
  <c r="K676" i="1"/>
  <c r="K653" i="1"/>
  <c r="K704" i="1"/>
  <c r="K731" i="1"/>
  <c r="K732" i="1"/>
  <c r="K733" i="1"/>
  <c r="K734" i="1"/>
  <c r="K735" i="1"/>
  <c r="K736" i="1"/>
  <c r="K794" i="1"/>
  <c r="K657" i="1"/>
  <c r="K737" i="1"/>
  <c r="K738" i="1"/>
  <c r="K739" i="1"/>
  <c r="K740" i="1"/>
  <c r="K698" i="1"/>
  <c r="K741" i="1"/>
  <c r="K695" i="1"/>
  <c r="K742" i="1"/>
  <c r="K694" i="1"/>
  <c r="K712" i="1"/>
  <c r="K700" i="1"/>
  <c r="K723" i="1"/>
  <c r="K696" i="1"/>
  <c r="K691" i="1"/>
  <c r="K711" i="1"/>
  <c r="K743" i="1"/>
  <c r="K699" i="1"/>
  <c r="K795" i="1"/>
  <c r="K721" i="1"/>
  <c r="K796" i="1"/>
  <c r="K669" i="1"/>
  <c r="K717" i="1"/>
  <c r="K724" i="1"/>
  <c r="K710" i="1"/>
  <c r="K641" i="1"/>
  <c r="K715" i="1"/>
  <c r="K744" i="1"/>
  <c r="K643" i="1"/>
  <c r="K697" i="1"/>
  <c r="K642" i="1"/>
  <c r="K637" i="1"/>
  <c r="K682" i="1"/>
  <c r="K673" i="1"/>
  <c r="K685" i="1"/>
  <c r="K745" i="1"/>
  <c r="K634" i="1"/>
  <c r="K680" i="1"/>
  <c r="K651" i="1"/>
  <c r="K797" i="1"/>
  <c r="K746" i="1"/>
  <c r="K663" i="1"/>
  <c r="K690" i="1"/>
  <c r="K640" i="1"/>
  <c r="K747" i="1"/>
  <c r="K725" i="1"/>
  <c r="K659" i="1"/>
  <c r="K749" i="1"/>
  <c r="K665" i="1"/>
  <c r="K714" i="1"/>
  <c r="K718" i="1"/>
  <c r="K750" i="1"/>
  <c r="K748" i="1"/>
  <c r="K719" i="1"/>
  <c r="K726" i="1"/>
  <c r="K751" i="1"/>
  <c r="K798" i="1"/>
  <c r="K677" i="1"/>
  <c r="K752" i="1"/>
  <c r="K799" i="1"/>
  <c r="K678" i="1"/>
  <c r="K800" i="1"/>
  <c r="K666" i="1"/>
  <c r="K801" i="1"/>
  <c r="K802" i="1"/>
  <c r="K672" i="1"/>
  <c r="K728" i="1"/>
  <c r="K671" i="1"/>
  <c r="K650" i="1"/>
  <c r="K803" i="1"/>
  <c r="K753" i="1"/>
  <c r="K658" i="1"/>
  <c r="K754" i="1"/>
  <c r="K688" i="1"/>
  <c r="K755" i="1"/>
  <c r="K756" i="1"/>
  <c r="K757" i="1"/>
  <c r="K662" i="1"/>
  <c r="K644" i="1"/>
  <c r="K638" i="1"/>
  <c r="K758" i="1"/>
  <c r="K804" i="1"/>
  <c r="K759" i="1"/>
  <c r="K805" i="1"/>
  <c r="K661" i="1"/>
  <c r="K652" i="1"/>
  <c r="K760" i="1"/>
  <c r="K635" i="1"/>
  <c r="K692" i="1"/>
  <c r="K647" i="1"/>
  <c r="K806" i="1"/>
  <c r="K761" i="1"/>
  <c r="K705" i="1"/>
  <c r="K675" i="1"/>
  <c r="K729" i="1"/>
  <c r="K713" i="1"/>
  <c r="K762" i="1"/>
  <c r="K763" i="1"/>
  <c r="K648" i="1"/>
  <c r="K764" i="1"/>
  <c r="K722" i="1"/>
  <c r="K765" i="1"/>
  <c r="K708" i="1"/>
  <c r="K709" i="1"/>
  <c r="K655" i="1"/>
  <c r="K636" i="1"/>
  <c r="K668" i="1"/>
  <c r="K807" i="1"/>
  <c r="K766" i="1"/>
  <c r="K674" i="1"/>
  <c r="K707" i="1"/>
  <c r="K767" i="1"/>
  <c r="K768" i="1"/>
  <c r="K769" i="1"/>
  <c r="K770" i="1"/>
  <c r="K771" i="1"/>
  <c r="K772" i="1"/>
  <c r="K679" i="1"/>
  <c r="K706" i="1"/>
  <c r="K808" i="1"/>
  <c r="K809" i="1"/>
  <c r="K773" i="1"/>
  <c r="K774" i="1"/>
  <c r="K670" i="1"/>
  <c r="K701" i="1"/>
  <c r="K775" i="1"/>
  <c r="K684" i="1"/>
  <c r="K776" i="1"/>
  <c r="K777" i="1"/>
  <c r="K656" i="1"/>
  <c r="K686" i="1"/>
  <c r="K660" i="1"/>
  <c r="K810" i="1"/>
  <c r="K778" i="1"/>
  <c r="K649" i="1"/>
  <c r="K779" i="1"/>
  <c r="K811" i="1"/>
  <c r="K780" i="1"/>
  <c r="K716" i="1"/>
  <c r="K812" i="1"/>
  <c r="K781" i="1"/>
  <c r="K782" i="1"/>
  <c r="K783" i="1"/>
  <c r="K683" i="1"/>
  <c r="K693" i="1"/>
  <c r="K784" i="1"/>
  <c r="K646" i="1"/>
  <c r="K687" i="1"/>
  <c r="K703" i="1"/>
  <c r="K785" i="1"/>
  <c r="K667" i="1"/>
  <c r="K786" i="1"/>
  <c r="K787" i="1"/>
  <c r="K645" i="1"/>
  <c r="K788" i="1"/>
  <c r="K664" i="1"/>
  <c r="K789" i="1"/>
  <c r="K790" i="1"/>
  <c r="K791" i="1"/>
  <c r="K792" i="1"/>
  <c r="K793" i="1"/>
  <c r="K816" i="1"/>
  <c r="K817" i="1"/>
  <c r="K702" i="1"/>
  <c r="K681" i="1"/>
  <c r="K814" i="1"/>
  <c r="K813" i="1"/>
  <c r="K818" i="1"/>
  <c r="K815" i="1"/>
  <c r="K727" i="1"/>
  <c r="K689" i="1"/>
  <c r="K819" i="1"/>
  <c r="K654" i="1"/>
  <c r="K639" i="1"/>
  <c r="K1250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3" i="1"/>
  <c r="K844" i="1"/>
  <c r="K846" i="1"/>
  <c r="K848" i="1"/>
  <c r="K849" i="1"/>
  <c r="K842" i="1"/>
  <c r="K845" i="1"/>
  <c r="K850" i="1"/>
  <c r="K847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3" i="1"/>
  <c r="K1154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80" i="1"/>
  <c r="K1181" i="1"/>
  <c r="K1182" i="1"/>
  <c r="K1183" i="1"/>
  <c r="K1184" i="1"/>
  <c r="K1185" i="1"/>
  <c r="K1186" i="1"/>
  <c r="K1187" i="1"/>
  <c r="K1188" i="1"/>
  <c r="K1189" i="1"/>
  <c r="K1190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4" i="1"/>
  <c r="K1226" i="1"/>
  <c r="K1228" i="1"/>
  <c r="K1229" i="1"/>
  <c r="K1230" i="1"/>
  <c r="K1231" i="1"/>
  <c r="K1232" i="1"/>
  <c r="K1233" i="1"/>
  <c r="K1234" i="1"/>
  <c r="K1235" i="1"/>
  <c r="K1236" i="1"/>
  <c r="K1238" i="1"/>
  <c r="K1239" i="1"/>
  <c r="K1240" i="1"/>
  <c r="K1241" i="1"/>
  <c r="K1243" i="1"/>
  <c r="K1245" i="1"/>
  <c r="K1246" i="1"/>
  <c r="K1247" i="1"/>
  <c r="K1248" i="1"/>
  <c r="K1249" i="1"/>
  <c r="K869" i="1"/>
  <c r="K942" i="1"/>
  <c r="K1050" i="1"/>
  <c r="K1100" i="1"/>
  <c r="K1152" i="1"/>
  <c r="K1155" i="1"/>
  <c r="K1179" i="1"/>
  <c r="K1191" i="1"/>
  <c r="K1207" i="1"/>
  <c r="K1208" i="1"/>
  <c r="K1223" i="1"/>
  <c r="K1225" i="1"/>
  <c r="K1227" i="1"/>
  <c r="K1237" i="1"/>
  <c r="K1242" i="1"/>
  <c r="K124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30" i="1"/>
  <c r="J32" i="1"/>
  <c r="J34" i="1"/>
  <c r="J33" i="1"/>
  <c r="J35" i="1"/>
  <c r="J36" i="1"/>
  <c r="J37" i="1"/>
  <c r="J38" i="1"/>
  <c r="J39" i="1"/>
  <c r="J40" i="1"/>
  <c r="J41" i="1"/>
  <c r="J42" i="1"/>
  <c r="J43" i="1"/>
  <c r="J44" i="1"/>
  <c r="J45" i="1"/>
  <c r="J47" i="1"/>
  <c r="J46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8" i="1"/>
  <c r="J69" i="1"/>
  <c r="J70" i="1"/>
  <c r="J71" i="1"/>
  <c r="J72" i="1"/>
  <c r="J73" i="1"/>
  <c r="J74" i="1"/>
  <c r="J75" i="1"/>
  <c r="J76" i="1"/>
  <c r="J78" i="1"/>
  <c r="J77" i="1"/>
  <c r="J79" i="1"/>
  <c r="J80" i="1"/>
  <c r="J81" i="1"/>
  <c r="J82" i="1"/>
  <c r="J83" i="1"/>
  <c r="J84" i="1"/>
  <c r="J87" i="1"/>
  <c r="J86" i="1"/>
  <c r="J89" i="1"/>
  <c r="J88" i="1"/>
  <c r="J90" i="1"/>
  <c r="J91" i="1"/>
  <c r="J92" i="1"/>
  <c r="J93" i="1"/>
  <c r="J94" i="1"/>
  <c r="J97" i="1"/>
  <c r="J95" i="1"/>
  <c r="J96" i="1"/>
  <c r="J99" i="1"/>
  <c r="J100" i="1"/>
  <c r="J103" i="1"/>
  <c r="J101" i="1"/>
  <c r="J102" i="1"/>
  <c r="J104" i="1"/>
  <c r="J105" i="1"/>
  <c r="J106" i="1"/>
  <c r="J107" i="1"/>
  <c r="J108" i="1"/>
  <c r="J109" i="1"/>
  <c r="J110" i="1"/>
  <c r="J111" i="1"/>
  <c r="J113" i="1"/>
  <c r="J115" i="1"/>
  <c r="J114" i="1"/>
  <c r="J117" i="1"/>
  <c r="J116" i="1"/>
  <c r="J118" i="1"/>
  <c r="J121" i="1"/>
  <c r="J119" i="1"/>
  <c r="J122" i="1"/>
  <c r="J123" i="1"/>
  <c r="J124" i="1"/>
  <c r="J125" i="1"/>
  <c r="J126" i="1"/>
  <c r="J127" i="1"/>
  <c r="J129" i="1"/>
  <c r="J128" i="1"/>
  <c r="J131" i="1"/>
  <c r="J132" i="1"/>
  <c r="J134" i="1"/>
  <c r="J135" i="1"/>
  <c r="J133" i="1"/>
  <c r="J137" i="1"/>
  <c r="J138" i="1"/>
  <c r="J139" i="1"/>
  <c r="J140" i="1"/>
  <c r="J141" i="1"/>
  <c r="J142" i="1"/>
  <c r="J144" i="1"/>
  <c r="J143" i="1"/>
  <c r="J145" i="1"/>
  <c r="J146" i="1"/>
  <c r="J147" i="1"/>
  <c r="J148" i="1"/>
  <c r="J149" i="1"/>
  <c r="J151" i="1"/>
  <c r="J150" i="1"/>
  <c r="J152" i="1"/>
  <c r="J153" i="1"/>
  <c r="J154" i="1"/>
  <c r="J156" i="1"/>
  <c r="J155" i="1"/>
  <c r="J158" i="1"/>
  <c r="J157" i="1"/>
  <c r="J160" i="1"/>
  <c r="J159" i="1"/>
  <c r="J164" i="1"/>
  <c r="J167" i="1"/>
  <c r="J166" i="1"/>
  <c r="J165" i="1"/>
  <c r="J168" i="1"/>
  <c r="J170" i="1"/>
  <c r="J169" i="1"/>
  <c r="J172" i="1"/>
  <c r="J173" i="1"/>
  <c r="J175" i="1"/>
  <c r="J176" i="1"/>
  <c r="J177" i="1"/>
  <c r="J179" i="1"/>
  <c r="J180" i="1"/>
  <c r="J183" i="1"/>
  <c r="J184" i="1"/>
  <c r="J186" i="1"/>
  <c r="J187" i="1"/>
  <c r="J188" i="1"/>
  <c r="J191" i="1"/>
  <c r="J192" i="1"/>
  <c r="J194" i="1"/>
  <c r="J195" i="1"/>
  <c r="J198" i="1"/>
  <c r="J199" i="1"/>
  <c r="J197" i="1"/>
  <c r="J200" i="1"/>
  <c r="J204" i="1"/>
  <c r="J205" i="1"/>
  <c r="J202" i="1"/>
  <c r="J209" i="1"/>
  <c r="J210" i="1"/>
  <c r="J212" i="1"/>
  <c r="J213" i="1"/>
  <c r="J215" i="1"/>
  <c r="J216" i="1"/>
  <c r="J217" i="1"/>
  <c r="J218" i="1"/>
  <c r="J219" i="1"/>
  <c r="J223" i="1"/>
  <c r="J222" i="1"/>
  <c r="J221" i="1"/>
  <c r="J224" i="1"/>
  <c r="J226" i="1"/>
  <c r="J228" i="1"/>
  <c r="J230" i="1"/>
  <c r="J232" i="1"/>
  <c r="J231" i="1"/>
  <c r="J235" i="1"/>
  <c r="J236" i="1"/>
  <c r="J29" i="1"/>
  <c r="J31" i="1"/>
  <c r="J85" i="1"/>
  <c r="J120" i="1"/>
  <c r="J130" i="1"/>
  <c r="J136" i="1"/>
  <c r="J161" i="1"/>
  <c r="J163" i="1"/>
  <c r="J162" i="1"/>
  <c r="J171" i="1"/>
  <c r="J174" i="1"/>
  <c r="J178" i="1"/>
  <c r="J182" i="1"/>
  <c r="J181" i="1"/>
  <c r="J185" i="1"/>
  <c r="J190" i="1"/>
  <c r="J189" i="1"/>
  <c r="J193" i="1"/>
  <c r="J196" i="1"/>
  <c r="J203" i="1"/>
  <c r="J208" i="1"/>
  <c r="J214" i="1"/>
  <c r="J220" i="1"/>
  <c r="J225" i="1"/>
  <c r="J233" i="1"/>
  <c r="J234" i="1"/>
  <c r="J246" i="1"/>
  <c r="J242" i="1"/>
  <c r="J251" i="1"/>
  <c r="J237" i="1"/>
  <c r="J249" i="1"/>
  <c r="J254" i="1"/>
  <c r="J244" i="1"/>
  <c r="J255" i="1"/>
  <c r="J248" i="1"/>
  <c r="J256" i="1"/>
  <c r="J252" i="1"/>
  <c r="J241" i="1"/>
  <c r="J239" i="1"/>
  <c r="J257" i="1"/>
  <c r="J250" i="1"/>
  <c r="J258" i="1"/>
  <c r="J240" i="1"/>
  <c r="J247" i="1"/>
  <c r="J259" i="1"/>
  <c r="J238" i="1"/>
  <c r="J284" i="1"/>
  <c r="J278" i="1"/>
  <c r="J287" i="1"/>
  <c r="J280" i="1"/>
  <c r="J273" i="1"/>
  <c r="J268" i="1"/>
  <c r="J279" i="1"/>
  <c r="J289" i="1"/>
  <c r="J281" i="1"/>
  <c r="J274" i="1"/>
  <c r="J269" i="1"/>
  <c r="J270" i="1"/>
  <c r="J271" i="1"/>
  <c r="J290" i="1"/>
  <c r="J291" i="1"/>
  <c r="J272" i="1"/>
  <c r="J277" i="1"/>
  <c r="J312" i="1"/>
  <c r="J316" i="1"/>
  <c r="J314" i="1"/>
  <c r="J292" i="1"/>
  <c r="J302" i="1"/>
  <c r="J317" i="1"/>
  <c r="J303" i="1"/>
  <c r="J304" i="1"/>
  <c r="J313" i="1"/>
  <c r="J318" i="1"/>
  <c r="J307" i="1"/>
  <c r="J309" i="1"/>
  <c r="J298" i="1"/>
  <c r="J306" i="1"/>
  <c r="J294" i="1"/>
  <c r="J293" i="1"/>
  <c r="J300" i="1"/>
  <c r="J308" i="1"/>
  <c r="J310" i="1"/>
  <c r="J301" i="1"/>
  <c r="J296" i="1"/>
  <c r="J347" i="1"/>
  <c r="J335" i="1"/>
  <c r="J328" i="1"/>
  <c r="J346" i="1"/>
  <c r="J327" i="1"/>
  <c r="J350" i="1"/>
  <c r="J344" i="1"/>
  <c r="J351" i="1"/>
  <c r="J352" i="1"/>
  <c r="J353" i="1"/>
  <c r="J354" i="1"/>
  <c r="J336" i="1"/>
  <c r="J342" i="1"/>
  <c r="J337" i="1"/>
  <c r="J340" i="1"/>
  <c r="J329" i="1"/>
  <c r="J333" i="1"/>
  <c r="J330" i="1"/>
  <c r="J341" i="1"/>
  <c r="J332" i="1"/>
  <c r="J343" i="1"/>
  <c r="J338" i="1"/>
  <c r="J404" i="1"/>
  <c r="J385" i="1"/>
  <c r="J398" i="1"/>
  <c r="J421" i="1"/>
  <c r="J417" i="1"/>
  <c r="J418" i="1"/>
  <c r="J375" i="1"/>
  <c r="J389" i="1"/>
  <c r="J401" i="1"/>
  <c r="J393" i="1"/>
  <c r="J409" i="1"/>
  <c r="J357" i="1"/>
  <c r="J366" i="1"/>
  <c r="J372" i="1"/>
  <c r="J423" i="1"/>
  <c r="J403" i="1"/>
  <c r="J384" i="1"/>
  <c r="J358" i="1"/>
  <c r="J360" i="1"/>
  <c r="J413" i="1"/>
  <c r="J424" i="1"/>
  <c r="J391" i="1"/>
  <c r="J402" i="1"/>
  <c r="J394" i="1"/>
  <c r="J382" i="1"/>
  <c r="J383" i="1"/>
  <c r="J407" i="1"/>
  <c r="J359" i="1"/>
  <c r="J377" i="1"/>
  <c r="J376" i="1"/>
  <c r="J361" i="1"/>
  <c r="J399" i="1"/>
  <c r="J392" i="1"/>
  <c r="J427" i="1"/>
  <c r="J373" i="1"/>
  <c r="J368" i="1"/>
  <c r="J428" i="1"/>
  <c r="J410" i="1"/>
  <c r="J397" i="1"/>
  <c r="J388" i="1"/>
  <c r="J405" i="1"/>
  <c r="J371" i="1"/>
  <c r="J416" i="1"/>
  <c r="J386" i="1"/>
  <c r="J387" i="1"/>
  <c r="J365" i="1"/>
  <c r="J430" i="1"/>
  <c r="J470" i="1"/>
  <c r="J451" i="1"/>
  <c r="J447" i="1"/>
  <c r="J458" i="1"/>
  <c r="J459" i="1"/>
  <c r="J446" i="1"/>
  <c r="J448" i="1"/>
  <c r="J460" i="1"/>
  <c r="J444" i="1"/>
  <c r="J468" i="1"/>
  <c r="J433" i="1"/>
  <c r="J435" i="1"/>
  <c r="J432" i="1"/>
  <c r="J436" i="1"/>
  <c r="J462" i="1"/>
  <c r="J479" i="1"/>
  <c r="J472" i="1"/>
  <c r="J469" i="1"/>
  <c r="J452" i="1"/>
  <c r="J461" i="1"/>
  <c r="J475" i="1"/>
  <c r="J454" i="1"/>
  <c r="J477" i="1"/>
  <c r="J456" i="1"/>
  <c r="J476" i="1"/>
  <c r="J464" i="1"/>
  <c r="J480" i="1"/>
  <c r="J465" i="1"/>
  <c r="J439" i="1"/>
  <c r="J455" i="1"/>
  <c r="J443" i="1"/>
  <c r="J441" i="1"/>
  <c r="J434" i="1"/>
  <c r="J467" i="1"/>
  <c r="J473" i="1"/>
  <c r="J457" i="1"/>
  <c r="J437" i="1"/>
  <c r="J450" i="1"/>
  <c r="J463" i="1"/>
  <c r="J466" i="1"/>
  <c r="J481" i="1"/>
  <c r="J474" i="1"/>
  <c r="J471" i="1"/>
  <c r="J442" i="1"/>
  <c r="J453" i="1"/>
  <c r="J438" i="1"/>
  <c r="J445" i="1"/>
  <c r="J449" i="1"/>
  <c r="J431" i="1"/>
  <c r="J440" i="1"/>
  <c r="J478" i="1"/>
  <c r="J98" i="1"/>
  <c r="J206" i="1"/>
  <c r="J245" i="1"/>
  <c r="J253" i="1"/>
  <c r="J243" i="1"/>
  <c r="J286" i="1"/>
  <c r="J283" i="1"/>
  <c r="J288" i="1"/>
  <c r="J275" i="1"/>
  <c r="J267" i="1"/>
  <c r="J285" i="1"/>
  <c r="J299" i="1"/>
  <c r="J305" i="1"/>
  <c r="J348" i="1"/>
  <c r="J334" i="1"/>
  <c r="J356" i="1"/>
  <c r="J331" i="1"/>
  <c r="J363" i="1"/>
  <c r="J420" i="1"/>
  <c r="J374" i="1"/>
  <c r="J414" i="1"/>
  <c r="J364" i="1"/>
  <c r="J362" i="1"/>
  <c r="J396" i="1"/>
  <c r="J400" i="1"/>
  <c r="J380" i="1"/>
  <c r="J406" i="1"/>
  <c r="J378" i="1"/>
  <c r="J497" i="1"/>
  <c r="J508" i="1"/>
  <c r="J488" i="1"/>
  <c r="J511" i="1"/>
  <c r="J482" i="1"/>
  <c r="J492" i="1"/>
  <c r="J486" i="1"/>
  <c r="J499" i="1"/>
  <c r="J495" i="1"/>
  <c r="J500" i="1"/>
  <c r="J516" i="1"/>
  <c r="J517" i="1"/>
  <c r="J501" i="1"/>
  <c r="J282" i="1"/>
  <c r="J297" i="1"/>
  <c r="J319" i="1"/>
  <c r="J345" i="1"/>
  <c r="J411" i="1"/>
  <c r="J506" i="1"/>
  <c r="J483" i="1"/>
  <c r="J487" i="1"/>
  <c r="J496" i="1"/>
  <c r="J493" i="1"/>
  <c r="J490" i="1"/>
  <c r="J484" i="1"/>
  <c r="J489" i="1"/>
  <c r="J513" i="1"/>
  <c r="J67" i="1"/>
  <c r="J201" i="1"/>
  <c r="J211" i="1"/>
  <c r="J276" i="1"/>
  <c r="J315" i="1"/>
  <c r="J311" i="1"/>
  <c r="J295" i="1"/>
  <c r="J339" i="1"/>
  <c r="J349" i="1"/>
  <c r="J355" i="1"/>
  <c r="J395" i="1"/>
  <c r="J419" i="1"/>
  <c r="J426" i="1"/>
  <c r="J381" i="1"/>
  <c r="J370" i="1"/>
  <c r="J491" i="1"/>
  <c r="J503" i="1"/>
  <c r="J498" i="1"/>
  <c r="J485" i="1"/>
  <c r="J512" i="1"/>
  <c r="J505" i="1"/>
  <c r="J519" i="1"/>
  <c r="J112" i="1"/>
  <c r="J207" i="1"/>
  <c r="J227" i="1"/>
  <c r="J229" i="1"/>
  <c r="J263" i="1"/>
  <c r="J261" i="1"/>
  <c r="J264" i="1"/>
  <c r="J260" i="1"/>
  <c r="J265" i="1"/>
  <c r="J266" i="1"/>
  <c r="J262" i="1"/>
  <c r="J320" i="1"/>
  <c r="J322" i="1"/>
  <c r="J325" i="1"/>
  <c r="J323" i="1"/>
  <c r="J324" i="1"/>
  <c r="J321" i="1"/>
  <c r="J326" i="1"/>
  <c r="J415" i="1"/>
  <c r="J379" i="1"/>
  <c r="J412" i="1"/>
  <c r="J422" i="1"/>
  <c r="J369" i="1"/>
  <c r="J367" i="1"/>
  <c r="J408" i="1"/>
  <c r="J390" i="1"/>
  <c r="J425" i="1"/>
  <c r="J429" i="1"/>
  <c r="J504" i="1"/>
  <c r="J515" i="1"/>
  <c r="J502" i="1"/>
  <c r="J507" i="1"/>
  <c r="J494" i="1"/>
  <c r="J510" i="1"/>
  <c r="J514" i="1"/>
  <c r="J509" i="1"/>
  <c r="J518" i="1"/>
  <c r="J549" i="1"/>
  <c r="J550" i="1"/>
  <c r="J531" i="1"/>
  <c r="J551" i="1"/>
  <c r="J552" i="1"/>
  <c r="J540" i="1"/>
  <c r="J524" i="1"/>
  <c r="J530" i="1"/>
  <c r="J520" i="1"/>
  <c r="J525" i="1"/>
  <c r="J545" i="1"/>
  <c r="J532" i="1"/>
  <c r="J541" i="1"/>
  <c r="J522" i="1"/>
  <c r="J542" i="1"/>
  <c r="J538" i="1"/>
  <c r="J539" i="1"/>
  <c r="J548" i="1"/>
  <c r="J561" i="1"/>
  <c r="J553" i="1"/>
  <c r="J547" i="1"/>
  <c r="J543" i="1"/>
  <c r="J537" i="1"/>
  <c r="J521" i="1"/>
  <c r="J554" i="1"/>
  <c r="J534" i="1"/>
  <c r="J544" i="1"/>
  <c r="J533" i="1"/>
  <c r="J557" i="1"/>
  <c r="J555" i="1"/>
  <c r="J536" i="1"/>
  <c r="J526" i="1"/>
  <c r="J546" i="1"/>
  <c r="J562" i="1"/>
  <c r="J563" i="1"/>
  <c r="J528" i="1"/>
  <c r="J527" i="1"/>
  <c r="J556" i="1"/>
  <c r="J535" i="1"/>
  <c r="J529" i="1"/>
  <c r="J558" i="1"/>
  <c r="J559" i="1"/>
  <c r="J560" i="1"/>
  <c r="J564" i="1"/>
  <c r="J523" i="1"/>
  <c r="J581" i="1"/>
  <c r="J612" i="1"/>
  <c r="J629" i="1"/>
  <c r="J613" i="1"/>
  <c r="J580" i="1"/>
  <c r="J614" i="1"/>
  <c r="J568" i="1"/>
  <c r="J600" i="1"/>
  <c r="J590" i="1"/>
  <c r="J630" i="1"/>
  <c r="J582" i="1"/>
  <c r="J615" i="1"/>
  <c r="J574" i="1"/>
  <c r="J597" i="1"/>
  <c r="J604" i="1"/>
  <c r="J599" i="1"/>
  <c r="J616" i="1"/>
  <c r="J593" i="1"/>
  <c r="J617" i="1"/>
  <c r="J566" i="1"/>
  <c r="J575" i="1"/>
  <c r="J596" i="1"/>
  <c r="J572" i="1"/>
  <c r="J618" i="1"/>
  <c r="J609" i="1"/>
  <c r="J576" i="1"/>
  <c r="J601" i="1"/>
  <c r="J588" i="1"/>
  <c r="J611" i="1"/>
  <c r="J602" i="1"/>
  <c r="J605" i="1"/>
  <c r="J598" i="1"/>
  <c r="J591" i="1"/>
  <c r="J587" i="1"/>
  <c r="J619" i="1"/>
  <c r="J620" i="1"/>
  <c r="J607" i="1"/>
  <c r="J589" i="1"/>
  <c r="J577" i="1"/>
  <c r="J608" i="1"/>
  <c r="J621" i="1"/>
  <c r="J565" i="1"/>
  <c r="J622" i="1"/>
  <c r="J583" i="1"/>
  <c r="J623" i="1"/>
  <c r="J624" i="1"/>
  <c r="J592" i="1"/>
  <c r="J585" i="1"/>
  <c r="J573" i="1"/>
  <c r="J625" i="1"/>
  <c r="J603" i="1"/>
  <c r="J578" i="1"/>
  <c r="J586" i="1"/>
  <c r="J567" i="1"/>
  <c r="J584" i="1"/>
  <c r="J570" i="1"/>
  <c r="J628" i="1"/>
  <c r="J626" i="1"/>
  <c r="J579" i="1"/>
  <c r="J627" i="1"/>
  <c r="J606" i="1"/>
  <c r="J594" i="1"/>
  <c r="J571" i="1"/>
  <c r="J595" i="1"/>
  <c r="J569" i="1"/>
  <c r="J631" i="1"/>
  <c r="J610" i="1"/>
  <c r="J632" i="1"/>
  <c r="J633" i="1"/>
  <c r="J720" i="1"/>
  <c r="J730" i="1"/>
  <c r="J676" i="1"/>
  <c r="J653" i="1"/>
  <c r="J704" i="1"/>
  <c r="J731" i="1"/>
  <c r="J732" i="1"/>
  <c r="J733" i="1"/>
  <c r="J734" i="1"/>
  <c r="J735" i="1"/>
  <c r="J736" i="1"/>
  <c r="J794" i="1"/>
  <c r="J657" i="1"/>
  <c r="J737" i="1"/>
  <c r="J738" i="1"/>
  <c r="J739" i="1"/>
  <c r="J740" i="1"/>
  <c r="J698" i="1"/>
  <c r="J741" i="1"/>
  <c r="J695" i="1"/>
  <c r="J742" i="1"/>
  <c r="J694" i="1"/>
  <c r="J712" i="1"/>
  <c r="J700" i="1"/>
  <c r="J723" i="1"/>
  <c r="J696" i="1"/>
  <c r="J691" i="1"/>
  <c r="J711" i="1"/>
  <c r="J743" i="1"/>
  <c r="J699" i="1"/>
  <c r="J795" i="1"/>
  <c r="J721" i="1"/>
  <c r="J796" i="1"/>
  <c r="J669" i="1"/>
  <c r="J717" i="1"/>
  <c r="J724" i="1"/>
  <c r="J710" i="1"/>
  <c r="J641" i="1"/>
  <c r="J715" i="1"/>
  <c r="J744" i="1"/>
  <c r="J643" i="1"/>
  <c r="J697" i="1"/>
  <c r="J642" i="1"/>
  <c r="J637" i="1"/>
  <c r="J682" i="1"/>
  <c r="J673" i="1"/>
  <c r="J685" i="1"/>
  <c r="J745" i="1"/>
  <c r="J634" i="1"/>
  <c r="J680" i="1"/>
  <c r="J651" i="1"/>
  <c r="J797" i="1"/>
  <c r="J746" i="1"/>
  <c r="J663" i="1"/>
  <c r="J690" i="1"/>
  <c r="J640" i="1"/>
  <c r="J747" i="1"/>
  <c r="J725" i="1"/>
  <c r="J659" i="1"/>
  <c r="J749" i="1"/>
  <c r="J665" i="1"/>
  <c r="J714" i="1"/>
  <c r="J718" i="1"/>
  <c r="J750" i="1"/>
  <c r="J748" i="1"/>
  <c r="J719" i="1"/>
  <c r="J726" i="1"/>
  <c r="J751" i="1"/>
  <c r="J798" i="1"/>
  <c r="J677" i="1"/>
  <c r="J752" i="1"/>
  <c r="J799" i="1"/>
  <c r="J678" i="1"/>
  <c r="J800" i="1"/>
  <c r="J666" i="1"/>
  <c r="J801" i="1"/>
  <c r="J802" i="1"/>
  <c r="J672" i="1"/>
  <c r="J728" i="1"/>
  <c r="J671" i="1"/>
  <c r="J650" i="1"/>
  <c r="J803" i="1"/>
  <c r="J753" i="1"/>
  <c r="J658" i="1"/>
  <c r="J754" i="1"/>
  <c r="J688" i="1"/>
  <c r="J755" i="1"/>
  <c r="J756" i="1"/>
  <c r="J757" i="1"/>
  <c r="J662" i="1"/>
  <c r="J644" i="1"/>
  <c r="J638" i="1"/>
  <c r="J758" i="1"/>
  <c r="J804" i="1"/>
  <c r="J759" i="1"/>
  <c r="J805" i="1"/>
  <c r="J661" i="1"/>
  <c r="J652" i="1"/>
  <c r="J760" i="1"/>
  <c r="J635" i="1"/>
  <c r="J692" i="1"/>
  <c r="J647" i="1"/>
  <c r="J806" i="1"/>
  <c r="J761" i="1"/>
  <c r="J705" i="1"/>
  <c r="J675" i="1"/>
  <c r="J729" i="1"/>
  <c r="J713" i="1"/>
  <c r="J762" i="1"/>
  <c r="J763" i="1"/>
  <c r="J648" i="1"/>
  <c r="J764" i="1"/>
  <c r="J722" i="1"/>
  <c r="J765" i="1"/>
  <c r="J708" i="1"/>
  <c r="J709" i="1"/>
  <c r="J655" i="1"/>
  <c r="J636" i="1"/>
  <c r="J668" i="1"/>
  <c r="J807" i="1"/>
  <c r="J766" i="1"/>
  <c r="J674" i="1"/>
  <c r="J707" i="1"/>
  <c r="J767" i="1"/>
  <c r="J768" i="1"/>
  <c r="J769" i="1"/>
  <c r="J770" i="1"/>
  <c r="J771" i="1"/>
  <c r="J772" i="1"/>
  <c r="J679" i="1"/>
  <c r="J706" i="1"/>
  <c r="J808" i="1"/>
  <c r="J809" i="1"/>
  <c r="J773" i="1"/>
  <c r="J774" i="1"/>
  <c r="J670" i="1"/>
  <c r="J701" i="1"/>
  <c r="J775" i="1"/>
  <c r="J684" i="1"/>
  <c r="J776" i="1"/>
  <c r="J777" i="1"/>
  <c r="J656" i="1"/>
  <c r="J686" i="1"/>
  <c r="J660" i="1"/>
  <c r="J810" i="1"/>
  <c r="J778" i="1"/>
  <c r="J649" i="1"/>
  <c r="J779" i="1"/>
  <c r="J811" i="1"/>
  <c r="J780" i="1"/>
  <c r="J716" i="1"/>
  <c r="J812" i="1"/>
  <c r="J781" i="1"/>
  <c r="J782" i="1"/>
  <c r="J783" i="1"/>
  <c r="J683" i="1"/>
  <c r="J693" i="1"/>
  <c r="J784" i="1"/>
  <c r="J646" i="1"/>
  <c r="J687" i="1"/>
  <c r="J703" i="1"/>
  <c r="J785" i="1"/>
  <c r="J667" i="1"/>
  <c r="J786" i="1"/>
  <c r="J787" i="1"/>
  <c r="J645" i="1"/>
  <c r="J788" i="1"/>
  <c r="J664" i="1"/>
  <c r="J789" i="1"/>
  <c r="J790" i="1"/>
  <c r="J791" i="1"/>
  <c r="J792" i="1"/>
  <c r="J793" i="1"/>
  <c r="J816" i="1"/>
  <c r="J817" i="1"/>
  <c r="J702" i="1"/>
  <c r="J681" i="1"/>
  <c r="J814" i="1"/>
  <c r="J813" i="1"/>
  <c r="J818" i="1"/>
  <c r="J815" i="1"/>
  <c r="J727" i="1"/>
  <c r="J689" i="1"/>
  <c r="J819" i="1"/>
  <c r="J654" i="1"/>
  <c r="J639" i="1"/>
  <c r="J1250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3" i="1"/>
  <c r="J844" i="1"/>
  <c r="J846" i="1"/>
  <c r="J848" i="1"/>
  <c r="J849" i="1"/>
  <c r="J842" i="1"/>
  <c r="J845" i="1"/>
  <c r="J850" i="1"/>
  <c r="J847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3" i="1"/>
  <c r="J1154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80" i="1"/>
  <c r="J1181" i="1"/>
  <c r="J1182" i="1"/>
  <c r="J1183" i="1"/>
  <c r="J1184" i="1"/>
  <c r="J1185" i="1"/>
  <c r="J1186" i="1"/>
  <c r="J1187" i="1"/>
  <c r="J1188" i="1"/>
  <c r="J1189" i="1"/>
  <c r="J1190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4" i="1"/>
  <c r="J1226" i="1"/>
  <c r="J1228" i="1"/>
  <c r="J1229" i="1"/>
  <c r="J1230" i="1"/>
  <c r="J1231" i="1"/>
  <c r="J1232" i="1"/>
  <c r="J1233" i="1"/>
  <c r="J1234" i="1"/>
  <c r="J1235" i="1"/>
  <c r="J1236" i="1"/>
  <c r="J1238" i="1"/>
  <c r="J1239" i="1"/>
  <c r="J1240" i="1"/>
  <c r="J1241" i="1"/>
  <c r="J1243" i="1"/>
  <c r="J1245" i="1"/>
  <c r="J1246" i="1"/>
  <c r="J1247" i="1"/>
  <c r="J1248" i="1"/>
  <c r="J1249" i="1"/>
  <c r="J869" i="1"/>
  <c r="J942" i="1"/>
  <c r="J1050" i="1"/>
  <c r="J1100" i="1"/>
  <c r="J1152" i="1"/>
  <c r="J1155" i="1"/>
  <c r="J1179" i="1"/>
  <c r="J1191" i="1"/>
  <c r="J1207" i="1"/>
  <c r="J1208" i="1"/>
  <c r="J1223" i="1"/>
  <c r="J1225" i="1"/>
  <c r="J1227" i="1"/>
  <c r="J1237" i="1"/>
  <c r="J1242" i="1"/>
  <c r="J124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30" i="1"/>
  <c r="I32" i="1"/>
  <c r="I34" i="1"/>
  <c r="I33" i="1"/>
  <c r="I35" i="1"/>
  <c r="I36" i="1"/>
  <c r="I37" i="1"/>
  <c r="I38" i="1"/>
  <c r="I39" i="1"/>
  <c r="I40" i="1"/>
  <c r="I41" i="1"/>
  <c r="I42" i="1"/>
  <c r="I43" i="1"/>
  <c r="I44" i="1"/>
  <c r="I45" i="1"/>
  <c r="I47" i="1"/>
  <c r="I46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8" i="1"/>
  <c r="I69" i="1"/>
  <c r="I70" i="1"/>
  <c r="I71" i="1"/>
  <c r="I72" i="1"/>
  <c r="I73" i="1"/>
  <c r="I74" i="1"/>
  <c r="I75" i="1"/>
  <c r="I76" i="1"/>
  <c r="I78" i="1"/>
  <c r="I77" i="1"/>
  <c r="I79" i="1"/>
  <c r="I80" i="1"/>
  <c r="I81" i="1"/>
  <c r="I82" i="1"/>
  <c r="I83" i="1"/>
  <c r="I84" i="1"/>
  <c r="I87" i="1"/>
  <c r="I86" i="1"/>
  <c r="I89" i="1"/>
  <c r="I88" i="1"/>
  <c r="I90" i="1"/>
  <c r="I91" i="1"/>
  <c r="I92" i="1"/>
  <c r="I93" i="1"/>
  <c r="I94" i="1"/>
  <c r="I97" i="1"/>
  <c r="I95" i="1"/>
  <c r="I96" i="1"/>
  <c r="I99" i="1"/>
  <c r="I100" i="1"/>
  <c r="I103" i="1"/>
  <c r="I101" i="1"/>
  <c r="I102" i="1"/>
  <c r="I104" i="1"/>
  <c r="I105" i="1"/>
  <c r="I106" i="1"/>
  <c r="I107" i="1"/>
  <c r="I108" i="1"/>
  <c r="I109" i="1"/>
  <c r="I110" i="1"/>
  <c r="I111" i="1"/>
  <c r="I113" i="1"/>
  <c r="I115" i="1"/>
  <c r="I114" i="1"/>
  <c r="I117" i="1"/>
  <c r="I116" i="1"/>
  <c r="I118" i="1"/>
  <c r="I121" i="1"/>
  <c r="I119" i="1"/>
  <c r="I122" i="1"/>
  <c r="I123" i="1"/>
  <c r="I124" i="1"/>
  <c r="I125" i="1"/>
  <c r="I126" i="1"/>
  <c r="I127" i="1"/>
  <c r="I129" i="1"/>
  <c r="I128" i="1"/>
  <c r="I131" i="1"/>
  <c r="I132" i="1"/>
  <c r="I134" i="1"/>
  <c r="I135" i="1"/>
  <c r="I133" i="1"/>
  <c r="I137" i="1"/>
  <c r="I138" i="1"/>
  <c r="I139" i="1"/>
  <c r="I140" i="1"/>
  <c r="I141" i="1"/>
  <c r="I142" i="1"/>
  <c r="I144" i="1"/>
  <c r="I143" i="1"/>
  <c r="I145" i="1"/>
  <c r="I146" i="1"/>
  <c r="I147" i="1"/>
  <c r="I148" i="1"/>
  <c r="I149" i="1"/>
  <c r="I151" i="1"/>
  <c r="I150" i="1"/>
  <c r="I152" i="1"/>
  <c r="I153" i="1"/>
  <c r="I154" i="1"/>
  <c r="I156" i="1"/>
  <c r="I155" i="1"/>
  <c r="I158" i="1"/>
  <c r="I157" i="1"/>
  <c r="I160" i="1"/>
  <c r="I159" i="1"/>
  <c r="I164" i="1"/>
  <c r="I167" i="1"/>
  <c r="I166" i="1"/>
  <c r="I165" i="1"/>
  <c r="I168" i="1"/>
  <c r="I170" i="1"/>
  <c r="I169" i="1"/>
  <c r="I172" i="1"/>
  <c r="I173" i="1"/>
  <c r="I175" i="1"/>
  <c r="I176" i="1"/>
  <c r="I177" i="1"/>
  <c r="I179" i="1"/>
  <c r="I180" i="1"/>
  <c r="I183" i="1"/>
  <c r="I184" i="1"/>
  <c r="I186" i="1"/>
  <c r="I187" i="1"/>
  <c r="I188" i="1"/>
  <c r="I191" i="1"/>
  <c r="I192" i="1"/>
  <c r="I194" i="1"/>
  <c r="I195" i="1"/>
  <c r="I198" i="1"/>
  <c r="I199" i="1"/>
  <c r="I197" i="1"/>
  <c r="I200" i="1"/>
  <c r="I204" i="1"/>
  <c r="I205" i="1"/>
  <c r="I202" i="1"/>
  <c r="I209" i="1"/>
  <c r="I210" i="1"/>
  <c r="I212" i="1"/>
  <c r="I213" i="1"/>
  <c r="I215" i="1"/>
  <c r="I216" i="1"/>
  <c r="I217" i="1"/>
  <c r="I218" i="1"/>
  <c r="I219" i="1"/>
  <c r="I223" i="1"/>
  <c r="I222" i="1"/>
  <c r="I221" i="1"/>
  <c r="I224" i="1"/>
  <c r="I226" i="1"/>
  <c r="I228" i="1"/>
  <c r="I230" i="1"/>
  <c r="I232" i="1"/>
  <c r="I231" i="1"/>
  <c r="I235" i="1"/>
  <c r="I236" i="1"/>
  <c r="I29" i="1"/>
  <c r="I31" i="1"/>
  <c r="I85" i="1"/>
  <c r="I120" i="1"/>
  <c r="I130" i="1"/>
  <c r="I136" i="1"/>
  <c r="I161" i="1"/>
  <c r="I163" i="1"/>
  <c r="I162" i="1"/>
  <c r="I171" i="1"/>
  <c r="I174" i="1"/>
  <c r="I178" i="1"/>
  <c r="I182" i="1"/>
  <c r="I181" i="1"/>
  <c r="I185" i="1"/>
  <c r="I190" i="1"/>
  <c r="I189" i="1"/>
  <c r="I193" i="1"/>
  <c r="I196" i="1"/>
  <c r="I203" i="1"/>
  <c r="I208" i="1"/>
  <c r="I214" i="1"/>
  <c r="I220" i="1"/>
  <c r="I225" i="1"/>
  <c r="I233" i="1"/>
  <c r="I234" i="1"/>
  <c r="I246" i="1"/>
  <c r="I242" i="1"/>
  <c r="I251" i="1"/>
  <c r="I237" i="1"/>
  <c r="I249" i="1"/>
  <c r="I254" i="1"/>
  <c r="I244" i="1"/>
  <c r="I255" i="1"/>
  <c r="I248" i="1"/>
  <c r="I256" i="1"/>
  <c r="I252" i="1"/>
  <c r="I241" i="1"/>
  <c r="I239" i="1"/>
  <c r="I257" i="1"/>
  <c r="I250" i="1"/>
  <c r="I258" i="1"/>
  <c r="I240" i="1"/>
  <c r="I247" i="1"/>
  <c r="I259" i="1"/>
  <c r="I238" i="1"/>
  <c r="I284" i="1"/>
  <c r="I278" i="1"/>
  <c r="I287" i="1"/>
  <c r="I280" i="1"/>
  <c r="I273" i="1"/>
  <c r="I268" i="1"/>
  <c r="I279" i="1"/>
  <c r="I289" i="1"/>
  <c r="I281" i="1"/>
  <c r="I274" i="1"/>
  <c r="I269" i="1"/>
  <c r="I270" i="1"/>
  <c r="I271" i="1"/>
  <c r="I290" i="1"/>
  <c r="I291" i="1"/>
  <c r="I272" i="1"/>
  <c r="I277" i="1"/>
  <c r="I312" i="1"/>
  <c r="I316" i="1"/>
  <c r="I314" i="1"/>
  <c r="I292" i="1"/>
  <c r="I302" i="1"/>
  <c r="I317" i="1"/>
  <c r="I303" i="1"/>
  <c r="I304" i="1"/>
  <c r="I313" i="1"/>
  <c r="I318" i="1"/>
  <c r="I307" i="1"/>
  <c r="I309" i="1"/>
  <c r="I298" i="1"/>
  <c r="I306" i="1"/>
  <c r="I294" i="1"/>
  <c r="I293" i="1"/>
  <c r="I300" i="1"/>
  <c r="I308" i="1"/>
  <c r="I310" i="1"/>
  <c r="I301" i="1"/>
  <c r="I296" i="1"/>
  <c r="I347" i="1"/>
  <c r="I335" i="1"/>
  <c r="I328" i="1"/>
  <c r="I346" i="1"/>
  <c r="I327" i="1"/>
  <c r="I350" i="1"/>
  <c r="I344" i="1"/>
  <c r="I351" i="1"/>
  <c r="I352" i="1"/>
  <c r="I353" i="1"/>
  <c r="I354" i="1"/>
  <c r="I336" i="1"/>
  <c r="I342" i="1"/>
  <c r="I337" i="1"/>
  <c r="I340" i="1"/>
  <c r="I329" i="1"/>
  <c r="I333" i="1"/>
  <c r="I330" i="1"/>
  <c r="I341" i="1"/>
  <c r="I332" i="1"/>
  <c r="I343" i="1"/>
  <c r="I338" i="1"/>
  <c r="I404" i="1"/>
  <c r="I385" i="1"/>
  <c r="I398" i="1"/>
  <c r="I421" i="1"/>
  <c r="I417" i="1"/>
  <c r="I418" i="1"/>
  <c r="I375" i="1"/>
  <c r="I389" i="1"/>
  <c r="I401" i="1"/>
  <c r="I393" i="1"/>
  <c r="I409" i="1"/>
  <c r="I357" i="1"/>
  <c r="I366" i="1"/>
  <c r="I372" i="1"/>
  <c r="I423" i="1"/>
  <c r="I403" i="1"/>
  <c r="I384" i="1"/>
  <c r="I358" i="1"/>
  <c r="I360" i="1"/>
  <c r="I413" i="1"/>
  <c r="I424" i="1"/>
  <c r="I391" i="1"/>
  <c r="I402" i="1"/>
  <c r="I394" i="1"/>
  <c r="I382" i="1"/>
  <c r="I383" i="1"/>
  <c r="I407" i="1"/>
  <c r="I359" i="1"/>
  <c r="I377" i="1"/>
  <c r="I376" i="1"/>
  <c r="I361" i="1"/>
  <c r="I399" i="1"/>
  <c r="I392" i="1"/>
  <c r="I427" i="1"/>
  <c r="I373" i="1"/>
  <c r="I368" i="1"/>
  <c r="I428" i="1"/>
  <c r="I410" i="1"/>
  <c r="I397" i="1"/>
  <c r="I388" i="1"/>
  <c r="I405" i="1"/>
  <c r="I371" i="1"/>
  <c r="I416" i="1"/>
  <c r="I386" i="1"/>
  <c r="I387" i="1"/>
  <c r="I365" i="1"/>
  <c r="I430" i="1"/>
  <c r="I470" i="1"/>
  <c r="I451" i="1"/>
  <c r="I447" i="1"/>
  <c r="I458" i="1"/>
  <c r="I459" i="1"/>
  <c r="I446" i="1"/>
  <c r="I448" i="1"/>
  <c r="I460" i="1"/>
  <c r="I444" i="1"/>
  <c r="I468" i="1"/>
  <c r="I433" i="1"/>
  <c r="I435" i="1"/>
  <c r="I432" i="1"/>
  <c r="I436" i="1"/>
  <c r="I462" i="1"/>
  <c r="I479" i="1"/>
  <c r="I472" i="1"/>
  <c r="I469" i="1"/>
  <c r="I452" i="1"/>
  <c r="I461" i="1"/>
  <c r="I475" i="1"/>
  <c r="I454" i="1"/>
  <c r="I477" i="1"/>
  <c r="I456" i="1"/>
  <c r="I476" i="1"/>
  <c r="I464" i="1"/>
  <c r="I480" i="1"/>
  <c r="I465" i="1"/>
  <c r="I439" i="1"/>
  <c r="I455" i="1"/>
  <c r="I443" i="1"/>
  <c r="I441" i="1"/>
  <c r="I434" i="1"/>
  <c r="I467" i="1"/>
  <c r="I473" i="1"/>
  <c r="I457" i="1"/>
  <c r="I437" i="1"/>
  <c r="I450" i="1"/>
  <c r="I463" i="1"/>
  <c r="I466" i="1"/>
  <c r="I481" i="1"/>
  <c r="I474" i="1"/>
  <c r="I471" i="1"/>
  <c r="I442" i="1"/>
  <c r="I453" i="1"/>
  <c r="I438" i="1"/>
  <c r="I445" i="1"/>
  <c r="I449" i="1"/>
  <c r="I431" i="1"/>
  <c r="I440" i="1"/>
  <c r="I478" i="1"/>
  <c r="I98" i="1"/>
  <c r="I206" i="1"/>
  <c r="I245" i="1"/>
  <c r="I253" i="1"/>
  <c r="I243" i="1"/>
  <c r="I286" i="1"/>
  <c r="I283" i="1"/>
  <c r="I288" i="1"/>
  <c r="I275" i="1"/>
  <c r="I267" i="1"/>
  <c r="I285" i="1"/>
  <c r="I299" i="1"/>
  <c r="I305" i="1"/>
  <c r="I348" i="1"/>
  <c r="I334" i="1"/>
  <c r="I356" i="1"/>
  <c r="I331" i="1"/>
  <c r="I363" i="1"/>
  <c r="I420" i="1"/>
  <c r="I374" i="1"/>
  <c r="I414" i="1"/>
  <c r="I364" i="1"/>
  <c r="I362" i="1"/>
  <c r="I396" i="1"/>
  <c r="I400" i="1"/>
  <c r="I380" i="1"/>
  <c r="I406" i="1"/>
  <c r="I378" i="1"/>
  <c r="I497" i="1"/>
  <c r="I508" i="1"/>
  <c r="I488" i="1"/>
  <c r="I511" i="1"/>
  <c r="I482" i="1"/>
  <c r="I492" i="1"/>
  <c r="I486" i="1"/>
  <c r="I499" i="1"/>
  <c r="I495" i="1"/>
  <c r="I500" i="1"/>
  <c r="I516" i="1"/>
  <c r="I517" i="1"/>
  <c r="I501" i="1"/>
  <c r="I282" i="1"/>
  <c r="I297" i="1"/>
  <c r="I319" i="1"/>
  <c r="I345" i="1"/>
  <c r="I411" i="1"/>
  <c r="I506" i="1"/>
  <c r="I483" i="1"/>
  <c r="I487" i="1"/>
  <c r="I496" i="1"/>
  <c r="I493" i="1"/>
  <c r="I490" i="1"/>
  <c r="I484" i="1"/>
  <c r="I489" i="1"/>
  <c r="I513" i="1"/>
  <c r="I67" i="1"/>
  <c r="I201" i="1"/>
  <c r="I211" i="1"/>
  <c r="I276" i="1"/>
  <c r="I315" i="1"/>
  <c r="I311" i="1"/>
  <c r="I295" i="1"/>
  <c r="I339" i="1"/>
  <c r="I349" i="1"/>
  <c r="I355" i="1"/>
  <c r="I395" i="1"/>
  <c r="I419" i="1"/>
  <c r="I426" i="1"/>
  <c r="I381" i="1"/>
  <c r="I370" i="1"/>
  <c r="I491" i="1"/>
  <c r="I503" i="1"/>
  <c r="I498" i="1"/>
  <c r="I485" i="1"/>
  <c r="I512" i="1"/>
  <c r="I505" i="1"/>
  <c r="I519" i="1"/>
  <c r="I112" i="1"/>
  <c r="I207" i="1"/>
  <c r="I227" i="1"/>
  <c r="I229" i="1"/>
  <c r="I263" i="1"/>
  <c r="I261" i="1"/>
  <c r="I264" i="1"/>
  <c r="I260" i="1"/>
  <c r="I265" i="1"/>
  <c r="I266" i="1"/>
  <c r="I262" i="1"/>
  <c r="I320" i="1"/>
  <c r="I322" i="1"/>
  <c r="I325" i="1"/>
  <c r="I323" i="1"/>
  <c r="I324" i="1"/>
  <c r="I321" i="1"/>
  <c r="I326" i="1"/>
  <c r="I415" i="1"/>
  <c r="I379" i="1"/>
  <c r="I412" i="1"/>
  <c r="I422" i="1"/>
  <c r="I369" i="1"/>
  <c r="I367" i="1"/>
  <c r="I408" i="1"/>
  <c r="I390" i="1"/>
  <c r="I425" i="1"/>
  <c r="I429" i="1"/>
  <c r="I504" i="1"/>
  <c r="I515" i="1"/>
  <c r="I502" i="1"/>
  <c r="I507" i="1"/>
  <c r="I494" i="1"/>
  <c r="I510" i="1"/>
  <c r="I514" i="1"/>
  <c r="I509" i="1"/>
  <c r="I518" i="1"/>
  <c r="I549" i="1"/>
  <c r="I550" i="1"/>
  <c r="I531" i="1"/>
  <c r="I551" i="1"/>
  <c r="I552" i="1"/>
  <c r="I540" i="1"/>
  <c r="I524" i="1"/>
  <c r="I530" i="1"/>
  <c r="I520" i="1"/>
  <c r="I525" i="1"/>
  <c r="I545" i="1"/>
  <c r="I532" i="1"/>
  <c r="I541" i="1"/>
  <c r="I522" i="1"/>
  <c r="I542" i="1"/>
  <c r="I538" i="1"/>
  <c r="I539" i="1"/>
  <c r="I548" i="1"/>
  <c r="I561" i="1"/>
  <c r="I553" i="1"/>
  <c r="I547" i="1"/>
  <c r="I543" i="1"/>
  <c r="I537" i="1"/>
  <c r="I521" i="1"/>
  <c r="I554" i="1"/>
  <c r="I534" i="1"/>
  <c r="I544" i="1"/>
  <c r="I533" i="1"/>
  <c r="I557" i="1"/>
  <c r="I555" i="1"/>
  <c r="I536" i="1"/>
  <c r="I526" i="1"/>
  <c r="I546" i="1"/>
  <c r="I562" i="1"/>
  <c r="I563" i="1"/>
  <c r="I528" i="1"/>
  <c r="I527" i="1"/>
  <c r="I556" i="1"/>
  <c r="I535" i="1"/>
  <c r="I529" i="1"/>
  <c r="I558" i="1"/>
  <c r="I559" i="1"/>
  <c r="I560" i="1"/>
  <c r="I564" i="1"/>
  <c r="I523" i="1"/>
  <c r="I581" i="1"/>
  <c r="I612" i="1"/>
  <c r="I629" i="1"/>
  <c r="I613" i="1"/>
  <c r="I580" i="1"/>
  <c r="I614" i="1"/>
  <c r="I568" i="1"/>
  <c r="I600" i="1"/>
  <c r="I590" i="1"/>
  <c r="I630" i="1"/>
  <c r="I582" i="1"/>
  <c r="I615" i="1"/>
  <c r="I574" i="1"/>
  <c r="I597" i="1"/>
  <c r="I604" i="1"/>
  <c r="I599" i="1"/>
  <c r="I616" i="1"/>
  <c r="I593" i="1"/>
  <c r="I617" i="1"/>
  <c r="I566" i="1"/>
  <c r="I575" i="1"/>
  <c r="I596" i="1"/>
  <c r="I572" i="1"/>
  <c r="I618" i="1"/>
  <c r="I609" i="1"/>
  <c r="I576" i="1"/>
  <c r="I601" i="1"/>
  <c r="I588" i="1"/>
  <c r="I611" i="1"/>
  <c r="I602" i="1"/>
  <c r="I605" i="1"/>
  <c r="I598" i="1"/>
  <c r="I591" i="1"/>
  <c r="I587" i="1"/>
  <c r="I619" i="1"/>
  <c r="I620" i="1"/>
  <c r="I607" i="1"/>
  <c r="I589" i="1"/>
  <c r="I577" i="1"/>
  <c r="I608" i="1"/>
  <c r="I621" i="1"/>
  <c r="I565" i="1"/>
  <c r="I622" i="1"/>
  <c r="I583" i="1"/>
  <c r="I623" i="1"/>
  <c r="I624" i="1"/>
  <c r="I592" i="1"/>
  <c r="I585" i="1"/>
  <c r="I573" i="1"/>
  <c r="I625" i="1"/>
  <c r="I603" i="1"/>
  <c r="I578" i="1"/>
  <c r="I586" i="1"/>
  <c r="I567" i="1"/>
  <c r="I584" i="1"/>
  <c r="I570" i="1"/>
  <c r="I628" i="1"/>
  <c r="I626" i="1"/>
  <c r="I579" i="1"/>
  <c r="I627" i="1"/>
  <c r="I606" i="1"/>
  <c r="I594" i="1"/>
  <c r="I571" i="1"/>
  <c r="I595" i="1"/>
  <c r="I569" i="1"/>
  <c r="I631" i="1"/>
  <c r="I610" i="1"/>
  <c r="I632" i="1"/>
  <c r="I633" i="1"/>
  <c r="I720" i="1"/>
  <c r="I730" i="1"/>
  <c r="I676" i="1"/>
  <c r="I653" i="1"/>
  <c r="I704" i="1"/>
  <c r="I731" i="1"/>
  <c r="I732" i="1"/>
  <c r="I733" i="1"/>
  <c r="I734" i="1"/>
  <c r="I735" i="1"/>
  <c r="I736" i="1"/>
  <c r="I794" i="1"/>
  <c r="I657" i="1"/>
  <c r="I737" i="1"/>
  <c r="I738" i="1"/>
  <c r="I739" i="1"/>
  <c r="I740" i="1"/>
  <c r="I698" i="1"/>
  <c r="I741" i="1"/>
  <c r="I695" i="1"/>
  <c r="I742" i="1"/>
  <c r="I694" i="1"/>
  <c r="I712" i="1"/>
  <c r="I700" i="1"/>
  <c r="I723" i="1"/>
  <c r="I696" i="1"/>
  <c r="I691" i="1"/>
  <c r="I711" i="1"/>
  <c r="I743" i="1"/>
  <c r="I699" i="1"/>
  <c r="I795" i="1"/>
  <c r="I721" i="1"/>
  <c r="I796" i="1"/>
  <c r="I669" i="1"/>
  <c r="I717" i="1"/>
  <c r="I724" i="1"/>
  <c r="I710" i="1"/>
  <c r="I641" i="1"/>
  <c r="I715" i="1"/>
  <c r="I744" i="1"/>
  <c r="I643" i="1"/>
  <c r="I697" i="1"/>
  <c r="I642" i="1"/>
  <c r="I637" i="1"/>
  <c r="I682" i="1"/>
  <c r="I673" i="1"/>
  <c r="I685" i="1"/>
  <c r="I745" i="1"/>
  <c r="I634" i="1"/>
  <c r="I680" i="1"/>
  <c r="I651" i="1"/>
  <c r="I797" i="1"/>
  <c r="I746" i="1"/>
  <c r="I663" i="1"/>
  <c r="I690" i="1"/>
  <c r="I640" i="1"/>
  <c r="I747" i="1"/>
  <c r="I725" i="1"/>
  <c r="I659" i="1"/>
  <c r="I749" i="1"/>
  <c r="I665" i="1"/>
  <c r="I714" i="1"/>
  <c r="I718" i="1"/>
  <c r="I750" i="1"/>
  <c r="I748" i="1"/>
  <c r="I719" i="1"/>
  <c r="I726" i="1"/>
  <c r="I751" i="1"/>
  <c r="I798" i="1"/>
  <c r="I677" i="1"/>
  <c r="I752" i="1"/>
  <c r="I799" i="1"/>
  <c r="I678" i="1"/>
  <c r="I800" i="1"/>
  <c r="I666" i="1"/>
  <c r="I801" i="1"/>
  <c r="I802" i="1"/>
  <c r="I672" i="1"/>
  <c r="I728" i="1"/>
  <c r="I671" i="1"/>
  <c r="I650" i="1"/>
  <c r="I803" i="1"/>
  <c r="I753" i="1"/>
  <c r="I658" i="1"/>
  <c r="I754" i="1"/>
  <c r="I688" i="1"/>
  <c r="I755" i="1"/>
  <c r="I756" i="1"/>
  <c r="I757" i="1"/>
  <c r="I662" i="1"/>
  <c r="I644" i="1"/>
  <c r="I638" i="1"/>
  <c r="I758" i="1"/>
  <c r="I804" i="1"/>
  <c r="I759" i="1"/>
  <c r="I805" i="1"/>
  <c r="I661" i="1"/>
  <c r="I652" i="1"/>
  <c r="I760" i="1"/>
  <c r="I635" i="1"/>
  <c r="I692" i="1"/>
  <c r="I647" i="1"/>
  <c r="I806" i="1"/>
  <c r="I761" i="1"/>
  <c r="I705" i="1"/>
  <c r="I675" i="1"/>
  <c r="I729" i="1"/>
  <c r="I713" i="1"/>
  <c r="I762" i="1"/>
  <c r="I763" i="1"/>
  <c r="I648" i="1"/>
  <c r="I764" i="1"/>
  <c r="I722" i="1"/>
  <c r="I765" i="1"/>
  <c r="I708" i="1"/>
  <c r="I709" i="1"/>
  <c r="I655" i="1"/>
  <c r="I636" i="1"/>
  <c r="I668" i="1"/>
  <c r="I807" i="1"/>
  <c r="I766" i="1"/>
  <c r="I674" i="1"/>
  <c r="I707" i="1"/>
  <c r="I767" i="1"/>
  <c r="I768" i="1"/>
  <c r="I769" i="1"/>
  <c r="I770" i="1"/>
  <c r="I771" i="1"/>
  <c r="I772" i="1"/>
  <c r="I679" i="1"/>
  <c r="I706" i="1"/>
  <c r="I808" i="1"/>
  <c r="I809" i="1"/>
  <c r="I773" i="1"/>
  <c r="I774" i="1"/>
  <c r="I670" i="1"/>
  <c r="I701" i="1"/>
  <c r="I775" i="1"/>
  <c r="I684" i="1"/>
  <c r="I776" i="1"/>
  <c r="I777" i="1"/>
  <c r="I656" i="1"/>
  <c r="I686" i="1"/>
  <c r="I660" i="1"/>
  <c r="I810" i="1"/>
  <c r="I778" i="1"/>
  <c r="I649" i="1"/>
  <c r="I779" i="1"/>
  <c r="I811" i="1"/>
  <c r="I780" i="1"/>
  <c r="I716" i="1"/>
  <c r="I812" i="1"/>
  <c r="I781" i="1"/>
  <c r="I782" i="1"/>
  <c r="I783" i="1"/>
  <c r="I683" i="1"/>
  <c r="I693" i="1"/>
  <c r="I784" i="1"/>
  <c r="I646" i="1"/>
  <c r="I687" i="1"/>
  <c r="I703" i="1"/>
  <c r="I785" i="1"/>
  <c r="I667" i="1"/>
  <c r="I786" i="1"/>
  <c r="I787" i="1"/>
  <c r="I645" i="1"/>
  <c r="I788" i="1"/>
  <c r="I664" i="1"/>
  <c r="I789" i="1"/>
  <c r="I790" i="1"/>
  <c r="I791" i="1"/>
  <c r="I792" i="1"/>
  <c r="I793" i="1"/>
  <c r="I816" i="1"/>
  <c r="I817" i="1"/>
  <c r="I702" i="1"/>
  <c r="I681" i="1"/>
  <c r="I814" i="1"/>
  <c r="I813" i="1"/>
  <c r="I818" i="1"/>
  <c r="I815" i="1"/>
  <c r="I727" i="1"/>
  <c r="I689" i="1"/>
  <c r="I819" i="1"/>
  <c r="I654" i="1"/>
  <c r="I639" i="1"/>
  <c r="I1250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3" i="1"/>
  <c r="I844" i="1"/>
  <c r="I846" i="1"/>
  <c r="I848" i="1"/>
  <c r="I849" i="1"/>
  <c r="I842" i="1"/>
  <c r="I845" i="1"/>
  <c r="I850" i="1"/>
  <c r="I847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3" i="1"/>
  <c r="I1154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80" i="1"/>
  <c r="I1181" i="1"/>
  <c r="I1182" i="1"/>
  <c r="I1183" i="1"/>
  <c r="I1184" i="1"/>
  <c r="I1185" i="1"/>
  <c r="I1186" i="1"/>
  <c r="I1187" i="1"/>
  <c r="I1188" i="1"/>
  <c r="I1189" i="1"/>
  <c r="I1190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4" i="1"/>
  <c r="I1226" i="1"/>
  <c r="I1228" i="1"/>
  <c r="I1229" i="1"/>
  <c r="I1230" i="1"/>
  <c r="I1231" i="1"/>
  <c r="I1232" i="1"/>
  <c r="I1233" i="1"/>
  <c r="I1234" i="1"/>
  <c r="I1235" i="1"/>
  <c r="I1236" i="1"/>
  <c r="I1238" i="1"/>
  <c r="I1239" i="1"/>
  <c r="I1240" i="1"/>
  <c r="I1241" i="1"/>
  <c r="I1243" i="1"/>
  <c r="I1245" i="1"/>
  <c r="I1246" i="1"/>
  <c r="I1247" i="1"/>
  <c r="I1248" i="1"/>
  <c r="I1249" i="1"/>
  <c r="I869" i="1"/>
  <c r="I942" i="1"/>
  <c r="I1050" i="1"/>
  <c r="I1100" i="1"/>
  <c r="I1152" i="1"/>
  <c r="I1155" i="1"/>
  <c r="I1179" i="1"/>
  <c r="I1191" i="1"/>
  <c r="I1207" i="1"/>
  <c r="I1208" i="1"/>
  <c r="I1223" i="1"/>
  <c r="I1225" i="1"/>
  <c r="I1227" i="1"/>
  <c r="I1237" i="1"/>
  <c r="I1242" i="1"/>
  <c r="I124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0" i="1"/>
  <c r="H32" i="1"/>
  <c r="H34" i="1"/>
  <c r="H33" i="1"/>
  <c r="H35" i="1"/>
  <c r="H36" i="1"/>
  <c r="H37" i="1"/>
  <c r="H38" i="1"/>
  <c r="H39" i="1"/>
  <c r="H40" i="1"/>
  <c r="H41" i="1"/>
  <c r="H42" i="1"/>
  <c r="H43" i="1"/>
  <c r="H44" i="1"/>
  <c r="H45" i="1"/>
  <c r="H47" i="1"/>
  <c r="H46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8" i="1"/>
  <c r="H69" i="1"/>
  <c r="H70" i="1"/>
  <c r="H71" i="1"/>
  <c r="H72" i="1"/>
  <c r="H73" i="1"/>
  <c r="H74" i="1"/>
  <c r="H75" i="1"/>
  <c r="H76" i="1"/>
  <c r="H78" i="1"/>
  <c r="H77" i="1"/>
  <c r="H79" i="1"/>
  <c r="H80" i="1"/>
  <c r="H81" i="1"/>
  <c r="H82" i="1"/>
  <c r="H83" i="1"/>
  <c r="H84" i="1"/>
  <c r="H87" i="1"/>
  <c r="H86" i="1"/>
  <c r="H89" i="1"/>
  <c r="H88" i="1"/>
  <c r="H90" i="1"/>
  <c r="H91" i="1"/>
  <c r="H92" i="1"/>
  <c r="H93" i="1"/>
  <c r="H94" i="1"/>
  <c r="H97" i="1"/>
  <c r="H95" i="1"/>
  <c r="H96" i="1"/>
  <c r="H99" i="1"/>
  <c r="H100" i="1"/>
  <c r="H103" i="1"/>
  <c r="H101" i="1"/>
  <c r="H102" i="1"/>
  <c r="H104" i="1"/>
  <c r="H105" i="1"/>
  <c r="H106" i="1"/>
  <c r="H107" i="1"/>
  <c r="H108" i="1"/>
  <c r="H109" i="1"/>
  <c r="H110" i="1"/>
  <c r="H111" i="1"/>
  <c r="H113" i="1"/>
  <c r="H115" i="1"/>
  <c r="H114" i="1"/>
  <c r="H117" i="1"/>
  <c r="H116" i="1"/>
  <c r="H118" i="1"/>
  <c r="H121" i="1"/>
  <c r="H119" i="1"/>
  <c r="H122" i="1"/>
  <c r="H123" i="1"/>
  <c r="H124" i="1"/>
  <c r="H125" i="1"/>
  <c r="H126" i="1"/>
  <c r="H127" i="1"/>
  <c r="H129" i="1"/>
  <c r="H128" i="1"/>
  <c r="H131" i="1"/>
  <c r="H132" i="1"/>
  <c r="H134" i="1"/>
  <c r="H135" i="1"/>
  <c r="H133" i="1"/>
  <c r="H137" i="1"/>
  <c r="H138" i="1"/>
  <c r="H139" i="1"/>
  <c r="H140" i="1"/>
  <c r="H141" i="1"/>
  <c r="H142" i="1"/>
  <c r="H144" i="1"/>
  <c r="H143" i="1"/>
  <c r="H145" i="1"/>
  <c r="H146" i="1"/>
  <c r="H147" i="1"/>
  <c r="H148" i="1"/>
  <c r="H149" i="1"/>
  <c r="H151" i="1"/>
  <c r="H150" i="1"/>
  <c r="H152" i="1"/>
  <c r="H153" i="1"/>
  <c r="H154" i="1"/>
  <c r="H156" i="1"/>
  <c r="H155" i="1"/>
  <c r="H158" i="1"/>
  <c r="H157" i="1"/>
  <c r="H160" i="1"/>
  <c r="H159" i="1"/>
  <c r="H164" i="1"/>
  <c r="H167" i="1"/>
  <c r="H166" i="1"/>
  <c r="H165" i="1"/>
  <c r="H168" i="1"/>
  <c r="H170" i="1"/>
  <c r="H169" i="1"/>
  <c r="H172" i="1"/>
  <c r="H173" i="1"/>
  <c r="H175" i="1"/>
  <c r="H176" i="1"/>
  <c r="H177" i="1"/>
  <c r="H179" i="1"/>
  <c r="H180" i="1"/>
  <c r="H183" i="1"/>
  <c r="H184" i="1"/>
  <c r="H186" i="1"/>
  <c r="H187" i="1"/>
  <c r="H188" i="1"/>
  <c r="H191" i="1"/>
  <c r="H192" i="1"/>
  <c r="H194" i="1"/>
  <c r="H195" i="1"/>
  <c r="H198" i="1"/>
  <c r="H199" i="1"/>
  <c r="H197" i="1"/>
  <c r="H200" i="1"/>
  <c r="H204" i="1"/>
  <c r="H205" i="1"/>
  <c r="H202" i="1"/>
  <c r="H209" i="1"/>
  <c r="H210" i="1"/>
  <c r="H212" i="1"/>
  <c r="H213" i="1"/>
  <c r="H215" i="1"/>
  <c r="H216" i="1"/>
  <c r="H217" i="1"/>
  <c r="H218" i="1"/>
  <c r="H219" i="1"/>
  <c r="H223" i="1"/>
  <c r="H222" i="1"/>
  <c r="H221" i="1"/>
  <c r="H224" i="1"/>
  <c r="H226" i="1"/>
  <c r="H228" i="1"/>
  <c r="H230" i="1"/>
  <c r="H232" i="1"/>
  <c r="H231" i="1"/>
  <c r="H235" i="1"/>
  <c r="H236" i="1"/>
  <c r="H29" i="1"/>
  <c r="H31" i="1"/>
  <c r="H85" i="1"/>
  <c r="H120" i="1"/>
  <c r="H130" i="1"/>
  <c r="H136" i="1"/>
  <c r="H161" i="1"/>
  <c r="H163" i="1"/>
  <c r="H162" i="1"/>
  <c r="H171" i="1"/>
  <c r="H174" i="1"/>
  <c r="H178" i="1"/>
  <c r="H182" i="1"/>
  <c r="H181" i="1"/>
  <c r="H185" i="1"/>
  <c r="H190" i="1"/>
  <c r="H189" i="1"/>
  <c r="H193" i="1"/>
  <c r="H196" i="1"/>
  <c r="H203" i="1"/>
  <c r="H208" i="1"/>
  <c r="H214" i="1"/>
  <c r="H220" i="1"/>
  <c r="H225" i="1"/>
  <c r="H233" i="1"/>
  <c r="H234" i="1"/>
  <c r="H246" i="1"/>
  <c r="H242" i="1"/>
  <c r="H251" i="1"/>
  <c r="H237" i="1"/>
  <c r="H249" i="1"/>
  <c r="H254" i="1"/>
  <c r="H244" i="1"/>
  <c r="H255" i="1"/>
  <c r="H248" i="1"/>
  <c r="H256" i="1"/>
  <c r="H252" i="1"/>
  <c r="H241" i="1"/>
  <c r="H239" i="1"/>
  <c r="H257" i="1"/>
  <c r="H250" i="1"/>
  <c r="H258" i="1"/>
  <c r="H240" i="1"/>
  <c r="H247" i="1"/>
  <c r="H259" i="1"/>
  <c r="H238" i="1"/>
  <c r="H284" i="1"/>
  <c r="H278" i="1"/>
  <c r="H287" i="1"/>
  <c r="H280" i="1"/>
  <c r="H273" i="1"/>
  <c r="H268" i="1"/>
  <c r="H279" i="1"/>
  <c r="H289" i="1"/>
  <c r="H281" i="1"/>
  <c r="H274" i="1"/>
  <c r="H269" i="1"/>
  <c r="H270" i="1"/>
  <c r="H271" i="1"/>
  <c r="H290" i="1"/>
  <c r="H291" i="1"/>
  <c r="H272" i="1"/>
  <c r="H277" i="1"/>
  <c r="H312" i="1"/>
  <c r="H316" i="1"/>
  <c r="H314" i="1"/>
  <c r="H292" i="1"/>
  <c r="H302" i="1"/>
  <c r="H317" i="1"/>
  <c r="H303" i="1"/>
  <c r="H304" i="1"/>
  <c r="H313" i="1"/>
  <c r="H318" i="1"/>
  <c r="H307" i="1"/>
  <c r="H309" i="1"/>
  <c r="H298" i="1"/>
  <c r="H306" i="1"/>
  <c r="H294" i="1"/>
  <c r="H293" i="1"/>
  <c r="H300" i="1"/>
  <c r="H308" i="1"/>
  <c r="H310" i="1"/>
  <c r="H301" i="1"/>
  <c r="H296" i="1"/>
  <c r="H347" i="1"/>
  <c r="H335" i="1"/>
  <c r="H328" i="1"/>
  <c r="H346" i="1"/>
  <c r="H327" i="1"/>
  <c r="H350" i="1"/>
  <c r="H344" i="1"/>
  <c r="H351" i="1"/>
  <c r="H352" i="1"/>
  <c r="H353" i="1"/>
  <c r="H354" i="1"/>
  <c r="H336" i="1"/>
  <c r="H342" i="1"/>
  <c r="H337" i="1"/>
  <c r="H340" i="1"/>
  <c r="H329" i="1"/>
  <c r="H333" i="1"/>
  <c r="H330" i="1"/>
  <c r="H341" i="1"/>
  <c r="H332" i="1"/>
  <c r="H343" i="1"/>
  <c r="H338" i="1"/>
  <c r="H404" i="1"/>
  <c r="H385" i="1"/>
  <c r="H398" i="1"/>
  <c r="H421" i="1"/>
  <c r="H417" i="1"/>
  <c r="H418" i="1"/>
  <c r="H375" i="1"/>
  <c r="H389" i="1"/>
  <c r="H401" i="1"/>
  <c r="H393" i="1"/>
  <c r="H409" i="1"/>
  <c r="H357" i="1"/>
  <c r="H366" i="1"/>
  <c r="H372" i="1"/>
  <c r="H423" i="1"/>
  <c r="H403" i="1"/>
  <c r="H384" i="1"/>
  <c r="H358" i="1"/>
  <c r="H360" i="1"/>
  <c r="H413" i="1"/>
  <c r="H424" i="1"/>
  <c r="H391" i="1"/>
  <c r="H402" i="1"/>
  <c r="H394" i="1"/>
  <c r="H382" i="1"/>
  <c r="H383" i="1"/>
  <c r="H407" i="1"/>
  <c r="H359" i="1"/>
  <c r="H377" i="1"/>
  <c r="H376" i="1"/>
  <c r="H361" i="1"/>
  <c r="H399" i="1"/>
  <c r="H392" i="1"/>
  <c r="H427" i="1"/>
  <c r="H373" i="1"/>
  <c r="H368" i="1"/>
  <c r="H428" i="1"/>
  <c r="H410" i="1"/>
  <c r="H397" i="1"/>
  <c r="H388" i="1"/>
  <c r="H405" i="1"/>
  <c r="H371" i="1"/>
  <c r="H416" i="1"/>
  <c r="H386" i="1"/>
  <c r="H387" i="1"/>
  <c r="H365" i="1"/>
  <c r="H430" i="1"/>
  <c r="H470" i="1"/>
  <c r="H451" i="1"/>
  <c r="H447" i="1"/>
  <c r="H458" i="1"/>
  <c r="H459" i="1"/>
  <c r="H446" i="1"/>
  <c r="H448" i="1"/>
  <c r="H460" i="1"/>
  <c r="H444" i="1"/>
  <c r="H468" i="1"/>
  <c r="H433" i="1"/>
  <c r="H435" i="1"/>
  <c r="H432" i="1"/>
  <c r="H436" i="1"/>
  <c r="H462" i="1"/>
  <c r="H479" i="1"/>
  <c r="H472" i="1"/>
  <c r="H469" i="1"/>
  <c r="H452" i="1"/>
  <c r="H461" i="1"/>
  <c r="H475" i="1"/>
  <c r="H454" i="1"/>
  <c r="H477" i="1"/>
  <c r="H456" i="1"/>
  <c r="H476" i="1"/>
  <c r="H464" i="1"/>
  <c r="H480" i="1"/>
  <c r="H465" i="1"/>
  <c r="H439" i="1"/>
  <c r="H455" i="1"/>
  <c r="H443" i="1"/>
  <c r="H441" i="1"/>
  <c r="H434" i="1"/>
  <c r="H467" i="1"/>
  <c r="H473" i="1"/>
  <c r="H457" i="1"/>
  <c r="H437" i="1"/>
  <c r="H450" i="1"/>
  <c r="H463" i="1"/>
  <c r="H466" i="1"/>
  <c r="H481" i="1"/>
  <c r="H474" i="1"/>
  <c r="H471" i="1"/>
  <c r="H442" i="1"/>
  <c r="H453" i="1"/>
  <c r="H438" i="1"/>
  <c r="H445" i="1"/>
  <c r="H449" i="1"/>
  <c r="H431" i="1"/>
  <c r="H440" i="1"/>
  <c r="H478" i="1"/>
  <c r="H98" i="1"/>
  <c r="H206" i="1"/>
  <c r="H245" i="1"/>
  <c r="H253" i="1"/>
  <c r="H243" i="1"/>
  <c r="H286" i="1"/>
  <c r="H283" i="1"/>
  <c r="H288" i="1"/>
  <c r="H275" i="1"/>
  <c r="H267" i="1"/>
  <c r="H285" i="1"/>
  <c r="H299" i="1"/>
  <c r="H305" i="1"/>
  <c r="H348" i="1"/>
  <c r="H334" i="1"/>
  <c r="H356" i="1"/>
  <c r="H331" i="1"/>
  <c r="H363" i="1"/>
  <c r="H420" i="1"/>
  <c r="H374" i="1"/>
  <c r="H414" i="1"/>
  <c r="H364" i="1"/>
  <c r="H362" i="1"/>
  <c r="H396" i="1"/>
  <c r="H400" i="1"/>
  <c r="H380" i="1"/>
  <c r="H406" i="1"/>
  <c r="H378" i="1"/>
  <c r="H497" i="1"/>
  <c r="H508" i="1"/>
  <c r="H488" i="1"/>
  <c r="H511" i="1"/>
  <c r="H482" i="1"/>
  <c r="H492" i="1"/>
  <c r="H486" i="1"/>
  <c r="H499" i="1"/>
  <c r="H495" i="1"/>
  <c r="H500" i="1"/>
  <c r="H516" i="1"/>
  <c r="H517" i="1"/>
  <c r="H501" i="1"/>
  <c r="H282" i="1"/>
  <c r="H297" i="1"/>
  <c r="H319" i="1"/>
  <c r="H345" i="1"/>
  <c r="H411" i="1"/>
  <c r="H506" i="1"/>
  <c r="H483" i="1"/>
  <c r="H487" i="1"/>
  <c r="H496" i="1"/>
  <c r="H493" i="1"/>
  <c r="H490" i="1"/>
  <c r="H484" i="1"/>
  <c r="H489" i="1"/>
  <c r="H513" i="1"/>
  <c r="H67" i="1"/>
  <c r="H201" i="1"/>
  <c r="H211" i="1"/>
  <c r="H276" i="1"/>
  <c r="H315" i="1"/>
  <c r="H311" i="1"/>
  <c r="H295" i="1"/>
  <c r="H339" i="1"/>
  <c r="H349" i="1"/>
  <c r="H355" i="1"/>
  <c r="H395" i="1"/>
  <c r="H419" i="1"/>
  <c r="H426" i="1"/>
  <c r="H381" i="1"/>
  <c r="H370" i="1"/>
  <c r="H491" i="1"/>
  <c r="H503" i="1"/>
  <c r="H498" i="1"/>
  <c r="H485" i="1"/>
  <c r="H512" i="1"/>
  <c r="H505" i="1"/>
  <c r="H519" i="1"/>
  <c r="H112" i="1"/>
  <c r="H207" i="1"/>
  <c r="H227" i="1"/>
  <c r="H229" i="1"/>
  <c r="H263" i="1"/>
  <c r="H261" i="1"/>
  <c r="H264" i="1"/>
  <c r="H260" i="1"/>
  <c r="H265" i="1"/>
  <c r="H266" i="1"/>
  <c r="H262" i="1"/>
  <c r="H320" i="1"/>
  <c r="H322" i="1"/>
  <c r="H325" i="1"/>
  <c r="H323" i="1"/>
  <c r="H324" i="1"/>
  <c r="H321" i="1"/>
  <c r="H326" i="1"/>
  <c r="H415" i="1"/>
  <c r="H379" i="1"/>
  <c r="H412" i="1"/>
  <c r="H422" i="1"/>
  <c r="H369" i="1"/>
  <c r="H367" i="1"/>
  <c r="H408" i="1"/>
  <c r="H390" i="1"/>
  <c r="H425" i="1"/>
  <c r="H429" i="1"/>
  <c r="H504" i="1"/>
  <c r="H515" i="1"/>
  <c r="H502" i="1"/>
  <c r="H507" i="1"/>
  <c r="H494" i="1"/>
  <c r="H510" i="1"/>
  <c r="H514" i="1"/>
  <c r="H509" i="1"/>
  <c r="H518" i="1"/>
  <c r="H549" i="1"/>
  <c r="H550" i="1"/>
  <c r="H531" i="1"/>
  <c r="H551" i="1"/>
  <c r="H552" i="1"/>
  <c r="H540" i="1"/>
  <c r="H524" i="1"/>
  <c r="H530" i="1"/>
  <c r="H520" i="1"/>
  <c r="H525" i="1"/>
  <c r="H545" i="1"/>
  <c r="H532" i="1"/>
  <c r="H541" i="1"/>
  <c r="H522" i="1"/>
  <c r="H542" i="1"/>
  <c r="H538" i="1"/>
  <c r="H539" i="1"/>
  <c r="H548" i="1"/>
  <c r="H561" i="1"/>
  <c r="H553" i="1"/>
  <c r="H547" i="1"/>
  <c r="H543" i="1"/>
  <c r="H537" i="1"/>
  <c r="H521" i="1"/>
  <c r="H554" i="1"/>
  <c r="H534" i="1"/>
  <c r="H544" i="1"/>
  <c r="H533" i="1"/>
  <c r="H557" i="1"/>
  <c r="H555" i="1"/>
  <c r="H536" i="1"/>
  <c r="H526" i="1"/>
  <c r="H546" i="1"/>
  <c r="H562" i="1"/>
  <c r="H563" i="1"/>
  <c r="H528" i="1"/>
  <c r="H527" i="1"/>
  <c r="H556" i="1"/>
  <c r="H535" i="1"/>
  <c r="H529" i="1"/>
  <c r="H558" i="1"/>
  <c r="H559" i="1"/>
  <c r="H560" i="1"/>
  <c r="H564" i="1"/>
  <c r="H523" i="1"/>
  <c r="H581" i="1"/>
  <c r="H612" i="1"/>
  <c r="H629" i="1"/>
  <c r="H613" i="1"/>
  <c r="H580" i="1"/>
  <c r="H614" i="1"/>
  <c r="H568" i="1"/>
  <c r="H600" i="1"/>
  <c r="H590" i="1"/>
  <c r="H630" i="1"/>
  <c r="H582" i="1"/>
  <c r="H615" i="1"/>
  <c r="H574" i="1"/>
  <c r="H597" i="1"/>
  <c r="H604" i="1"/>
  <c r="H599" i="1"/>
  <c r="H616" i="1"/>
  <c r="H593" i="1"/>
  <c r="H617" i="1"/>
  <c r="H566" i="1"/>
  <c r="H575" i="1"/>
  <c r="H596" i="1"/>
  <c r="H572" i="1"/>
  <c r="H618" i="1"/>
  <c r="H609" i="1"/>
  <c r="H576" i="1"/>
  <c r="H601" i="1"/>
  <c r="H588" i="1"/>
  <c r="H611" i="1"/>
  <c r="H602" i="1"/>
  <c r="H605" i="1"/>
  <c r="H598" i="1"/>
  <c r="H591" i="1"/>
  <c r="H587" i="1"/>
  <c r="H619" i="1"/>
  <c r="H620" i="1"/>
  <c r="H607" i="1"/>
  <c r="H589" i="1"/>
  <c r="H577" i="1"/>
  <c r="H608" i="1"/>
  <c r="H621" i="1"/>
  <c r="H565" i="1"/>
  <c r="H622" i="1"/>
  <c r="H583" i="1"/>
  <c r="H623" i="1"/>
  <c r="H624" i="1"/>
  <c r="H592" i="1"/>
  <c r="H585" i="1"/>
  <c r="H573" i="1"/>
  <c r="H625" i="1"/>
  <c r="H603" i="1"/>
  <c r="H578" i="1"/>
  <c r="H586" i="1"/>
  <c r="H567" i="1"/>
  <c r="H584" i="1"/>
  <c r="H570" i="1"/>
  <c r="H628" i="1"/>
  <c r="H626" i="1"/>
  <c r="H579" i="1"/>
  <c r="H627" i="1"/>
  <c r="H606" i="1"/>
  <c r="H594" i="1"/>
  <c r="H571" i="1"/>
  <c r="H595" i="1"/>
  <c r="H569" i="1"/>
  <c r="H631" i="1"/>
  <c r="H610" i="1"/>
  <c r="H632" i="1"/>
  <c r="H633" i="1"/>
  <c r="H720" i="1"/>
  <c r="H730" i="1"/>
  <c r="H676" i="1"/>
  <c r="H653" i="1"/>
  <c r="H704" i="1"/>
  <c r="H731" i="1"/>
  <c r="H732" i="1"/>
  <c r="H733" i="1"/>
  <c r="H734" i="1"/>
  <c r="H735" i="1"/>
  <c r="H736" i="1"/>
  <c r="H794" i="1"/>
  <c r="H657" i="1"/>
  <c r="H737" i="1"/>
  <c r="H738" i="1"/>
  <c r="H739" i="1"/>
  <c r="H740" i="1"/>
  <c r="H698" i="1"/>
  <c r="H741" i="1"/>
  <c r="H695" i="1"/>
  <c r="H742" i="1"/>
  <c r="H694" i="1"/>
  <c r="H712" i="1"/>
  <c r="H700" i="1"/>
  <c r="H723" i="1"/>
  <c r="H696" i="1"/>
  <c r="H691" i="1"/>
  <c r="H711" i="1"/>
  <c r="H743" i="1"/>
  <c r="H699" i="1"/>
  <c r="H795" i="1"/>
  <c r="H721" i="1"/>
  <c r="H796" i="1"/>
  <c r="H669" i="1"/>
  <c r="H717" i="1"/>
  <c r="H724" i="1"/>
  <c r="H710" i="1"/>
  <c r="H641" i="1"/>
  <c r="H715" i="1"/>
  <c r="H744" i="1"/>
  <c r="H643" i="1"/>
  <c r="H697" i="1"/>
  <c r="H642" i="1"/>
  <c r="H637" i="1"/>
  <c r="H682" i="1"/>
  <c r="H673" i="1"/>
  <c r="H685" i="1"/>
  <c r="H745" i="1"/>
  <c r="H634" i="1"/>
  <c r="H680" i="1"/>
  <c r="H651" i="1"/>
  <c r="H797" i="1"/>
  <c r="H746" i="1"/>
  <c r="H663" i="1"/>
  <c r="H690" i="1"/>
  <c r="H640" i="1"/>
  <c r="H747" i="1"/>
  <c r="H725" i="1"/>
  <c r="H659" i="1"/>
  <c r="H749" i="1"/>
  <c r="H665" i="1"/>
  <c r="H714" i="1"/>
  <c r="H718" i="1"/>
  <c r="H750" i="1"/>
  <c r="H748" i="1"/>
  <c r="H719" i="1"/>
  <c r="H726" i="1"/>
  <c r="H751" i="1"/>
  <c r="H798" i="1"/>
  <c r="H677" i="1"/>
  <c r="H752" i="1"/>
  <c r="H799" i="1"/>
  <c r="H678" i="1"/>
  <c r="H800" i="1"/>
  <c r="H666" i="1"/>
  <c r="H801" i="1"/>
  <c r="H802" i="1"/>
  <c r="H672" i="1"/>
  <c r="H728" i="1"/>
  <c r="H671" i="1"/>
  <c r="H650" i="1"/>
  <c r="H803" i="1"/>
  <c r="H753" i="1"/>
  <c r="H658" i="1"/>
  <c r="H754" i="1"/>
  <c r="H688" i="1"/>
  <c r="H755" i="1"/>
  <c r="H756" i="1"/>
  <c r="H757" i="1"/>
  <c r="H662" i="1"/>
  <c r="H644" i="1"/>
  <c r="H638" i="1"/>
  <c r="H758" i="1"/>
  <c r="H804" i="1"/>
  <c r="H759" i="1"/>
  <c r="H805" i="1"/>
  <c r="H661" i="1"/>
  <c r="H652" i="1"/>
  <c r="H760" i="1"/>
  <c r="H635" i="1"/>
  <c r="H692" i="1"/>
  <c r="H647" i="1"/>
  <c r="H806" i="1"/>
  <c r="H761" i="1"/>
  <c r="H705" i="1"/>
  <c r="H675" i="1"/>
  <c r="H729" i="1"/>
  <c r="H713" i="1"/>
  <c r="H762" i="1"/>
  <c r="H763" i="1"/>
  <c r="H648" i="1"/>
  <c r="H764" i="1"/>
  <c r="H722" i="1"/>
  <c r="H765" i="1"/>
  <c r="H708" i="1"/>
  <c r="H709" i="1"/>
  <c r="H655" i="1"/>
  <c r="H636" i="1"/>
  <c r="H668" i="1"/>
  <c r="H807" i="1"/>
  <c r="H766" i="1"/>
  <c r="H674" i="1"/>
  <c r="H707" i="1"/>
  <c r="H767" i="1"/>
  <c r="H768" i="1"/>
  <c r="H769" i="1"/>
  <c r="H770" i="1"/>
  <c r="H771" i="1"/>
  <c r="H772" i="1"/>
  <c r="H679" i="1"/>
  <c r="H706" i="1"/>
  <c r="H808" i="1"/>
  <c r="H809" i="1"/>
  <c r="H773" i="1"/>
  <c r="H774" i="1"/>
  <c r="H670" i="1"/>
  <c r="H701" i="1"/>
  <c r="H775" i="1"/>
  <c r="H684" i="1"/>
  <c r="H776" i="1"/>
  <c r="H777" i="1"/>
  <c r="H656" i="1"/>
  <c r="H686" i="1"/>
  <c r="H660" i="1"/>
  <c r="H810" i="1"/>
  <c r="H778" i="1"/>
  <c r="H649" i="1"/>
  <c r="H779" i="1"/>
  <c r="H811" i="1"/>
  <c r="H780" i="1"/>
  <c r="H716" i="1"/>
  <c r="H812" i="1"/>
  <c r="H781" i="1"/>
  <c r="H782" i="1"/>
  <c r="H783" i="1"/>
  <c r="H683" i="1"/>
  <c r="H693" i="1"/>
  <c r="H784" i="1"/>
  <c r="H646" i="1"/>
  <c r="H687" i="1"/>
  <c r="H703" i="1"/>
  <c r="H785" i="1"/>
  <c r="H667" i="1"/>
  <c r="H786" i="1"/>
  <c r="H787" i="1"/>
  <c r="H645" i="1"/>
  <c r="H788" i="1"/>
  <c r="H664" i="1"/>
  <c r="H789" i="1"/>
  <c r="H790" i="1"/>
  <c r="H791" i="1"/>
  <c r="H792" i="1"/>
  <c r="H793" i="1"/>
  <c r="H816" i="1"/>
  <c r="H817" i="1"/>
  <c r="H702" i="1"/>
  <c r="H681" i="1"/>
  <c r="H814" i="1"/>
  <c r="H813" i="1"/>
  <c r="H818" i="1"/>
  <c r="H815" i="1"/>
  <c r="H727" i="1"/>
  <c r="H689" i="1"/>
  <c r="H819" i="1"/>
  <c r="H654" i="1"/>
  <c r="H639" i="1"/>
  <c r="H1250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3" i="1"/>
  <c r="H844" i="1"/>
  <c r="H846" i="1"/>
  <c r="H848" i="1"/>
  <c r="H849" i="1"/>
  <c r="H842" i="1"/>
  <c r="H845" i="1"/>
  <c r="H850" i="1"/>
  <c r="H847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3" i="1"/>
  <c r="H1154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80" i="1"/>
  <c r="H1181" i="1"/>
  <c r="H1182" i="1"/>
  <c r="H1183" i="1"/>
  <c r="H1184" i="1"/>
  <c r="H1185" i="1"/>
  <c r="H1186" i="1"/>
  <c r="H1187" i="1"/>
  <c r="H1188" i="1"/>
  <c r="H1189" i="1"/>
  <c r="H1190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4" i="1"/>
  <c r="H1226" i="1"/>
  <c r="H1228" i="1"/>
  <c r="H1229" i="1"/>
  <c r="H1230" i="1"/>
  <c r="H1231" i="1"/>
  <c r="H1232" i="1"/>
  <c r="H1233" i="1"/>
  <c r="H1234" i="1"/>
  <c r="H1235" i="1"/>
  <c r="H1236" i="1"/>
  <c r="H1238" i="1"/>
  <c r="H1239" i="1"/>
  <c r="H1240" i="1"/>
  <c r="H1241" i="1"/>
  <c r="H1243" i="1"/>
  <c r="H1245" i="1"/>
  <c r="H1246" i="1"/>
  <c r="H1247" i="1"/>
  <c r="H1248" i="1"/>
  <c r="H1249" i="1"/>
  <c r="H869" i="1"/>
  <c r="H942" i="1"/>
  <c r="H1050" i="1"/>
  <c r="H1100" i="1"/>
  <c r="H1152" i="1"/>
  <c r="H1155" i="1"/>
  <c r="H1179" i="1"/>
  <c r="H1191" i="1"/>
  <c r="H1207" i="1"/>
  <c r="H1208" i="1"/>
  <c r="H1223" i="1"/>
  <c r="H1225" i="1"/>
  <c r="H1227" i="1"/>
  <c r="H1237" i="1"/>
  <c r="H1242" i="1"/>
  <c r="H124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30" i="1"/>
  <c r="G32" i="1"/>
  <c r="G34" i="1"/>
  <c r="G33" i="1"/>
  <c r="G35" i="1"/>
  <c r="G36" i="1"/>
  <c r="G37" i="1"/>
  <c r="G38" i="1"/>
  <c r="G39" i="1"/>
  <c r="G40" i="1"/>
  <c r="G41" i="1"/>
  <c r="G42" i="1"/>
  <c r="G43" i="1"/>
  <c r="G44" i="1"/>
  <c r="G45" i="1"/>
  <c r="G47" i="1"/>
  <c r="G46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8" i="1"/>
  <c r="G69" i="1"/>
  <c r="G70" i="1"/>
  <c r="G71" i="1"/>
  <c r="G72" i="1"/>
  <c r="G73" i="1"/>
  <c r="G74" i="1"/>
  <c r="G75" i="1"/>
  <c r="G76" i="1"/>
  <c r="G78" i="1"/>
  <c r="G77" i="1"/>
  <c r="G79" i="1"/>
  <c r="G80" i="1"/>
  <c r="G81" i="1"/>
  <c r="G82" i="1"/>
  <c r="G83" i="1"/>
  <c r="G84" i="1"/>
  <c r="G87" i="1"/>
  <c r="G86" i="1"/>
  <c r="G89" i="1"/>
  <c r="G88" i="1"/>
  <c r="G90" i="1"/>
  <c r="G91" i="1"/>
  <c r="G92" i="1"/>
  <c r="G93" i="1"/>
  <c r="G94" i="1"/>
  <c r="G97" i="1"/>
  <c r="G95" i="1"/>
  <c r="G96" i="1"/>
  <c r="G99" i="1"/>
  <c r="G100" i="1"/>
  <c r="G103" i="1"/>
  <c r="G101" i="1"/>
  <c r="G102" i="1"/>
  <c r="G104" i="1"/>
  <c r="G105" i="1"/>
  <c r="G106" i="1"/>
  <c r="G107" i="1"/>
  <c r="G108" i="1"/>
  <c r="G109" i="1"/>
  <c r="G110" i="1"/>
  <c r="G111" i="1"/>
  <c r="G113" i="1"/>
  <c r="G115" i="1"/>
  <c r="G114" i="1"/>
  <c r="G117" i="1"/>
  <c r="G116" i="1"/>
  <c r="G118" i="1"/>
  <c r="G121" i="1"/>
  <c r="G119" i="1"/>
  <c r="G122" i="1"/>
  <c r="G123" i="1"/>
  <c r="G124" i="1"/>
  <c r="G125" i="1"/>
  <c r="G126" i="1"/>
  <c r="G127" i="1"/>
  <c r="G129" i="1"/>
  <c r="G128" i="1"/>
  <c r="G131" i="1"/>
  <c r="G132" i="1"/>
  <c r="G134" i="1"/>
  <c r="G135" i="1"/>
  <c r="G133" i="1"/>
  <c r="G137" i="1"/>
  <c r="G138" i="1"/>
  <c r="G139" i="1"/>
  <c r="G140" i="1"/>
  <c r="G141" i="1"/>
  <c r="G142" i="1"/>
  <c r="G144" i="1"/>
  <c r="G143" i="1"/>
  <c r="G145" i="1"/>
  <c r="G146" i="1"/>
  <c r="G147" i="1"/>
  <c r="G148" i="1"/>
  <c r="G149" i="1"/>
  <c r="G151" i="1"/>
  <c r="G150" i="1"/>
  <c r="G152" i="1"/>
  <c r="G153" i="1"/>
  <c r="G154" i="1"/>
  <c r="G156" i="1"/>
  <c r="G155" i="1"/>
  <c r="G158" i="1"/>
  <c r="G157" i="1"/>
  <c r="G160" i="1"/>
  <c r="G159" i="1"/>
  <c r="G164" i="1"/>
  <c r="G167" i="1"/>
  <c r="G166" i="1"/>
  <c r="G165" i="1"/>
  <c r="G168" i="1"/>
  <c r="G170" i="1"/>
  <c r="G169" i="1"/>
  <c r="G172" i="1"/>
  <c r="G173" i="1"/>
  <c r="G175" i="1"/>
  <c r="G176" i="1"/>
  <c r="G177" i="1"/>
  <c r="G179" i="1"/>
  <c r="G180" i="1"/>
  <c r="G183" i="1"/>
  <c r="G184" i="1"/>
  <c r="G186" i="1"/>
  <c r="G187" i="1"/>
  <c r="G188" i="1"/>
  <c r="G191" i="1"/>
  <c r="G192" i="1"/>
  <c r="G194" i="1"/>
  <c r="G195" i="1"/>
  <c r="G198" i="1"/>
  <c r="G199" i="1"/>
  <c r="G197" i="1"/>
  <c r="G200" i="1"/>
  <c r="G204" i="1"/>
  <c r="G205" i="1"/>
  <c r="G202" i="1"/>
  <c r="G209" i="1"/>
  <c r="G210" i="1"/>
  <c r="G212" i="1"/>
  <c r="G213" i="1"/>
  <c r="G215" i="1"/>
  <c r="G216" i="1"/>
  <c r="G217" i="1"/>
  <c r="G218" i="1"/>
  <c r="G219" i="1"/>
  <c r="G223" i="1"/>
  <c r="G222" i="1"/>
  <c r="G221" i="1"/>
  <c r="G224" i="1"/>
  <c r="G226" i="1"/>
  <c r="G228" i="1"/>
  <c r="G230" i="1"/>
  <c r="G232" i="1"/>
  <c r="G231" i="1"/>
  <c r="G235" i="1"/>
  <c r="G236" i="1"/>
  <c r="G29" i="1"/>
  <c r="G31" i="1"/>
  <c r="G85" i="1"/>
  <c r="G120" i="1"/>
  <c r="G130" i="1"/>
  <c r="G136" i="1"/>
  <c r="G161" i="1"/>
  <c r="G163" i="1"/>
  <c r="G162" i="1"/>
  <c r="G171" i="1"/>
  <c r="G174" i="1"/>
  <c r="G178" i="1"/>
  <c r="G182" i="1"/>
  <c r="G181" i="1"/>
  <c r="G185" i="1"/>
  <c r="G190" i="1"/>
  <c r="G189" i="1"/>
  <c r="G193" i="1"/>
  <c r="G196" i="1"/>
  <c r="G203" i="1"/>
  <c r="G208" i="1"/>
  <c r="G214" i="1"/>
  <c r="G220" i="1"/>
  <c r="G225" i="1"/>
  <c r="G233" i="1"/>
  <c r="G234" i="1"/>
  <c r="G246" i="1"/>
  <c r="G242" i="1"/>
  <c r="G251" i="1"/>
  <c r="G237" i="1"/>
  <c r="G249" i="1"/>
  <c r="G254" i="1"/>
  <c r="G244" i="1"/>
  <c r="G255" i="1"/>
  <c r="G248" i="1"/>
  <c r="G256" i="1"/>
  <c r="G252" i="1"/>
  <c r="G241" i="1"/>
  <c r="G239" i="1"/>
  <c r="G257" i="1"/>
  <c r="G250" i="1"/>
  <c r="G258" i="1"/>
  <c r="G240" i="1"/>
  <c r="G247" i="1"/>
  <c r="G259" i="1"/>
  <c r="G238" i="1"/>
  <c r="G284" i="1"/>
  <c r="G278" i="1"/>
  <c r="G287" i="1"/>
  <c r="G280" i="1"/>
  <c r="G273" i="1"/>
  <c r="G268" i="1"/>
  <c r="G279" i="1"/>
  <c r="G289" i="1"/>
  <c r="G281" i="1"/>
  <c r="G274" i="1"/>
  <c r="G269" i="1"/>
  <c r="G270" i="1"/>
  <c r="G271" i="1"/>
  <c r="G290" i="1"/>
  <c r="G291" i="1"/>
  <c r="G272" i="1"/>
  <c r="G277" i="1"/>
  <c r="G312" i="1"/>
  <c r="G316" i="1"/>
  <c r="G314" i="1"/>
  <c r="G292" i="1"/>
  <c r="G302" i="1"/>
  <c r="G317" i="1"/>
  <c r="G303" i="1"/>
  <c r="G304" i="1"/>
  <c r="G313" i="1"/>
  <c r="G318" i="1"/>
  <c r="G307" i="1"/>
  <c r="G309" i="1"/>
  <c r="G298" i="1"/>
  <c r="G306" i="1"/>
  <c r="G294" i="1"/>
  <c r="G293" i="1"/>
  <c r="G300" i="1"/>
  <c r="G308" i="1"/>
  <c r="G310" i="1"/>
  <c r="G301" i="1"/>
  <c r="G296" i="1"/>
  <c r="G347" i="1"/>
  <c r="G335" i="1"/>
  <c r="G328" i="1"/>
  <c r="G346" i="1"/>
  <c r="G327" i="1"/>
  <c r="G350" i="1"/>
  <c r="G344" i="1"/>
  <c r="G351" i="1"/>
  <c r="G352" i="1"/>
  <c r="G353" i="1"/>
  <c r="G354" i="1"/>
  <c r="G336" i="1"/>
  <c r="G342" i="1"/>
  <c r="G337" i="1"/>
  <c r="G340" i="1"/>
  <c r="G329" i="1"/>
  <c r="G333" i="1"/>
  <c r="G330" i="1"/>
  <c r="G341" i="1"/>
  <c r="G332" i="1"/>
  <c r="G343" i="1"/>
  <c r="G338" i="1"/>
  <c r="G404" i="1"/>
  <c r="G385" i="1"/>
  <c r="G398" i="1"/>
  <c r="G421" i="1"/>
  <c r="G417" i="1"/>
  <c r="G418" i="1"/>
  <c r="G375" i="1"/>
  <c r="G389" i="1"/>
  <c r="G401" i="1"/>
  <c r="G393" i="1"/>
  <c r="G409" i="1"/>
  <c r="G357" i="1"/>
  <c r="G366" i="1"/>
  <c r="G372" i="1"/>
  <c r="G423" i="1"/>
  <c r="G403" i="1"/>
  <c r="G384" i="1"/>
  <c r="G358" i="1"/>
  <c r="G360" i="1"/>
  <c r="G413" i="1"/>
  <c r="G424" i="1"/>
  <c r="G391" i="1"/>
  <c r="G402" i="1"/>
  <c r="G394" i="1"/>
  <c r="G382" i="1"/>
  <c r="G383" i="1"/>
  <c r="G407" i="1"/>
  <c r="G359" i="1"/>
  <c r="G377" i="1"/>
  <c r="G376" i="1"/>
  <c r="G361" i="1"/>
  <c r="G399" i="1"/>
  <c r="G392" i="1"/>
  <c r="G427" i="1"/>
  <c r="G373" i="1"/>
  <c r="G368" i="1"/>
  <c r="G428" i="1"/>
  <c r="G410" i="1"/>
  <c r="G397" i="1"/>
  <c r="G388" i="1"/>
  <c r="G405" i="1"/>
  <c r="G371" i="1"/>
  <c r="G416" i="1"/>
  <c r="G386" i="1"/>
  <c r="G387" i="1"/>
  <c r="G365" i="1"/>
  <c r="G430" i="1"/>
  <c r="G470" i="1"/>
  <c r="G451" i="1"/>
  <c r="G447" i="1"/>
  <c r="G458" i="1"/>
  <c r="G459" i="1"/>
  <c r="G446" i="1"/>
  <c r="G448" i="1"/>
  <c r="G460" i="1"/>
  <c r="G444" i="1"/>
  <c r="G468" i="1"/>
  <c r="G433" i="1"/>
  <c r="G435" i="1"/>
  <c r="G432" i="1"/>
  <c r="G436" i="1"/>
  <c r="G462" i="1"/>
  <c r="G479" i="1"/>
  <c r="G472" i="1"/>
  <c r="G469" i="1"/>
  <c r="G452" i="1"/>
  <c r="G461" i="1"/>
  <c r="G475" i="1"/>
  <c r="G454" i="1"/>
  <c r="G477" i="1"/>
  <c r="G456" i="1"/>
  <c r="G476" i="1"/>
  <c r="G464" i="1"/>
  <c r="G480" i="1"/>
  <c r="G465" i="1"/>
  <c r="G439" i="1"/>
  <c r="G455" i="1"/>
  <c r="G443" i="1"/>
  <c r="G441" i="1"/>
  <c r="G434" i="1"/>
  <c r="G467" i="1"/>
  <c r="G473" i="1"/>
  <c r="G457" i="1"/>
  <c r="G437" i="1"/>
  <c r="G450" i="1"/>
  <c r="G463" i="1"/>
  <c r="G466" i="1"/>
  <c r="G481" i="1"/>
  <c r="G474" i="1"/>
  <c r="G471" i="1"/>
  <c r="G442" i="1"/>
  <c r="G453" i="1"/>
  <c r="G438" i="1"/>
  <c r="G445" i="1"/>
  <c r="G449" i="1"/>
  <c r="G431" i="1"/>
  <c r="G440" i="1"/>
  <c r="G478" i="1"/>
  <c r="G98" i="1"/>
  <c r="G206" i="1"/>
  <c r="G245" i="1"/>
  <c r="G253" i="1"/>
  <c r="G243" i="1"/>
  <c r="G286" i="1"/>
  <c r="G283" i="1"/>
  <c r="G288" i="1"/>
  <c r="G275" i="1"/>
  <c r="G267" i="1"/>
  <c r="G285" i="1"/>
  <c r="G299" i="1"/>
  <c r="G305" i="1"/>
  <c r="G348" i="1"/>
  <c r="G334" i="1"/>
  <c r="G356" i="1"/>
  <c r="G331" i="1"/>
  <c r="G363" i="1"/>
  <c r="G420" i="1"/>
  <c r="G374" i="1"/>
  <c r="G414" i="1"/>
  <c r="G364" i="1"/>
  <c r="G362" i="1"/>
  <c r="G396" i="1"/>
  <c r="G400" i="1"/>
  <c r="G380" i="1"/>
  <c r="G406" i="1"/>
  <c r="G378" i="1"/>
  <c r="G497" i="1"/>
  <c r="G508" i="1"/>
  <c r="G488" i="1"/>
  <c r="G511" i="1"/>
  <c r="G482" i="1"/>
  <c r="G492" i="1"/>
  <c r="G486" i="1"/>
  <c r="G499" i="1"/>
  <c r="G495" i="1"/>
  <c r="G500" i="1"/>
  <c r="G516" i="1"/>
  <c r="G517" i="1"/>
  <c r="G501" i="1"/>
  <c r="G282" i="1"/>
  <c r="G297" i="1"/>
  <c r="G319" i="1"/>
  <c r="G345" i="1"/>
  <c r="G411" i="1"/>
  <c r="G506" i="1"/>
  <c r="G483" i="1"/>
  <c r="G487" i="1"/>
  <c r="G496" i="1"/>
  <c r="G493" i="1"/>
  <c r="G490" i="1"/>
  <c r="G484" i="1"/>
  <c r="G489" i="1"/>
  <c r="G513" i="1"/>
  <c r="G67" i="1"/>
  <c r="G201" i="1"/>
  <c r="G211" i="1"/>
  <c r="G276" i="1"/>
  <c r="G315" i="1"/>
  <c r="G311" i="1"/>
  <c r="G295" i="1"/>
  <c r="G339" i="1"/>
  <c r="G349" i="1"/>
  <c r="G355" i="1"/>
  <c r="G395" i="1"/>
  <c r="G419" i="1"/>
  <c r="G426" i="1"/>
  <c r="G381" i="1"/>
  <c r="G370" i="1"/>
  <c r="G491" i="1"/>
  <c r="G503" i="1"/>
  <c r="G498" i="1"/>
  <c r="G485" i="1"/>
  <c r="G512" i="1"/>
  <c r="G505" i="1"/>
  <c r="G519" i="1"/>
  <c r="G112" i="1"/>
  <c r="G207" i="1"/>
  <c r="G227" i="1"/>
  <c r="G229" i="1"/>
  <c r="G263" i="1"/>
  <c r="G261" i="1"/>
  <c r="G264" i="1"/>
  <c r="G260" i="1"/>
  <c r="G265" i="1"/>
  <c r="G266" i="1"/>
  <c r="G262" i="1"/>
  <c r="G320" i="1"/>
  <c r="G322" i="1"/>
  <c r="G325" i="1"/>
  <c r="G323" i="1"/>
  <c r="G324" i="1"/>
  <c r="G321" i="1"/>
  <c r="G326" i="1"/>
  <c r="G415" i="1"/>
  <c r="G379" i="1"/>
  <c r="G412" i="1"/>
  <c r="G422" i="1"/>
  <c r="G369" i="1"/>
  <c r="G367" i="1"/>
  <c r="G408" i="1"/>
  <c r="G390" i="1"/>
  <c r="G425" i="1"/>
  <c r="G429" i="1"/>
  <c r="G504" i="1"/>
  <c r="G515" i="1"/>
  <c r="G502" i="1"/>
  <c r="G507" i="1"/>
  <c r="G494" i="1"/>
  <c r="G510" i="1"/>
  <c r="G514" i="1"/>
  <c r="G509" i="1"/>
  <c r="G518" i="1"/>
  <c r="G549" i="1"/>
  <c r="G550" i="1"/>
  <c r="G531" i="1"/>
  <c r="G551" i="1"/>
  <c r="G552" i="1"/>
  <c r="G540" i="1"/>
  <c r="G524" i="1"/>
  <c r="G530" i="1"/>
  <c r="G520" i="1"/>
  <c r="G525" i="1"/>
  <c r="G545" i="1"/>
  <c r="G532" i="1"/>
  <c r="G541" i="1"/>
  <c r="G522" i="1"/>
  <c r="G542" i="1"/>
  <c r="G538" i="1"/>
  <c r="G539" i="1"/>
  <c r="G548" i="1"/>
  <c r="G561" i="1"/>
  <c r="G553" i="1"/>
  <c r="G547" i="1"/>
  <c r="G543" i="1"/>
  <c r="G537" i="1"/>
  <c r="G521" i="1"/>
  <c r="G554" i="1"/>
  <c r="G534" i="1"/>
  <c r="G544" i="1"/>
  <c r="G533" i="1"/>
  <c r="G557" i="1"/>
  <c r="G555" i="1"/>
  <c r="G536" i="1"/>
  <c r="G526" i="1"/>
  <c r="G546" i="1"/>
  <c r="G562" i="1"/>
  <c r="G563" i="1"/>
  <c r="G528" i="1"/>
  <c r="G527" i="1"/>
  <c r="G556" i="1"/>
  <c r="G535" i="1"/>
  <c r="G529" i="1"/>
  <c r="G558" i="1"/>
  <c r="G559" i="1"/>
  <c r="G560" i="1"/>
  <c r="G564" i="1"/>
  <c r="G523" i="1"/>
  <c r="G581" i="1"/>
  <c r="G612" i="1"/>
  <c r="G629" i="1"/>
  <c r="G613" i="1"/>
  <c r="G580" i="1"/>
  <c r="G614" i="1"/>
  <c r="G568" i="1"/>
  <c r="G600" i="1"/>
  <c r="G590" i="1"/>
  <c r="G630" i="1"/>
  <c r="G582" i="1"/>
  <c r="G615" i="1"/>
  <c r="G574" i="1"/>
  <c r="G597" i="1"/>
  <c r="G604" i="1"/>
  <c r="G599" i="1"/>
  <c r="G616" i="1"/>
  <c r="G593" i="1"/>
  <c r="G617" i="1"/>
  <c r="G566" i="1"/>
  <c r="G575" i="1"/>
  <c r="G596" i="1"/>
  <c r="G572" i="1"/>
  <c r="G618" i="1"/>
  <c r="G609" i="1"/>
  <c r="G576" i="1"/>
  <c r="G601" i="1"/>
  <c r="G588" i="1"/>
  <c r="G611" i="1"/>
  <c r="G602" i="1"/>
  <c r="G605" i="1"/>
  <c r="G598" i="1"/>
  <c r="G591" i="1"/>
  <c r="G587" i="1"/>
  <c r="G619" i="1"/>
  <c r="G620" i="1"/>
  <c r="G607" i="1"/>
  <c r="G589" i="1"/>
  <c r="G577" i="1"/>
  <c r="G608" i="1"/>
  <c r="G621" i="1"/>
  <c r="G565" i="1"/>
  <c r="G622" i="1"/>
  <c r="G583" i="1"/>
  <c r="G623" i="1"/>
  <c r="G624" i="1"/>
  <c r="G592" i="1"/>
  <c r="G585" i="1"/>
  <c r="G573" i="1"/>
  <c r="G625" i="1"/>
  <c r="G603" i="1"/>
  <c r="G578" i="1"/>
  <c r="G586" i="1"/>
  <c r="G567" i="1"/>
  <c r="G584" i="1"/>
  <c r="G570" i="1"/>
  <c r="G628" i="1"/>
  <c r="G626" i="1"/>
  <c r="G579" i="1"/>
  <c r="G627" i="1"/>
  <c r="G606" i="1"/>
  <c r="G594" i="1"/>
  <c r="G571" i="1"/>
  <c r="G595" i="1"/>
  <c r="G569" i="1"/>
  <c r="G631" i="1"/>
  <c r="G610" i="1"/>
  <c r="G632" i="1"/>
  <c r="G633" i="1"/>
  <c r="G720" i="1"/>
  <c r="G730" i="1"/>
  <c r="G676" i="1"/>
  <c r="G653" i="1"/>
  <c r="G704" i="1"/>
  <c r="G731" i="1"/>
  <c r="G732" i="1"/>
  <c r="G733" i="1"/>
  <c r="G734" i="1"/>
  <c r="G735" i="1"/>
  <c r="G736" i="1"/>
  <c r="G794" i="1"/>
  <c r="G657" i="1"/>
  <c r="G737" i="1"/>
  <c r="G738" i="1"/>
  <c r="G739" i="1"/>
  <c r="G740" i="1"/>
  <c r="G698" i="1"/>
  <c r="G741" i="1"/>
  <c r="G695" i="1"/>
  <c r="G742" i="1"/>
  <c r="G694" i="1"/>
  <c r="G712" i="1"/>
  <c r="G700" i="1"/>
  <c r="G723" i="1"/>
  <c r="G696" i="1"/>
  <c r="G691" i="1"/>
  <c r="G711" i="1"/>
  <c r="G743" i="1"/>
  <c r="G699" i="1"/>
  <c r="G795" i="1"/>
  <c r="G721" i="1"/>
  <c r="G796" i="1"/>
  <c r="G669" i="1"/>
  <c r="G717" i="1"/>
  <c r="G724" i="1"/>
  <c r="G710" i="1"/>
  <c r="G641" i="1"/>
  <c r="G715" i="1"/>
  <c r="G744" i="1"/>
  <c r="G643" i="1"/>
  <c r="G697" i="1"/>
  <c r="G642" i="1"/>
  <c r="G637" i="1"/>
  <c r="G682" i="1"/>
  <c r="G673" i="1"/>
  <c r="G685" i="1"/>
  <c r="G745" i="1"/>
  <c r="G634" i="1"/>
  <c r="G680" i="1"/>
  <c r="G651" i="1"/>
  <c r="G797" i="1"/>
  <c r="G746" i="1"/>
  <c r="G663" i="1"/>
  <c r="G690" i="1"/>
  <c r="G640" i="1"/>
  <c r="G747" i="1"/>
  <c r="G725" i="1"/>
  <c r="G659" i="1"/>
  <c r="G749" i="1"/>
  <c r="G665" i="1"/>
  <c r="G714" i="1"/>
  <c r="G718" i="1"/>
  <c r="G750" i="1"/>
  <c r="G748" i="1"/>
  <c r="G719" i="1"/>
  <c r="G726" i="1"/>
  <c r="G751" i="1"/>
  <c r="G798" i="1"/>
  <c r="G677" i="1"/>
  <c r="G752" i="1"/>
  <c r="G799" i="1"/>
  <c r="G678" i="1"/>
  <c r="G800" i="1"/>
  <c r="G666" i="1"/>
  <c r="G801" i="1"/>
  <c r="G802" i="1"/>
  <c r="G672" i="1"/>
  <c r="G728" i="1"/>
  <c r="G671" i="1"/>
  <c r="G650" i="1"/>
  <c r="G803" i="1"/>
  <c r="G753" i="1"/>
  <c r="G658" i="1"/>
  <c r="G754" i="1"/>
  <c r="G688" i="1"/>
  <c r="G755" i="1"/>
  <c r="G756" i="1"/>
  <c r="G757" i="1"/>
  <c r="G662" i="1"/>
  <c r="G644" i="1"/>
  <c r="G638" i="1"/>
  <c r="G758" i="1"/>
  <c r="G804" i="1"/>
  <c r="G759" i="1"/>
  <c r="G805" i="1"/>
  <c r="G661" i="1"/>
  <c r="G652" i="1"/>
  <c r="G760" i="1"/>
  <c r="G635" i="1"/>
  <c r="G692" i="1"/>
  <c r="G647" i="1"/>
  <c r="G806" i="1"/>
  <c r="G761" i="1"/>
  <c r="G705" i="1"/>
  <c r="G675" i="1"/>
  <c r="G729" i="1"/>
  <c r="G713" i="1"/>
  <c r="G762" i="1"/>
  <c r="G763" i="1"/>
  <c r="G648" i="1"/>
  <c r="G764" i="1"/>
  <c r="G722" i="1"/>
  <c r="G765" i="1"/>
  <c r="G708" i="1"/>
  <c r="G709" i="1"/>
  <c r="G655" i="1"/>
  <c r="G636" i="1"/>
  <c r="G668" i="1"/>
  <c r="G807" i="1"/>
  <c r="G766" i="1"/>
  <c r="G674" i="1"/>
  <c r="G707" i="1"/>
  <c r="G767" i="1"/>
  <c r="G768" i="1"/>
  <c r="G769" i="1"/>
  <c r="G770" i="1"/>
  <c r="G771" i="1"/>
  <c r="G772" i="1"/>
  <c r="G679" i="1"/>
  <c r="G706" i="1"/>
  <c r="G808" i="1"/>
  <c r="G809" i="1"/>
  <c r="G773" i="1"/>
  <c r="G774" i="1"/>
  <c r="G670" i="1"/>
  <c r="G701" i="1"/>
  <c r="G775" i="1"/>
  <c r="G684" i="1"/>
  <c r="G776" i="1"/>
  <c r="G777" i="1"/>
  <c r="G656" i="1"/>
  <c r="G686" i="1"/>
  <c r="G660" i="1"/>
  <c r="G810" i="1"/>
  <c r="G778" i="1"/>
  <c r="G649" i="1"/>
  <c r="G779" i="1"/>
  <c r="G811" i="1"/>
  <c r="G780" i="1"/>
  <c r="G716" i="1"/>
  <c r="G812" i="1"/>
  <c r="G781" i="1"/>
  <c r="G782" i="1"/>
  <c r="G783" i="1"/>
  <c r="G683" i="1"/>
  <c r="G693" i="1"/>
  <c r="G784" i="1"/>
  <c r="G646" i="1"/>
  <c r="G687" i="1"/>
  <c r="G703" i="1"/>
  <c r="G785" i="1"/>
  <c r="G667" i="1"/>
  <c r="G786" i="1"/>
  <c r="G787" i="1"/>
  <c r="G645" i="1"/>
  <c r="G788" i="1"/>
  <c r="G664" i="1"/>
  <c r="G789" i="1"/>
  <c r="G790" i="1"/>
  <c r="G791" i="1"/>
  <c r="G792" i="1"/>
  <c r="G793" i="1"/>
  <c r="G816" i="1"/>
  <c r="G817" i="1"/>
  <c r="G702" i="1"/>
  <c r="G681" i="1"/>
  <c r="G814" i="1"/>
  <c r="G813" i="1"/>
  <c r="G818" i="1"/>
  <c r="G815" i="1"/>
  <c r="G727" i="1"/>
  <c r="G689" i="1"/>
  <c r="G819" i="1"/>
  <c r="G654" i="1"/>
  <c r="G639" i="1"/>
  <c r="G1250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3" i="1"/>
  <c r="G844" i="1"/>
  <c r="G846" i="1"/>
  <c r="G848" i="1"/>
  <c r="G849" i="1"/>
  <c r="G842" i="1"/>
  <c r="G845" i="1"/>
  <c r="G850" i="1"/>
  <c r="G847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3" i="1"/>
  <c r="G1154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80" i="1"/>
  <c r="G1181" i="1"/>
  <c r="G1182" i="1"/>
  <c r="G1183" i="1"/>
  <c r="G1184" i="1"/>
  <c r="G1185" i="1"/>
  <c r="G1186" i="1"/>
  <c r="G1187" i="1"/>
  <c r="G1188" i="1"/>
  <c r="G1189" i="1"/>
  <c r="G1190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4" i="1"/>
  <c r="G1226" i="1"/>
  <c r="G1228" i="1"/>
  <c r="G1229" i="1"/>
  <c r="G1230" i="1"/>
  <c r="G1231" i="1"/>
  <c r="G1232" i="1"/>
  <c r="G1233" i="1"/>
  <c r="G1234" i="1"/>
  <c r="G1235" i="1"/>
  <c r="G1236" i="1"/>
  <c r="G1238" i="1"/>
  <c r="G1239" i="1"/>
  <c r="G1240" i="1"/>
  <c r="G1241" i="1"/>
  <c r="G1243" i="1"/>
  <c r="G1245" i="1"/>
  <c r="G1246" i="1"/>
  <c r="G1247" i="1"/>
  <c r="G1248" i="1"/>
  <c r="G1249" i="1"/>
  <c r="G869" i="1"/>
  <c r="G942" i="1"/>
  <c r="G1050" i="1"/>
  <c r="G1100" i="1"/>
  <c r="G1152" i="1"/>
  <c r="G1155" i="1"/>
  <c r="G1179" i="1"/>
  <c r="G1191" i="1"/>
  <c r="G1207" i="1"/>
  <c r="G1208" i="1"/>
  <c r="G1223" i="1"/>
  <c r="G1225" i="1"/>
  <c r="G1227" i="1"/>
  <c r="G1237" i="1"/>
  <c r="G1242" i="1"/>
  <c r="G124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30" i="1"/>
  <c r="F32" i="1"/>
  <c r="F34" i="1"/>
  <c r="F33" i="1"/>
  <c r="F35" i="1"/>
  <c r="F36" i="1"/>
  <c r="F37" i="1"/>
  <c r="F38" i="1"/>
  <c r="F39" i="1"/>
  <c r="F40" i="1"/>
  <c r="F41" i="1"/>
  <c r="F42" i="1"/>
  <c r="F43" i="1"/>
  <c r="F44" i="1"/>
  <c r="F45" i="1"/>
  <c r="F47" i="1"/>
  <c r="F46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8" i="1"/>
  <c r="F69" i="1"/>
  <c r="F70" i="1"/>
  <c r="F71" i="1"/>
  <c r="F72" i="1"/>
  <c r="F73" i="1"/>
  <c r="F74" i="1"/>
  <c r="F75" i="1"/>
  <c r="F76" i="1"/>
  <c r="F78" i="1"/>
  <c r="F77" i="1"/>
  <c r="F79" i="1"/>
  <c r="F80" i="1"/>
  <c r="F81" i="1"/>
  <c r="F82" i="1"/>
  <c r="F83" i="1"/>
  <c r="F84" i="1"/>
  <c r="F87" i="1"/>
  <c r="F86" i="1"/>
  <c r="F89" i="1"/>
  <c r="F88" i="1"/>
  <c r="F90" i="1"/>
  <c r="F91" i="1"/>
  <c r="F92" i="1"/>
  <c r="F93" i="1"/>
  <c r="F94" i="1"/>
  <c r="F97" i="1"/>
  <c r="F95" i="1"/>
  <c r="F96" i="1"/>
  <c r="F99" i="1"/>
  <c r="F100" i="1"/>
  <c r="F103" i="1"/>
  <c r="F101" i="1"/>
  <c r="F102" i="1"/>
  <c r="F104" i="1"/>
  <c r="F105" i="1"/>
  <c r="F106" i="1"/>
  <c r="F107" i="1"/>
  <c r="F108" i="1"/>
  <c r="F109" i="1"/>
  <c r="F110" i="1"/>
  <c r="F111" i="1"/>
  <c r="F113" i="1"/>
  <c r="F115" i="1"/>
  <c r="F114" i="1"/>
  <c r="F117" i="1"/>
  <c r="F116" i="1"/>
  <c r="F118" i="1"/>
  <c r="F121" i="1"/>
  <c r="F119" i="1"/>
  <c r="F122" i="1"/>
  <c r="F123" i="1"/>
  <c r="F124" i="1"/>
  <c r="F125" i="1"/>
  <c r="F126" i="1"/>
  <c r="F127" i="1"/>
  <c r="F129" i="1"/>
  <c r="F128" i="1"/>
  <c r="F131" i="1"/>
  <c r="F132" i="1"/>
  <c r="F134" i="1"/>
  <c r="F135" i="1"/>
  <c r="F133" i="1"/>
  <c r="F137" i="1"/>
  <c r="F138" i="1"/>
  <c r="F139" i="1"/>
  <c r="F140" i="1"/>
  <c r="F141" i="1"/>
  <c r="F142" i="1"/>
  <c r="F144" i="1"/>
  <c r="F143" i="1"/>
  <c r="F145" i="1"/>
  <c r="F146" i="1"/>
  <c r="F147" i="1"/>
  <c r="F148" i="1"/>
  <c r="F149" i="1"/>
  <c r="F151" i="1"/>
  <c r="F150" i="1"/>
  <c r="F152" i="1"/>
  <c r="F153" i="1"/>
  <c r="F154" i="1"/>
  <c r="F156" i="1"/>
  <c r="F155" i="1"/>
  <c r="F158" i="1"/>
  <c r="F157" i="1"/>
  <c r="F160" i="1"/>
  <c r="F159" i="1"/>
  <c r="F164" i="1"/>
  <c r="F167" i="1"/>
  <c r="F166" i="1"/>
  <c r="F165" i="1"/>
  <c r="F168" i="1"/>
  <c r="F170" i="1"/>
  <c r="F169" i="1"/>
  <c r="F172" i="1"/>
  <c r="F173" i="1"/>
  <c r="F175" i="1"/>
  <c r="F176" i="1"/>
  <c r="F177" i="1"/>
  <c r="F179" i="1"/>
  <c r="F180" i="1"/>
  <c r="F183" i="1"/>
  <c r="F184" i="1"/>
  <c r="F186" i="1"/>
  <c r="F187" i="1"/>
  <c r="F188" i="1"/>
  <c r="F191" i="1"/>
  <c r="F192" i="1"/>
  <c r="F194" i="1"/>
  <c r="F195" i="1"/>
  <c r="F198" i="1"/>
  <c r="F199" i="1"/>
  <c r="F197" i="1"/>
  <c r="F200" i="1"/>
  <c r="F204" i="1"/>
  <c r="F205" i="1"/>
  <c r="F202" i="1"/>
  <c r="F209" i="1"/>
  <c r="F210" i="1"/>
  <c r="F212" i="1"/>
  <c r="F213" i="1"/>
  <c r="F215" i="1"/>
  <c r="F216" i="1"/>
  <c r="F217" i="1"/>
  <c r="F218" i="1"/>
  <c r="F219" i="1"/>
  <c r="F223" i="1"/>
  <c r="F222" i="1"/>
  <c r="F221" i="1"/>
  <c r="F224" i="1"/>
  <c r="F226" i="1"/>
  <c r="F228" i="1"/>
  <c r="F230" i="1"/>
  <c r="F232" i="1"/>
  <c r="F231" i="1"/>
  <c r="F235" i="1"/>
  <c r="F236" i="1"/>
  <c r="F29" i="1"/>
  <c r="F31" i="1"/>
  <c r="F85" i="1"/>
  <c r="F120" i="1"/>
  <c r="F130" i="1"/>
  <c r="F136" i="1"/>
  <c r="F161" i="1"/>
  <c r="F163" i="1"/>
  <c r="F162" i="1"/>
  <c r="F171" i="1"/>
  <c r="F174" i="1"/>
  <c r="F178" i="1"/>
  <c r="F182" i="1"/>
  <c r="F181" i="1"/>
  <c r="F185" i="1"/>
  <c r="F190" i="1"/>
  <c r="F189" i="1"/>
  <c r="F193" i="1"/>
  <c r="F196" i="1"/>
  <c r="F203" i="1"/>
  <c r="F208" i="1"/>
  <c r="F214" i="1"/>
  <c r="F220" i="1"/>
  <c r="F225" i="1"/>
  <c r="F233" i="1"/>
  <c r="F234" i="1"/>
  <c r="F246" i="1"/>
  <c r="F242" i="1"/>
  <c r="F251" i="1"/>
  <c r="F237" i="1"/>
  <c r="F249" i="1"/>
  <c r="F254" i="1"/>
  <c r="F244" i="1"/>
  <c r="F255" i="1"/>
  <c r="F248" i="1"/>
  <c r="F256" i="1"/>
  <c r="F252" i="1"/>
  <c r="F241" i="1"/>
  <c r="F239" i="1"/>
  <c r="F257" i="1"/>
  <c r="F250" i="1"/>
  <c r="F258" i="1"/>
  <c r="F240" i="1"/>
  <c r="F247" i="1"/>
  <c r="F259" i="1"/>
  <c r="F238" i="1"/>
  <c r="F284" i="1"/>
  <c r="F278" i="1"/>
  <c r="F287" i="1"/>
  <c r="F280" i="1"/>
  <c r="F273" i="1"/>
  <c r="F268" i="1"/>
  <c r="F279" i="1"/>
  <c r="F289" i="1"/>
  <c r="F281" i="1"/>
  <c r="F274" i="1"/>
  <c r="F269" i="1"/>
  <c r="F270" i="1"/>
  <c r="F271" i="1"/>
  <c r="F290" i="1"/>
  <c r="F291" i="1"/>
  <c r="F272" i="1"/>
  <c r="F277" i="1"/>
  <c r="F312" i="1"/>
  <c r="F316" i="1"/>
  <c r="F314" i="1"/>
  <c r="F292" i="1"/>
  <c r="F302" i="1"/>
  <c r="F317" i="1"/>
  <c r="F303" i="1"/>
  <c r="F304" i="1"/>
  <c r="F313" i="1"/>
  <c r="F318" i="1"/>
  <c r="F307" i="1"/>
  <c r="F309" i="1"/>
  <c r="F298" i="1"/>
  <c r="F306" i="1"/>
  <c r="F294" i="1"/>
  <c r="F293" i="1"/>
  <c r="F300" i="1"/>
  <c r="F308" i="1"/>
  <c r="F310" i="1"/>
  <c r="F301" i="1"/>
  <c r="F296" i="1"/>
  <c r="F347" i="1"/>
  <c r="F335" i="1"/>
  <c r="F328" i="1"/>
  <c r="F346" i="1"/>
  <c r="F327" i="1"/>
  <c r="F350" i="1"/>
  <c r="F344" i="1"/>
  <c r="F351" i="1"/>
  <c r="F352" i="1"/>
  <c r="F353" i="1"/>
  <c r="F354" i="1"/>
  <c r="F336" i="1"/>
  <c r="F342" i="1"/>
  <c r="F337" i="1"/>
  <c r="F340" i="1"/>
  <c r="F329" i="1"/>
  <c r="F333" i="1"/>
  <c r="F330" i="1"/>
  <c r="F341" i="1"/>
  <c r="F332" i="1"/>
  <c r="F343" i="1"/>
  <c r="F338" i="1"/>
  <c r="F404" i="1"/>
  <c r="F385" i="1"/>
  <c r="F398" i="1"/>
  <c r="F421" i="1"/>
  <c r="F417" i="1"/>
  <c r="F418" i="1"/>
  <c r="F375" i="1"/>
  <c r="F389" i="1"/>
  <c r="F401" i="1"/>
  <c r="F393" i="1"/>
  <c r="F409" i="1"/>
  <c r="F357" i="1"/>
  <c r="F366" i="1"/>
  <c r="F372" i="1"/>
  <c r="F423" i="1"/>
  <c r="F403" i="1"/>
  <c r="F384" i="1"/>
  <c r="F358" i="1"/>
  <c r="F360" i="1"/>
  <c r="F413" i="1"/>
  <c r="F424" i="1"/>
  <c r="F391" i="1"/>
  <c r="F402" i="1"/>
  <c r="F394" i="1"/>
  <c r="F382" i="1"/>
  <c r="F383" i="1"/>
  <c r="F407" i="1"/>
  <c r="F359" i="1"/>
  <c r="F377" i="1"/>
  <c r="F376" i="1"/>
  <c r="F361" i="1"/>
  <c r="F399" i="1"/>
  <c r="F392" i="1"/>
  <c r="F427" i="1"/>
  <c r="F373" i="1"/>
  <c r="F368" i="1"/>
  <c r="F428" i="1"/>
  <c r="F410" i="1"/>
  <c r="F397" i="1"/>
  <c r="F388" i="1"/>
  <c r="F405" i="1"/>
  <c r="F371" i="1"/>
  <c r="F416" i="1"/>
  <c r="F386" i="1"/>
  <c r="F387" i="1"/>
  <c r="F365" i="1"/>
  <c r="F430" i="1"/>
  <c r="F470" i="1"/>
  <c r="F451" i="1"/>
  <c r="F447" i="1"/>
  <c r="F458" i="1"/>
  <c r="F459" i="1"/>
  <c r="F446" i="1"/>
  <c r="F448" i="1"/>
  <c r="F460" i="1"/>
  <c r="F444" i="1"/>
  <c r="F468" i="1"/>
  <c r="F433" i="1"/>
  <c r="F435" i="1"/>
  <c r="F432" i="1"/>
  <c r="F436" i="1"/>
  <c r="F462" i="1"/>
  <c r="F479" i="1"/>
  <c r="F472" i="1"/>
  <c r="F469" i="1"/>
  <c r="F452" i="1"/>
  <c r="F461" i="1"/>
  <c r="F475" i="1"/>
  <c r="F454" i="1"/>
  <c r="F477" i="1"/>
  <c r="F456" i="1"/>
  <c r="F476" i="1"/>
  <c r="F464" i="1"/>
  <c r="F480" i="1"/>
  <c r="F465" i="1"/>
  <c r="F439" i="1"/>
  <c r="F455" i="1"/>
  <c r="F443" i="1"/>
  <c r="F441" i="1"/>
  <c r="F434" i="1"/>
  <c r="F467" i="1"/>
  <c r="F473" i="1"/>
  <c r="F457" i="1"/>
  <c r="F437" i="1"/>
  <c r="F450" i="1"/>
  <c r="F463" i="1"/>
  <c r="F466" i="1"/>
  <c r="F481" i="1"/>
  <c r="F474" i="1"/>
  <c r="F471" i="1"/>
  <c r="F442" i="1"/>
  <c r="F453" i="1"/>
  <c r="F438" i="1"/>
  <c r="F445" i="1"/>
  <c r="F449" i="1"/>
  <c r="F431" i="1"/>
  <c r="F440" i="1"/>
  <c r="F478" i="1"/>
  <c r="F98" i="1"/>
  <c r="F206" i="1"/>
  <c r="F245" i="1"/>
  <c r="F253" i="1"/>
  <c r="F243" i="1"/>
  <c r="F286" i="1"/>
  <c r="F283" i="1"/>
  <c r="F288" i="1"/>
  <c r="F275" i="1"/>
  <c r="F267" i="1"/>
  <c r="F285" i="1"/>
  <c r="F299" i="1"/>
  <c r="F305" i="1"/>
  <c r="F348" i="1"/>
  <c r="F334" i="1"/>
  <c r="F356" i="1"/>
  <c r="F331" i="1"/>
  <c r="F363" i="1"/>
  <c r="F420" i="1"/>
  <c r="F374" i="1"/>
  <c r="F414" i="1"/>
  <c r="F364" i="1"/>
  <c r="F362" i="1"/>
  <c r="F396" i="1"/>
  <c r="F400" i="1"/>
  <c r="F380" i="1"/>
  <c r="F406" i="1"/>
  <c r="F378" i="1"/>
  <c r="F497" i="1"/>
  <c r="F508" i="1"/>
  <c r="F488" i="1"/>
  <c r="F511" i="1"/>
  <c r="F482" i="1"/>
  <c r="F492" i="1"/>
  <c r="F486" i="1"/>
  <c r="F499" i="1"/>
  <c r="F495" i="1"/>
  <c r="F500" i="1"/>
  <c r="F516" i="1"/>
  <c r="F517" i="1"/>
  <c r="F501" i="1"/>
  <c r="F282" i="1"/>
  <c r="F297" i="1"/>
  <c r="F319" i="1"/>
  <c r="F345" i="1"/>
  <c r="F411" i="1"/>
  <c r="F506" i="1"/>
  <c r="F483" i="1"/>
  <c r="F487" i="1"/>
  <c r="F496" i="1"/>
  <c r="F493" i="1"/>
  <c r="F490" i="1"/>
  <c r="F484" i="1"/>
  <c r="F489" i="1"/>
  <c r="F513" i="1"/>
  <c r="F67" i="1"/>
  <c r="F201" i="1"/>
  <c r="F211" i="1"/>
  <c r="F276" i="1"/>
  <c r="F315" i="1"/>
  <c r="F311" i="1"/>
  <c r="F295" i="1"/>
  <c r="F339" i="1"/>
  <c r="F349" i="1"/>
  <c r="F355" i="1"/>
  <c r="F395" i="1"/>
  <c r="F419" i="1"/>
  <c r="F426" i="1"/>
  <c r="F381" i="1"/>
  <c r="F370" i="1"/>
  <c r="F491" i="1"/>
  <c r="F503" i="1"/>
  <c r="F498" i="1"/>
  <c r="F485" i="1"/>
  <c r="F512" i="1"/>
  <c r="F505" i="1"/>
  <c r="F519" i="1"/>
  <c r="F112" i="1"/>
  <c r="F207" i="1"/>
  <c r="F227" i="1"/>
  <c r="F229" i="1"/>
  <c r="F263" i="1"/>
  <c r="F261" i="1"/>
  <c r="F264" i="1"/>
  <c r="F260" i="1"/>
  <c r="F265" i="1"/>
  <c r="F266" i="1"/>
  <c r="F262" i="1"/>
  <c r="F320" i="1"/>
  <c r="F322" i="1"/>
  <c r="F325" i="1"/>
  <c r="F323" i="1"/>
  <c r="F324" i="1"/>
  <c r="F321" i="1"/>
  <c r="F326" i="1"/>
  <c r="F415" i="1"/>
  <c r="F379" i="1"/>
  <c r="F412" i="1"/>
  <c r="F422" i="1"/>
  <c r="F369" i="1"/>
  <c r="F367" i="1"/>
  <c r="F408" i="1"/>
  <c r="F390" i="1"/>
  <c r="F425" i="1"/>
  <c r="F429" i="1"/>
  <c r="F504" i="1"/>
  <c r="F515" i="1"/>
  <c r="F502" i="1"/>
  <c r="F507" i="1"/>
  <c r="F494" i="1"/>
  <c r="F510" i="1"/>
  <c r="F514" i="1"/>
  <c r="F509" i="1"/>
  <c r="F518" i="1"/>
  <c r="F549" i="1"/>
  <c r="F550" i="1"/>
  <c r="F531" i="1"/>
  <c r="F551" i="1"/>
  <c r="F552" i="1"/>
  <c r="F540" i="1"/>
  <c r="F524" i="1"/>
  <c r="F530" i="1"/>
  <c r="F520" i="1"/>
  <c r="F525" i="1"/>
  <c r="F545" i="1"/>
  <c r="F532" i="1"/>
  <c r="F541" i="1"/>
  <c r="F522" i="1"/>
  <c r="F542" i="1"/>
  <c r="F538" i="1"/>
  <c r="F539" i="1"/>
  <c r="F548" i="1"/>
  <c r="F561" i="1"/>
  <c r="F553" i="1"/>
  <c r="F547" i="1"/>
  <c r="F543" i="1"/>
  <c r="F537" i="1"/>
  <c r="F521" i="1"/>
  <c r="F554" i="1"/>
  <c r="F534" i="1"/>
  <c r="F544" i="1"/>
  <c r="F533" i="1"/>
  <c r="F557" i="1"/>
  <c r="F555" i="1"/>
  <c r="F536" i="1"/>
  <c r="F526" i="1"/>
  <c r="F546" i="1"/>
  <c r="F562" i="1"/>
  <c r="F563" i="1"/>
  <c r="F528" i="1"/>
  <c r="F527" i="1"/>
  <c r="F556" i="1"/>
  <c r="F535" i="1"/>
  <c r="F529" i="1"/>
  <c r="F558" i="1"/>
  <c r="F559" i="1"/>
  <c r="F560" i="1"/>
  <c r="F564" i="1"/>
  <c r="F523" i="1"/>
  <c r="F581" i="1"/>
  <c r="F612" i="1"/>
  <c r="F629" i="1"/>
  <c r="F613" i="1"/>
  <c r="F580" i="1"/>
  <c r="F614" i="1"/>
  <c r="F568" i="1"/>
  <c r="F600" i="1"/>
  <c r="F590" i="1"/>
  <c r="F630" i="1"/>
  <c r="F582" i="1"/>
  <c r="F615" i="1"/>
  <c r="F574" i="1"/>
  <c r="F597" i="1"/>
  <c r="F604" i="1"/>
  <c r="F599" i="1"/>
  <c r="F616" i="1"/>
  <c r="F593" i="1"/>
  <c r="F617" i="1"/>
  <c r="F566" i="1"/>
  <c r="F575" i="1"/>
  <c r="F596" i="1"/>
  <c r="F572" i="1"/>
  <c r="F618" i="1"/>
  <c r="F609" i="1"/>
  <c r="F576" i="1"/>
  <c r="F601" i="1"/>
  <c r="F588" i="1"/>
  <c r="F611" i="1"/>
  <c r="F602" i="1"/>
  <c r="F605" i="1"/>
  <c r="F598" i="1"/>
  <c r="F591" i="1"/>
  <c r="F587" i="1"/>
  <c r="F619" i="1"/>
  <c r="F620" i="1"/>
  <c r="F607" i="1"/>
  <c r="F589" i="1"/>
  <c r="F577" i="1"/>
  <c r="F608" i="1"/>
  <c r="F621" i="1"/>
  <c r="F565" i="1"/>
  <c r="F622" i="1"/>
  <c r="F583" i="1"/>
  <c r="F623" i="1"/>
  <c r="F624" i="1"/>
  <c r="F592" i="1"/>
  <c r="F585" i="1"/>
  <c r="F573" i="1"/>
  <c r="F625" i="1"/>
  <c r="F603" i="1"/>
  <c r="F578" i="1"/>
  <c r="F586" i="1"/>
  <c r="F567" i="1"/>
  <c r="F584" i="1"/>
  <c r="F570" i="1"/>
  <c r="F628" i="1"/>
  <c r="F626" i="1"/>
  <c r="F579" i="1"/>
  <c r="F627" i="1"/>
  <c r="F606" i="1"/>
  <c r="F594" i="1"/>
  <c r="F571" i="1"/>
  <c r="F595" i="1"/>
  <c r="F569" i="1"/>
  <c r="F631" i="1"/>
  <c r="F610" i="1"/>
  <c r="F632" i="1"/>
  <c r="F633" i="1"/>
  <c r="F720" i="1"/>
  <c r="F730" i="1"/>
  <c r="F676" i="1"/>
  <c r="F653" i="1"/>
  <c r="F704" i="1"/>
  <c r="F731" i="1"/>
  <c r="F732" i="1"/>
  <c r="F733" i="1"/>
  <c r="F734" i="1"/>
  <c r="F735" i="1"/>
  <c r="F736" i="1"/>
  <c r="F794" i="1"/>
  <c r="F657" i="1"/>
  <c r="F737" i="1"/>
  <c r="F738" i="1"/>
  <c r="F739" i="1"/>
  <c r="F740" i="1"/>
  <c r="F698" i="1"/>
  <c r="F741" i="1"/>
  <c r="F695" i="1"/>
  <c r="F742" i="1"/>
  <c r="F694" i="1"/>
  <c r="F712" i="1"/>
  <c r="F700" i="1"/>
  <c r="F723" i="1"/>
  <c r="F696" i="1"/>
  <c r="F691" i="1"/>
  <c r="F711" i="1"/>
  <c r="F743" i="1"/>
  <c r="F699" i="1"/>
  <c r="F795" i="1"/>
  <c r="F721" i="1"/>
  <c r="F796" i="1"/>
  <c r="F669" i="1"/>
  <c r="F717" i="1"/>
  <c r="F724" i="1"/>
  <c r="F710" i="1"/>
  <c r="F641" i="1"/>
  <c r="F715" i="1"/>
  <c r="F744" i="1"/>
  <c r="F643" i="1"/>
  <c r="F697" i="1"/>
  <c r="F642" i="1"/>
  <c r="F637" i="1"/>
  <c r="F682" i="1"/>
  <c r="F673" i="1"/>
  <c r="F685" i="1"/>
  <c r="F745" i="1"/>
  <c r="F634" i="1"/>
  <c r="F680" i="1"/>
  <c r="F651" i="1"/>
  <c r="F797" i="1"/>
  <c r="F746" i="1"/>
  <c r="F663" i="1"/>
  <c r="F690" i="1"/>
  <c r="F640" i="1"/>
  <c r="F747" i="1"/>
  <c r="F725" i="1"/>
  <c r="F659" i="1"/>
  <c r="F749" i="1"/>
  <c r="F665" i="1"/>
  <c r="F714" i="1"/>
  <c r="F718" i="1"/>
  <c r="F750" i="1"/>
  <c r="F748" i="1"/>
  <c r="F719" i="1"/>
  <c r="F726" i="1"/>
  <c r="F751" i="1"/>
  <c r="F798" i="1"/>
  <c r="F677" i="1"/>
  <c r="F752" i="1"/>
  <c r="F799" i="1"/>
  <c r="F678" i="1"/>
  <c r="F800" i="1"/>
  <c r="F666" i="1"/>
  <c r="F801" i="1"/>
  <c r="F802" i="1"/>
  <c r="F672" i="1"/>
  <c r="F728" i="1"/>
  <c r="F671" i="1"/>
  <c r="F650" i="1"/>
  <c r="F803" i="1"/>
  <c r="F753" i="1"/>
  <c r="F658" i="1"/>
  <c r="F754" i="1"/>
  <c r="F688" i="1"/>
  <c r="F755" i="1"/>
  <c r="F756" i="1"/>
  <c r="F757" i="1"/>
  <c r="F662" i="1"/>
  <c r="F644" i="1"/>
  <c r="F638" i="1"/>
  <c r="F758" i="1"/>
  <c r="F804" i="1"/>
  <c r="F759" i="1"/>
  <c r="F805" i="1"/>
  <c r="F661" i="1"/>
  <c r="F652" i="1"/>
  <c r="F760" i="1"/>
  <c r="F635" i="1"/>
  <c r="F692" i="1"/>
  <c r="F647" i="1"/>
  <c r="F806" i="1"/>
  <c r="F761" i="1"/>
  <c r="F705" i="1"/>
  <c r="F675" i="1"/>
  <c r="F729" i="1"/>
  <c r="F713" i="1"/>
  <c r="F762" i="1"/>
  <c r="F763" i="1"/>
  <c r="F648" i="1"/>
  <c r="F764" i="1"/>
  <c r="F722" i="1"/>
  <c r="F765" i="1"/>
  <c r="F708" i="1"/>
  <c r="F709" i="1"/>
  <c r="F655" i="1"/>
  <c r="F636" i="1"/>
  <c r="F668" i="1"/>
  <c r="F807" i="1"/>
  <c r="F766" i="1"/>
  <c r="F674" i="1"/>
  <c r="F707" i="1"/>
  <c r="F767" i="1"/>
  <c r="F768" i="1"/>
  <c r="F769" i="1"/>
  <c r="F770" i="1"/>
  <c r="F771" i="1"/>
  <c r="F772" i="1"/>
  <c r="F679" i="1"/>
  <c r="F706" i="1"/>
  <c r="F808" i="1"/>
  <c r="F809" i="1"/>
  <c r="F773" i="1"/>
  <c r="F774" i="1"/>
  <c r="F670" i="1"/>
  <c r="F701" i="1"/>
  <c r="F775" i="1"/>
  <c r="F684" i="1"/>
  <c r="F776" i="1"/>
  <c r="F777" i="1"/>
  <c r="F656" i="1"/>
  <c r="F686" i="1"/>
  <c r="F660" i="1"/>
  <c r="F810" i="1"/>
  <c r="F778" i="1"/>
  <c r="F649" i="1"/>
  <c r="F779" i="1"/>
  <c r="F811" i="1"/>
  <c r="F780" i="1"/>
  <c r="F716" i="1"/>
  <c r="F812" i="1"/>
  <c r="F781" i="1"/>
  <c r="F782" i="1"/>
  <c r="F783" i="1"/>
  <c r="F683" i="1"/>
  <c r="F693" i="1"/>
  <c r="F784" i="1"/>
  <c r="F646" i="1"/>
  <c r="F687" i="1"/>
  <c r="F703" i="1"/>
  <c r="F785" i="1"/>
  <c r="F667" i="1"/>
  <c r="F786" i="1"/>
  <c r="F787" i="1"/>
  <c r="F645" i="1"/>
  <c r="F788" i="1"/>
  <c r="F664" i="1"/>
  <c r="F789" i="1"/>
  <c r="F790" i="1"/>
  <c r="F791" i="1"/>
  <c r="F792" i="1"/>
  <c r="F793" i="1"/>
  <c r="F816" i="1"/>
  <c r="F817" i="1"/>
  <c r="F702" i="1"/>
  <c r="F681" i="1"/>
  <c r="F814" i="1"/>
  <c r="F813" i="1"/>
  <c r="F818" i="1"/>
  <c r="F815" i="1"/>
  <c r="F727" i="1"/>
  <c r="F689" i="1"/>
  <c r="F819" i="1"/>
  <c r="F654" i="1"/>
  <c r="F639" i="1"/>
  <c r="F1250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3" i="1"/>
  <c r="F844" i="1"/>
  <c r="F846" i="1"/>
  <c r="F848" i="1"/>
  <c r="F849" i="1"/>
  <c r="F842" i="1"/>
  <c r="F845" i="1"/>
  <c r="F850" i="1"/>
  <c r="F847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3" i="1"/>
  <c r="F1154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80" i="1"/>
  <c r="F1181" i="1"/>
  <c r="F1182" i="1"/>
  <c r="F1183" i="1"/>
  <c r="F1184" i="1"/>
  <c r="F1185" i="1"/>
  <c r="F1186" i="1"/>
  <c r="F1187" i="1"/>
  <c r="F1188" i="1"/>
  <c r="F1189" i="1"/>
  <c r="F1190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4" i="1"/>
  <c r="F1226" i="1"/>
  <c r="F1228" i="1"/>
  <c r="F1229" i="1"/>
  <c r="F1230" i="1"/>
  <c r="F1231" i="1"/>
  <c r="F1232" i="1"/>
  <c r="F1233" i="1"/>
  <c r="F1234" i="1"/>
  <c r="F1235" i="1"/>
  <c r="F1236" i="1"/>
  <c r="F1238" i="1"/>
  <c r="F1239" i="1"/>
  <c r="F1240" i="1"/>
  <c r="F1241" i="1"/>
  <c r="F1243" i="1"/>
  <c r="F1245" i="1"/>
  <c r="F1246" i="1"/>
  <c r="F1247" i="1"/>
  <c r="F1248" i="1"/>
  <c r="F1249" i="1"/>
  <c r="F869" i="1"/>
  <c r="F942" i="1"/>
  <c r="F1050" i="1"/>
  <c r="F1100" i="1"/>
  <c r="F1152" i="1"/>
  <c r="F1155" i="1"/>
  <c r="F1179" i="1"/>
  <c r="F1191" i="1"/>
  <c r="F1207" i="1"/>
  <c r="F1208" i="1"/>
  <c r="F1223" i="1"/>
  <c r="F1225" i="1"/>
  <c r="F1227" i="1"/>
  <c r="F1237" i="1"/>
  <c r="F1242" i="1"/>
  <c r="F124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30" i="1"/>
  <c r="E32" i="1"/>
  <c r="E34" i="1"/>
  <c r="E33" i="1"/>
  <c r="E35" i="1"/>
  <c r="E36" i="1"/>
  <c r="E37" i="1"/>
  <c r="E38" i="1"/>
  <c r="E39" i="1"/>
  <c r="E40" i="1"/>
  <c r="E41" i="1"/>
  <c r="E42" i="1"/>
  <c r="E43" i="1"/>
  <c r="E44" i="1"/>
  <c r="E45" i="1"/>
  <c r="E47" i="1"/>
  <c r="E46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8" i="1"/>
  <c r="E69" i="1"/>
  <c r="E70" i="1"/>
  <c r="E71" i="1"/>
  <c r="E72" i="1"/>
  <c r="E73" i="1"/>
  <c r="E74" i="1"/>
  <c r="E75" i="1"/>
  <c r="E76" i="1"/>
  <c r="E78" i="1"/>
  <c r="E77" i="1"/>
  <c r="E79" i="1"/>
  <c r="E80" i="1"/>
  <c r="E81" i="1"/>
  <c r="E82" i="1"/>
  <c r="E83" i="1"/>
  <c r="E84" i="1"/>
  <c r="E87" i="1"/>
  <c r="E86" i="1"/>
  <c r="E89" i="1"/>
  <c r="E88" i="1"/>
  <c r="E90" i="1"/>
  <c r="E91" i="1"/>
  <c r="E92" i="1"/>
  <c r="E93" i="1"/>
  <c r="E94" i="1"/>
  <c r="E97" i="1"/>
  <c r="E95" i="1"/>
  <c r="E96" i="1"/>
  <c r="E99" i="1"/>
  <c r="E100" i="1"/>
  <c r="E103" i="1"/>
  <c r="E101" i="1"/>
  <c r="E102" i="1"/>
  <c r="E104" i="1"/>
  <c r="E105" i="1"/>
  <c r="E106" i="1"/>
  <c r="E107" i="1"/>
  <c r="E108" i="1"/>
  <c r="E109" i="1"/>
  <c r="E110" i="1"/>
  <c r="E111" i="1"/>
  <c r="E113" i="1"/>
  <c r="E115" i="1"/>
  <c r="E114" i="1"/>
  <c r="E117" i="1"/>
  <c r="E116" i="1"/>
  <c r="E118" i="1"/>
  <c r="E121" i="1"/>
  <c r="E119" i="1"/>
  <c r="E122" i="1"/>
  <c r="E123" i="1"/>
  <c r="E124" i="1"/>
  <c r="E125" i="1"/>
  <c r="E126" i="1"/>
  <c r="E127" i="1"/>
  <c r="E129" i="1"/>
  <c r="E128" i="1"/>
  <c r="E131" i="1"/>
  <c r="E132" i="1"/>
  <c r="E134" i="1"/>
  <c r="E135" i="1"/>
  <c r="E133" i="1"/>
  <c r="E137" i="1"/>
  <c r="E138" i="1"/>
  <c r="E139" i="1"/>
  <c r="E140" i="1"/>
  <c r="E141" i="1"/>
  <c r="E142" i="1"/>
  <c r="E144" i="1"/>
  <c r="E143" i="1"/>
  <c r="E145" i="1"/>
  <c r="E146" i="1"/>
  <c r="E147" i="1"/>
  <c r="E148" i="1"/>
  <c r="E149" i="1"/>
  <c r="E151" i="1"/>
  <c r="E150" i="1"/>
  <c r="E152" i="1"/>
  <c r="E153" i="1"/>
  <c r="E154" i="1"/>
  <c r="E156" i="1"/>
  <c r="E155" i="1"/>
  <c r="E158" i="1"/>
  <c r="E157" i="1"/>
  <c r="E160" i="1"/>
  <c r="E159" i="1"/>
  <c r="E164" i="1"/>
  <c r="E167" i="1"/>
  <c r="E166" i="1"/>
  <c r="E165" i="1"/>
  <c r="E168" i="1"/>
  <c r="E170" i="1"/>
  <c r="E169" i="1"/>
  <c r="E172" i="1"/>
  <c r="E173" i="1"/>
  <c r="E175" i="1"/>
  <c r="E176" i="1"/>
  <c r="E177" i="1"/>
  <c r="E179" i="1"/>
  <c r="E180" i="1"/>
  <c r="E183" i="1"/>
  <c r="E184" i="1"/>
  <c r="E186" i="1"/>
  <c r="E187" i="1"/>
  <c r="E188" i="1"/>
  <c r="E191" i="1"/>
  <c r="E192" i="1"/>
  <c r="E194" i="1"/>
  <c r="E195" i="1"/>
  <c r="E198" i="1"/>
  <c r="E199" i="1"/>
  <c r="E197" i="1"/>
  <c r="E200" i="1"/>
  <c r="E204" i="1"/>
  <c r="E205" i="1"/>
  <c r="E202" i="1"/>
  <c r="E209" i="1"/>
  <c r="E210" i="1"/>
  <c r="E212" i="1"/>
  <c r="E213" i="1"/>
  <c r="E215" i="1"/>
  <c r="E216" i="1"/>
  <c r="E217" i="1"/>
  <c r="E218" i="1"/>
  <c r="E219" i="1"/>
  <c r="E223" i="1"/>
  <c r="E222" i="1"/>
  <c r="E221" i="1"/>
  <c r="E224" i="1"/>
  <c r="E226" i="1"/>
  <c r="E228" i="1"/>
  <c r="E230" i="1"/>
  <c r="E232" i="1"/>
  <c r="E231" i="1"/>
  <c r="E235" i="1"/>
  <c r="E236" i="1"/>
  <c r="E29" i="1"/>
  <c r="E31" i="1"/>
  <c r="E85" i="1"/>
  <c r="E120" i="1"/>
  <c r="E130" i="1"/>
  <c r="E136" i="1"/>
  <c r="E161" i="1"/>
  <c r="E163" i="1"/>
  <c r="E162" i="1"/>
  <c r="E171" i="1"/>
  <c r="E174" i="1"/>
  <c r="E178" i="1"/>
  <c r="E182" i="1"/>
  <c r="E181" i="1"/>
  <c r="E185" i="1"/>
  <c r="E190" i="1"/>
  <c r="E189" i="1"/>
  <c r="E193" i="1"/>
  <c r="E196" i="1"/>
  <c r="E203" i="1"/>
  <c r="E208" i="1"/>
  <c r="E214" i="1"/>
  <c r="E220" i="1"/>
  <c r="E225" i="1"/>
  <c r="E233" i="1"/>
  <c r="E234" i="1"/>
  <c r="E246" i="1"/>
  <c r="E242" i="1"/>
  <c r="E251" i="1"/>
  <c r="E237" i="1"/>
  <c r="E249" i="1"/>
  <c r="E254" i="1"/>
  <c r="E244" i="1"/>
  <c r="E255" i="1"/>
  <c r="E248" i="1"/>
  <c r="E256" i="1"/>
  <c r="E252" i="1"/>
  <c r="E241" i="1"/>
  <c r="E239" i="1"/>
  <c r="E257" i="1"/>
  <c r="E250" i="1"/>
  <c r="E258" i="1"/>
  <c r="E240" i="1"/>
  <c r="E247" i="1"/>
  <c r="E259" i="1"/>
  <c r="E238" i="1"/>
  <c r="E284" i="1"/>
  <c r="E278" i="1"/>
  <c r="E287" i="1"/>
  <c r="E280" i="1"/>
  <c r="E273" i="1"/>
  <c r="E268" i="1"/>
  <c r="E279" i="1"/>
  <c r="E289" i="1"/>
  <c r="E281" i="1"/>
  <c r="E274" i="1"/>
  <c r="E269" i="1"/>
  <c r="E270" i="1"/>
  <c r="E271" i="1"/>
  <c r="E290" i="1"/>
  <c r="E291" i="1"/>
  <c r="E272" i="1"/>
  <c r="E277" i="1"/>
  <c r="E312" i="1"/>
  <c r="E316" i="1"/>
  <c r="E314" i="1"/>
  <c r="E292" i="1"/>
  <c r="E302" i="1"/>
  <c r="E317" i="1"/>
  <c r="E303" i="1"/>
  <c r="E304" i="1"/>
  <c r="E313" i="1"/>
  <c r="E318" i="1"/>
  <c r="E307" i="1"/>
  <c r="E309" i="1"/>
  <c r="E298" i="1"/>
  <c r="E306" i="1"/>
  <c r="E294" i="1"/>
  <c r="E293" i="1"/>
  <c r="E300" i="1"/>
  <c r="E308" i="1"/>
  <c r="E310" i="1"/>
  <c r="E301" i="1"/>
  <c r="E296" i="1"/>
  <c r="E347" i="1"/>
  <c r="E335" i="1"/>
  <c r="E328" i="1"/>
  <c r="E346" i="1"/>
  <c r="E327" i="1"/>
  <c r="E350" i="1"/>
  <c r="E344" i="1"/>
  <c r="E351" i="1"/>
  <c r="E352" i="1"/>
  <c r="E353" i="1"/>
  <c r="E354" i="1"/>
  <c r="E336" i="1"/>
  <c r="E342" i="1"/>
  <c r="E337" i="1"/>
  <c r="E340" i="1"/>
  <c r="E329" i="1"/>
  <c r="E333" i="1"/>
  <c r="E330" i="1"/>
  <c r="E341" i="1"/>
  <c r="E332" i="1"/>
  <c r="E343" i="1"/>
  <c r="E338" i="1"/>
  <c r="E404" i="1"/>
  <c r="E385" i="1"/>
  <c r="E398" i="1"/>
  <c r="E421" i="1"/>
  <c r="E417" i="1"/>
  <c r="E418" i="1"/>
  <c r="E375" i="1"/>
  <c r="E389" i="1"/>
  <c r="E401" i="1"/>
  <c r="E393" i="1"/>
  <c r="E409" i="1"/>
  <c r="E357" i="1"/>
  <c r="E366" i="1"/>
  <c r="E372" i="1"/>
  <c r="E423" i="1"/>
  <c r="E403" i="1"/>
  <c r="E384" i="1"/>
  <c r="E358" i="1"/>
  <c r="E360" i="1"/>
  <c r="E413" i="1"/>
  <c r="E424" i="1"/>
  <c r="E391" i="1"/>
  <c r="E402" i="1"/>
  <c r="E394" i="1"/>
  <c r="E382" i="1"/>
  <c r="E383" i="1"/>
  <c r="E407" i="1"/>
  <c r="E359" i="1"/>
  <c r="E377" i="1"/>
  <c r="E376" i="1"/>
  <c r="E361" i="1"/>
  <c r="E399" i="1"/>
  <c r="E392" i="1"/>
  <c r="E427" i="1"/>
  <c r="E373" i="1"/>
  <c r="E368" i="1"/>
  <c r="E428" i="1"/>
  <c r="E410" i="1"/>
  <c r="E397" i="1"/>
  <c r="E388" i="1"/>
  <c r="E405" i="1"/>
  <c r="E371" i="1"/>
  <c r="E416" i="1"/>
  <c r="E386" i="1"/>
  <c r="E387" i="1"/>
  <c r="E365" i="1"/>
  <c r="E430" i="1"/>
  <c r="E470" i="1"/>
  <c r="E451" i="1"/>
  <c r="E447" i="1"/>
  <c r="E458" i="1"/>
  <c r="E459" i="1"/>
  <c r="E446" i="1"/>
  <c r="E448" i="1"/>
  <c r="E460" i="1"/>
  <c r="E444" i="1"/>
  <c r="E468" i="1"/>
  <c r="E433" i="1"/>
  <c r="E435" i="1"/>
  <c r="E432" i="1"/>
  <c r="E436" i="1"/>
  <c r="E462" i="1"/>
  <c r="E479" i="1"/>
  <c r="E472" i="1"/>
  <c r="E469" i="1"/>
  <c r="E452" i="1"/>
  <c r="E461" i="1"/>
  <c r="E475" i="1"/>
  <c r="E454" i="1"/>
  <c r="E477" i="1"/>
  <c r="E456" i="1"/>
  <c r="E476" i="1"/>
  <c r="E464" i="1"/>
  <c r="E480" i="1"/>
  <c r="E465" i="1"/>
  <c r="E439" i="1"/>
  <c r="E455" i="1"/>
  <c r="E443" i="1"/>
  <c r="E441" i="1"/>
  <c r="E434" i="1"/>
  <c r="E467" i="1"/>
  <c r="E473" i="1"/>
  <c r="E457" i="1"/>
  <c r="E437" i="1"/>
  <c r="E450" i="1"/>
  <c r="E463" i="1"/>
  <c r="E466" i="1"/>
  <c r="E481" i="1"/>
  <c r="E474" i="1"/>
  <c r="E471" i="1"/>
  <c r="E442" i="1"/>
  <c r="E453" i="1"/>
  <c r="E438" i="1"/>
  <c r="E445" i="1"/>
  <c r="E449" i="1"/>
  <c r="E431" i="1"/>
  <c r="E440" i="1"/>
  <c r="E478" i="1"/>
  <c r="E98" i="1"/>
  <c r="E206" i="1"/>
  <c r="E245" i="1"/>
  <c r="E253" i="1"/>
  <c r="E243" i="1"/>
  <c r="E286" i="1"/>
  <c r="E283" i="1"/>
  <c r="E288" i="1"/>
  <c r="E275" i="1"/>
  <c r="E267" i="1"/>
  <c r="E285" i="1"/>
  <c r="E299" i="1"/>
  <c r="E305" i="1"/>
  <c r="E348" i="1"/>
  <c r="E334" i="1"/>
  <c r="E356" i="1"/>
  <c r="E331" i="1"/>
  <c r="E363" i="1"/>
  <c r="E420" i="1"/>
  <c r="E374" i="1"/>
  <c r="E414" i="1"/>
  <c r="E364" i="1"/>
  <c r="E362" i="1"/>
  <c r="E396" i="1"/>
  <c r="E400" i="1"/>
  <c r="E380" i="1"/>
  <c r="E406" i="1"/>
  <c r="E378" i="1"/>
  <c r="E497" i="1"/>
  <c r="E508" i="1"/>
  <c r="E488" i="1"/>
  <c r="E511" i="1"/>
  <c r="E482" i="1"/>
  <c r="E492" i="1"/>
  <c r="E486" i="1"/>
  <c r="E499" i="1"/>
  <c r="E495" i="1"/>
  <c r="E500" i="1"/>
  <c r="E516" i="1"/>
  <c r="E517" i="1"/>
  <c r="E501" i="1"/>
  <c r="E282" i="1"/>
  <c r="E297" i="1"/>
  <c r="E319" i="1"/>
  <c r="E345" i="1"/>
  <c r="E411" i="1"/>
  <c r="E506" i="1"/>
  <c r="E483" i="1"/>
  <c r="E487" i="1"/>
  <c r="E496" i="1"/>
  <c r="E493" i="1"/>
  <c r="E490" i="1"/>
  <c r="E484" i="1"/>
  <c r="E489" i="1"/>
  <c r="E513" i="1"/>
  <c r="E67" i="1"/>
  <c r="E201" i="1"/>
  <c r="E211" i="1"/>
  <c r="E276" i="1"/>
  <c r="E315" i="1"/>
  <c r="E311" i="1"/>
  <c r="E295" i="1"/>
  <c r="E339" i="1"/>
  <c r="E349" i="1"/>
  <c r="E355" i="1"/>
  <c r="E395" i="1"/>
  <c r="E419" i="1"/>
  <c r="E426" i="1"/>
  <c r="E381" i="1"/>
  <c r="E370" i="1"/>
  <c r="E491" i="1"/>
  <c r="E503" i="1"/>
  <c r="E498" i="1"/>
  <c r="E485" i="1"/>
  <c r="E512" i="1"/>
  <c r="E505" i="1"/>
  <c r="E519" i="1"/>
  <c r="E112" i="1"/>
  <c r="E207" i="1"/>
  <c r="E227" i="1"/>
  <c r="E229" i="1"/>
  <c r="E263" i="1"/>
  <c r="E261" i="1"/>
  <c r="E264" i="1"/>
  <c r="E260" i="1"/>
  <c r="E265" i="1"/>
  <c r="E266" i="1"/>
  <c r="E262" i="1"/>
  <c r="E320" i="1"/>
  <c r="E322" i="1"/>
  <c r="E325" i="1"/>
  <c r="E323" i="1"/>
  <c r="E324" i="1"/>
  <c r="E321" i="1"/>
  <c r="E326" i="1"/>
  <c r="E415" i="1"/>
  <c r="E379" i="1"/>
  <c r="E412" i="1"/>
  <c r="E422" i="1"/>
  <c r="E369" i="1"/>
  <c r="E367" i="1"/>
  <c r="E408" i="1"/>
  <c r="E390" i="1"/>
  <c r="E425" i="1"/>
  <c r="E429" i="1"/>
  <c r="E504" i="1"/>
  <c r="E515" i="1"/>
  <c r="E502" i="1"/>
  <c r="E507" i="1"/>
  <c r="E494" i="1"/>
  <c r="E510" i="1"/>
  <c r="E514" i="1"/>
  <c r="E509" i="1"/>
  <c r="E518" i="1"/>
  <c r="E549" i="1"/>
  <c r="E550" i="1"/>
  <c r="E531" i="1"/>
  <c r="E551" i="1"/>
  <c r="E552" i="1"/>
  <c r="E540" i="1"/>
  <c r="E524" i="1"/>
  <c r="E530" i="1"/>
  <c r="E520" i="1"/>
  <c r="E525" i="1"/>
  <c r="E545" i="1"/>
  <c r="E532" i="1"/>
  <c r="E541" i="1"/>
  <c r="E522" i="1"/>
  <c r="E542" i="1"/>
  <c r="E538" i="1"/>
  <c r="E539" i="1"/>
  <c r="E548" i="1"/>
  <c r="E561" i="1"/>
  <c r="E553" i="1"/>
  <c r="E547" i="1"/>
  <c r="E543" i="1"/>
  <c r="E537" i="1"/>
  <c r="E521" i="1"/>
  <c r="E554" i="1"/>
  <c r="E534" i="1"/>
  <c r="E544" i="1"/>
  <c r="E533" i="1"/>
  <c r="E557" i="1"/>
  <c r="E555" i="1"/>
  <c r="E536" i="1"/>
  <c r="E526" i="1"/>
  <c r="E546" i="1"/>
  <c r="E562" i="1"/>
  <c r="E563" i="1"/>
  <c r="E528" i="1"/>
  <c r="E527" i="1"/>
  <c r="E556" i="1"/>
  <c r="E535" i="1"/>
  <c r="E529" i="1"/>
  <c r="E558" i="1"/>
  <c r="E559" i="1"/>
  <c r="E560" i="1"/>
  <c r="E564" i="1"/>
  <c r="E523" i="1"/>
  <c r="E581" i="1"/>
  <c r="E612" i="1"/>
  <c r="E629" i="1"/>
  <c r="E613" i="1"/>
  <c r="E580" i="1"/>
  <c r="E614" i="1"/>
  <c r="E568" i="1"/>
  <c r="E600" i="1"/>
  <c r="E590" i="1"/>
  <c r="E630" i="1"/>
  <c r="E582" i="1"/>
  <c r="E615" i="1"/>
  <c r="E574" i="1"/>
  <c r="E597" i="1"/>
  <c r="E604" i="1"/>
  <c r="E599" i="1"/>
  <c r="E616" i="1"/>
  <c r="E593" i="1"/>
  <c r="E617" i="1"/>
  <c r="E566" i="1"/>
  <c r="E575" i="1"/>
  <c r="E596" i="1"/>
  <c r="E572" i="1"/>
  <c r="E618" i="1"/>
  <c r="E609" i="1"/>
  <c r="E576" i="1"/>
  <c r="E601" i="1"/>
  <c r="E588" i="1"/>
  <c r="E611" i="1"/>
  <c r="E602" i="1"/>
  <c r="E605" i="1"/>
  <c r="E598" i="1"/>
  <c r="E591" i="1"/>
  <c r="E587" i="1"/>
  <c r="E619" i="1"/>
  <c r="E620" i="1"/>
  <c r="E607" i="1"/>
  <c r="E589" i="1"/>
  <c r="E577" i="1"/>
  <c r="E608" i="1"/>
  <c r="E621" i="1"/>
  <c r="E565" i="1"/>
  <c r="E622" i="1"/>
  <c r="E583" i="1"/>
  <c r="E623" i="1"/>
  <c r="E624" i="1"/>
  <c r="E592" i="1"/>
  <c r="E585" i="1"/>
  <c r="E573" i="1"/>
  <c r="E625" i="1"/>
  <c r="E603" i="1"/>
  <c r="E578" i="1"/>
  <c r="E586" i="1"/>
  <c r="E567" i="1"/>
  <c r="E584" i="1"/>
  <c r="E570" i="1"/>
  <c r="E628" i="1"/>
  <c r="E626" i="1"/>
  <c r="E579" i="1"/>
  <c r="E627" i="1"/>
  <c r="E606" i="1"/>
  <c r="E594" i="1"/>
  <c r="E571" i="1"/>
  <c r="E595" i="1"/>
  <c r="E569" i="1"/>
  <c r="E631" i="1"/>
  <c r="E610" i="1"/>
  <c r="E632" i="1"/>
  <c r="E633" i="1"/>
  <c r="E720" i="1"/>
  <c r="E730" i="1"/>
  <c r="E676" i="1"/>
  <c r="E653" i="1"/>
  <c r="E704" i="1"/>
  <c r="E731" i="1"/>
  <c r="E732" i="1"/>
  <c r="E733" i="1"/>
  <c r="E734" i="1"/>
  <c r="E735" i="1"/>
  <c r="E736" i="1"/>
  <c r="E794" i="1"/>
  <c r="E657" i="1"/>
  <c r="E737" i="1"/>
  <c r="E738" i="1"/>
  <c r="E739" i="1"/>
  <c r="E740" i="1"/>
  <c r="E698" i="1"/>
  <c r="E741" i="1"/>
  <c r="E695" i="1"/>
  <c r="E742" i="1"/>
  <c r="E694" i="1"/>
  <c r="E712" i="1"/>
  <c r="E700" i="1"/>
  <c r="E723" i="1"/>
  <c r="E696" i="1"/>
  <c r="E691" i="1"/>
  <c r="E711" i="1"/>
  <c r="E743" i="1"/>
  <c r="E699" i="1"/>
  <c r="E795" i="1"/>
  <c r="E721" i="1"/>
  <c r="E796" i="1"/>
  <c r="E669" i="1"/>
  <c r="E717" i="1"/>
  <c r="E724" i="1"/>
  <c r="E710" i="1"/>
  <c r="E641" i="1"/>
  <c r="E715" i="1"/>
  <c r="E744" i="1"/>
  <c r="E643" i="1"/>
  <c r="E697" i="1"/>
  <c r="E642" i="1"/>
  <c r="E637" i="1"/>
  <c r="E682" i="1"/>
  <c r="E673" i="1"/>
  <c r="E685" i="1"/>
  <c r="E745" i="1"/>
  <c r="E634" i="1"/>
  <c r="E680" i="1"/>
  <c r="E651" i="1"/>
  <c r="E797" i="1"/>
  <c r="E746" i="1"/>
  <c r="E663" i="1"/>
  <c r="E690" i="1"/>
  <c r="E640" i="1"/>
  <c r="E747" i="1"/>
  <c r="E725" i="1"/>
  <c r="E659" i="1"/>
  <c r="E749" i="1"/>
  <c r="E665" i="1"/>
  <c r="E714" i="1"/>
  <c r="E718" i="1"/>
  <c r="E750" i="1"/>
  <c r="E748" i="1"/>
  <c r="E719" i="1"/>
  <c r="E726" i="1"/>
  <c r="E751" i="1"/>
  <c r="E798" i="1"/>
  <c r="E677" i="1"/>
  <c r="E752" i="1"/>
  <c r="E799" i="1"/>
  <c r="E678" i="1"/>
  <c r="E800" i="1"/>
  <c r="E666" i="1"/>
  <c r="E801" i="1"/>
  <c r="E802" i="1"/>
  <c r="E672" i="1"/>
  <c r="E728" i="1"/>
  <c r="E671" i="1"/>
  <c r="E650" i="1"/>
  <c r="E803" i="1"/>
  <c r="E753" i="1"/>
  <c r="E658" i="1"/>
  <c r="E754" i="1"/>
  <c r="E688" i="1"/>
  <c r="E755" i="1"/>
  <c r="E756" i="1"/>
  <c r="E757" i="1"/>
  <c r="E662" i="1"/>
  <c r="E644" i="1"/>
  <c r="E638" i="1"/>
  <c r="E758" i="1"/>
  <c r="E804" i="1"/>
  <c r="E759" i="1"/>
  <c r="E805" i="1"/>
  <c r="E661" i="1"/>
  <c r="E652" i="1"/>
  <c r="E760" i="1"/>
  <c r="E635" i="1"/>
  <c r="E692" i="1"/>
  <c r="E647" i="1"/>
  <c r="E806" i="1"/>
  <c r="E761" i="1"/>
  <c r="E705" i="1"/>
  <c r="E675" i="1"/>
  <c r="E729" i="1"/>
  <c r="E713" i="1"/>
  <c r="E762" i="1"/>
  <c r="E763" i="1"/>
  <c r="E648" i="1"/>
  <c r="E764" i="1"/>
  <c r="E722" i="1"/>
  <c r="E765" i="1"/>
  <c r="E708" i="1"/>
  <c r="E709" i="1"/>
  <c r="E655" i="1"/>
  <c r="E636" i="1"/>
  <c r="E668" i="1"/>
  <c r="E807" i="1"/>
  <c r="E766" i="1"/>
  <c r="E674" i="1"/>
  <c r="E707" i="1"/>
  <c r="E767" i="1"/>
  <c r="E768" i="1"/>
  <c r="E769" i="1"/>
  <c r="E770" i="1"/>
  <c r="E771" i="1"/>
  <c r="E772" i="1"/>
  <c r="E679" i="1"/>
  <c r="E706" i="1"/>
  <c r="E808" i="1"/>
  <c r="E809" i="1"/>
  <c r="E773" i="1"/>
  <c r="E774" i="1"/>
  <c r="E670" i="1"/>
  <c r="E701" i="1"/>
  <c r="E775" i="1"/>
  <c r="E684" i="1"/>
  <c r="E776" i="1"/>
  <c r="E777" i="1"/>
  <c r="E656" i="1"/>
  <c r="E686" i="1"/>
  <c r="E660" i="1"/>
  <c r="E810" i="1"/>
  <c r="E778" i="1"/>
  <c r="E649" i="1"/>
  <c r="E779" i="1"/>
  <c r="E811" i="1"/>
  <c r="E780" i="1"/>
  <c r="E716" i="1"/>
  <c r="E812" i="1"/>
  <c r="E781" i="1"/>
  <c r="E782" i="1"/>
  <c r="E783" i="1"/>
  <c r="E683" i="1"/>
  <c r="E693" i="1"/>
  <c r="E784" i="1"/>
  <c r="E646" i="1"/>
  <c r="E687" i="1"/>
  <c r="E703" i="1"/>
  <c r="E785" i="1"/>
  <c r="E667" i="1"/>
  <c r="E786" i="1"/>
  <c r="E787" i="1"/>
  <c r="E645" i="1"/>
  <c r="E788" i="1"/>
  <c r="E664" i="1"/>
  <c r="E789" i="1"/>
  <c r="E790" i="1"/>
  <c r="E791" i="1"/>
  <c r="E792" i="1"/>
  <c r="E793" i="1"/>
  <c r="E816" i="1"/>
  <c r="E817" i="1"/>
  <c r="E702" i="1"/>
  <c r="E681" i="1"/>
  <c r="E814" i="1"/>
  <c r="E813" i="1"/>
  <c r="E818" i="1"/>
  <c r="E815" i="1"/>
  <c r="E727" i="1"/>
  <c r="E689" i="1"/>
  <c r="E819" i="1"/>
  <c r="E654" i="1"/>
  <c r="E639" i="1"/>
  <c r="E1250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3" i="1"/>
  <c r="E844" i="1"/>
  <c r="E846" i="1"/>
  <c r="E848" i="1"/>
  <c r="E849" i="1"/>
  <c r="E842" i="1"/>
  <c r="E845" i="1"/>
  <c r="E850" i="1"/>
  <c r="E847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3" i="1"/>
  <c r="E1154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80" i="1"/>
  <c r="E1181" i="1"/>
  <c r="E1182" i="1"/>
  <c r="E1183" i="1"/>
  <c r="E1184" i="1"/>
  <c r="E1185" i="1"/>
  <c r="E1186" i="1"/>
  <c r="E1187" i="1"/>
  <c r="E1188" i="1"/>
  <c r="E1189" i="1"/>
  <c r="E1190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4" i="1"/>
  <c r="E1226" i="1"/>
  <c r="E1228" i="1"/>
  <c r="E1229" i="1"/>
  <c r="E1230" i="1"/>
  <c r="E1231" i="1"/>
  <c r="E1232" i="1"/>
  <c r="E1233" i="1"/>
  <c r="E1234" i="1"/>
  <c r="E1235" i="1"/>
  <c r="E1236" i="1"/>
  <c r="E1238" i="1"/>
  <c r="E1239" i="1"/>
  <c r="E1240" i="1"/>
  <c r="E1241" i="1"/>
  <c r="E1243" i="1"/>
  <c r="E1245" i="1"/>
  <c r="E1246" i="1"/>
  <c r="E1247" i="1"/>
  <c r="E1248" i="1"/>
  <c r="E1249" i="1"/>
  <c r="E869" i="1"/>
  <c r="E942" i="1"/>
  <c r="E1050" i="1"/>
  <c r="E1100" i="1"/>
  <c r="E1152" i="1"/>
  <c r="E1155" i="1"/>
  <c r="E1179" i="1"/>
  <c r="E1191" i="1"/>
  <c r="E1207" i="1"/>
  <c r="E1208" i="1"/>
  <c r="E1223" i="1"/>
  <c r="E1225" i="1"/>
  <c r="E1227" i="1"/>
  <c r="E1237" i="1"/>
  <c r="E1242" i="1"/>
  <c r="E124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30" i="1"/>
  <c r="D32" i="1"/>
  <c r="D34" i="1"/>
  <c r="D33" i="1"/>
  <c r="D35" i="1"/>
  <c r="D36" i="1"/>
  <c r="D37" i="1"/>
  <c r="D38" i="1"/>
  <c r="D39" i="1"/>
  <c r="D40" i="1"/>
  <c r="D41" i="1"/>
  <c r="D42" i="1"/>
  <c r="D43" i="1"/>
  <c r="D44" i="1"/>
  <c r="D45" i="1"/>
  <c r="D47" i="1"/>
  <c r="D46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8" i="1"/>
  <c r="D69" i="1"/>
  <c r="D70" i="1"/>
  <c r="D71" i="1"/>
  <c r="D72" i="1"/>
  <c r="D73" i="1"/>
  <c r="D74" i="1"/>
  <c r="D75" i="1"/>
  <c r="D76" i="1"/>
  <c r="D78" i="1"/>
  <c r="D77" i="1"/>
  <c r="D79" i="1"/>
  <c r="D80" i="1"/>
  <c r="D81" i="1"/>
  <c r="D82" i="1"/>
  <c r="D83" i="1"/>
  <c r="D84" i="1"/>
  <c r="D87" i="1"/>
  <c r="D86" i="1"/>
  <c r="D89" i="1"/>
  <c r="D88" i="1"/>
  <c r="D90" i="1"/>
  <c r="D91" i="1"/>
  <c r="D92" i="1"/>
  <c r="D93" i="1"/>
  <c r="D94" i="1"/>
  <c r="D97" i="1"/>
  <c r="D95" i="1"/>
  <c r="D96" i="1"/>
  <c r="D99" i="1"/>
  <c r="D100" i="1"/>
  <c r="D103" i="1"/>
  <c r="D101" i="1"/>
  <c r="D102" i="1"/>
  <c r="D104" i="1"/>
  <c r="D105" i="1"/>
  <c r="D106" i="1"/>
  <c r="D107" i="1"/>
  <c r="D108" i="1"/>
  <c r="D109" i="1"/>
  <c r="D110" i="1"/>
  <c r="D111" i="1"/>
  <c r="D113" i="1"/>
  <c r="D115" i="1"/>
  <c r="D114" i="1"/>
  <c r="D117" i="1"/>
  <c r="D116" i="1"/>
  <c r="D118" i="1"/>
  <c r="D121" i="1"/>
  <c r="D119" i="1"/>
  <c r="D122" i="1"/>
  <c r="D123" i="1"/>
  <c r="D124" i="1"/>
  <c r="D125" i="1"/>
  <c r="D126" i="1"/>
  <c r="D127" i="1"/>
  <c r="D129" i="1"/>
  <c r="D128" i="1"/>
  <c r="D131" i="1"/>
  <c r="D132" i="1"/>
  <c r="D134" i="1"/>
  <c r="D135" i="1"/>
  <c r="D133" i="1"/>
  <c r="D137" i="1"/>
  <c r="D138" i="1"/>
  <c r="D139" i="1"/>
  <c r="D140" i="1"/>
  <c r="D141" i="1"/>
  <c r="D142" i="1"/>
  <c r="D144" i="1"/>
  <c r="D143" i="1"/>
  <c r="D145" i="1"/>
  <c r="D146" i="1"/>
  <c r="D147" i="1"/>
  <c r="D148" i="1"/>
  <c r="D149" i="1"/>
  <c r="D151" i="1"/>
  <c r="D150" i="1"/>
  <c r="D152" i="1"/>
  <c r="D153" i="1"/>
  <c r="D154" i="1"/>
  <c r="D156" i="1"/>
  <c r="D155" i="1"/>
  <c r="D158" i="1"/>
  <c r="D157" i="1"/>
  <c r="D160" i="1"/>
  <c r="D159" i="1"/>
  <c r="D164" i="1"/>
  <c r="D167" i="1"/>
  <c r="D166" i="1"/>
  <c r="D165" i="1"/>
  <c r="D168" i="1"/>
  <c r="D170" i="1"/>
  <c r="D169" i="1"/>
  <c r="D172" i="1"/>
  <c r="D173" i="1"/>
  <c r="D175" i="1"/>
  <c r="D176" i="1"/>
  <c r="D177" i="1"/>
  <c r="D179" i="1"/>
  <c r="D180" i="1"/>
  <c r="D183" i="1"/>
  <c r="D184" i="1"/>
  <c r="D186" i="1"/>
  <c r="D187" i="1"/>
  <c r="D188" i="1"/>
  <c r="D191" i="1"/>
  <c r="D192" i="1"/>
  <c r="D194" i="1"/>
  <c r="D195" i="1"/>
  <c r="D198" i="1"/>
  <c r="D199" i="1"/>
  <c r="D197" i="1"/>
  <c r="D200" i="1"/>
  <c r="D204" i="1"/>
  <c r="D205" i="1"/>
  <c r="D202" i="1"/>
  <c r="D209" i="1"/>
  <c r="D210" i="1"/>
  <c r="D212" i="1"/>
  <c r="D213" i="1"/>
  <c r="D215" i="1"/>
  <c r="D216" i="1"/>
  <c r="D217" i="1"/>
  <c r="D218" i="1"/>
  <c r="D219" i="1"/>
  <c r="D223" i="1"/>
  <c r="D222" i="1"/>
  <c r="D221" i="1"/>
  <c r="D224" i="1"/>
  <c r="D226" i="1"/>
  <c r="D228" i="1"/>
  <c r="D230" i="1"/>
  <c r="D232" i="1"/>
  <c r="D231" i="1"/>
  <c r="D235" i="1"/>
  <c r="D236" i="1"/>
  <c r="D29" i="1"/>
  <c r="D31" i="1"/>
  <c r="D85" i="1"/>
  <c r="D120" i="1"/>
  <c r="D130" i="1"/>
  <c r="D136" i="1"/>
  <c r="D161" i="1"/>
  <c r="D163" i="1"/>
  <c r="D162" i="1"/>
  <c r="D171" i="1"/>
  <c r="D174" i="1"/>
  <c r="D178" i="1"/>
  <c r="D182" i="1"/>
  <c r="D181" i="1"/>
  <c r="D185" i="1"/>
  <c r="D190" i="1"/>
  <c r="D189" i="1"/>
  <c r="D193" i="1"/>
  <c r="D196" i="1"/>
  <c r="D203" i="1"/>
  <c r="D208" i="1"/>
  <c r="D214" i="1"/>
  <c r="D220" i="1"/>
  <c r="D225" i="1"/>
  <c r="D233" i="1"/>
  <c r="D234" i="1"/>
  <c r="D246" i="1"/>
  <c r="D242" i="1"/>
  <c r="D251" i="1"/>
  <c r="D237" i="1"/>
  <c r="D249" i="1"/>
  <c r="D254" i="1"/>
  <c r="D244" i="1"/>
  <c r="D255" i="1"/>
  <c r="D248" i="1"/>
  <c r="D256" i="1"/>
  <c r="D252" i="1"/>
  <c r="D241" i="1"/>
  <c r="D239" i="1"/>
  <c r="D257" i="1"/>
  <c r="D250" i="1"/>
  <c r="D258" i="1"/>
  <c r="D240" i="1"/>
  <c r="D247" i="1"/>
  <c r="D259" i="1"/>
  <c r="D238" i="1"/>
  <c r="D284" i="1"/>
  <c r="D278" i="1"/>
  <c r="D287" i="1"/>
  <c r="D280" i="1"/>
  <c r="D273" i="1"/>
  <c r="D268" i="1"/>
  <c r="D279" i="1"/>
  <c r="D289" i="1"/>
  <c r="D281" i="1"/>
  <c r="D274" i="1"/>
  <c r="D269" i="1"/>
  <c r="D270" i="1"/>
  <c r="D271" i="1"/>
  <c r="D290" i="1"/>
  <c r="D291" i="1"/>
  <c r="D272" i="1"/>
  <c r="D277" i="1"/>
  <c r="D312" i="1"/>
  <c r="D316" i="1"/>
  <c r="D314" i="1"/>
  <c r="D292" i="1"/>
  <c r="D302" i="1"/>
  <c r="D317" i="1"/>
  <c r="D303" i="1"/>
  <c r="D304" i="1"/>
  <c r="D313" i="1"/>
  <c r="D318" i="1"/>
  <c r="D307" i="1"/>
  <c r="D309" i="1"/>
  <c r="D298" i="1"/>
  <c r="D306" i="1"/>
  <c r="D294" i="1"/>
  <c r="D293" i="1"/>
  <c r="D300" i="1"/>
  <c r="D308" i="1"/>
  <c r="D310" i="1"/>
  <c r="D301" i="1"/>
  <c r="D296" i="1"/>
  <c r="D347" i="1"/>
  <c r="D335" i="1"/>
  <c r="D328" i="1"/>
  <c r="D346" i="1"/>
  <c r="D327" i="1"/>
  <c r="D350" i="1"/>
  <c r="D344" i="1"/>
  <c r="D351" i="1"/>
  <c r="D352" i="1"/>
  <c r="D353" i="1"/>
  <c r="D354" i="1"/>
  <c r="D336" i="1"/>
  <c r="D342" i="1"/>
  <c r="D337" i="1"/>
  <c r="D340" i="1"/>
  <c r="D329" i="1"/>
  <c r="D333" i="1"/>
  <c r="D330" i="1"/>
  <c r="D341" i="1"/>
  <c r="D332" i="1"/>
  <c r="D343" i="1"/>
  <c r="D338" i="1"/>
  <c r="D404" i="1"/>
  <c r="D385" i="1"/>
  <c r="D398" i="1"/>
  <c r="D421" i="1"/>
  <c r="D417" i="1"/>
  <c r="D418" i="1"/>
  <c r="D375" i="1"/>
  <c r="D389" i="1"/>
  <c r="D401" i="1"/>
  <c r="D393" i="1"/>
  <c r="D409" i="1"/>
  <c r="D357" i="1"/>
  <c r="D366" i="1"/>
  <c r="D372" i="1"/>
  <c r="D423" i="1"/>
  <c r="D403" i="1"/>
  <c r="D384" i="1"/>
  <c r="D358" i="1"/>
  <c r="D360" i="1"/>
  <c r="D413" i="1"/>
  <c r="D424" i="1"/>
  <c r="D391" i="1"/>
  <c r="D402" i="1"/>
  <c r="D394" i="1"/>
  <c r="D382" i="1"/>
  <c r="D383" i="1"/>
  <c r="D407" i="1"/>
  <c r="D359" i="1"/>
  <c r="D377" i="1"/>
  <c r="D376" i="1"/>
  <c r="D361" i="1"/>
  <c r="D399" i="1"/>
  <c r="D392" i="1"/>
  <c r="D427" i="1"/>
  <c r="D373" i="1"/>
  <c r="D368" i="1"/>
  <c r="D428" i="1"/>
  <c r="D410" i="1"/>
  <c r="D397" i="1"/>
  <c r="D388" i="1"/>
  <c r="D405" i="1"/>
  <c r="D371" i="1"/>
  <c r="D416" i="1"/>
  <c r="D386" i="1"/>
  <c r="D387" i="1"/>
  <c r="D365" i="1"/>
  <c r="D430" i="1"/>
  <c r="D470" i="1"/>
  <c r="D451" i="1"/>
  <c r="D447" i="1"/>
  <c r="D458" i="1"/>
  <c r="D459" i="1"/>
  <c r="D446" i="1"/>
  <c r="D448" i="1"/>
  <c r="D460" i="1"/>
  <c r="D444" i="1"/>
  <c r="D468" i="1"/>
  <c r="D433" i="1"/>
  <c r="D435" i="1"/>
  <c r="D432" i="1"/>
  <c r="D436" i="1"/>
  <c r="D462" i="1"/>
  <c r="D479" i="1"/>
  <c r="D472" i="1"/>
  <c r="D469" i="1"/>
  <c r="D452" i="1"/>
  <c r="D461" i="1"/>
  <c r="D475" i="1"/>
  <c r="D454" i="1"/>
  <c r="D477" i="1"/>
  <c r="D456" i="1"/>
  <c r="D476" i="1"/>
  <c r="D464" i="1"/>
  <c r="D480" i="1"/>
  <c r="D465" i="1"/>
  <c r="D439" i="1"/>
  <c r="D455" i="1"/>
  <c r="D443" i="1"/>
  <c r="D441" i="1"/>
  <c r="D434" i="1"/>
  <c r="D467" i="1"/>
  <c r="D473" i="1"/>
  <c r="D457" i="1"/>
  <c r="D437" i="1"/>
  <c r="D450" i="1"/>
  <c r="D463" i="1"/>
  <c r="D466" i="1"/>
  <c r="D481" i="1"/>
  <c r="D474" i="1"/>
  <c r="D471" i="1"/>
  <c r="D442" i="1"/>
  <c r="D453" i="1"/>
  <c r="D438" i="1"/>
  <c r="D445" i="1"/>
  <c r="D449" i="1"/>
  <c r="D431" i="1"/>
  <c r="D440" i="1"/>
  <c r="D478" i="1"/>
  <c r="D98" i="1"/>
  <c r="D206" i="1"/>
  <c r="D245" i="1"/>
  <c r="D253" i="1"/>
  <c r="D243" i="1"/>
  <c r="D286" i="1"/>
  <c r="D283" i="1"/>
  <c r="D288" i="1"/>
  <c r="D275" i="1"/>
  <c r="D267" i="1"/>
  <c r="D285" i="1"/>
  <c r="D299" i="1"/>
  <c r="D305" i="1"/>
  <c r="D348" i="1"/>
  <c r="D334" i="1"/>
  <c r="D356" i="1"/>
  <c r="D331" i="1"/>
  <c r="D363" i="1"/>
  <c r="D420" i="1"/>
  <c r="D374" i="1"/>
  <c r="D414" i="1"/>
  <c r="D364" i="1"/>
  <c r="D362" i="1"/>
  <c r="D396" i="1"/>
  <c r="D400" i="1"/>
  <c r="D380" i="1"/>
  <c r="D406" i="1"/>
  <c r="D378" i="1"/>
  <c r="D497" i="1"/>
  <c r="D508" i="1"/>
  <c r="D488" i="1"/>
  <c r="D511" i="1"/>
  <c r="D482" i="1"/>
  <c r="D492" i="1"/>
  <c r="D486" i="1"/>
  <c r="D499" i="1"/>
  <c r="D495" i="1"/>
  <c r="D500" i="1"/>
  <c r="D516" i="1"/>
  <c r="D517" i="1"/>
  <c r="D501" i="1"/>
  <c r="D282" i="1"/>
  <c r="D297" i="1"/>
  <c r="D319" i="1"/>
  <c r="D345" i="1"/>
  <c r="D411" i="1"/>
  <c r="D506" i="1"/>
  <c r="D483" i="1"/>
  <c r="D487" i="1"/>
  <c r="D496" i="1"/>
  <c r="D493" i="1"/>
  <c r="D490" i="1"/>
  <c r="D484" i="1"/>
  <c r="D489" i="1"/>
  <c r="D513" i="1"/>
  <c r="D67" i="1"/>
  <c r="D201" i="1"/>
  <c r="D211" i="1"/>
  <c r="D276" i="1"/>
  <c r="D315" i="1"/>
  <c r="D311" i="1"/>
  <c r="D295" i="1"/>
  <c r="D339" i="1"/>
  <c r="D349" i="1"/>
  <c r="D355" i="1"/>
  <c r="D395" i="1"/>
  <c r="D419" i="1"/>
  <c r="D426" i="1"/>
  <c r="D381" i="1"/>
  <c r="D370" i="1"/>
  <c r="D491" i="1"/>
  <c r="D503" i="1"/>
  <c r="D498" i="1"/>
  <c r="D485" i="1"/>
  <c r="D512" i="1"/>
  <c r="D505" i="1"/>
  <c r="D519" i="1"/>
  <c r="D112" i="1"/>
  <c r="D207" i="1"/>
  <c r="D227" i="1"/>
  <c r="D229" i="1"/>
  <c r="D263" i="1"/>
  <c r="D261" i="1"/>
  <c r="D264" i="1"/>
  <c r="D260" i="1"/>
  <c r="D265" i="1"/>
  <c r="D266" i="1"/>
  <c r="D262" i="1"/>
  <c r="D320" i="1"/>
  <c r="D322" i="1"/>
  <c r="D325" i="1"/>
  <c r="D323" i="1"/>
  <c r="D324" i="1"/>
  <c r="D321" i="1"/>
  <c r="D326" i="1"/>
  <c r="D415" i="1"/>
  <c r="D379" i="1"/>
  <c r="D412" i="1"/>
  <c r="D422" i="1"/>
  <c r="D369" i="1"/>
  <c r="D367" i="1"/>
  <c r="D408" i="1"/>
  <c r="D390" i="1"/>
  <c r="D425" i="1"/>
  <c r="D429" i="1"/>
  <c r="D504" i="1"/>
  <c r="D515" i="1"/>
  <c r="D502" i="1"/>
  <c r="D507" i="1"/>
  <c r="D494" i="1"/>
  <c r="D510" i="1"/>
  <c r="D514" i="1"/>
  <c r="D509" i="1"/>
  <c r="D518" i="1"/>
  <c r="D549" i="1"/>
  <c r="D550" i="1"/>
  <c r="D531" i="1"/>
  <c r="D551" i="1"/>
  <c r="D552" i="1"/>
  <c r="D540" i="1"/>
  <c r="D524" i="1"/>
  <c r="D530" i="1"/>
  <c r="D520" i="1"/>
  <c r="D525" i="1"/>
  <c r="D545" i="1"/>
  <c r="D532" i="1"/>
  <c r="D541" i="1"/>
  <c r="D522" i="1"/>
  <c r="D542" i="1"/>
  <c r="D538" i="1"/>
  <c r="D539" i="1"/>
  <c r="D548" i="1"/>
  <c r="D561" i="1"/>
  <c r="D553" i="1"/>
  <c r="D547" i="1"/>
  <c r="D543" i="1"/>
  <c r="D537" i="1"/>
  <c r="D521" i="1"/>
  <c r="D554" i="1"/>
  <c r="D534" i="1"/>
  <c r="D544" i="1"/>
  <c r="D533" i="1"/>
  <c r="D557" i="1"/>
  <c r="D555" i="1"/>
  <c r="D536" i="1"/>
  <c r="D526" i="1"/>
  <c r="D546" i="1"/>
  <c r="D562" i="1"/>
  <c r="D563" i="1"/>
  <c r="D528" i="1"/>
  <c r="D527" i="1"/>
  <c r="D556" i="1"/>
  <c r="D535" i="1"/>
  <c r="D529" i="1"/>
  <c r="D558" i="1"/>
  <c r="D559" i="1"/>
  <c r="D560" i="1"/>
  <c r="D564" i="1"/>
  <c r="D523" i="1"/>
  <c r="D581" i="1"/>
  <c r="D612" i="1"/>
  <c r="D629" i="1"/>
  <c r="D613" i="1"/>
  <c r="D580" i="1"/>
  <c r="D614" i="1"/>
  <c r="D568" i="1"/>
  <c r="D600" i="1"/>
  <c r="D590" i="1"/>
  <c r="D630" i="1"/>
  <c r="D582" i="1"/>
  <c r="D615" i="1"/>
  <c r="D574" i="1"/>
  <c r="D597" i="1"/>
  <c r="D604" i="1"/>
  <c r="D599" i="1"/>
  <c r="D616" i="1"/>
  <c r="D593" i="1"/>
  <c r="D617" i="1"/>
  <c r="D566" i="1"/>
  <c r="D575" i="1"/>
  <c r="D596" i="1"/>
  <c r="D572" i="1"/>
  <c r="D618" i="1"/>
  <c r="D609" i="1"/>
  <c r="D576" i="1"/>
  <c r="D601" i="1"/>
  <c r="D588" i="1"/>
  <c r="D611" i="1"/>
  <c r="D602" i="1"/>
  <c r="D605" i="1"/>
  <c r="D598" i="1"/>
  <c r="D591" i="1"/>
  <c r="D587" i="1"/>
  <c r="D619" i="1"/>
  <c r="D620" i="1"/>
  <c r="D607" i="1"/>
  <c r="D589" i="1"/>
  <c r="D577" i="1"/>
  <c r="D608" i="1"/>
  <c r="D621" i="1"/>
  <c r="D565" i="1"/>
  <c r="D622" i="1"/>
  <c r="D583" i="1"/>
  <c r="D623" i="1"/>
  <c r="D624" i="1"/>
  <c r="D592" i="1"/>
  <c r="D585" i="1"/>
  <c r="D573" i="1"/>
  <c r="D625" i="1"/>
  <c r="D603" i="1"/>
  <c r="D578" i="1"/>
  <c r="D586" i="1"/>
  <c r="D567" i="1"/>
  <c r="D584" i="1"/>
  <c r="D570" i="1"/>
  <c r="D628" i="1"/>
  <c r="D626" i="1"/>
  <c r="D579" i="1"/>
  <c r="D627" i="1"/>
  <c r="D606" i="1"/>
  <c r="D594" i="1"/>
  <c r="D571" i="1"/>
  <c r="D595" i="1"/>
  <c r="D569" i="1"/>
  <c r="D631" i="1"/>
  <c r="D610" i="1"/>
  <c r="D632" i="1"/>
  <c r="D633" i="1"/>
  <c r="D720" i="1"/>
  <c r="D730" i="1"/>
  <c r="D676" i="1"/>
  <c r="D653" i="1"/>
  <c r="D704" i="1"/>
  <c r="D731" i="1"/>
  <c r="D732" i="1"/>
  <c r="D733" i="1"/>
  <c r="D734" i="1"/>
  <c r="D735" i="1"/>
  <c r="D736" i="1"/>
  <c r="D794" i="1"/>
  <c r="D657" i="1"/>
  <c r="D737" i="1"/>
  <c r="D738" i="1"/>
  <c r="D739" i="1"/>
  <c r="D740" i="1"/>
  <c r="D698" i="1"/>
  <c r="D741" i="1"/>
  <c r="D695" i="1"/>
  <c r="D742" i="1"/>
  <c r="D694" i="1"/>
  <c r="D712" i="1"/>
  <c r="D700" i="1"/>
  <c r="D723" i="1"/>
  <c r="D696" i="1"/>
  <c r="D691" i="1"/>
  <c r="D711" i="1"/>
  <c r="D743" i="1"/>
  <c r="D699" i="1"/>
  <c r="D795" i="1"/>
  <c r="D721" i="1"/>
  <c r="D796" i="1"/>
  <c r="D669" i="1"/>
  <c r="D717" i="1"/>
  <c r="D724" i="1"/>
  <c r="D710" i="1"/>
  <c r="D641" i="1"/>
  <c r="D715" i="1"/>
  <c r="D744" i="1"/>
  <c r="D643" i="1"/>
  <c r="D697" i="1"/>
  <c r="D642" i="1"/>
  <c r="D637" i="1"/>
  <c r="D682" i="1"/>
  <c r="D673" i="1"/>
  <c r="D685" i="1"/>
  <c r="D745" i="1"/>
  <c r="D634" i="1"/>
  <c r="D680" i="1"/>
  <c r="D651" i="1"/>
  <c r="D797" i="1"/>
  <c r="D746" i="1"/>
  <c r="D663" i="1"/>
  <c r="D690" i="1"/>
  <c r="D640" i="1"/>
  <c r="D747" i="1"/>
  <c r="D725" i="1"/>
  <c r="D659" i="1"/>
  <c r="D749" i="1"/>
  <c r="D665" i="1"/>
  <c r="D714" i="1"/>
  <c r="D718" i="1"/>
  <c r="D750" i="1"/>
  <c r="D748" i="1"/>
  <c r="D719" i="1"/>
  <c r="D726" i="1"/>
  <c r="D751" i="1"/>
  <c r="D798" i="1"/>
  <c r="D677" i="1"/>
  <c r="D752" i="1"/>
  <c r="D799" i="1"/>
  <c r="D678" i="1"/>
  <c r="D800" i="1"/>
  <c r="D666" i="1"/>
  <c r="D801" i="1"/>
  <c r="D802" i="1"/>
  <c r="D672" i="1"/>
  <c r="D728" i="1"/>
  <c r="D671" i="1"/>
  <c r="D650" i="1"/>
  <c r="D803" i="1"/>
  <c r="D753" i="1"/>
  <c r="D658" i="1"/>
  <c r="D754" i="1"/>
  <c r="D688" i="1"/>
  <c r="D755" i="1"/>
  <c r="D756" i="1"/>
  <c r="D757" i="1"/>
  <c r="D662" i="1"/>
  <c r="D644" i="1"/>
  <c r="D638" i="1"/>
  <c r="D758" i="1"/>
  <c r="D804" i="1"/>
  <c r="D759" i="1"/>
  <c r="D805" i="1"/>
  <c r="D661" i="1"/>
  <c r="D652" i="1"/>
  <c r="D760" i="1"/>
  <c r="D635" i="1"/>
  <c r="D692" i="1"/>
  <c r="D647" i="1"/>
  <c r="D806" i="1"/>
  <c r="D761" i="1"/>
  <c r="D705" i="1"/>
  <c r="D675" i="1"/>
  <c r="D729" i="1"/>
  <c r="D713" i="1"/>
  <c r="D762" i="1"/>
  <c r="D763" i="1"/>
  <c r="D648" i="1"/>
  <c r="D764" i="1"/>
  <c r="D722" i="1"/>
  <c r="D765" i="1"/>
  <c r="D708" i="1"/>
  <c r="D709" i="1"/>
  <c r="D655" i="1"/>
  <c r="D636" i="1"/>
  <c r="D668" i="1"/>
  <c r="D807" i="1"/>
  <c r="D766" i="1"/>
  <c r="D674" i="1"/>
  <c r="D707" i="1"/>
  <c r="D767" i="1"/>
  <c r="D768" i="1"/>
  <c r="D769" i="1"/>
  <c r="D770" i="1"/>
  <c r="D771" i="1"/>
  <c r="D772" i="1"/>
  <c r="D679" i="1"/>
  <c r="D706" i="1"/>
  <c r="D808" i="1"/>
  <c r="D809" i="1"/>
  <c r="D773" i="1"/>
  <c r="D774" i="1"/>
  <c r="D670" i="1"/>
  <c r="D701" i="1"/>
  <c r="D775" i="1"/>
  <c r="D684" i="1"/>
  <c r="D776" i="1"/>
  <c r="D777" i="1"/>
  <c r="D656" i="1"/>
  <c r="D686" i="1"/>
  <c r="D660" i="1"/>
  <c r="D810" i="1"/>
  <c r="D778" i="1"/>
  <c r="D649" i="1"/>
  <c r="D779" i="1"/>
  <c r="D811" i="1"/>
  <c r="D780" i="1"/>
  <c r="D716" i="1"/>
  <c r="D812" i="1"/>
  <c r="D781" i="1"/>
  <c r="D782" i="1"/>
  <c r="D783" i="1"/>
  <c r="D683" i="1"/>
  <c r="D693" i="1"/>
  <c r="D784" i="1"/>
  <c r="D646" i="1"/>
  <c r="D687" i="1"/>
  <c r="D703" i="1"/>
  <c r="D785" i="1"/>
  <c r="D667" i="1"/>
  <c r="D786" i="1"/>
  <c r="D787" i="1"/>
  <c r="D645" i="1"/>
  <c r="D788" i="1"/>
  <c r="D664" i="1"/>
  <c r="D789" i="1"/>
  <c r="D790" i="1"/>
  <c r="D791" i="1"/>
  <c r="D792" i="1"/>
  <c r="D793" i="1"/>
  <c r="D816" i="1"/>
  <c r="D817" i="1"/>
  <c r="D702" i="1"/>
  <c r="D681" i="1"/>
  <c r="D814" i="1"/>
  <c r="D813" i="1"/>
  <c r="D818" i="1"/>
  <c r="D815" i="1"/>
  <c r="D727" i="1"/>
  <c r="D689" i="1"/>
  <c r="D819" i="1"/>
  <c r="D654" i="1"/>
  <c r="D639" i="1"/>
  <c r="D1250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3" i="1"/>
  <c r="D844" i="1"/>
  <c r="D846" i="1"/>
  <c r="D848" i="1"/>
  <c r="D849" i="1"/>
  <c r="D842" i="1"/>
  <c r="D845" i="1"/>
  <c r="D850" i="1"/>
  <c r="D847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3" i="1"/>
  <c r="D1154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80" i="1"/>
  <c r="D1181" i="1"/>
  <c r="D1182" i="1"/>
  <c r="D1183" i="1"/>
  <c r="D1184" i="1"/>
  <c r="D1185" i="1"/>
  <c r="D1186" i="1"/>
  <c r="D1187" i="1"/>
  <c r="D1188" i="1"/>
  <c r="D1189" i="1"/>
  <c r="D1190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4" i="1"/>
  <c r="D1226" i="1"/>
  <c r="D1228" i="1"/>
  <c r="D1229" i="1"/>
  <c r="D1230" i="1"/>
  <c r="D1231" i="1"/>
  <c r="D1232" i="1"/>
  <c r="D1233" i="1"/>
  <c r="D1234" i="1"/>
  <c r="D1235" i="1"/>
  <c r="D1236" i="1"/>
  <c r="D1238" i="1"/>
  <c r="D1239" i="1"/>
  <c r="D1240" i="1"/>
  <c r="D1241" i="1"/>
  <c r="D1243" i="1"/>
  <c r="D1245" i="1"/>
  <c r="D1246" i="1"/>
  <c r="D1247" i="1"/>
  <c r="D1248" i="1"/>
  <c r="D1249" i="1"/>
  <c r="D869" i="1"/>
  <c r="D942" i="1"/>
  <c r="D1050" i="1"/>
  <c r="D1100" i="1"/>
  <c r="D1152" i="1"/>
  <c r="D1155" i="1"/>
  <c r="D1179" i="1"/>
  <c r="D1191" i="1"/>
  <c r="D1207" i="1"/>
  <c r="D1208" i="1"/>
  <c r="D1223" i="1"/>
  <c r="D1225" i="1"/>
  <c r="D1227" i="1"/>
  <c r="D1237" i="1"/>
  <c r="D1242" i="1"/>
  <c r="D1244" i="1"/>
  <c r="N2" i="1"/>
  <c r="M2" i="1"/>
  <c r="L2" i="1"/>
  <c r="K2" i="1"/>
  <c r="J2" i="1"/>
  <c r="I2" i="1"/>
  <c r="H2" i="1"/>
  <c r="G2" i="1"/>
  <c r="F2" i="1"/>
  <c r="E2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30" i="1"/>
  <c r="B32" i="1"/>
  <c r="B34" i="1"/>
  <c r="B33" i="1"/>
  <c r="B35" i="1"/>
  <c r="B36" i="1"/>
  <c r="B37" i="1"/>
  <c r="B38" i="1"/>
  <c r="B39" i="1"/>
  <c r="B40" i="1"/>
  <c r="B41" i="1"/>
  <c r="B42" i="1"/>
  <c r="B43" i="1"/>
  <c r="B44" i="1"/>
  <c r="B45" i="1"/>
  <c r="B47" i="1"/>
  <c r="B46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8" i="1"/>
  <c r="B69" i="1"/>
  <c r="B70" i="1"/>
  <c r="B71" i="1"/>
  <c r="B72" i="1"/>
  <c r="B73" i="1"/>
  <c r="B74" i="1"/>
  <c r="B75" i="1"/>
  <c r="B76" i="1"/>
  <c r="B78" i="1"/>
  <c r="B77" i="1"/>
  <c r="B79" i="1"/>
  <c r="B80" i="1"/>
  <c r="B81" i="1"/>
  <c r="B82" i="1"/>
  <c r="B83" i="1"/>
  <c r="B84" i="1"/>
  <c r="B87" i="1"/>
  <c r="B86" i="1"/>
  <c r="B89" i="1"/>
  <c r="B88" i="1"/>
  <c r="B90" i="1"/>
  <c r="B91" i="1"/>
  <c r="B92" i="1"/>
  <c r="B93" i="1"/>
  <c r="B94" i="1"/>
  <c r="B97" i="1"/>
  <c r="B95" i="1"/>
  <c r="B96" i="1"/>
  <c r="B99" i="1"/>
  <c r="B100" i="1"/>
  <c r="B103" i="1"/>
  <c r="B101" i="1"/>
  <c r="B102" i="1"/>
  <c r="B104" i="1"/>
  <c r="B105" i="1"/>
  <c r="B106" i="1"/>
  <c r="B107" i="1"/>
  <c r="B108" i="1"/>
  <c r="B109" i="1"/>
  <c r="B110" i="1"/>
  <c r="B111" i="1"/>
  <c r="B113" i="1"/>
  <c r="B115" i="1"/>
  <c r="B114" i="1"/>
  <c r="B117" i="1"/>
  <c r="B116" i="1"/>
  <c r="B118" i="1"/>
  <c r="B121" i="1"/>
  <c r="B119" i="1"/>
  <c r="B122" i="1"/>
  <c r="B123" i="1"/>
  <c r="B124" i="1"/>
  <c r="B125" i="1"/>
  <c r="B126" i="1"/>
  <c r="B127" i="1"/>
  <c r="B129" i="1"/>
  <c r="B128" i="1"/>
  <c r="B131" i="1"/>
  <c r="B132" i="1"/>
  <c r="B134" i="1"/>
  <c r="B135" i="1"/>
  <c r="B133" i="1"/>
  <c r="B137" i="1"/>
  <c r="B138" i="1"/>
  <c r="B139" i="1"/>
  <c r="B140" i="1"/>
  <c r="B141" i="1"/>
  <c r="B142" i="1"/>
  <c r="B144" i="1"/>
  <c r="B143" i="1"/>
  <c r="B145" i="1"/>
  <c r="B146" i="1"/>
  <c r="B147" i="1"/>
  <c r="B148" i="1"/>
  <c r="B149" i="1"/>
  <c r="B151" i="1"/>
  <c r="B150" i="1"/>
  <c r="B152" i="1"/>
  <c r="B153" i="1"/>
  <c r="B154" i="1"/>
  <c r="B156" i="1"/>
  <c r="B155" i="1"/>
  <c r="B158" i="1"/>
  <c r="B157" i="1"/>
  <c r="B160" i="1"/>
  <c r="B159" i="1"/>
  <c r="B164" i="1"/>
  <c r="B167" i="1"/>
  <c r="B166" i="1"/>
  <c r="B165" i="1"/>
  <c r="B168" i="1"/>
  <c r="B170" i="1"/>
  <c r="B169" i="1"/>
  <c r="B172" i="1"/>
  <c r="B173" i="1"/>
  <c r="B175" i="1"/>
  <c r="B176" i="1"/>
  <c r="B177" i="1"/>
  <c r="B179" i="1"/>
  <c r="B180" i="1"/>
  <c r="B183" i="1"/>
  <c r="B184" i="1"/>
  <c r="B186" i="1"/>
  <c r="B187" i="1"/>
  <c r="B188" i="1"/>
  <c r="B191" i="1"/>
  <c r="B192" i="1"/>
  <c r="B194" i="1"/>
  <c r="B195" i="1"/>
  <c r="B198" i="1"/>
  <c r="B199" i="1"/>
  <c r="B197" i="1"/>
  <c r="B200" i="1"/>
  <c r="B204" i="1"/>
  <c r="B205" i="1"/>
  <c r="B202" i="1"/>
  <c r="B209" i="1"/>
  <c r="B210" i="1"/>
  <c r="B212" i="1"/>
  <c r="B213" i="1"/>
  <c r="B215" i="1"/>
  <c r="B216" i="1"/>
  <c r="B217" i="1"/>
  <c r="B218" i="1"/>
  <c r="B219" i="1"/>
  <c r="B223" i="1"/>
  <c r="B222" i="1"/>
  <c r="B221" i="1"/>
  <c r="B224" i="1"/>
  <c r="B226" i="1"/>
  <c r="B228" i="1"/>
  <c r="B230" i="1"/>
  <c r="B232" i="1"/>
  <c r="B231" i="1"/>
  <c r="B235" i="1"/>
  <c r="B236" i="1"/>
  <c r="B29" i="1"/>
  <c r="B31" i="1"/>
  <c r="B85" i="1"/>
  <c r="B120" i="1"/>
  <c r="B130" i="1"/>
  <c r="B136" i="1"/>
  <c r="B161" i="1"/>
  <c r="B163" i="1"/>
  <c r="B162" i="1"/>
  <c r="B171" i="1"/>
  <c r="B174" i="1"/>
  <c r="B178" i="1"/>
  <c r="B182" i="1"/>
  <c r="B181" i="1"/>
  <c r="B185" i="1"/>
  <c r="B190" i="1"/>
  <c r="B189" i="1"/>
  <c r="B193" i="1"/>
  <c r="B196" i="1"/>
  <c r="B203" i="1"/>
  <c r="B208" i="1"/>
  <c r="B214" i="1"/>
  <c r="B220" i="1"/>
  <c r="B225" i="1"/>
  <c r="B233" i="1"/>
  <c r="B234" i="1"/>
  <c r="B246" i="1"/>
  <c r="B242" i="1"/>
  <c r="B251" i="1"/>
  <c r="B237" i="1"/>
  <c r="B249" i="1"/>
  <c r="B254" i="1"/>
  <c r="B244" i="1"/>
  <c r="B255" i="1"/>
  <c r="B248" i="1"/>
  <c r="B256" i="1"/>
  <c r="B252" i="1"/>
  <c r="B241" i="1"/>
  <c r="B239" i="1"/>
  <c r="B257" i="1"/>
  <c r="B250" i="1"/>
  <c r="B258" i="1"/>
  <c r="B240" i="1"/>
  <c r="B247" i="1"/>
  <c r="B259" i="1"/>
  <c r="B238" i="1"/>
  <c r="B284" i="1"/>
  <c r="B278" i="1"/>
  <c r="B287" i="1"/>
  <c r="B280" i="1"/>
  <c r="B273" i="1"/>
  <c r="B268" i="1"/>
  <c r="B279" i="1"/>
  <c r="B289" i="1"/>
  <c r="B281" i="1"/>
  <c r="B274" i="1"/>
  <c r="B269" i="1"/>
  <c r="B270" i="1"/>
  <c r="B271" i="1"/>
  <c r="B290" i="1"/>
  <c r="B291" i="1"/>
  <c r="B272" i="1"/>
  <c r="B277" i="1"/>
  <c r="B312" i="1"/>
  <c r="B316" i="1"/>
  <c r="B314" i="1"/>
  <c r="B292" i="1"/>
  <c r="B302" i="1"/>
  <c r="B317" i="1"/>
  <c r="B303" i="1"/>
  <c r="B304" i="1"/>
  <c r="B313" i="1"/>
  <c r="B318" i="1"/>
  <c r="B307" i="1"/>
  <c r="B309" i="1"/>
  <c r="B298" i="1"/>
  <c r="B306" i="1"/>
  <c r="B294" i="1"/>
  <c r="B293" i="1"/>
  <c r="B300" i="1"/>
  <c r="B308" i="1"/>
  <c r="B310" i="1"/>
  <c r="B301" i="1"/>
  <c r="B296" i="1"/>
  <c r="B347" i="1"/>
  <c r="B335" i="1"/>
  <c r="B328" i="1"/>
  <c r="B346" i="1"/>
  <c r="B327" i="1"/>
  <c r="B350" i="1"/>
  <c r="B344" i="1"/>
  <c r="B351" i="1"/>
  <c r="B352" i="1"/>
  <c r="B353" i="1"/>
  <c r="B354" i="1"/>
  <c r="B336" i="1"/>
  <c r="B342" i="1"/>
  <c r="B337" i="1"/>
  <c r="B340" i="1"/>
  <c r="B329" i="1"/>
  <c r="B333" i="1"/>
  <c r="B330" i="1"/>
  <c r="B341" i="1"/>
  <c r="B332" i="1"/>
  <c r="B343" i="1"/>
  <c r="B338" i="1"/>
  <c r="B404" i="1"/>
  <c r="B385" i="1"/>
  <c r="B398" i="1"/>
  <c r="B421" i="1"/>
  <c r="B417" i="1"/>
  <c r="B418" i="1"/>
  <c r="B375" i="1"/>
  <c r="B389" i="1"/>
  <c r="B401" i="1"/>
  <c r="B393" i="1"/>
  <c r="B409" i="1"/>
  <c r="B357" i="1"/>
  <c r="B366" i="1"/>
  <c r="B372" i="1"/>
  <c r="B423" i="1"/>
  <c r="B403" i="1"/>
  <c r="B384" i="1"/>
  <c r="B358" i="1"/>
  <c r="B360" i="1"/>
  <c r="B413" i="1"/>
  <c r="B424" i="1"/>
  <c r="B391" i="1"/>
  <c r="B402" i="1"/>
  <c r="B394" i="1"/>
  <c r="B382" i="1"/>
  <c r="B383" i="1"/>
  <c r="B407" i="1"/>
  <c r="B359" i="1"/>
  <c r="B377" i="1"/>
  <c r="B376" i="1"/>
  <c r="B361" i="1"/>
  <c r="B399" i="1"/>
  <c r="B392" i="1"/>
  <c r="B427" i="1"/>
  <c r="B373" i="1"/>
  <c r="B368" i="1"/>
  <c r="B428" i="1"/>
  <c r="B410" i="1"/>
  <c r="B397" i="1"/>
  <c r="B388" i="1"/>
  <c r="B405" i="1"/>
  <c r="B371" i="1"/>
  <c r="B416" i="1"/>
  <c r="B386" i="1"/>
  <c r="B387" i="1"/>
  <c r="B365" i="1"/>
  <c r="B430" i="1"/>
  <c r="B470" i="1"/>
  <c r="B451" i="1"/>
  <c r="B447" i="1"/>
  <c r="B458" i="1"/>
  <c r="B459" i="1"/>
  <c r="B446" i="1"/>
  <c r="B448" i="1"/>
  <c r="B460" i="1"/>
  <c r="B444" i="1"/>
  <c r="B468" i="1"/>
  <c r="B433" i="1"/>
  <c r="B435" i="1"/>
  <c r="B432" i="1"/>
  <c r="B436" i="1"/>
  <c r="B462" i="1"/>
  <c r="B479" i="1"/>
  <c r="B472" i="1"/>
  <c r="B469" i="1"/>
  <c r="B452" i="1"/>
  <c r="B461" i="1"/>
  <c r="B475" i="1"/>
  <c r="B454" i="1"/>
  <c r="B477" i="1"/>
  <c r="B456" i="1"/>
  <c r="B476" i="1"/>
  <c r="B464" i="1"/>
  <c r="B480" i="1"/>
  <c r="B465" i="1"/>
  <c r="B439" i="1"/>
  <c r="B455" i="1"/>
  <c r="B443" i="1"/>
  <c r="B441" i="1"/>
  <c r="B434" i="1"/>
  <c r="B467" i="1"/>
  <c r="B473" i="1"/>
  <c r="B457" i="1"/>
  <c r="B437" i="1"/>
  <c r="B450" i="1"/>
  <c r="B463" i="1"/>
  <c r="B466" i="1"/>
  <c r="B481" i="1"/>
  <c r="B474" i="1"/>
  <c r="B471" i="1"/>
  <c r="B442" i="1"/>
  <c r="B453" i="1"/>
  <c r="B438" i="1"/>
  <c r="B445" i="1"/>
  <c r="B449" i="1"/>
  <c r="B431" i="1"/>
  <c r="B440" i="1"/>
  <c r="B478" i="1"/>
  <c r="B98" i="1"/>
  <c r="B206" i="1"/>
  <c r="B245" i="1"/>
  <c r="B253" i="1"/>
  <c r="B243" i="1"/>
  <c r="B286" i="1"/>
  <c r="B283" i="1"/>
  <c r="B288" i="1"/>
  <c r="B275" i="1"/>
  <c r="B267" i="1"/>
  <c r="B285" i="1"/>
  <c r="B299" i="1"/>
  <c r="B305" i="1"/>
  <c r="B348" i="1"/>
  <c r="B334" i="1"/>
  <c r="B356" i="1"/>
  <c r="B331" i="1"/>
  <c r="B363" i="1"/>
  <c r="B420" i="1"/>
  <c r="B374" i="1"/>
  <c r="B414" i="1"/>
  <c r="B364" i="1"/>
  <c r="B362" i="1"/>
  <c r="B396" i="1"/>
  <c r="B400" i="1"/>
  <c r="B380" i="1"/>
  <c r="B406" i="1"/>
  <c r="B378" i="1"/>
  <c r="B497" i="1"/>
  <c r="B508" i="1"/>
  <c r="B488" i="1"/>
  <c r="B511" i="1"/>
  <c r="B482" i="1"/>
  <c r="B492" i="1"/>
  <c r="B486" i="1"/>
  <c r="B499" i="1"/>
  <c r="B495" i="1"/>
  <c r="B500" i="1"/>
  <c r="B516" i="1"/>
  <c r="B517" i="1"/>
  <c r="B501" i="1"/>
  <c r="B282" i="1"/>
  <c r="B297" i="1"/>
  <c r="B319" i="1"/>
  <c r="B345" i="1"/>
  <c r="B411" i="1"/>
  <c r="B506" i="1"/>
  <c r="B483" i="1"/>
  <c r="B487" i="1"/>
  <c r="B496" i="1"/>
  <c r="B493" i="1"/>
  <c r="B490" i="1"/>
  <c r="B484" i="1"/>
  <c r="B489" i="1"/>
  <c r="B513" i="1"/>
  <c r="B67" i="1"/>
  <c r="B201" i="1"/>
  <c r="B211" i="1"/>
  <c r="B276" i="1"/>
  <c r="B315" i="1"/>
  <c r="B311" i="1"/>
  <c r="B295" i="1"/>
  <c r="B339" i="1"/>
  <c r="B349" i="1"/>
  <c r="B355" i="1"/>
  <c r="B395" i="1"/>
  <c r="B419" i="1"/>
  <c r="B426" i="1"/>
  <c r="B381" i="1"/>
  <c r="B370" i="1"/>
  <c r="B491" i="1"/>
  <c r="B503" i="1"/>
  <c r="B498" i="1"/>
  <c r="B485" i="1"/>
  <c r="B512" i="1"/>
  <c r="B505" i="1"/>
  <c r="B519" i="1"/>
  <c r="B112" i="1"/>
  <c r="B207" i="1"/>
  <c r="B227" i="1"/>
  <c r="B229" i="1"/>
  <c r="B263" i="1"/>
  <c r="B261" i="1"/>
  <c r="B264" i="1"/>
  <c r="B260" i="1"/>
  <c r="B265" i="1"/>
  <c r="B266" i="1"/>
  <c r="B262" i="1"/>
  <c r="B320" i="1"/>
  <c r="B322" i="1"/>
  <c r="B325" i="1"/>
  <c r="B323" i="1"/>
  <c r="B324" i="1"/>
  <c r="B321" i="1"/>
  <c r="B326" i="1"/>
  <c r="B415" i="1"/>
  <c r="B379" i="1"/>
  <c r="B412" i="1"/>
  <c r="B422" i="1"/>
  <c r="B369" i="1"/>
  <c r="B367" i="1"/>
  <c r="B408" i="1"/>
  <c r="B390" i="1"/>
  <c r="B425" i="1"/>
  <c r="B429" i="1"/>
  <c r="B504" i="1"/>
  <c r="B515" i="1"/>
  <c r="B502" i="1"/>
  <c r="B507" i="1"/>
  <c r="B494" i="1"/>
  <c r="B510" i="1"/>
  <c r="B514" i="1"/>
  <c r="B509" i="1"/>
  <c r="B518" i="1"/>
  <c r="B549" i="1"/>
  <c r="B550" i="1"/>
  <c r="B531" i="1"/>
  <c r="B551" i="1"/>
  <c r="B552" i="1"/>
  <c r="B540" i="1"/>
  <c r="B524" i="1"/>
  <c r="B530" i="1"/>
  <c r="B520" i="1"/>
  <c r="B525" i="1"/>
  <c r="B545" i="1"/>
  <c r="B532" i="1"/>
  <c r="B541" i="1"/>
  <c r="B522" i="1"/>
  <c r="B542" i="1"/>
  <c r="B538" i="1"/>
  <c r="B539" i="1"/>
  <c r="B548" i="1"/>
  <c r="B561" i="1"/>
  <c r="B553" i="1"/>
  <c r="B547" i="1"/>
  <c r="B543" i="1"/>
  <c r="B537" i="1"/>
  <c r="B521" i="1"/>
  <c r="B554" i="1"/>
  <c r="B534" i="1"/>
  <c r="B544" i="1"/>
  <c r="B533" i="1"/>
  <c r="B557" i="1"/>
  <c r="B555" i="1"/>
  <c r="B536" i="1"/>
  <c r="B526" i="1"/>
  <c r="B546" i="1"/>
  <c r="B562" i="1"/>
  <c r="B563" i="1"/>
  <c r="B528" i="1"/>
  <c r="B527" i="1"/>
  <c r="B556" i="1"/>
  <c r="B535" i="1"/>
  <c r="B529" i="1"/>
  <c r="B558" i="1"/>
  <c r="B559" i="1"/>
  <c r="B560" i="1"/>
  <c r="B564" i="1"/>
  <c r="B523" i="1"/>
  <c r="B581" i="1"/>
  <c r="B612" i="1"/>
  <c r="B629" i="1"/>
  <c r="B613" i="1"/>
  <c r="B580" i="1"/>
  <c r="B614" i="1"/>
  <c r="B568" i="1"/>
  <c r="B600" i="1"/>
  <c r="B590" i="1"/>
  <c r="B630" i="1"/>
  <c r="B582" i="1"/>
  <c r="B615" i="1"/>
  <c r="B574" i="1"/>
  <c r="B597" i="1"/>
  <c r="B604" i="1"/>
  <c r="B599" i="1"/>
  <c r="B616" i="1"/>
  <c r="B593" i="1"/>
  <c r="B617" i="1"/>
  <c r="B566" i="1"/>
  <c r="B575" i="1"/>
  <c r="B596" i="1"/>
  <c r="B572" i="1"/>
  <c r="B618" i="1"/>
  <c r="B609" i="1"/>
  <c r="B576" i="1"/>
  <c r="B601" i="1"/>
  <c r="B588" i="1"/>
  <c r="B611" i="1"/>
  <c r="B602" i="1"/>
  <c r="B605" i="1"/>
  <c r="B598" i="1"/>
  <c r="B591" i="1"/>
  <c r="B587" i="1"/>
  <c r="B619" i="1"/>
  <c r="B620" i="1"/>
  <c r="B607" i="1"/>
  <c r="B589" i="1"/>
  <c r="B577" i="1"/>
  <c r="B608" i="1"/>
  <c r="B621" i="1"/>
  <c r="B565" i="1"/>
  <c r="B622" i="1"/>
  <c r="B583" i="1"/>
  <c r="B623" i="1"/>
  <c r="B624" i="1"/>
  <c r="B592" i="1"/>
  <c r="B585" i="1"/>
  <c r="B573" i="1"/>
  <c r="B625" i="1"/>
  <c r="B603" i="1"/>
  <c r="B578" i="1"/>
  <c r="B586" i="1"/>
  <c r="B567" i="1"/>
  <c r="B584" i="1"/>
  <c r="B570" i="1"/>
  <c r="B628" i="1"/>
  <c r="B626" i="1"/>
  <c r="B579" i="1"/>
  <c r="B627" i="1"/>
  <c r="B606" i="1"/>
  <c r="B594" i="1"/>
  <c r="B571" i="1"/>
  <c r="B595" i="1"/>
  <c r="B569" i="1"/>
  <c r="B631" i="1"/>
  <c r="B610" i="1"/>
  <c r="B632" i="1"/>
  <c r="B633" i="1"/>
  <c r="B720" i="1"/>
  <c r="B730" i="1"/>
  <c r="B676" i="1"/>
  <c r="B653" i="1"/>
  <c r="B704" i="1"/>
  <c r="B731" i="1"/>
  <c r="B732" i="1"/>
  <c r="B733" i="1"/>
  <c r="B734" i="1"/>
  <c r="B735" i="1"/>
  <c r="B736" i="1"/>
  <c r="B794" i="1"/>
  <c r="B657" i="1"/>
  <c r="B737" i="1"/>
  <c r="B738" i="1"/>
  <c r="B739" i="1"/>
  <c r="B740" i="1"/>
  <c r="B698" i="1"/>
  <c r="B741" i="1"/>
  <c r="B695" i="1"/>
  <c r="B742" i="1"/>
  <c r="B694" i="1"/>
  <c r="B712" i="1"/>
  <c r="B700" i="1"/>
  <c r="B723" i="1"/>
  <c r="B696" i="1"/>
  <c r="B691" i="1"/>
  <c r="B711" i="1"/>
  <c r="B743" i="1"/>
  <c r="B699" i="1"/>
  <c r="B795" i="1"/>
  <c r="B721" i="1"/>
  <c r="B796" i="1"/>
  <c r="B669" i="1"/>
  <c r="B717" i="1"/>
  <c r="B724" i="1"/>
  <c r="B710" i="1"/>
  <c r="B641" i="1"/>
  <c r="B715" i="1"/>
  <c r="B744" i="1"/>
  <c r="B643" i="1"/>
  <c r="B697" i="1"/>
  <c r="B642" i="1"/>
  <c r="B637" i="1"/>
  <c r="B682" i="1"/>
  <c r="B673" i="1"/>
  <c r="B685" i="1"/>
  <c r="B745" i="1"/>
  <c r="B634" i="1"/>
  <c r="B680" i="1"/>
  <c r="B651" i="1"/>
  <c r="B797" i="1"/>
  <c r="B746" i="1"/>
  <c r="B663" i="1"/>
  <c r="B690" i="1"/>
  <c r="B640" i="1"/>
  <c r="B747" i="1"/>
  <c r="B725" i="1"/>
  <c r="B659" i="1"/>
  <c r="B749" i="1"/>
  <c r="B665" i="1"/>
  <c r="B714" i="1"/>
  <c r="B718" i="1"/>
  <c r="B750" i="1"/>
  <c r="B748" i="1"/>
  <c r="B719" i="1"/>
  <c r="B726" i="1"/>
  <c r="B751" i="1"/>
  <c r="B798" i="1"/>
  <c r="B677" i="1"/>
  <c r="B752" i="1"/>
  <c r="B799" i="1"/>
  <c r="B678" i="1"/>
  <c r="B800" i="1"/>
  <c r="B666" i="1"/>
  <c r="B801" i="1"/>
  <c r="B802" i="1"/>
  <c r="B672" i="1"/>
  <c r="B728" i="1"/>
  <c r="B671" i="1"/>
  <c r="B650" i="1"/>
  <c r="B803" i="1"/>
  <c r="B753" i="1"/>
  <c r="B658" i="1"/>
  <c r="B754" i="1"/>
  <c r="B688" i="1"/>
  <c r="B755" i="1"/>
  <c r="B756" i="1"/>
  <c r="B757" i="1"/>
  <c r="B662" i="1"/>
  <c r="B644" i="1"/>
  <c r="B638" i="1"/>
  <c r="B758" i="1"/>
  <c r="B804" i="1"/>
  <c r="B759" i="1"/>
  <c r="B805" i="1"/>
  <c r="B661" i="1"/>
  <c r="B652" i="1"/>
  <c r="B760" i="1"/>
  <c r="B635" i="1"/>
  <c r="B692" i="1"/>
  <c r="B647" i="1"/>
  <c r="B806" i="1"/>
  <c r="B761" i="1"/>
  <c r="B705" i="1"/>
  <c r="B675" i="1"/>
  <c r="B729" i="1"/>
  <c r="B713" i="1"/>
  <c r="B762" i="1"/>
  <c r="B763" i="1"/>
  <c r="B648" i="1"/>
  <c r="B764" i="1"/>
  <c r="B722" i="1"/>
  <c r="B765" i="1"/>
  <c r="B708" i="1"/>
  <c r="B709" i="1"/>
  <c r="B655" i="1"/>
  <c r="B636" i="1"/>
  <c r="B668" i="1"/>
  <c r="B807" i="1"/>
  <c r="B766" i="1"/>
  <c r="B674" i="1"/>
  <c r="B707" i="1"/>
  <c r="B767" i="1"/>
  <c r="B768" i="1"/>
  <c r="B769" i="1"/>
  <c r="B770" i="1"/>
  <c r="B771" i="1"/>
  <c r="B772" i="1"/>
  <c r="B679" i="1"/>
  <c r="B706" i="1"/>
  <c r="B808" i="1"/>
  <c r="B809" i="1"/>
  <c r="B773" i="1"/>
  <c r="B774" i="1"/>
  <c r="B670" i="1"/>
  <c r="B701" i="1"/>
  <c r="B775" i="1"/>
  <c r="B684" i="1"/>
  <c r="B776" i="1"/>
  <c r="B777" i="1"/>
  <c r="B656" i="1"/>
  <c r="B686" i="1"/>
  <c r="B660" i="1"/>
  <c r="B810" i="1"/>
  <c r="B778" i="1"/>
  <c r="B649" i="1"/>
  <c r="B779" i="1"/>
  <c r="B811" i="1"/>
  <c r="B780" i="1"/>
  <c r="B716" i="1"/>
  <c r="B812" i="1"/>
  <c r="B781" i="1"/>
  <c r="B782" i="1"/>
  <c r="B783" i="1"/>
  <c r="B683" i="1"/>
  <c r="B693" i="1"/>
  <c r="B784" i="1"/>
  <c r="B646" i="1"/>
  <c r="B687" i="1"/>
  <c r="B703" i="1"/>
  <c r="B785" i="1"/>
  <c r="B667" i="1"/>
  <c r="B786" i="1"/>
  <c r="B787" i="1"/>
  <c r="B645" i="1"/>
  <c r="B788" i="1"/>
  <c r="B664" i="1"/>
  <c r="B789" i="1"/>
  <c r="B790" i="1"/>
  <c r="B791" i="1"/>
  <c r="B792" i="1"/>
  <c r="B793" i="1"/>
  <c r="B816" i="1"/>
  <c r="B817" i="1"/>
  <c r="B702" i="1"/>
  <c r="B681" i="1"/>
  <c r="B814" i="1"/>
  <c r="B813" i="1"/>
  <c r="B818" i="1"/>
  <c r="B815" i="1"/>
  <c r="B727" i="1"/>
  <c r="B689" i="1"/>
  <c r="B819" i="1"/>
  <c r="B654" i="1"/>
  <c r="B639" i="1"/>
  <c r="B1250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3" i="1"/>
  <c r="B844" i="1"/>
  <c r="B846" i="1"/>
  <c r="B848" i="1"/>
  <c r="B849" i="1"/>
  <c r="B842" i="1"/>
  <c r="B845" i="1"/>
  <c r="B850" i="1"/>
  <c r="B847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3" i="1"/>
  <c r="B1154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80" i="1"/>
  <c r="B1181" i="1"/>
  <c r="B1182" i="1"/>
  <c r="B1183" i="1"/>
  <c r="B1184" i="1"/>
  <c r="B1185" i="1"/>
  <c r="B1186" i="1"/>
  <c r="B1187" i="1"/>
  <c r="B1188" i="1"/>
  <c r="B1189" i="1"/>
  <c r="B1190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4" i="1"/>
  <c r="B1226" i="1"/>
  <c r="B1228" i="1"/>
  <c r="B1229" i="1"/>
  <c r="B1230" i="1"/>
  <c r="B1231" i="1"/>
  <c r="B1232" i="1"/>
  <c r="B1233" i="1"/>
  <c r="B1234" i="1"/>
  <c r="B1235" i="1"/>
  <c r="B1236" i="1"/>
  <c r="B1238" i="1"/>
  <c r="B1239" i="1"/>
  <c r="B1240" i="1"/>
  <c r="B1241" i="1"/>
  <c r="B1243" i="1"/>
  <c r="B1245" i="1"/>
  <c r="B1246" i="1"/>
  <c r="B1247" i="1"/>
  <c r="B1248" i="1"/>
  <c r="B1249" i="1"/>
  <c r="B869" i="1"/>
  <c r="B942" i="1"/>
  <c r="B1050" i="1"/>
  <c r="B1100" i="1"/>
  <c r="B1152" i="1"/>
  <c r="B1155" i="1"/>
  <c r="B1179" i="1"/>
  <c r="B1191" i="1"/>
  <c r="B1207" i="1"/>
  <c r="B1208" i="1"/>
  <c r="B1223" i="1"/>
  <c r="B1225" i="1"/>
  <c r="B1227" i="1"/>
  <c r="B1237" i="1"/>
  <c r="B1242" i="1"/>
  <c r="B1244" i="1"/>
  <c r="B2" i="1"/>
  <c r="P876" i="1" l="1"/>
  <c r="P885" i="1"/>
  <c r="P901" i="1"/>
  <c r="P947" i="1"/>
  <c r="P951" i="1"/>
  <c r="P952" i="1"/>
  <c r="P959" i="1"/>
  <c r="P968" i="1"/>
  <c r="P975" i="1"/>
  <c r="P886" i="1"/>
  <c r="P894" i="1"/>
  <c r="P913" i="1"/>
  <c r="P915" i="1"/>
  <c r="P924" i="1"/>
  <c r="P934" i="1"/>
  <c r="P935" i="1"/>
  <c r="P941" i="1"/>
  <c r="P946" i="1"/>
  <c r="P949" i="1"/>
  <c r="P955" i="1"/>
  <c r="P960" i="1"/>
  <c r="P963" i="1"/>
  <c r="P969" i="1"/>
  <c r="P976" i="1"/>
  <c r="P980" i="1"/>
  <c r="P987" i="1"/>
  <c r="P990" i="1"/>
  <c r="P994" i="1"/>
  <c r="P1001" i="1"/>
  <c r="P1015" i="1"/>
  <c r="P1018" i="1"/>
  <c r="P1022" i="1"/>
  <c r="P1028" i="1"/>
  <c r="P1032" i="1"/>
  <c r="P1039" i="1"/>
  <c r="P1057" i="1"/>
  <c r="P1062" i="1"/>
  <c r="P1069" i="1"/>
  <c r="P1076" i="1"/>
  <c r="P1082" i="1"/>
  <c r="P1088" i="1"/>
  <c r="P1092" i="1"/>
  <c r="P1102" i="1"/>
  <c r="P1105" i="1"/>
  <c r="P1111" i="1"/>
  <c r="P1124" i="1"/>
  <c r="P1131" i="1"/>
  <c r="P1136" i="1"/>
  <c r="P865" i="1"/>
  <c r="P867" i="1"/>
  <c r="P871" i="1"/>
  <c r="P879" i="1"/>
  <c r="P880" i="1"/>
  <c r="P882" i="1"/>
  <c r="P889" i="1"/>
  <c r="P895" i="1"/>
  <c r="P899" i="1"/>
  <c r="P911" i="1"/>
  <c r="P922" i="1"/>
  <c r="P926" i="1"/>
  <c r="P931" i="1"/>
  <c r="P938" i="1"/>
  <c r="P905" i="1"/>
  <c r="P928" i="1"/>
  <c r="P967" i="1"/>
  <c r="P972" i="1"/>
  <c r="P982" i="1"/>
  <c r="P986" i="1"/>
  <c r="P999" i="1"/>
  <c r="P1002" i="1"/>
  <c r="P1011" i="1"/>
  <c r="P1012" i="1"/>
  <c r="P1016" i="1"/>
  <c r="P1029" i="1"/>
  <c r="P1034" i="1"/>
  <c r="P1052" i="1"/>
  <c r="P1059" i="1"/>
  <c r="P1067" i="1"/>
  <c r="P1077" i="1"/>
  <c r="P1084" i="1"/>
  <c r="P1091" i="1"/>
  <c r="P1108" i="1"/>
  <c r="P1122" i="1"/>
  <c r="P1132" i="1"/>
  <c r="P1140" i="1"/>
  <c r="P1144" i="1"/>
  <c r="P1150" i="1"/>
  <c r="P1170" i="1"/>
  <c r="P1181" i="1"/>
  <c r="P1192" i="1"/>
  <c r="P1211" i="1"/>
  <c r="P1217" i="1"/>
  <c r="P1222" i="1"/>
  <c r="P1230" i="1"/>
  <c r="P1235" i="1"/>
  <c r="P902" i="1"/>
  <c r="P890" i="1"/>
  <c r="P908" i="1"/>
  <c r="P932" i="1"/>
  <c r="P988" i="1"/>
  <c r="P1003" i="1"/>
  <c r="P1007" i="1"/>
  <c r="P1014" i="1"/>
  <c r="P1017" i="1"/>
  <c r="P1023" i="1"/>
  <c r="P1040" i="1"/>
  <c r="P1054" i="1"/>
  <c r="P1060" i="1"/>
  <c r="P1070" i="1"/>
  <c r="P1078" i="1"/>
  <c r="P1086" i="1"/>
  <c r="P1097" i="1"/>
  <c r="P1117" i="1"/>
  <c r="P1123" i="1"/>
  <c r="P1142" i="1"/>
  <c r="P1145" i="1"/>
  <c r="P1154" i="1"/>
  <c r="P1165" i="1"/>
  <c r="P1176" i="1"/>
  <c r="P1182" i="1"/>
  <c r="P1188" i="1"/>
  <c r="P1194" i="1"/>
  <c r="P1205" i="1"/>
  <c r="P1218" i="1"/>
  <c r="P1224" i="1"/>
  <c r="P1232" i="1"/>
  <c r="P1236" i="1"/>
  <c r="P973" i="1"/>
  <c r="P958" i="1"/>
  <c r="P1037" i="1"/>
  <c r="P1074" i="1"/>
  <c r="P1085" i="1"/>
  <c r="P1155" i="1"/>
  <c r="P1208" i="1"/>
  <c r="P1237" i="1"/>
  <c r="P971" i="1"/>
  <c r="P978" i="1"/>
  <c r="P983" i="1"/>
  <c r="P992" i="1"/>
  <c r="P996" i="1"/>
  <c r="P1000" i="1"/>
  <c r="P1005" i="1"/>
  <c r="P1008" i="1"/>
  <c r="P1044" i="1"/>
  <c r="P1056" i="1"/>
  <c r="P1064" i="1"/>
  <c r="P1072" i="1"/>
  <c r="P1081" i="1"/>
  <c r="P1098" i="1"/>
  <c r="P1104" i="1"/>
  <c r="P1118" i="1"/>
  <c r="P1127" i="1"/>
  <c r="P1143" i="1"/>
  <c r="P1148" i="1"/>
  <c r="P1157" i="1"/>
  <c r="P1168" i="1"/>
  <c r="P1171" i="1"/>
  <c r="P1183" i="1"/>
  <c r="P1189" i="1"/>
  <c r="P1195" i="1"/>
  <c r="P1198" i="1"/>
  <c r="P1206" i="1"/>
  <c r="P1213" i="1"/>
  <c r="P1219" i="1"/>
  <c r="P1226" i="1"/>
  <c r="P1233" i="1"/>
  <c r="P1240" i="1"/>
  <c r="P1246" i="1"/>
  <c r="P868" i="1"/>
  <c r="P877" i="1"/>
  <c r="P914" i="1"/>
  <c r="P925" i="1"/>
  <c r="P1047" i="1"/>
  <c r="P1083" i="1"/>
  <c r="P1128" i="1"/>
  <c r="P1149" i="1"/>
  <c r="P1173" i="1"/>
  <c r="P1196" i="1"/>
  <c r="P1248" i="1"/>
  <c r="P888" i="1"/>
  <c r="P900" i="1"/>
  <c r="P936" i="1"/>
  <c r="P950" i="1"/>
  <c r="P974" i="1"/>
  <c r="P1050" i="1"/>
  <c r="P1156" i="1"/>
  <c r="P1152" i="1"/>
  <c r="P1026" i="1"/>
  <c r="P1160" i="1"/>
  <c r="P1178" i="1"/>
  <c r="P1201" i="1"/>
  <c r="P1229" i="1"/>
  <c r="P929" i="1"/>
  <c r="P965" i="1"/>
  <c r="P995" i="1"/>
  <c r="P1041" i="1"/>
  <c r="P1058" i="1"/>
  <c r="P1096" i="1"/>
  <c r="P1087" i="1"/>
  <c r="P1228" i="1"/>
  <c r="P1212" i="1"/>
  <c r="P1099" i="1"/>
  <c r="P1138" i="1"/>
  <c r="P1167" i="1"/>
  <c r="P1234" i="1"/>
  <c r="P953" i="1"/>
  <c r="P981" i="1"/>
  <c r="P979" i="1"/>
  <c r="P1021" i="1"/>
  <c r="P997" i="1"/>
  <c r="P1036" i="1"/>
  <c r="P1100" i="1"/>
  <c r="P1162" i="1"/>
  <c r="P1180" i="1"/>
  <c r="P1187" i="1"/>
  <c r="P1199" i="1"/>
  <c r="P1210" i="1"/>
  <c r="P1073" i="1"/>
  <c r="P1106" i="1"/>
  <c r="P1169" i="1"/>
  <c r="P1190" i="1"/>
  <c r="P1216" i="1"/>
  <c r="P1241" i="1"/>
  <c r="P893" i="1"/>
  <c r="P920" i="1"/>
  <c r="P906" i="1"/>
  <c r="P944" i="1"/>
  <c r="P942" i="1"/>
  <c r="P954" i="1"/>
  <c r="P1004" i="1"/>
  <c r="P1019" i="1"/>
  <c r="P1024" i="1"/>
  <c r="P1046" i="1"/>
  <c r="P1027" i="1"/>
  <c r="P1093" i="1"/>
  <c r="P1101" i="1"/>
  <c r="P1129" i="1"/>
  <c r="P1159" i="1"/>
  <c r="P1146" i="1"/>
  <c r="P1200" i="1"/>
  <c r="P244" i="1" l="1"/>
  <c r="P725" i="1"/>
  <c r="P715" i="1"/>
  <c r="P498" i="1"/>
  <c r="P236" i="1"/>
  <c r="P589" i="1"/>
  <c r="P496" i="1"/>
  <c r="P281" i="1"/>
  <c r="P712" i="1"/>
  <c r="P546" i="1"/>
  <c r="P466" i="1"/>
  <c r="P447" i="1"/>
  <c r="P684" i="1"/>
  <c r="P462" i="1"/>
  <c r="P704" i="1"/>
  <c r="P457" i="1"/>
  <c r="P581" i="1"/>
  <c r="P659" i="1"/>
  <c r="P210" i="1"/>
  <c r="P218" i="1"/>
  <c r="P719" i="1"/>
  <c r="P369" i="1"/>
  <c r="P444" i="1"/>
  <c r="P642" i="1"/>
  <c r="P521" i="1"/>
  <c r="P675" i="1"/>
  <c r="P399" i="1"/>
  <c r="P225" i="1"/>
  <c r="P335" i="1"/>
  <c r="P217" i="1"/>
  <c r="P652" i="1"/>
  <c r="P640" i="1"/>
  <c r="P373" i="1"/>
  <c r="P634" i="1"/>
  <c r="P230" i="1"/>
  <c r="P580" i="1"/>
  <c r="P709" i="1"/>
  <c r="P468" i="1"/>
  <c r="P456" i="1"/>
  <c r="P565" i="1"/>
  <c r="P415" i="1"/>
  <c r="P471" i="1"/>
  <c r="P499" i="1"/>
  <c r="P587" i="1"/>
  <c r="P717" i="1"/>
  <c r="P606" i="1"/>
  <c r="P697" i="1"/>
  <c r="P599" i="1"/>
  <c r="P118" i="1"/>
  <c r="P579" i="1"/>
  <c r="P233" i="1"/>
  <c r="P477" i="1"/>
  <c r="P378" i="1"/>
  <c r="P334" i="1"/>
  <c r="P320" i="1"/>
  <c r="P722" i="1"/>
  <c r="P688" i="1"/>
  <c r="P307" i="1"/>
  <c r="P718" i="1"/>
  <c r="P707" i="1"/>
  <c r="P344" i="1"/>
  <c r="P453" i="1"/>
  <c r="P698" i="1"/>
  <c r="P708" i="1"/>
  <c r="P340" i="1"/>
  <c r="P497" i="1"/>
  <c r="P678" i="1"/>
  <c r="P209" i="1"/>
  <c r="P485" i="1"/>
  <c r="P382" i="1"/>
  <c r="P53" i="1"/>
  <c r="P503" i="1"/>
  <c r="P696" i="1"/>
  <c r="P486" i="1"/>
  <c r="P299" i="1"/>
  <c r="P713" i="1"/>
  <c r="P600" i="1"/>
  <c r="P663" i="1"/>
  <c r="P309" i="1"/>
  <c r="P251" i="1"/>
  <c r="P699" i="1"/>
  <c r="P538" i="1"/>
  <c r="P572" i="1"/>
  <c r="P488" i="1"/>
  <c r="P159" i="1"/>
  <c r="P175" i="1"/>
  <c r="P393" i="1"/>
  <c r="P644" i="1"/>
  <c r="P379" i="1"/>
  <c r="P164" i="1"/>
  <c r="P724" i="1"/>
  <c r="P362" i="1"/>
  <c r="P407" i="1"/>
  <c r="P391" i="1"/>
  <c r="P305" i="1"/>
  <c r="P686" i="1"/>
  <c r="P582" i="1"/>
  <c r="P645" i="1"/>
  <c r="P443" i="1"/>
  <c r="P346" i="1"/>
  <c r="P545" i="1"/>
  <c r="P315" i="1"/>
  <c r="P680" i="1"/>
  <c r="P669" i="1"/>
  <c r="P312" i="1"/>
  <c r="P280" i="1"/>
  <c r="P306" i="1"/>
  <c r="P436" i="1"/>
  <c r="P706" i="1"/>
  <c r="P325" i="1"/>
  <c r="P525" i="1"/>
  <c r="P323" i="1"/>
  <c r="P728" i="1"/>
  <c r="P417" i="1"/>
  <c r="P605" i="1"/>
  <c r="P412" i="1"/>
  <c r="P282" i="1"/>
  <c r="P657" i="1"/>
  <c r="P177" i="1"/>
  <c r="P242" i="1"/>
  <c r="P439" i="1"/>
  <c r="P302" i="1"/>
  <c r="P611" i="1"/>
  <c r="P547" i="1"/>
  <c r="P705" i="1"/>
  <c r="P476" i="1"/>
  <c r="P458" i="1"/>
  <c r="P398" i="1"/>
  <c r="P571" i="1"/>
  <c r="P234" i="1"/>
  <c r="P385" i="1"/>
  <c r="P213" i="1"/>
  <c r="P44" i="1"/>
  <c r="P321" i="1"/>
  <c r="P710" i="1"/>
  <c r="P602" i="1"/>
  <c r="P472" i="1"/>
  <c r="P591" i="1"/>
  <c r="P339" i="1"/>
  <c r="P650" i="1"/>
  <c r="P324" i="1"/>
  <c r="P336" i="1"/>
  <c r="P114" i="1"/>
  <c r="P161" i="1"/>
  <c r="P163" i="1"/>
  <c r="P662" i="1"/>
  <c r="P577" i="1"/>
  <c r="P389" i="1"/>
  <c r="P278" i="1"/>
  <c r="P568" i="1"/>
  <c r="P566" i="1"/>
  <c r="P90" i="1"/>
  <c r="P609" i="1"/>
  <c r="P541" i="1"/>
  <c r="P166" i="1"/>
  <c r="P413" i="1"/>
  <c r="P313" i="1"/>
  <c r="P451" i="1"/>
  <c r="P574" i="1"/>
  <c r="P682" i="1"/>
  <c r="P402" i="1"/>
  <c r="P570" i="1"/>
  <c r="P489" i="1"/>
  <c r="P685" i="1"/>
  <c r="P454" i="1"/>
  <c r="P248" i="1"/>
  <c r="P693" i="1"/>
  <c r="P409" i="1"/>
  <c r="P284" i="1"/>
  <c r="P666" i="1"/>
  <c r="P401" i="1"/>
  <c r="P576" i="1"/>
  <c r="P249" i="1"/>
  <c r="P691" i="1"/>
  <c r="P593" i="1"/>
  <c r="P404" i="1"/>
  <c r="P279" i="1"/>
  <c r="P380" i="1"/>
  <c r="P129" i="1"/>
  <c r="P475" i="1"/>
  <c r="P598" i="1"/>
  <c r="P502" i="1"/>
  <c r="P394" i="1"/>
  <c r="P648" i="1"/>
  <c r="P437" i="1"/>
  <c r="P261" i="1"/>
  <c r="P612" i="1"/>
  <c r="P714" i="1"/>
  <c r="P179" i="1"/>
  <c r="P467" i="1"/>
  <c r="P460" i="1"/>
  <c r="P539" i="1"/>
  <c r="P661" i="1"/>
  <c r="P78" i="1"/>
  <c r="P330" i="1"/>
  <c r="P720" i="1"/>
  <c r="P418" i="1"/>
  <c r="P601" i="1"/>
  <c r="P465" i="1"/>
  <c r="P588" i="1"/>
  <c r="P671" i="1"/>
  <c r="P195" i="1"/>
  <c r="P363" i="1"/>
  <c r="P575" i="1"/>
  <c r="P493" i="1"/>
  <c r="P67" i="1"/>
  <c r="P381" i="1"/>
  <c r="P377" i="1"/>
  <c r="P636" i="1"/>
  <c r="P332" i="1"/>
  <c r="P125" i="1"/>
  <c r="P608" i="1"/>
  <c r="P414" i="1"/>
  <c r="P676" i="1"/>
  <c r="P167" i="1"/>
  <c r="P106" i="1"/>
  <c r="P649" i="1"/>
  <c r="P384" i="1"/>
  <c r="P567" i="1"/>
  <c r="P434" i="1"/>
  <c r="P223" i="1"/>
  <c r="P275" i="1"/>
  <c r="P530" i="1"/>
  <c r="P526" i="1"/>
  <c r="P387" i="1"/>
  <c r="P641" i="1"/>
  <c r="P122" i="1"/>
  <c r="P262" i="1"/>
  <c r="P224" i="1"/>
  <c r="P333" i="1"/>
  <c r="P406" i="1"/>
  <c r="P491" i="1"/>
  <c r="P374" i="1"/>
  <c r="P727" i="1"/>
  <c r="P667" i="1"/>
  <c r="P534" i="1"/>
  <c r="P337" i="1"/>
  <c r="P158" i="1"/>
  <c r="P700" i="1"/>
  <c r="P473" i="1"/>
  <c r="P201" i="1"/>
  <c r="P651" i="1"/>
  <c r="P432" i="1"/>
  <c r="P84" i="1"/>
  <c r="P286" i="1"/>
  <c r="P668" i="1"/>
  <c r="P212" i="1"/>
  <c r="P156" i="1"/>
  <c r="P232" i="1"/>
  <c r="P408" i="1"/>
  <c r="P673" i="1"/>
  <c r="P403" i="1"/>
  <c r="P660" i="1"/>
  <c r="P637" i="1"/>
  <c r="P701" i="1"/>
  <c r="P543" i="1"/>
  <c r="P464" i="1"/>
  <c r="P665" i="1"/>
  <c r="P532" i="1"/>
  <c r="P135" i="1"/>
  <c r="P375" i="1"/>
  <c r="P420" i="1"/>
  <c r="P390" i="1"/>
  <c r="P655" i="1"/>
  <c r="P110" i="1"/>
  <c r="P121" i="1"/>
  <c r="P314" i="1"/>
  <c r="P677" i="1"/>
  <c r="P459" i="1"/>
  <c r="P283" i="1"/>
  <c r="P446" i="1"/>
  <c r="P643" i="1"/>
  <c r="P100" i="1"/>
  <c r="P372" i="1"/>
  <c r="P303" i="1"/>
  <c r="P548" i="1"/>
  <c r="P604" i="1"/>
  <c r="P470" i="1"/>
  <c r="P392" i="1"/>
  <c r="P487" i="1"/>
  <c r="P658" i="1"/>
  <c r="P653" i="1"/>
  <c r="P178" i="1"/>
  <c r="P245" i="1"/>
  <c r="P607" i="1"/>
  <c r="P347" i="1"/>
  <c r="P597" i="1"/>
  <c r="P542" i="1"/>
  <c r="P672" i="1"/>
  <c r="P664" i="1"/>
  <c r="P342" i="1"/>
  <c r="P395" i="1"/>
  <c r="P199" i="1"/>
  <c r="P376" i="1"/>
  <c r="P247" i="1"/>
  <c r="P246" i="1"/>
  <c r="P206" i="1"/>
  <c r="P452" i="1"/>
  <c r="P448" i="1"/>
  <c r="P441" i="1"/>
  <c r="P524" i="1"/>
  <c r="P160" i="1"/>
  <c r="P638" i="1"/>
  <c r="P433" i="1"/>
  <c r="P274" i="1"/>
  <c r="P128" i="1"/>
</calcChain>
</file>

<file path=xl/sharedStrings.xml><?xml version="1.0" encoding="utf-8"?>
<sst xmlns="http://schemas.openxmlformats.org/spreadsheetml/2006/main" count="1275" uniqueCount="1275">
  <si>
    <t>university_name</t>
  </si>
  <si>
    <t>Harvard University</t>
  </si>
  <si>
    <t>California Institute of Technology</t>
  </si>
  <si>
    <t>Massachusetts Institute of Technology</t>
  </si>
  <si>
    <t>Stanford University</t>
  </si>
  <si>
    <t>Princeton University</t>
  </si>
  <si>
    <t>University of Cambridge</t>
  </si>
  <si>
    <t>University of Oxford</t>
  </si>
  <si>
    <t>University of California, Berkeley</t>
  </si>
  <si>
    <t>Imperial College London</t>
  </si>
  <si>
    <t>Yale University</t>
  </si>
  <si>
    <t>University of California, Los Angeles</t>
  </si>
  <si>
    <t>University of Chicago</t>
  </si>
  <si>
    <t>Johns Hopkins University</t>
  </si>
  <si>
    <t>Cornell University</t>
  </si>
  <si>
    <t>ETH Zurich â€“ Swiss Federal Institute of Technology Zurich</t>
  </si>
  <si>
    <t>University of Michigan</t>
  </si>
  <si>
    <t>University of Toronto</t>
  </si>
  <si>
    <t>Columbia University</t>
  </si>
  <si>
    <t>University of Pennsylvania</t>
  </si>
  <si>
    <t>Carnegie Mellon University</t>
  </si>
  <si>
    <t>University of Hong Kong</t>
  </si>
  <si>
    <t>University College London</t>
  </si>
  <si>
    <t>University of Washington</t>
  </si>
  <si>
    <t>Duke University</t>
  </si>
  <si>
    <t>Northwestern University</t>
  </si>
  <si>
    <t>University of Tokyo</t>
  </si>
  <si>
    <t>Georgia Institute of Technology</t>
  </si>
  <si>
    <t>Pohang University of Science and Technology</t>
  </si>
  <si>
    <t>University of California, Santa Barbara</t>
  </si>
  <si>
    <t>University of British Columbia</t>
  </si>
  <si>
    <t>University of North Carolina at Chapel Hill</t>
  </si>
  <si>
    <t>University of California, San Diego</t>
  </si>
  <si>
    <t>University of Illinois at Urbana-Champaign</t>
  </si>
  <si>
    <t>National University of Singapore</t>
  </si>
  <si>
    <t>McGill University</t>
  </si>
  <si>
    <t>University of Melbourne</t>
  </si>
  <si>
    <t>Peking University</t>
  </si>
  <si>
    <t>Washington University in St Louis</t>
  </si>
  <si>
    <t>Ã‰cole Polytechnique</t>
  </si>
  <si>
    <t>University of Edinburgh</t>
  </si>
  <si>
    <t>Hong Kong University of Science and Technology</t>
  </si>
  <si>
    <t>Ã‰cole Normale SupÃ©rieure</t>
  </si>
  <si>
    <t>Australian National University</t>
  </si>
  <si>
    <t>Karolinska Institute</t>
  </si>
  <si>
    <t>University of GÃ¶ttingen</t>
  </si>
  <si>
    <t>University of Wisconsin</t>
  </si>
  <si>
    <t>Rice University</t>
  </si>
  <si>
    <t>Ã‰cole Polytechnique FÃ©dÃ©rale de Lausanne</t>
  </si>
  <si>
    <t>University of California, Irvine</t>
  </si>
  <si>
    <t>University of Science and Technology of China</t>
  </si>
  <si>
    <t>Vanderbilt University</t>
  </si>
  <si>
    <t>University of Minnesota</t>
  </si>
  <si>
    <t>Tufts University</t>
  </si>
  <si>
    <t>University of California, Davis</t>
  </si>
  <si>
    <t>Brown University</t>
  </si>
  <si>
    <t>University of Massachusetts</t>
  </si>
  <si>
    <t>Kyoto University</t>
  </si>
  <si>
    <t>Tsinghua University</t>
  </si>
  <si>
    <t>Boston University</t>
  </si>
  <si>
    <t>New York University</t>
  </si>
  <si>
    <t>Emory University</t>
  </si>
  <si>
    <t>LMU Munich</t>
  </si>
  <si>
    <t>University of Notre Dame</t>
  </si>
  <si>
    <t>University of Pittsburgh</t>
  </si>
  <si>
    <t>Case Western Reserve University</t>
  </si>
  <si>
    <t>Ohio State University</t>
  </si>
  <si>
    <t>University of Colorado Boulder</t>
  </si>
  <si>
    <t>University of Bristol</t>
  </si>
  <si>
    <t>University of California, Santa Cruz</t>
  </si>
  <si>
    <t>Yeshiva University</t>
  </si>
  <si>
    <t>University of Sydney</t>
  </si>
  <si>
    <t>University of Virginia</t>
  </si>
  <si>
    <t>University of Adelaide</t>
  </si>
  <si>
    <t>University of Southern California</t>
  </si>
  <si>
    <t>William &amp; Mary</t>
  </si>
  <si>
    <t>Trinity College Dublin</t>
  </si>
  <si>
    <t>Kingâ€™s College London</t>
  </si>
  <si>
    <t>Stony Brook University</t>
  </si>
  <si>
    <t>Korea Advanced Institute of Science and Technology (KAIST)</t>
  </si>
  <si>
    <t>University of Sussex</t>
  </si>
  <si>
    <t>The University of Queensland</t>
  </si>
  <si>
    <t>University of York</t>
  </si>
  <si>
    <t>Heidelberg University</t>
  </si>
  <si>
    <t>University of Utah</t>
  </si>
  <si>
    <t>Durham University</t>
  </si>
  <si>
    <t>London School of Economics and Political Science</t>
  </si>
  <si>
    <t>University of Manchester</t>
  </si>
  <si>
    <t>Royal Holloway, University of London</t>
  </si>
  <si>
    <t>Lund University</t>
  </si>
  <si>
    <t>University of Southampton</t>
  </si>
  <si>
    <t>University of Zurich</t>
  </si>
  <si>
    <t>Wake Forest University</t>
  </si>
  <si>
    <t>McMaster University</t>
  </si>
  <si>
    <t>University College Dublin</t>
  </si>
  <si>
    <t>George Washington University</t>
  </si>
  <si>
    <t>University of Arizona</t>
  </si>
  <si>
    <t>University of Basel</t>
  </si>
  <si>
    <t>University of Maryland, College Park</t>
  </si>
  <si>
    <t>Dartmouth College</t>
  </si>
  <si>
    <t>Ã‰cole Normale SupÃ©rieure de Lyon</t>
  </si>
  <si>
    <t>Technical University of Munich</t>
  </si>
  <si>
    <t>University of Helsinki</t>
  </si>
  <si>
    <t>University of St Andrews</t>
  </si>
  <si>
    <t>Rensselaer Polytechnic Institute</t>
  </si>
  <si>
    <t>Rutgers, the State University of New Jersey</t>
  </si>
  <si>
    <t>Purdue University</t>
  </si>
  <si>
    <t>National Tsing Hua University</t>
  </si>
  <si>
    <t>University of Cape Town</t>
  </si>
  <si>
    <t>Pennsylvania State University</t>
  </si>
  <si>
    <t>Seoul National University</t>
  </si>
  <si>
    <t>Hong Kong Baptist University</t>
  </si>
  <si>
    <t>Bilkent University</t>
  </si>
  <si>
    <t>Tokyo Institute of Technology</t>
  </si>
  <si>
    <t>Eindhoven University of Technology</t>
  </si>
  <si>
    <t>National Taiwan University</t>
  </si>
  <si>
    <t>University of Hawaiâ€™i at MÄnoa</t>
  </si>
  <si>
    <t>University of California, Riverside</t>
  </si>
  <si>
    <t>University of Geneva</t>
  </si>
  <si>
    <t>KU Leuven</t>
  </si>
  <si>
    <t>Nanjing University</t>
  </si>
  <si>
    <t>Queen Mary University of London</t>
  </si>
  <si>
    <t>Michigan State University</t>
  </si>
  <si>
    <t>Technical University of Denmark</t>
  </si>
  <si>
    <t>Ghent University</t>
  </si>
  <si>
    <t>Lancaster University</t>
  </si>
  <si>
    <t>Leiden University</t>
  </si>
  <si>
    <t>University of Alberta</t>
  </si>
  <si>
    <t>University of Glasgow</t>
  </si>
  <si>
    <t>Stockholm University</t>
  </si>
  <si>
    <t>Osaka University</t>
  </si>
  <si>
    <t>University of Victoria</t>
  </si>
  <si>
    <t>Tohoku University</t>
  </si>
  <si>
    <t>University of Freiburg</t>
  </si>
  <si>
    <t>University of Iowa</t>
  </si>
  <si>
    <t>University of Bergen</t>
  </si>
  <si>
    <t>University of Lausanne</t>
  </si>
  <si>
    <t>University of Sheffield</t>
  </si>
  <si>
    <t>University of Montreal</t>
  </si>
  <si>
    <t>VU University Amsterdam</t>
  </si>
  <si>
    <t>Pierre and Marie Curie University</t>
  </si>
  <si>
    <t>University of Dundee</t>
  </si>
  <si>
    <t>University of Barcelona</t>
  </si>
  <si>
    <t>Utrecht University</t>
  </si>
  <si>
    <t>Wageningen University and Research Center</t>
  </si>
  <si>
    <t>University of Auckland</t>
  </si>
  <si>
    <t>University of Birmingham</t>
  </si>
  <si>
    <t>Alexandria University</t>
  </si>
  <si>
    <t>Uppsala University</t>
  </si>
  <si>
    <t>Hong Kong Polytechnic University</t>
  </si>
  <si>
    <t>University of Aberdeen</t>
  </si>
  <si>
    <t>Delft University of Technology</t>
  </si>
  <si>
    <t>Birkbeck, University of London</t>
  </si>
  <si>
    <t>Newcastle University</t>
  </si>
  <si>
    <t>University of New South Wales</t>
  </si>
  <si>
    <t>Pompeu Fabra University</t>
  </si>
  <si>
    <t>Indiana University</t>
  </si>
  <si>
    <t>Iowa State University</t>
  </si>
  <si>
    <t>Georgia Health Sciences University</t>
  </si>
  <si>
    <t>Erasmus University Rotterdam</t>
  </si>
  <si>
    <t>University of Delaware</t>
  </si>
  <si>
    <t>Arizona State University</t>
  </si>
  <si>
    <t>Boston College</t>
  </si>
  <si>
    <t>National Sun Yat-Sen University</t>
  </si>
  <si>
    <t>Georgetown University</t>
  </si>
  <si>
    <t>University of Amsterdam</t>
  </si>
  <si>
    <t>University of Liverpool</t>
  </si>
  <si>
    <t>Aarhus University</t>
  </si>
  <si>
    <t>University of Leeds</t>
  </si>
  <si>
    <t>University of WÃ¼rzburg</t>
  </si>
  <si>
    <t>University of Groningen</t>
  </si>
  <si>
    <t>Sun Yat-sen University</t>
  </si>
  <si>
    <t>Goethe University Frankfurt</t>
  </si>
  <si>
    <t>Bielefeld University</t>
  </si>
  <si>
    <t>Nanyang Technological University</t>
  </si>
  <si>
    <t>University of East Anglia</t>
  </si>
  <si>
    <t>University of Nottingham</t>
  </si>
  <si>
    <t>University of Copenhagen</t>
  </si>
  <si>
    <t>Humboldt University of Berlin</t>
  </si>
  <si>
    <t>Monash University</t>
  </si>
  <si>
    <t>University of Bonn</t>
  </si>
  <si>
    <t>National Chiao Tung University</t>
  </si>
  <si>
    <t>RWTH Aachen University</t>
  </si>
  <si>
    <t>Middle East Technical University</t>
  </si>
  <si>
    <t>University of Exeter</t>
  </si>
  <si>
    <t>University of Twente</t>
  </si>
  <si>
    <t>University of Konstanz</t>
  </si>
  <si>
    <t>Karlsruhe Institute of Technology</t>
  </si>
  <si>
    <t>University of Innsbruck</t>
  </si>
  <si>
    <t>University of TÃ¼bingen</t>
  </si>
  <si>
    <t>Drexel University</t>
  </si>
  <si>
    <t>University of Cincinnati</t>
  </si>
  <si>
    <t>Yonsei University</t>
  </si>
  <si>
    <t>Dalhousie University</t>
  </si>
  <si>
    <t>KTH Royal Institute of Technology</t>
  </si>
  <si>
    <t>University of Vienna</t>
  </si>
  <si>
    <t>Kent State University</t>
  </si>
  <si>
    <t>University of Illinois at Chicago</t>
  </si>
  <si>
    <t>Zhejiang University</t>
  </si>
  <si>
    <t>Simon Fraser University</t>
  </si>
  <si>
    <t>Swedish University of Agricultural Sciences</t>
  </si>
  <si>
    <t>University of Wisconsin-Madison</t>
  </si>
  <si>
    <t>University of Texas at Austin</t>
  </si>
  <si>
    <t>University of Rochester</t>
  </si>
  <si>
    <t>University of Bern</t>
  </si>
  <si>
    <t>Hebrew University of Jerusalem</t>
  </si>
  <si>
    <t>University of Florida</t>
  </si>
  <si>
    <t>Brandeis University</t>
  </si>
  <si>
    <t>Chinese University of Hong Kong</t>
  </si>
  <si>
    <t>Free University of Berlin</t>
  </si>
  <si>
    <t>University of Warwick</t>
  </si>
  <si>
    <t>Radboud University Nijmegen</t>
  </si>
  <si>
    <t>Medical University of South Carolina</t>
  </si>
  <si>
    <t>Texas A&amp;M University</t>
  </si>
  <si>
    <t>University of Reading</t>
  </si>
  <si>
    <t>Tel Aviv University</t>
  </si>
  <si>
    <t>Paris Diderot University â€“ Paris 7</t>
  </si>
  <si>
    <t>UniversitÃ© Catholique de Louvain</t>
  </si>
  <si>
    <t>University of Miami</t>
  </si>
  <si>
    <t>Queenâ€™s University</t>
  </si>
  <si>
    <t>University of SÃ£o Paulo</t>
  </si>
  <si>
    <t>University of Oslo</t>
  </si>
  <si>
    <t>University of Ottawa</t>
  </si>
  <si>
    <t>University of Western Australia</t>
  </si>
  <si>
    <t>City University of Hong Kong</t>
  </si>
  <si>
    <t>Maastricht University</t>
  </si>
  <si>
    <t>University of Leicester</t>
  </si>
  <si>
    <t>Autonomous University of Barcelona</t>
  </si>
  <si>
    <t>Cardiff University</t>
  </si>
  <si>
    <t>Colorado School of Mines</t>
  </si>
  <si>
    <t>Nagoya University</t>
  </si>
  <si>
    <t>Northeastern University</t>
  </si>
  <si>
    <t>Technion Israel Institute of Technology</t>
  </si>
  <si>
    <t>Tulane University</t>
  </si>
  <si>
    <t>Ulm University</t>
  </si>
  <si>
    <t>UmeÃ¥ University</t>
  </si>
  <si>
    <t>University at Buffalo</t>
  </si>
  <si>
    <t>University of Essex</t>
  </si>
  <si>
    <t>University of Georgia</t>
  </si>
  <si>
    <t>University of Gothenburg</t>
  </si>
  <si>
    <t>University of Medicine and Dentistry of New Jersey</t>
  </si>
  <si>
    <t>University of Otago</t>
  </si>
  <si>
    <t>University of South Carolina</t>
  </si>
  <si>
    <t>University of Strasbourg</t>
  </si>
  <si>
    <t>University of Waterloo</t>
  </si>
  <si>
    <t>University of Western Ontario</t>
  </si>
  <si>
    <t>UniversitÃ© Libre de Bruxelles</t>
  </si>
  <si>
    <t>Carleton University</t>
  </si>
  <si>
    <t>Chalmers University of Technology</t>
  </si>
  <si>
    <t>Colorado State University</t>
  </si>
  <si>
    <t>Creighton University</t>
  </si>
  <si>
    <t>Fudan University</t>
  </si>
  <si>
    <t>Korea University</t>
  </si>
  <si>
    <t>Macquarie University</t>
  </si>
  <si>
    <t>State University of New York Albany</t>
  </si>
  <si>
    <t>Tokyo Metropolitan University</t>
  </si>
  <si>
    <t>University of Bologna</t>
  </si>
  <si>
    <t>University of Calgary</t>
  </si>
  <si>
    <t>University of Hamburg</t>
  </si>
  <si>
    <t>University of Milan</t>
  </si>
  <si>
    <t>University of Milan-Bicocca</t>
  </si>
  <si>
    <t>University of Missouri</t>
  </si>
  <si>
    <t>University of Padua</t>
  </si>
  <si>
    <t>University of Trieste</t>
  </si>
  <si>
    <t>Bangor University</t>
  </si>
  <si>
    <t>Brunel University London</t>
  </si>
  <si>
    <t>Johannes Kepler University of Linz</t>
  </si>
  <si>
    <t>Kyushu University</t>
  </si>
  <si>
    <t>Norwegian University of Science and Technology</t>
  </si>
  <si>
    <t>Queenâ€™s University Belfast</t>
  </si>
  <si>
    <t>Ruhr University Bochum</t>
  </si>
  <si>
    <t>Stellenbosch University</t>
  </si>
  <si>
    <t>Tilburg University</t>
  </si>
  <si>
    <t>TU Dresden</t>
  </si>
  <si>
    <t>University of Bath</t>
  </si>
  <si>
    <t>University of Graz</t>
  </si>
  <si>
    <t>University of Kiel</t>
  </si>
  <si>
    <t>University of Southern Denmark</t>
  </si>
  <si>
    <t>University of Texas at Dallas</t>
  </si>
  <si>
    <t>University of the Witwatersrand</t>
  </si>
  <si>
    <t>University of Tsukuba</t>
  </si>
  <si>
    <t>University of Wollongong</t>
  </si>
  <si>
    <t>Victoria University of Wellington</t>
  </si>
  <si>
    <t>Virginia Polytechnic Institute and State University</t>
  </si>
  <si>
    <t>Wayne State University</t>
  </si>
  <si>
    <t>Aberystwyth University</t>
  </si>
  <si>
    <t>Autonomous University of Madrid</t>
  </si>
  <si>
    <t>Hokkaido University</t>
  </si>
  <si>
    <t>Istanbul Technical University</t>
  </si>
  <si>
    <t>Lomonosov Moscow State University</t>
  </si>
  <si>
    <t>Montpellier University</t>
  </si>
  <si>
    <t>Queensland University of Technology</t>
  </si>
  <si>
    <t>State University of Campinas</t>
  </si>
  <si>
    <t>Technical University of Darmstadt</t>
  </si>
  <si>
    <t>Tokyo Medical and Dental University (TMDU)</t>
  </si>
  <si>
    <t>UiT The Arctic University of Norway</t>
  </si>
  <si>
    <t>University of Antwerp</t>
  </si>
  <si>
    <t>University of Crete</t>
  </si>
  <si>
    <t>University of Guelph</t>
  </si>
  <si>
    <t>University of Iceland</t>
  </si>
  <si>
    <t>University of Kansas</t>
  </si>
  <si>
    <t>University of Kentucky</t>
  </si>
  <si>
    <t>University of MÃ¼nster</t>
  </si>
  <si>
    <t>University of Newcastle</t>
  </si>
  <si>
    <t>University of Texas at San Antonio</t>
  </si>
  <si>
    <t>University of Trento</t>
  </si>
  <si>
    <t>York University</t>
  </si>
  <si>
    <t>Aalborg University</t>
  </si>
  <si>
    <t>Aalto University</t>
  </si>
  <si>
    <t>Bar-Ilan University</t>
  </si>
  <si>
    <t>Binghamton University, State University of New York</t>
  </si>
  <si>
    <t>BoÄŸaziÃ§i University</t>
  </si>
  <si>
    <t>Charles Darwin University</t>
  </si>
  <si>
    <t>Charles University in Prague</t>
  </si>
  <si>
    <t>George Mason University</t>
  </si>
  <si>
    <t>Indian Institute of Technology Bombay</t>
  </si>
  <si>
    <t>Jagiellonian University</t>
  </si>
  <si>
    <t>Keele University</t>
  </si>
  <si>
    <t>Keio University</t>
  </si>
  <si>
    <t>Lehigh University</t>
  </si>
  <si>
    <t>LinkÃ¶ping University</t>
  </si>
  <si>
    <t>National Taiwan University of Science and Technology (Taiwan Tech)</t>
  </si>
  <si>
    <t>Plymouth University</t>
  </si>
  <si>
    <t>Polytechnic University of Milan</t>
  </si>
  <si>
    <t>Sapienza University of Rome</t>
  </si>
  <si>
    <t>Shanghai Jiao Tong University</t>
  </si>
  <si>
    <t>Sharif University of Technology</t>
  </si>
  <si>
    <t>Sungkyunkwan University (SKKU)</t>
  </si>
  <si>
    <t>University College Cork</t>
  </si>
  <si>
    <t>University of Aveiro</t>
  </si>
  <si>
    <t>University of Canterbury</t>
  </si>
  <si>
    <t>University of Eastern Finland</t>
  </si>
  <si>
    <t>University of Ferrara</t>
  </si>
  <si>
    <t>University of Hertfordshire</t>
  </si>
  <si>
    <t>University of Houston</t>
  </si>
  <si>
    <t>University of Hull</t>
  </si>
  <si>
    <t>University of LiÃ¨ge</t>
  </si>
  <si>
    <t>University of Manitoba</t>
  </si>
  <si>
    <t>University of Maryland, Baltimore County</t>
  </si>
  <si>
    <t>University of Modena and Reggio Emilia</t>
  </si>
  <si>
    <t>University of Oklahoma</t>
  </si>
  <si>
    <t>University of Pisa</t>
  </si>
  <si>
    <t>University of Porto</t>
  </si>
  <si>
    <t>University of South Florida</t>
  </si>
  <si>
    <t>University of Stirling</t>
  </si>
  <si>
    <t>University of Surrey</t>
  </si>
  <si>
    <t>University of Tampere</t>
  </si>
  <si>
    <t>University of Tasmania</t>
  </si>
  <si>
    <t>University of Valencia</t>
  </si>
  <si>
    <t>University of Waikato</t>
  </si>
  <si>
    <t>University of Warsaw</t>
  </si>
  <si>
    <t>Vienna University of Technology</t>
  </si>
  <si>
    <t>Vrije Universiteit Brussel</t>
  </si>
  <si>
    <t>Washington State University</t>
  </si>
  <si>
    <t>Aston University</t>
  </si>
  <si>
    <t>Auburn University</t>
  </si>
  <si>
    <t>Clemson University</t>
  </si>
  <si>
    <t>Curtin University</t>
  </si>
  <si>
    <t>Deakin University</t>
  </si>
  <si>
    <t>Flinders University</t>
  </si>
  <si>
    <t>Georgia State University</t>
  </si>
  <si>
    <t>Griffith University</t>
  </si>
  <si>
    <t>Harbin Institute of Technology</t>
  </si>
  <si>
    <t>Heriot-Watt University</t>
  </si>
  <si>
    <t>Hiroshima University</t>
  </si>
  <si>
    <t>Kansas State University</t>
  </si>
  <si>
    <t>Kobe University</t>
  </si>
  <si>
    <t>Kyung Hee University</t>
  </si>
  <si>
    <t>La Trobe University</t>
  </si>
  <si>
    <t>Leibniz University of Hanover</t>
  </si>
  <si>
    <t>Liverpool John Moores University</t>
  </si>
  <si>
    <t>Loughborough University</t>
  </si>
  <si>
    <t>Mahidol University</t>
  </si>
  <si>
    <t>Massey University</t>
  </si>
  <si>
    <t>Michigan Technological University</t>
  </si>
  <si>
    <t>National Central University</t>
  </si>
  <si>
    <t>National Taiwan Ocean University</t>
  </si>
  <si>
    <t>National University of Ireland, Galway</t>
  </si>
  <si>
    <t>National University of Ireland, Maynooth</t>
  </si>
  <si>
    <t>New Jersey Institute of Technology</t>
  </si>
  <si>
    <t>New University of Lisbon</t>
  </si>
  <si>
    <t>Old Dominion University</t>
  </si>
  <si>
    <t>Polytechnic University of Catalonia</t>
  </si>
  <si>
    <t>Polytechnic University of Turin</t>
  </si>
  <si>
    <t>Polytechnic University of Valencia</t>
  </si>
  <si>
    <t>Pontifical Catholic University of Chile</t>
  </si>
  <si>
    <t>Saint Petersburg State University</t>
  </si>
  <si>
    <t>Swansea University</t>
  </si>
  <si>
    <t>Swinburne University of Technology</t>
  </si>
  <si>
    <t>Tokyo University of Agriculture and Technology</t>
  </si>
  <si>
    <t>University of Bari Aldo Moro</t>
  </si>
  <si>
    <t>University of Coimbra</t>
  </si>
  <si>
    <t>University of Idaho</t>
  </si>
  <si>
    <t>University of Kent</t>
  </si>
  <si>
    <t>University of Paris North â€“ Paris 13</t>
  </si>
  <si>
    <t>University of Salento</t>
  </si>
  <si>
    <t>University of South Australia</t>
  </si>
  <si>
    <t>University of Strathclyde</t>
  </si>
  <si>
    <t>University of Tartu</t>
  </si>
  <si>
    <t>University of Turku</t>
  </si>
  <si>
    <t>University of Wyoming</t>
  </si>
  <si>
    <t>University of Zaragoza</t>
  </si>
  <si>
    <t>Waseda University</t>
  </si>
  <si>
    <t>Wuhan University</t>
  </si>
  <si>
    <t>Yuan Ze University</t>
  </si>
  <si>
    <t>Paris-Sud University</t>
  </si>
  <si>
    <t>Joseph Fourier University</t>
  </si>
  <si>
    <t>Johannes Gutenberg University of Mainz</t>
  </si>
  <si>
    <t>St Georgeâ€™s, University of London</t>
  </si>
  <si>
    <t>University of Erlangen-Nuremberg</t>
  </si>
  <si>
    <t>Florida Institute of Technology</t>
  </si>
  <si>
    <t>Indian Institute of Technology Kharagpur</t>
  </si>
  <si>
    <t>KoÃ§ University</t>
  </si>
  <si>
    <t>Laval University</t>
  </si>
  <si>
    <t>Mines ParisTech</t>
  </si>
  <si>
    <t>National Research Nuclear University MePhI</t>
  </si>
  <si>
    <t>University of Connecticut</t>
  </si>
  <si>
    <t>University of Oregon</t>
  </si>
  <si>
    <t>Bayreuth University</t>
  </si>
  <si>
    <t>Oregon State University</t>
  </si>
  <si>
    <t>University of Montana</t>
  </si>
  <si>
    <t>University of Turin</t>
  </si>
  <si>
    <t>Claude Bernard University Lyon 1</t>
  </si>
  <si>
    <t>King Abdulaziz University</t>
  </si>
  <si>
    <t>Medical University of Vienna</t>
  </si>
  <si>
    <t>Murdoch University</t>
  </si>
  <si>
    <t>National Cheng Kung University</t>
  </si>
  <si>
    <t>North Carolina State University</t>
  </si>
  <si>
    <t>Renmin University of China</t>
  </si>
  <si>
    <t>University of Fribourg</t>
  </si>
  <si>
    <t>University of Pavia</t>
  </si>
  <si>
    <t>University of Portsmouth</t>
  </si>
  <si>
    <t>University of Vermont</t>
  </si>
  <si>
    <t>Indian Institute of Technology Roorkee</t>
  </si>
  <si>
    <t>King Mongkutâ€™s University of Technology Thonburi</t>
  </si>
  <si>
    <t>National Autonomous University of Mexico</t>
  </si>
  <si>
    <t>Paris Dauphine University</t>
  </si>
  <si>
    <t>Southern Methodist University</t>
  </si>
  <si>
    <t>Temple University</t>
  </si>
  <si>
    <t>University of Duisburg-Essen</t>
  </si>
  <si>
    <t>University of JyvÃ¤skylÃ¤</t>
  </si>
  <si>
    <t>University of KwaZulu-Natal</t>
  </si>
  <si>
    <t>University of Minho</t>
  </si>
  <si>
    <t>University of Technology Sydney</t>
  </si>
  <si>
    <t>University of the Andes, Colombia</t>
  </si>
  <si>
    <t>University of Vigo</t>
  </si>
  <si>
    <t>Panjab University</t>
  </si>
  <si>
    <t>University of Cologne</t>
  </si>
  <si>
    <t>University of Nebraska-Lincoln</t>
  </si>
  <si>
    <t>University of Alaska Fairbanks</t>
  </si>
  <si>
    <t>Wuhan University of Technology</t>
  </si>
  <si>
    <t>China Medical University, Taiwan</t>
  </si>
  <si>
    <t>Hanyang University</t>
  </si>
  <si>
    <t>Indian Institute of Technology Delhi</t>
  </si>
  <si>
    <t>Indian Institute of Technology Kanpur</t>
  </si>
  <si>
    <t>King Saud University</t>
  </si>
  <si>
    <t>San Diego State University</t>
  </si>
  <si>
    <t>University of Florence</t>
  </si>
  <si>
    <t>University of Navarra</t>
  </si>
  <si>
    <t>University of Rovira i Virgili</t>
  </si>
  <si>
    <t>Scuola Normale Superiore di Pisa</t>
  </si>
  <si>
    <t>Syracuse University</t>
  </si>
  <si>
    <t>SabancÄ± University</t>
  </si>
  <si>
    <t>Technical University of Berlin</t>
  </si>
  <si>
    <t>Federico Santa MarÃ­a Technical University</t>
  </si>
  <si>
    <t>University of Bremen</t>
  </si>
  <si>
    <t>University of New Mexico</t>
  </si>
  <si>
    <t>Indian Institute of Science</t>
  </si>
  <si>
    <t>Lappeenranta University of Technology</t>
  </si>
  <si>
    <t>University of Macau</t>
  </si>
  <si>
    <t>Illinois Institute of Technology</t>
  </si>
  <si>
    <t>Novosibirsk State University</t>
  </si>
  <si>
    <t>University of Marrakech Cadi Ayyad</t>
  </si>
  <si>
    <t>University of Nebraska Medical Center</t>
  </si>
  <si>
    <t>University of Stuttgart</t>
  </si>
  <si>
    <t>Ewha Womans University</t>
  </si>
  <si>
    <t>Isfahan University of Technology</t>
  </si>
  <si>
    <t>Royal College of Surgeons in Ireland</t>
  </si>
  <si>
    <t>University of Lisbon</t>
  </si>
  <si>
    <t>University of Rome III</t>
  </si>
  <si>
    <t>University of Seoul</t>
  </si>
  <si>
    <t>Western Sydney University</t>
  </si>
  <si>
    <t>University of Mannheim</t>
  </si>
  <si>
    <t>Scuola Superiore Santâ€™Anna</t>
  </si>
  <si>
    <t>University of Luxembourg</t>
  </si>
  <si>
    <t>CharitÃ© - UniversitÃ¤tsmedizin Berlin</t>
  </si>
  <si>
    <t>Copenhagen Business School</t>
  </si>
  <si>
    <t>Florida State University</t>
  </si>
  <si>
    <t>Oregon Health and Science University</t>
  </si>
  <si>
    <t>Paris Descartes University</t>
  </si>
  <si>
    <t>Peter the Great St Petersburg Polytechnic University</t>
  </si>
  <si>
    <t>Royal Veterinary College</t>
  </si>
  <si>
    <t>Rush University</t>
  </si>
  <si>
    <t>Aix-Marseille University</t>
  </si>
  <si>
    <t>University of Bordeaux</t>
  </si>
  <si>
    <t>James Cook University</t>
  </si>
  <si>
    <t>Justus Liebig University Giessen</t>
  </si>
  <si>
    <t>Saint Louis University</t>
  </si>
  <si>
    <t>University of Tennessee, Knoxville</t>
  </si>
  <si>
    <t>Tomsk Polytechnic University</t>
  </si>
  <si>
    <t>University of Greifswald</t>
  </si>
  <si>
    <t>Gwangju Institute of Science and Technology</t>
  </si>
  <si>
    <t>University of Hohenheim</t>
  </si>
  <si>
    <t>Kazan Federal University</t>
  </si>
  <si>
    <t>Medical College of Wisconsin</t>
  </si>
  <si>
    <t>University of Naples Federico II</t>
  </si>
  <si>
    <t>Ã–rebro University</t>
  </si>
  <si>
    <t>Technical University of Dortmund</t>
  </si>
  <si>
    <t>Toulouse 1 Capitole University</t>
  </si>
  <si>
    <t>VÅ B - Technical University of Ostrava</t>
  </si>
  <si>
    <t>University of Cyprus</t>
  </si>
  <si>
    <t>University of St Gallen</t>
  </si>
  <si>
    <t>Graz University of Technology</t>
  </si>
  <si>
    <t>Instituto Superior TÃ©cnico Lisboa</t>
  </si>
  <si>
    <t>University of Oulu</t>
  </si>
  <si>
    <t>PanthÃ©on-Sorbonne University â€“ Paris 1</t>
  </si>
  <si>
    <t>University of South Dakota</t>
  </si>
  <si>
    <t>Lille 2 University â€“ Health and Law</t>
  </si>
  <si>
    <t>Verona University</t>
  </si>
  <si>
    <t>American University</t>
  </si>
  <si>
    <t>Bournemouth University</t>
  </si>
  <si>
    <t>University of Brescia</t>
  </si>
  <si>
    <t>Brno University of Technology</t>
  </si>
  <si>
    <t>Caâ€™ Foscari University of Venice</t>
  </si>
  <si>
    <t>University of Cagliari</t>
  </si>
  <si>
    <t>Catholic University of the Sacred Heart</t>
  </si>
  <si>
    <t>City University London</t>
  </si>
  <si>
    <t>Complutense University of Madrid</t>
  </si>
  <si>
    <t>Concordia University</t>
  </si>
  <si>
    <t>Dublin City University</t>
  </si>
  <si>
    <t>East China University of Science and Technology</t>
  </si>
  <si>
    <t>Florida International University</t>
  </si>
  <si>
    <t>University of Genoa</t>
  </si>
  <si>
    <t>Howard University</t>
  </si>
  <si>
    <t>Indian Institute of Technology Madras</t>
  </si>
  <si>
    <t>University of Ioannina</t>
  </si>
  <si>
    <t>Iran University of Science and Technology</t>
  </si>
  <si>
    <t>University of Kaiserslautern</t>
  </si>
  <si>
    <t>Louisiana State University</t>
  </si>
  <si>
    <t>Makerere University</t>
  </si>
  <si>
    <t>Marche Polytechnic University</t>
  </si>
  <si>
    <t>University of Nantes</t>
  </si>
  <si>
    <t>National and Kapodistrian University of Athens</t>
  </si>
  <si>
    <t>National Institute of Applied Sciences of Lyon (INSA Lyon)</t>
  </si>
  <si>
    <t>National Yang-Ming University</t>
  </si>
  <si>
    <t>University of NeuchÃ¢tel</t>
  </si>
  <si>
    <t>University of Nice Sophia Antipolis</t>
  </si>
  <si>
    <t>The Open University</t>
  </si>
  <si>
    <t>Oxford Brookes University</t>
  </si>
  <si>
    <t>University of Palermo</t>
  </si>
  <si>
    <t>University of Parma</t>
  </si>
  <si>
    <t>RMIT University</t>
  </si>
  <si>
    <t>University of Rome II â€“ Tor Vergata</t>
  </si>
  <si>
    <t>University of San Francisco</t>
  </si>
  <si>
    <t>University of Saskatchewan</t>
  </si>
  <si>
    <t>University of Siena</t>
  </si>
  <si>
    <t>Southern Cross University</t>
  </si>
  <si>
    <t>Tampere University of Technology</t>
  </si>
  <si>
    <t>University of Ulsan</t>
  </si>
  <si>
    <t>Ulster University</t>
  </si>
  <si>
    <t>UniversitÃ© du QuÃ©bec Ã  MontrÃ©al</t>
  </si>
  <si>
    <t>Universiti Teknologi Malaysia</t>
  </si>
  <si>
    <t>University of Urbino Carlo Bo</t>
  </si>
  <si>
    <t>Xiamen University</t>
  </si>
  <si>
    <t>American University of Beirut</t>
  </si>
  <si>
    <t>Amirkabir University of Technology</t>
  </si>
  <si>
    <t>University of Arkansas</t>
  </si>
  <si>
    <t>BabeÅŸ-Bolyai University</t>
  </si>
  <si>
    <t>University of the Basque Country</t>
  </si>
  <si>
    <t>Bauman Moscow State Technical University</t>
  </si>
  <si>
    <t>Ben-Gurion University of the Negev</t>
  </si>
  <si>
    <t>Blaise Pascal University</t>
  </si>
  <si>
    <t>University of Burgundy</t>
  </si>
  <si>
    <t>University of Canberra</t>
  </si>
  <si>
    <t>University of Catania</t>
  </si>
  <si>
    <t>Central Queensland University</t>
  </si>
  <si>
    <t>University of Chile</t>
  </si>
  <si>
    <t>China Agricultural University</t>
  </si>
  <si>
    <t>Chung-Ang University</t>
  </si>
  <si>
    <t>Czech Technical University in Prague</t>
  </si>
  <si>
    <t>De Montfort University</t>
  </si>
  <si>
    <t>East China Normal University</t>
  </si>
  <si>
    <t>Edith Cowan University</t>
  </si>
  <si>
    <t>Federal University of Rio de Janeiro</t>
  </si>
  <si>
    <t>University of Granada</t>
  </si>
  <si>
    <t>University of Haifa</t>
  </si>
  <si>
    <t>Huazhong University of Science and Technology</t>
  </si>
  <si>
    <t>Indian Institute of Technology Guwahati</t>
  </si>
  <si>
    <t>Jadavpur University</t>
  </si>
  <si>
    <t>Kanazawa University</t>
  </si>
  <si>
    <t>King Fahd University of Petroleum and Minerals</t>
  </si>
  <si>
    <t>University of La Laguna</t>
  </si>
  <si>
    <t>University of Limerick</t>
  </si>
  <si>
    <t>Manchester Metropolitan University</t>
  </si>
  <si>
    <t>University of Maribor</t>
  </si>
  <si>
    <t>Masaryk University</t>
  </si>
  <si>
    <t>Memorial University of Newfoundland</t>
  </si>
  <si>
    <t>Missouri University of Science and Technology</t>
  </si>
  <si>
    <t>Montana State University</t>
  </si>
  <si>
    <t>Monterrey Institute of Technology and Higher Education</t>
  </si>
  <si>
    <t>National Taiwan Normal University</t>
  </si>
  <si>
    <t>National Technical University of Athens</t>
  </si>
  <si>
    <t>New Mexico State University</t>
  </si>
  <si>
    <t>University of North Carolina at Greensboro</t>
  </si>
  <si>
    <t>Oklahoma State University</t>
  </si>
  <si>
    <t>Osaka City University</t>
  </si>
  <si>
    <t>Otto von Guericke University of Magdeburg</t>
  </si>
  <si>
    <t>University of Oviedo</t>
  </si>
  <si>
    <t>PalackÃ½ University in Olomouc</t>
  </si>
  <si>
    <t>Pontifical Catholic University of Rio de Janeiro (PUC-Rio)</t>
  </si>
  <si>
    <t>Portland State University</t>
  </si>
  <si>
    <t>University of Pretoria</t>
  </si>
  <si>
    <t>Pusan National University</t>
  </si>
  <si>
    <t>Quaid-i-azam University</t>
  </si>
  <si>
    <t>University of Regina</t>
  </si>
  <si>
    <t>University of Rennes 1</t>
  </si>
  <si>
    <t>University of Salamanca</t>
  </si>
  <si>
    <t>University of Santiago de Compostela</t>
  </si>
  <si>
    <t>Semmelweis University</t>
  </si>
  <si>
    <t>University of Seville</t>
  </si>
  <si>
    <t>UniversitÃ© de Sherbrooke</t>
  </si>
  <si>
    <t>Soochow University</t>
  </si>
  <si>
    <t>South China University of Technology</t>
  </si>
  <si>
    <t>Tallinn University of Technology</t>
  </si>
  <si>
    <t>Tehran University of Medical Sciences</t>
  </si>
  <si>
    <t>University of Texas at Arlington</t>
  </si>
  <si>
    <t>Tianjin University</t>
  </si>
  <si>
    <t>University of Toledo</t>
  </si>
  <si>
    <t>Tongji University</t>
  </si>
  <si>
    <t>University of Tulsa</t>
  </si>
  <si>
    <t>United Arab Emirates University</t>
  </si>
  <si>
    <t>University of Wisconsin-Milwaukee</t>
  </si>
  <si>
    <t>Xiâ€™an Jiaotong University</t>
  </si>
  <si>
    <t>University of A CoruÃ±a</t>
  </si>
  <si>
    <t>Adam Mickiewicz University</t>
  </si>
  <si>
    <t>AGH University of Science and Technology</t>
  </si>
  <si>
    <t>Ajou University</t>
  </si>
  <si>
    <t>University of AlcalÃ¡</t>
  </si>
  <si>
    <t>Alexandru Ioan Cuza University</t>
  </si>
  <si>
    <t>Aligarh Muslim University</t>
  </si>
  <si>
    <t>American University of Sharjah</t>
  </si>
  <si>
    <t>Amrita University</t>
  </si>
  <si>
    <t>Anadolu University</t>
  </si>
  <si>
    <t>Andhra University</t>
  </si>
  <si>
    <t>University of Antioquia</t>
  </si>
  <si>
    <t>Aristotle University of Thessaloniki</t>
  </si>
  <si>
    <t>Asia University, Taiwan</t>
  </si>
  <si>
    <t>Athens University of Economics and Business</t>
  </si>
  <si>
    <t>Auckland University of Technology</t>
  </si>
  <si>
    <t>Austral University of Chile</t>
  </si>
  <si>
    <t>Beijing Institute of Technology</t>
  </si>
  <si>
    <t>Belarusian State University</t>
  </si>
  <si>
    <t>University of Belgrade</t>
  </si>
  <si>
    <t>Birla Institute of Technology and Science, Pilani</t>
  </si>
  <si>
    <t>University of Bradford</t>
  </si>
  <si>
    <t>University of BrasÃ­lia</t>
  </si>
  <si>
    <t>University of Brighton</t>
  </si>
  <si>
    <t>University of Bucharest</t>
  </si>
  <si>
    <t>Budapest University of Technology and Economics</t>
  </si>
  <si>
    <t>Cairo University</t>
  </si>
  <si>
    <t>University of Calcutta</t>
  </si>
  <si>
    <t>California State University, Long Beach</t>
  </si>
  <si>
    <t>Capital Medical University</t>
  </si>
  <si>
    <t>University of Castilla-La Mancha</t>
  </si>
  <si>
    <t>University of Central Lancashire</t>
  </si>
  <si>
    <t>University of Cergy-Pontoise</t>
  </si>
  <si>
    <t>Chang Gung University</t>
  </si>
  <si>
    <t>Carlos III University of Madrid</t>
  </si>
  <si>
    <t>University of Chemistry and Technology, Prague</t>
  </si>
  <si>
    <t>Chiang Mai University</t>
  </si>
  <si>
    <t>Chiba University</t>
  </si>
  <si>
    <t>China University of Geosciences (Wuhan)</t>
  </si>
  <si>
    <t>China University of Petroleum (Beijing)</t>
  </si>
  <si>
    <t>Chonbuk National University</t>
  </si>
  <si>
    <t>Chongqing University</t>
  </si>
  <si>
    <t>Chonnam National University</t>
  </si>
  <si>
    <t>Chulalongkorn University</t>
  </si>
  <si>
    <t>Chung Yuan Christian University</t>
  </si>
  <si>
    <t>Chungnam National University</t>
  </si>
  <si>
    <t>Comenius University in Bratislava</t>
  </si>
  <si>
    <t>Coventry University</t>
  </si>
  <si>
    <t>Dalian University of Technology</t>
  </si>
  <si>
    <t>University of Debrecen</t>
  </si>
  <si>
    <t>University of Delhi</t>
  </si>
  <si>
    <t>University of Dhaka</t>
  </si>
  <si>
    <t>Dublin Institute of Technology</t>
  </si>
  <si>
    <t>Ehime University</t>
  </si>
  <si>
    <t>University of Electronic Science and Technology of China</t>
  </si>
  <si>
    <t>EÃ¶tvÃ¶s LorÃ¡nd University</t>
  </si>
  <si>
    <t>Erciyes University</t>
  </si>
  <si>
    <t>Federal University of Bahia</t>
  </si>
  <si>
    <t>Federal University of Minas Gerais</t>
  </si>
  <si>
    <t>Federal University of ParanÃ¡ (UFPR)</t>
  </si>
  <si>
    <t>Federal University of Rio Grande do Sul</t>
  </si>
  <si>
    <t>Federal University of Santa Catarina</t>
  </si>
  <si>
    <t>Federal University of SÃ£o Carlos</t>
  </si>
  <si>
    <t>Federal University of ViÃ§osa</t>
  </si>
  <si>
    <t>Federal University of Lavras</t>
  </si>
  <si>
    <t>Feng Chia University</t>
  </si>
  <si>
    <t>Fu Jen Catholic University</t>
  </si>
  <si>
    <t>GdaÅ„sk University of Technology</t>
  </si>
  <si>
    <t>University of Ghana</t>
  </si>
  <si>
    <t>Gifu University</t>
  </si>
  <si>
    <t>Glasgow Caledonian University</t>
  </si>
  <si>
    <t>University of Greenwich</t>
  </si>
  <si>
    <t>Hacettepe University</t>
  </si>
  <si>
    <t>University of Huddersfield</t>
  </si>
  <si>
    <t>Hunan University</t>
  </si>
  <si>
    <t>University of Ibadan</t>
  </si>
  <si>
    <t>University of Indonesia</t>
  </si>
  <si>
    <t>Inha University</t>
  </si>
  <si>
    <t>I-Shou University</t>
  </si>
  <si>
    <t>Istanbul University</t>
  </si>
  <si>
    <t>Jilin University</t>
  </si>
  <si>
    <t>University of Jordan</t>
  </si>
  <si>
    <t>Jordan University of Science and Technology</t>
  </si>
  <si>
    <t>Juntendo University</t>
  </si>
  <si>
    <t>K.N. Toosi University of Technology</t>
  </si>
  <si>
    <t>Kaohsiung Medical University</t>
  </si>
  <si>
    <t>Khon Kaen University</t>
  </si>
  <si>
    <t>Kingston University</t>
  </si>
  <si>
    <t>Kinki University</t>
  </si>
  <si>
    <t>Konkuk University</t>
  </si>
  <si>
    <t>Kumamoto University</t>
  </si>
  <si>
    <t>Kyungpook National University</t>
  </si>
  <si>
    <t>Kyushu Institute of Technology</t>
  </si>
  <si>
    <t>University of Latvia</t>
  </si>
  <si>
    <t>Lille 1 University â€“ Science and Technology</t>
  </si>
  <si>
    <t>University of Lincoln</t>
  </si>
  <si>
    <t>University of Ljubljana</t>
  </si>
  <si>
    <t>Miami University</t>
  </si>
  <si>
    <t>Middlesex University</t>
  </si>
  <si>
    <t>Moscow Institute of Physics and Technology</t>
  </si>
  <si>
    <t>University of Murcia</t>
  </si>
  <si>
    <t>Nagasaki University</t>
  </si>
  <si>
    <t>University of Nairobi</t>
  </si>
  <si>
    <t>National Chengchi University</t>
  </si>
  <si>
    <t>National Chung Cheng University</t>
  </si>
  <si>
    <t>National Chung Hsing University</t>
  </si>
  <si>
    <t>National Taipei University of Technology</t>
  </si>
  <si>
    <t>National University of CÃ³rdoba</t>
  </si>
  <si>
    <t>National University of Science and Technology (MISiS)</t>
  </si>
  <si>
    <t>National University of Sciences and Technology</t>
  </si>
  <si>
    <t>Niigata University</t>
  </si>
  <si>
    <t>Northumbria University</t>
  </si>
  <si>
    <t>Northwestern Polytechnical University</t>
  </si>
  <si>
    <t>Nottingham Trent University</t>
  </si>
  <si>
    <t>Oakland University</t>
  </si>
  <si>
    <t>Ocean University of China</t>
  </si>
  <si>
    <t>Ohio University</t>
  </si>
  <si>
    <t>Okayama University</t>
  </si>
  <si>
    <t>Osaka Prefecture University</t>
  </si>
  <si>
    <t>University of Pardubice</t>
  </si>
  <si>
    <t>Paris-Sorbonne University â€“ Paris 4</t>
  </si>
  <si>
    <t>University of Patras</t>
  </si>
  <si>
    <t>University of PÃ©cs</t>
  </si>
  <si>
    <t>Pontifical Catholic University of ParanÃ¡</t>
  </si>
  <si>
    <t>Pontifical Catholic University of Rio Grande do Sul (PUCRS)</t>
  </si>
  <si>
    <t>Pontifical Catholic University of ValparaÃ­so</t>
  </si>
  <si>
    <t>Prince of Songkla University</t>
  </si>
  <si>
    <t>Qatar University</t>
  </si>
  <si>
    <t>Rio de Janeiro State University (UERJ)</t>
  </si>
  <si>
    <t>Rochester Institute of Technology</t>
  </si>
  <si>
    <t>Saitama University</t>
  </si>
  <si>
    <t>University of Salford</t>
  </si>
  <si>
    <t>University of Santiago, Chile (USACH)</t>
  </si>
  <si>
    <t>SÃ£o Paulo State University (UNESP)</t>
  </si>
  <si>
    <t>Savitribai Phule Pune University</t>
  </si>
  <si>
    <t>University of Science and Technology Beijing</t>
  </si>
  <si>
    <t>Sejong University</t>
  </si>
  <si>
    <t>Shahid Beheshti University</t>
  </si>
  <si>
    <t>Shanghai University</t>
  </si>
  <si>
    <t>Shantou University</t>
  </si>
  <si>
    <t>Sheffield Hallam University</t>
  </si>
  <si>
    <t>Shinshu University</t>
  </si>
  <si>
    <t>Showa University</t>
  </si>
  <si>
    <t>Sichuan University</t>
  </si>
  <si>
    <t>University of Silesia in Katowice</t>
  </si>
  <si>
    <t>Slovak University of Technology in Bratislava</t>
  </si>
  <si>
    <t>Sogang University</t>
  </si>
  <si>
    <t>Sophia University</t>
  </si>
  <si>
    <t>University of South Africa</t>
  </si>
  <si>
    <t>Southern Federal University</t>
  </si>
  <si>
    <t>University of Southern Mississippi</t>
  </si>
  <si>
    <t>University of Southern Queensland</t>
  </si>
  <si>
    <t>Suez Canal University</t>
  </si>
  <si>
    <t>Sultan Qaboos University</t>
  </si>
  <si>
    <t>Suranaree University of Technology</t>
  </si>
  <si>
    <t>University of Szeged</t>
  </si>
  <si>
    <t>Taipei Medical University</t>
  </si>
  <si>
    <t>Taras Shevchenko National University of Kyiv</t>
  </si>
  <si>
    <t>Technical University of Madrid</t>
  </si>
  <si>
    <t>University of Tehran</t>
  </si>
  <si>
    <t>University of Texas at El Paso</t>
  </si>
  <si>
    <t>Texas Tech University</t>
  </si>
  <si>
    <t>Tokai University</t>
  </si>
  <si>
    <t>Tokushima University</t>
  </si>
  <si>
    <t>Tokyo University of Marine Science and Technology</t>
  </si>
  <si>
    <t>Tokyo University of Science</t>
  </si>
  <si>
    <t>Tomsk State University</t>
  </si>
  <si>
    <t>Tottori University</t>
  </si>
  <si>
    <t>Toyohashi University of Technology</t>
  </si>
  <si>
    <t>Universiti Kebangsaan Malaysia</t>
  </si>
  <si>
    <t>Universiti Putra Malaysia</t>
  </si>
  <si>
    <t>Universiti Sains Malaysia</t>
  </si>
  <si>
    <t>Universiti Teknologi MARA</t>
  </si>
  <si>
    <t>Ural Federal University</t>
  </si>
  <si>
    <t>V.N. Karazin Kharkiv National University</t>
  </si>
  <si>
    <t>Vilnius University</t>
  </si>
  <si>
    <t>Warsaw University of Technology</t>
  </si>
  <si>
    <t>University of West Bohemia</t>
  </si>
  <si>
    <t>University of the West of England</t>
  </si>
  <si>
    <t>West University of TimiÅŸoara</t>
  </si>
  <si>
    <t>University of Westminster</t>
  </si>
  <si>
    <t>Xidian University</t>
  </si>
  <si>
    <t>Yeungnam University</t>
  </si>
  <si>
    <t>YÄ±ldÄ±z Technical University</t>
  </si>
  <si>
    <t>Yokohama City University</t>
  </si>
  <si>
    <t>Yokohama National University</t>
  </si>
  <si>
    <t>institution</t>
  </si>
  <si>
    <t>Swiss Federal Institute of Technology in Zurich</t>
  </si>
  <si>
    <t>Weizmann Institute of Science</t>
  </si>
  <si>
    <t>Rockefeller University</t>
  </si>
  <si>
    <t>University of California, San Francisco</t>
  </si>
  <si>
    <t>University of Wisconsinâ€“Madison</t>
  </si>
  <si>
    <t>University of Illinois at Urbanaâ€“Champaign</t>
  </si>
  <si>
    <t>University of Texas Southwestern Medical Center</t>
  </si>
  <si>
    <t>University of Michigan, Ann Arbor</t>
  </si>
  <si>
    <t>Washington University in St. Louis</t>
  </si>
  <si>
    <t>University of Washington - Seattle</t>
  </si>
  <si>
    <t>Purdue University, West Lafayette</t>
  </si>
  <si>
    <t>University of Paris-Sud</t>
  </si>
  <si>
    <t>University of Minnesota, Twin Cities</t>
  </si>
  <si>
    <t>Technion â€“ Israel Institute of Technology</t>
  </si>
  <si>
    <t>Ohio State University, Columbus</t>
  </si>
  <si>
    <t>Ã‰cole normale supÃ©rieure - Paris</t>
  </si>
  <si>
    <t>Pierre-and-Marie-Curie University</t>
  </si>
  <si>
    <t>Pennsylvania State University, University Park</t>
  </si>
  <si>
    <t>Swiss Federal Institute of Technology in Lausanne</t>
  </si>
  <si>
    <t>University of Pittsburgh - Pittsburgh Campus</t>
  </si>
  <si>
    <t>Rutgers University-New Brunswick</t>
  </si>
  <si>
    <t>Texas A&amp;M University, College Station</t>
  </si>
  <si>
    <t>Ruprecht Karl University of Heidelberg</t>
  </si>
  <si>
    <t>Ludwig Maximilian University of Munich</t>
  </si>
  <si>
    <t>University of Queensland</t>
  </si>
  <si>
    <t>Williams College</t>
  </si>
  <si>
    <t>University of Texas MD Anderson Cancer Center</t>
  </si>
  <si>
    <t>King's College London</t>
  </si>
  <si>
    <t>Indiana University - Bloomington</t>
  </si>
  <si>
    <t>Paris Diderot University - Paris 7</t>
  </si>
  <si>
    <t>Katholieke Universiteit Leuven</t>
  </si>
  <si>
    <t>Royal Institute of Technology</t>
  </si>
  <si>
    <t>Baylor College of Medicine</t>
  </si>
  <si>
    <t>University of Colorado Denver</t>
  </si>
  <si>
    <t>Albert Ludwig University of Freiburg</t>
  </si>
  <si>
    <t>Western University (The University of Western Ontario)</t>
  </si>
  <si>
    <t>Indiana University-Purdue University Indianapolis</t>
  </si>
  <si>
    <t>University of Alabama at Birmingham</t>
  </si>
  <si>
    <t>Icahn School of Medicine at Mount Sinai</t>
  </si>
  <si>
    <t>University of South Florida - Tampa</t>
  </si>
  <si>
    <t>Oregon Health &amp; Science University</t>
  </si>
  <si>
    <t>University of Maryland, Baltimore</t>
  </si>
  <si>
    <t>University of Massachusetts Medical School</t>
  </si>
  <si>
    <t>University of Missouriâ€“Columbia</t>
  </si>
  <si>
    <t>Trinity College, Dublin</t>
  </si>
  <si>
    <t>Sungkyunkwan University</t>
  </si>
  <si>
    <t>University of Massachusetts Amherst</t>
  </si>
  <si>
    <t>Louisiana State University - Baton Rouge</t>
  </si>
  <si>
    <t>Julius-Maximilian's University of WÃ¼rzburg</t>
  </si>
  <si>
    <t>University of Oklahoma - Norman Campus</t>
  </si>
  <si>
    <t>Dresden University of Technology</t>
  </si>
  <si>
    <t>University of Texas Health Science Center at San Antonio</t>
  </si>
  <si>
    <t>Virginia Commonwealth University</t>
  </si>
  <si>
    <t>University of Montpellier 2</t>
  </si>
  <si>
    <t>Paul Sabatier University - Toulouse III</t>
  </si>
  <si>
    <t>University of DÃ¼sseldorf</t>
  </si>
  <si>
    <t>London School of Hygiene &amp; Tropical Medicine</t>
  </si>
  <si>
    <t>Thomas Jefferson University</t>
  </si>
  <si>
    <t>Colorado State University - Fort Collins</t>
  </si>
  <si>
    <t>University at Buffalo, The State University of New York</t>
  </si>
  <si>
    <t>University of Texas Health Science Center at Houston</t>
  </si>
  <si>
    <t>Queen's University</t>
  </si>
  <si>
    <t>University of Ulm</t>
  </si>
  <si>
    <t>Wageningen University and Research Centre</t>
  </si>
  <si>
    <t>City College of New York</t>
  </si>
  <si>
    <t>Hannover Medical School</t>
  </si>
  <si>
    <t>Washington State University, Pullman</t>
  </si>
  <si>
    <t>University of South Carolina - Columbia</t>
  </si>
  <si>
    <t>Leipzig University</t>
  </si>
  <si>
    <t>London School of Economics</t>
  </si>
  <si>
    <t>Wesleyan University</t>
  </si>
  <si>
    <t>University of Science, Malaysia</t>
  </si>
  <si>
    <t>University of Louisville</t>
  </si>
  <si>
    <t>University of Rome Tor Vergata</t>
  </si>
  <si>
    <t>Darmstadt University of Technology</t>
  </si>
  <si>
    <t>Vita-Salute San Raffaele University</t>
  </si>
  <si>
    <t>University of Nebraskaâ€“Lincoln</t>
  </si>
  <si>
    <t>University of Regensburg</t>
  </si>
  <si>
    <t>Queen's University Belfast</t>
  </si>
  <si>
    <t>University of Marburg</t>
  </si>
  <si>
    <t>St George's, University of London</t>
  </si>
  <si>
    <t>Nankai University</t>
  </si>
  <si>
    <t>University of Jena</t>
  </si>
  <si>
    <t>University of Perugia</t>
  </si>
  <si>
    <t>College of William and Mary</t>
  </si>
  <si>
    <t>Oklahoma State Universityâ€“Stillwater</t>
  </si>
  <si>
    <t>University of Verona</t>
  </si>
  <si>
    <t>University at Albany, SUNY</t>
  </si>
  <si>
    <t>University of Alabama - Tuscaloosa</t>
  </si>
  <si>
    <t>Tokyo Medical and Dental University</t>
  </si>
  <si>
    <t>University of Buenos Aires</t>
  </si>
  <si>
    <t>University of Texas Medical Branch at Galveston</t>
  </si>
  <si>
    <t>Saarland University</t>
  </si>
  <si>
    <t>Beijing Normal University</t>
  </si>
  <si>
    <t>Cranfield University</t>
  </si>
  <si>
    <t>Xi'an Jiaotong University</t>
  </si>
  <si>
    <t>University of Central Florida</t>
  </si>
  <si>
    <t>University of Lorraine</t>
  </si>
  <si>
    <t>University of Bordeaux II</t>
  </si>
  <si>
    <t>University of New Hampshire</t>
  </si>
  <si>
    <t>Versailles Saint-Quentin-en-Yvelines University</t>
  </si>
  <si>
    <t>Brunel University</t>
  </si>
  <si>
    <t>Southeast University</t>
  </si>
  <si>
    <t>Brigham Young University</t>
  </si>
  <si>
    <t>Georgia Regents University</t>
  </si>
  <si>
    <t>Gyeongsang National University</t>
  </si>
  <si>
    <t>University of Milan - Bicocca</t>
  </si>
  <si>
    <t>University of Bordeaux I</t>
  </si>
  <si>
    <t>University of Campinas</t>
  </si>
  <si>
    <t>West Virginia University</t>
  </si>
  <si>
    <t>University of Mississippi - Oxford Campus</t>
  </si>
  <si>
    <t>University of Arkansas for Medical Sciences</t>
  </si>
  <si>
    <t>University of Tokushima</t>
  </si>
  <si>
    <t>Loyola University Chicago</t>
  </si>
  <si>
    <t>Innsbruck Medical University</t>
  </si>
  <si>
    <t>Shandong University</t>
  </si>
  <si>
    <t>University of Nevada, Reno</t>
  </si>
  <si>
    <t>Central South University</t>
  </si>
  <si>
    <t>University of Hawaii at Manoa</t>
  </si>
  <si>
    <t>University of Nebraska Omaha</t>
  </si>
  <si>
    <t>Baylor University</t>
  </si>
  <si>
    <t>University of Arkansas - Fayetteville</t>
  </si>
  <si>
    <t>Texas Tech University (TTU)</t>
  </si>
  <si>
    <t>University of Rostock</t>
  </si>
  <si>
    <t>University of Akron</t>
  </si>
  <si>
    <t>University of Denver</t>
  </si>
  <si>
    <t>University of Malaya</t>
  </si>
  <si>
    <t>Grenoble Institute of Technology</t>
  </si>
  <si>
    <t>University of Hanover</t>
  </si>
  <si>
    <t>Otto-von-Guericke University Magdeburg</t>
  </si>
  <si>
    <t>Mississippi State University</t>
  </si>
  <si>
    <t>Martin Luther University of Halle-Wittenberg</t>
  </si>
  <si>
    <t>Graduate University for Advanced Studies</t>
  </si>
  <si>
    <t>Dongguk University</t>
  </si>
  <si>
    <t>University of Sherbrooke</t>
  </si>
  <si>
    <t>University of MÃ¡laga</t>
  </si>
  <si>
    <t>New York Medical College</t>
  </si>
  <si>
    <t>SUNY Downstate Medical Center</t>
  </si>
  <si>
    <t>Ã‰cole Centrale Paris</t>
  </si>
  <si>
    <t>Utah State University</t>
  </si>
  <si>
    <t>University of Montpellier 1</t>
  </si>
  <si>
    <t>University of Potsdam</t>
  </si>
  <si>
    <t>University of Udine</t>
  </si>
  <si>
    <t>University of Bayreuth</t>
  </si>
  <si>
    <t>University of Wisconsinâ€“Milwaukee</t>
  </si>
  <si>
    <t>University of Dayton</t>
  </si>
  <si>
    <t>Nihon University</t>
  </si>
  <si>
    <t>Montana State University - Bozeman</t>
  </si>
  <si>
    <t>Tokyo Women's Medical University</t>
  </si>
  <si>
    <t>Nara Institute of Science and Technology</t>
  </si>
  <si>
    <t>Nagoya City University</t>
  </si>
  <si>
    <t>University of Savoy</t>
  </si>
  <si>
    <t>University of TromsÃ¸ - The Arctic University of Norway</t>
  </si>
  <si>
    <t>University of Missouriâ€“Kansas City</t>
  </si>
  <si>
    <t>Beihang University</t>
  </si>
  <si>
    <t>University of Zagreb</t>
  </si>
  <si>
    <t>University Lille 1: Sciences and Technologies</t>
  </si>
  <si>
    <t>National Polytechnic Institute of Toulouse</t>
  </si>
  <si>
    <t>Kagoshima University</t>
  </si>
  <si>
    <t>Lanzhou University</t>
  </si>
  <si>
    <t>Shizuoka University</t>
  </si>
  <si>
    <t>Second University of Naples</t>
  </si>
  <si>
    <t>International School for Advanced Studies</t>
  </si>
  <si>
    <t>University of Los Andes (Colombia)</t>
  </si>
  <si>
    <t>LSU Health Sciences Center New Orleans</t>
  </si>
  <si>
    <t>Southern Illinois University Carbondale</t>
  </si>
  <si>
    <t>Tata Institute of Fundamental Research</t>
  </si>
  <si>
    <t>Northern Illinois University</t>
  </si>
  <si>
    <t>Dankook University</t>
  </si>
  <si>
    <t>University of Montana - Missoula</t>
  </si>
  <si>
    <t>Binghamton University</t>
  </si>
  <si>
    <t>UniversitÃ© de Namur</t>
  </si>
  <si>
    <t>Central China Normal University</t>
  </si>
  <si>
    <t>University of New Orleans</t>
  </si>
  <si>
    <t>Paris-Est CrÃ©teil Val-de-Marne University</t>
  </si>
  <si>
    <t>University of L'Aquila</t>
  </si>
  <si>
    <t>University of Poitiers</t>
  </si>
  <si>
    <t>Albany Medical College</t>
  </si>
  <si>
    <t>Federal University of SÃ£o Paulo</t>
  </si>
  <si>
    <t>Catholic University of Korea</t>
  </si>
  <si>
    <t>Open University (UK)</t>
  </si>
  <si>
    <t>Universidade Nova de Lisboa</t>
  </si>
  <si>
    <t>Texas A&amp;M Health Science Center</t>
  </si>
  <si>
    <t>Braunschweig University of Technology</t>
  </si>
  <si>
    <t>Louisiana Tech University</t>
  </si>
  <si>
    <t>Medical University of Graz</t>
  </si>
  <si>
    <t>State University of New York Upstate Medical University</t>
  </si>
  <si>
    <t>University of Windsor</t>
  </si>
  <si>
    <t>Rovira i Virgili University</t>
  </si>
  <si>
    <t>Gunma University</t>
  </si>
  <si>
    <t>Kindai University</t>
  </si>
  <si>
    <t>University of Rhode Island</t>
  </si>
  <si>
    <t>University of Alicante</t>
  </si>
  <si>
    <t>Lille 2 University of Health and Law</t>
  </si>
  <si>
    <t>Sapporo Medical University</t>
  </si>
  <si>
    <t>Banaras Hindu University</t>
  </si>
  <si>
    <t>King Abdullah University of Science and Technology</t>
  </si>
  <si>
    <t>Northeast Normal University</t>
  </si>
  <si>
    <t>University of QuÃ©bec at Montreal</t>
  </si>
  <si>
    <t>Loma Linda University</t>
  </si>
  <si>
    <t>University of Insubria</t>
  </si>
  <si>
    <t>University of Nevada, Las Vegas</t>
  </si>
  <si>
    <t>University of Messina</t>
  </si>
  <si>
    <t>University FranÃ§ois Rabelais, Tours</t>
  </si>
  <si>
    <t>UNESP, SÃ£o Paulo State University</t>
  </si>
  <si>
    <t>Toho University</t>
  </si>
  <si>
    <t>Beijing University of Chemical Technology</t>
  </si>
  <si>
    <t>Rutgers, The State University of New Jersey - Newark</t>
  </si>
  <si>
    <t>University of Paris 13</t>
  </si>
  <si>
    <t>University of Toyama</t>
  </si>
  <si>
    <t>Jichi Medical University</t>
  </si>
  <si>
    <t>Roma Tre University</t>
  </si>
  <si>
    <t>Ã…bo Akademi University</t>
  </si>
  <si>
    <t>University of Maine, Orono</t>
  </si>
  <si>
    <t>Marquette University</t>
  </si>
  <si>
    <t>Kaiserslautern University of Technology</t>
  </si>
  <si>
    <t>University of Girona</t>
  </si>
  <si>
    <t>Hasselt University</t>
  </si>
  <si>
    <t>Nanjing University of Science and Technology</t>
  </si>
  <si>
    <t>University of Natural Resources and Life Sciences, Vienna</t>
  </si>
  <si>
    <t>Soochow University (Suzhou)</t>
  </si>
  <si>
    <t>University of the Balearic Islands</t>
  </si>
  <si>
    <t>Fuzhou University</t>
  </si>
  <si>
    <t>University of Memphis</t>
  </si>
  <si>
    <t>San Francisco State University</t>
  </si>
  <si>
    <t>East Carolina University</t>
  </si>
  <si>
    <t>University of Augsburg</t>
  </si>
  <si>
    <t>University of Missouriâ€“St. Louis</t>
  </si>
  <si>
    <t>Kyoto Prefectural University of Medicine</t>
  </si>
  <si>
    <t>Kitasato University</t>
  </si>
  <si>
    <t>University of North Carolina at Charlotte</t>
  </si>
  <si>
    <t>G. d'Annunzio University, Chieti-Pescara</t>
  </si>
  <si>
    <t>University of Cantabria</t>
  </si>
  <si>
    <t>Miguel HernÃ¡ndez University of Elche</t>
  </si>
  <si>
    <t>Donghua University</t>
  </si>
  <si>
    <t>University of Alabama in Huntsville</t>
  </si>
  <si>
    <t>Mie University</t>
  </si>
  <si>
    <t>Hunter College</t>
  </si>
  <si>
    <t>University of Ulster</t>
  </si>
  <si>
    <t>University of Ã‰vry Val d'Essonne</t>
  </si>
  <si>
    <t>University of Salerno</t>
  </si>
  <si>
    <t>National University of La Plata</t>
  </si>
  <si>
    <t>Yamaguchi University</t>
  </si>
  <si>
    <t>University of Yamanashi</t>
  </si>
  <si>
    <t>North Dakota State University - Main Campus</t>
  </si>
  <si>
    <t>University of North Texas, Denton</t>
  </si>
  <si>
    <t>University of Mississippi Medical Center</t>
  </si>
  <si>
    <t>Paul ValÃ©ry University, Montpellier III</t>
  </si>
  <si>
    <t>University of Hyogo</t>
  </si>
  <si>
    <t>The Catholic University of America</t>
  </si>
  <si>
    <t>National Polytechnic Institute</t>
  </si>
  <si>
    <t>Jikei University School of Medicine</t>
  </si>
  <si>
    <t>University of Valladolid</t>
  </si>
  <si>
    <t>University of Calabria</t>
  </si>
  <si>
    <t>University of LÃ¼beck</t>
  </si>
  <si>
    <t>Kurume University</t>
  </si>
  <si>
    <t>Peking Union Medical College</t>
  </si>
  <si>
    <t>Yamagata University</t>
  </si>
  <si>
    <t>University of CÃ³rdoba (Spain)</t>
  </si>
  <si>
    <t>University of Mons</t>
  </si>
  <si>
    <t>Saga University</t>
  </si>
  <si>
    <t>Clarkson University</t>
  </si>
  <si>
    <t>University of South Alabama</t>
  </si>
  <si>
    <t>Inje University</t>
  </si>
  <si>
    <t>University of Caen Lower Normandy</t>
  </si>
  <si>
    <t>University of Castillaâ€“La Mancha</t>
  </si>
  <si>
    <t>Saitama Medical University</t>
  </si>
  <si>
    <t>University of Electro-Communications</t>
  </si>
  <si>
    <t>Jawaharlal Nehru Centre for Advanced Scientific Research</t>
  </si>
  <si>
    <t>Putra University, Malaysia</t>
  </si>
  <si>
    <t>Institut national des sciences AppliquÃ©es de Lyon</t>
  </si>
  <si>
    <t>University of Perpignan Via Domitia</t>
  </si>
  <si>
    <t>University of Miyazaki</t>
  </si>
  <si>
    <t>Second Military Medical University</t>
  </si>
  <si>
    <t>Northern Arizona University</t>
  </si>
  <si>
    <t>Ã‰cole Polytechnique de MontrÃ©al</t>
  </si>
  <si>
    <t>Fukuoka University</t>
  </si>
  <si>
    <t>Nagoya Institute of Technology</t>
  </si>
  <si>
    <t>Ankara University</t>
  </si>
  <si>
    <t>University of Rouen</t>
  </si>
  <si>
    <t>Bowling Green State University</t>
  </si>
  <si>
    <t>Norwegian University of Life Sciences</t>
  </si>
  <si>
    <t>University of Picardie Jules Verne</t>
  </si>
  <si>
    <t>University of ConcepciÃ³n</t>
  </si>
  <si>
    <t>China Medical University (Taiwan)</t>
  </si>
  <si>
    <t>Wilfrid Laurier University</t>
  </si>
  <si>
    <t>PalackÃ½ University, Olomouc</t>
  </si>
  <si>
    <t>Ege University</t>
  </si>
  <si>
    <t>University of Eastern Piedmont Amedeo Avogadro""</t>
  </si>
  <si>
    <t>University of Salzburg</t>
  </si>
  <si>
    <t>University of Massachusetts Lowell</t>
  </si>
  <si>
    <t>Jaume I University</t>
  </si>
  <si>
    <t>Zhengzhou University</t>
  </si>
  <si>
    <t>Kangwon National University</t>
  </si>
  <si>
    <t>Royal Veterinary College, University of London</t>
  </si>
  <si>
    <t>Wright State University - Dayton</t>
  </si>
  <si>
    <t>Sofia University</t>
  </si>
  <si>
    <t>Magna GrÃ¦cia University of Catanzaro</t>
  </si>
  <si>
    <t>Chungbuk National University</t>
  </si>
  <si>
    <t>KÅchi University</t>
  </si>
  <si>
    <t>University of New Brunswick</t>
  </si>
  <si>
    <t>Queens College, City University of New York</t>
  </si>
  <si>
    <t>Chosun University</t>
  </si>
  <si>
    <t>Ritsumeikan University</t>
  </si>
  <si>
    <t>University of Sassari</t>
  </si>
  <si>
    <t>Nanjing Normal University</t>
  </si>
  <si>
    <t>University of Franche-ComtÃ©</t>
  </si>
  <si>
    <t>Rio de Janeiro State University</t>
  </si>
  <si>
    <t>Jinan University</t>
  </si>
  <si>
    <t>University of Massachusetts Boston</t>
  </si>
  <si>
    <t>University of the Ryukyus</t>
  </si>
  <si>
    <t>University of Angers</t>
  </si>
  <si>
    <t>Fluminense Federal University</t>
  </si>
  <si>
    <t>Trent University</t>
  </si>
  <si>
    <t>Hamamatsu University School of Medicine</t>
  </si>
  <si>
    <t>University of Fukui</t>
  </si>
  <si>
    <t>Nanjing University of Technology</t>
  </si>
  <si>
    <t>University of Technology, Sydney</t>
  </si>
  <si>
    <t>All India Institute of Medical Sciences, New Delhi</t>
  </si>
  <si>
    <t>Kyoto Institute of Technology</t>
  </si>
  <si>
    <t>University of Camerino</t>
  </si>
  <si>
    <t>Hirosaki University</t>
  </si>
  <si>
    <t>University of North Dakota</t>
  </si>
  <si>
    <t>University of Extremadura</t>
  </si>
  <si>
    <t>Teikyo University</t>
  </si>
  <si>
    <t>Jiangnan University</t>
  </si>
  <si>
    <t>Adam Mickiewicz University in PoznaÅ„</t>
  </si>
  <si>
    <t>University of Veterinary Medicine Vienna</t>
  </si>
  <si>
    <t>University of CÃ¡diz</t>
  </si>
  <si>
    <t>Florida Atlantic University</t>
  </si>
  <si>
    <t>Huazhong Agricultural University</t>
  </si>
  <si>
    <t>Brock University</t>
  </si>
  <si>
    <t>University of Lleida</t>
  </si>
  <si>
    <t>Shanghai Normal University</t>
  </si>
  <si>
    <t>Jean Monnet University</t>
  </si>
  <si>
    <t>Shimane University</t>
  </si>
  <si>
    <t>University of OrlÃ©ans</t>
  </si>
  <si>
    <t>University of Siegen</t>
  </si>
  <si>
    <t>University of Wales, Trinity Saint David</t>
  </si>
  <si>
    <t>National Taiwan University of Science and Technology</t>
  </si>
  <si>
    <t>University of Western Brittany</t>
  </si>
  <si>
    <t>Nanjing Agricultural University</t>
  </si>
  <si>
    <t>Gazi University</t>
  </si>
  <si>
    <t>National University of Colombia</t>
  </si>
  <si>
    <t>University of JaÃ©n</t>
  </si>
  <si>
    <t>Pukyong National University</t>
  </si>
  <si>
    <t>University of Western Sydney</t>
  </si>
  <si>
    <t>Northeastern University (China)</t>
  </si>
  <si>
    <t>University of OsnabrÃ¼ck</t>
  </si>
  <si>
    <t>University of Hyderabad</t>
  </si>
  <si>
    <t>Northwest University (China)</t>
  </si>
  <si>
    <t>University of WrocÅ‚aw</t>
  </si>
  <si>
    <t>Nanjing Medical University</t>
  </si>
  <si>
    <t>Nicolaus Copernicus University in ToruÅ„</t>
  </si>
  <si>
    <t>Federal University of Santa Maria</t>
  </si>
  <si>
    <t>Chemnitz University of Technology</t>
  </si>
  <si>
    <t>Southwest University</t>
  </si>
  <si>
    <t>WrocÅ‚aw University of Technology</t>
  </si>
  <si>
    <t>University of California, Merced</t>
  </si>
  <si>
    <t>University of Thessaly</t>
  </si>
  <si>
    <t>University of Basilicata</t>
  </si>
  <si>
    <t>Federal University of ParanÃ¡</t>
  </si>
  <si>
    <t>University of AlmerÃ­a</t>
  </si>
  <si>
    <t>Hallym University</t>
  </si>
  <si>
    <t>Fourth Military Medical University</t>
  </si>
  <si>
    <t>University of the Republic (Uruguay)</t>
  </si>
  <si>
    <t>Dokuz EylÃ¼l University</t>
  </si>
  <si>
    <t>Nanjing University of Aeronautics and Astronautics</t>
  </si>
  <si>
    <t>Public University of Navarre</t>
  </si>
  <si>
    <t>University of New England (Australia)</t>
  </si>
  <si>
    <t>Federal University of Pernambuco</t>
  </si>
  <si>
    <t>Jiangsu University</t>
  </si>
  <si>
    <t>Third Military Medical University</t>
  </si>
  <si>
    <t>South China Normal University</t>
  </si>
  <si>
    <t>Xiangtan University</t>
  </si>
  <si>
    <t>Yangzhou University</t>
  </si>
  <si>
    <t>University of Reims Champagne-Ardenne</t>
  </si>
  <si>
    <t>Ibaraki University</t>
  </si>
  <si>
    <t>Chung Shan Medical University</t>
  </si>
  <si>
    <t>University of Silesia</t>
  </si>
  <si>
    <t>Southern Medical University</t>
  </si>
  <si>
    <t>Shiraz University</t>
  </si>
  <si>
    <t>Mansoura University</t>
  </si>
  <si>
    <t>Beijing Jiaotong University</t>
  </si>
  <si>
    <t>University of Valenciennes and Hainaut-Cambresis</t>
  </si>
  <si>
    <t>University of the Algarve</t>
  </si>
  <si>
    <t>Federal University of CearÃ¡</t>
  </si>
  <si>
    <t>Ain Shams University</t>
  </si>
  <si>
    <t>University of Oldenburg</t>
  </si>
  <si>
    <t>Hunan Normal University</t>
  </si>
  <si>
    <t>Western Michigan University</t>
  </si>
  <si>
    <t>Ryerson University</t>
  </si>
  <si>
    <t>South China Agricultural University</t>
  </si>
  <si>
    <t>China Pharmaceutical University</t>
  </si>
  <si>
    <t>Tarbiat Modares University</t>
  </si>
  <si>
    <t>University of Puerto Rico at MayagÃ¼ez</t>
  </si>
  <si>
    <t>National University of Rosario</t>
  </si>
  <si>
    <t>University of Pau and Pays de l'Adour</t>
  </si>
  <si>
    <t>Zhejiang University of Technology</t>
  </si>
  <si>
    <t>China Medical University (PRC)</t>
  </si>
  <si>
    <t>Federal University of ABC</t>
  </si>
  <si>
    <t>King Juan Carlos University</t>
  </si>
  <si>
    <t>Beijing University of Technology</t>
  </si>
  <si>
    <t>Guangxi University</t>
  </si>
  <si>
    <t>Northwest A&amp;F University</t>
  </si>
  <si>
    <t>Shanxi University</t>
  </si>
  <si>
    <t>Tamkang University</t>
  </si>
  <si>
    <t>Harbin Medical University</t>
  </si>
  <si>
    <t>Zhejiang Normal University</t>
  </si>
  <si>
    <t>University of Maine (Le Mans)</t>
  </si>
  <si>
    <t>National Dong Hwa University</t>
  </si>
  <si>
    <t>Shaanxi Normal University</t>
  </si>
  <si>
    <t>National University of Defense Technology</t>
  </si>
  <si>
    <t>Yanbian University</t>
  </si>
  <si>
    <t>University of Montpellier</t>
  </si>
  <si>
    <t>University of Oklahoma Health Sciences Center</t>
  </si>
  <si>
    <t>Ã‰cole normale supÃ©rieure de Cachan</t>
  </si>
  <si>
    <t>Jacobs University Bremen</t>
  </si>
  <si>
    <t>Ã‰cole centrale de Lyon</t>
  </si>
  <si>
    <t>Hefei University of Technology</t>
  </si>
  <si>
    <t>University of Lethbridge</t>
  </si>
  <si>
    <t>Shahid Beheshti University of Medical Sciences</t>
  </si>
  <si>
    <t>Gachon University</t>
  </si>
  <si>
    <t>Harbin Engineering University</t>
  </si>
  <si>
    <t>Ulsan National Institute of Science and Technology</t>
  </si>
  <si>
    <t>Shenzhen University</t>
  </si>
  <si>
    <t>Tianjin Medical University</t>
  </si>
  <si>
    <t>BabeÈ™-Bolyai University</t>
  </si>
  <si>
    <t>Henan Normal University</t>
  </si>
  <si>
    <t>Southwest Jiaotong University</t>
  </si>
  <si>
    <t>country</t>
  </si>
  <si>
    <t>world_rank_cwur</t>
  </si>
  <si>
    <t>national_rank_cwur</t>
  </si>
  <si>
    <t>quality_of_education_cwur</t>
  </si>
  <si>
    <t>alumni_employment_cwur</t>
  </si>
  <si>
    <t>quality_of_faculty_cwur</t>
  </si>
  <si>
    <t>publications_cwur</t>
  </si>
  <si>
    <t>influence_cwur</t>
  </si>
  <si>
    <t>citations_cwur</t>
  </si>
  <si>
    <t>broad_impact_cwur</t>
  </si>
  <si>
    <t>patents_cwur</t>
  </si>
  <si>
    <t>score_cwur</t>
  </si>
  <si>
    <t>year_cwur</t>
  </si>
  <si>
    <t>year_times</t>
  </si>
  <si>
    <t>female_male_ratio_times</t>
  </si>
  <si>
    <t>international_students_times</t>
  </si>
  <si>
    <t>student_staff_ratio_times</t>
  </si>
  <si>
    <t>num_students_times</t>
  </si>
  <si>
    <t>total_score_times</t>
  </si>
  <si>
    <t>income_times</t>
  </si>
  <si>
    <t>citations_times</t>
  </si>
  <si>
    <t>research_times</t>
  </si>
  <si>
    <t>international_times</t>
  </si>
  <si>
    <t>teaching_times</t>
  </si>
  <si>
    <t>word_rank_times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</si>
</sst>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B\Downloads\archive%20(17)\timesData.csv" TargetMode="External"/><Relationship Id="rId1" Type="http://schemas.openxmlformats.org/officeDocument/2006/relationships/externalLinkPath" Target="timesData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B\Downloads\archive%20(17)\cwurData.csv" TargetMode="External"/><Relationship Id="rId1" Type="http://schemas.openxmlformats.org/officeDocument/2006/relationships/externalLinkPath" Target="cwurData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sData"/>
    </sheetNames>
    <sheetDataSet>
      <sheetData sheetId="0">
        <row r="1">
          <cell r="B1" t="str">
            <v>university_name</v>
          </cell>
          <cell r="C1" t="str">
            <v>country</v>
          </cell>
          <cell r="D1" t="str">
            <v>world_rank</v>
          </cell>
          <cell r="E1" t="str">
            <v>international</v>
          </cell>
          <cell r="F1" t="str">
            <v>research</v>
          </cell>
          <cell r="G1" t="str">
            <v>citations</v>
          </cell>
          <cell r="H1" t="str">
            <v>income</v>
          </cell>
          <cell r="I1" t="str">
            <v>total_score</v>
          </cell>
          <cell r="J1" t="str">
            <v>num_students</v>
          </cell>
          <cell r="K1" t="str">
            <v>student_staff_ratio</v>
          </cell>
          <cell r="L1" t="str">
            <v>international_students</v>
          </cell>
          <cell r="M1" t="str">
            <v>female_male_ratio</v>
          </cell>
          <cell r="N1" t="str">
            <v>year</v>
          </cell>
          <cell r="O1" t="str">
            <v>world_rank_cwur</v>
          </cell>
          <cell r="P1" t="str">
            <v>national_rank</v>
          </cell>
        </row>
        <row r="2">
          <cell r="B2" t="str">
            <v>Harvard University</v>
          </cell>
          <cell r="C2" t="str">
            <v>United States of America</v>
          </cell>
          <cell r="D2">
            <v>1</v>
          </cell>
          <cell r="E2">
            <v>72.400000000000006</v>
          </cell>
          <cell r="F2">
            <v>98.7</v>
          </cell>
          <cell r="G2">
            <v>98.8</v>
          </cell>
          <cell r="H2">
            <v>34.5</v>
          </cell>
          <cell r="I2">
            <v>96.1</v>
          </cell>
          <cell r="J2">
            <v>20152</v>
          </cell>
          <cell r="K2">
            <v>8.9</v>
          </cell>
          <cell r="L2">
            <v>0.25</v>
          </cell>
          <cell r="N2">
            <v>2011</v>
          </cell>
          <cell r="O2">
            <v>1</v>
          </cell>
          <cell r="P2">
            <v>1</v>
          </cell>
        </row>
        <row r="3">
          <cell r="B3" t="str">
            <v>California Institute of Technology</v>
          </cell>
          <cell r="C3" t="str">
            <v>United States of America</v>
          </cell>
          <cell r="D3">
            <v>2</v>
          </cell>
          <cell r="E3">
            <v>54.6</v>
          </cell>
          <cell r="F3">
            <v>98</v>
          </cell>
          <cell r="G3">
            <v>99.9</v>
          </cell>
          <cell r="H3">
            <v>83.7</v>
          </cell>
          <cell r="I3">
            <v>96</v>
          </cell>
          <cell r="J3">
            <v>2243</v>
          </cell>
          <cell r="K3">
            <v>6.9</v>
          </cell>
          <cell r="L3">
            <v>0.27</v>
          </cell>
          <cell r="M3" t="str">
            <v>33 : 67</v>
          </cell>
          <cell r="N3">
            <v>2011</v>
          </cell>
          <cell r="O3">
            <v>5</v>
          </cell>
          <cell r="P3">
            <v>4</v>
          </cell>
        </row>
        <row r="4">
          <cell r="B4" t="str">
            <v>Massachusetts Institute of Technology</v>
          </cell>
          <cell r="C4" t="str">
            <v>United States of America</v>
          </cell>
          <cell r="D4">
            <v>3</v>
          </cell>
          <cell r="E4">
            <v>82.3</v>
          </cell>
          <cell r="F4">
            <v>91.4</v>
          </cell>
          <cell r="G4">
            <v>99.9</v>
          </cell>
          <cell r="H4">
            <v>87.5</v>
          </cell>
          <cell r="I4">
            <v>95.6</v>
          </cell>
          <cell r="J4">
            <v>11074</v>
          </cell>
          <cell r="K4">
            <v>9</v>
          </cell>
          <cell r="L4">
            <v>0.33</v>
          </cell>
          <cell r="M4" t="str">
            <v>37 : 63</v>
          </cell>
          <cell r="N4">
            <v>2011</v>
          </cell>
          <cell r="O4">
            <v>2</v>
          </cell>
          <cell r="P4">
            <v>2</v>
          </cell>
        </row>
        <row r="5">
          <cell r="B5" t="str">
            <v>Stanford University</v>
          </cell>
          <cell r="C5" t="str">
            <v>United States of America</v>
          </cell>
          <cell r="D5">
            <v>4</v>
          </cell>
          <cell r="E5">
            <v>29.5</v>
          </cell>
          <cell r="F5">
            <v>98.1</v>
          </cell>
          <cell r="G5">
            <v>99.2</v>
          </cell>
          <cell r="H5">
            <v>64.3</v>
          </cell>
          <cell r="I5">
            <v>94.3</v>
          </cell>
          <cell r="J5">
            <v>15596</v>
          </cell>
          <cell r="K5">
            <v>7.8</v>
          </cell>
          <cell r="L5">
            <v>0.22</v>
          </cell>
          <cell r="M5">
            <v>1.7902777777777779</v>
          </cell>
          <cell r="N5">
            <v>2011</v>
          </cell>
          <cell r="O5">
            <v>3</v>
          </cell>
          <cell r="P5">
            <v>3</v>
          </cell>
        </row>
        <row r="6">
          <cell r="B6" t="str">
            <v>Princeton University</v>
          </cell>
          <cell r="C6" t="str">
            <v>United States of America</v>
          </cell>
          <cell r="D6">
            <v>5</v>
          </cell>
          <cell r="E6">
            <v>70.3</v>
          </cell>
          <cell r="F6">
            <v>95.4</v>
          </cell>
          <cell r="G6">
            <v>99.9</v>
          </cell>
          <cell r="H6" t="str">
            <v>-</v>
          </cell>
          <cell r="I6">
            <v>94.2</v>
          </cell>
          <cell r="J6">
            <v>7929</v>
          </cell>
          <cell r="K6">
            <v>8.4</v>
          </cell>
          <cell r="L6">
            <v>0.27</v>
          </cell>
          <cell r="M6">
            <v>1.9131944444444444</v>
          </cell>
          <cell r="N6">
            <v>2011</v>
          </cell>
          <cell r="O6">
            <v>6</v>
          </cell>
          <cell r="P6">
            <v>5</v>
          </cell>
        </row>
        <row r="7">
          <cell r="B7" t="str">
            <v>University of Cambridge</v>
          </cell>
          <cell r="C7" t="str">
            <v>United Kingdom</v>
          </cell>
          <cell r="D7">
            <v>6</v>
          </cell>
          <cell r="E7">
            <v>77.7</v>
          </cell>
          <cell r="F7">
            <v>94.1</v>
          </cell>
          <cell r="G7">
            <v>94</v>
          </cell>
          <cell r="H7">
            <v>57</v>
          </cell>
          <cell r="I7">
            <v>91.2</v>
          </cell>
          <cell r="J7">
            <v>18812</v>
          </cell>
          <cell r="K7">
            <v>11.8</v>
          </cell>
          <cell r="L7">
            <v>0.34</v>
          </cell>
          <cell r="M7">
            <v>1.9541666666666666</v>
          </cell>
          <cell r="N7">
            <v>2011</v>
          </cell>
          <cell r="O7">
            <v>4</v>
          </cell>
          <cell r="P7">
            <v>1</v>
          </cell>
        </row>
        <row r="8">
          <cell r="B8" t="str">
            <v>University of Oxford</v>
          </cell>
          <cell r="C8" t="str">
            <v>United Kingdom</v>
          </cell>
          <cell r="D8">
            <v>6</v>
          </cell>
          <cell r="E8">
            <v>77.2</v>
          </cell>
          <cell r="F8">
            <v>93.9</v>
          </cell>
          <cell r="G8">
            <v>95.1</v>
          </cell>
          <cell r="H8">
            <v>73.5</v>
          </cell>
          <cell r="I8">
            <v>91.2</v>
          </cell>
          <cell r="J8">
            <v>19919</v>
          </cell>
          <cell r="K8">
            <v>11.6</v>
          </cell>
          <cell r="L8">
            <v>0.34</v>
          </cell>
          <cell r="M8">
            <v>1.9541666666666666</v>
          </cell>
          <cell r="N8">
            <v>2011</v>
          </cell>
          <cell r="O8">
            <v>7</v>
          </cell>
          <cell r="P8">
            <v>2</v>
          </cell>
        </row>
        <row r="9">
          <cell r="B9" t="str">
            <v>University of California, Berkeley</v>
          </cell>
          <cell r="C9" t="str">
            <v>United States of America</v>
          </cell>
          <cell r="D9">
            <v>8</v>
          </cell>
          <cell r="E9">
            <v>39.6</v>
          </cell>
          <cell r="F9">
            <v>99.3</v>
          </cell>
          <cell r="G9">
            <v>97.8</v>
          </cell>
          <cell r="H9" t="str">
            <v>-</v>
          </cell>
          <cell r="I9">
            <v>91.1</v>
          </cell>
          <cell r="J9">
            <v>36186</v>
          </cell>
          <cell r="K9">
            <v>16.399999999999999</v>
          </cell>
          <cell r="L9">
            <v>0.15</v>
          </cell>
          <cell r="M9">
            <v>2.1180555555555554</v>
          </cell>
          <cell r="N9">
            <v>2011</v>
          </cell>
          <cell r="O9">
            <v>10</v>
          </cell>
          <cell r="P9">
            <v>8</v>
          </cell>
        </row>
        <row r="10">
          <cell r="B10" t="str">
            <v>Imperial College London</v>
          </cell>
          <cell r="C10" t="str">
            <v>United Kingdom</v>
          </cell>
          <cell r="D10">
            <v>9</v>
          </cell>
          <cell r="E10">
            <v>90</v>
          </cell>
          <cell r="F10">
            <v>94.5</v>
          </cell>
          <cell r="G10">
            <v>88.3</v>
          </cell>
          <cell r="H10">
            <v>92.9</v>
          </cell>
          <cell r="I10">
            <v>90.6</v>
          </cell>
          <cell r="J10">
            <v>15060</v>
          </cell>
          <cell r="K10">
            <v>11.7</v>
          </cell>
          <cell r="L10">
            <v>0.51</v>
          </cell>
          <cell r="M10" t="str">
            <v>37 : 63</v>
          </cell>
          <cell r="N10">
            <v>2011</v>
          </cell>
          <cell r="O10">
            <v>28</v>
          </cell>
          <cell r="P10">
            <v>3</v>
          </cell>
        </row>
        <row r="11">
          <cell r="B11" t="str">
            <v>Yale University</v>
          </cell>
          <cell r="C11" t="str">
            <v>United States of America</v>
          </cell>
          <cell r="D11">
            <v>10</v>
          </cell>
          <cell r="E11">
            <v>59.2</v>
          </cell>
          <cell r="F11">
            <v>89.7</v>
          </cell>
          <cell r="G11">
            <v>91.5</v>
          </cell>
          <cell r="H11" t="str">
            <v>-</v>
          </cell>
          <cell r="I11">
            <v>89.5</v>
          </cell>
          <cell r="J11">
            <v>11751</v>
          </cell>
          <cell r="K11">
            <v>4.4000000000000004</v>
          </cell>
          <cell r="L11">
            <v>0.2</v>
          </cell>
          <cell r="M11">
            <v>2.1180555555555554</v>
          </cell>
          <cell r="N11">
            <v>2011</v>
          </cell>
          <cell r="O11">
            <v>8</v>
          </cell>
          <cell r="P11">
            <v>6</v>
          </cell>
        </row>
        <row r="12">
          <cell r="B12" t="str">
            <v>University of California, Los Angeles</v>
          </cell>
          <cell r="C12" t="str">
            <v>United States of America</v>
          </cell>
          <cell r="D12">
            <v>11</v>
          </cell>
          <cell r="E12">
            <v>48.1</v>
          </cell>
          <cell r="F12">
            <v>92.9</v>
          </cell>
          <cell r="G12">
            <v>93.2</v>
          </cell>
          <cell r="H12" t="str">
            <v>-</v>
          </cell>
          <cell r="I12">
            <v>87.7</v>
          </cell>
          <cell r="J12">
            <v>38206</v>
          </cell>
          <cell r="K12">
            <v>10.3</v>
          </cell>
          <cell r="L12">
            <v>0.15</v>
          </cell>
          <cell r="M12">
            <v>2.2000000000000002</v>
          </cell>
          <cell r="N12">
            <v>2011</v>
          </cell>
          <cell r="O12">
            <v>19</v>
          </cell>
          <cell r="P12">
            <v>13</v>
          </cell>
        </row>
        <row r="13">
          <cell r="B13" t="str">
            <v>University of Chicago</v>
          </cell>
          <cell r="C13" t="str">
            <v>United States of America</v>
          </cell>
          <cell r="D13">
            <v>12</v>
          </cell>
          <cell r="E13">
            <v>62.8</v>
          </cell>
          <cell r="F13">
            <v>87.9</v>
          </cell>
          <cell r="G13">
            <v>96.9</v>
          </cell>
          <cell r="H13" t="str">
            <v>-</v>
          </cell>
          <cell r="I13">
            <v>86.9</v>
          </cell>
          <cell r="J13">
            <v>14221</v>
          </cell>
          <cell r="K13">
            <v>6.9</v>
          </cell>
          <cell r="L13">
            <v>0.21</v>
          </cell>
          <cell r="M13">
            <v>1.7902777777777779</v>
          </cell>
          <cell r="N13">
            <v>2011</v>
          </cell>
          <cell r="O13">
            <v>11</v>
          </cell>
          <cell r="P13">
            <v>9</v>
          </cell>
        </row>
        <row r="14">
          <cell r="B14" t="str">
            <v>Johns Hopkins University</v>
          </cell>
          <cell r="C14" t="str">
            <v>United States of America</v>
          </cell>
          <cell r="D14">
            <v>13</v>
          </cell>
          <cell r="E14">
            <v>58.5</v>
          </cell>
          <cell r="F14">
            <v>89.2</v>
          </cell>
          <cell r="G14">
            <v>92.3</v>
          </cell>
          <cell r="H14">
            <v>100</v>
          </cell>
          <cell r="I14">
            <v>86.4</v>
          </cell>
          <cell r="J14">
            <v>15128</v>
          </cell>
          <cell r="K14">
            <v>3.6</v>
          </cell>
          <cell r="L14">
            <v>0.23</v>
          </cell>
          <cell r="M14">
            <v>2.1180555555555554</v>
          </cell>
          <cell r="N14">
            <v>2011</v>
          </cell>
          <cell r="O14">
            <v>15</v>
          </cell>
          <cell r="P14">
            <v>12</v>
          </cell>
        </row>
        <row r="15">
          <cell r="B15" t="str">
            <v>Cornell University</v>
          </cell>
          <cell r="C15" t="str">
            <v>United States of America</v>
          </cell>
          <cell r="D15">
            <v>14</v>
          </cell>
          <cell r="E15">
            <v>62.4</v>
          </cell>
          <cell r="F15">
            <v>88.8</v>
          </cell>
          <cell r="G15">
            <v>88.1</v>
          </cell>
          <cell r="H15">
            <v>34.700000000000003</v>
          </cell>
          <cell r="I15">
            <v>83.9</v>
          </cell>
          <cell r="J15">
            <v>21424</v>
          </cell>
          <cell r="K15">
            <v>10.199999999999999</v>
          </cell>
          <cell r="L15">
            <v>0.19</v>
          </cell>
          <cell r="M15">
            <v>2.036111111111111</v>
          </cell>
          <cell r="N15">
            <v>2011</v>
          </cell>
          <cell r="O15">
            <v>12</v>
          </cell>
          <cell r="P15">
            <v>10</v>
          </cell>
        </row>
        <row r="16">
          <cell r="B16" t="str">
            <v>ETH Zurich â€“ Swiss Federal Institute of Technology Zurich</v>
          </cell>
          <cell r="C16" t="str">
            <v>Switzerland</v>
          </cell>
          <cell r="D16">
            <v>15</v>
          </cell>
          <cell r="E16">
            <v>93.7</v>
          </cell>
          <cell r="F16">
            <v>87.8</v>
          </cell>
          <cell r="G16">
            <v>83.1</v>
          </cell>
          <cell r="H16" t="str">
            <v>-</v>
          </cell>
          <cell r="I16">
            <v>83.4</v>
          </cell>
          <cell r="J16">
            <v>18178</v>
          </cell>
          <cell r="K16">
            <v>14.7</v>
          </cell>
          <cell r="L16">
            <v>0.37</v>
          </cell>
          <cell r="M16" t="str">
            <v>31 : 69</v>
          </cell>
          <cell r="N16">
            <v>2011</v>
          </cell>
          <cell r="O16" t="e">
            <v>#N/A</v>
          </cell>
          <cell r="P16" t="e">
            <v>#N/A</v>
          </cell>
        </row>
        <row r="17">
          <cell r="B17" t="str">
            <v>University of Michigan</v>
          </cell>
          <cell r="C17" t="str">
            <v>United States of America</v>
          </cell>
          <cell r="D17">
            <v>15</v>
          </cell>
          <cell r="E17">
            <v>53.3</v>
          </cell>
          <cell r="F17">
            <v>89.1</v>
          </cell>
          <cell r="G17">
            <v>84.1</v>
          </cell>
          <cell r="H17">
            <v>59.6</v>
          </cell>
          <cell r="I17">
            <v>83.4</v>
          </cell>
          <cell r="J17">
            <v>41786</v>
          </cell>
          <cell r="K17">
            <v>9</v>
          </cell>
          <cell r="L17">
            <v>0.16</v>
          </cell>
          <cell r="M17">
            <v>2.036111111111111</v>
          </cell>
          <cell r="N17">
            <v>2011</v>
          </cell>
          <cell r="O17" t="e">
            <v>#N/A</v>
          </cell>
          <cell r="P17" t="e">
            <v>#N/A</v>
          </cell>
        </row>
        <row r="18">
          <cell r="B18" t="str">
            <v>University of Toronto</v>
          </cell>
          <cell r="C18" t="str">
            <v>Canada</v>
          </cell>
          <cell r="D18">
            <v>17</v>
          </cell>
          <cell r="E18" t="str">
            <v>-</v>
          </cell>
          <cell r="F18">
            <v>87.9</v>
          </cell>
          <cell r="G18">
            <v>82.2</v>
          </cell>
          <cell r="H18" t="str">
            <v>-</v>
          </cell>
          <cell r="I18">
            <v>82</v>
          </cell>
          <cell r="J18">
            <v>66198</v>
          </cell>
          <cell r="K18">
            <v>19.5</v>
          </cell>
          <cell r="L18">
            <v>0.15</v>
          </cell>
          <cell r="N18">
            <v>2011</v>
          </cell>
          <cell r="O18">
            <v>35</v>
          </cell>
          <cell r="P18">
            <v>1</v>
          </cell>
        </row>
        <row r="19">
          <cell r="B19" t="str">
            <v>Columbia University</v>
          </cell>
          <cell r="C19" t="str">
            <v>United States of America</v>
          </cell>
          <cell r="D19">
            <v>18</v>
          </cell>
          <cell r="E19">
            <v>90.9</v>
          </cell>
          <cell r="F19">
            <v>73.8</v>
          </cell>
          <cell r="G19">
            <v>92.6</v>
          </cell>
          <cell r="H19" t="str">
            <v>-</v>
          </cell>
          <cell r="I19">
            <v>81</v>
          </cell>
          <cell r="J19">
            <v>25055</v>
          </cell>
          <cell r="K19">
            <v>5.9</v>
          </cell>
          <cell r="L19">
            <v>0.28000000000000003</v>
          </cell>
          <cell r="N19">
            <v>2011</v>
          </cell>
          <cell r="O19">
            <v>9</v>
          </cell>
          <cell r="P19">
            <v>7</v>
          </cell>
        </row>
        <row r="20">
          <cell r="B20" t="str">
            <v>University of Pennsylvania</v>
          </cell>
          <cell r="C20" t="str">
            <v>United States of America</v>
          </cell>
          <cell r="D20">
            <v>19</v>
          </cell>
          <cell r="E20">
            <v>32.9</v>
          </cell>
          <cell r="F20">
            <v>82.7</v>
          </cell>
          <cell r="G20">
            <v>93.6</v>
          </cell>
          <cell r="H20">
            <v>43.7</v>
          </cell>
          <cell r="I20">
            <v>79.5</v>
          </cell>
          <cell r="J20">
            <v>20376</v>
          </cell>
          <cell r="K20">
            <v>6.5</v>
          </cell>
          <cell r="L20">
            <v>0.2</v>
          </cell>
          <cell r="M20">
            <v>2.1590277777777778</v>
          </cell>
          <cell r="N20">
            <v>2011</v>
          </cell>
          <cell r="O20">
            <v>13</v>
          </cell>
          <cell r="P20">
            <v>11</v>
          </cell>
        </row>
        <row r="21">
          <cell r="B21" t="str">
            <v>Carnegie Mellon University</v>
          </cell>
          <cell r="C21" t="str">
            <v>United States of America</v>
          </cell>
          <cell r="D21">
            <v>20</v>
          </cell>
          <cell r="E21">
            <v>39.1</v>
          </cell>
          <cell r="F21">
            <v>79.3</v>
          </cell>
          <cell r="G21">
            <v>95.7</v>
          </cell>
          <cell r="H21">
            <v>53.7</v>
          </cell>
          <cell r="I21">
            <v>79.3</v>
          </cell>
          <cell r="J21">
            <v>11885</v>
          </cell>
          <cell r="K21">
            <v>13.1</v>
          </cell>
          <cell r="L21">
            <v>0.35</v>
          </cell>
          <cell r="M21" t="str">
            <v>39 : 61</v>
          </cell>
          <cell r="N21">
            <v>2011</v>
          </cell>
          <cell r="O21">
            <v>43</v>
          </cell>
          <cell r="P21">
            <v>31</v>
          </cell>
        </row>
        <row r="22">
          <cell r="B22" t="str">
            <v>University of Hong Kong</v>
          </cell>
          <cell r="C22" t="str">
            <v>Hong Kong</v>
          </cell>
          <cell r="D22">
            <v>21</v>
          </cell>
          <cell r="E22">
            <v>91.4</v>
          </cell>
          <cell r="F22">
            <v>71.400000000000006</v>
          </cell>
          <cell r="G22">
            <v>96.1</v>
          </cell>
          <cell r="H22">
            <v>56.5</v>
          </cell>
          <cell r="I22">
            <v>79.2</v>
          </cell>
          <cell r="J22">
            <v>19835</v>
          </cell>
          <cell r="K22">
            <v>17.600000000000001</v>
          </cell>
          <cell r="L22">
            <v>0.38</v>
          </cell>
          <cell r="M22">
            <v>2.2409722222222221</v>
          </cell>
          <cell r="N22">
            <v>2011</v>
          </cell>
          <cell r="O22">
            <v>155</v>
          </cell>
          <cell r="P22">
            <v>1</v>
          </cell>
        </row>
        <row r="23">
          <cell r="B23" t="str">
            <v>University College London</v>
          </cell>
          <cell r="C23" t="str">
            <v>United Kingdom</v>
          </cell>
          <cell r="D23">
            <v>22</v>
          </cell>
          <cell r="E23">
            <v>90.8</v>
          </cell>
          <cell r="F23">
            <v>81.599999999999994</v>
          </cell>
          <cell r="G23">
            <v>80.599999999999994</v>
          </cell>
          <cell r="H23">
            <v>39</v>
          </cell>
          <cell r="I23">
            <v>78.400000000000006</v>
          </cell>
          <cell r="J23">
            <v>26607</v>
          </cell>
          <cell r="K23">
            <v>10.7</v>
          </cell>
          <cell r="L23">
            <v>0.46</v>
          </cell>
          <cell r="M23">
            <v>2.3638888888888889</v>
          </cell>
          <cell r="N23">
            <v>2011</v>
          </cell>
          <cell r="O23">
            <v>31</v>
          </cell>
          <cell r="P23">
            <v>4</v>
          </cell>
        </row>
        <row r="24">
          <cell r="B24" t="str">
            <v>University of Washington</v>
          </cell>
          <cell r="C24" t="str">
            <v>United States of America</v>
          </cell>
          <cell r="D24">
            <v>23</v>
          </cell>
          <cell r="E24">
            <v>49</v>
          </cell>
          <cell r="F24">
            <v>77.099999999999994</v>
          </cell>
          <cell r="G24">
            <v>95.9</v>
          </cell>
          <cell r="H24">
            <v>32.799999999999997</v>
          </cell>
          <cell r="I24">
            <v>78</v>
          </cell>
          <cell r="J24">
            <v>44020</v>
          </cell>
          <cell r="K24">
            <v>11.8</v>
          </cell>
          <cell r="L24">
            <v>0.13</v>
          </cell>
          <cell r="M24">
            <v>2.2409722222222221</v>
          </cell>
          <cell r="N24">
            <v>2011</v>
          </cell>
          <cell r="O24" t="e">
            <v>#N/A</v>
          </cell>
          <cell r="P24" t="e">
            <v>#N/A</v>
          </cell>
        </row>
        <row r="25">
          <cell r="B25" t="str">
            <v>Duke University</v>
          </cell>
          <cell r="C25" t="str">
            <v>United States of America</v>
          </cell>
          <cell r="D25">
            <v>24</v>
          </cell>
          <cell r="E25">
            <v>49.4</v>
          </cell>
          <cell r="F25">
            <v>71.5</v>
          </cell>
          <cell r="G25">
            <v>92.3</v>
          </cell>
          <cell r="H25">
            <v>100</v>
          </cell>
          <cell r="I25">
            <v>76.5</v>
          </cell>
          <cell r="J25">
            <v>15172</v>
          </cell>
          <cell r="K25">
            <v>4.8</v>
          </cell>
          <cell r="L25">
            <v>0.17</v>
          </cell>
          <cell r="M25">
            <v>2.0770833333333334</v>
          </cell>
          <cell r="N25">
            <v>2011</v>
          </cell>
          <cell r="O25">
            <v>27</v>
          </cell>
          <cell r="P25">
            <v>20</v>
          </cell>
        </row>
        <row r="26">
          <cell r="B26" t="str">
            <v>Northwestern University</v>
          </cell>
          <cell r="C26" t="str">
            <v>United States of America</v>
          </cell>
          <cell r="D26">
            <v>25</v>
          </cell>
          <cell r="E26">
            <v>60.5</v>
          </cell>
          <cell r="F26">
            <v>68.8</v>
          </cell>
          <cell r="G26">
            <v>95.3</v>
          </cell>
          <cell r="H26" t="str">
            <v>-</v>
          </cell>
          <cell r="I26">
            <v>75.900000000000006</v>
          </cell>
          <cell r="J26">
            <v>18334</v>
          </cell>
          <cell r="K26">
            <v>13.8</v>
          </cell>
          <cell r="L26">
            <v>0.15</v>
          </cell>
          <cell r="M26">
            <v>2.036111111111111</v>
          </cell>
          <cell r="N26">
            <v>2011</v>
          </cell>
          <cell r="O26">
            <v>33</v>
          </cell>
          <cell r="P26">
            <v>23</v>
          </cell>
        </row>
        <row r="27">
          <cell r="B27" t="str">
            <v>University of Tokyo</v>
          </cell>
          <cell r="C27" t="str">
            <v>Japan</v>
          </cell>
          <cell r="D27">
            <v>26</v>
          </cell>
          <cell r="E27">
            <v>18.399999999999999</v>
          </cell>
          <cell r="F27">
            <v>91.9</v>
          </cell>
          <cell r="G27">
            <v>58.1</v>
          </cell>
          <cell r="H27" t="str">
            <v>-</v>
          </cell>
          <cell r="I27">
            <v>75.599999999999994</v>
          </cell>
          <cell r="J27">
            <v>26199</v>
          </cell>
          <cell r="K27">
            <v>5.7</v>
          </cell>
          <cell r="L27">
            <v>0.1</v>
          </cell>
          <cell r="N27">
            <v>2011</v>
          </cell>
          <cell r="O27">
            <v>14</v>
          </cell>
          <cell r="P27">
            <v>1</v>
          </cell>
        </row>
        <row r="28">
          <cell r="B28" t="str">
            <v>Georgia Institute of Technology</v>
          </cell>
          <cell r="C28" t="str">
            <v>United States of America</v>
          </cell>
          <cell r="D28">
            <v>27</v>
          </cell>
          <cell r="E28">
            <v>73.2</v>
          </cell>
          <cell r="F28">
            <v>72.599999999999994</v>
          </cell>
          <cell r="G28">
            <v>83.2</v>
          </cell>
          <cell r="H28">
            <v>95.1</v>
          </cell>
          <cell r="I28">
            <v>75.3</v>
          </cell>
          <cell r="J28">
            <v>19967</v>
          </cell>
          <cell r="K28">
            <v>20.100000000000001</v>
          </cell>
          <cell r="L28">
            <v>0.26</v>
          </cell>
          <cell r="M28" t="str">
            <v>31 : 69</v>
          </cell>
          <cell r="N28">
            <v>2011</v>
          </cell>
          <cell r="O28">
            <v>87</v>
          </cell>
          <cell r="P28">
            <v>56</v>
          </cell>
        </row>
        <row r="29">
          <cell r="B29" t="str">
            <v>Pohang University of Science and Technology</v>
          </cell>
          <cell r="C29" t="str">
            <v>South Korea</v>
          </cell>
          <cell r="D29">
            <v>28</v>
          </cell>
          <cell r="E29">
            <v>32.6</v>
          </cell>
          <cell r="F29">
            <v>62.5</v>
          </cell>
          <cell r="G29">
            <v>96.5</v>
          </cell>
          <cell r="H29">
            <v>100</v>
          </cell>
          <cell r="I29">
            <v>75.099999999999994</v>
          </cell>
          <cell r="J29">
            <v>3055</v>
          </cell>
          <cell r="K29">
            <v>10.1</v>
          </cell>
          <cell r="L29">
            <v>0.04</v>
          </cell>
          <cell r="M29">
            <v>0.88888888888888884</v>
          </cell>
          <cell r="N29">
            <v>2011</v>
          </cell>
          <cell r="O29">
            <v>186</v>
          </cell>
          <cell r="P29">
            <v>6</v>
          </cell>
        </row>
        <row r="30">
          <cell r="B30" t="str">
            <v>University of California, Santa Barbara</v>
          </cell>
          <cell r="C30" t="str">
            <v>United States of America</v>
          </cell>
          <cell r="D30">
            <v>29</v>
          </cell>
          <cell r="E30">
            <v>64.3</v>
          </cell>
          <cell r="F30">
            <v>68</v>
          </cell>
          <cell r="G30">
            <v>98.8</v>
          </cell>
          <cell r="H30">
            <v>89.8</v>
          </cell>
          <cell r="I30">
            <v>75</v>
          </cell>
          <cell r="J30">
            <v>22020</v>
          </cell>
          <cell r="K30">
            <v>27.3</v>
          </cell>
          <cell r="L30">
            <v>0.11</v>
          </cell>
          <cell r="M30">
            <v>2.2000000000000002</v>
          </cell>
          <cell r="N30">
            <v>2011</v>
          </cell>
          <cell r="O30">
            <v>40</v>
          </cell>
          <cell r="P30">
            <v>29</v>
          </cell>
        </row>
        <row r="31">
          <cell r="B31" t="str">
            <v>University of British Columbia</v>
          </cell>
          <cell r="C31" t="str">
            <v>Canada</v>
          </cell>
          <cell r="D31">
            <v>30</v>
          </cell>
          <cell r="E31">
            <v>93.3</v>
          </cell>
          <cell r="F31">
            <v>74.8</v>
          </cell>
          <cell r="G31">
            <v>80.3</v>
          </cell>
          <cell r="H31">
            <v>42.6</v>
          </cell>
          <cell r="I31">
            <v>73.8</v>
          </cell>
          <cell r="J31">
            <v>50152</v>
          </cell>
          <cell r="K31">
            <v>17.600000000000001</v>
          </cell>
          <cell r="L31">
            <v>0.25</v>
          </cell>
          <cell r="M31">
            <v>2.2819444444444446</v>
          </cell>
          <cell r="N31">
            <v>2011</v>
          </cell>
          <cell r="O31">
            <v>67</v>
          </cell>
          <cell r="P31">
            <v>3</v>
          </cell>
        </row>
        <row r="32">
          <cell r="B32" t="str">
            <v>University of North Carolina at Chapel Hill</v>
          </cell>
          <cell r="C32" t="str">
            <v>United States of America</v>
          </cell>
          <cell r="D32">
            <v>30</v>
          </cell>
          <cell r="E32">
            <v>21.5</v>
          </cell>
          <cell r="F32">
            <v>75.099999999999994</v>
          </cell>
          <cell r="G32">
            <v>85</v>
          </cell>
          <cell r="H32">
            <v>50.2</v>
          </cell>
          <cell r="I32">
            <v>73.8</v>
          </cell>
          <cell r="J32">
            <v>26518</v>
          </cell>
          <cell r="K32">
            <v>7.3</v>
          </cell>
          <cell r="L32">
            <v>0.08</v>
          </cell>
          <cell r="M32">
            <v>2.4458333333333333</v>
          </cell>
          <cell r="N32">
            <v>2011</v>
          </cell>
          <cell r="O32">
            <v>36</v>
          </cell>
          <cell r="P32">
            <v>25</v>
          </cell>
        </row>
        <row r="33">
          <cell r="B33" t="str">
            <v>University of California, San Diego</v>
          </cell>
          <cell r="C33" t="str">
            <v>United States of America</v>
          </cell>
          <cell r="D33">
            <v>32</v>
          </cell>
          <cell r="E33">
            <v>31.6</v>
          </cell>
          <cell r="F33">
            <v>76.3</v>
          </cell>
          <cell r="G33">
            <v>90.8</v>
          </cell>
          <cell r="H33">
            <v>51.8</v>
          </cell>
          <cell r="I33">
            <v>73.2</v>
          </cell>
          <cell r="J33">
            <v>27233</v>
          </cell>
          <cell r="K33">
            <v>6.5</v>
          </cell>
          <cell r="L33">
            <v>0.11</v>
          </cell>
          <cell r="M33">
            <v>2.036111111111111</v>
          </cell>
          <cell r="N33">
            <v>2011</v>
          </cell>
          <cell r="O33">
            <v>20</v>
          </cell>
          <cell r="P33">
            <v>14</v>
          </cell>
        </row>
        <row r="34">
          <cell r="B34" t="str">
            <v>University of Illinois at Urbana-Champaign</v>
          </cell>
          <cell r="C34" t="str">
            <v>United States of America</v>
          </cell>
          <cell r="D34">
            <v>33</v>
          </cell>
          <cell r="E34">
            <v>55.9</v>
          </cell>
          <cell r="F34">
            <v>80.900000000000006</v>
          </cell>
          <cell r="G34">
            <v>72.900000000000006</v>
          </cell>
          <cell r="H34" t="str">
            <v>-</v>
          </cell>
          <cell r="I34">
            <v>73</v>
          </cell>
          <cell r="J34">
            <v>42727</v>
          </cell>
          <cell r="K34">
            <v>18.7</v>
          </cell>
          <cell r="L34">
            <v>0.2</v>
          </cell>
          <cell r="M34">
            <v>1.9951388888888888</v>
          </cell>
          <cell r="N34">
            <v>2011</v>
          </cell>
          <cell r="O34" t="e">
            <v>#N/A</v>
          </cell>
          <cell r="P34" t="e">
            <v>#N/A</v>
          </cell>
        </row>
        <row r="35">
          <cell r="B35" t="str">
            <v>National University of Singapore</v>
          </cell>
          <cell r="C35" t="str">
            <v>Singapore</v>
          </cell>
          <cell r="D35">
            <v>34</v>
          </cell>
          <cell r="E35">
            <v>97.8</v>
          </cell>
          <cell r="F35">
            <v>72.599999999999994</v>
          </cell>
          <cell r="G35">
            <v>78.7</v>
          </cell>
          <cell r="H35">
            <v>40.5</v>
          </cell>
          <cell r="I35">
            <v>72.900000000000006</v>
          </cell>
          <cell r="J35">
            <v>31592</v>
          </cell>
          <cell r="K35">
            <v>15.5</v>
          </cell>
          <cell r="L35">
            <v>0.34</v>
          </cell>
          <cell r="M35">
            <v>2.0770833333333334</v>
          </cell>
          <cell r="N35">
            <v>2011</v>
          </cell>
          <cell r="O35">
            <v>87</v>
          </cell>
          <cell r="P35">
            <v>1</v>
          </cell>
        </row>
        <row r="36">
          <cell r="B36" t="str">
            <v>McGill University</v>
          </cell>
          <cell r="C36" t="str">
            <v>Canada</v>
          </cell>
          <cell r="D36">
            <v>35</v>
          </cell>
          <cell r="E36">
            <v>85.9</v>
          </cell>
          <cell r="F36">
            <v>74.900000000000006</v>
          </cell>
          <cell r="G36">
            <v>69</v>
          </cell>
          <cell r="H36" t="str">
            <v>-</v>
          </cell>
          <cell r="I36">
            <v>71.7</v>
          </cell>
          <cell r="J36">
            <v>31326</v>
          </cell>
          <cell r="K36">
            <v>13.7</v>
          </cell>
          <cell r="L36">
            <v>0.23</v>
          </cell>
          <cell r="M36">
            <v>2.3638888888888889</v>
          </cell>
          <cell r="N36">
            <v>2011</v>
          </cell>
          <cell r="O36">
            <v>41</v>
          </cell>
          <cell r="P36">
            <v>2</v>
          </cell>
        </row>
        <row r="37">
          <cell r="B37" t="str">
            <v>University of Melbourne</v>
          </cell>
          <cell r="C37" t="str">
            <v>Australia</v>
          </cell>
          <cell r="D37">
            <v>36</v>
          </cell>
          <cell r="E37">
            <v>88</v>
          </cell>
          <cell r="F37">
            <v>69.2</v>
          </cell>
          <cell r="G37">
            <v>83.3</v>
          </cell>
          <cell r="H37">
            <v>47.7</v>
          </cell>
          <cell r="I37">
            <v>71</v>
          </cell>
          <cell r="J37">
            <v>40128</v>
          </cell>
          <cell r="K37">
            <v>23.7</v>
          </cell>
          <cell r="L37">
            <v>0.35</v>
          </cell>
          <cell r="M37">
            <v>2.3229166666666665</v>
          </cell>
          <cell r="N37">
            <v>2011</v>
          </cell>
          <cell r="O37">
            <v>97</v>
          </cell>
          <cell r="P37">
            <v>2</v>
          </cell>
        </row>
        <row r="38">
          <cell r="B38" t="str">
            <v>Peking University</v>
          </cell>
          <cell r="C38" t="str">
            <v>China</v>
          </cell>
          <cell r="D38">
            <v>37</v>
          </cell>
          <cell r="E38">
            <v>68.599999999999994</v>
          </cell>
          <cell r="F38">
            <v>61.3</v>
          </cell>
          <cell r="G38">
            <v>72.2</v>
          </cell>
          <cell r="H38">
            <v>98.6</v>
          </cell>
          <cell r="I38">
            <v>70.7</v>
          </cell>
          <cell r="J38">
            <v>40148</v>
          </cell>
          <cell r="K38">
            <v>8.3000000000000007</v>
          </cell>
          <cell r="L38">
            <v>0.14000000000000001</v>
          </cell>
          <cell r="N38">
            <v>2011</v>
          </cell>
          <cell r="O38">
            <v>55</v>
          </cell>
          <cell r="P38">
            <v>1</v>
          </cell>
        </row>
        <row r="39">
          <cell r="B39" t="str">
            <v>Washington University in St Louis</v>
          </cell>
          <cell r="C39" t="str">
            <v>United States of America</v>
          </cell>
          <cell r="D39">
            <v>38</v>
          </cell>
          <cell r="E39">
            <v>56.4</v>
          </cell>
          <cell r="F39">
            <v>63</v>
          </cell>
          <cell r="G39">
            <v>88.6</v>
          </cell>
          <cell r="H39" t="str">
            <v>-</v>
          </cell>
          <cell r="I39">
            <v>69.900000000000006</v>
          </cell>
          <cell r="J39">
            <v>12528</v>
          </cell>
          <cell r="K39">
            <v>5.7</v>
          </cell>
          <cell r="L39">
            <v>0.17</v>
          </cell>
          <cell r="N39">
            <v>2011</v>
          </cell>
          <cell r="O39" t="e">
            <v>#N/A</v>
          </cell>
          <cell r="P39" t="e">
            <v>#N/A</v>
          </cell>
        </row>
        <row r="40">
          <cell r="B40" t="str">
            <v>Ã‰cole Polytechnique</v>
          </cell>
          <cell r="C40" t="str">
            <v>France</v>
          </cell>
          <cell r="D40">
            <v>39</v>
          </cell>
          <cell r="E40">
            <v>77.900000000000006</v>
          </cell>
          <cell r="F40">
            <v>56.1</v>
          </cell>
          <cell r="G40">
            <v>91.4</v>
          </cell>
          <cell r="H40" t="str">
            <v>-</v>
          </cell>
          <cell r="I40">
            <v>69.5</v>
          </cell>
          <cell r="J40">
            <v>2429</v>
          </cell>
          <cell r="K40">
            <v>4.8</v>
          </cell>
          <cell r="L40">
            <v>0.3</v>
          </cell>
          <cell r="M40">
            <v>0.80694444444444446</v>
          </cell>
          <cell r="N40">
            <v>2011</v>
          </cell>
          <cell r="O40">
            <v>61</v>
          </cell>
          <cell r="P40">
            <v>3</v>
          </cell>
        </row>
        <row r="41">
          <cell r="B41" t="str">
            <v>University of Edinburgh</v>
          </cell>
          <cell r="C41" t="str">
            <v>United Kingdom</v>
          </cell>
          <cell r="D41">
            <v>40</v>
          </cell>
          <cell r="E41">
            <v>67.3</v>
          </cell>
          <cell r="F41">
            <v>61.9</v>
          </cell>
          <cell r="G41">
            <v>86.8</v>
          </cell>
          <cell r="H41">
            <v>42.2</v>
          </cell>
          <cell r="I41">
            <v>69.2</v>
          </cell>
          <cell r="J41">
            <v>25774</v>
          </cell>
          <cell r="K41">
            <v>14.1</v>
          </cell>
          <cell r="L41">
            <v>0.36</v>
          </cell>
          <cell r="M41">
            <v>2.4458333333333333</v>
          </cell>
          <cell r="N41">
            <v>2011</v>
          </cell>
          <cell r="O41">
            <v>60</v>
          </cell>
          <cell r="P41">
            <v>1</v>
          </cell>
        </row>
        <row r="42">
          <cell r="B42" t="str">
            <v>Hong Kong University of Science and Technology</v>
          </cell>
          <cell r="C42" t="str">
            <v>Hong Kong</v>
          </cell>
          <cell r="D42">
            <v>41</v>
          </cell>
          <cell r="E42">
            <v>97.4</v>
          </cell>
          <cell r="F42">
            <v>51.8</v>
          </cell>
          <cell r="G42">
            <v>98.2</v>
          </cell>
          <cell r="H42">
            <v>64.099999999999994</v>
          </cell>
          <cell r="I42">
            <v>69</v>
          </cell>
          <cell r="J42">
            <v>11385</v>
          </cell>
          <cell r="K42">
            <v>23.8</v>
          </cell>
          <cell r="L42">
            <v>0.36</v>
          </cell>
          <cell r="N42">
            <v>2011</v>
          </cell>
          <cell r="O42">
            <v>291</v>
          </cell>
          <cell r="P42">
            <v>3</v>
          </cell>
        </row>
        <row r="43">
          <cell r="B43" t="str">
            <v>Ã‰cole Normale SupÃ©rieure</v>
          </cell>
          <cell r="C43" t="str">
            <v>France</v>
          </cell>
          <cell r="D43">
            <v>42</v>
          </cell>
          <cell r="E43">
            <v>44.9</v>
          </cell>
          <cell r="F43">
            <v>48.2</v>
          </cell>
          <cell r="G43">
            <v>95.7</v>
          </cell>
          <cell r="H43">
            <v>30.7</v>
          </cell>
          <cell r="I43">
            <v>68.599999999999994</v>
          </cell>
          <cell r="J43">
            <v>2400</v>
          </cell>
          <cell r="K43">
            <v>7.9</v>
          </cell>
          <cell r="L43">
            <v>0.2</v>
          </cell>
          <cell r="M43">
            <v>1.9541666666666666</v>
          </cell>
          <cell r="N43">
            <v>2011</v>
          </cell>
          <cell r="O43" t="e">
            <v>#N/A</v>
          </cell>
          <cell r="P43" t="e">
            <v>#N/A</v>
          </cell>
        </row>
        <row r="44">
          <cell r="B44" t="str">
            <v>Australian National University</v>
          </cell>
          <cell r="C44" t="str">
            <v>Australia</v>
          </cell>
          <cell r="D44">
            <v>43</v>
          </cell>
          <cell r="E44">
            <v>93.9</v>
          </cell>
          <cell r="F44">
            <v>62.4</v>
          </cell>
          <cell r="G44">
            <v>81</v>
          </cell>
          <cell r="H44" t="str">
            <v>-</v>
          </cell>
          <cell r="I44">
            <v>67</v>
          </cell>
          <cell r="J44">
            <v>14604</v>
          </cell>
          <cell r="K44">
            <v>19.2</v>
          </cell>
          <cell r="L44">
            <v>0.35</v>
          </cell>
          <cell r="M44">
            <v>2.2000000000000002</v>
          </cell>
          <cell r="N44">
            <v>2011</v>
          </cell>
          <cell r="O44">
            <v>96</v>
          </cell>
          <cell r="P44">
            <v>2</v>
          </cell>
        </row>
        <row r="45">
          <cell r="B45" t="str">
            <v>Karolinska Institute</v>
          </cell>
          <cell r="C45" t="str">
            <v>Sweden</v>
          </cell>
          <cell r="D45">
            <v>43</v>
          </cell>
          <cell r="E45" t="str">
            <v>-</v>
          </cell>
          <cell r="F45">
            <v>72.7</v>
          </cell>
          <cell r="G45">
            <v>62.3</v>
          </cell>
          <cell r="H45">
            <v>73.3</v>
          </cell>
          <cell r="I45">
            <v>67</v>
          </cell>
          <cell r="J45">
            <v>7774</v>
          </cell>
          <cell r="K45">
            <v>11.5</v>
          </cell>
          <cell r="L45">
            <v>0.22</v>
          </cell>
          <cell r="M45">
            <v>2.9375</v>
          </cell>
          <cell r="N45">
            <v>2011</v>
          </cell>
          <cell r="O45">
            <v>70</v>
          </cell>
          <cell r="P45">
            <v>1</v>
          </cell>
        </row>
        <row r="46">
          <cell r="B46" t="str">
            <v>University of GÃ¶ttingen</v>
          </cell>
          <cell r="C46" t="str">
            <v>Germany</v>
          </cell>
          <cell r="D46">
            <v>43</v>
          </cell>
          <cell r="E46">
            <v>44.5</v>
          </cell>
          <cell r="F46">
            <v>55.9</v>
          </cell>
          <cell r="G46">
            <v>92.5</v>
          </cell>
          <cell r="H46">
            <v>31.7</v>
          </cell>
          <cell r="I46">
            <v>67</v>
          </cell>
          <cell r="J46">
            <v>25581</v>
          </cell>
          <cell r="K46">
            <v>25.6</v>
          </cell>
          <cell r="L46">
            <v>0.12</v>
          </cell>
          <cell r="M46">
            <v>2.1590277777777778</v>
          </cell>
          <cell r="N46">
            <v>2011</v>
          </cell>
          <cell r="O46">
            <v>169</v>
          </cell>
          <cell r="P46">
            <v>10</v>
          </cell>
        </row>
        <row r="47">
          <cell r="B47" t="str">
            <v>University of Wisconsin</v>
          </cell>
          <cell r="C47" t="str">
            <v>United States of America</v>
          </cell>
          <cell r="D47">
            <v>43</v>
          </cell>
          <cell r="E47">
            <v>43.7</v>
          </cell>
          <cell r="F47">
            <v>64.599999999999994</v>
          </cell>
          <cell r="G47">
            <v>83.4</v>
          </cell>
          <cell r="H47" t="str">
            <v>-</v>
          </cell>
          <cell r="I47">
            <v>67</v>
          </cell>
          <cell r="N47">
            <v>2011</v>
          </cell>
          <cell r="O47" t="e">
            <v>#N/A</v>
          </cell>
          <cell r="P47" t="e">
            <v>#N/A</v>
          </cell>
        </row>
        <row r="48">
          <cell r="B48" t="str">
            <v>Rice University</v>
          </cell>
          <cell r="C48" t="str">
            <v>United States of America</v>
          </cell>
          <cell r="D48">
            <v>47</v>
          </cell>
          <cell r="E48">
            <v>31.2</v>
          </cell>
          <cell r="F48">
            <v>50.6</v>
          </cell>
          <cell r="G48">
            <v>99.1</v>
          </cell>
          <cell r="H48">
            <v>29.2</v>
          </cell>
          <cell r="I48">
            <v>66.900000000000006</v>
          </cell>
          <cell r="J48">
            <v>6333</v>
          </cell>
          <cell r="K48">
            <v>9</v>
          </cell>
          <cell r="L48">
            <v>0.26</v>
          </cell>
          <cell r="M48">
            <v>1.8722222222222222</v>
          </cell>
          <cell r="N48">
            <v>2011</v>
          </cell>
          <cell r="O48">
            <v>57</v>
          </cell>
          <cell r="P48">
            <v>41</v>
          </cell>
        </row>
        <row r="49">
          <cell r="B49" t="str">
            <v>Ã‰cole Polytechnique FÃ©dÃ©rale de Lausanne</v>
          </cell>
          <cell r="C49" t="str">
            <v>Switzerland</v>
          </cell>
          <cell r="D49">
            <v>48</v>
          </cell>
          <cell r="E49">
            <v>100</v>
          </cell>
          <cell r="F49">
            <v>56.1</v>
          </cell>
          <cell r="G49">
            <v>83.8</v>
          </cell>
          <cell r="H49">
            <v>38</v>
          </cell>
          <cell r="I49">
            <v>66.5</v>
          </cell>
          <cell r="J49">
            <v>9666</v>
          </cell>
          <cell r="K49">
            <v>10.5</v>
          </cell>
          <cell r="L49">
            <v>0.54</v>
          </cell>
          <cell r="M49" t="str">
            <v>27 : 73</v>
          </cell>
          <cell r="N49">
            <v>2011</v>
          </cell>
          <cell r="O49" t="e">
            <v>#N/A</v>
          </cell>
          <cell r="P49" t="e">
            <v>#N/A</v>
          </cell>
        </row>
        <row r="50">
          <cell r="B50" t="str">
            <v>University of California, Irvine</v>
          </cell>
          <cell r="C50" t="str">
            <v>United States of America</v>
          </cell>
          <cell r="D50">
            <v>49</v>
          </cell>
          <cell r="E50">
            <v>66.3</v>
          </cell>
          <cell r="F50">
            <v>54.7</v>
          </cell>
          <cell r="G50">
            <v>91.6</v>
          </cell>
          <cell r="H50" t="str">
            <v>-</v>
          </cell>
          <cell r="I50">
            <v>66</v>
          </cell>
          <cell r="J50">
            <v>26614</v>
          </cell>
          <cell r="K50">
            <v>16.100000000000001</v>
          </cell>
          <cell r="L50">
            <v>0.16</v>
          </cell>
          <cell r="M50">
            <v>2.2000000000000002</v>
          </cell>
          <cell r="N50">
            <v>2011</v>
          </cell>
          <cell r="O50">
            <v>47</v>
          </cell>
          <cell r="P50">
            <v>35</v>
          </cell>
        </row>
        <row r="51">
          <cell r="B51" t="str">
            <v>University of Science and Technology of China</v>
          </cell>
          <cell r="C51" t="str">
            <v>China</v>
          </cell>
          <cell r="D51">
            <v>49</v>
          </cell>
          <cell r="E51" t="str">
            <v>-</v>
          </cell>
          <cell r="F51">
            <v>48.6</v>
          </cell>
          <cell r="G51">
            <v>92.7</v>
          </cell>
          <cell r="H51">
            <v>30.3</v>
          </cell>
          <cell r="I51">
            <v>66</v>
          </cell>
          <cell r="J51">
            <v>14290</v>
          </cell>
          <cell r="K51">
            <v>7.9</v>
          </cell>
          <cell r="L51">
            <v>0.02</v>
          </cell>
          <cell r="N51">
            <v>2011</v>
          </cell>
          <cell r="O51">
            <v>270</v>
          </cell>
          <cell r="P51">
            <v>8</v>
          </cell>
        </row>
        <row r="52">
          <cell r="B52" t="str">
            <v>Vanderbilt University</v>
          </cell>
          <cell r="C52" t="str">
            <v>United States of America</v>
          </cell>
          <cell r="D52">
            <v>51</v>
          </cell>
          <cell r="E52">
            <v>22.1</v>
          </cell>
          <cell r="F52">
            <v>59.5</v>
          </cell>
          <cell r="G52">
            <v>78.099999999999994</v>
          </cell>
          <cell r="H52">
            <v>84.2</v>
          </cell>
          <cell r="I52">
            <v>65.900000000000006</v>
          </cell>
          <cell r="J52">
            <v>12161</v>
          </cell>
          <cell r="K52">
            <v>3.6</v>
          </cell>
          <cell r="L52">
            <v>0.1</v>
          </cell>
          <cell r="M52">
            <v>2.2000000000000002</v>
          </cell>
          <cell r="N52">
            <v>2011</v>
          </cell>
          <cell r="O52">
            <v>59</v>
          </cell>
          <cell r="P52">
            <v>43</v>
          </cell>
        </row>
        <row r="53">
          <cell r="B53" t="str">
            <v>University of Minnesota</v>
          </cell>
          <cell r="C53" t="str">
            <v>United States of America</v>
          </cell>
          <cell r="D53">
            <v>52</v>
          </cell>
          <cell r="E53">
            <v>23</v>
          </cell>
          <cell r="F53">
            <v>69.099999999999994</v>
          </cell>
          <cell r="G53">
            <v>76.400000000000006</v>
          </cell>
          <cell r="H53" t="str">
            <v>-</v>
          </cell>
          <cell r="I53">
            <v>65.599999999999994</v>
          </cell>
          <cell r="J53">
            <v>46825</v>
          </cell>
          <cell r="K53">
            <v>18</v>
          </cell>
          <cell r="L53">
            <v>0.13</v>
          </cell>
          <cell r="M53">
            <v>2.2000000000000002</v>
          </cell>
          <cell r="N53">
            <v>2011</v>
          </cell>
          <cell r="O53" t="e">
            <v>#N/A</v>
          </cell>
          <cell r="P53" t="e">
            <v>#N/A</v>
          </cell>
        </row>
        <row r="54">
          <cell r="B54" t="str">
            <v>Tufts University</v>
          </cell>
          <cell r="C54" t="str">
            <v>United States of America</v>
          </cell>
          <cell r="D54">
            <v>53</v>
          </cell>
          <cell r="E54">
            <v>28.3</v>
          </cell>
          <cell r="F54">
            <v>52.3</v>
          </cell>
          <cell r="G54">
            <v>83.9</v>
          </cell>
          <cell r="H54" t="str">
            <v>-</v>
          </cell>
          <cell r="I54">
            <v>65.2</v>
          </cell>
          <cell r="J54">
            <v>10410</v>
          </cell>
          <cell r="K54">
            <v>10</v>
          </cell>
          <cell r="L54">
            <v>0.14000000000000001</v>
          </cell>
          <cell r="M54">
            <v>2.2819444444444446</v>
          </cell>
          <cell r="N54">
            <v>2011</v>
          </cell>
          <cell r="O54">
            <v>86</v>
          </cell>
          <cell r="P54">
            <v>55</v>
          </cell>
        </row>
        <row r="55">
          <cell r="B55" t="str">
            <v>University of California, Davis</v>
          </cell>
          <cell r="C55" t="str">
            <v>United States of America</v>
          </cell>
          <cell r="D55">
            <v>54</v>
          </cell>
          <cell r="E55">
            <v>60.5</v>
          </cell>
          <cell r="F55">
            <v>70.7</v>
          </cell>
          <cell r="G55">
            <v>68.8</v>
          </cell>
          <cell r="H55">
            <v>48</v>
          </cell>
          <cell r="I55">
            <v>65</v>
          </cell>
          <cell r="J55">
            <v>35364</v>
          </cell>
          <cell r="K55">
            <v>13.9</v>
          </cell>
          <cell r="L55">
            <v>0.13</v>
          </cell>
          <cell r="M55">
            <v>2.2819444444444446</v>
          </cell>
          <cell r="N55">
            <v>2011</v>
          </cell>
          <cell r="O55">
            <v>45</v>
          </cell>
          <cell r="P55">
            <v>33</v>
          </cell>
        </row>
        <row r="56">
          <cell r="B56" t="str">
            <v>Brown University</v>
          </cell>
          <cell r="C56" t="str">
            <v>United States of America</v>
          </cell>
          <cell r="D56">
            <v>55</v>
          </cell>
          <cell r="E56">
            <v>60.5</v>
          </cell>
          <cell r="F56">
            <v>57</v>
          </cell>
          <cell r="G56">
            <v>77.7</v>
          </cell>
          <cell r="H56" t="str">
            <v>-</v>
          </cell>
          <cell r="I56">
            <v>64.900000000000006</v>
          </cell>
          <cell r="J56">
            <v>8653</v>
          </cell>
          <cell r="K56">
            <v>10.1</v>
          </cell>
          <cell r="L56">
            <v>0.19</v>
          </cell>
          <cell r="N56">
            <v>2011</v>
          </cell>
          <cell r="O56">
            <v>66</v>
          </cell>
          <cell r="P56">
            <v>46</v>
          </cell>
        </row>
        <row r="57">
          <cell r="B57" t="str">
            <v>University of Massachusetts</v>
          </cell>
          <cell r="C57" t="str">
            <v>United States of America</v>
          </cell>
          <cell r="D57">
            <v>56</v>
          </cell>
          <cell r="E57">
            <v>22.6</v>
          </cell>
          <cell r="F57">
            <v>72.599999999999994</v>
          </cell>
          <cell r="G57">
            <v>67.900000000000006</v>
          </cell>
          <cell r="H57">
            <v>53.9</v>
          </cell>
          <cell r="I57">
            <v>64.7</v>
          </cell>
          <cell r="J57">
            <v>56959</v>
          </cell>
          <cell r="K57">
            <v>13</v>
          </cell>
          <cell r="L57">
            <v>0.11</v>
          </cell>
          <cell r="M57">
            <v>2.0770833333333334</v>
          </cell>
          <cell r="N57">
            <v>2011</v>
          </cell>
          <cell r="O57" t="e">
            <v>#N/A</v>
          </cell>
          <cell r="P57" t="e">
            <v>#N/A</v>
          </cell>
        </row>
        <row r="58">
          <cell r="B58" t="str">
            <v>Kyoto University</v>
          </cell>
          <cell r="C58" t="str">
            <v>Japan</v>
          </cell>
          <cell r="D58">
            <v>57</v>
          </cell>
          <cell r="E58">
            <v>18.399999999999999</v>
          </cell>
          <cell r="F58">
            <v>77.7</v>
          </cell>
          <cell r="G58">
            <v>46.3</v>
          </cell>
          <cell r="H58">
            <v>67.099999999999994</v>
          </cell>
          <cell r="I58">
            <v>64.599999999999994</v>
          </cell>
          <cell r="J58">
            <v>22809</v>
          </cell>
          <cell r="K58">
            <v>5.6</v>
          </cell>
          <cell r="L58">
            <v>7.0000000000000007E-2</v>
          </cell>
          <cell r="N58">
            <v>2011</v>
          </cell>
          <cell r="O58">
            <v>17</v>
          </cell>
          <cell r="P58">
            <v>2</v>
          </cell>
        </row>
        <row r="59">
          <cell r="B59" t="str">
            <v>Tsinghua University</v>
          </cell>
          <cell r="C59" t="str">
            <v>China</v>
          </cell>
          <cell r="D59">
            <v>58</v>
          </cell>
          <cell r="E59">
            <v>43</v>
          </cell>
          <cell r="F59">
            <v>66.599999999999994</v>
          </cell>
          <cell r="G59">
            <v>52.7</v>
          </cell>
          <cell r="H59">
            <v>97.8</v>
          </cell>
          <cell r="I59">
            <v>64.2</v>
          </cell>
          <cell r="J59">
            <v>39763</v>
          </cell>
          <cell r="K59">
            <v>13.7</v>
          </cell>
          <cell r="L59">
            <v>0.1</v>
          </cell>
          <cell r="M59" t="str">
            <v>32 : 68</v>
          </cell>
          <cell r="N59">
            <v>2011</v>
          </cell>
          <cell r="O59">
            <v>87</v>
          </cell>
          <cell r="P59">
            <v>2</v>
          </cell>
        </row>
        <row r="60">
          <cell r="B60" t="str">
            <v>Boston University</v>
          </cell>
          <cell r="C60" t="str">
            <v>United States of America</v>
          </cell>
          <cell r="D60">
            <v>59</v>
          </cell>
          <cell r="E60">
            <v>38.1</v>
          </cell>
          <cell r="F60">
            <v>51.9</v>
          </cell>
          <cell r="G60">
            <v>91.4</v>
          </cell>
          <cell r="H60">
            <v>29.6</v>
          </cell>
          <cell r="I60">
            <v>64</v>
          </cell>
          <cell r="J60">
            <v>24789</v>
          </cell>
          <cell r="K60">
            <v>8.6</v>
          </cell>
          <cell r="L60">
            <v>0.17</v>
          </cell>
          <cell r="M60">
            <v>2.4458333333333333</v>
          </cell>
          <cell r="N60">
            <v>2011</v>
          </cell>
          <cell r="O60">
            <v>62</v>
          </cell>
          <cell r="P60">
            <v>44</v>
          </cell>
        </row>
        <row r="61">
          <cell r="B61" t="str">
            <v>New York University</v>
          </cell>
          <cell r="C61" t="str">
            <v>United States of America</v>
          </cell>
          <cell r="D61">
            <v>60</v>
          </cell>
          <cell r="E61">
            <v>31.8</v>
          </cell>
          <cell r="F61">
            <v>50.7</v>
          </cell>
          <cell r="G61">
            <v>82.9</v>
          </cell>
          <cell r="H61" t="str">
            <v>-</v>
          </cell>
          <cell r="I61">
            <v>63.9</v>
          </cell>
          <cell r="J61">
            <v>42056</v>
          </cell>
          <cell r="K61">
            <v>6.8</v>
          </cell>
          <cell r="L61">
            <v>0.19</v>
          </cell>
          <cell r="M61">
            <v>2.3229166666666665</v>
          </cell>
          <cell r="N61">
            <v>2011</v>
          </cell>
          <cell r="O61">
            <v>23</v>
          </cell>
          <cell r="P61">
            <v>16</v>
          </cell>
        </row>
        <row r="62">
          <cell r="B62" t="str">
            <v>Emory University</v>
          </cell>
          <cell r="C62" t="str">
            <v>United States of America</v>
          </cell>
          <cell r="D62">
            <v>61</v>
          </cell>
          <cell r="E62">
            <v>52.3</v>
          </cell>
          <cell r="F62">
            <v>48.4</v>
          </cell>
          <cell r="G62">
            <v>77.8</v>
          </cell>
          <cell r="H62" t="str">
            <v>-</v>
          </cell>
          <cell r="I62">
            <v>63</v>
          </cell>
          <cell r="J62">
            <v>12338</v>
          </cell>
          <cell r="K62">
            <v>4.5</v>
          </cell>
          <cell r="L62">
            <v>0.18</v>
          </cell>
          <cell r="M62">
            <v>2.3638888888888889</v>
          </cell>
          <cell r="N62">
            <v>2011</v>
          </cell>
          <cell r="O62">
            <v>81</v>
          </cell>
          <cell r="P62">
            <v>53</v>
          </cell>
        </row>
        <row r="63">
          <cell r="B63" t="str">
            <v>LMU Munich</v>
          </cell>
          <cell r="C63" t="str">
            <v>Germany</v>
          </cell>
          <cell r="D63">
            <v>61</v>
          </cell>
          <cell r="E63">
            <v>43.1</v>
          </cell>
          <cell r="F63">
            <v>57.5</v>
          </cell>
          <cell r="G63">
            <v>76.400000000000006</v>
          </cell>
          <cell r="H63">
            <v>40.4</v>
          </cell>
          <cell r="I63">
            <v>63</v>
          </cell>
          <cell r="J63">
            <v>35691</v>
          </cell>
          <cell r="K63">
            <v>15.5</v>
          </cell>
          <cell r="L63">
            <v>0.13</v>
          </cell>
          <cell r="M63">
            <v>2.6097222222222221</v>
          </cell>
          <cell r="N63">
            <v>2011</v>
          </cell>
          <cell r="O63" t="e">
            <v>#N/A</v>
          </cell>
          <cell r="P63" t="e">
            <v>#N/A</v>
          </cell>
        </row>
        <row r="64">
          <cell r="B64" t="str">
            <v>University of Notre Dame</v>
          </cell>
          <cell r="C64" t="str">
            <v>United States of America</v>
          </cell>
          <cell r="D64">
            <v>63</v>
          </cell>
          <cell r="E64">
            <v>35.6</v>
          </cell>
          <cell r="F64">
            <v>45.1</v>
          </cell>
          <cell r="G64">
            <v>89.1</v>
          </cell>
          <cell r="H64" t="str">
            <v>-</v>
          </cell>
          <cell r="I64">
            <v>62.8</v>
          </cell>
          <cell r="J64">
            <v>11829</v>
          </cell>
          <cell r="K64">
            <v>13.8</v>
          </cell>
          <cell r="L64">
            <v>0.1</v>
          </cell>
          <cell r="M64">
            <v>1.8722222222222222</v>
          </cell>
          <cell r="N64">
            <v>2011</v>
          </cell>
          <cell r="O64">
            <v>64</v>
          </cell>
          <cell r="P64">
            <v>42</v>
          </cell>
        </row>
        <row r="65">
          <cell r="B65" t="str">
            <v>University of Pittsburgh</v>
          </cell>
          <cell r="C65" t="str">
            <v>United States of America</v>
          </cell>
          <cell r="D65">
            <v>64</v>
          </cell>
          <cell r="E65">
            <v>25.2</v>
          </cell>
          <cell r="F65">
            <v>58.3</v>
          </cell>
          <cell r="G65">
            <v>78.3</v>
          </cell>
          <cell r="H65">
            <v>37.9</v>
          </cell>
          <cell r="I65">
            <v>62.7</v>
          </cell>
          <cell r="J65">
            <v>26485</v>
          </cell>
          <cell r="K65">
            <v>5.8</v>
          </cell>
          <cell r="L65">
            <v>0.1</v>
          </cell>
          <cell r="M65">
            <v>2.1590277777777778</v>
          </cell>
          <cell r="N65">
            <v>2011</v>
          </cell>
          <cell r="O65" t="e">
            <v>#N/A</v>
          </cell>
          <cell r="P65" t="e">
            <v>#N/A</v>
          </cell>
        </row>
        <row r="66">
          <cell r="B66" t="str">
            <v>Case Western Reserve University</v>
          </cell>
          <cell r="C66" t="str">
            <v>United States of America</v>
          </cell>
          <cell r="D66">
            <v>65</v>
          </cell>
          <cell r="E66">
            <v>56.5</v>
          </cell>
          <cell r="F66">
            <v>53.8</v>
          </cell>
          <cell r="G66">
            <v>66</v>
          </cell>
          <cell r="H66" t="str">
            <v>-</v>
          </cell>
          <cell r="I66">
            <v>62.2</v>
          </cell>
          <cell r="J66">
            <v>9259</v>
          </cell>
          <cell r="K66">
            <v>6.4</v>
          </cell>
          <cell r="L66">
            <v>0.17</v>
          </cell>
          <cell r="M66">
            <v>2.036111111111111</v>
          </cell>
          <cell r="N66">
            <v>2011</v>
          </cell>
          <cell r="O66">
            <v>78</v>
          </cell>
          <cell r="P66">
            <v>51</v>
          </cell>
        </row>
        <row r="67">
          <cell r="B67" t="str">
            <v>Ohio State University</v>
          </cell>
          <cell r="C67" t="str">
            <v>United States of America</v>
          </cell>
          <cell r="D67">
            <v>66</v>
          </cell>
          <cell r="E67">
            <v>64</v>
          </cell>
          <cell r="F67">
            <v>54.9</v>
          </cell>
          <cell r="G67">
            <v>67.2</v>
          </cell>
          <cell r="H67" t="str">
            <v>-</v>
          </cell>
          <cell r="I67">
            <v>62.1</v>
          </cell>
          <cell r="J67">
            <v>51462</v>
          </cell>
          <cell r="K67">
            <v>13.4</v>
          </cell>
          <cell r="L67">
            <v>0.12</v>
          </cell>
          <cell r="M67">
            <v>2.0770833333333334</v>
          </cell>
          <cell r="N67">
            <v>2011</v>
          </cell>
          <cell r="O67" t="e">
            <v>#N/A</v>
          </cell>
          <cell r="P67" t="e">
            <v>#N/A</v>
          </cell>
        </row>
        <row r="68">
          <cell r="B68" t="str">
            <v>University of Colorado Boulder</v>
          </cell>
          <cell r="C68" t="str">
            <v>United States of America</v>
          </cell>
          <cell r="D68">
            <v>67</v>
          </cell>
          <cell r="E68">
            <v>31.7</v>
          </cell>
          <cell r="F68">
            <v>58.1</v>
          </cell>
          <cell r="G68">
            <v>83.4</v>
          </cell>
          <cell r="H68" t="str">
            <v>-</v>
          </cell>
          <cell r="I68">
            <v>61.6</v>
          </cell>
          <cell r="J68">
            <v>29325</v>
          </cell>
          <cell r="K68">
            <v>16.100000000000001</v>
          </cell>
          <cell r="L68">
            <v>0.08</v>
          </cell>
          <cell r="M68">
            <v>1.9131944444444444</v>
          </cell>
          <cell r="N68">
            <v>2011</v>
          </cell>
          <cell r="O68">
            <v>46</v>
          </cell>
          <cell r="P68">
            <v>34</v>
          </cell>
        </row>
        <row r="69">
          <cell r="B69" t="str">
            <v>University of Bristol</v>
          </cell>
          <cell r="C69" t="str">
            <v>United Kingdom</v>
          </cell>
          <cell r="D69">
            <v>68</v>
          </cell>
          <cell r="E69">
            <v>67.2</v>
          </cell>
          <cell r="F69">
            <v>53.1</v>
          </cell>
          <cell r="G69">
            <v>80.900000000000006</v>
          </cell>
          <cell r="H69">
            <v>36.200000000000003</v>
          </cell>
          <cell r="I69">
            <v>61.4</v>
          </cell>
          <cell r="J69">
            <v>17906</v>
          </cell>
          <cell r="K69">
            <v>14</v>
          </cell>
          <cell r="L69">
            <v>0.25</v>
          </cell>
          <cell r="M69">
            <v>2.2409722222222221</v>
          </cell>
          <cell r="N69">
            <v>2011</v>
          </cell>
          <cell r="O69">
            <v>98</v>
          </cell>
          <cell r="P69">
            <v>7</v>
          </cell>
        </row>
        <row r="70">
          <cell r="B70" t="str">
            <v>University of California, Santa Cruz</v>
          </cell>
          <cell r="C70" t="str">
            <v>United States of America</v>
          </cell>
          <cell r="D70">
            <v>68</v>
          </cell>
          <cell r="E70">
            <v>16.7</v>
          </cell>
          <cell r="F70">
            <v>50.4</v>
          </cell>
          <cell r="G70">
            <v>99.6</v>
          </cell>
          <cell r="H70" t="str">
            <v>-</v>
          </cell>
          <cell r="I70">
            <v>61.4</v>
          </cell>
          <cell r="J70">
            <v>17404</v>
          </cell>
          <cell r="K70">
            <v>22.7</v>
          </cell>
          <cell r="L70">
            <v>0.01</v>
          </cell>
          <cell r="M70">
            <v>2.2409722222222221</v>
          </cell>
          <cell r="N70">
            <v>2011</v>
          </cell>
          <cell r="O70">
            <v>163</v>
          </cell>
          <cell r="P70">
            <v>71</v>
          </cell>
        </row>
        <row r="71">
          <cell r="B71" t="str">
            <v>Yeshiva University</v>
          </cell>
          <cell r="C71" t="str">
            <v>United States of America</v>
          </cell>
          <cell r="D71">
            <v>68</v>
          </cell>
          <cell r="E71">
            <v>53.3</v>
          </cell>
          <cell r="F71">
            <v>46.7</v>
          </cell>
          <cell r="G71">
            <v>74.400000000000006</v>
          </cell>
          <cell r="H71" t="str">
            <v>-</v>
          </cell>
          <cell r="I71">
            <v>61.4</v>
          </cell>
          <cell r="J71">
            <v>6753</v>
          </cell>
          <cell r="K71">
            <v>5.5</v>
          </cell>
          <cell r="L71">
            <v>7.0000000000000007E-2</v>
          </cell>
          <cell r="M71">
            <v>2.2409722222222221</v>
          </cell>
          <cell r="N71">
            <v>2011</v>
          </cell>
          <cell r="O71">
            <v>172</v>
          </cell>
          <cell r="P71">
            <v>75</v>
          </cell>
        </row>
        <row r="72">
          <cell r="B72" t="str">
            <v>University of Sydney</v>
          </cell>
          <cell r="C72" t="str">
            <v>Australia</v>
          </cell>
          <cell r="D72">
            <v>71</v>
          </cell>
          <cell r="E72">
            <v>89.6</v>
          </cell>
          <cell r="F72">
            <v>61.9</v>
          </cell>
          <cell r="G72">
            <v>64.3</v>
          </cell>
          <cell r="H72">
            <v>90.8</v>
          </cell>
          <cell r="I72">
            <v>61.2</v>
          </cell>
          <cell r="J72">
            <v>41868</v>
          </cell>
          <cell r="K72">
            <v>20.2</v>
          </cell>
          <cell r="L72">
            <v>0.28000000000000003</v>
          </cell>
          <cell r="M72">
            <v>2.4048611111111109</v>
          </cell>
          <cell r="N72">
            <v>2011</v>
          </cell>
          <cell r="O72">
            <v>94</v>
          </cell>
          <cell r="P72">
            <v>2</v>
          </cell>
        </row>
        <row r="73">
          <cell r="B73" t="str">
            <v>University of Virginia</v>
          </cell>
          <cell r="C73" t="str">
            <v>United States of America</v>
          </cell>
          <cell r="D73">
            <v>72</v>
          </cell>
          <cell r="E73">
            <v>42.2</v>
          </cell>
          <cell r="F73">
            <v>55.4</v>
          </cell>
          <cell r="G73">
            <v>68.599999999999994</v>
          </cell>
          <cell r="H73" t="str">
            <v>-</v>
          </cell>
          <cell r="I73">
            <v>61.1</v>
          </cell>
          <cell r="J73">
            <v>23845</v>
          </cell>
          <cell r="K73">
            <v>10.199999999999999</v>
          </cell>
          <cell r="L73">
            <v>0.12</v>
          </cell>
          <cell r="M73">
            <v>2.2000000000000002</v>
          </cell>
          <cell r="N73">
            <v>2011</v>
          </cell>
          <cell r="O73">
            <v>84</v>
          </cell>
          <cell r="P73">
            <v>54</v>
          </cell>
        </row>
        <row r="74">
          <cell r="B74" t="str">
            <v>University of Adelaide</v>
          </cell>
          <cell r="C74" t="str">
            <v>Australia</v>
          </cell>
          <cell r="D74">
            <v>73</v>
          </cell>
          <cell r="E74">
            <v>87.5</v>
          </cell>
          <cell r="F74">
            <v>38.799999999999997</v>
          </cell>
          <cell r="G74">
            <v>90.5</v>
          </cell>
          <cell r="H74">
            <v>52.7</v>
          </cell>
          <cell r="I74">
            <v>60.7</v>
          </cell>
          <cell r="J74">
            <v>20771</v>
          </cell>
          <cell r="K74">
            <v>30.1</v>
          </cell>
          <cell r="L74">
            <v>0.26</v>
          </cell>
          <cell r="M74">
            <v>2.036111111111111</v>
          </cell>
          <cell r="N74">
            <v>2011</v>
          </cell>
          <cell r="O74">
            <v>340</v>
          </cell>
          <cell r="P74">
            <v>8</v>
          </cell>
        </row>
        <row r="75">
          <cell r="B75" t="str">
            <v>University of Southern California</v>
          </cell>
          <cell r="C75" t="str">
            <v>United States of America</v>
          </cell>
          <cell r="D75">
            <v>73</v>
          </cell>
          <cell r="E75">
            <v>31.2</v>
          </cell>
          <cell r="F75">
            <v>48.7</v>
          </cell>
          <cell r="G75">
            <v>71.900000000000006</v>
          </cell>
          <cell r="H75" t="str">
            <v>-</v>
          </cell>
          <cell r="I75">
            <v>60.7</v>
          </cell>
          <cell r="J75">
            <v>36534</v>
          </cell>
          <cell r="K75">
            <v>12.9</v>
          </cell>
          <cell r="L75">
            <v>0.2</v>
          </cell>
          <cell r="M75">
            <v>2.2000000000000002</v>
          </cell>
          <cell r="N75">
            <v>2011</v>
          </cell>
          <cell r="O75">
            <v>44</v>
          </cell>
          <cell r="P75">
            <v>32</v>
          </cell>
        </row>
        <row r="76">
          <cell r="B76" t="str">
            <v>William &amp; Mary</v>
          </cell>
          <cell r="C76" t="str">
            <v>United States of America</v>
          </cell>
          <cell r="D76">
            <v>75</v>
          </cell>
          <cell r="E76">
            <v>20.9</v>
          </cell>
          <cell r="F76">
            <v>36.1</v>
          </cell>
          <cell r="G76">
            <v>95.6</v>
          </cell>
          <cell r="H76" t="str">
            <v>-</v>
          </cell>
          <cell r="I76">
            <v>60.4</v>
          </cell>
          <cell r="J76">
            <v>7867</v>
          </cell>
          <cell r="K76">
            <v>11.8</v>
          </cell>
          <cell r="L76">
            <v>7.0000000000000007E-2</v>
          </cell>
          <cell r="M76">
            <v>2.2819444444444446</v>
          </cell>
          <cell r="N76">
            <v>2011</v>
          </cell>
          <cell r="O76" t="e">
            <v>#N/A</v>
          </cell>
          <cell r="P76" t="e">
            <v>#N/A</v>
          </cell>
        </row>
        <row r="77">
          <cell r="B77" t="str">
            <v>Trinity College Dublin</v>
          </cell>
          <cell r="C77" t="str">
            <v>Republic of Ireland</v>
          </cell>
          <cell r="D77">
            <v>76</v>
          </cell>
          <cell r="E77">
            <v>84.2</v>
          </cell>
          <cell r="F77">
            <v>45.3</v>
          </cell>
          <cell r="G77">
            <v>84.4</v>
          </cell>
          <cell r="H77">
            <v>31.6</v>
          </cell>
          <cell r="I77">
            <v>60.3</v>
          </cell>
          <cell r="J77">
            <v>15521</v>
          </cell>
          <cell r="K77">
            <v>18</v>
          </cell>
          <cell r="L77">
            <v>0.25</v>
          </cell>
          <cell r="M77">
            <v>2.4048611111111109</v>
          </cell>
          <cell r="N77">
            <v>2011</v>
          </cell>
          <cell r="O77" t="e">
            <v>#N/A</v>
          </cell>
          <cell r="P77" t="e">
            <v>#N/A</v>
          </cell>
        </row>
        <row r="78">
          <cell r="B78" t="str">
            <v>Kingâ€™s College London</v>
          </cell>
          <cell r="C78" t="str">
            <v>United Kingdom</v>
          </cell>
          <cell r="D78">
            <v>77</v>
          </cell>
          <cell r="E78">
            <v>85.9</v>
          </cell>
          <cell r="F78">
            <v>54.5</v>
          </cell>
          <cell r="G78">
            <v>72.099999999999994</v>
          </cell>
          <cell r="H78">
            <v>44.1</v>
          </cell>
          <cell r="I78">
            <v>59.7</v>
          </cell>
          <cell r="J78">
            <v>21394</v>
          </cell>
          <cell r="K78">
            <v>11.4</v>
          </cell>
          <cell r="L78">
            <v>0.37</v>
          </cell>
          <cell r="M78">
            <v>2.5687500000000001</v>
          </cell>
          <cell r="N78">
            <v>2011</v>
          </cell>
          <cell r="O78" t="e">
            <v>#N/A</v>
          </cell>
          <cell r="P78" t="e">
            <v>#N/A</v>
          </cell>
        </row>
        <row r="79">
          <cell r="B79" t="str">
            <v>Stony Brook University</v>
          </cell>
          <cell r="C79" t="str">
            <v>United States of America</v>
          </cell>
          <cell r="D79">
            <v>78</v>
          </cell>
          <cell r="E79">
            <v>52.2</v>
          </cell>
          <cell r="F79">
            <v>43.6</v>
          </cell>
          <cell r="G79">
            <v>85.8</v>
          </cell>
          <cell r="H79" t="str">
            <v>-</v>
          </cell>
          <cell r="I79">
            <v>59.6</v>
          </cell>
          <cell r="J79">
            <v>21908</v>
          </cell>
          <cell r="K79">
            <v>10.9</v>
          </cell>
          <cell r="L79">
            <v>0.24</v>
          </cell>
          <cell r="M79">
            <v>2.1180555555555554</v>
          </cell>
          <cell r="N79">
            <v>2011</v>
          </cell>
          <cell r="O79">
            <v>89</v>
          </cell>
          <cell r="P79">
            <v>54</v>
          </cell>
        </row>
        <row r="80">
          <cell r="B80" t="str">
            <v>Korea Advanced Institute of Science and Technology (KAIST)</v>
          </cell>
          <cell r="C80" t="str">
            <v>South Korea</v>
          </cell>
          <cell r="D80">
            <v>79</v>
          </cell>
          <cell r="E80">
            <v>36.700000000000003</v>
          </cell>
          <cell r="F80">
            <v>63.4</v>
          </cell>
          <cell r="G80">
            <v>45.5</v>
          </cell>
          <cell r="H80">
            <v>100</v>
          </cell>
          <cell r="I80">
            <v>59.5</v>
          </cell>
          <cell r="J80">
            <v>9027</v>
          </cell>
          <cell r="K80">
            <v>10</v>
          </cell>
          <cell r="L80">
            <v>0.09</v>
          </cell>
          <cell r="M80">
            <v>0.88888888888888884</v>
          </cell>
          <cell r="N80">
            <v>2011</v>
          </cell>
          <cell r="O80">
            <v>128</v>
          </cell>
          <cell r="P80">
            <v>3</v>
          </cell>
        </row>
        <row r="81">
          <cell r="B81" t="str">
            <v>University of Sussex</v>
          </cell>
          <cell r="C81" t="str">
            <v>United Kingdom</v>
          </cell>
          <cell r="D81">
            <v>79</v>
          </cell>
          <cell r="E81">
            <v>72.8</v>
          </cell>
          <cell r="F81">
            <v>42.4</v>
          </cell>
          <cell r="G81">
            <v>91.6</v>
          </cell>
          <cell r="H81">
            <v>29.1</v>
          </cell>
          <cell r="I81">
            <v>59.5</v>
          </cell>
          <cell r="J81">
            <v>12001</v>
          </cell>
          <cell r="K81">
            <v>17.399999999999999</v>
          </cell>
          <cell r="L81">
            <v>0.35</v>
          </cell>
          <cell r="M81">
            <v>2.2819444444444446</v>
          </cell>
          <cell r="N81">
            <v>2011</v>
          </cell>
          <cell r="O81">
            <v>190</v>
          </cell>
          <cell r="P81">
            <v>15</v>
          </cell>
        </row>
        <row r="82">
          <cell r="B82" t="str">
            <v>The University of Queensland</v>
          </cell>
          <cell r="C82" t="str">
            <v>Australia</v>
          </cell>
          <cell r="D82">
            <v>81</v>
          </cell>
          <cell r="E82">
            <v>74.2</v>
          </cell>
          <cell r="F82">
            <v>53.4</v>
          </cell>
          <cell r="G82">
            <v>69</v>
          </cell>
          <cell r="H82">
            <v>57.1</v>
          </cell>
          <cell r="I82">
            <v>59.1</v>
          </cell>
          <cell r="J82">
            <v>34718</v>
          </cell>
          <cell r="K82">
            <v>32.700000000000003</v>
          </cell>
          <cell r="L82">
            <v>0.27</v>
          </cell>
          <cell r="M82">
            <v>2.2409722222222221</v>
          </cell>
          <cell r="N82">
            <v>2011</v>
          </cell>
          <cell r="O82" t="e">
            <v>#N/A</v>
          </cell>
          <cell r="P82" t="e">
            <v>#N/A</v>
          </cell>
        </row>
        <row r="83">
          <cell r="B83" t="str">
            <v>University of York</v>
          </cell>
          <cell r="C83" t="str">
            <v>United Kingdom</v>
          </cell>
          <cell r="D83">
            <v>81</v>
          </cell>
          <cell r="E83">
            <v>66.599999999999994</v>
          </cell>
          <cell r="F83">
            <v>46.2</v>
          </cell>
          <cell r="G83">
            <v>81.900000000000006</v>
          </cell>
          <cell r="H83">
            <v>36.200000000000003</v>
          </cell>
          <cell r="I83">
            <v>59.1</v>
          </cell>
          <cell r="N83">
            <v>2011</v>
          </cell>
          <cell r="O83">
            <v>336</v>
          </cell>
          <cell r="P83">
            <v>30</v>
          </cell>
        </row>
        <row r="84">
          <cell r="B84" t="str">
            <v>Heidelberg University</v>
          </cell>
          <cell r="C84" t="str">
            <v>Germany</v>
          </cell>
          <cell r="D84">
            <v>83</v>
          </cell>
          <cell r="E84">
            <v>63.4</v>
          </cell>
          <cell r="F84">
            <v>47.5</v>
          </cell>
          <cell r="G84">
            <v>70.3</v>
          </cell>
          <cell r="H84">
            <v>39.1</v>
          </cell>
          <cell r="I84">
            <v>59</v>
          </cell>
          <cell r="J84">
            <v>28881</v>
          </cell>
          <cell r="K84">
            <v>24.5</v>
          </cell>
          <cell r="L84">
            <v>0.17</v>
          </cell>
          <cell r="M84">
            <v>2.3229166666666665</v>
          </cell>
          <cell r="N84">
            <v>2011</v>
          </cell>
          <cell r="O84" t="e">
            <v>#N/A</v>
          </cell>
          <cell r="P84" t="e">
            <v>#N/A</v>
          </cell>
        </row>
        <row r="85">
          <cell r="B85" t="str">
            <v>University of Utah</v>
          </cell>
          <cell r="C85" t="str">
            <v>United States of America</v>
          </cell>
          <cell r="D85">
            <v>83</v>
          </cell>
          <cell r="E85">
            <v>22.5</v>
          </cell>
          <cell r="F85">
            <v>54.2</v>
          </cell>
          <cell r="G85">
            <v>72</v>
          </cell>
          <cell r="H85" t="str">
            <v>-</v>
          </cell>
          <cell r="I85">
            <v>59</v>
          </cell>
          <cell r="J85">
            <v>25674</v>
          </cell>
          <cell r="K85">
            <v>16.899999999999999</v>
          </cell>
          <cell r="L85">
            <v>0.09</v>
          </cell>
          <cell r="M85">
            <v>1.9131944444444444</v>
          </cell>
          <cell r="N85">
            <v>2011</v>
          </cell>
          <cell r="O85">
            <v>38</v>
          </cell>
          <cell r="P85">
            <v>27</v>
          </cell>
        </row>
        <row r="86">
          <cell r="B86" t="str">
            <v>Durham University</v>
          </cell>
          <cell r="C86" t="str">
            <v>United Kingdom</v>
          </cell>
          <cell r="D86">
            <v>85</v>
          </cell>
          <cell r="E86">
            <v>65.7</v>
          </cell>
          <cell r="F86">
            <v>44.1</v>
          </cell>
          <cell r="G86">
            <v>91</v>
          </cell>
          <cell r="H86">
            <v>33.9</v>
          </cell>
          <cell r="I86">
            <v>58.9</v>
          </cell>
          <cell r="J86">
            <v>15489</v>
          </cell>
          <cell r="K86">
            <v>15.7</v>
          </cell>
          <cell r="L86">
            <v>0.24</v>
          </cell>
          <cell r="M86">
            <v>2.2819444444444446</v>
          </cell>
          <cell r="N86">
            <v>2011</v>
          </cell>
          <cell r="O86">
            <v>264</v>
          </cell>
          <cell r="P86">
            <v>23</v>
          </cell>
        </row>
        <row r="87">
          <cell r="B87" t="str">
            <v>London School of Economics and Political Science</v>
          </cell>
          <cell r="C87" t="str">
            <v>United Kingdom</v>
          </cell>
          <cell r="D87">
            <v>86</v>
          </cell>
          <cell r="E87">
            <v>99.5</v>
          </cell>
          <cell r="F87">
            <v>56.2</v>
          </cell>
          <cell r="G87">
            <v>51.6</v>
          </cell>
          <cell r="H87">
            <v>38.4</v>
          </cell>
          <cell r="I87">
            <v>58.3</v>
          </cell>
          <cell r="N87">
            <v>2011</v>
          </cell>
          <cell r="O87" t="e">
            <v>#N/A</v>
          </cell>
          <cell r="P87" t="e">
            <v>#N/A</v>
          </cell>
        </row>
        <row r="88">
          <cell r="B88" t="str">
            <v>University of Manchester</v>
          </cell>
          <cell r="C88" t="str">
            <v>United Kingdom</v>
          </cell>
          <cell r="D88">
            <v>87</v>
          </cell>
          <cell r="E88">
            <v>79.099999999999994</v>
          </cell>
          <cell r="F88">
            <v>56.2</v>
          </cell>
          <cell r="G88">
            <v>59.2</v>
          </cell>
          <cell r="H88">
            <v>39</v>
          </cell>
          <cell r="I88">
            <v>58</v>
          </cell>
          <cell r="J88">
            <v>34938</v>
          </cell>
          <cell r="K88">
            <v>15.3</v>
          </cell>
          <cell r="L88">
            <v>0.34</v>
          </cell>
          <cell r="M88">
            <v>2.2000000000000002</v>
          </cell>
          <cell r="N88">
            <v>2011</v>
          </cell>
          <cell r="O88">
            <v>76</v>
          </cell>
          <cell r="P88">
            <v>5</v>
          </cell>
        </row>
        <row r="89">
          <cell r="B89" t="str">
            <v>Royal Holloway, University of London</v>
          </cell>
          <cell r="C89" t="str">
            <v>United Kingdom</v>
          </cell>
          <cell r="D89">
            <v>88</v>
          </cell>
          <cell r="E89">
            <v>92.9</v>
          </cell>
          <cell r="F89">
            <v>36.200000000000003</v>
          </cell>
          <cell r="G89">
            <v>93.2</v>
          </cell>
          <cell r="H89">
            <v>30.5</v>
          </cell>
          <cell r="I89">
            <v>57.9</v>
          </cell>
          <cell r="J89">
            <v>8747</v>
          </cell>
          <cell r="K89">
            <v>15.9</v>
          </cell>
          <cell r="L89">
            <v>0.37</v>
          </cell>
          <cell r="M89">
            <v>2.4048611111111109</v>
          </cell>
          <cell r="N89">
            <v>2011</v>
          </cell>
          <cell r="O89">
            <v>541</v>
          </cell>
          <cell r="P89">
            <v>42</v>
          </cell>
        </row>
        <row r="90">
          <cell r="B90" t="str">
            <v>Lund University</v>
          </cell>
          <cell r="C90" t="str">
            <v>Sweden</v>
          </cell>
          <cell r="D90">
            <v>89</v>
          </cell>
          <cell r="E90">
            <v>56.8</v>
          </cell>
          <cell r="F90">
            <v>60.8</v>
          </cell>
          <cell r="G90">
            <v>67.599999999999994</v>
          </cell>
          <cell r="H90">
            <v>33.200000000000003</v>
          </cell>
          <cell r="I90">
            <v>57.8</v>
          </cell>
          <cell r="J90">
            <v>28251</v>
          </cell>
          <cell r="K90">
            <v>11.5</v>
          </cell>
          <cell r="L90">
            <v>0.15</v>
          </cell>
          <cell r="N90">
            <v>2011</v>
          </cell>
          <cell r="O90">
            <v>116</v>
          </cell>
          <cell r="P90">
            <v>3</v>
          </cell>
        </row>
        <row r="91">
          <cell r="B91" t="str">
            <v>University of Southampton</v>
          </cell>
          <cell r="C91" t="str">
            <v>United Kingdom</v>
          </cell>
          <cell r="D91">
            <v>90</v>
          </cell>
          <cell r="E91">
            <v>69</v>
          </cell>
          <cell r="F91">
            <v>47.8</v>
          </cell>
          <cell r="G91">
            <v>72.900000000000006</v>
          </cell>
          <cell r="H91">
            <v>37.700000000000003</v>
          </cell>
          <cell r="I91">
            <v>57.7</v>
          </cell>
          <cell r="J91">
            <v>20925</v>
          </cell>
          <cell r="K91">
            <v>13.5</v>
          </cell>
          <cell r="L91">
            <v>0.28999999999999998</v>
          </cell>
          <cell r="M91">
            <v>2.2409722222222221</v>
          </cell>
          <cell r="N91">
            <v>2011</v>
          </cell>
          <cell r="O91">
            <v>146</v>
          </cell>
          <cell r="P91">
            <v>11</v>
          </cell>
        </row>
        <row r="92">
          <cell r="B92" t="str">
            <v>University of Zurich</v>
          </cell>
          <cell r="C92" t="str">
            <v>Switzerland</v>
          </cell>
          <cell r="D92">
            <v>90</v>
          </cell>
          <cell r="E92">
            <v>87.9</v>
          </cell>
          <cell r="F92">
            <v>47</v>
          </cell>
          <cell r="G92">
            <v>65</v>
          </cell>
          <cell r="H92">
            <v>43.8</v>
          </cell>
          <cell r="I92">
            <v>57.7</v>
          </cell>
          <cell r="J92">
            <v>26583</v>
          </cell>
          <cell r="K92">
            <v>6.5</v>
          </cell>
          <cell r="L92">
            <v>0.19</v>
          </cell>
          <cell r="M92">
            <v>2.4048611111111109</v>
          </cell>
          <cell r="N92">
            <v>2011</v>
          </cell>
          <cell r="O92">
            <v>88</v>
          </cell>
          <cell r="P92">
            <v>4</v>
          </cell>
        </row>
        <row r="93">
          <cell r="B93" t="str">
            <v>Wake Forest University</v>
          </cell>
          <cell r="C93" t="str">
            <v>United States of America</v>
          </cell>
          <cell r="D93">
            <v>90</v>
          </cell>
          <cell r="E93">
            <v>24.4</v>
          </cell>
          <cell r="F93">
            <v>42.9</v>
          </cell>
          <cell r="G93">
            <v>79.2</v>
          </cell>
          <cell r="H93" t="str">
            <v>-</v>
          </cell>
          <cell r="I93">
            <v>57.7</v>
          </cell>
          <cell r="J93">
            <v>7326</v>
          </cell>
          <cell r="K93">
            <v>4.5999999999999996</v>
          </cell>
          <cell r="L93">
            <v>0.05</v>
          </cell>
          <cell r="M93">
            <v>2.1590277777777778</v>
          </cell>
          <cell r="N93">
            <v>2011</v>
          </cell>
          <cell r="O93">
            <v>145</v>
          </cell>
          <cell r="P93">
            <v>68</v>
          </cell>
        </row>
        <row r="94">
          <cell r="B94" t="str">
            <v>McMaster University</v>
          </cell>
          <cell r="C94" t="str">
            <v>Canada</v>
          </cell>
          <cell r="D94">
            <v>93</v>
          </cell>
          <cell r="E94" t="str">
            <v>-</v>
          </cell>
          <cell r="F94">
            <v>58.7</v>
          </cell>
          <cell r="G94">
            <v>68.5</v>
          </cell>
          <cell r="H94" t="str">
            <v>-</v>
          </cell>
          <cell r="I94">
            <v>57.6</v>
          </cell>
          <cell r="J94">
            <v>23823</v>
          </cell>
          <cell r="K94">
            <v>19.3</v>
          </cell>
          <cell r="L94">
            <v>0.15</v>
          </cell>
          <cell r="M94">
            <v>2.2409722222222221</v>
          </cell>
          <cell r="N94">
            <v>2011</v>
          </cell>
          <cell r="O94">
            <v>141</v>
          </cell>
          <cell r="P94">
            <v>6</v>
          </cell>
        </row>
        <row r="95">
          <cell r="B95" t="str">
            <v>University College Dublin</v>
          </cell>
          <cell r="C95" t="str">
            <v>Republic of Ireland</v>
          </cell>
          <cell r="D95">
            <v>94</v>
          </cell>
          <cell r="E95">
            <v>87</v>
          </cell>
          <cell r="F95">
            <v>36.6</v>
          </cell>
          <cell r="G95">
            <v>86.3</v>
          </cell>
          <cell r="H95" t="str">
            <v>-</v>
          </cell>
          <cell r="I95">
            <v>57.5</v>
          </cell>
          <cell r="J95">
            <v>22193</v>
          </cell>
          <cell r="K95">
            <v>24.5</v>
          </cell>
          <cell r="L95">
            <v>0.23</v>
          </cell>
          <cell r="N95">
            <v>2011</v>
          </cell>
          <cell r="O95">
            <v>269</v>
          </cell>
          <cell r="P95">
            <v>2</v>
          </cell>
        </row>
        <row r="96">
          <cell r="B96" t="str">
            <v>George Washington University</v>
          </cell>
          <cell r="C96" t="str">
            <v>United States of America</v>
          </cell>
          <cell r="D96">
            <v>95</v>
          </cell>
          <cell r="E96">
            <v>39.6</v>
          </cell>
          <cell r="F96">
            <v>43.1</v>
          </cell>
          <cell r="G96">
            <v>70.2</v>
          </cell>
          <cell r="H96" t="str">
            <v>-</v>
          </cell>
          <cell r="I96">
            <v>57.3</v>
          </cell>
          <cell r="J96">
            <v>20541</v>
          </cell>
          <cell r="K96">
            <v>12</v>
          </cell>
          <cell r="L96">
            <v>0.16</v>
          </cell>
          <cell r="M96">
            <v>2.3638888888888889</v>
          </cell>
          <cell r="N96">
            <v>2011</v>
          </cell>
          <cell r="O96">
            <v>180</v>
          </cell>
          <cell r="P96">
            <v>79</v>
          </cell>
        </row>
        <row r="97">
          <cell r="B97" t="str">
            <v>University of Arizona</v>
          </cell>
          <cell r="C97" t="str">
            <v>United States of America</v>
          </cell>
          <cell r="D97">
            <v>95</v>
          </cell>
          <cell r="E97">
            <v>21.9</v>
          </cell>
          <cell r="F97">
            <v>52.2</v>
          </cell>
          <cell r="G97">
            <v>70.099999999999994</v>
          </cell>
          <cell r="H97">
            <v>84.2</v>
          </cell>
          <cell r="I97">
            <v>57.3</v>
          </cell>
          <cell r="J97">
            <v>36429</v>
          </cell>
          <cell r="K97">
            <v>12.7</v>
          </cell>
          <cell r="L97">
            <v>0.08</v>
          </cell>
          <cell r="M97">
            <v>2.2000000000000002</v>
          </cell>
          <cell r="N97">
            <v>2011</v>
          </cell>
          <cell r="O97">
            <v>50</v>
          </cell>
          <cell r="P97">
            <v>37</v>
          </cell>
        </row>
        <row r="98">
          <cell r="B98" t="str">
            <v>University of Basel</v>
          </cell>
          <cell r="C98" t="str">
            <v>Switzerland</v>
          </cell>
          <cell r="D98">
            <v>95</v>
          </cell>
          <cell r="E98">
            <v>91.3</v>
          </cell>
          <cell r="F98">
            <v>37.1</v>
          </cell>
          <cell r="G98">
            <v>78.3</v>
          </cell>
          <cell r="H98">
            <v>45.8</v>
          </cell>
          <cell r="I98">
            <v>57.3</v>
          </cell>
          <cell r="J98">
            <v>12551</v>
          </cell>
          <cell r="K98">
            <v>17.3</v>
          </cell>
          <cell r="L98">
            <v>0.24</v>
          </cell>
          <cell r="M98">
            <v>2.2819444444444446</v>
          </cell>
          <cell r="N98">
            <v>2011</v>
          </cell>
          <cell r="O98">
            <v>154</v>
          </cell>
          <cell r="P98">
            <v>5</v>
          </cell>
        </row>
        <row r="99">
          <cell r="B99" t="str">
            <v>University of Maryland, College Park</v>
          </cell>
          <cell r="C99" t="str">
            <v>United States of America</v>
          </cell>
          <cell r="D99">
            <v>98</v>
          </cell>
          <cell r="E99">
            <v>35.4</v>
          </cell>
          <cell r="F99">
            <v>48.6</v>
          </cell>
          <cell r="G99">
            <v>79.2</v>
          </cell>
          <cell r="H99" t="str">
            <v>-</v>
          </cell>
          <cell r="I99">
            <v>57.2</v>
          </cell>
          <cell r="J99">
            <v>31331</v>
          </cell>
          <cell r="K99">
            <v>8.4</v>
          </cell>
          <cell r="L99">
            <v>0.09</v>
          </cell>
          <cell r="M99">
            <v>2.036111111111111</v>
          </cell>
          <cell r="N99">
            <v>2011</v>
          </cell>
          <cell r="O99">
            <v>68</v>
          </cell>
          <cell r="P99">
            <v>47</v>
          </cell>
        </row>
        <row r="100">
          <cell r="B100" t="str">
            <v>Dartmouth College</v>
          </cell>
          <cell r="C100" t="str">
            <v>United States of America</v>
          </cell>
          <cell r="D100">
            <v>99</v>
          </cell>
          <cell r="E100">
            <v>31</v>
          </cell>
          <cell r="F100">
            <v>49.2</v>
          </cell>
          <cell r="G100">
            <v>79.7</v>
          </cell>
          <cell r="H100" t="str">
            <v>-</v>
          </cell>
          <cell r="I100">
            <v>57.1</v>
          </cell>
          <cell r="J100">
            <v>6178</v>
          </cell>
          <cell r="K100">
            <v>6.6</v>
          </cell>
          <cell r="L100">
            <v>0.16</v>
          </cell>
          <cell r="M100">
            <v>1.9951388888888888</v>
          </cell>
          <cell r="N100">
            <v>2011</v>
          </cell>
          <cell r="O100">
            <v>58</v>
          </cell>
          <cell r="P100">
            <v>42</v>
          </cell>
        </row>
        <row r="101">
          <cell r="B101" t="str">
            <v>Ã‰cole Normale SupÃ©rieure de Lyon</v>
          </cell>
          <cell r="C101" t="str">
            <v>France</v>
          </cell>
          <cell r="D101">
            <v>100</v>
          </cell>
          <cell r="E101">
            <v>37.6</v>
          </cell>
          <cell r="F101">
            <v>34.4</v>
          </cell>
          <cell r="G101">
            <v>88.8</v>
          </cell>
          <cell r="H101">
            <v>26.1</v>
          </cell>
          <cell r="I101">
            <v>57</v>
          </cell>
          <cell r="J101">
            <v>2218</v>
          </cell>
          <cell r="K101">
            <v>8</v>
          </cell>
          <cell r="L101">
            <v>0.14000000000000001</v>
          </cell>
          <cell r="M101">
            <v>2.0770833333333334</v>
          </cell>
          <cell r="N101">
            <v>2011</v>
          </cell>
          <cell r="O101">
            <v>462</v>
          </cell>
          <cell r="P101">
            <v>18</v>
          </cell>
        </row>
        <row r="102">
          <cell r="B102" t="str">
            <v>Technical University of Munich</v>
          </cell>
          <cell r="C102" t="str">
            <v>Germany</v>
          </cell>
          <cell r="D102">
            <v>101</v>
          </cell>
          <cell r="E102">
            <v>85.3</v>
          </cell>
          <cell r="F102">
            <v>43.2</v>
          </cell>
          <cell r="G102">
            <v>71.2</v>
          </cell>
          <cell r="H102" t="str">
            <v>-</v>
          </cell>
          <cell r="I102">
            <v>56.9</v>
          </cell>
          <cell r="J102">
            <v>35565</v>
          </cell>
          <cell r="K102">
            <v>31.5</v>
          </cell>
          <cell r="L102">
            <v>0.2</v>
          </cell>
          <cell r="M102" t="str">
            <v>33 : 67</v>
          </cell>
          <cell r="N102">
            <v>2011</v>
          </cell>
          <cell r="O102">
            <v>90</v>
          </cell>
          <cell r="P102">
            <v>3</v>
          </cell>
        </row>
        <row r="103">
          <cell r="B103" t="str">
            <v>University of Helsinki</v>
          </cell>
          <cell r="C103" t="str">
            <v>Finland</v>
          </cell>
          <cell r="D103">
            <v>102</v>
          </cell>
          <cell r="E103">
            <v>24.2</v>
          </cell>
          <cell r="F103">
            <v>51.4</v>
          </cell>
          <cell r="G103">
            <v>75.400000000000006</v>
          </cell>
          <cell r="H103">
            <v>30.2</v>
          </cell>
          <cell r="I103">
            <v>56.6</v>
          </cell>
          <cell r="J103">
            <v>23505</v>
          </cell>
          <cell r="K103">
            <v>15.1</v>
          </cell>
          <cell r="L103">
            <v>0.06</v>
          </cell>
          <cell r="M103">
            <v>2.7736111111111112</v>
          </cell>
          <cell r="N103">
            <v>2011</v>
          </cell>
          <cell r="O103">
            <v>89</v>
          </cell>
          <cell r="P103">
            <v>1</v>
          </cell>
        </row>
        <row r="104">
          <cell r="B104" t="str">
            <v>University of St Andrews</v>
          </cell>
          <cell r="C104" t="str">
            <v>United Kingdom</v>
          </cell>
          <cell r="D104">
            <v>103</v>
          </cell>
          <cell r="E104">
            <v>85.7</v>
          </cell>
          <cell r="F104">
            <v>47.7</v>
          </cell>
          <cell r="G104">
            <v>72.900000000000006</v>
          </cell>
          <cell r="H104">
            <v>32.6</v>
          </cell>
          <cell r="I104">
            <v>56.5</v>
          </cell>
          <cell r="J104">
            <v>8338</v>
          </cell>
          <cell r="K104">
            <v>12.7</v>
          </cell>
          <cell r="L104">
            <v>0.47</v>
          </cell>
          <cell r="M104">
            <v>2.3638888888888889</v>
          </cell>
          <cell r="N104">
            <v>2011</v>
          </cell>
          <cell r="O104">
            <v>323</v>
          </cell>
          <cell r="P104">
            <v>28</v>
          </cell>
        </row>
        <row r="105">
          <cell r="B105" t="str">
            <v>Rensselaer Polytechnic Institute</v>
          </cell>
          <cell r="C105" t="str">
            <v>United States of America</v>
          </cell>
          <cell r="D105">
            <v>104</v>
          </cell>
          <cell r="E105">
            <v>48</v>
          </cell>
          <cell r="F105">
            <v>54.6</v>
          </cell>
          <cell r="G105">
            <v>64.900000000000006</v>
          </cell>
          <cell r="H105" t="str">
            <v>-</v>
          </cell>
          <cell r="I105">
            <v>56.4</v>
          </cell>
          <cell r="J105">
            <v>6671</v>
          </cell>
          <cell r="K105">
            <v>15</v>
          </cell>
          <cell r="L105">
            <v>0.16</v>
          </cell>
          <cell r="M105" t="str">
            <v>30 : 70</v>
          </cell>
          <cell r="N105">
            <v>2011</v>
          </cell>
          <cell r="O105">
            <v>243</v>
          </cell>
          <cell r="P105">
            <v>100</v>
          </cell>
        </row>
        <row r="106">
          <cell r="B106" t="str">
            <v>Rutgers, the State University of New Jersey</v>
          </cell>
          <cell r="C106" t="str">
            <v>United States of America</v>
          </cell>
          <cell r="D106">
            <v>105</v>
          </cell>
          <cell r="E106">
            <v>26.8</v>
          </cell>
          <cell r="F106">
            <v>64.7</v>
          </cell>
          <cell r="G106">
            <v>55.7</v>
          </cell>
          <cell r="H106" t="str">
            <v>-</v>
          </cell>
          <cell r="I106">
            <v>56.3</v>
          </cell>
          <cell r="J106">
            <v>37032</v>
          </cell>
          <cell r="K106">
            <v>17.3</v>
          </cell>
          <cell r="L106">
            <v>0.08</v>
          </cell>
          <cell r="M106">
            <v>2.1590277777777778</v>
          </cell>
          <cell r="N106">
            <v>2011</v>
          </cell>
          <cell r="O106" t="e">
            <v>#N/A</v>
          </cell>
          <cell r="P106" t="e">
            <v>#N/A</v>
          </cell>
        </row>
        <row r="107">
          <cell r="B107" t="str">
            <v>Purdue University</v>
          </cell>
          <cell r="C107" t="str">
            <v>United States of America</v>
          </cell>
          <cell r="D107">
            <v>106</v>
          </cell>
          <cell r="E107">
            <v>62.6</v>
          </cell>
          <cell r="F107">
            <v>67.8</v>
          </cell>
          <cell r="G107">
            <v>43.9</v>
          </cell>
          <cell r="H107" t="str">
            <v>-</v>
          </cell>
          <cell r="I107">
            <v>56.2</v>
          </cell>
          <cell r="J107">
            <v>39256</v>
          </cell>
          <cell r="K107">
            <v>18.100000000000001</v>
          </cell>
          <cell r="L107">
            <v>0.22</v>
          </cell>
          <cell r="M107">
            <v>1.7902777777777779</v>
          </cell>
          <cell r="N107">
            <v>2011</v>
          </cell>
          <cell r="O107" t="e">
            <v>#N/A</v>
          </cell>
          <cell r="P107" t="e">
            <v>#N/A</v>
          </cell>
        </row>
        <row r="108">
          <cell r="B108" t="str">
            <v>National Tsing Hua University</v>
          </cell>
          <cell r="C108" t="str">
            <v>Taiwan</v>
          </cell>
          <cell r="D108">
            <v>107</v>
          </cell>
          <cell r="E108">
            <v>34.1</v>
          </cell>
          <cell r="F108">
            <v>52.6</v>
          </cell>
          <cell r="G108">
            <v>66.900000000000006</v>
          </cell>
          <cell r="H108">
            <v>50.2</v>
          </cell>
          <cell r="I108">
            <v>56.1</v>
          </cell>
          <cell r="J108">
            <v>10221</v>
          </cell>
          <cell r="K108">
            <v>13.5</v>
          </cell>
          <cell r="L108">
            <v>0.05</v>
          </cell>
          <cell r="M108" t="str">
            <v>33 : 67</v>
          </cell>
          <cell r="N108">
            <v>2011</v>
          </cell>
          <cell r="O108">
            <v>418</v>
          </cell>
          <cell r="P108">
            <v>4</v>
          </cell>
        </row>
        <row r="109">
          <cell r="B109" t="str">
            <v>University of Cape Town</v>
          </cell>
          <cell r="C109" t="str">
            <v>South Africa</v>
          </cell>
          <cell r="D109">
            <v>107</v>
          </cell>
          <cell r="E109">
            <v>83.3</v>
          </cell>
          <cell r="F109">
            <v>42.1</v>
          </cell>
          <cell r="G109">
            <v>82.8</v>
          </cell>
          <cell r="H109" t="str">
            <v>-</v>
          </cell>
          <cell r="I109">
            <v>56.1</v>
          </cell>
          <cell r="J109">
            <v>20040</v>
          </cell>
          <cell r="K109">
            <v>12.1</v>
          </cell>
          <cell r="L109">
            <v>0.18</v>
          </cell>
          <cell r="M109">
            <v>2.2409722222222221</v>
          </cell>
          <cell r="N109">
            <v>2011</v>
          </cell>
          <cell r="O109">
            <v>267</v>
          </cell>
          <cell r="P109">
            <v>2</v>
          </cell>
        </row>
        <row r="110">
          <cell r="B110" t="str">
            <v>Pennsylvania State University</v>
          </cell>
          <cell r="C110" t="str">
            <v>United States of America</v>
          </cell>
          <cell r="D110">
            <v>109</v>
          </cell>
          <cell r="E110">
            <v>19.899999999999999</v>
          </cell>
          <cell r="F110">
            <v>49.2</v>
          </cell>
          <cell r="G110">
            <v>77.599999999999994</v>
          </cell>
          <cell r="H110">
            <v>44</v>
          </cell>
          <cell r="I110">
            <v>56</v>
          </cell>
          <cell r="J110">
            <v>44501</v>
          </cell>
          <cell r="K110">
            <v>12.4</v>
          </cell>
          <cell r="L110">
            <v>0.12</v>
          </cell>
          <cell r="M110">
            <v>1.9541666666666666</v>
          </cell>
          <cell r="N110">
            <v>2011</v>
          </cell>
          <cell r="O110" t="e">
            <v>#N/A</v>
          </cell>
          <cell r="P110" t="e">
            <v>#N/A</v>
          </cell>
        </row>
        <row r="111">
          <cell r="B111" t="str">
            <v>Seoul National University</v>
          </cell>
          <cell r="C111" t="str">
            <v>South Korea</v>
          </cell>
          <cell r="D111">
            <v>109</v>
          </cell>
          <cell r="E111">
            <v>44.9</v>
          </cell>
          <cell r="F111">
            <v>54.1</v>
          </cell>
          <cell r="G111">
            <v>54.6</v>
          </cell>
          <cell r="H111">
            <v>43</v>
          </cell>
          <cell r="I111">
            <v>56</v>
          </cell>
          <cell r="J111">
            <v>26389</v>
          </cell>
          <cell r="K111">
            <v>13.9</v>
          </cell>
          <cell r="L111">
            <v>0.1</v>
          </cell>
          <cell r="N111">
            <v>2011</v>
          </cell>
          <cell r="O111">
            <v>75</v>
          </cell>
          <cell r="P111">
            <v>1</v>
          </cell>
        </row>
        <row r="112">
          <cell r="B112" t="str">
            <v>Hong Kong Baptist University</v>
          </cell>
          <cell r="C112" t="str">
            <v>Hong Kong</v>
          </cell>
          <cell r="D112">
            <v>111</v>
          </cell>
          <cell r="E112">
            <v>71.8</v>
          </cell>
          <cell r="F112">
            <v>32.5</v>
          </cell>
          <cell r="G112">
            <v>97.6</v>
          </cell>
          <cell r="H112">
            <v>26.7</v>
          </cell>
          <cell r="I112">
            <v>55.6</v>
          </cell>
          <cell r="J112">
            <v>10441</v>
          </cell>
          <cell r="K112">
            <v>11</v>
          </cell>
          <cell r="L112">
            <v>0.25</v>
          </cell>
          <cell r="M112">
            <v>2.5687500000000001</v>
          </cell>
          <cell r="N112">
            <v>2011</v>
          </cell>
          <cell r="O112">
            <v>678</v>
          </cell>
          <cell r="P112">
            <v>6</v>
          </cell>
        </row>
        <row r="113">
          <cell r="B113" t="str">
            <v>Bilkent University</v>
          </cell>
          <cell r="C113" t="str">
            <v>Turkey</v>
          </cell>
          <cell r="D113">
            <v>112</v>
          </cell>
          <cell r="E113">
            <v>47.7</v>
          </cell>
          <cell r="F113">
            <v>36.1</v>
          </cell>
          <cell r="G113">
            <v>95.7</v>
          </cell>
          <cell r="H113">
            <v>32.4</v>
          </cell>
          <cell r="I113">
            <v>55.4</v>
          </cell>
          <cell r="N113">
            <v>2011</v>
          </cell>
          <cell r="O113">
            <v>856</v>
          </cell>
          <cell r="P113">
            <v>7</v>
          </cell>
        </row>
        <row r="114">
          <cell r="B114" t="str">
            <v>Tokyo Institute of Technology</v>
          </cell>
          <cell r="C114" t="str">
            <v>Japan</v>
          </cell>
          <cell r="D114">
            <v>112</v>
          </cell>
          <cell r="E114">
            <v>24.8</v>
          </cell>
          <cell r="F114">
            <v>63.4</v>
          </cell>
          <cell r="G114">
            <v>45.5</v>
          </cell>
          <cell r="H114">
            <v>60.5</v>
          </cell>
          <cell r="I114">
            <v>55.4</v>
          </cell>
          <cell r="J114">
            <v>9586</v>
          </cell>
          <cell r="K114">
            <v>7.3</v>
          </cell>
          <cell r="L114">
            <v>0.13</v>
          </cell>
          <cell r="M114">
            <v>0.6020833333333333</v>
          </cell>
          <cell r="N114">
            <v>2011</v>
          </cell>
          <cell r="O114">
            <v>96</v>
          </cell>
          <cell r="P114">
            <v>8</v>
          </cell>
        </row>
        <row r="115">
          <cell r="B115" t="str">
            <v>Eindhoven University of Technology</v>
          </cell>
          <cell r="C115" t="str">
            <v>Netherlands</v>
          </cell>
          <cell r="D115">
            <v>114</v>
          </cell>
          <cell r="E115">
            <v>44.9</v>
          </cell>
          <cell r="F115">
            <v>51.7</v>
          </cell>
          <cell r="G115">
            <v>56.9</v>
          </cell>
          <cell r="H115">
            <v>99.8</v>
          </cell>
          <cell r="I115">
            <v>55.3</v>
          </cell>
          <cell r="J115">
            <v>8176</v>
          </cell>
          <cell r="K115">
            <v>16</v>
          </cell>
          <cell r="L115">
            <v>0.14000000000000001</v>
          </cell>
          <cell r="M115">
            <v>0.84791666666666665</v>
          </cell>
          <cell r="N115">
            <v>2011</v>
          </cell>
          <cell r="O115">
            <v>353</v>
          </cell>
          <cell r="P115">
            <v>11</v>
          </cell>
        </row>
        <row r="116">
          <cell r="B116" t="str">
            <v>National Taiwan University</v>
          </cell>
          <cell r="C116" t="str">
            <v>Taiwan</v>
          </cell>
          <cell r="D116">
            <v>115</v>
          </cell>
          <cell r="E116">
            <v>29.2</v>
          </cell>
          <cell r="F116">
            <v>59</v>
          </cell>
          <cell r="G116">
            <v>61.6</v>
          </cell>
          <cell r="H116">
            <v>35.700000000000003</v>
          </cell>
          <cell r="I116">
            <v>55.2</v>
          </cell>
          <cell r="J116">
            <v>31891</v>
          </cell>
          <cell r="K116">
            <v>11.9</v>
          </cell>
          <cell r="L116">
            <v>7.0000000000000007E-2</v>
          </cell>
          <cell r="M116" t="str">
            <v>39 : 61</v>
          </cell>
          <cell r="N116">
            <v>2011</v>
          </cell>
          <cell r="O116">
            <v>65</v>
          </cell>
          <cell r="P116">
            <v>1</v>
          </cell>
        </row>
        <row r="117">
          <cell r="B117" t="str">
            <v>University of Hawaiâ€™i at MÄnoa</v>
          </cell>
          <cell r="C117" t="str">
            <v>United States of America</v>
          </cell>
          <cell r="D117">
            <v>115</v>
          </cell>
          <cell r="E117">
            <v>34.200000000000003</v>
          </cell>
          <cell r="F117">
            <v>47.6</v>
          </cell>
          <cell r="G117">
            <v>81</v>
          </cell>
          <cell r="H117" t="str">
            <v>-</v>
          </cell>
          <cell r="I117">
            <v>55.2</v>
          </cell>
          <cell r="N117">
            <v>2011</v>
          </cell>
          <cell r="O117" t="e">
            <v>#N/A</v>
          </cell>
          <cell r="P117" t="e">
            <v>#N/A</v>
          </cell>
        </row>
        <row r="118">
          <cell r="B118" t="str">
            <v>University of California, Riverside</v>
          </cell>
          <cell r="C118" t="str">
            <v>United States of America</v>
          </cell>
          <cell r="D118">
            <v>117</v>
          </cell>
          <cell r="E118">
            <v>63</v>
          </cell>
          <cell r="F118">
            <v>47.4</v>
          </cell>
          <cell r="G118">
            <v>78.3</v>
          </cell>
          <cell r="H118">
            <v>30.5</v>
          </cell>
          <cell r="I118">
            <v>55.1</v>
          </cell>
          <cell r="J118">
            <v>20626</v>
          </cell>
          <cell r="K118">
            <v>22</v>
          </cell>
          <cell r="L118">
            <v>0.12</v>
          </cell>
          <cell r="M118">
            <v>2.1590277777777778</v>
          </cell>
          <cell r="N118">
            <v>2011</v>
          </cell>
          <cell r="O118">
            <v>222</v>
          </cell>
          <cell r="P118">
            <v>91</v>
          </cell>
        </row>
        <row r="119">
          <cell r="B119" t="str">
            <v>University of Geneva</v>
          </cell>
          <cell r="C119" t="str">
            <v>Switzerland</v>
          </cell>
          <cell r="D119">
            <v>118</v>
          </cell>
          <cell r="E119">
            <v>95.7</v>
          </cell>
          <cell r="F119">
            <v>49.7</v>
          </cell>
          <cell r="G119">
            <v>63.1</v>
          </cell>
          <cell r="H119">
            <v>32.700000000000003</v>
          </cell>
          <cell r="I119">
            <v>55</v>
          </cell>
          <cell r="J119">
            <v>15668</v>
          </cell>
          <cell r="K119">
            <v>15</v>
          </cell>
          <cell r="L119">
            <v>0.39</v>
          </cell>
          <cell r="M119">
            <v>2.5687500000000001</v>
          </cell>
          <cell r="N119">
            <v>2011</v>
          </cell>
          <cell r="O119">
            <v>65</v>
          </cell>
          <cell r="P119">
            <v>2</v>
          </cell>
        </row>
        <row r="120">
          <cell r="B120" t="str">
            <v>KU Leuven</v>
          </cell>
          <cell r="C120" t="str">
            <v>Belgium</v>
          </cell>
          <cell r="D120">
            <v>119</v>
          </cell>
          <cell r="E120">
            <v>29.6</v>
          </cell>
          <cell r="F120">
            <v>62.9</v>
          </cell>
          <cell r="G120">
            <v>45.2</v>
          </cell>
          <cell r="H120">
            <v>97.7</v>
          </cell>
          <cell r="I120">
            <v>54.8</v>
          </cell>
          <cell r="J120">
            <v>42503</v>
          </cell>
          <cell r="K120">
            <v>41.9</v>
          </cell>
          <cell r="L120">
            <v>0.18</v>
          </cell>
          <cell r="M120">
            <v>2.2819444444444446</v>
          </cell>
          <cell r="N120">
            <v>2011</v>
          </cell>
          <cell r="O120" t="e">
            <v>#N/A</v>
          </cell>
          <cell r="P120" t="e">
            <v>#N/A</v>
          </cell>
        </row>
        <row r="121">
          <cell r="B121" t="str">
            <v>Nanjing University</v>
          </cell>
          <cell r="C121" t="str">
            <v>China</v>
          </cell>
          <cell r="D121">
            <v>120</v>
          </cell>
          <cell r="E121">
            <v>50.2</v>
          </cell>
          <cell r="F121">
            <v>46.2</v>
          </cell>
          <cell r="G121">
            <v>66</v>
          </cell>
          <cell r="H121">
            <v>43.4</v>
          </cell>
          <cell r="I121">
            <v>54.6</v>
          </cell>
          <cell r="J121">
            <v>29743</v>
          </cell>
          <cell r="K121">
            <v>13.3</v>
          </cell>
          <cell r="L121">
            <v>0.1</v>
          </cell>
          <cell r="M121">
            <v>1.9541666666666666</v>
          </cell>
          <cell r="N121">
            <v>2011</v>
          </cell>
          <cell r="O121">
            <v>217</v>
          </cell>
          <cell r="P121">
            <v>6</v>
          </cell>
        </row>
        <row r="122">
          <cell r="B122" t="str">
            <v>Queen Mary University of London</v>
          </cell>
          <cell r="C122" t="str">
            <v>United Kingdom</v>
          </cell>
          <cell r="D122">
            <v>120</v>
          </cell>
          <cell r="E122">
            <v>91</v>
          </cell>
          <cell r="F122">
            <v>44.1</v>
          </cell>
          <cell r="G122">
            <v>73.5</v>
          </cell>
          <cell r="H122">
            <v>38.9</v>
          </cell>
          <cell r="I122">
            <v>54.6</v>
          </cell>
          <cell r="J122">
            <v>14260</v>
          </cell>
          <cell r="K122">
            <v>14</v>
          </cell>
          <cell r="L122">
            <v>0.4</v>
          </cell>
          <cell r="M122">
            <v>2.2000000000000002</v>
          </cell>
          <cell r="N122">
            <v>2011</v>
          </cell>
          <cell r="O122">
            <v>214</v>
          </cell>
          <cell r="P122">
            <v>18</v>
          </cell>
        </row>
        <row r="123">
          <cell r="B123" t="str">
            <v>Michigan State University</v>
          </cell>
          <cell r="C123" t="str">
            <v>United States of America</v>
          </cell>
          <cell r="D123">
            <v>122</v>
          </cell>
          <cell r="E123">
            <v>30.4</v>
          </cell>
          <cell r="F123">
            <v>52.7</v>
          </cell>
          <cell r="G123">
            <v>63.7</v>
          </cell>
          <cell r="H123" t="str">
            <v>-</v>
          </cell>
          <cell r="I123">
            <v>54.5</v>
          </cell>
          <cell r="J123">
            <v>44750</v>
          </cell>
          <cell r="K123">
            <v>15.7</v>
          </cell>
          <cell r="L123">
            <v>0.15</v>
          </cell>
          <cell r="M123">
            <v>2.1590277777777778</v>
          </cell>
          <cell r="N123">
            <v>2011</v>
          </cell>
          <cell r="O123">
            <v>112</v>
          </cell>
          <cell r="P123">
            <v>59</v>
          </cell>
        </row>
        <row r="124">
          <cell r="B124" t="str">
            <v>Technical University of Denmark</v>
          </cell>
          <cell r="C124" t="str">
            <v>Denmark</v>
          </cell>
          <cell r="D124">
            <v>122</v>
          </cell>
          <cell r="E124">
            <v>64</v>
          </cell>
          <cell r="F124">
            <v>46.9</v>
          </cell>
          <cell r="G124">
            <v>64.599999999999994</v>
          </cell>
          <cell r="H124">
            <v>95.5</v>
          </cell>
          <cell r="I124">
            <v>54.5</v>
          </cell>
          <cell r="J124">
            <v>9990</v>
          </cell>
          <cell r="K124">
            <v>5</v>
          </cell>
          <cell r="L124">
            <v>0.18</v>
          </cell>
          <cell r="M124" t="str">
            <v>27 : 73</v>
          </cell>
          <cell r="N124">
            <v>2011</v>
          </cell>
          <cell r="O124">
            <v>197</v>
          </cell>
          <cell r="P124">
            <v>3</v>
          </cell>
        </row>
        <row r="125">
          <cell r="B125" t="str">
            <v>Ghent University</v>
          </cell>
          <cell r="C125" t="str">
            <v>Belgium</v>
          </cell>
          <cell r="D125">
            <v>124</v>
          </cell>
          <cell r="E125">
            <v>24.7</v>
          </cell>
          <cell r="F125">
            <v>59.1</v>
          </cell>
          <cell r="G125">
            <v>52.8</v>
          </cell>
          <cell r="H125">
            <v>97.1</v>
          </cell>
          <cell r="I125">
            <v>54.4</v>
          </cell>
          <cell r="J125">
            <v>32166</v>
          </cell>
          <cell r="K125">
            <v>34.1</v>
          </cell>
          <cell r="L125">
            <v>0.09</v>
          </cell>
          <cell r="M125">
            <v>2.4048611111111109</v>
          </cell>
          <cell r="N125">
            <v>2011</v>
          </cell>
          <cell r="O125">
            <v>136</v>
          </cell>
          <cell r="P125">
            <v>2</v>
          </cell>
        </row>
        <row r="126">
          <cell r="B126" t="str">
            <v>Lancaster University</v>
          </cell>
          <cell r="C126" t="str">
            <v>United Kingdom</v>
          </cell>
          <cell r="D126">
            <v>124</v>
          </cell>
          <cell r="E126">
            <v>73.8</v>
          </cell>
          <cell r="F126">
            <v>41.9</v>
          </cell>
          <cell r="G126">
            <v>74.900000000000006</v>
          </cell>
          <cell r="H126">
            <v>28.8</v>
          </cell>
          <cell r="I126">
            <v>54.4</v>
          </cell>
          <cell r="J126">
            <v>11512</v>
          </cell>
          <cell r="K126">
            <v>14.9</v>
          </cell>
          <cell r="L126">
            <v>0.33</v>
          </cell>
          <cell r="M126">
            <v>2.2000000000000002</v>
          </cell>
          <cell r="N126">
            <v>2011</v>
          </cell>
          <cell r="O126">
            <v>449</v>
          </cell>
          <cell r="P126">
            <v>38</v>
          </cell>
        </row>
        <row r="127">
          <cell r="B127" t="str">
            <v>Leiden University</v>
          </cell>
          <cell r="C127" t="str">
            <v>Netherlands</v>
          </cell>
          <cell r="D127">
            <v>124</v>
          </cell>
          <cell r="E127">
            <v>40</v>
          </cell>
          <cell r="F127">
            <v>54.9</v>
          </cell>
          <cell r="G127">
            <v>59.3</v>
          </cell>
          <cell r="H127">
            <v>100</v>
          </cell>
          <cell r="I127">
            <v>54.4</v>
          </cell>
          <cell r="J127">
            <v>21222</v>
          </cell>
          <cell r="K127">
            <v>17.100000000000001</v>
          </cell>
          <cell r="L127">
            <v>0.1</v>
          </cell>
          <cell r="M127">
            <v>2.4868055555555557</v>
          </cell>
          <cell r="N127">
            <v>2011</v>
          </cell>
          <cell r="O127">
            <v>85</v>
          </cell>
          <cell r="P127">
            <v>1</v>
          </cell>
        </row>
        <row r="128">
          <cell r="B128" t="str">
            <v>University of Alberta</v>
          </cell>
          <cell r="C128" t="str">
            <v>Canada</v>
          </cell>
          <cell r="D128">
            <v>127</v>
          </cell>
          <cell r="E128">
            <v>71.599999999999994</v>
          </cell>
          <cell r="F128">
            <v>58</v>
          </cell>
          <cell r="G128">
            <v>49.7</v>
          </cell>
          <cell r="H128">
            <v>44.5</v>
          </cell>
          <cell r="I128">
            <v>54.3</v>
          </cell>
          <cell r="J128">
            <v>36299</v>
          </cell>
          <cell r="K128">
            <v>21.6</v>
          </cell>
          <cell r="L128">
            <v>0.23</v>
          </cell>
          <cell r="M128">
            <v>2.3229166666666665</v>
          </cell>
          <cell r="N128">
            <v>2011</v>
          </cell>
          <cell r="O128">
            <v>97</v>
          </cell>
          <cell r="P128">
            <v>4</v>
          </cell>
        </row>
        <row r="129">
          <cell r="B129" t="str">
            <v>University of Glasgow</v>
          </cell>
          <cell r="C129" t="str">
            <v>United Kingdom</v>
          </cell>
          <cell r="D129">
            <v>128</v>
          </cell>
          <cell r="E129">
            <v>55.1</v>
          </cell>
          <cell r="F129">
            <v>50.3</v>
          </cell>
          <cell r="G129">
            <v>65.099999999999994</v>
          </cell>
          <cell r="H129">
            <v>61</v>
          </cell>
          <cell r="I129">
            <v>54.2</v>
          </cell>
          <cell r="J129">
            <v>22616</v>
          </cell>
          <cell r="K129">
            <v>16</v>
          </cell>
          <cell r="L129">
            <v>0.28999999999999998</v>
          </cell>
          <cell r="M129">
            <v>2.4048611111111109</v>
          </cell>
          <cell r="N129">
            <v>2011</v>
          </cell>
          <cell r="O129">
            <v>137</v>
          </cell>
          <cell r="P129">
            <v>9</v>
          </cell>
        </row>
        <row r="130">
          <cell r="B130" t="str">
            <v>Stockholm University</v>
          </cell>
          <cell r="C130" t="str">
            <v>Sweden</v>
          </cell>
          <cell r="D130">
            <v>129</v>
          </cell>
          <cell r="E130" t="str">
            <v>-</v>
          </cell>
          <cell r="F130">
            <v>49.2</v>
          </cell>
          <cell r="G130">
            <v>75.900000000000006</v>
          </cell>
          <cell r="H130">
            <v>31.7</v>
          </cell>
          <cell r="I130">
            <v>54</v>
          </cell>
          <cell r="J130">
            <v>31715</v>
          </cell>
          <cell r="K130">
            <v>23.7</v>
          </cell>
          <cell r="L130">
            <v>0.08</v>
          </cell>
          <cell r="M130">
            <v>2.6097222222222221</v>
          </cell>
          <cell r="N130">
            <v>2011</v>
          </cell>
          <cell r="O130">
            <v>187</v>
          </cell>
          <cell r="P130">
            <v>6</v>
          </cell>
        </row>
        <row r="131">
          <cell r="B131" t="str">
            <v>Osaka University</v>
          </cell>
          <cell r="C131" t="str">
            <v>Japan</v>
          </cell>
          <cell r="D131">
            <v>130</v>
          </cell>
          <cell r="E131">
            <v>20.100000000000001</v>
          </cell>
          <cell r="F131">
            <v>63.4</v>
          </cell>
          <cell r="G131">
            <v>40</v>
          </cell>
          <cell r="H131">
            <v>73.400000000000006</v>
          </cell>
          <cell r="I131">
            <v>53.4</v>
          </cell>
          <cell r="J131">
            <v>23144</v>
          </cell>
          <cell r="K131">
            <v>7.8</v>
          </cell>
          <cell r="L131">
            <v>0.09</v>
          </cell>
          <cell r="M131" t="str">
            <v>31 : 69</v>
          </cell>
          <cell r="N131">
            <v>2011</v>
          </cell>
          <cell r="O131">
            <v>32</v>
          </cell>
          <cell r="P131">
            <v>3</v>
          </cell>
        </row>
        <row r="132">
          <cell r="B132" t="str">
            <v>University of Victoria</v>
          </cell>
          <cell r="C132" t="str">
            <v>Canada</v>
          </cell>
          <cell r="D132">
            <v>130</v>
          </cell>
          <cell r="E132" t="str">
            <v>-</v>
          </cell>
          <cell r="F132">
            <v>48.3</v>
          </cell>
          <cell r="G132">
            <v>79.099999999999994</v>
          </cell>
          <cell r="H132">
            <v>27.4</v>
          </cell>
          <cell r="I132">
            <v>53.4</v>
          </cell>
          <cell r="J132">
            <v>17581</v>
          </cell>
          <cell r="K132">
            <v>21.5</v>
          </cell>
          <cell r="L132">
            <v>0.11</v>
          </cell>
          <cell r="M132">
            <v>2.3638888888888889</v>
          </cell>
          <cell r="N132">
            <v>2011</v>
          </cell>
          <cell r="O132">
            <v>377</v>
          </cell>
          <cell r="P132">
            <v>16</v>
          </cell>
        </row>
        <row r="133">
          <cell r="B133" t="str">
            <v>Tohoku University</v>
          </cell>
          <cell r="C133" t="str">
            <v>Japan</v>
          </cell>
          <cell r="D133">
            <v>132</v>
          </cell>
          <cell r="E133">
            <v>20.100000000000001</v>
          </cell>
          <cell r="F133">
            <v>62.5</v>
          </cell>
          <cell r="G133">
            <v>41.2</v>
          </cell>
          <cell r="H133">
            <v>82.3</v>
          </cell>
          <cell r="I133">
            <v>53.3</v>
          </cell>
          <cell r="J133">
            <v>17200</v>
          </cell>
          <cell r="K133">
            <v>5</v>
          </cell>
          <cell r="L133">
            <v>7.0000000000000007E-2</v>
          </cell>
          <cell r="M133" t="str">
            <v>25 : 75</v>
          </cell>
          <cell r="N133">
            <v>2011</v>
          </cell>
          <cell r="O133">
            <v>79</v>
          </cell>
          <cell r="P133">
            <v>5</v>
          </cell>
        </row>
        <row r="134">
          <cell r="B134" t="str">
            <v>University of Freiburg</v>
          </cell>
          <cell r="C134" t="str">
            <v>Germany</v>
          </cell>
          <cell r="D134">
            <v>132</v>
          </cell>
          <cell r="E134">
            <v>46.2</v>
          </cell>
          <cell r="F134">
            <v>41.4</v>
          </cell>
          <cell r="G134">
            <v>64.3</v>
          </cell>
          <cell r="H134">
            <v>79.8</v>
          </cell>
          <cell r="I134">
            <v>53.3</v>
          </cell>
          <cell r="J134">
            <v>26467</v>
          </cell>
          <cell r="K134">
            <v>31.2</v>
          </cell>
          <cell r="L134">
            <v>0.16</v>
          </cell>
          <cell r="M134">
            <v>2.2000000000000002</v>
          </cell>
          <cell r="N134">
            <v>2011</v>
          </cell>
          <cell r="O134" t="e">
            <v>#N/A</v>
          </cell>
          <cell r="P134" t="e">
            <v>#N/A</v>
          </cell>
        </row>
        <row r="135">
          <cell r="B135" t="str">
            <v>University of Iowa</v>
          </cell>
          <cell r="C135" t="str">
            <v>United States of America</v>
          </cell>
          <cell r="D135">
            <v>132</v>
          </cell>
          <cell r="E135">
            <v>31.7</v>
          </cell>
          <cell r="F135">
            <v>59.8</v>
          </cell>
          <cell r="G135">
            <v>54.8</v>
          </cell>
          <cell r="H135" t="str">
            <v>-</v>
          </cell>
          <cell r="I135">
            <v>53.3</v>
          </cell>
          <cell r="J135">
            <v>27526</v>
          </cell>
          <cell r="K135">
            <v>11.6</v>
          </cell>
          <cell r="L135">
            <v>0.11</v>
          </cell>
          <cell r="M135">
            <v>2.2000000000000002</v>
          </cell>
          <cell r="N135">
            <v>2011</v>
          </cell>
          <cell r="O135">
            <v>125</v>
          </cell>
          <cell r="P135">
            <v>63</v>
          </cell>
        </row>
        <row r="136">
          <cell r="B136" t="str">
            <v>University of Bergen</v>
          </cell>
          <cell r="C136" t="str">
            <v>Norway</v>
          </cell>
          <cell r="D136">
            <v>135</v>
          </cell>
          <cell r="E136">
            <v>66.599999999999994</v>
          </cell>
          <cell r="F136">
            <v>42.1</v>
          </cell>
          <cell r="G136">
            <v>73.099999999999994</v>
          </cell>
          <cell r="H136">
            <v>41.5</v>
          </cell>
          <cell r="I136">
            <v>52.7</v>
          </cell>
          <cell r="J136">
            <v>11623</v>
          </cell>
          <cell r="K136">
            <v>11.1</v>
          </cell>
          <cell r="L136">
            <v>0.12</v>
          </cell>
          <cell r="M136">
            <v>2.5277777777777777</v>
          </cell>
          <cell r="N136">
            <v>2011</v>
          </cell>
          <cell r="O136">
            <v>305</v>
          </cell>
          <cell r="P136">
            <v>3</v>
          </cell>
        </row>
        <row r="137">
          <cell r="B137" t="str">
            <v>University of Lausanne</v>
          </cell>
          <cell r="C137" t="str">
            <v>Switzerland</v>
          </cell>
          <cell r="D137">
            <v>136</v>
          </cell>
          <cell r="E137">
            <v>84.1</v>
          </cell>
          <cell r="F137">
            <v>50.5</v>
          </cell>
          <cell r="G137">
            <v>59.1</v>
          </cell>
          <cell r="H137">
            <v>42.5</v>
          </cell>
          <cell r="I137">
            <v>52.6</v>
          </cell>
          <cell r="J137">
            <v>11964</v>
          </cell>
          <cell r="K137">
            <v>13.1</v>
          </cell>
          <cell r="L137">
            <v>0.22</v>
          </cell>
          <cell r="N137">
            <v>2011</v>
          </cell>
          <cell r="O137">
            <v>194</v>
          </cell>
          <cell r="P137">
            <v>6</v>
          </cell>
        </row>
        <row r="138">
          <cell r="B138" t="str">
            <v>University of Sheffield</v>
          </cell>
          <cell r="C138" t="str">
            <v>United Kingdom</v>
          </cell>
          <cell r="D138">
            <v>137</v>
          </cell>
          <cell r="E138">
            <v>62.7</v>
          </cell>
          <cell r="F138">
            <v>49.2</v>
          </cell>
          <cell r="G138">
            <v>58.4</v>
          </cell>
          <cell r="H138">
            <v>40.299999999999997</v>
          </cell>
          <cell r="I138">
            <v>52.5</v>
          </cell>
          <cell r="J138">
            <v>23311</v>
          </cell>
          <cell r="K138">
            <v>15.5</v>
          </cell>
          <cell r="L138">
            <v>0.31</v>
          </cell>
          <cell r="M138">
            <v>2.1180555555555554</v>
          </cell>
          <cell r="N138">
            <v>2011</v>
          </cell>
          <cell r="O138">
            <v>178</v>
          </cell>
          <cell r="P138">
            <v>14</v>
          </cell>
        </row>
        <row r="139">
          <cell r="B139" t="str">
            <v>University of Montreal</v>
          </cell>
          <cell r="C139" t="str">
            <v>Canada</v>
          </cell>
          <cell r="D139">
            <v>138</v>
          </cell>
          <cell r="E139" t="str">
            <v>-</v>
          </cell>
          <cell r="F139">
            <v>49.4</v>
          </cell>
          <cell r="G139">
            <v>51.9</v>
          </cell>
          <cell r="H139" t="str">
            <v>-</v>
          </cell>
          <cell r="I139">
            <v>52.4</v>
          </cell>
          <cell r="J139">
            <v>38264</v>
          </cell>
          <cell r="K139">
            <v>20.3</v>
          </cell>
          <cell r="L139">
            <v>0.25</v>
          </cell>
          <cell r="M139">
            <v>2.4048611111111109</v>
          </cell>
          <cell r="N139">
            <v>2011</v>
          </cell>
          <cell r="O139">
            <v>134</v>
          </cell>
          <cell r="P139">
            <v>5</v>
          </cell>
        </row>
        <row r="140">
          <cell r="B140" t="str">
            <v>VU University Amsterdam</v>
          </cell>
          <cell r="C140" t="str">
            <v>Netherlands</v>
          </cell>
          <cell r="D140">
            <v>139</v>
          </cell>
          <cell r="E140">
            <v>30.6</v>
          </cell>
          <cell r="F140">
            <v>51.6</v>
          </cell>
          <cell r="G140">
            <v>58.5</v>
          </cell>
          <cell r="H140">
            <v>81.400000000000006</v>
          </cell>
          <cell r="I140">
            <v>52.3</v>
          </cell>
          <cell r="J140">
            <v>23280</v>
          </cell>
          <cell r="K140">
            <v>16.3</v>
          </cell>
          <cell r="L140">
            <v>0.06</v>
          </cell>
          <cell r="M140">
            <v>2.3638888888888889</v>
          </cell>
          <cell r="N140">
            <v>2011</v>
          </cell>
          <cell r="O140">
            <v>144</v>
          </cell>
          <cell r="P140">
            <v>7</v>
          </cell>
        </row>
        <row r="141">
          <cell r="B141" t="str">
            <v>Pierre and Marie Curie University</v>
          </cell>
          <cell r="C141" t="str">
            <v>France</v>
          </cell>
          <cell r="D141">
            <v>140</v>
          </cell>
          <cell r="E141">
            <v>30.7</v>
          </cell>
          <cell r="F141">
            <v>37.200000000000003</v>
          </cell>
          <cell r="G141">
            <v>71.5</v>
          </cell>
          <cell r="H141">
            <v>26.4</v>
          </cell>
          <cell r="I141">
            <v>52.2</v>
          </cell>
          <cell r="J141">
            <v>27862</v>
          </cell>
          <cell r="K141">
            <v>8.6999999999999993</v>
          </cell>
          <cell r="L141">
            <v>0.18</v>
          </cell>
          <cell r="M141">
            <v>2.036111111111111</v>
          </cell>
          <cell r="N141">
            <v>2011</v>
          </cell>
          <cell r="O141" t="e">
            <v>#N/A</v>
          </cell>
          <cell r="P141" t="e">
            <v>#N/A</v>
          </cell>
        </row>
        <row r="142">
          <cell r="B142" t="str">
            <v>University of Dundee</v>
          </cell>
          <cell r="C142" t="str">
            <v>United Kingdom</v>
          </cell>
          <cell r="D142">
            <v>140</v>
          </cell>
          <cell r="E142">
            <v>54.4</v>
          </cell>
          <cell r="F142">
            <v>41</v>
          </cell>
          <cell r="G142">
            <v>79.3</v>
          </cell>
          <cell r="H142">
            <v>49.3</v>
          </cell>
          <cell r="I142">
            <v>52.2</v>
          </cell>
          <cell r="J142">
            <v>11628</v>
          </cell>
          <cell r="K142">
            <v>15.3</v>
          </cell>
          <cell r="L142">
            <v>0.25</v>
          </cell>
          <cell r="M142">
            <v>2.5277777777777777</v>
          </cell>
          <cell r="N142">
            <v>2011</v>
          </cell>
          <cell r="O142">
            <v>252</v>
          </cell>
          <cell r="P142">
            <v>20</v>
          </cell>
        </row>
        <row r="143">
          <cell r="B143" t="str">
            <v>University of Barcelona</v>
          </cell>
          <cell r="C143" t="str">
            <v>Spain</v>
          </cell>
          <cell r="D143">
            <v>142</v>
          </cell>
          <cell r="E143">
            <v>22.3</v>
          </cell>
          <cell r="F143">
            <v>33.700000000000003</v>
          </cell>
          <cell r="G143">
            <v>91.9</v>
          </cell>
          <cell r="H143">
            <v>30</v>
          </cell>
          <cell r="I143">
            <v>52.1</v>
          </cell>
          <cell r="J143">
            <v>47491</v>
          </cell>
          <cell r="K143">
            <v>12.2</v>
          </cell>
          <cell r="L143">
            <v>0.1</v>
          </cell>
          <cell r="M143">
            <v>2.6097222222222221</v>
          </cell>
          <cell r="N143">
            <v>2011</v>
          </cell>
          <cell r="O143">
            <v>120</v>
          </cell>
          <cell r="P143">
            <v>1</v>
          </cell>
        </row>
        <row r="144">
          <cell r="B144" t="str">
            <v>Utrecht University</v>
          </cell>
          <cell r="C144" t="str">
            <v>Netherlands</v>
          </cell>
          <cell r="D144">
            <v>143</v>
          </cell>
          <cell r="E144">
            <v>52.6</v>
          </cell>
          <cell r="F144">
            <v>53</v>
          </cell>
          <cell r="G144">
            <v>58.8</v>
          </cell>
          <cell r="H144">
            <v>55.3</v>
          </cell>
          <cell r="I144">
            <v>52</v>
          </cell>
          <cell r="J144">
            <v>30779</v>
          </cell>
          <cell r="K144">
            <v>15.4</v>
          </cell>
          <cell r="L144">
            <v>7.0000000000000007E-2</v>
          </cell>
          <cell r="M144">
            <v>2.4868055555555557</v>
          </cell>
          <cell r="N144">
            <v>2011</v>
          </cell>
          <cell r="O144">
            <v>99</v>
          </cell>
          <cell r="P144">
            <v>2</v>
          </cell>
        </row>
        <row r="145">
          <cell r="B145" t="str">
            <v>Wageningen University and Research Center</v>
          </cell>
          <cell r="C145" t="str">
            <v>Netherlands</v>
          </cell>
          <cell r="D145">
            <v>144</v>
          </cell>
          <cell r="E145">
            <v>24.3</v>
          </cell>
          <cell r="F145">
            <v>48.8</v>
          </cell>
          <cell r="G145">
            <v>53</v>
          </cell>
          <cell r="H145" t="str">
            <v>-</v>
          </cell>
          <cell r="I145">
            <v>51.9</v>
          </cell>
          <cell r="J145">
            <v>9248</v>
          </cell>
          <cell r="K145">
            <v>17</v>
          </cell>
          <cell r="L145">
            <v>0.21</v>
          </cell>
          <cell r="M145">
            <v>2.3638888888888889</v>
          </cell>
          <cell r="N145">
            <v>2011</v>
          </cell>
          <cell r="O145" t="e">
            <v>#N/A</v>
          </cell>
          <cell r="P145" t="e">
            <v>#N/A</v>
          </cell>
        </row>
        <row r="146">
          <cell r="B146" t="str">
            <v>University of Auckland</v>
          </cell>
          <cell r="C146" t="str">
            <v>New Zealand</v>
          </cell>
          <cell r="D146">
            <v>145</v>
          </cell>
          <cell r="E146">
            <v>94.3</v>
          </cell>
          <cell r="F146">
            <v>39.200000000000003</v>
          </cell>
          <cell r="G146">
            <v>71.8</v>
          </cell>
          <cell r="H146">
            <v>61.1</v>
          </cell>
          <cell r="I146">
            <v>51.8</v>
          </cell>
          <cell r="J146">
            <v>29787</v>
          </cell>
          <cell r="K146">
            <v>18.899999999999999</v>
          </cell>
          <cell r="L146">
            <v>0.28000000000000003</v>
          </cell>
          <cell r="M146">
            <v>2.2819444444444446</v>
          </cell>
          <cell r="N146">
            <v>2011</v>
          </cell>
          <cell r="O146">
            <v>273</v>
          </cell>
          <cell r="P146">
            <v>1</v>
          </cell>
        </row>
        <row r="147">
          <cell r="B147" t="str">
            <v>University of Birmingham</v>
          </cell>
          <cell r="C147" t="str">
            <v>United Kingdom</v>
          </cell>
          <cell r="D147">
            <v>145</v>
          </cell>
          <cell r="E147">
            <v>73.8</v>
          </cell>
          <cell r="F147">
            <v>50.7</v>
          </cell>
          <cell r="G147">
            <v>52.1</v>
          </cell>
          <cell r="H147">
            <v>34.799999999999997</v>
          </cell>
          <cell r="I147">
            <v>51.8</v>
          </cell>
          <cell r="J147">
            <v>25295</v>
          </cell>
          <cell r="K147">
            <v>16.399999999999999</v>
          </cell>
          <cell r="L147">
            <v>0.23</v>
          </cell>
          <cell r="M147">
            <v>2.2819444444444446</v>
          </cell>
          <cell r="N147">
            <v>2011</v>
          </cell>
          <cell r="O147">
            <v>142</v>
          </cell>
          <cell r="P147">
            <v>10</v>
          </cell>
        </row>
        <row r="148">
          <cell r="B148" t="str">
            <v>Alexandria University</v>
          </cell>
          <cell r="C148" t="str">
            <v>Egypt</v>
          </cell>
          <cell r="D148">
            <v>147</v>
          </cell>
          <cell r="E148">
            <v>19.3</v>
          </cell>
          <cell r="F148">
            <v>28</v>
          </cell>
          <cell r="G148">
            <v>99.8</v>
          </cell>
          <cell r="H148">
            <v>36</v>
          </cell>
          <cell r="I148">
            <v>51.6</v>
          </cell>
          <cell r="J148">
            <v>127431</v>
          </cell>
          <cell r="K148">
            <v>23.3</v>
          </cell>
          <cell r="L148">
            <v>0.01</v>
          </cell>
          <cell r="M148">
            <v>1.9541666666666666</v>
          </cell>
          <cell r="N148">
            <v>2011</v>
          </cell>
          <cell r="O148">
            <v>951</v>
          </cell>
          <cell r="P148">
            <v>2</v>
          </cell>
        </row>
        <row r="149">
          <cell r="B149" t="str">
            <v>Uppsala University</v>
          </cell>
          <cell r="C149" t="str">
            <v>Sweden</v>
          </cell>
          <cell r="D149">
            <v>147</v>
          </cell>
          <cell r="E149">
            <v>77.900000000000006</v>
          </cell>
          <cell r="F149">
            <v>62.2</v>
          </cell>
          <cell r="G149">
            <v>40.700000000000003</v>
          </cell>
          <cell r="H149">
            <v>39.5</v>
          </cell>
          <cell r="I149">
            <v>51.6</v>
          </cell>
          <cell r="J149">
            <v>25266</v>
          </cell>
          <cell r="K149">
            <v>18.2</v>
          </cell>
          <cell r="L149">
            <v>0.12</v>
          </cell>
          <cell r="M149">
            <v>2.4048611111111109</v>
          </cell>
          <cell r="N149">
            <v>2011</v>
          </cell>
          <cell r="O149">
            <v>124</v>
          </cell>
          <cell r="P149">
            <v>4</v>
          </cell>
        </row>
        <row r="150">
          <cell r="B150" t="str">
            <v>Hong Kong Polytechnic University</v>
          </cell>
          <cell r="C150" t="str">
            <v>Hong Kong</v>
          </cell>
          <cell r="D150">
            <v>149</v>
          </cell>
          <cell r="E150">
            <v>82.9</v>
          </cell>
          <cell r="F150">
            <v>45.7</v>
          </cell>
          <cell r="G150">
            <v>62.4</v>
          </cell>
          <cell r="H150">
            <v>57.2</v>
          </cell>
          <cell r="I150">
            <v>51.4</v>
          </cell>
          <cell r="J150">
            <v>22064</v>
          </cell>
          <cell r="K150">
            <v>25.9</v>
          </cell>
          <cell r="L150">
            <v>0.26</v>
          </cell>
          <cell r="M150">
            <v>2.1590277777777778</v>
          </cell>
          <cell r="N150">
            <v>2011</v>
          </cell>
          <cell r="O150">
            <v>381</v>
          </cell>
          <cell r="P150">
            <v>5</v>
          </cell>
        </row>
        <row r="151">
          <cell r="B151" t="str">
            <v>University of Aberdeen</v>
          </cell>
          <cell r="C151" t="str">
            <v>United Kingdom</v>
          </cell>
          <cell r="D151">
            <v>149</v>
          </cell>
          <cell r="E151">
            <v>86.1</v>
          </cell>
          <cell r="F151">
            <v>45.2</v>
          </cell>
          <cell r="G151">
            <v>64.599999999999994</v>
          </cell>
          <cell r="H151">
            <v>47</v>
          </cell>
          <cell r="I151">
            <v>51.4</v>
          </cell>
          <cell r="J151">
            <v>12938</v>
          </cell>
          <cell r="K151">
            <v>15.8</v>
          </cell>
          <cell r="L151">
            <v>0.33</v>
          </cell>
          <cell r="M151">
            <v>2.2819444444444446</v>
          </cell>
          <cell r="N151">
            <v>2011</v>
          </cell>
          <cell r="O151">
            <v>276</v>
          </cell>
          <cell r="P151">
            <v>24</v>
          </cell>
        </row>
        <row r="152">
          <cell r="B152" t="str">
            <v>Delft University of Technology</v>
          </cell>
          <cell r="C152" t="str">
            <v>Netherlands</v>
          </cell>
          <cell r="D152">
            <v>151</v>
          </cell>
          <cell r="E152">
            <v>47.4</v>
          </cell>
          <cell r="F152">
            <v>67.7</v>
          </cell>
          <cell r="G152">
            <v>29</v>
          </cell>
          <cell r="H152">
            <v>99.4</v>
          </cell>
          <cell r="I152">
            <v>51.3</v>
          </cell>
          <cell r="J152">
            <v>15920</v>
          </cell>
          <cell r="K152">
            <v>19.399999999999999</v>
          </cell>
          <cell r="L152">
            <v>0.25</v>
          </cell>
          <cell r="M152" t="str">
            <v>26 : 74</v>
          </cell>
          <cell r="N152">
            <v>2011</v>
          </cell>
          <cell r="O152">
            <v>275</v>
          </cell>
          <cell r="P152">
            <v>9</v>
          </cell>
        </row>
        <row r="153">
          <cell r="B153" t="str">
            <v>Birkbeck, University of London</v>
          </cell>
          <cell r="C153" t="str">
            <v>United Kingdom</v>
          </cell>
          <cell r="D153">
            <v>152</v>
          </cell>
          <cell r="E153">
            <v>88.5</v>
          </cell>
          <cell r="F153">
            <v>35.799999999999997</v>
          </cell>
          <cell r="G153">
            <v>70.599999999999994</v>
          </cell>
          <cell r="H153">
            <v>27.4</v>
          </cell>
          <cell r="I153">
            <v>51.2</v>
          </cell>
          <cell r="J153">
            <v>9454</v>
          </cell>
          <cell r="K153">
            <v>17.2</v>
          </cell>
          <cell r="L153">
            <v>0.38</v>
          </cell>
          <cell r="M153">
            <v>2.3229166666666665</v>
          </cell>
          <cell r="N153">
            <v>2011</v>
          </cell>
          <cell r="O153">
            <v>624</v>
          </cell>
          <cell r="P153">
            <v>46</v>
          </cell>
        </row>
        <row r="154">
          <cell r="B154" t="str">
            <v>Newcastle University</v>
          </cell>
          <cell r="C154" t="str">
            <v>United Kingdom</v>
          </cell>
          <cell r="D154">
            <v>152</v>
          </cell>
          <cell r="E154">
            <v>80.5</v>
          </cell>
          <cell r="F154">
            <v>42.8</v>
          </cell>
          <cell r="G154">
            <v>63.6</v>
          </cell>
          <cell r="H154">
            <v>31.1</v>
          </cell>
          <cell r="I154">
            <v>51.2</v>
          </cell>
          <cell r="J154">
            <v>20174</v>
          </cell>
          <cell r="K154">
            <v>15.2</v>
          </cell>
          <cell r="L154">
            <v>0.28999999999999998</v>
          </cell>
          <cell r="M154">
            <v>2.1180555555555554</v>
          </cell>
          <cell r="N154">
            <v>2011</v>
          </cell>
          <cell r="O154">
            <v>229</v>
          </cell>
          <cell r="P154">
            <v>19</v>
          </cell>
        </row>
        <row r="155">
          <cell r="B155" t="str">
            <v>University of New South Wales</v>
          </cell>
          <cell r="C155" t="str">
            <v>Australia</v>
          </cell>
          <cell r="D155">
            <v>152</v>
          </cell>
          <cell r="E155">
            <v>70.7</v>
          </cell>
          <cell r="F155">
            <v>48.9</v>
          </cell>
          <cell r="G155">
            <v>51.2</v>
          </cell>
          <cell r="H155">
            <v>60</v>
          </cell>
          <cell r="I155">
            <v>51.2</v>
          </cell>
          <cell r="J155">
            <v>38309</v>
          </cell>
          <cell r="K155">
            <v>25.9</v>
          </cell>
          <cell r="L155">
            <v>0.33</v>
          </cell>
          <cell r="M155">
            <v>1.9951388888888888</v>
          </cell>
          <cell r="N155">
            <v>2011</v>
          </cell>
          <cell r="O155">
            <v>149</v>
          </cell>
          <cell r="P155">
            <v>4</v>
          </cell>
        </row>
        <row r="156">
          <cell r="B156" t="str">
            <v>Pompeu Fabra University</v>
          </cell>
          <cell r="C156" t="str">
            <v>Spain</v>
          </cell>
          <cell r="D156">
            <v>155</v>
          </cell>
          <cell r="E156">
            <v>44.1</v>
          </cell>
          <cell r="F156">
            <v>33</v>
          </cell>
          <cell r="G156">
            <v>84.7</v>
          </cell>
          <cell r="H156">
            <v>40</v>
          </cell>
          <cell r="I156">
            <v>51.1</v>
          </cell>
          <cell r="J156">
            <v>10901</v>
          </cell>
          <cell r="K156">
            <v>18.3</v>
          </cell>
          <cell r="L156">
            <v>0.13</v>
          </cell>
          <cell r="M156">
            <v>2.4868055555555557</v>
          </cell>
          <cell r="N156">
            <v>2011</v>
          </cell>
          <cell r="O156">
            <v>426</v>
          </cell>
          <cell r="P156">
            <v>11</v>
          </cell>
        </row>
        <row r="157">
          <cell r="B157" t="str">
            <v>Indiana University</v>
          </cell>
          <cell r="C157" t="str">
            <v>United States of America</v>
          </cell>
          <cell r="D157">
            <v>156</v>
          </cell>
          <cell r="E157">
            <v>37.700000000000003</v>
          </cell>
          <cell r="F157">
            <v>42.5</v>
          </cell>
          <cell r="G157">
            <v>63.2</v>
          </cell>
          <cell r="H157" t="str">
            <v>-</v>
          </cell>
          <cell r="I157">
            <v>51</v>
          </cell>
          <cell r="J157">
            <v>62468</v>
          </cell>
          <cell r="K157">
            <v>13.6</v>
          </cell>
          <cell r="L157">
            <v>0.13</v>
          </cell>
          <cell r="M157">
            <v>2.2409722222222221</v>
          </cell>
          <cell r="N157">
            <v>2011</v>
          </cell>
          <cell r="O157" t="e">
            <v>#N/A</v>
          </cell>
          <cell r="P157" t="e">
            <v>#N/A</v>
          </cell>
        </row>
        <row r="158">
          <cell r="B158" t="str">
            <v>Iowa State University</v>
          </cell>
          <cell r="C158" t="str">
            <v>United States of America</v>
          </cell>
          <cell r="D158">
            <v>156</v>
          </cell>
          <cell r="E158">
            <v>23.2</v>
          </cell>
          <cell r="F158">
            <v>49.6</v>
          </cell>
          <cell r="G158">
            <v>58.2</v>
          </cell>
          <cell r="H158">
            <v>49.6</v>
          </cell>
          <cell r="I158">
            <v>51</v>
          </cell>
          <cell r="J158">
            <v>29991</v>
          </cell>
          <cell r="K158">
            <v>17.399999999999999</v>
          </cell>
          <cell r="L158">
            <v>0.11</v>
          </cell>
          <cell r="M158">
            <v>1.8722222222222222</v>
          </cell>
          <cell r="N158">
            <v>2011</v>
          </cell>
          <cell r="O158">
            <v>182</v>
          </cell>
          <cell r="P158">
            <v>80</v>
          </cell>
        </row>
        <row r="159">
          <cell r="B159" t="str">
            <v>Georgia Health Sciences University</v>
          </cell>
          <cell r="C159" t="str">
            <v>United States of America</v>
          </cell>
          <cell r="D159">
            <v>158</v>
          </cell>
          <cell r="E159">
            <v>16.3</v>
          </cell>
          <cell r="F159">
            <v>41.7</v>
          </cell>
          <cell r="G159">
            <v>48.9</v>
          </cell>
          <cell r="H159">
            <v>50.1</v>
          </cell>
          <cell r="I159">
            <v>50.7</v>
          </cell>
          <cell r="N159">
            <v>2011</v>
          </cell>
          <cell r="O159" t="e">
            <v>#N/A</v>
          </cell>
          <cell r="P159" t="e">
            <v>#N/A</v>
          </cell>
        </row>
        <row r="160">
          <cell r="B160" t="str">
            <v>Erasmus University Rotterdam</v>
          </cell>
          <cell r="C160" t="str">
            <v>Netherlands</v>
          </cell>
          <cell r="D160">
            <v>159</v>
          </cell>
          <cell r="E160">
            <v>58.6</v>
          </cell>
          <cell r="F160">
            <v>43.6</v>
          </cell>
          <cell r="G160">
            <v>65.5</v>
          </cell>
          <cell r="H160" t="str">
            <v>-</v>
          </cell>
          <cell r="I160">
            <v>50.4</v>
          </cell>
          <cell r="J160">
            <v>20580</v>
          </cell>
          <cell r="K160">
            <v>18.899999999999999</v>
          </cell>
          <cell r="L160">
            <v>0.18</v>
          </cell>
          <cell r="M160">
            <v>2.036111111111111</v>
          </cell>
          <cell r="N160">
            <v>2011</v>
          </cell>
          <cell r="O160">
            <v>101</v>
          </cell>
          <cell r="P160">
            <v>2</v>
          </cell>
        </row>
        <row r="161">
          <cell r="B161" t="str">
            <v>University of Delaware</v>
          </cell>
          <cell r="C161" t="str">
            <v>United States of America</v>
          </cell>
          <cell r="D161">
            <v>159</v>
          </cell>
          <cell r="E161">
            <v>16.8</v>
          </cell>
          <cell r="F161">
            <v>51.9</v>
          </cell>
          <cell r="G161">
            <v>61.3</v>
          </cell>
          <cell r="H161">
            <v>100</v>
          </cell>
          <cell r="I161">
            <v>50.4</v>
          </cell>
          <cell r="J161">
            <v>19262</v>
          </cell>
          <cell r="K161">
            <v>15.9</v>
          </cell>
          <cell r="L161">
            <v>0.1</v>
          </cell>
          <cell r="M161">
            <v>2.3638888888888889</v>
          </cell>
          <cell r="N161">
            <v>2011</v>
          </cell>
          <cell r="O161">
            <v>247</v>
          </cell>
          <cell r="P161">
            <v>101</v>
          </cell>
        </row>
        <row r="162">
          <cell r="B162" t="str">
            <v>Arizona State University</v>
          </cell>
          <cell r="C162" t="str">
            <v>United States of America</v>
          </cell>
          <cell r="D162">
            <v>161</v>
          </cell>
          <cell r="E162">
            <v>24.1</v>
          </cell>
          <cell r="F162">
            <v>44.1</v>
          </cell>
          <cell r="G162">
            <v>66.900000000000006</v>
          </cell>
          <cell r="H162" t="str">
            <v>-</v>
          </cell>
          <cell r="I162">
            <v>50.3</v>
          </cell>
          <cell r="J162">
            <v>83236</v>
          </cell>
          <cell r="K162">
            <v>29.9</v>
          </cell>
          <cell r="L162">
            <v>0.09</v>
          </cell>
          <cell r="M162">
            <v>2.1180555555555554</v>
          </cell>
          <cell r="N162">
            <v>2011</v>
          </cell>
          <cell r="O162">
            <v>80</v>
          </cell>
          <cell r="P162">
            <v>52</v>
          </cell>
        </row>
        <row r="163">
          <cell r="B163" t="str">
            <v>Boston College</v>
          </cell>
          <cell r="C163" t="str">
            <v>United States of America</v>
          </cell>
          <cell r="D163">
            <v>161</v>
          </cell>
          <cell r="E163">
            <v>31.6</v>
          </cell>
          <cell r="F163">
            <v>33.6</v>
          </cell>
          <cell r="G163">
            <v>78</v>
          </cell>
          <cell r="H163" t="str">
            <v>-</v>
          </cell>
          <cell r="I163">
            <v>50.3</v>
          </cell>
          <cell r="J163">
            <v>13216</v>
          </cell>
          <cell r="K163">
            <v>17.399999999999999</v>
          </cell>
          <cell r="L163">
            <v>0.19</v>
          </cell>
          <cell r="M163">
            <v>2.2819444444444446</v>
          </cell>
          <cell r="N163">
            <v>2011</v>
          </cell>
          <cell r="O163">
            <v>332</v>
          </cell>
          <cell r="P163">
            <v>124</v>
          </cell>
        </row>
        <row r="164">
          <cell r="B164" t="str">
            <v>National Sun Yat-Sen University</v>
          </cell>
          <cell r="C164" t="str">
            <v>Taiwan</v>
          </cell>
          <cell r="D164">
            <v>163</v>
          </cell>
          <cell r="E164">
            <v>21.3</v>
          </cell>
          <cell r="F164">
            <v>50.6</v>
          </cell>
          <cell r="G164">
            <v>58.9</v>
          </cell>
          <cell r="H164">
            <v>37.5</v>
          </cell>
          <cell r="I164">
            <v>50.2</v>
          </cell>
          <cell r="J164">
            <v>9336</v>
          </cell>
          <cell r="K164">
            <v>19.600000000000001</v>
          </cell>
          <cell r="L164">
            <v>0.04</v>
          </cell>
          <cell r="M164" t="str">
            <v>37 : 63</v>
          </cell>
          <cell r="N164">
            <v>2011</v>
          </cell>
          <cell r="O164">
            <v>791</v>
          </cell>
          <cell r="P164">
            <v>11</v>
          </cell>
        </row>
        <row r="165">
          <cell r="B165" t="str">
            <v>Georgetown University</v>
          </cell>
          <cell r="C165" t="str">
            <v>United States of America</v>
          </cell>
          <cell r="D165">
            <v>164</v>
          </cell>
          <cell r="E165">
            <v>24.7</v>
          </cell>
          <cell r="F165">
            <v>44.7</v>
          </cell>
          <cell r="G165">
            <v>45</v>
          </cell>
          <cell r="H165" t="str">
            <v>-</v>
          </cell>
          <cell r="I165">
            <v>50.1</v>
          </cell>
          <cell r="J165">
            <v>15408</v>
          </cell>
          <cell r="K165">
            <v>8.5</v>
          </cell>
          <cell r="L165">
            <v>0.14000000000000001</v>
          </cell>
          <cell r="M165">
            <v>2.2409722222222221</v>
          </cell>
          <cell r="N165">
            <v>2011</v>
          </cell>
          <cell r="O165">
            <v>118</v>
          </cell>
          <cell r="P165">
            <v>61</v>
          </cell>
        </row>
        <row r="166">
          <cell r="B166" t="str">
            <v>University of Amsterdam</v>
          </cell>
          <cell r="C166" t="str">
            <v>Netherlands</v>
          </cell>
          <cell r="D166">
            <v>165</v>
          </cell>
          <cell r="E166">
            <v>38.200000000000003</v>
          </cell>
          <cell r="F166">
            <v>49.2</v>
          </cell>
          <cell r="G166">
            <v>60.2</v>
          </cell>
          <cell r="H166">
            <v>38.799999999999997</v>
          </cell>
          <cell r="I166">
            <v>50</v>
          </cell>
          <cell r="J166">
            <v>24570</v>
          </cell>
          <cell r="K166">
            <v>14.4</v>
          </cell>
          <cell r="L166">
            <v>0.11</v>
          </cell>
          <cell r="M166">
            <v>2.2409722222222221</v>
          </cell>
          <cell r="N166">
            <v>2011</v>
          </cell>
          <cell r="O166">
            <v>122</v>
          </cell>
          <cell r="P166">
            <v>4</v>
          </cell>
        </row>
        <row r="167">
          <cell r="B167" t="str">
            <v>University of Liverpool</v>
          </cell>
          <cell r="C167" t="str">
            <v>United Kingdom</v>
          </cell>
          <cell r="D167">
            <v>165</v>
          </cell>
          <cell r="E167">
            <v>59.8</v>
          </cell>
          <cell r="F167">
            <v>47.8</v>
          </cell>
          <cell r="G167">
            <v>59.6</v>
          </cell>
          <cell r="H167">
            <v>40.6</v>
          </cell>
          <cell r="I167">
            <v>50</v>
          </cell>
          <cell r="J167">
            <v>18815</v>
          </cell>
          <cell r="K167">
            <v>13.6</v>
          </cell>
          <cell r="L167">
            <v>0.3</v>
          </cell>
          <cell r="M167">
            <v>2.2000000000000002</v>
          </cell>
          <cell r="N167">
            <v>2011</v>
          </cell>
          <cell r="O167">
            <v>211</v>
          </cell>
          <cell r="P167">
            <v>17</v>
          </cell>
        </row>
        <row r="168">
          <cell r="B168" t="str">
            <v>Aarhus University</v>
          </cell>
          <cell r="C168" t="str">
            <v>Denmark</v>
          </cell>
          <cell r="D168">
            <v>167</v>
          </cell>
          <cell r="E168">
            <v>33.4</v>
          </cell>
          <cell r="F168">
            <v>55.6</v>
          </cell>
          <cell r="G168">
            <v>57.3</v>
          </cell>
          <cell r="H168">
            <v>61.5</v>
          </cell>
          <cell r="I168">
            <v>49.9</v>
          </cell>
          <cell r="J168">
            <v>23895</v>
          </cell>
          <cell r="K168">
            <v>13.6</v>
          </cell>
          <cell r="L168">
            <v>0.14000000000000001</v>
          </cell>
          <cell r="M168">
            <v>2.2819444444444446</v>
          </cell>
          <cell r="N168">
            <v>2011</v>
          </cell>
          <cell r="O168">
            <v>119</v>
          </cell>
          <cell r="P168">
            <v>2</v>
          </cell>
        </row>
        <row r="169">
          <cell r="B169" t="str">
            <v>University of Leeds</v>
          </cell>
          <cell r="C169" t="str">
            <v>United Kingdom</v>
          </cell>
          <cell r="D169">
            <v>168</v>
          </cell>
          <cell r="E169">
            <v>50</v>
          </cell>
          <cell r="F169">
            <v>48</v>
          </cell>
          <cell r="G169">
            <v>55.6</v>
          </cell>
          <cell r="H169">
            <v>38.299999999999997</v>
          </cell>
          <cell r="I169">
            <v>49.8</v>
          </cell>
          <cell r="J169">
            <v>27703</v>
          </cell>
          <cell r="K169">
            <v>14.7</v>
          </cell>
          <cell r="L169">
            <v>0.21</v>
          </cell>
          <cell r="M169">
            <v>2.4458333333333333</v>
          </cell>
          <cell r="N169">
            <v>2011</v>
          </cell>
          <cell r="O169">
            <v>151</v>
          </cell>
          <cell r="P169">
            <v>13</v>
          </cell>
        </row>
        <row r="170">
          <cell r="B170" t="str">
            <v>University of WÃ¼rzburg</v>
          </cell>
          <cell r="C170" t="str">
            <v>Germany</v>
          </cell>
          <cell r="D170">
            <v>168</v>
          </cell>
          <cell r="E170">
            <v>40.299999999999997</v>
          </cell>
          <cell r="F170">
            <v>40.9</v>
          </cell>
          <cell r="G170">
            <v>60.4</v>
          </cell>
          <cell r="H170" t="str">
            <v>-</v>
          </cell>
          <cell r="I170">
            <v>49.8</v>
          </cell>
          <cell r="J170">
            <v>26576</v>
          </cell>
          <cell r="K170">
            <v>38.4</v>
          </cell>
          <cell r="L170">
            <v>0.08</v>
          </cell>
          <cell r="M170">
            <v>2.4048611111111109</v>
          </cell>
          <cell r="N170">
            <v>2011</v>
          </cell>
          <cell r="O170" t="e">
            <v>#N/A</v>
          </cell>
          <cell r="P170" t="e">
            <v>#N/A</v>
          </cell>
        </row>
        <row r="171">
          <cell r="B171" t="str">
            <v>University of Groningen</v>
          </cell>
          <cell r="C171" t="str">
            <v>Netherlands</v>
          </cell>
          <cell r="D171">
            <v>170</v>
          </cell>
          <cell r="E171">
            <v>35.5</v>
          </cell>
          <cell r="F171">
            <v>56.4</v>
          </cell>
          <cell r="G171">
            <v>54.1</v>
          </cell>
          <cell r="H171">
            <v>34.200000000000003</v>
          </cell>
          <cell r="I171">
            <v>49.7</v>
          </cell>
          <cell r="J171">
            <v>24556</v>
          </cell>
          <cell r="K171">
            <v>25.6</v>
          </cell>
          <cell r="L171">
            <v>0.12</v>
          </cell>
          <cell r="M171">
            <v>2.2000000000000002</v>
          </cell>
          <cell r="N171">
            <v>2011</v>
          </cell>
          <cell r="O171">
            <v>127</v>
          </cell>
          <cell r="P171">
            <v>5</v>
          </cell>
        </row>
        <row r="172">
          <cell r="B172" t="str">
            <v>Sun Yat-sen University</v>
          </cell>
          <cell r="C172" t="str">
            <v>China</v>
          </cell>
          <cell r="D172">
            <v>171</v>
          </cell>
          <cell r="E172">
            <v>29.3</v>
          </cell>
          <cell r="F172">
            <v>34.700000000000003</v>
          </cell>
          <cell r="G172">
            <v>70.2</v>
          </cell>
          <cell r="H172">
            <v>41.2</v>
          </cell>
          <cell r="I172">
            <v>49.6</v>
          </cell>
          <cell r="J172">
            <v>51351</v>
          </cell>
          <cell r="K172">
            <v>16.600000000000001</v>
          </cell>
          <cell r="L172">
            <v>0.08</v>
          </cell>
          <cell r="M172">
            <v>2.1590277777777778</v>
          </cell>
          <cell r="N172">
            <v>2011</v>
          </cell>
          <cell r="O172">
            <v>292</v>
          </cell>
          <cell r="P172">
            <v>9</v>
          </cell>
        </row>
        <row r="173">
          <cell r="B173" t="str">
            <v>Goethe University Frankfurt</v>
          </cell>
          <cell r="C173" t="str">
            <v>Germany</v>
          </cell>
          <cell r="D173">
            <v>172</v>
          </cell>
          <cell r="E173">
            <v>56.1</v>
          </cell>
          <cell r="F173">
            <v>37.299999999999997</v>
          </cell>
          <cell r="G173">
            <v>69.5</v>
          </cell>
          <cell r="H173">
            <v>41.6</v>
          </cell>
          <cell r="I173">
            <v>49.4</v>
          </cell>
          <cell r="J173">
            <v>31861</v>
          </cell>
          <cell r="K173">
            <v>9.3000000000000007</v>
          </cell>
          <cell r="L173">
            <v>0.15</v>
          </cell>
          <cell r="M173">
            <v>2.5277777777777777</v>
          </cell>
          <cell r="N173">
            <v>2011</v>
          </cell>
          <cell r="O173">
            <v>161</v>
          </cell>
          <cell r="P173">
            <v>9</v>
          </cell>
        </row>
        <row r="174">
          <cell r="B174" t="str">
            <v>Bielefeld University</v>
          </cell>
          <cell r="C174" t="str">
            <v>Germany</v>
          </cell>
          <cell r="D174">
            <v>173</v>
          </cell>
          <cell r="E174" t="str">
            <v>-</v>
          </cell>
          <cell r="F174">
            <v>35.700000000000003</v>
          </cell>
          <cell r="G174">
            <v>70.400000000000006</v>
          </cell>
          <cell r="H174" t="str">
            <v>-</v>
          </cell>
          <cell r="I174">
            <v>49.3</v>
          </cell>
          <cell r="J174">
            <v>21428</v>
          </cell>
          <cell r="K174">
            <v>67.8</v>
          </cell>
          <cell r="L174">
            <v>0.08</v>
          </cell>
          <cell r="M174">
            <v>2.4048611111111109</v>
          </cell>
          <cell r="N174">
            <v>2011</v>
          </cell>
          <cell r="O174">
            <v>491</v>
          </cell>
          <cell r="P174">
            <v>38</v>
          </cell>
        </row>
        <row r="175">
          <cell r="B175" t="str">
            <v>Nanyang Technological University</v>
          </cell>
          <cell r="C175" t="str">
            <v>Singapore</v>
          </cell>
          <cell r="D175">
            <v>174</v>
          </cell>
          <cell r="E175">
            <v>96.3</v>
          </cell>
          <cell r="F175">
            <v>51.7</v>
          </cell>
          <cell r="G175">
            <v>45</v>
          </cell>
          <cell r="H175">
            <v>40</v>
          </cell>
          <cell r="I175">
            <v>49</v>
          </cell>
          <cell r="J175">
            <v>25028</v>
          </cell>
          <cell r="K175">
            <v>16.2</v>
          </cell>
          <cell r="L175">
            <v>0.33</v>
          </cell>
          <cell r="M175">
            <v>2.036111111111111</v>
          </cell>
          <cell r="N175">
            <v>2011</v>
          </cell>
          <cell r="O175">
            <v>148</v>
          </cell>
          <cell r="P175">
            <v>2</v>
          </cell>
        </row>
        <row r="176">
          <cell r="B176" t="str">
            <v>University of East Anglia</v>
          </cell>
          <cell r="C176" t="str">
            <v>United Kingdom</v>
          </cell>
          <cell r="D176">
            <v>174</v>
          </cell>
          <cell r="E176">
            <v>62.8</v>
          </cell>
          <cell r="F176">
            <v>40.4</v>
          </cell>
          <cell r="G176">
            <v>62.8</v>
          </cell>
          <cell r="H176">
            <v>29.7</v>
          </cell>
          <cell r="I176">
            <v>49</v>
          </cell>
          <cell r="J176">
            <v>14992</v>
          </cell>
          <cell r="K176">
            <v>14.7</v>
          </cell>
          <cell r="L176">
            <v>0.28000000000000003</v>
          </cell>
          <cell r="M176">
            <v>2.4458333333333333</v>
          </cell>
          <cell r="N176">
            <v>2011</v>
          </cell>
          <cell r="O176">
            <v>350</v>
          </cell>
          <cell r="P176">
            <v>33</v>
          </cell>
        </row>
        <row r="177">
          <cell r="B177" t="str">
            <v>University of Nottingham</v>
          </cell>
          <cell r="C177" t="str">
            <v>United Kingdom</v>
          </cell>
          <cell r="D177">
            <v>174</v>
          </cell>
          <cell r="E177">
            <v>74.8</v>
          </cell>
          <cell r="F177">
            <v>44.1</v>
          </cell>
          <cell r="G177">
            <v>52.5</v>
          </cell>
          <cell r="H177">
            <v>38.4</v>
          </cell>
          <cell r="I177">
            <v>49</v>
          </cell>
          <cell r="J177">
            <v>30144</v>
          </cell>
          <cell r="K177">
            <v>15</v>
          </cell>
          <cell r="L177">
            <v>0.27</v>
          </cell>
          <cell r="M177">
            <v>2.2819444444444446</v>
          </cell>
          <cell r="N177">
            <v>2011</v>
          </cell>
          <cell r="O177">
            <v>97</v>
          </cell>
          <cell r="P177">
            <v>6</v>
          </cell>
        </row>
        <row r="178">
          <cell r="B178" t="str">
            <v>University of Copenhagen</v>
          </cell>
          <cell r="C178" t="str">
            <v>Denmark</v>
          </cell>
          <cell r="D178">
            <v>177</v>
          </cell>
          <cell r="E178">
            <v>45.8</v>
          </cell>
          <cell r="F178">
            <v>45.7</v>
          </cell>
          <cell r="G178">
            <v>58.3</v>
          </cell>
          <cell r="H178">
            <v>26.1</v>
          </cell>
          <cell r="I178">
            <v>48.8</v>
          </cell>
          <cell r="J178">
            <v>27545</v>
          </cell>
          <cell r="K178">
            <v>4.0999999999999996</v>
          </cell>
          <cell r="L178">
            <v>0.19</v>
          </cell>
          <cell r="M178">
            <v>2.8145833333333332</v>
          </cell>
          <cell r="N178">
            <v>2011</v>
          </cell>
          <cell r="O178">
            <v>93</v>
          </cell>
          <cell r="P178">
            <v>1</v>
          </cell>
        </row>
        <row r="179">
          <cell r="B179" t="str">
            <v>Humboldt University of Berlin</v>
          </cell>
          <cell r="C179" t="str">
            <v>Germany</v>
          </cell>
          <cell r="D179">
            <v>178</v>
          </cell>
          <cell r="E179">
            <v>46.1</v>
          </cell>
          <cell r="F179">
            <v>44.5</v>
          </cell>
          <cell r="G179">
            <v>52</v>
          </cell>
          <cell r="H179">
            <v>27.8</v>
          </cell>
          <cell r="I179">
            <v>48.5</v>
          </cell>
          <cell r="J179">
            <v>29987</v>
          </cell>
          <cell r="K179">
            <v>52.5</v>
          </cell>
          <cell r="L179">
            <v>0.16</v>
          </cell>
          <cell r="N179">
            <v>2011</v>
          </cell>
          <cell r="O179">
            <v>157</v>
          </cell>
          <cell r="P179">
            <v>6</v>
          </cell>
        </row>
        <row r="180">
          <cell r="B180" t="str">
            <v>Monash University</v>
          </cell>
          <cell r="C180" t="str">
            <v>Australia</v>
          </cell>
          <cell r="D180">
            <v>178</v>
          </cell>
          <cell r="E180">
            <v>87.1</v>
          </cell>
          <cell r="F180">
            <v>38.799999999999997</v>
          </cell>
          <cell r="G180">
            <v>60.5</v>
          </cell>
          <cell r="H180">
            <v>40.799999999999997</v>
          </cell>
          <cell r="I180">
            <v>48.5</v>
          </cell>
          <cell r="J180">
            <v>50882</v>
          </cell>
          <cell r="K180">
            <v>40.5</v>
          </cell>
          <cell r="L180">
            <v>0.36</v>
          </cell>
          <cell r="M180">
            <v>2.3638888888888889</v>
          </cell>
          <cell r="N180">
            <v>2011</v>
          </cell>
          <cell r="O180">
            <v>170</v>
          </cell>
          <cell r="P180">
            <v>6</v>
          </cell>
        </row>
        <row r="181">
          <cell r="B181" t="str">
            <v>University of Bonn</v>
          </cell>
          <cell r="C181" t="str">
            <v>Germany</v>
          </cell>
          <cell r="D181">
            <v>178</v>
          </cell>
          <cell r="E181">
            <v>46.8</v>
          </cell>
          <cell r="F181">
            <v>33.799999999999997</v>
          </cell>
          <cell r="G181">
            <v>65.3</v>
          </cell>
          <cell r="H181">
            <v>29.4</v>
          </cell>
          <cell r="I181">
            <v>48.5</v>
          </cell>
          <cell r="J181">
            <v>32474</v>
          </cell>
          <cell r="K181">
            <v>70.400000000000006</v>
          </cell>
          <cell r="L181">
            <v>0.13</v>
          </cell>
          <cell r="M181">
            <v>2.3229166666666665</v>
          </cell>
          <cell r="N181">
            <v>2011</v>
          </cell>
          <cell r="O181">
            <v>98</v>
          </cell>
          <cell r="P181">
            <v>3</v>
          </cell>
        </row>
        <row r="182">
          <cell r="B182" t="str">
            <v>National Chiao Tung University</v>
          </cell>
          <cell r="C182" t="str">
            <v>Taiwan</v>
          </cell>
          <cell r="D182">
            <v>181</v>
          </cell>
          <cell r="E182">
            <v>57.9</v>
          </cell>
          <cell r="F182">
            <v>54.4</v>
          </cell>
          <cell r="G182">
            <v>32.9</v>
          </cell>
          <cell r="H182">
            <v>98.7</v>
          </cell>
          <cell r="I182">
            <v>48.3</v>
          </cell>
          <cell r="J182">
            <v>12646</v>
          </cell>
          <cell r="K182">
            <v>16.600000000000001</v>
          </cell>
          <cell r="L182">
            <v>0.05</v>
          </cell>
          <cell r="M182" t="str">
            <v>27 : 73</v>
          </cell>
          <cell r="N182">
            <v>2011</v>
          </cell>
          <cell r="O182">
            <v>411</v>
          </cell>
          <cell r="P182">
            <v>3</v>
          </cell>
        </row>
        <row r="183">
          <cell r="B183" t="str">
            <v>RWTH Aachen University</v>
          </cell>
          <cell r="C183" t="str">
            <v>Germany</v>
          </cell>
          <cell r="D183">
            <v>182</v>
          </cell>
          <cell r="E183">
            <v>63.8</v>
          </cell>
          <cell r="F183">
            <v>42.5</v>
          </cell>
          <cell r="G183">
            <v>48.9</v>
          </cell>
          <cell r="H183">
            <v>56.6</v>
          </cell>
          <cell r="I183">
            <v>48.2</v>
          </cell>
          <cell r="J183">
            <v>37917</v>
          </cell>
          <cell r="K183">
            <v>27.6</v>
          </cell>
          <cell r="L183">
            <v>0.16</v>
          </cell>
          <cell r="M183" t="str">
            <v>31 : 69</v>
          </cell>
          <cell r="N183">
            <v>2011</v>
          </cell>
          <cell r="O183">
            <v>238</v>
          </cell>
          <cell r="P183">
            <v>19</v>
          </cell>
        </row>
        <row r="184">
          <cell r="B184" t="str">
            <v>Middle East Technical University</v>
          </cell>
          <cell r="C184" t="str">
            <v>Turkey</v>
          </cell>
          <cell r="D184">
            <v>183</v>
          </cell>
          <cell r="E184">
            <v>27.2</v>
          </cell>
          <cell r="F184">
            <v>39.5</v>
          </cell>
          <cell r="G184">
            <v>66.400000000000006</v>
          </cell>
          <cell r="H184">
            <v>43.9</v>
          </cell>
          <cell r="I184">
            <v>47.7</v>
          </cell>
          <cell r="J184">
            <v>25779</v>
          </cell>
          <cell r="K184">
            <v>22.2</v>
          </cell>
          <cell r="L184">
            <v>7.0000000000000007E-2</v>
          </cell>
          <cell r="M184">
            <v>1.8722222222222222</v>
          </cell>
          <cell r="N184">
            <v>2011</v>
          </cell>
          <cell r="O184">
            <v>396</v>
          </cell>
          <cell r="P184">
            <v>1</v>
          </cell>
        </row>
        <row r="185">
          <cell r="B185" t="str">
            <v>University of Exeter</v>
          </cell>
          <cell r="C185" t="str">
            <v>United Kingdom</v>
          </cell>
          <cell r="D185">
            <v>184</v>
          </cell>
          <cell r="E185">
            <v>62.8</v>
          </cell>
          <cell r="F185">
            <v>42.5</v>
          </cell>
          <cell r="G185">
            <v>57.9</v>
          </cell>
          <cell r="H185">
            <v>32.200000000000003</v>
          </cell>
          <cell r="I185">
            <v>47.6</v>
          </cell>
          <cell r="J185">
            <v>17755</v>
          </cell>
          <cell r="K185">
            <v>18.8</v>
          </cell>
          <cell r="L185">
            <v>0.28000000000000003</v>
          </cell>
          <cell r="M185">
            <v>2.2819444444444446</v>
          </cell>
          <cell r="N185">
            <v>2011</v>
          </cell>
          <cell r="O185">
            <v>357</v>
          </cell>
          <cell r="P185">
            <v>34</v>
          </cell>
        </row>
        <row r="186">
          <cell r="B186" t="str">
            <v>University of Twente</v>
          </cell>
          <cell r="C186" t="str">
            <v>Netherlands</v>
          </cell>
          <cell r="D186">
            <v>185</v>
          </cell>
          <cell r="E186">
            <v>62.4</v>
          </cell>
          <cell r="F186">
            <v>48.3</v>
          </cell>
          <cell r="G186">
            <v>42</v>
          </cell>
          <cell r="H186">
            <v>49.8</v>
          </cell>
          <cell r="I186">
            <v>47.5</v>
          </cell>
          <cell r="J186">
            <v>6631</v>
          </cell>
          <cell r="K186">
            <v>12</v>
          </cell>
          <cell r="L186">
            <v>0.26</v>
          </cell>
          <cell r="M186" t="str">
            <v>37 : 63</v>
          </cell>
          <cell r="N186">
            <v>2011</v>
          </cell>
          <cell r="O186">
            <v>445</v>
          </cell>
          <cell r="P186">
            <v>12</v>
          </cell>
        </row>
        <row r="187">
          <cell r="B187" t="str">
            <v>University of Konstanz</v>
          </cell>
          <cell r="C187" t="str">
            <v>Germany</v>
          </cell>
          <cell r="D187">
            <v>186</v>
          </cell>
          <cell r="E187">
            <v>93.6</v>
          </cell>
          <cell r="F187">
            <v>40.1</v>
          </cell>
          <cell r="G187">
            <v>51.3</v>
          </cell>
          <cell r="H187" t="str">
            <v>-</v>
          </cell>
          <cell r="I187">
            <v>47.3</v>
          </cell>
          <cell r="J187">
            <v>10930</v>
          </cell>
          <cell r="K187">
            <v>59.1</v>
          </cell>
          <cell r="L187">
            <v>0.12</v>
          </cell>
          <cell r="M187">
            <v>2.2819444444444446</v>
          </cell>
          <cell r="N187">
            <v>2011</v>
          </cell>
          <cell r="O187">
            <v>468</v>
          </cell>
          <cell r="P187">
            <v>36</v>
          </cell>
        </row>
        <row r="188">
          <cell r="B188" t="str">
            <v>Karlsruhe Institute of Technology</v>
          </cell>
          <cell r="C188" t="str">
            <v>Germany</v>
          </cell>
          <cell r="D188">
            <v>187</v>
          </cell>
          <cell r="E188">
            <v>47.3</v>
          </cell>
          <cell r="F188">
            <v>35.4</v>
          </cell>
          <cell r="G188">
            <v>60.7</v>
          </cell>
          <cell r="H188">
            <v>40</v>
          </cell>
          <cell r="I188">
            <v>47.2</v>
          </cell>
          <cell r="J188">
            <v>25294</v>
          </cell>
          <cell r="K188">
            <v>24.6</v>
          </cell>
          <cell r="L188">
            <v>0.16</v>
          </cell>
          <cell r="M188" t="str">
            <v>26 : 74</v>
          </cell>
          <cell r="N188">
            <v>2011</v>
          </cell>
          <cell r="O188">
            <v>215</v>
          </cell>
          <cell r="P188">
            <v>15</v>
          </cell>
        </row>
        <row r="189">
          <cell r="B189" t="str">
            <v>University of Innsbruck</v>
          </cell>
          <cell r="C189" t="str">
            <v>Austria</v>
          </cell>
          <cell r="D189">
            <v>187</v>
          </cell>
          <cell r="E189">
            <v>99.5</v>
          </cell>
          <cell r="F189">
            <v>34.799999999999997</v>
          </cell>
          <cell r="G189">
            <v>60.2</v>
          </cell>
          <cell r="H189">
            <v>35</v>
          </cell>
          <cell r="I189">
            <v>47.2</v>
          </cell>
          <cell r="J189">
            <v>18209</v>
          </cell>
          <cell r="K189">
            <v>16.899999999999999</v>
          </cell>
          <cell r="L189">
            <v>0.39</v>
          </cell>
          <cell r="M189">
            <v>2.2819444444444446</v>
          </cell>
          <cell r="N189">
            <v>2011</v>
          </cell>
          <cell r="O189">
            <v>326</v>
          </cell>
          <cell r="P189">
            <v>3</v>
          </cell>
        </row>
        <row r="190">
          <cell r="B190" t="str">
            <v>University of TÃ¼bingen</v>
          </cell>
          <cell r="C190" t="str">
            <v>Germany</v>
          </cell>
          <cell r="D190">
            <v>189</v>
          </cell>
          <cell r="E190">
            <v>57.8</v>
          </cell>
          <cell r="F190">
            <v>36.299999999999997</v>
          </cell>
          <cell r="G190">
            <v>57.3</v>
          </cell>
          <cell r="H190">
            <v>32.299999999999997</v>
          </cell>
          <cell r="I190">
            <v>47</v>
          </cell>
          <cell r="J190">
            <v>28327</v>
          </cell>
          <cell r="K190">
            <v>38.9</v>
          </cell>
          <cell r="L190">
            <v>0.12</v>
          </cell>
          <cell r="M190">
            <v>2.4458333333333333</v>
          </cell>
          <cell r="N190">
            <v>2011</v>
          </cell>
          <cell r="O190">
            <v>159</v>
          </cell>
          <cell r="P190">
            <v>8</v>
          </cell>
        </row>
        <row r="191">
          <cell r="B191" t="str">
            <v>Drexel University</v>
          </cell>
          <cell r="C191" t="str">
            <v>United States of America</v>
          </cell>
          <cell r="D191">
            <v>190</v>
          </cell>
          <cell r="E191">
            <v>60.6</v>
          </cell>
          <cell r="F191">
            <v>35.9</v>
          </cell>
          <cell r="G191">
            <v>58.2</v>
          </cell>
          <cell r="H191">
            <v>27.4</v>
          </cell>
          <cell r="I191">
            <v>46.9</v>
          </cell>
          <cell r="J191">
            <v>20713</v>
          </cell>
          <cell r="K191">
            <v>10.8</v>
          </cell>
          <cell r="L191">
            <v>0.18</v>
          </cell>
          <cell r="M191">
            <v>2.036111111111111</v>
          </cell>
          <cell r="N191">
            <v>2011</v>
          </cell>
          <cell r="O191">
            <v>261</v>
          </cell>
          <cell r="P191">
            <v>107</v>
          </cell>
        </row>
        <row r="192">
          <cell r="B192" t="str">
            <v>University of Cincinnati</v>
          </cell>
          <cell r="C192" t="str">
            <v>United States of America</v>
          </cell>
          <cell r="D192">
            <v>190</v>
          </cell>
          <cell r="E192">
            <v>18.899999999999999</v>
          </cell>
          <cell r="F192">
            <v>40.4</v>
          </cell>
          <cell r="G192">
            <v>61.5</v>
          </cell>
          <cell r="H192">
            <v>32.5</v>
          </cell>
          <cell r="I192">
            <v>46.9</v>
          </cell>
          <cell r="J192">
            <v>36108</v>
          </cell>
          <cell r="K192">
            <v>15.7</v>
          </cell>
          <cell r="L192">
            <v>0.06</v>
          </cell>
          <cell r="M192">
            <v>2.2819444444444446</v>
          </cell>
          <cell r="N192">
            <v>2011</v>
          </cell>
          <cell r="O192">
            <v>177</v>
          </cell>
          <cell r="P192">
            <v>78</v>
          </cell>
        </row>
        <row r="193">
          <cell r="B193" t="str">
            <v>Yonsei University</v>
          </cell>
          <cell r="C193" t="str">
            <v>South Korea</v>
          </cell>
          <cell r="D193">
            <v>190</v>
          </cell>
          <cell r="E193">
            <v>28</v>
          </cell>
          <cell r="F193">
            <v>48.7</v>
          </cell>
          <cell r="G193">
            <v>52.2</v>
          </cell>
          <cell r="H193">
            <v>40.4</v>
          </cell>
          <cell r="I193">
            <v>46.9</v>
          </cell>
          <cell r="J193">
            <v>24774</v>
          </cell>
          <cell r="K193">
            <v>11.6</v>
          </cell>
          <cell r="L193">
            <v>0.14000000000000001</v>
          </cell>
          <cell r="N193">
            <v>2011</v>
          </cell>
          <cell r="O193">
            <v>107</v>
          </cell>
          <cell r="P193">
            <v>2</v>
          </cell>
        </row>
        <row r="194">
          <cell r="B194" t="str">
            <v>Dalhousie University</v>
          </cell>
          <cell r="C194" t="str">
            <v>Canada</v>
          </cell>
          <cell r="D194">
            <v>193</v>
          </cell>
          <cell r="E194">
            <v>44.9</v>
          </cell>
          <cell r="F194">
            <v>50.2</v>
          </cell>
          <cell r="G194">
            <v>48.8</v>
          </cell>
          <cell r="H194" t="str">
            <v>-</v>
          </cell>
          <cell r="I194">
            <v>46.8</v>
          </cell>
          <cell r="J194">
            <v>15064</v>
          </cell>
          <cell r="K194">
            <v>14.4</v>
          </cell>
          <cell r="L194">
            <v>0.18</v>
          </cell>
          <cell r="M194">
            <v>2.3229166666666665</v>
          </cell>
          <cell r="N194">
            <v>2011</v>
          </cell>
          <cell r="O194">
            <v>284</v>
          </cell>
          <cell r="P194">
            <v>14</v>
          </cell>
        </row>
        <row r="195">
          <cell r="B195" t="str">
            <v>KTH Royal Institute of Technology</v>
          </cell>
          <cell r="C195" t="str">
            <v>Sweden</v>
          </cell>
          <cell r="D195">
            <v>193</v>
          </cell>
          <cell r="E195">
            <v>64.2</v>
          </cell>
          <cell r="F195">
            <v>56.2</v>
          </cell>
          <cell r="G195">
            <v>29.2</v>
          </cell>
          <cell r="H195">
            <v>100</v>
          </cell>
          <cell r="I195">
            <v>46.8</v>
          </cell>
          <cell r="J195">
            <v>12062</v>
          </cell>
          <cell r="K195">
            <v>14.6</v>
          </cell>
          <cell r="L195">
            <v>0.21</v>
          </cell>
          <cell r="M195" t="str">
            <v>30 : 70</v>
          </cell>
          <cell r="N195">
            <v>2011</v>
          </cell>
          <cell r="O195" t="e">
            <v>#N/A</v>
          </cell>
          <cell r="P195" t="e">
            <v>#N/A</v>
          </cell>
        </row>
        <row r="196">
          <cell r="B196" t="str">
            <v>University of Vienna</v>
          </cell>
          <cell r="C196" t="str">
            <v>Austria</v>
          </cell>
          <cell r="D196">
            <v>195</v>
          </cell>
          <cell r="E196">
            <v>63.2</v>
          </cell>
          <cell r="F196">
            <v>45.7</v>
          </cell>
          <cell r="G196">
            <v>45.6</v>
          </cell>
          <cell r="H196">
            <v>27</v>
          </cell>
          <cell r="I196">
            <v>46.7</v>
          </cell>
          <cell r="J196">
            <v>34651</v>
          </cell>
          <cell r="K196">
            <v>20.5</v>
          </cell>
          <cell r="L196">
            <v>0.25</v>
          </cell>
          <cell r="M196">
            <v>2.8145833333333332</v>
          </cell>
          <cell r="N196">
            <v>2011</v>
          </cell>
          <cell r="O196">
            <v>205</v>
          </cell>
          <cell r="P196">
            <v>1</v>
          </cell>
        </row>
        <row r="197">
          <cell r="B197" t="str">
            <v>Kent State University</v>
          </cell>
          <cell r="C197" t="str">
            <v>United States of America</v>
          </cell>
          <cell r="D197">
            <v>196</v>
          </cell>
          <cell r="E197">
            <v>15.9</v>
          </cell>
          <cell r="F197">
            <v>33.299999999999997</v>
          </cell>
          <cell r="G197">
            <v>76.8</v>
          </cell>
          <cell r="H197">
            <v>26.3</v>
          </cell>
          <cell r="I197">
            <v>46.5</v>
          </cell>
          <cell r="J197">
            <v>23122</v>
          </cell>
          <cell r="K197">
            <v>19</v>
          </cell>
          <cell r="L197">
            <v>0.08</v>
          </cell>
          <cell r="M197">
            <v>2.4458333333333333</v>
          </cell>
          <cell r="N197">
            <v>2011</v>
          </cell>
          <cell r="O197">
            <v>586</v>
          </cell>
          <cell r="P197">
            <v>173</v>
          </cell>
        </row>
        <row r="198">
          <cell r="B198" t="str">
            <v>University of Illinois at Chicago</v>
          </cell>
          <cell r="C198" t="str">
            <v>United States of America</v>
          </cell>
          <cell r="D198">
            <v>197</v>
          </cell>
          <cell r="E198">
            <v>51.8</v>
          </cell>
          <cell r="F198">
            <v>46.8</v>
          </cell>
          <cell r="G198">
            <v>34.700000000000003</v>
          </cell>
          <cell r="H198" t="str">
            <v>-</v>
          </cell>
          <cell r="I198">
            <v>46.4</v>
          </cell>
          <cell r="J198">
            <v>24313</v>
          </cell>
          <cell r="K198">
            <v>9.1999999999999993</v>
          </cell>
          <cell r="L198">
            <v>0.17</v>
          </cell>
          <cell r="M198">
            <v>2.2409722222222221</v>
          </cell>
          <cell r="N198">
            <v>2011</v>
          </cell>
          <cell r="O198">
            <v>218</v>
          </cell>
          <cell r="P198">
            <v>90</v>
          </cell>
        </row>
        <row r="199">
          <cell r="B199" t="str">
            <v>Zhejiang University</v>
          </cell>
          <cell r="C199" t="str">
            <v>China</v>
          </cell>
          <cell r="D199">
            <v>197</v>
          </cell>
          <cell r="E199">
            <v>29.6</v>
          </cell>
          <cell r="F199">
            <v>41.3</v>
          </cell>
          <cell r="G199">
            <v>44.3</v>
          </cell>
          <cell r="H199">
            <v>70.3</v>
          </cell>
          <cell r="I199">
            <v>46.4</v>
          </cell>
          <cell r="J199">
            <v>47508</v>
          </cell>
          <cell r="K199">
            <v>15.9</v>
          </cell>
          <cell r="L199">
            <v>0.05</v>
          </cell>
          <cell r="M199">
            <v>1.7493055555555554</v>
          </cell>
          <cell r="N199">
            <v>2011</v>
          </cell>
          <cell r="O199">
            <v>206</v>
          </cell>
          <cell r="P199">
            <v>5</v>
          </cell>
        </row>
        <row r="200">
          <cell r="B200" t="str">
            <v>Simon Fraser University</v>
          </cell>
          <cell r="C200" t="str">
            <v>Canada</v>
          </cell>
          <cell r="D200">
            <v>199</v>
          </cell>
          <cell r="E200">
            <v>51.9</v>
          </cell>
          <cell r="F200">
            <v>44.2</v>
          </cell>
          <cell r="G200">
            <v>60.2</v>
          </cell>
          <cell r="H200">
            <v>37.9</v>
          </cell>
          <cell r="I200">
            <v>46.2</v>
          </cell>
          <cell r="J200">
            <v>26640</v>
          </cell>
          <cell r="K200">
            <v>28.3</v>
          </cell>
          <cell r="L200">
            <v>0.19</v>
          </cell>
          <cell r="M200">
            <v>2.3229166666666665</v>
          </cell>
          <cell r="N200">
            <v>2011</v>
          </cell>
          <cell r="O200">
            <v>393</v>
          </cell>
          <cell r="P200">
            <v>17</v>
          </cell>
        </row>
        <row r="201">
          <cell r="B201" t="str">
            <v>Swedish University of Agricultural Sciences</v>
          </cell>
          <cell r="C201" t="str">
            <v>Sweden</v>
          </cell>
          <cell r="D201">
            <v>199</v>
          </cell>
          <cell r="E201" t="str">
            <v>-</v>
          </cell>
          <cell r="F201">
            <v>49.5</v>
          </cell>
          <cell r="G201">
            <v>41.7</v>
          </cell>
          <cell r="H201">
            <v>99.9</v>
          </cell>
          <cell r="I201">
            <v>46.2</v>
          </cell>
          <cell r="J201">
            <v>3879</v>
          </cell>
          <cell r="K201">
            <v>4.5999999999999996</v>
          </cell>
          <cell r="M201">
            <v>2.8145833333333332</v>
          </cell>
          <cell r="N201">
            <v>2011</v>
          </cell>
          <cell r="O201">
            <v>433</v>
          </cell>
          <cell r="P201">
            <v>10</v>
          </cell>
        </row>
        <row r="202">
          <cell r="B202" t="str">
            <v>California Institute of Technology</v>
          </cell>
          <cell r="C202" t="str">
            <v>United States of America</v>
          </cell>
          <cell r="D202">
            <v>1</v>
          </cell>
          <cell r="E202">
            <v>56</v>
          </cell>
          <cell r="F202">
            <v>98.2</v>
          </cell>
          <cell r="G202">
            <v>99.9</v>
          </cell>
          <cell r="H202">
            <v>97</v>
          </cell>
          <cell r="I202">
            <v>94.8</v>
          </cell>
          <cell r="J202">
            <v>2243</v>
          </cell>
          <cell r="K202">
            <v>6.9</v>
          </cell>
          <cell r="L202">
            <v>0.27</v>
          </cell>
          <cell r="M202" t="str">
            <v>33 : 67</v>
          </cell>
          <cell r="N202">
            <v>2012</v>
          </cell>
          <cell r="O202">
            <v>5</v>
          </cell>
          <cell r="P202">
            <v>4</v>
          </cell>
        </row>
        <row r="203">
          <cell r="B203" t="str">
            <v>Harvard University</v>
          </cell>
          <cell r="C203" t="str">
            <v>United States of America</v>
          </cell>
          <cell r="D203">
            <v>2</v>
          </cell>
          <cell r="E203">
            <v>67.5</v>
          </cell>
          <cell r="F203">
            <v>97.4</v>
          </cell>
          <cell r="G203">
            <v>99.8</v>
          </cell>
          <cell r="H203">
            <v>35.9</v>
          </cell>
          <cell r="I203">
            <v>93.9</v>
          </cell>
          <cell r="J203">
            <v>20152</v>
          </cell>
          <cell r="K203">
            <v>8.9</v>
          </cell>
          <cell r="L203">
            <v>0.25</v>
          </cell>
          <cell r="N203">
            <v>2012</v>
          </cell>
          <cell r="O203">
            <v>1</v>
          </cell>
          <cell r="P203">
            <v>1</v>
          </cell>
        </row>
        <row r="204">
          <cell r="B204" t="str">
            <v>Stanford University</v>
          </cell>
          <cell r="C204" t="str">
            <v>United States of America</v>
          </cell>
          <cell r="D204">
            <v>2</v>
          </cell>
          <cell r="E204">
            <v>57.2</v>
          </cell>
          <cell r="F204">
            <v>98.9</v>
          </cell>
          <cell r="G204">
            <v>99.8</v>
          </cell>
          <cell r="H204">
            <v>63.8</v>
          </cell>
          <cell r="I204">
            <v>93.9</v>
          </cell>
          <cell r="J204">
            <v>15596</v>
          </cell>
          <cell r="K204">
            <v>7.8</v>
          </cell>
          <cell r="L204">
            <v>0.22</v>
          </cell>
          <cell r="M204">
            <v>1.7902777777777779</v>
          </cell>
          <cell r="N204">
            <v>2012</v>
          </cell>
          <cell r="O204">
            <v>3</v>
          </cell>
          <cell r="P204">
            <v>3</v>
          </cell>
        </row>
        <row r="205">
          <cell r="B205" t="str">
            <v>University of Oxford</v>
          </cell>
          <cell r="C205" t="str">
            <v>United Kingdom</v>
          </cell>
          <cell r="D205">
            <v>4</v>
          </cell>
          <cell r="E205">
            <v>91.9</v>
          </cell>
          <cell r="F205">
            <v>96.6</v>
          </cell>
          <cell r="G205">
            <v>97.9</v>
          </cell>
          <cell r="H205">
            <v>62.1</v>
          </cell>
          <cell r="I205">
            <v>93.6</v>
          </cell>
          <cell r="J205">
            <v>19919</v>
          </cell>
          <cell r="K205">
            <v>11.6</v>
          </cell>
          <cell r="L205">
            <v>0.34</v>
          </cell>
          <cell r="M205">
            <v>1.9541666666666666</v>
          </cell>
          <cell r="N205">
            <v>2012</v>
          </cell>
          <cell r="O205">
            <v>7</v>
          </cell>
          <cell r="P205">
            <v>2</v>
          </cell>
        </row>
        <row r="206">
          <cell r="B206" t="str">
            <v>Princeton University</v>
          </cell>
          <cell r="C206" t="str">
            <v>United States of America</v>
          </cell>
          <cell r="D206">
            <v>5</v>
          </cell>
          <cell r="E206">
            <v>49.6</v>
          </cell>
          <cell r="F206">
            <v>99.1</v>
          </cell>
          <cell r="G206">
            <v>100</v>
          </cell>
          <cell r="H206">
            <v>81</v>
          </cell>
          <cell r="I206">
            <v>92.9</v>
          </cell>
          <cell r="J206">
            <v>7929</v>
          </cell>
          <cell r="K206">
            <v>8.4</v>
          </cell>
          <cell r="L206">
            <v>0.27</v>
          </cell>
          <cell r="M206">
            <v>1.9131944444444444</v>
          </cell>
          <cell r="N206">
            <v>2012</v>
          </cell>
          <cell r="O206">
            <v>6</v>
          </cell>
          <cell r="P206">
            <v>5</v>
          </cell>
        </row>
        <row r="207">
          <cell r="B207" t="str">
            <v>University of Cambridge</v>
          </cell>
          <cell r="C207" t="str">
            <v>United Kingdom</v>
          </cell>
          <cell r="D207">
            <v>6</v>
          </cell>
          <cell r="E207">
            <v>85.3</v>
          </cell>
          <cell r="F207">
            <v>94.2</v>
          </cell>
          <cell r="G207">
            <v>97.3</v>
          </cell>
          <cell r="H207">
            <v>55.5</v>
          </cell>
          <cell r="I207">
            <v>92.4</v>
          </cell>
          <cell r="J207">
            <v>18812</v>
          </cell>
          <cell r="K207">
            <v>11.8</v>
          </cell>
          <cell r="L207">
            <v>0.34</v>
          </cell>
          <cell r="M207">
            <v>1.9541666666666666</v>
          </cell>
          <cell r="N207">
            <v>2012</v>
          </cell>
          <cell r="O207">
            <v>4</v>
          </cell>
          <cell r="P207">
            <v>1</v>
          </cell>
        </row>
        <row r="208">
          <cell r="B208" t="str">
            <v>Massachusetts Institute of Technology</v>
          </cell>
          <cell r="C208" t="str">
            <v>United States of America</v>
          </cell>
          <cell r="D208">
            <v>7</v>
          </cell>
          <cell r="E208">
            <v>79.2</v>
          </cell>
          <cell r="F208">
            <v>87.4</v>
          </cell>
          <cell r="G208">
            <v>100</v>
          </cell>
          <cell r="H208">
            <v>94.4</v>
          </cell>
          <cell r="I208">
            <v>92.3</v>
          </cell>
          <cell r="J208">
            <v>11074</v>
          </cell>
          <cell r="K208">
            <v>9</v>
          </cell>
          <cell r="L208">
            <v>0.33</v>
          </cell>
          <cell r="M208" t="str">
            <v>37 : 63</v>
          </cell>
          <cell r="N208">
            <v>2012</v>
          </cell>
          <cell r="O208">
            <v>2</v>
          </cell>
          <cell r="P208">
            <v>2</v>
          </cell>
        </row>
        <row r="209">
          <cell r="B209" t="str">
            <v>Imperial College London</v>
          </cell>
          <cell r="C209" t="str">
            <v>United Kingdom</v>
          </cell>
          <cell r="D209">
            <v>8</v>
          </cell>
          <cell r="E209">
            <v>92.2</v>
          </cell>
          <cell r="F209">
            <v>88.7</v>
          </cell>
          <cell r="G209">
            <v>93.9</v>
          </cell>
          <cell r="H209">
            <v>93.1</v>
          </cell>
          <cell r="I209">
            <v>90.7</v>
          </cell>
          <cell r="J209">
            <v>15060</v>
          </cell>
          <cell r="K209">
            <v>11.7</v>
          </cell>
          <cell r="L209">
            <v>0.51</v>
          </cell>
          <cell r="M209" t="str">
            <v>37 : 63</v>
          </cell>
          <cell r="N209">
            <v>2012</v>
          </cell>
          <cell r="O209">
            <v>28</v>
          </cell>
          <cell r="P209">
            <v>3</v>
          </cell>
        </row>
        <row r="210">
          <cell r="B210" t="str">
            <v>University of Chicago</v>
          </cell>
          <cell r="C210" t="str">
            <v>United States of America</v>
          </cell>
          <cell r="D210">
            <v>9</v>
          </cell>
          <cell r="E210">
            <v>58.8</v>
          </cell>
          <cell r="F210">
            <v>90.8</v>
          </cell>
          <cell r="G210">
            <v>99.4</v>
          </cell>
          <cell r="H210" t="str">
            <v>-</v>
          </cell>
          <cell r="I210">
            <v>90.2</v>
          </cell>
          <cell r="J210">
            <v>14221</v>
          </cell>
          <cell r="K210">
            <v>6.9</v>
          </cell>
          <cell r="L210">
            <v>0.21</v>
          </cell>
          <cell r="M210">
            <v>1.7902777777777779</v>
          </cell>
          <cell r="N210">
            <v>2012</v>
          </cell>
          <cell r="O210">
            <v>11</v>
          </cell>
          <cell r="P210">
            <v>9</v>
          </cell>
        </row>
        <row r="211">
          <cell r="B211" t="str">
            <v>University of California, Berkeley</v>
          </cell>
          <cell r="C211" t="str">
            <v>United States of America</v>
          </cell>
          <cell r="D211">
            <v>10</v>
          </cell>
          <cell r="E211">
            <v>50.4</v>
          </cell>
          <cell r="F211">
            <v>99.4</v>
          </cell>
          <cell r="G211">
            <v>99.4</v>
          </cell>
          <cell r="H211">
            <v>62.5</v>
          </cell>
          <cell r="I211">
            <v>89.8</v>
          </cell>
          <cell r="J211">
            <v>36186</v>
          </cell>
          <cell r="K211">
            <v>16.399999999999999</v>
          </cell>
          <cell r="L211">
            <v>0.15</v>
          </cell>
          <cell r="M211">
            <v>2.1180555555555554</v>
          </cell>
          <cell r="N211">
            <v>2012</v>
          </cell>
          <cell r="O211">
            <v>10</v>
          </cell>
          <cell r="P211">
            <v>8</v>
          </cell>
        </row>
        <row r="212">
          <cell r="B212" t="str">
            <v>Yale University</v>
          </cell>
          <cell r="C212" t="str">
            <v>United States of America</v>
          </cell>
          <cell r="D212">
            <v>11</v>
          </cell>
          <cell r="E212">
            <v>55.5</v>
          </cell>
          <cell r="F212">
            <v>91.2</v>
          </cell>
          <cell r="G212">
            <v>96.7</v>
          </cell>
          <cell r="H212">
            <v>34.700000000000003</v>
          </cell>
          <cell r="I212">
            <v>89.1</v>
          </cell>
          <cell r="J212">
            <v>11751</v>
          </cell>
          <cell r="K212">
            <v>4.4000000000000004</v>
          </cell>
          <cell r="L212">
            <v>0.2</v>
          </cell>
          <cell r="M212">
            <v>2.1180555555555554</v>
          </cell>
          <cell r="N212">
            <v>2012</v>
          </cell>
          <cell r="O212">
            <v>8</v>
          </cell>
          <cell r="P212">
            <v>6</v>
          </cell>
        </row>
        <row r="213">
          <cell r="B213" t="str">
            <v>Columbia University</v>
          </cell>
          <cell r="C213" t="str">
            <v>United States of America</v>
          </cell>
          <cell r="D213">
            <v>12</v>
          </cell>
          <cell r="E213">
            <v>67.599999999999994</v>
          </cell>
          <cell r="F213">
            <v>81.8</v>
          </cell>
          <cell r="G213">
            <v>97.8</v>
          </cell>
          <cell r="H213" t="str">
            <v>-</v>
          </cell>
          <cell r="I213">
            <v>87.5</v>
          </cell>
          <cell r="J213">
            <v>25055</v>
          </cell>
          <cell r="K213">
            <v>5.9</v>
          </cell>
          <cell r="L213">
            <v>0.28000000000000003</v>
          </cell>
          <cell r="N213">
            <v>2012</v>
          </cell>
          <cell r="O213">
            <v>9</v>
          </cell>
          <cell r="P213">
            <v>7</v>
          </cell>
        </row>
        <row r="214">
          <cell r="B214" t="str">
            <v>University of California, Los Angeles</v>
          </cell>
          <cell r="C214" t="str">
            <v>United States of America</v>
          </cell>
          <cell r="D214">
            <v>13</v>
          </cell>
          <cell r="E214">
            <v>41</v>
          </cell>
          <cell r="F214">
            <v>92.5</v>
          </cell>
          <cell r="G214">
            <v>97.3</v>
          </cell>
          <cell r="H214" t="str">
            <v>-</v>
          </cell>
          <cell r="I214">
            <v>87.3</v>
          </cell>
          <cell r="J214">
            <v>38206</v>
          </cell>
          <cell r="K214">
            <v>10.3</v>
          </cell>
          <cell r="L214">
            <v>0.15</v>
          </cell>
          <cell r="M214">
            <v>2.2000000000000002</v>
          </cell>
          <cell r="N214">
            <v>2012</v>
          </cell>
          <cell r="O214">
            <v>19</v>
          </cell>
          <cell r="P214">
            <v>13</v>
          </cell>
        </row>
        <row r="215">
          <cell r="B215" t="str">
            <v>Johns Hopkins University</v>
          </cell>
          <cell r="C215" t="str">
            <v>United States of America</v>
          </cell>
          <cell r="D215">
            <v>14</v>
          </cell>
          <cell r="E215">
            <v>59.9</v>
          </cell>
          <cell r="F215">
            <v>86.5</v>
          </cell>
          <cell r="G215">
            <v>97.3</v>
          </cell>
          <cell r="H215">
            <v>100</v>
          </cell>
          <cell r="I215">
            <v>85.8</v>
          </cell>
          <cell r="J215">
            <v>15128</v>
          </cell>
          <cell r="K215">
            <v>3.6</v>
          </cell>
          <cell r="L215">
            <v>0.23</v>
          </cell>
          <cell r="M215">
            <v>2.1180555555555554</v>
          </cell>
          <cell r="N215">
            <v>2012</v>
          </cell>
          <cell r="O215">
            <v>15</v>
          </cell>
          <cell r="P215">
            <v>12</v>
          </cell>
        </row>
        <row r="216">
          <cell r="B216" t="str">
            <v>ETH Zurich â€“ Swiss Federal Institute of Technology Zurich</v>
          </cell>
          <cell r="C216" t="str">
            <v>Switzerland</v>
          </cell>
          <cell r="D216">
            <v>15</v>
          </cell>
          <cell r="E216">
            <v>97.5</v>
          </cell>
          <cell r="F216">
            <v>85.8</v>
          </cell>
          <cell r="G216">
            <v>87.2</v>
          </cell>
          <cell r="H216" t="str">
            <v>-</v>
          </cell>
          <cell r="I216">
            <v>85</v>
          </cell>
          <cell r="J216">
            <v>18178</v>
          </cell>
          <cell r="K216">
            <v>14.7</v>
          </cell>
          <cell r="L216">
            <v>0.37</v>
          </cell>
          <cell r="M216" t="str">
            <v>31 : 69</v>
          </cell>
          <cell r="N216">
            <v>2012</v>
          </cell>
          <cell r="O216" t="e">
            <v>#N/A</v>
          </cell>
          <cell r="P216" t="e">
            <v>#N/A</v>
          </cell>
        </row>
        <row r="217">
          <cell r="B217" t="str">
            <v>University of Pennsylvania</v>
          </cell>
          <cell r="C217" t="str">
            <v>United States of America</v>
          </cell>
          <cell r="D217">
            <v>16</v>
          </cell>
          <cell r="E217">
            <v>34.299999999999997</v>
          </cell>
          <cell r="F217">
            <v>86.1</v>
          </cell>
          <cell r="G217">
            <v>97.9</v>
          </cell>
          <cell r="H217">
            <v>41.9</v>
          </cell>
          <cell r="I217">
            <v>84.9</v>
          </cell>
          <cell r="J217">
            <v>20376</v>
          </cell>
          <cell r="K217">
            <v>6.5</v>
          </cell>
          <cell r="L217">
            <v>0.2</v>
          </cell>
          <cell r="M217">
            <v>2.1590277777777778</v>
          </cell>
          <cell r="N217">
            <v>2012</v>
          </cell>
          <cell r="O217">
            <v>13</v>
          </cell>
          <cell r="P217">
            <v>11</v>
          </cell>
        </row>
        <row r="218">
          <cell r="B218" t="str">
            <v>University College London</v>
          </cell>
          <cell r="C218" t="str">
            <v>United Kingdom</v>
          </cell>
          <cell r="D218">
            <v>17</v>
          </cell>
          <cell r="E218">
            <v>91.8</v>
          </cell>
          <cell r="F218">
            <v>84.3</v>
          </cell>
          <cell r="G218">
            <v>89</v>
          </cell>
          <cell r="H218">
            <v>41.4</v>
          </cell>
          <cell r="I218">
            <v>83.2</v>
          </cell>
          <cell r="J218">
            <v>26607</v>
          </cell>
          <cell r="K218">
            <v>10.7</v>
          </cell>
          <cell r="L218">
            <v>0.46</v>
          </cell>
          <cell r="M218">
            <v>2.3638888888888889</v>
          </cell>
          <cell r="N218">
            <v>2012</v>
          </cell>
          <cell r="O218">
            <v>31</v>
          </cell>
          <cell r="P218">
            <v>4</v>
          </cell>
        </row>
        <row r="219">
          <cell r="B219" t="str">
            <v>University of Michigan</v>
          </cell>
          <cell r="C219" t="str">
            <v>United States of America</v>
          </cell>
          <cell r="D219">
            <v>18</v>
          </cell>
          <cell r="E219">
            <v>47.2</v>
          </cell>
          <cell r="F219">
            <v>90</v>
          </cell>
          <cell r="G219">
            <v>94.3</v>
          </cell>
          <cell r="H219">
            <v>53.3</v>
          </cell>
          <cell r="I219">
            <v>82.8</v>
          </cell>
          <cell r="J219">
            <v>41786</v>
          </cell>
          <cell r="K219">
            <v>9</v>
          </cell>
          <cell r="L219">
            <v>0.16</v>
          </cell>
          <cell r="M219">
            <v>2.036111111111111</v>
          </cell>
          <cell r="N219">
            <v>2012</v>
          </cell>
          <cell r="O219" t="e">
            <v>#N/A</v>
          </cell>
          <cell r="P219" t="e">
            <v>#N/A</v>
          </cell>
        </row>
        <row r="220">
          <cell r="B220" t="str">
            <v>University of Toronto</v>
          </cell>
          <cell r="C220" t="str">
            <v>Canada</v>
          </cell>
          <cell r="D220">
            <v>19</v>
          </cell>
          <cell r="E220">
            <v>69</v>
          </cell>
          <cell r="F220">
            <v>87.4</v>
          </cell>
          <cell r="G220">
            <v>86.5</v>
          </cell>
          <cell r="H220">
            <v>44.9</v>
          </cell>
          <cell r="I220">
            <v>81.599999999999994</v>
          </cell>
          <cell r="J220">
            <v>66198</v>
          </cell>
          <cell r="K220">
            <v>19.5</v>
          </cell>
          <cell r="L220">
            <v>0.15</v>
          </cell>
          <cell r="N220">
            <v>2012</v>
          </cell>
          <cell r="O220">
            <v>35</v>
          </cell>
          <cell r="P220">
            <v>1</v>
          </cell>
        </row>
        <row r="221">
          <cell r="B221" t="str">
            <v>Cornell University</v>
          </cell>
          <cell r="C221" t="str">
            <v>United States of America</v>
          </cell>
          <cell r="D221">
            <v>20</v>
          </cell>
          <cell r="E221">
            <v>53.4</v>
          </cell>
          <cell r="F221">
            <v>87.2</v>
          </cell>
          <cell r="G221">
            <v>93.5</v>
          </cell>
          <cell r="H221" t="str">
            <v>-</v>
          </cell>
          <cell r="I221">
            <v>80.5</v>
          </cell>
          <cell r="J221">
            <v>21424</v>
          </cell>
          <cell r="K221">
            <v>10.199999999999999</v>
          </cell>
          <cell r="L221">
            <v>0.19</v>
          </cell>
          <cell r="M221">
            <v>2.036111111111111</v>
          </cell>
          <cell r="N221">
            <v>2012</v>
          </cell>
          <cell r="O221">
            <v>12</v>
          </cell>
          <cell r="P221">
            <v>10</v>
          </cell>
        </row>
        <row r="222">
          <cell r="B222" t="str">
            <v>Carnegie Mellon University</v>
          </cell>
          <cell r="C222" t="str">
            <v>United States of America</v>
          </cell>
          <cell r="D222">
            <v>21</v>
          </cell>
          <cell r="E222">
            <v>55</v>
          </cell>
          <cell r="F222">
            <v>79.5</v>
          </cell>
          <cell r="G222">
            <v>97.4</v>
          </cell>
          <cell r="H222">
            <v>60.7</v>
          </cell>
          <cell r="I222">
            <v>78.400000000000006</v>
          </cell>
          <cell r="J222">
            <v>11885</v>
          </cell>
          <cell r="K222">
            <v>13.1</v>
          </cell>
          <cell r="L222">
            <v>0.35</v>
          </cell>
          <cell r="M222" t="str">
            <v>39 : 61</v>
          </cell>
          <cell r="N222">
            <v>2012</v>
          </cell>
          <cell r="O222">
            <v>43</v>
          </cell>
          <cell r="P222">
            <v>31</v>
          </cell>
        </row>
        <row r="223">
          <cell r="B223" t="str">
            <v>Duke University</v>
          </cell>
          <cell r="C223" t="str">
            <v>United States of America</v>
          </cell>
          <cell r="D223">
            <v>22</v>
          </cell>
          <cell r="E223">
            <v>46.9</v>
          </cell>
          <cell r="F223">
            <v>77.900000000000006</v>
          </cell>
          <cell r="G223">
            <v>97.4</v>
          </cell>
          <cell r="H223">
            <v>100</v>
          </cell>
          <cell r="I223">
            <v>77.400000000000006</v>
          </cell>
          <cell r="J223">
            <v>15172</v>
          </cell>
          <cell r="K223">
            <v>4.8</v>
          </cell>
          <cell r="L223">
            <v>0.17</v>
          </cell>
          <cell r="M223">
            <v>2.0770833333333334</v>
          </cell>
          <cell r="N223">
            <v>2012</v>
          </cell>
          <cell r="O223">
            <v>27</v>
          </cell>
          <cell r="P223">
            <v>20</v>
          </cell>
        </row>
        <row r="224">
          <cell r="B224" t="str">
            <v>University of British Columbia</v>
          </cell>
          <cell r="C224" t="str">
            <v>Canada</v>
          </cell>
          <cell r="D224">
            <v>22</v>
          </cell>
          <cell r="E224">
            <v>88.7</v>
          </cell>
          <cell r="F224">
            <v>78.599999999999994</v>
          </cell>
          <cell r="G224">
            <v>85.2</v>
          </cell>
          <cell r="H224">
            <v>40.6</v>
          </cell>
          <cell r="I224">
            <v>77.400000000000006</v>
          </cell>
          <cell r="J224">
            <v>50152</v>
          </cell>
          <cell r="K224">
            <v>17.600000000000001</v>
          </cell>
          <cell r="L224">
            <v>0.25</v>
          </cell>
          <cell r="M224">
            <v>2.2819444444444446</v>
          </cell>
          <cell r="N224">
            <v>2012</v>
          </cell>
          <cell r="O224">
            <v>67</v>
          </cell>
          <cell r="P224">
            <v>3</v>
          </cell>
        </row>
        <row r="225">
          <cell r="B225" t="str">
            <v>Georgia Institute of Technology</v>
          </cell>
          <cell r="C225" t="str">
            <v>United States of America</v>
          </cell>
          <cell r="D225">
            <v>24</v>
          </cell>
          <cell r="E225">
            <v>65</v>
          </cell>
          <cell r="F225">
            <v>73.8</v>
          </cell>
          <cell r="G225">
            <v>91.9</v>
          </cell>
          <cell r="H225">
            <v>99.2</v>
          </cell>
          <cell r="I225">
            <v>77</v>
          </cell>
          <cell r="J225">
            <v>19967</v>
          </cell>
          <cell r="K225">
            <v>20.100000000000001</v>
          </cell>
          <cell r="L225">
            <v>0.26</v>
          </cell>
          <cell r="M225" t="str">
            <v>31 : 69</v>
          </cell>
          <cell r="N225">
            <v>2012</v>
          </cell>
          <cell r="O225">
            <v>87</v>
          </cell>
          <cell r="P225">
            <v>56</v>
          </cell>
        </row>
        <row r="226">
          <cell r="B226" t="str">
            <v>University of Washington</v>
          </cell>
          <cell r="C226" t="str">
            <v>United States of America</v>
          </cell>
          <cell r="D226">
            <v>25</v>
          </cell>
          <cell r="E226">
            <v>36.9</v>
          </cell>
          <cell r="F226">
            <v>74</v>
          </cell>
          <cell r="G226">
            <v>98.2</v>
          </cell>
          <cell r="H226">
            <v>31.8</v>
          </cell>
          <cell r="I226">
            <v>76.5</v>
          </cell>
          <cell r="J226">
            <v>44020</v>
          </cell>
          <cell r="K226">
            <v>11.8</v>
          </cell>
          <cell r="L226">
            <v>0.13</v>
          </cell>
          <cell r="M226">
            <v>2.2409722222222221</v>
          </cell>
          <cell r="N226">
            <v>2012</v>
          </cell>
          <cell r="O226" t="e">
            <v>#N/A</v>
          </cell>
          <cell r="P226" t="e">
            <v>#N/A</v>
          </cell>
        </row>
        <row r="227">
          <cell r="B227" t="str">
            <v>Northwestern University</v>
          </cell>
          <cell r="C227" t="str">
            <v>United States of America</v>
          </cell>
          <cell r="D227">
            <v>26</v>
          </cell>
          <cell r="E227">
            <v>35.299999999999997</v>
          </cell>
          <cell r="F227">
            <v>75.5</v>
          </cell>
          <cell r="G227">
            <v>98.6</v>
          </cell>
          <cell r="H227">
            <v>56.6</v>
          </cell>
          <cell r="I227">
            <v>76.2</v>
          </cell>
          <cell r="J227">
            <v>18334</v>
          </cell>
          <cell r="K227">
            <v>13.8</v>
          </cell>
          <cell r="L227">
            <v>0.15</v>
          </cell>
          <cell r="M227">
            <v>2.036111111111111</v>
          </cell>
          <cell r="N227">
            <v>2012</v>
          </cell>
          <cell r="O227">
            <v>33</v>
          </cell>
          <cell r="P227">
            <v>23</v>
          </cell>
        </row>
        <row r="228">
          <cell r="B228" t="str">
            <v>University of Wisconsin-Madison</v>
          </cell>
          <cell r="C228" t="str">
            <v>United States of America</v>
          </cell>
          <cell r="D228">
            <v>27</v>
          </cell>
          <cell r="E228">
            <v>23.8</v>
          </cell>
          <cell r="F228">
            <v>77.3</v>
          </cell>
          <cell r="G228">
            <v>90.6</v>
          </cell>
          <cell r="H228">
            <v>55.3</v>
          </cell>
          <cell r="I228">
            <v>75.8</v>
          </cell>
          <cell r="J228">
            <v>39655</v>
          </cell>
          <cell r="K228">
            <v>10.8</v>
          </cell>
          <cell r="L228">
            <v>0.11</v>
          </cell>
          <cell r="M228">
            <v>2.1590277777777778</v>
          </cell>
          <cell r="N228">
            <v>2012</v>
          </cell>
          <cell r="O228" t="e">
            <v>#N/A</v>
          </cell>
          <cell r="P228" t="e">
            <v>#N/A</v>
          </cell>
        </row>
        <row r="229">
          <cell r="B229" t="str">
            <v>McGill University</v>
          </cell>
          <cell r="C229" t="str">
            <v>Canada</v>
          </cell>
          <cell r="D229">
            <v>28</v>
          </cell>
          <cell r="E229">
            <v>81.400000000000006</v>
          </cell>
          <cell r="F229">
            <v>78.400000000000006</v>
          </cell>
          <cell r="G229">
            <v>77.099999999999994</v>
          </cell>
          <cell r="H229">
            <v>35.1</v>
          </cell>
          <cell r="I229">
            <v>75.5</v>
          </cell>
          <cell r="J229">
            <v>31326</v>
          </cell>
          <cell r="K229">
            <v>13.7</v>
          </cell>
          <cell r="L229">
            <v>0.23</v>
          </cell>
          <cell r="M229">
            <v>2.3638888888888889</v>
          </cell>
          <cell r="N229">
            <v>2012</v>
          </cell>
          <cell r="O229">
            <v>41</v>
          </cell>
          <cell r="P229">
            <v>2</v>
          </cell>
        </row>
        <row r="230">
          <cell r="B230" t="str">
            <v>University of Texas at Austin</v>
          </cell>
          <cell r="C230" t="str">
            <v>United States of America</v>
          </cell>
          <cell r="D230">
            <v>29</v>
          </cell>
          <cell r="E230">
            <v>38.799999999999997</v>
          </cell>
          <cell r="F230">
            <v>76.099999999999994</v>
          </cell>
          <cell r="G230">
            <v>89.6</v>
          </cell>
          <cell r="H230">
            <v>57.7</v>
          </cell>
          <cell r="I230">
            <v>74.900000000000006</v>
          </cell>
          <cell r="J230">
            <v>49427</v>
          </cell>
          <cell r="K230">
            <v>17.399999999999999</v>
          </cell>
          <cell r="L230">
            <v>0.09</v>
          </cell>
          <cell r="M230">
            <v>2.1590277777777778</v>
          </cell>
          <cell r="N230">
            <v>2012</v>
          </cell>
          <cell r="O230">
            <v>30</v>
          </cell>
          <cell r="P230">
            <v>22</v>
          </cell>
        </row>
        <row r="231">
          <cell r="B231" t="str">
            <v>University of Tokyo</v>
          </cell>
          <cell r="C231" t="str">
            <v>Japan</v>
          </cell>
          <cell r="D231">
            <v>30</v>
          </cell>
          <cell r="E231">
            <v>23</v>
          </cell>
          <cell r="F231">
            <v>80.3</v>
          </cell>
          <cell r="G231">
            <v>69.099999999999994</v>
          </cell>
          <cell r="H231">
            <v>76.599999999999994</v>
          </cell>
          <cell r="I231">
            <v>74.3</v>
          </cell>
          <cell r="J231">
            <v>26199</v>
          </cell>
          <cell r="K231">
            <v>5.7</v>
          </cell>
          <cell r="L231">
            <v>0.1</v>
          </cell>
          <cell r="N231">
            <v>2012</v>
          </cell>
          <cell r="O231">
            <v>14</v>
          </cell>
          <cell r="P231">
            <v>1</v>
          </cell>
        </row>
        <row r="232">
          <cell r="B232" t="str">
            <v>University of Illinois at Urbana-Champaign</v>
          </cell>
          <cell r="C232" t="str">
            <v>United States of America</v>
          </cell>
          <cell r="D232">
            <v>31</v>
          </cell>
          <cell r="E232">
            <v>50.7</v>
          </cell>
          <cell r="F232">
            <v>81.3</v>
          </cell>
          <cell r="G232">
            <v>81.5</v>
          </cell>
          <cell r="H232" t="str">
            <v>-</v>
          </cell>
          <cell r="I232">
            <v>74.2</v>
          </cell>
          <cell r="J232">
            <v>42727</v>
          </cell>
          <cell r="K232">
            <v>18.7</v>
          </cell>
          <cell r="L232">
            <v>0.2</v>
          </cell>
          <cell r="M232">
            <v>1.9951388888888888</v>
          </cell>
          <cell r="N232">
            <v>2012</v>
          </cell>
          <cell r="O232" t="e">
            <v>#N/A</v>
          </cell>
          <cell r="P232" t="e">
            <v>#N/A</v>
          </cell>
        </row>
        <row r="233">
          <cell r="B233" t="str">
            <v>Karolinska Institute</v>
          </cell>
          <cell r="C233" t="str">
            <v>Sweden</v>
          </cell>
          <cell r="D233">
            <v>32</v>
          </cell>
          <cell r="E233">
            <v>82</v>
          </cell>
          <cell r="F233">
            <v>73.8</v>
          </cell>
          <cell r="G233">
            <v>73.099999999999994</v>
          </cell>
          <cell r="H233">
            <v>78.5</v>
          </cell>
          <cell r="I233">
            <v>73.099999999999994</v>
          </cell>
          <cell r="J233">
            <v>7774</v>
          </cell>
          <cell r="K233">
            <v>11.5</v>
          </cell>
          <cell r="L233">
            <v>0.22</v>
          </cell>
          <cell r="M233">
            <v>2.9375</v>
          </cell>
          <cell r="N233">
            <v>2012</v>
          </cell>
          <cell r="O233">
            <v>70</v>
          </cell>
          <cell r="P233">
            <v>1</v>
          </cell>
        </row>
        <row r="234">
          <cell r="B234" t="str">
            <v>University of California, San Diego</v>
          </cell>
          <cell r="C234" t="str">
            <v>United States of America</v>
          </cell>
          <cell r="D234">
            <v>33</v>
          </cell>
          <cell r="E234">
            <v>31.5</v>
          </cell>
          <cell r="F234">
            <v>72</v>
          </cell>
          <cell r="G234">
            <v>97.8</v>
          </cell>
          <cell r="H234">
            <v>51.8</v>
          </cell>
          <cell r="I234">
            <v>73</v>
          </cell>
          <cell r="J234">
            <v>27233</v>
          </cell>
          <cell r="K234">
            <v>6.5</v>
          </cell>
          <cell r="L234">
            <v>0.11</v>
          </cell>
          <cell r="M234">
            <v>2.036111111111111</v>
          </cell>
          <cell r="N234">
            <v>2012</v>
          </cell>
          <cell r="O234">
            <v>20</v>
          </cell>
          <cell r="P234">
            <v>14</v>
          </cell>
        </row>
        <row r="235">
          <cell r="B235" t="str">
            <v>University of Hong Kong</v>
          </cell>
          <cell r="C235" t="str">
            <v>Hong Kong</v>
          </cell>
          <cell r="D235">
            <v>34</v>
          </cell>
          <cell r="E235">
            <v>83.7</v>
          </cell>
          <cell r="F235">
            <v>80.099999999999994</v>
          </cell>
          <cell r="G235">
            <v>60.5</v>
          </cell>
          <cell r="H235">
            <v>64.099999999999994</v>
          </cell>
          <cell r="I235">
            <v>72.3</v>
          </cell>
          <cell r="J235">
            <v>19835</v>
          </cell>
          <cell r="K235">
            <v>17.600000000000001</v>
          </cell>
          <cell r="L235">
            <v>0.38</v>
          </cell>
          <cell r="M235">
            <v>2.2409722222222221</v>
          </cell>
          <cell r="N235">
            <v>2012</v>
          </cell>
          <cell r="O235">
            <v>155</v>
          </cell>
          <cell r="P235">
            <v>1</v>
          </cell>
        </row>
        <row r="236">
          <cell r="B236" t="str">
            <v>University of California, Santa Barbara</v>
          </cell>
          <cell r="C236" t="str">
            <v>United States of America</v>
          </cell>
          <cell r="D236">
            <v>35</v>
          </cell>
          <cell r="E236">
            <v>52.6</v>
          </cell>
          <cell r="F236">
            <v>65.3</v>
          </cell>
          <cell r="G236">
            <v>99.9</v>
          </cell>
          <cell r="H236">
            <v>85</v>
          </cell>
          <cell r="I236">
            <v>72.099999999999994</v>
          </cell>
          <cell r="J236">
            <v>22020</v>
          </cell>
          <cell r="K236">
            <v>27.3</v>
          </cell>
          <cell r="L236">
            <v>0.11</v>
          </cell>
          <cell r="M236">
            <v>2.2000000000000002</v>
          </cell>
          <cell r="N236">
            <v>2012</v>
          </cell>
          <cell r="O236">
            <v>40</v>
          </cell>
          <cell r="P236">
            <v>29</v>
          </cell>
        </row>
        <row r="237">
          <cell r="B237" t="str">
            <v>University of Edinburgh</v>
          </cell>
          <cell r="C237" t="str">
            <v>United Kingdom</v>
          </cell>
          <cell r="D237">
            <v>36</v>
          </cell>
          <cell r="E237">
            <v>79.8</v>
          </cell>
          <cell r="F237">
            <v>61.4</v>
          </cell>
          <cell r="G237">
            <v>92.3</v>
          </cell>
          <cell r="H237">
            <v>41.3</v>
          </cell>
          <cell r="I237">
            <v>72</v>
          </cell>
          <cell r="J237">
            <v>25774</v>
          </cell>
          <cell r="K237">
            <v>14.1</v>
          </cell>
          <cell r="L237">
            <v>0.36</v>
          </cell>
          <cell r="M237">
            <v>2.4458333333333333</v>
          </cell>
          <cell r="N237">
            <v>2012</v>
          </cell>
          <cell r="O237">
            <v>60</v>
          </cell>
          <cell r="P237">
            <v>1</v>
          </cell>
        </row>
        <row r="238">
          <cell r="B238" t="str">
            <v>University of Melbourne</v>
          </cell>
          <cell r="C238" t="str">
            <v>Australia</v>
          </cell>
          <cell r="D238">
            <v>37</v>
          </cell>
          <cell r="E238">
            <v>82.5</v>
          </cell>
          <cell r="F238">
            <v>72.400000000000006</v>
          </cell>
          <cell r="G238">
            <v>80.7</v>
          </cell>
          <cell r="H238">
            <v>44.4</v>
          </cell>
          <cell r="I238">
            <v>71.900000000000006</v>
          </cell>
          <cell r="J238">
            <v>40128</v>
          </cell>
          <cell r="K238">
            <v>23.7</v>
          </cell>
          <cell r="L238">
            <v>0.35</v>
          </cell>
          <cell r="M238">
            <v>2.3229166666666665</v>
          </cell>
          <cell r="N238">
            <v>2012</v>
          </cell>
          <cell r="O238">
            <v>97</v>
          </cell>
          <cell r="P238">
            <v>2</v>
          </cell>
        </row>
        <row r="239">
          <cell r="B239" t="str">
            <v>Australian National University</v>
          </cell>
          <cell r="C239" t="str">
            <v>Australia</v>
          </cell>
          <cell r="D239">
            <v>38</v>
          </cell>
          <cell r="E239">
            <v>93.8</v>
          </cell>
          <cell r="F239">
            <v>75.099999999999994</v>
          </cell>
          <cell r="G239">
            <v>72.599999999999994</v>
          </cell>
          <cell r="H239">
            <v>41.7</v>
          </cell>
          <cell r="I239">
            <v>71.2</v>
          </cell>
          <cell r="J239">
            <v>14604</v>
          </cell>
          <cell r="K239">
            <v>19.2</v>
          </cell>
          <cell r="L239">
            <v>0.35</v>
          </cell>
          <cell r="M239">
            <v>2.2000000000000002</v>
          </cell>
          <cell r="N239">
            <v>2012</v>
          </cell>
          <cell r="O239">
            <v>96</v>
          </cell>
          <cell r="P239">
            <v>2</v>
          </cell>
        </row>
        <row r="240">
          <cell r="B240" t="str">
            <v>University of California, Davis</v>
          </cell>
          <cell r="C240" t="str">
            <v>United States of America</v>
          </cell>
          <cell r="D240">
            <v>38</v>
          </cell>
          <cell r="E240">
            <v>51.4</v>
          </cell>
          <cell r="F240">
            <v>68.7</v>
          </cell>
          <cell r="G240">
            <v>83.4</v>
          </cell>
          <cell r="H240">
            <v>52.5</v>
          </cell>
          <cell r="I240">
            <v>71.2</v>
          </cell>
          <cell r="J240">
            <v>35364</v>
          </cell>
          <cell r="K240">
            <v>13.9</v>
          </cell>
          <cell r="L240">
            <v>0.13</v>
          </cell>
          <cell r="M240">
            <v>2.2819444444444446</v>
          </cell>
          <cell r="N240">
            <v>2012</v>
          </cell>
          <cell r="O240">
            <v>45</v>
          </cell>
          <cell r="P240">
            <v>33</v>
          </cell>
        </row>
        <row r="241">
          <cell r="B241" t="str">
            <v>National University of Singapore</v>
          </cell>
          <cell r="C241" t="str">
            <v>Singapore</v>
          </cell>
          <cell r="D241">
            <v>40</v>
          </cell>
          <cell r="E241">
            <v>93</v>
          </cell>
          <cell r="F241">
            <v>79</v>
          </cell>
          <cell r="G241">
            <v>63.4</v>
          </cell>
          <cell r="H241">
            <v>60.7</v>
          </cell>
          <cell r="I241">
            <v>70.900000000000006</v>
          </cell>
          <cell r="J241">
            <v>31592</v>
          </cell>
          <cell r="K241">
            <v>15.5</v>
          </cell>
          <cell r="L241">
            <v>0.34</v>
          </cell>
          <cell r="M241">
            <v>2.0770833333333334</v>
          </cell>
          <cell r="N241">
            <v>2012</v>
          </cell>
          <cell r="O241">
            <v>87</v>
          </cell>
          <cell r="P241">
            <v>1</v>
          </cell>
        </row>
        <row r="242">
          <cell r="B242" t="str">
            <v>Washington University in St Louis</v>
          </cell>
          <cell r="C242" t="str">
            <v>United States of America</v>
          </cell>
          <cell r="D242">
            <v>41</v>
          </cell>
          <cell r="E242">
            <v>45.7</v>
          </cell>
          <cell r="F242">
            <v>58.9</v>
          </cell>
          <cell r="G242">
            <v>96.1</v>
          </cell>
          <cell r="H242" t="str">
            <v>-</v>
          </cell>
          <cell r="I242">
            <v>70.5</v>
          </cell>
          <cell r="J242">
            <v>12528</v>
          </cell>
          <cell r="K242">
            <v>5.7</v>
          </cell>
          <cell r="L242">
            <v>0.17</v>
          </cell>
          <cell r="N242">
            <v>2012</v>
          </cell>
          <cell r="O242" t="e">
            <v>#N/A</v>
          </cell>
          <cell r="P242" t="e">
            <v>#N/A</v>
          </cell>
        </row>
        <row r="243">
          <cell r="B243" t="str">
            <v>University of Minnesota</v>
          </cell>
          <cell r="C243" t="str">
            <v>United States of America</v>
          </cell>
          <cell r="D243">
            <v>42</v>
          </cell>
          <cell r="E243">
            <v>25.6</v>
          </cell>
          <cell r="F243">
            <v>72.5</v>
          </cell>
          <cell r="G243">
            <v>85.4</v>
          </cell>
          <cell r="H243" t="str">
            <v>-</v>
          </cell>
          <cell r="I243">
            <v>70</v>
          </cell>
          <cell r="J243">
            <v>46825</v>
          </cell>
          <cell r="K243">
            <v>18</v>
          </cell>
          <cell r="L243">
            <v>0.13</v>
          </cell>
          <cell r="M243">
            <v>2.2000000000000002</v>
          </cell>
          <cell r="N243">
            <v>2012</v>
          </cell>
          <cell r="O243" t="e">
            <v>#N/A</v>
          </cell>
          <cell r="P243" t="e">
            <v>#N/A</v>
          </cell>
        </row>
        <row r="244">
          <cell r="B244" t="str">
            <v>University of North Carolina at Chapel Hill</v>
          </cell>
          <cell r="C244" t="str">
            <v>United States of America</v>
          </cell>
          <cell r="D244">
            <v>43</v>
          </cell>
          <cell r="E244">
            <v>20.2</v>
          </cell>
          <cell r="F244">
            <v>62.6</v>
          </cell>
          <cell r="G244">
            <v>92.6</v>
          </cell>
          <cell r="H244">
            <v>35.5</v>
          </cell>
          <cell r="I244">
            <v>69.3</v>
          </cell>
          <cell r="J244">
            <v>26518</v>
          </cell>
          <cell r="K244">
            <v>7.3</v>
          </cell>
          <cell r="L244">
            <v>0.08</v>
          </cell>
          <cell r="M244">
            <v>2.4458333333333333</v>
          </cell>
          <cell r="N244">
            <v>2012</v>
          </cell>
          <cell r="O244">
            <v>36</v>
          </cell>
          <cell r="P244">
            <v>25</v>
          </cell>
        </row>
        <row r="245">
          <cell r="B245" t="str">
            <v>New York University</v>
          </cell>
          <cell r="C245" t="str">
            <v>United States of America</v>
          </cell>
          <cell r="D245">
            <v>44</v>
          </cell>
          <cell r="E245">
            <v>38.1</v>
          </cell>
          <cell r="F245">
            <v>65.400000000000006</v>
          </cell>
          <cell r="G245">
            <v>92.3</v>
          </cell>
          <cell r="H245">
            <v>30.9</v>
          </cell>
          <cell r="I245">
            <v>69</v>
          </cell>
          <cell r="J245">
            <v>42056</v>
          </cell>
          <cell r="K245">
            <v>6.8</v>
          </cell>
          <cell r="L245">
            <v>0.19</v>
          </cell>
          <cell r="M245">
            <v>2.3229166666666665</v>
          </cell>
          <cell r="N245">
            <v>2012</v>
          </cell>
          <cell r="O245">
            <v>23</v>
          </cell>
          <cell r="P245">
            <v>16</v>
          </cell>
        </row>
        <row r="246">
          <cell r="B246" t="str">
            <v>LMU Munich</v>
          </cell>
          <cell r="C246" t="str">
            <v>Germany</v>
          </cell>
          <cell r="D246">
            <v>45</v>
          </cell>
          <cell r="E246">
            <v>54.3</v>
          </cell>
          <cell r="F246">
            <v>59.9</v>
          </cell>
          <cell r="G246">
            <v>84.6</v>
          </cell>
          <cell r="H246">
            <v>40.700000000000003</v>
          </cell>
          <cell r="I246">
            <v>67.599999999999994</v>
          </cell>
          <cell r="J246">
            <v>35691</v>
          </cell>
          <cell r="K246">
            <v>15.5</v>
          </cell>
          <cell r="L246">
            <v>0.13</v>
          </cell>
          <cell r="M246">
            <v>2.6097222222222221</v>
          </cell>
          <cell r="N246">
            <v>2012</v>
          </cell>
          <cell r="O246" t="e">
            <v>#N/A</v>
          </cell>
          <cell r="P246" t="e">
            <v>#N/A</v>
          </cell>
        </row>
        <row r="247">
          <cell r="B247" t="str">
            <v>Ã‰cole Polytechnique FÃ©dÃ©rale de Lausanne</v>
          </cell>
          <cell r="C247" t="str">
            <v>Switzerland</v>
          </cell>
          <cell r="D247">
            <v>46</v>
          </cell>
          <cell r="E247">
            <v>98.9</v>
          </cell>
          <cell r="F247">
            <v>43.9</v>
          </cell>
          <cell r="G247">
            <v>95.3</v>
          </cell>
          <cell r="H247">
            <v>46.7</v>
          </cell>
          <cell r="I247">
            <v>66.3</v>
          </cell>
          <cell r="J247">
            <v>9666</v>
          </cell>
          <cell r="K247">
            <v>10.5</v>
          </cell>
          <cell r="L247">
            <v>0.54</v>
          </cell>
          <cell r="M247" t="str">
            <v>27 : 73</v>
          </cell>
          <cell r="N247">
            <v>2012</v>
          </cell>
          <cell r="O247" t="e">
            <v>#N/A</v>
          </cell>
          <cell r="P247" t="e">
            <v>#N/A</v>
          </cell>
        </row>
        <row r="248">
          <cell r="B248" t="str">
            <v>London School of Economics and Political Science</v>
          </cell>
          <cell r="C248" t="str">
            <v>United Kingdom</v>
          </cell>
          <cell r="D248">
            <v>47</v>
          </cell>
          <cell r="E248">
            <v>96</v>
          </cell>
          <cell r="F248">
            <v>75.400000000000006</v>
          </cell>
          <cell r="G248">
            <v>50.6</v>
          </cell>
          <cell r="H248">
            <v>41.1</v>
          </cell>
          <cell r="I248">
            <v>66</v>
          </cell>
          <cell r="N248">
            <v>2012</v>
          </cell>
          <cell r="O248" t="e">
            <v>#N/A</v>
          </cell>
          <cell r="P248" t="e">
            <v>#N/A</v>
          </cell>
        </row>
        <row r="249">
          <cell r="B249" t="str">
            <v>University of Manchester</v>
          </cell>
          <cell r="C249" t="str">
            <v>United Kingdom</v>
          </cell>
          <cell r="D249">
            <v>48</v>
          </cell>
          <cell r="E249">
            <v>80.400000000000006</v>
          </cell>
          <cell r="F249">
            <v>61.1</v>
          </cell>
          <cell r="G249">
            <v>75.599999999999994</v>
          </cell>
          <cell r="H249">
            <v>37.700000000000003</v>
          </cell>
          <cell r="I249">
            <v>65.7</v>
          </cell>
          <cell r="J249">
            <v>34938</v>
          </cell>
          <cell r="K249">
            <v>15.3</v>
          </cell>
          <cell r="L249">
            <v>0.34</v>
          </cell>
          <cell r="M249">
            <v>2.2000000000000002</v>
          </cell>
          <cell r="N249">
            <v>2012</v>
          </cell>
          <cell r="O249">
            <v>76</v>
          </cell>
          <cell r="P249">
            <v>5</v>
          </cell>
        </row>
        <row r="250">
          <cell r="B250" t="str">
            <v>Brown University</v>
          </cell>
          <cell r="C250" t="str">
            <v>United States of America</v>
          </cell>
          <cell r="D250">
            <v>49</v>
          </cell>
          <cell r="E250">
            <v>33.4</v>
          </cell>
          <cell r="F250">
            <v>53.6</v>
          </cell>
          <cell r="G250">
            <v>93.9</v>
          </cell>
          <cell r="H250">
            <v>34.9</v>
          </cell>
          <cell r="I250">
            <v>65.599999999999994</v>
          </cell>
          <cell r="J250">
            <v>8653</v>
          </cell>
          <cell r="K250">
            <v>10.1</v>
          </cell>
          <cell r="L250">
            <v>0.19</v>
          </cell>
          <cell r="N250">
            <v>2012</v>
          </cell>
          <cell r="O250">
            <v>66</v>
          </cell>
          <cell r="P250">
            <v>46</v>
          </cell>
        </row>
        <row r="251">
          <cell r="B251" t="str">
            <v>Peking University</v>
          </cell>
          <cell r="C251" t="str">
            <v>China</v>
          </cell>
          <cell r="D251">
            <v>49</v>
          </cell>
          <cell r="E251">
            <v>51.7</v>
          </cell>
          <cell r="F251">
            <v>64.099999999999994</v>
          </cell>
          <cell r="G251">
            <v>51</v>
          </cell>
          <cell r="H251">
            <v>99.9</v>
          </cell>
          <cell r="I251">
            <v>65.599999999999994</v>
          </cell>
          <cell r="J251">
            <v>40148</v>
          </cell>
          <cell r="K251">
            <v>8.3000000000000007</v>
          </cell>
          <cell r="L251">
            <v>0.14000000000000001</v>
          </cell>
          <cell r="N251">
            <v>2012</v>
          </cell>
          <cell r="O251">
            <v>55</v>
          </cell>
          <cell r="P251">
            <v>1</v>
          </cell>
        </row>
        <row r="252">
          <cell r="B252" t="str">
            <v>Pennsylvania State University</v>
          </cell>
          <cell r="C252" t="str">
            <v>United States of America</v>
          </cell>
          <cell r="D252">
            <v>51</v>
          </cell>
          <cell r="E252">
            <v>29.5</v>
          </cell>
          <cell r="F252">
            <v>66.7</v>
          </cell>
          <cell r="G252">
            <v>83.4</v>
          </cell>
          <cell r="H252">
            <v>61.6</v>
          </cell>
          <cell r="I252">
            <v>64.900000000000006</v>
          </cell>
          <cell r="J252">
            <v>44501</v>
          </cell>
          <cell r="K252">
            <v>12.4</v>
          </cell>
          <cell r="L252">
            <v>0.12</v>
          </cell>
          <cell r="M252">
            <v>1.9541666666666666</v>
          </cell>
          <cell r="N252">
            <v>2012</v>
          </cell>
          <cell r="O252" t="e">
            <v>#N/A</v>
          </cell>
          <cell r="P252" t="e">
            <v>#N/A</v>
          </cell>
        </row>
        <row r="253">
          <cell r="B253" t="str">
            <v>Kyoto University</v>
          </cell>
          <cell r="C253" t="str">
            <v>Japan</v>
          </cell>
          <cell r="D253">
            <v>52</v>
          </cell>
          <cell r="E253">
            <v>21.1</v>
          </cell>
          <cell r="F253">
            <v>72</v>
          </cell>
          <cell r="G253">
            <v>56.3</v>
          </cell>
          <cell r="H253">
            <v>71.7</v>
          </cell>
          <cell r="I253">
            <v>64.8</v>
          </cell>
          <cell r="J253">
            <v>22809</v>
          </cell>
          <cell r="K253">
            <v>5.6</v>
          </cell>
          <cell r="L253">
            <v>7.0000000000000007E-2</v>
          </cell>
          <cell r="N253">
            <v>2012</v>
          </cell>
          <cell r="O253">
            <v>17</v>
          </cell>
          <cell r="P253">
            <v>2</v>
          </cell>
        </row>
        <row r="254">
          <cell r="B254" t="str">
            <v>Pohang University of Science and Technology</v>
          </cell>
          <cell r="C254" t="str">
            <v>South Korea</v>
          </cell>
          <cell r="D254">
            <v>53</v>
          </cell>
          <cell r="E254">
            <v>25</v>
          </cell>
          <cell r="F254">
            <v>51.9</v>
          </cell>
          <cell r="G254">
            <v>92.3</v>
          </cell>
          <cell r="H254">
            <v>100</v>
          </cell>
          <cell r="I254">
            <v>64.599999999999994</v>
          </cell>
          <cell r="J254">
            <v>3055</v>
          </cell>
          <cell r="K254">
            <v>10.1</v>
          </cell>
          <cell r="L254">
            <v>0.04</v>
          </cell>
          <cell r="M254">
            <v>0.88888888888888884</v>
          </cell>
          <cell r="N254">
            <v>2012</v>
          </cell>
          <cell r="O254">
            <v>186</v>
          </cell>
          <cell r="P254">
            <v>6</v>
          </cell>
        </row>
        <row r="255">
          <cell r="B255" t="str">
            <v>Boston University</v>
          </cell>
          <cell r="C255" t="str">
            <v>United States of America</v>
          </cell>
          <cell r="D255">
            <v>54</v>
          </cell>
          <cell r="E255">
            <v>37.200000000000003</v>
          </cell>
          <cell r="F255">
            <v>46.2</v>
          </cell>
          <cell r="G255">
            <v>95.6</v>
          </cell>
          <cell r="H255">
            <v>27.6</v>
          </cell>
          <cell r="I255">
            <v>64.2</v>
          </cell>
          <cell r="J255">
            <v>24789</v>
          </cell>
          <cell r="K255">
            <v>8.6</v>
          </cell>
          <cell r="L255">
            <v>0.17</v>
          </cell>
          <cell r="M255">
            <v>2.4458333333333333</v>
          </cell>
          <cell r="N255">
            <v>2012</v>
          </cell>
          <cell r="O255">
            <v>62</v>
          </cell>
          <cell r="P255">
            <v>44</v>
          </cell>
        </row>
        <row r="256">
          <cell r="B256" t="str">
            <v>University of Southern California</v>
          </cell>
          <cell r="C256" t="str">
            <v>United States of America</v>
          </cell>
          <cell r="D256">
            <v>55</v>
          </cell>
          <cell r="E256">
            <v>41.1</v>
          </cell>
          <cell r="F256">
            <v>48.7</v>
          </cell>
          <cell r="G256">
            <v>80.2</v>
          </cell>
          <cell r="H256">
            <v>99.3</v>
          </cell>
          <cell r="I256">
            <v>64</v>
          </cell>
          <cell r="J256">
            <v>36534</v>
          </cell>
          <cell r="K256">
            <v>12.9</v>
          </cell>
          <cell r="L256">
            <v>0.2</v>
          </cell>
          <cell r="M256">
            <v>2.2000000000000002</v>
          </cell>
          <cell r="N256">
            <v>2012</v>
          </cell>
          <cell r="O256">
            <v>44</v>
          </cell>
          <cell r="P256">
            <v>32</v>
          </cell>
        </row>
        <row r="257">
          <cell r="B257" t="str">
            <v>Kingâ€™s College London</v>
          </cell>
          <cell r="C257" t="str">
            <v>United Kingdom</v>
          </cell>
          <cell r="D257">
            <v>56</v>
          </cell>
          <cell r="E257">
            <v>90</v>
          </cell>
          <cell r="F257">
            <v>54.2</v>
          </cell>
          <cell r="G257">
            <v>80.900000000000006</v>
          </cell>
          <cell r="H257">
            <v>40.799999999999997</v>
          </cell>
          <cell r="I257">
            <v>63.2</v>
          </cell>
          <cell r="J257">
            <v>21394</v>
          </cell>
          <cell r="K257">
            <v>11.4</v>
          </cell>
          <cell r="L257">
            <v>0.37</v>
          </cell>
          <cell r="M257">
            <v>2.5687500000000001</v>
          </cell>
          <cell r="N257">
            <v>2012</v>
          </cell>
          <cell r="O257" t="e">
            <v>#N/A</v>
          </cell>
          <cell r="P257" t="e">
            <v>#N/A</v>
          </cell>
        </row>
        <row r="258">
          <cell r="B258" t="str">
            <v>Ohio State University</v>
          </cell>
          <cell r="C258" t="str">
            <v>United States of America</v>
          </cell>
          <cell r="D258">
            <v>57</v>
          </cell>
          <cell r="E258">
            <v>42.2</v>
          </cell>
          <cell r="F258">
            <v>56.2</v>
          </cell>
          <cell r="G258">
            <v>77.5</v>
          </cell>
          <cell r="H258">
            <v>49.9</v>
          </cell>
          <cell r="I258">
            <v>63</v>
          </cell>
          <cell r="J258">
            <v>51462</v>
          </cell>
          <cell r="K258">
            <v>13.4</v>
          </cell>
          <cell r="L258">
            <v>0.12</v>
          </cell>
          <cell r="M258">
            <v>2.0770833333333334</v>
          </cell>
          <cell r="N258">
            <v>2012</v>
          </cell>
          <cell r="O258" t="e">
            <v>#N/A</v>
          </cell>
          <cell r="P258" t="e">
            <v>#N/A</v>
          </cell>
        </row>
        <row r="259">
          <cell r="B259" t="str">
            <v>University of Sydney</v>
          </cell>
          <cell r="C259" t="str">
            <v>Australia</v>
          </cell>
          <cell r="D259">
            <v>58</v>
          </cell>
          <cell r="E259">
            <v>88.1</v>
          </cell>
          <cell r="F259">
            <v>65.7</v>
          </cell>
          <cell r="G259">
            <v>57.2</v>
          </cell>
          <cell r="H259">
            <v>92.1</v>
          </cell>
          <cell r="I259">
            <v>62.4</v>
          </cell>
          <cell r="J259">
            <v>41868</v>
          </cell>
          <cell r="K259">
            <v>20.2</v>
          </cell>
          <cell r="L259">
            <v>0.28000000000000003</v>
          </cell>
          <cell r="M259">
            <v>2.4048611111111109</v>
          </cell>
          <cell r="N259">
            <v>2012</v>
          </cell>
          <cell r="O259">
            <v>94</v>
          </cell>
          <cell r="P259">
            <v>2</v>
          </cell>
        </row>
        <row r="260">
          <cell r="B260" t="str">
            <v>University of Pittsburgh</v>
          </cell>
          <cell r="C260" t="str">
            <v>United States of America</v>
          </cell>
          <cell r="D260">
            <v>59</v>
          </cell>
          <cell r="E260">
            <v>26.5</v>
          </cell>
          <cell r="F260">
            <v>53.9</v>
          </cell>
          <cell r="G260">
            <v>88.7</v>
          </cell>
          <cell r="H260">
            <v>37.5</v>
          </cell>
          <cell r="I260">
            <v>62</v>
          </cell>
          <cell r="J260">
            <v>26485</v>
          </cell>
          <cell r="K260">
            <v>5.8</v>
          </cell>
          <cell r="L260">
            <v>0.1</v>
          </cell>
          <cell r="M260">
            <v>2.1590277777777778</v>
          </cell>
          <cell r="N260">
            <v>2012</v>
          </cell>
          <cell r="O260" t="e">
            <v>#N/A</v>
          </cell>
          <cell r="P260" t="e">
            <v>#N/A</v>
          </cell>
        </row>
        <row r="261">
          <cell r="B261" t="str">
            <v>Ã‰cole Normale SupÃ©rieure</v>
          </cell>
          <cell r="C261" t="str">
            <v>France</v>
          </cell>
          <cell r="D261">
            <v>59</v>
          </cell>
          <cell r="E261">
            <v>66.2</v>
          </cell>
          <cell r="F261">
            <v>33.5</v>
          </cell>
          <cell r="G261">
            <v>96.4</v>
          </cell>
          <cell r="H261">
            <v>44.7</v>
          </cell>
          <cell r="I261">
            <v>62</v>
          </cell>
          <cell r="J261">
            <v>2400</v>
          </cell>
          <cell r="K261">
            <v>7.9</v>
          </cell>
          <cell r="L261">
            <v>0.2</v>
          </cell>
          <cell r="M261">
            <v>1.9541666666666666</v>
          </cell>
          <cell r="N261">
            <v>2012</v>
          </cell>
          <cell r="O261" t="e">
            <v>#N/A</v>
          </cell>
          <cell r="P261" t="e">
            <v>#N/A</v>
          </cell>
        </row>
        <row r="262">
          <cell r="B262" t="str">
            <v>University of Zurich</v>
          </cell>
          <cell r="C262" t="str">
            <v>Switzerland</v>
          </cell>
          <cell r="D262">
            <v>61</v>
          </cell>
          <cell r="E262">
            <v>87.4</v>
          </cell>
          <cell r="F262">
            <v>45.9</v>
          </cell>
          <cell r="G262">
            <v>78.400000000000006</v>
          </cell>
          <cell r="H262">
            <v>43.5</v>
          </cell>
          <cell r="I262">
            <v>61.9</v>
          </cell>
          <cell r="J262">
            <v>26583</v>
          </cell>
          <cell r="K262">
            <v>6.5</v>
          </cell>
          <cell r="L262">
            <v>0.19</v>
          </cell>
          <cell r="M262">
            <v>2.4048611111111109</v>
          </cell>
          <cell r="N262">
            <v>2012</v>
          </cell>
          <cell r="O262">
            <v>88</v>
          </cell>
          <cell r="P262">
            <v>4</v>
          </cell>
        </row>
        <row r="263">
          <cell r="B263" t="str">
            <v>Hong Kong University of Science and Technology</v>
          </cell>
          <cell r="C263" t="str">
            <v>Hong Kong</v>
          </cell>
          <cell r="D263">
            <v>62</v>
          </cell>
          <cell r="E263">
            <v>80.099999999999994</v>
          </cell>
          <cell r="F263">
            <v>58.6</v>
          </cell>
          <cell r="G263">
            <v>71</v>
          </cell>
          <cell r="H263">
            <v>59</v>
          </cell>
          <cell r="I263">
            <v>61.7</v>
          </cell>
          <cell r="J263">
            <v>11385</v>
          </cell>
          <cell r="K263">
            <v>23.8</v>
          </cell>
          <cell r="L263">
            <v>0.36</v>
          </cell>
          <cell r="N263">
            <v>2012</v>
          </cell>
          <cell r="O263">
            <v>291</v>
          </cell>
          <cell r="P263">
            <v>3</v>
          </cell>
        </row>
        <row r="264">
          <cell r="B264" t="str">
            <v>Ã‰cole Polytechnique</v>
          </cell>
          <cell r="C264" t="str">
            <v>France</v>
          </cell>
          <cell r="D264">
            <v>63</v>
          </cell>
          <cell r="E264">
            <v>86.1</v>
          </cell>
          <cell r="F264">
            <v>38.799999999999997</v>
          </cell>
          <cell r="G264">
            <v>89.1</v>
          </cell>
          <cell r="H264">
            <v>63</v>
          </cell>
          <cell r="I264">
            <v>61.5</v>
          </cell>
          <cell r="J264">
            <v>2429</v>
          </cell>
          <cell r="K264">
            <v>4.8</v>
          </cell>
          <cell r="L264">
            <v>0.3</v>
          </cell>
          <cell r="M264">
            <v>0.80694444444444446</v>
          </cell>
          <cell r="N264">
            <v>2012</v>
          </cell>
          <cell r="O264">
            <v>61</v>
          </cell>
          <cell r="P264">
            <v>3</v>
          </cell>
        </row>
        <row r="265">
          <cell r="B265" t="str">
            <v>University of Massachusetts</v>
          </cell>
          <cell r="C265" t="str">
            <v>United States of America</v>
          </cell>
          <cell r="D265">
            <v>64</v>
          </cell>
          <cell r="E265">
            <v>27.3</v>
          </cell>
          <cell r="F265">
            <v>58.3</v>
          </cell>
          <cell r="G265">
            <v>80.099999999999994</v>
          </cell>
          <cell r="H265">
            <v>53.2</v>
          </cell>
          <cell r="I265">
            <v>61.1</v>
          </cell>
          <cell r="J265">
            <v>56959</v>
          </cell>
          <cell r="K265">
            <v>13</v>
          </cell>
          <cell r="L265">
            <v>0.11</v>
          </cell>
          <cell r="M265">
            <v>2.0770833333333334</v>
          </cell>
          <cell r="N265">
            <v>2012</v>
          </cell>
          <cell r="O265" t="e">
            <v>#N/A</v>
          </cell>
          <cell r="P265" t="e">
            <v>#N/A</v>
          </cell>
        </row>
        <row r="266">
          <cell r="B266" t="str">
            <v>McMaster University</v>
          </cell>
          <cell r="C266" t="str">
            <v>Canada</v>
          </cell>
          <cell r="D266">
            <v>65</v>
          </cell>
          <cell r="E266">
            <v>72</v>
          </cell>
          <cell r="F266">
            <v>49.9</v>
          </cell>
          <cell r="G266">
            <v>85.5</v>
          </cell>
          <cell r="H266">
            <v>97.5</v>
          </cell>
          <cell r="I266">
            <v>61</v>
          </cell>
          <cell r="J266">
            <v>23823</v>
          </cell>
          <cell r="K266">
            <v>19.3</v>
          </cell>
          <cell r="L266">
            <v>0.15</v>
          </cell>
          <cell r="M266">
            <v>2.2409722222222221</v>
          </cell>
          <cell r="N266">
            <v>2012</v>
          </cell>
          <cell r="O266">
            <v>141</v>
          </cell>
          <cell r="P266">
            <v>6</v>
          </cell>
        </row>
        <row r="267">
          <cell r="B267" t="str">
            <v>University of Bristol</v>
          </cell>
          <cell r="C267" t="str">
            <v>United Kingdom</v>
          </cell>
          <cell r="D267">
            <v>66</v>
          </cell>
          <cell r="E267">
            <v>73.7</v>
          </cell>
          <cell r="F267">
            <v>47.7</v>
          </cell>
          <cell r="G267">
            <v>89.9</v>
          </cell>
          <cell r="H267">
            <v>34.799999999999997</v>
          </cell>
          <cell r="I267">
            <v>60.9</v>
          </cell>
          <cell r="J267">
            <v>17906</v>
          </cell>
          <cell r="K267">
            <v>14</v>
          </cell>
          <cell r="L267">
            <v>0.25</v>
          </cell>
          <cell r="M267">
            <v>2.2409722222222221</v>
          </cell>
          <cell r="N267">
            <v>2012</v>
          </cell>
          <cell r="O267">
            <v>98</v>
          </cell>
          <cell r="P267">
            <v>7</v>
          </cell>
        </row>
        <row r="268">
          <cell r="B268" t="str">
            <v>KU Leuven</v>
          </cell>
          <cell r="C268" t="str">
            <v>Belgium</v>
          </cell>
          <cell r="D268">
            <v>67</v>
          </cell>
          <cell r="E268">
            <v>56.7</v>
          </cell>
          <cell r="F268">
            <v>64.7</v>
          </cell>
          <cell r="G268">
            <v>63</v>
          </cell>
          <cell r="H268">
            <v>99.9</v>
          </cell>
          <cell r="I268">
            <v>60.8</v>
          </cell>
          <cell r="J268">
            <v>42503</v>
          </cell>
          <cell r="K268">
            <v>41.9</v>
          </cell>
          <cell r="L268">
            <v>0.18</v>
          </cell>
          <cell r="M268">
            <v>2.2819444444444446</v>
          </cell>
          <cell r="N268">
            <v>2012</v>
          </cell>
          <cell r="O268" t="e">
            <v>#N/A</v>
          </cell>
          <cell r="P268" t="e">
            <v>#N/A</v>
          </cell>
        </row>
        <row r="269">
          <cell r="B269" t="str">
            <v>Utrecht University</v>
          </cell>
          <cell r="C269" t="str">
            <v>Netherlands</v>
          </cell>
          <cell r="D269">
            <v>68</v>
          </cell>
          <cell r="E269">
            <v>58.1</v>
          </cell>
          <cell r="F269">
            <v>53.2</v>
          </cell>
          <cell r="G269">
            <v>85.7</v>
          </cell>
          <cell r="H269">
            <v>59.3</v>
          </cell>
          <cell r="I269">
            <v>60.4</v>
          </cell>
          <cell r="J269">
            <v>30779</v>
          </cell>
          <cell r="K269">
            <v>15.4</v>
          </cell>
          <cell r="L269">
            <v>7.0000000000000007E-2</v>
          </cell>
          <cell r="M269">
            <v>2.4868055555555557</v>
          </cell>
          <cell r="N269">
            <v>2012</v>
          </cell>
          <cell r="O269">
            <v>99</v>
          </cell>
          <cell r="P269">
            <v>2</v>
          </cell>
        </row>
        <row r="270">
          <cell r="B270" t="str">
            <v>University of GÃ¶ttingen</v>
          </cell>
          <cell r="C270" t="str">
            <v>Germany</v>
          </cell>
          <cell r="D270">
            <v>69</v>
          </cell>
          <cell r="E270">
            <v>48</v>
          </cell>
          <cell r="F270">
            <v>50.9</v>
          </cell>
          <cell r="G270">
            <v>84.1</v>
          </cell>
          <cell r="H270">
            <v>32.700000000000003</v>
          </cell>
          <cell r="I270">
            <v>60.3</v>
          </cell>
          <cell r="J270">
            <v>25581</v>
          </cell>
          <cell r="K270">
            <v>25.6</v>
          </cell>
          <cell r="L270">
            <v>0.12</v>
          </cell>
          <cell r="M270">
            <v>2.1590277777777778</v>
          </cell>
          <cell r="N270">
            <v>2012</v>
          </cell>
          <cell r="O270">
            <v>169</v>
          </cell>
          <cell r="P270">
            <v>10</v>
          </cell>
        </row>
        <row r="271">
          <cell r="B271" t="str">
            <v>Vanderbilt University</v>
          </cell>
          <cell r="C271" t="str">
            <v>United States of America</v>
          </cell>
          <cell r="D271">
            <v>70</v>
          </cell>
          <cell r="E271">
            <v>26.8</v>
          </cell>
          <cell r="F271">
            <v>47.6</v>
          </cell>
          <cell r="G271">
            <v>86.8</v>
          </cell>
          <cell r="H271">
            <v>64.400000000000006</v>
          </cell>
          <cell r="I271">
            <v>59.6</v>
          </cell>
          <cell r="J271">
            <v>12161</v>
          </cell>
          <cell r="K271">
            <v>3.6</v>
          </cell>
          <cell r="L271">
            <v>0.1</v>
          </cell>
          <cell r="M271">
            <v>2.2000000000000002</v>
          </cell>
          <cell r="N271">
            <v>2012</v>
          </cell>
          <cell r="O271">
            <v>59</v>
          </cell>
          <cell r="P271">
            <v>43</v>
          </cell>
        </row>
        <row r="272">
          <cell r="B272" t="str">
            <v>Tsinghua University</v>
          </cell>
          <cell r="C272" t="str">
            <v>China</v>
          </cell>
          <cell r="D272">
            <v>71</v>
          </cell>
          <cell r="E272">
            <v>33.4</v>
          </cell>
          <cell r="F272">
            <v>70.099999999999994</v>
          </cell>
          <cell r="G272">
            <v>37.4</v>
          </cell>
          <cell r="H272">
            <v>99.8</v>
          </cell>
          <cell r="I272">
            <v>59.5</v>
          </cell>
          <cell r="J272">
            <v>39763</v>
          </cell>
          <cell r="K272">
            <v>13.7</v>
          </cell>
          <cell r="L272">
            <v>0.1</v>
          </cell>
          <cell r="M272" t="str">
            <v>32 : 68</v>
          </cell>
          <cell r="N272">
            <v>2012</v>
          </cell>
          <cell r="O272">
            <v>87</v>
          </cell>
          <cell r="P272">
            <v>2</v>
          </cell>
        </row>
        <row r="273">
          <cell r="B273" t="str">
            <v>Rice University</v>
          </cell>
          <cell r="C273" t="str">
            <v>United States of America</v>
          </cell>
          <cell r="D273">
            <v>72</v>
          </cell>
          <cell r="E273">
            <v>39.700000000000003</v>
          </cell>
          <cell r="F273">
            <v>38</v>
          </cell>
          <cell r="G273">
            <v>99.9</v>
          </cell>
          <cell r="H273">
            <v>36.200000000000003</v>
          </cell>
          <cell r="I273">
            <v>59</v>
          </cell>
          <cell r="J273">
            <v>6333</v>
          </cell>
          <cell r="K273">
            <v>9</v>
          </cell>
          <cell r="L273">
            <v>0.26</v>
          </cell>
          <cell r="M273">
            <v>1.8722222222222222</v>
          </cell>
          <cell r="N273">
            <v>2012</v>
          </cell>
          <cell r="O273">
            <v>57</v>
          </cell>
          <cell r="P273">
            <v>41</v>
          </cell>
        </row>
        <row r="274">
          <cell r="B274" t="str">
            <v>Heidelberg University</v>
          </cell>
          <cell r="C274" t="str">
            <v>Germany</v>
          </cell>
          <cell r="D274">
            <v>73</v>
          </cell>
          <cell r="E274">
            <v>62.3</v>
          </cell>
          <cell r="F274">
            <v>41.5</v>
          </cell>
          <cell r="G274">
            <v>78.5</v>
          </cell>
          <cell r="H274">
            <v>37.6</v>
          </cell>
          <cell r="I274">
            <v>58.7</v>
          </cell>
          <cell r="J274">
            <v>28881</v>
          </cell>
          <cell r="K274">
            <v>24.5</v>
          </cell>
          <cell r="L274">
            <v>0.17</v>
          </cell>
          <cell r="M274">
            <v>2.3229166666666665</v>
          </cell>
          <cell r="N274">
            <v>2012</v>
          </cell>
          <cell r="O274" t="e">
            <v>#N/A</v>
          </cell>
          <cell r="P274" t="e">
            <v>#N/A</v>
          </cell>
        </row>
        <row r="275">
          <cell r="B275" t="str">
            <v>The University of Queensland</v>
          </cell>
          <cell r="C275" t="str">
            <v>Australia</v>
          </cell>
          <cell r="D275">
            <v>74</v>
          </cell>
          <cell r="E275">
            <v>80.8</v>
          </cell>
          <cell r="F275">
            <v>52.3</v>
          </cell>
          <cell r="G275">
            <v>70.2</v>
          </cell>
          <cell r="H275">
            <v>62.6</v>
          </cell>
          <cell r="I275">
            <v>58.6</v>
          </cell>
          <cell r="J275">
            <v>34718</v>
          </cell>
          <cell r="K275">
            <v>32.700000000000003</v>
          </cell>
          <cell r="L275">
            <v>0.27</v>
          </cell>
          <cell r="M275">
            <v>2.2409722222222221</v>
          </cell>
          <cell r="N275">
            <v>2012</v>
          </cell>
          <cell r="O275" t="e">
            <v>#N/A</v>
          </cell>
          <cell r="P275" t="e">
            <v>#N/A</v>
          </cell>
        </row>
        <row r="276">
          <cell r="B276" t="str">
            <v>Emory University</v>
          </cell>
          <cell r="C276" t="str">
            <v>United States of America</v>
          </cell>
          <cell r="D276">
            <v>75</v>
          </cell>
          <cell r="E276">
            <v>37.299999999999997</v>
          </cell>
          <cell r="F276">
            <v>39.799999999999997</v>
          </cell>
          <cell r="G276">
            <v>90.9</v>
          </cell>
          <cell r="H276">
            <v>34.4</v>
          </cell>
          <cell r="I276">
            <v>57.4</v>
          </cell>
          <cell r="J276">
            <v>12338</v>
          </cell>
          <cell r="K276">
            <v>4.5</v>
          </cell>
          <cell r="L276">
            <v>0.18</v>
          </cell>
          <cell r="M276">
            <v>2.3638888888888889</v>
          </cell>
          <cell r="N276">
            <v>2012</v>
          </cell>
          <cell r="O276">
            <v>81</v>
          </cell>
          <cell r="P276">
            <v>53</v>
          </cell>
        </row>
        <row r="277">
          <cell r="B277" t="str">
            <v>Wageningen University and Research Center</v>
          </cell>
          <cell r="C277" t="str">
            <v>Netherlands</v>
          </cell>
          <cell r="D277">
            <v>75</v>
          </cell>
          <cell r="E277">
            <v>75.900000000000006</v>
          </cell>
          <cell r="F277">
            <v>47.6</v>
          </cell>
          <cell r="G277">
            <v>66.3</v>
          </cell>
          <cell r="H277">
            <v>100</v>
          </cell>
          <cell r="I277">
            <v>57.4</v>
          </cell>
          <cell r="J277">
            <v>9248</v>
          </cell>
          <cell r="K277">
            <v>17</v>
          </cell>
          <cell r="L277">
            <v>0.21</v>
          </cell>
          <cell r="M277">
            <v>2.3638888888888889</v>
          </cell>
          <cell r="N277">
            <v>2012</v>
          </cell>
          <cell r="O277" t="e">
            <v>#N/A</v>
          </cell>
          <cell r="P277" t="e">
            <v>#N/A</v>
          </cell>
        </row>
        <row r="278">
          <cell r="B278" t="str">
            <v>Tufts University</v>
          </cell>
          <cell r="C278" t="str">
            <v>United States of America</v>
          </cell>
          <cell r="D278">
            <v>77</v>
          </cell>
          <cell r="E278">
            <v>41.3</v>
          </cell>
          <cell r="F278">
            <v>37.4</v>
          </cell>
          <cell r="G278">
            <v>94.5</v>
          </cell>
          <cell r="H278">
            <v>35.4</v>
          </cell>
          <cell r="I278">
            <v>57.3</v>
          </cell>
          <cell r="J278">
            <v>10410</v>
          </cell>
          <cell r="K278">
            <v>10</v>
          </cell>
          <cell r="L278">
            <v>0.14000000000000001</v>
          </cell>
          <cell r="M278">
            <v>2.2819444444444446</v>
          </cell>
          <cell r="N278">
            <v>2012</v>
          </cell>
          <cell r="O278">
            <v>86</v>
          </cell>
          <cell r="P278">
            <v>55</v>
          </cell>
        </row>
        <row r="279">
          <cell r="B279" t="str">
            <v>University of Colorado Boulder</v>
          </cell>
          <cell r="C279" t="str">
            <v>United States of America</v>
          </cell>
          <cell r="D279">
            <v>77</v>
          </cell>
          <cell r="E279">
            <v>30.8</v>
          </cell>
          <cell r="F279">
            <v>42.6</v>
          </cell>
          <cell r="G279">
            <v>98.2</v>
          </cell>
          <cell r="H279" t="str">
            <v>-</v>
          </cell>
          <cell r="I279">
            <v>57.3</v>
          </cell>
          <cell r="J279">
            <v>29325</v>
          </cell>
          <cell r="K279">
            <v>16.100000000000001</v>
          </cell>
          <cell r="L279">
            <v>0.08</v>
          </cell>
          <cell r="M279">
            <v>1.9131944444444444</v>
          </cell>
          <cell r="N279">
            <v>2012</v>
          </cell>
          <cell r="O279">
            <v>46</v>
          </cell>
          <cell r="P279">
            <v>34</v>
          </cell>
        </row>
        <row r="280">
          <cell r="B280" t="str">
            <v>Leiden University</v>
          </cell>
          <cell r="C280" t="str">
            <v>Netherlands</v>
          </cell>
          <cell r="D280">
            <v>79</v>
          </cell>
          <cell r="E280">
            <v>54.4</v>
          </cell>
          <cell r="F280">
            <v>55.3</v>
          </cell>
          <cell r="G280">
            <v>71.7</v>
          </cell>
          <cell r="H280">
            <v>48.6</v>
          </cell>
          <cell r="I280">
            <v>57</v>
          </cell>
          <cell r="J280">
            <v>21222</v>
          </cell>
          <cell r="K280">
            <v>17.100000000000001</v>
          </cell>
          <cell r="L280">
            <v>0.1</v>
          </cell>
          <cell r="M280">
            <v>2.4868055555555557</v>
          </cell>
          <cell r="N280">
            <v>2012</v>
          </cell>
          <cell r="O280">
            <v>85</v>
          </cell>
          <cell r="P280">
            <v>1</v>
          </cell>
        </row>
        <row r="281">
          <cell r="B281" t="str">
            <v>Lund University</v>
          </cell>
          <cell r="C281" t="str">
            <v>Sweden</v>
          </cell>
          <cell r="D281">
            <v>80</v>
          </cell>
          <cell r="E281">
            <v>61.2</v>
          </cell>
          <cell r="F281">
            <v>58.5</v>
          </cell>
          <cell r="G281">
            <v>72.8</v>
          </cell>
          <cell r="H281">
            <v>32.6</v>
          </cell>
          <cell r="I281">
            <v>56.9</v>
          </cell>
          <cell r="J281">
            <v>28251</v>
          </cell>
          <cell r="K281">
            <v>11.5</v>
          </cell>
          <cell r="L281">
            <v>0.15</v>
          </cell>
          <cell r="N281">
            <v>2012</v>
          </cell>
          <cell r="O281">
            <v>116</v>
          </cell>
          <cell r="P281">
            <v>3</v>
          </cell>
        </row>
        <row r="282">
          <cell r="B282" t="str">
            <v>Rutgers, the State University of New Jersey</v>
          </cell>
          <cell r="C282" t="str">
            <v>United States of America</v>
          </cell>
          <cell r="D282">
            <v>81</v>
          </cell>
          <cell r="E282">
            <v>25.3</v>
          </cell>
          <cell r="F282">
            <v>60</v>
          </cell>
          <cell r="G282">
            <v>69</v>
          </cell>
          <cell r="H282" t="str">
            <v>-</v>
          </cell>
          <cell r="I282">
            <v>56.8</v>
          </cell>
          <cell r="J282">
            <v>37032</v>
          </cell>
          <cell r="K282">
            <v>17.3</v>
          </cell>
          <cell r="L282">
            <v>0.08</v>
          </cell>
          <cell r="M282">
            <v>2.1590277777777778</v>
          </cell>
          <cell r="N282">
            <v>2012</v>
          </cell>
          <cell r="O282" t="e">
            <v>#N/A</v>
          </cell>
          <cell r="P282" t="e">
            <v>#N/A</v>
          </cell>
        </row>
        <row r="283">
          <cell r="B283" t="str">
            <v>University of Rochester</v>
          </cell>
          <cell r="C283" t="str">
            <v>United States of America</v>
          </cell>
          <cell r="D283">
            <v>81</v>
          </cell>
          <cell r="E283">
            <v>45.7</v>
          </cell>
          <cell r="F283">
            <v>33.5</v>
          </cell>
          <cell r="G283">
            <v>94.5</v>
          </cell>
          <cell r="H283">
            <v>36.4</v>
          </cell>
          <cell r="I283">
            <v>56.8</v>
          </cell>
          <cell r="J283">
            <v>9390</v>
          </cell>
          <cell r="K283">
            <v>4.5</v>
          </cell>
          <cell r="L283">
            <v>0.26</v>
          </cell>
          <cell r="M283">
            <v>2.0770833333333334</v>
          </cell>
          <cell r="N283">
            <v>2012</v>
          </cell>
          <cell r="O283">
            <v>53</v>
          </cell>
          <cell r="P283">
            <v>39</v>
          </cell>
        </row>
        <row r="284">
          <cell r="B284" t="str">
            <v>Durham University</v>
          </cell>
          <cell r="C284" t="str">
            <v>United Kingdom</v>
          </cell>
          <cell r="D284">
            <v>83</v>
          </cell>
          <cell r="E284">
            <v>75.8</v>
          </cell>
          <cell r="F284">
            <v>37.9</v>
          </cell>
          <cell r="G284">
            <v>96.2</v>
          </cell>
          <cell r="H284">
            <v>30.5</v>
          </cell>
          <cell r="I284">
            <v>56.4</v>
          </cell>
          <cell r="J284">
            <v>15489</v>
          </cell>
          <cell r="K284">
            <v>15.7</v>
          </cell>
          <cell r="L284">
            <v>0.24</v>
          </cell>
          <cell r="M284">
            <v>2.2819444444444446</v>
          </cell>
          <cell r="N284">
            <v>2012</v>
          </cell>
          <cell r="O284">
            <v>264</v>
          </cell>
          <cell r="P284">
            <v>23</v>
          </cell>
        </row>
        <row r="285">
          <cell r="B285" t="str">
            <v>Pierre and Marie Curie University</v>
          </cell>
          <cell r="C285" t="str">
            <v>France</v>
          </cell>
          <cell r="D285">
            <v>84</v>
          </cell>
          <cell r="E285">
            <v>66.7</v>
          </cell>
          <cell r="F285">
            <v>30.5</v>
          </cell>
          <cell r="G285">
            <v>81.099999999999994</v>
          </cell>
          <cell r="H285">
            <v>26.2</v>
          </cell>
          <cell r="I285">
            <v>56</v>
          </cell>
          <cell r="J285">
            <v>27862</v>
          </cell>
          <cell r="K285">
            <v>8.6999999999999993</v>
          </cell>
          <cell r="L285">
            <v>0.18</v>
          </cell>
          <cell r="M285">
            <v>2.036111111111111</v>
          </cell>
          <cell r="N285">
            <v>2012</v>
          </cell>
          <cell r="O285" t="e">
            <v>#N/A</v>
          </cell>
          <cell r="P285" t="e">
            <v>#N/A</v>
          </cell>
        </row>
        <row r="286">
          <cell r="B286" t="str">
            <v>University of St Andrews</v>
          </cell>
          <cell r="C286" t="str">
            <v>United Kingdom</v>
          </cell>
          <cell r="D286">
            <v>85</v>
          </cell>
          <cell r="E286">
            <v>89.1</v>
          </cell>
          <cell r="F286">
            <v>40.200000000000003</v>
          </cell>
          <cell r="G286">
            <v>83</v>
          </cell>
          <cell r="H286">
            <v>34.1</v>
          </cell>
          <cell r="I286">
            <v>55.7</v>
          </cell>
          <cell r="J286">
            <v>8338</v>
          </cell>
          <cell r="K286">
            <v>12.7</v>
          </cell>
          <cell r="L286">
            <v>0.47</v>
          </cell>
          <cell r="M286">
            <v>2.3638888888888889</v>
          </cell>
          <cell r="N286">
            <v>2012</v>
          </cell>
          <cell r="O286">
            <v>323</v>
          </cell>
          <cell r="P286">
            <v>28</v>
          </cell>
        </row>
        <row r="287">
          <cell r="B287" t="str">
            <v>University of California, Irvine</v>
          </cell>
          <cell r="C287" t="str">
            <v>United States of America</v>
          </cell>
          <cell r="D287">
            <v>86</v>
          </cell>
          <cell r="E287">
            <v>36.299999999999997</v>
          </cell>
          <cell r="F287">
            <v>42.3</v>
          </cell>
          <cell r="G287">
            <v>93.5</v>
          </cell>
          <cell r="H287">
            <v>45.6</v>
          </cell>
          <cell r="I287">
            <v>55.4</v>
          </cell>
          <cell r="J287">
            <v>26614</v>
          </cell>
          <cell r="K287">
            <v>16.100000000000001</v>
          </cell>
          <cell r="L287">
            <v>0.16</v>
          </cell>
          <cell r="M287">
            <v>2.2000000000000002</v>
          </cell>
          <cell r="N287">
            <v>2012</v>
          </cell>
          <cell r="O287">
            <v>47</v>
          </cell>
          <cell r="P287">
            <v>35</v>
          </cell>
        </row>
        <row r="288">
          <cell r="B288" t="str">
            <v>Uppsala University</v>
          </cell>
          <cell r="C288" t="str">
            <v>Sweden</v>
          </cell>
          <cell r="D288">
            <v>87</v>
          </cell>
          <cell r="E288">
            <v>59.1</v>
          </cell>
          <cell r="F288">
            <v>65.099999999999994</v>
          </cell>
          <cell r="G288">
            <v>53.3</v>
          </cell>
          <cell r="H288">
            <v>43.4</v>
          </cell>
          <cell r="I288">
            <v>55.2</v>
          </cell>
          <cell r="J288">
            <v>25266</v>
          </cell>
          <cell r="K288">
            <v>18.2</v>
          </cell>
          <cell r="L288">
            <v>0.12</v>
          </cell>
          <cell r="M288">
            <v>2.4048611111111109</v>
          </cell>
          <cell r="N288">
            <v>2012</v>
          </cell>
          <cell r="O288">
            <v>124</v>
          </cell>
          <cell r="P288">
            <v>4</v>
          </cell>
        </row>
        <row r="289">
          <cell r="B289" t="str">
            <v>Technical University of Munich</v>
          </cell>
          <cell r="C289" t="str">
            <v>Germany</v>
          </cell>
          <cell r="D289">
            <v>88</v>
          </cell>
          <cell r="E289">
            <v>65.2</v>
          </cell>
          <cell r="F289">
            <v>37.1</v>
          </cell>
          <cell r="G289">
            <v>76.3</v>
          </cell>
          <cell r="H289">
            <v>47.2</v>
          </cell>
          <cell r="I289">
            <v>55.1</v>
          </cell>
          <cell r="J289">
            <v>35565</v>
          </cell>
          <cell r="K289">
            <v>31.5</v>
          </cell>
          <cell r="L289">
            <v>0.2</v>
          </cell>
          <cell r="M289" t="str">
            <v>33 : 67</v>
          </cell>
          <cell r="N289">
            <v>2012</v>
          </cell>
          <cell r="O289">
            <v>90</v>
          </cell>
          <cell r="P289">
            <v>3</v>
          </cell>
        </row>
        <row r="290">
          <cell r="B290" t="str">
            <v>University of Notre Dame</v>
          </cell>
          <cell r="C290" t="str">
            <v>United States of America</v>
          </cell>
          <cell r="D290">
            <v>89</v>
          </cell>
          <cell r="E290">
            <v>33.1</v>
          </cell>
          <cell r="F290">
            <v>36.200000000000003</v>
          </cell>
          <cell r="G290">
            <v>94.1</v>
          </cell>
          <cell r="H290">
            <v>27.3</v>
          </cell>
          <cell r="I290">
            <v>55</v>
          </cell>
          <cell r="J290">
            <v>11829</v>
          </cell>
          <cell r="K290">
            <v>13.8</v>
          </cell>
          <cell r="L290">
            <v>0.1</v>
          </cell>
          <cell r="M290">
            <v>1.8722222222222222</v>
          </cell>
          <cell r="N290">
            <v>2012</v>
          </cell>
          <cell r="O290">
            <v>64</v>
          </cell>
          <cell r="P290">
            <v>42</v>
          </cell>
        </row>
        <row r="291">
          <cell r="B291" t="str">
            <v>Dartmouth College</v>
          </cell>
          <cell r="C291" t="str">
            <v>United States of America</v>
          </cell>
          <cell r="D291">
            <v>90</v>
          </cell>
          <cell r="E291">
            <v>30.6</v>
          </cell>
          <cell r="F291">
            <v>38.700000000000003</v>
          </cell>
          <cell r="G291">
            <v>89.9</v>
          </cell>
          <cell r="H291" t="str">
            <v>-</v>
          </cell>
          <cell r="I291">
            <v>54.9</v>
          </cell>
          <cell r="J291">
            <v>6178</v>
          </cell>
          <cell r="K291">
            <v>6.6</v>
          </cell>
          <cell r="L291">
            <v>0.16</v>
          </cell>
          <cell r="M291">
            <v>1.9951388888888888</v>
          </cell>
          <cell r="N291">
            <v>2012</v>
          </cell>
          <cell r="O291">
            <v>58</v>
          </cell>
          <cell r="P291">
            <v>42</v>
          </cell>
        </row>
        <row r="292">
          <cell r="B292" t="str">
            <v>University of Helsinki</v>
          </cell>
          <cell r="C292" t="str">
            <v>Finland</v>
          </cell>
          <cell r="D292">
            <v>91</v>
          </cell>
          <cell r="E292">
            <v>46.8</v>
          </cell>
          <cell r="F292">
            <v>54.2</v>
          </cell>
          <cell r="G292">
            <v>75.099999999999994</v>
          </cell>
          <cell r="H292">
            <v>28.9</v>
          </cell>
          <cell r="I292">
            <v>54.8</v>
          </cell>
          <cell r="J292">
            <v>23505</v>
          </cell>
          <cell r="K292">
            <v>15.1</v>
          </cell>
          <cell r="L292">
            <v>0.06</v>
          </cell>
          <cell r="M292">
            <v>2.7736111111111112</v>
          </cell>
          <cell r="N292">
            <v>2012</v>
          </cell>
          <cell r="O292">
            <v>89</v>
          </cell>
          <cell r="P292">
            <v>1</v>
          </cell>
        </row>
        <row r="293">
          <cell r="B293" t="str">
            <v>University of Amsterdam</v>
          </cell>
          <cell r="C293" t="str">
            <v>Netherlands</v>
          </cell>
          <cell r="D293">
            <v>92</v>
          </cell>
          <cell r="E293">
            <v>56.4</v>
          </cell>
          <cell r="F293">
            <v>54.7</v>
          </cell>
          <cell r="G293">
            <v>68.3</v>
          </cell>
          <cell r="H293">
            <v>42.5</v>
          </cell>
          <cell r="I293">
            <v>54.7</v>
          </cell>
          <cell r="J293">
            <v>24570</v>
          </cell>
          <cell r="K293">
            <v>14.4</v>
          </cell>
          <cell r="L293">
            <v>0.11</v>
          </cell>
          <cell r="M293">
            <v>2.2409722222222221</v>
          </cell>
          <cell r="N293">
            <v>2012</v>
          </cell>
          <cell r="O293">
            <v>122</v>
          </cell>
          <cell r="P293">
            <v>4</v>
          </cell>
        </row>
        <row r="294">
          <cell r="B294" t="str">
            <v>Case Western Reserve University</v>
          </cell>
          <cell r="C294" t="str">
            <v>United States of America</v>
          </cell>
          <cell r="D294">
            <v>93</v>
          </cell>
          <cell r="E294">
            <v>29.9</v>
          </cell>
          <cell r="F294">
            <v>40.200000000000003</v>
          </cell>
          <cell r="G294">
            <v>78.400000000000006</v>
          </cell>
          <cell r="H294" t="str">
            <v>-</v>
          </cell>
          <cell r="I294">
            <v>54.6</v>
          </cell>
          <cell r="J294">
            <v>9259</v>
          </cell>
          <cell r="K294">
            <v>6.4</v>
          </cell>
          <cell r="L294">
            <v>0.17</v>
          </cell>
          <cell r="M294">
            <v>2.036111111111111</v>
          </cell>
          <cell r="N294">
            <v>2012</v>
          </cell>
          <cell r="O294">
            <v>78</v>
          </cell>
          <cell r="P294">
            <v>51</v>
          </cell>
        </row>
        <row r="295">
          <cell r="B295" t="str">
            <v>Korea Advanced Institute of Science and Technology (KAIST)</v>
          </cell>
          <cell r="C295" t="str">
            <v>South Korea</v>
          </cell>
          <cell r="D295">
            <v>94</v>
          </cell>
          <cell r="E295">
            <v>29.3</v>
          </cell>
          <cell r="F295">
            <v>54.6</v>
          </cell>
          <cell r="G295">
            <v>47.1</v>
          </cell>
          <cell r="H295">
            <v>100</v>
          </cell>
          <cell r="I295">
            <v>54.5</v>
          </cell>
          <cell r="J295">
            <v>9027</v>
          </cell>
          <cell r="K295">
            <v>10</v>
          </cell>
          <cell r="L295">
            <v>0.09</v>
          </cell>
          <cell r="M295">
            <v>0.88888888888888884</v>
          </cell>
          <cell r="N295">
            <v>2012</v>
          </cell>
          <cell r="O295">
            <v>128</v>
          </cell>
          <cell r="P295">
            <v>3</v>
          </cell>
        </row>
        <row r="296">
          <cell r="B296" t="str">
            <v>University of Maryland, College Park</v>
          </cell>
          <cell r="C296" t="str">
            <v>United States of America</v>
          </cell>
          <cell r="D296">
            <v>94</v>
          </cell>
          <cell r="E296">
            <v>35.299999999999997</v>
          </cell>
          <cell r="F296">
            <v>43.6</v>
          </cell>
          <cell r="G296">
            <v>85.8</v>
          </cell>
          <cell r="H296">
            <v>28.5</v>
          </cell>
          <cell r="I296">
            <v>54.5</v>
          </cell>
          <cell r="J296">
            <v>31331</v>
          </cell>
          <cell r="K296">
            <v>8.4</v>
          </cell>
          <cell r="L296">
            <v>0.09</v>
          </cell>
          <cell r="M296">
            <v>2.036111111111111</v>
          </cell>
          <cell r="N296">
            <v>2012</v>
          </cell>
          <cell r="O296">
            <v>68</v>
          </cell>
          <cell r="P296">
            <v>47</v>
          </cell>
        </row>
        <row r="297">
          <cell r="B297" t="str">
            <v>Michigan State University</v>
          </cell>
          <cell r="C297" t="str">
            <v>United States of America</v>
          </cell>
          <cell r="D297">
            <v>96</v>
          </cell>
          <cell r="E297">
            <v>34</v>
          </cell>
          <cell r="F297">
            <v>49.6</v>
          </cell>
          <cell r="G297">
            <v>73.599999999999994</v>
          </cell>
          <cell r="H297">
            <v>28</v>
          </cell>
          <cell r="I297">
            <v>54.4</v>
          </cell>
          <cell r="J297">
            <v>44750</v>
          </cell>
          <cell r="K297">
            <v>15.7</v>
          </cell>
          <cell r="L297">
            <v>0.15</v>
          </cell>
          <cell r="M297">
            <v>2.1590277777777778</v>
          </cell>
          <cell r="N297">
            <v>2012</v>
          </cell>
          <cell r="O297">
            <v>112</v>
          </cell>
          <cell r="P297">
            <v>59</v>
          </cell>
        </row>
        <row r="298">
          <cell r="B298" t="str">
            <v>University of Arizona</v>
          </cell>
          <cell r="C298" t="str">
            <v>United States of America</v>
          </cell>
          <cell r="D298">
            <v>97</v>
          </cell>
          <cell r="E298">
            <v>28.4</v>
          </cell>
          <cell r="F298">
            <v>43</v>
          </cell>
          <cell r="G298">
            <v>78.3</v>
          </cell>
          <cell r="H298">
            <v>86</v>
          </cell>
          <cell r="I298">
            <v>54.2</v>
          </cell>
          <cell r="J298">
            <v>36429</v>
          </cell>
          <cell r="K298">
            <v>12.7</v>
          </cell>
          <cell r="L298">
            <v>0.08</v>
          </cell>
          <cell r="M298">
            <v>2.2000000000000002</v>
          </cell>
          <cell r="N298">
            <v>2012</v>
          </cell>
          <cell r="O298">
            <v>50</v>
          </cell>
          <cell r="P298">
            <v>37</v>
          </cell>
        </row>
        <row r="299">
          <cell r="B299" t="str">
            <v>Purdue University</v>
          </cell>
          <cell r="C299" t="str">
            <v>United States of America</v>
          </cell>
          <cell r="D299">
            <v>98</v>
          </cell>
          <cell r="E299">
            <v>52.6</v>
          </cell>
          <cell r="F299">
            <v>49.4</v>
          </cell>
          <cell r="G299">
            <v>57.8</v>
          </cell>
          <cell r="H299" t="str">
            <v>-</v>
          </cell>
          <cell r="I299">
            <v>54</v>
          </cell>
          <cell r="J299">
            <v>39256</v>
          </cell>
          <cell r="K299">
            <v>18.100000000000001</v>
          </cell>
          <cell r="L299">
            <v>0.22</v>
          </cell>
          <cell r="M299">
            <v>1.7902777777777779</v>
          </cell>
          <cell r="N299">
            <v>2012</v>
          </cell>
          <cell r="O299" t="e">
            <v>#N/A</v>
          </cell>
          <cell r="P299" t="e">
            <v>#N/A</v>
          </cell>
        </row>
        <row r="300">
          <cell r="B300" t="str">
            <v>University of Sussex</v>
          </cell>
          <cell r="C300" t="str">
            <v>United Kingdom</v>
          </cell>
          <cell r="D300">
            <v>99</v>
          </cell>
          <cell r="E300">
            <v>79.8</v>
          </cell>
          <cell r="F300">
            <v>34.799999999999997</v>
          </cell>
          <cell r="G300">
            <v>92</v>
          </cell>
          <cell r="H300">
            <v>28.1</v>
          </cell>
          <cell r="I300">
            <v>53.9</v>
          </cell>
          <cell r="J300">
            <v>12001</v>
          </cell>
          <cell r="K300">
            <v>17.399999999999999</v>
          </cell>
          <cell r="L300">
            <v>0.35</v>
          </cell>
          <cell r="M300">
            <v>2.2819444444444446</v>
          </cell>
          <cell r="N300">
            <v>2012</v>
          </cell>
          <cell r="O300">
            <v>190</v>
          </cell>
          <cell r="P300">
            <v>15</v>
          </cell>
        </row>
        <row r="301">
          <cell r="B301" t="str">
            <v>University of Alberta</v>
          </cell>
          <cell r="C301" t="str">
            <v>Canada</v>
          </cell>
          <cell r="D301">
            <v>100</v>
          </cell>
          <cell r="E301">
            <v>71.900000000000006</v>
          </cell>
          <cell r="F301">
            <v>54.4</v>
          </cell>
          <cell r="G301">
            <v>51.7</v>
          </cell>
          <cell r="H301">
            <v>53.7</v>
          </cell>
          <cell r="I301">
            <v>53.7</v>
          </cell>
          <cell r="J301">
            <v>36299</v>
          </cell>
          <cell r="K301">
            <v>21.6</v>
          </cell>
          <cell r="L301">
            <v>0.23</v>
          </cell>
          <cell r="M301">
            <v>2.3229166666666665</v>
          </cell>
          <cell r="N301">
            <v>2012</v>
          </cell>
          <cell r="O301">
            <v>97</v>
          </cell>
          <cell r="P301">
            <v>4</v>
          </cell>
        </row>
        <row r="302">
          <cell r="B302" t="str">
            <v>University of Sheffield</v>
          </cell>
          <cell r="C302" t="str">
            <v>United Kingdom</v>
          </cell>
          <cell r="D302">
            <v>101</v>
          </cell>
          <cell r="E302">
            <v>68.2</v>
          </cell>
          <cell r="F302">
            <v>46</v>
          </cell>
          <cell r="G302">
            <v>67.5</v>
          </cell>
          <cell r="H302">
            <v>40.200000000000003</v>
          </cell>
          <cell r="I302">
            <v>53.6</v>
          </cell>
          <cell r="J302">
            <v>23311</v>
          </cell>
          <cell r="K302">
            <v>15.5</v>
          </cell>
          <cell r="L302">
            <v>0.31</v>
          </cell>
          <cell r="M302">
            <v>2.1180555555555554</v>
          </cell>
          <cell r="N302">
            <v>2012</v>
          </cell>
          <cell r="O302">
            <v>178</v>
          </cell>
          <cell r="P302">
            <v>14</v>
          </cell>
        </row>
        <row r="303">
          <cell r="B303" t="str">
            <v>University of Glasgow</v>
          </cell>
          <cell r="C303" t="str">
            <v>United Kingdom</v>
          </cell>
          <cell r="D303">
            <v>102</v>
          </cell>
          <cell r="E303">
            <v>68.099999999999994</v>
          </cell>
          <cell r="F303">
            <v>41</v>
          </cell>
          <cell r="G303">
            <v>77.5</v>
          </cell>
          <cell r="H303">
            <v>61.4</v>
          </cell>
          <cell r="I303">
            <v>53.4</v>
          </cell>
          <cell r="J303">
            <v>22616</v>
          </cell>
          <cell r="K303">
            <v>16</v>
          </cell>
          <cell r="L303">
            <v>0.28999999999999998</v>
          </cell>
          <cell r="M303">
            <v>2.4048611111111109</v>
          </cell>
          <cell r="N303">
            <v>2012</v>
          </cell>
          <cell r="O303">
            <v>137</v>
          </cell>
          <cell r="P303">
            <v>9</v>
          </cell>
        </row>
        <row r="304">
          <cell r="B304" t="str">
            <v>University of Cape Town</v>
          </cell>
          <cell r="C304" t="str">
            <v>South Africa</v>
          </cell>
          <cell r="D304">
            <v>103</v>
          </cell>
          <cell r="E304">
            <v>73.900000000000006</v>
          </cell>
          <cell r="F304">
            <v>41.1</v>
          </cell>
          <cell r="G304">
            <v>75.3</v>
          </cell>
          <cell r="H304">
            <v>97.5</v>
          </cell>
          <cell r="I304">
            <v>53.2</v>
          </cell>
          <cell r="J304">
            <v>20040</v>
          </cell>
          <cell r="K304">
            <v>12.1</v>
          </cell>
          <cell r="L304">
            <v>0.18</v>
          </cell>
          <cell r="M304">
            <v>2.2409722222222221</v>
          </cell>
          <cell r="N304">
            <v>2012</v>
          </cell>
          <cell r="O304">
            <v>267</v>
          </cell>
          <cell r="P304">
            <v>2</v>
          </cell>
        </row>
        <row r="305">
          <cell r="B305" t="str">
            <v>Delft University of Technology</v>
          </cell>
          <cell r="C305" t="str">
            <v>Netherlands</v>
          </cell>
          <cell r="D305">
            <v>104</v>
          </cell>
          <cell r="E305">
            <v>71.3</v>
          </cell>
          <cell r="F305">
            <v>66.099999999999994</v>
          </cell>
          <cell r="G305">
            <v>31.2</v>
          </cell>
          <cell r="H305">
            <v>100</v>
          </cell>
          <cell r="I305">
            <v>53.1</v>
          </cell>
          <cell r="J305">
            <v>15920</v>
          </cell>
          <cell r="K305">
            <v>19.399999999999999</v>
          </cell>
          <cell r="L305">
            <v>0.25</v>
          </cell>
          <cell r="M305" t="str">
            <v>26 : 74</v>
          </cell>
          <cell r="N305">
            <v>2012</v>
          </cell>
          <cell r="O305">
            <v>275</v>
          </cell>
          <cell r="P305">
            <v>9</v>
          </cell>
        </row>
        <row r="306">
          <cell r="B306" t="str">
            <v>University of Montreal</v>
          </cell>
          <cell r="C306" t="str">
            <v>Canada</v>
          </cell>
          <cell r="D306">
            <v>104</v>
          </cell>
          <cell r="E306">
            <v>79.5</v>
          </cell>
          <cell r="F306">
            <v>47</v>
          </cell>
          <cell r="G306">
            <v>48.7</v>
          </cell>
          <cell r="H306">
            <v>81.3</v>
          </cell>
          <cell r="I306">
            <v>53.1</v>
          </cell>
          <cell r="J306">
            <v>38264</v>
          </cell>
          <cell r="K306">
            <v>20.3</v>
          </cell>
          <cell r="L306">
            <v>0.25</v>
          </cell>
          <cell r="M306">
            <v>2.4048611111111109</v>
          </cell>
          <cell r="N306">
            <v>2012</v>
          </cell>
          <cell r="O306">
            <v>134</v>
          </cell>
          <cell r="P306">
            <v>5</v>
          </cell>
        </row>
        <row r="307">
          <cell r="B307" t="str">
            <v>Ghent University</v>
          </cell>
          <cell r="C307" t="str">
            <v>Belgium</v>
          </cell>
          <cell r="D307">
            <v>106</v>
          </cell>
          <cell r="E307">
            <v>47.3</v>
          </cell>
          <cell r="F307">
            <v>52.2</v>
          </cell>
          <cell r="G307">
            <v>63.4</v>
          </cell>
          <cell r="H307">
            <v>97.8</v>
          </cell>
          <cell r="I307">
            <v>53</v>
          </cell>
          <cell r="J307">
            <v>32166</v>
          </cell>
          <cell r="K307">
            <v>34.1</v>
          </cell>
          <cell r="L307">
            <v>0.09</v>
          </cell>
          <cell r="M307">
            <v>2.4048611111111109</v>
          </cell>
          <cell r="N307">
            <v>2012</v>
          </cell>
          <cell r="O307">
            <v>136</v>
          </cell>
          <cell r="P307">
            <v>2</v>
          </cell>
        </row>
        <row r="308">
          <cell r="B308" t="str">
            <v>Royal Holloway, University of London</v>
          </cell>
          <cell r="C308" t="str">
            <v>United Kingdom</v>
          </cell>
          <cell r="D308">
            <v>107</v>
          </cell>
          <cell r="E308">
            <v>93.3</v>
          </cell>
          <cell r="F308">
            <v>24.1</v>
          </cell>
          <cell r="G308">
            <v>98.2</v>
          </cell>
          <cell r="H308">
            <v>25.9</v>
          </cell>
          <cell r="I308">
            <v>52.9</v>
          </cell>
          <cell r="J308">
            <v>8747</v>
          </cell>
          <cell r="K308">
            <v>15.9</v>
          </cell>
          <cell r="L308">
            <v>0.37</v>
          </cell>
          <cell r="M308">
            <v>2.4048611111111109</v>
          </cell>
          <cell r="N308">
            <v>2012</v>
          </cell>
          <cell r="O308">
            <v>541</v>
          </cell>
          <cell r="P308">
            <v>42</v>
          </cell>
        </row>
        <row r="309">
          <cell r="B309" t="str">
            <v>Tokyo Institute of Technology</v>
          </cell>
          <cell r="C309" t="str">
            <v>Japan</v>
          </cell>
          <cell r="D309">
            <v>108</v>
          </cell>
          <cell r="E309">
            <v>24.9</v>
          </cell>
          <cell r="F309">
            <v>58.9</v>
          </cell>
          <cell r="G309">
            <v>49.5</v>
          </cell>
          <cell r="H309">
            <v>66.3</v>
          </cell>
          <cell r="I309">
            <v>52.8</v>
          </cell>
          <cell r="J309">
            <v>9586</v>
          </cell>
          <cell r="K309">
            <v>7.3</v>
          </cell>
          <cell r="L309">
            <v>0.13</v>
          </cell>
          <cell r="M309">
            <v>0.6020833333333333</v>
          </cell>
          <cell r="N309">
            <v>2012</v>
          </cell>
          <cell r="O309">
            <v>96</v>
          </cell>
          <cell r="P309">
            <v>8</v>
          </cell>
        </row>
        <row r="310">
          <cell r="B310" t="str">
            <v>Humboldt University of Berlin</v>
          </cell>
          <cell r="C310" t="str">
            <v>Germany</v>
          </cell>
          <cell r="D310">
            <v>109</v>
          </cell>
          <cell r="E310">
            <v>64.5</v>
          </cell>
          <cell r="F310">
            <v>54.5</v>
          </cell>
          <cell r="G310">
            <v>50.1</v>
          </cell>
          <cell r="H310" t="str">
            <v>-</v>
          </cell>
          <cell r="I310">
            <v>52.6</v>
          </cell>
          <cell r="J310">
            <v>29987</v>
          </cell>
          <cell r="K310">
            <v>52.5</v>
          </cell>
          <cell r="L310">
            <v>0.16</v>
          </cell>
          <cell r="N310">
            <v>2012</v>
          </cell>
          <cell r="O310">
            <v>157</v>
          </cell>
          <cell r="P310">
            <v>6</v>
          </cell>
        </row>
        <row r="311">
          <cell r="B311" t="str">
            <v>University of California, Santa Cruz</v>
          </cell>
          <cell r="C311" t="str">
            <v>United States of America</v>
          </cell>
          <cell r="D311">
            <v>110</v>
          </cell>
          <cell r="E311">
            <v>29.8</v>
          </cell>
          <cell r="F311">
            <v>36.6</v>
          </cell>
          <cell r="G311">
            <v>99.9</v>
          </cell>
          <cell r="H311">
            <v>29.5</v>
          </cell>
          <cell r="I311">
            <v>52.5</v>
          </cell>
          <cell r="J311">
            <v>17404</v>
          </cell>
          <cell r="K311">
            <v>22.7</v>
          </cell>
          <cell r="L311">
            <v>0.01</v>
          </cell>
          <cell r="M311">
            <v>2.2409722222222221</v>
          </cell>
          <cell r="N311">
            <v>2012</v>
          </cell>
          <cell r="O311">
            <v>163</v>
          </cell>
          <cell r="P311">
            <v>71</v>
          </cell>
        </row>
        <row r="312">
          <cell r="B312" t="str">
            <v>University of Basel</v>
          </cell>
          <cell r="C312" t="str">
            <v>Switzerland</v>
          </cell>
          <cell r="D312">
            <v>111</v>
          </cell>
          <cell r="E312">
            <v>92.4</v>
          </cell>
          <cell r="F312">
            <v>21.9</v>
          </cell>
          <cell r="G312">
            <v>86</v>
          </cell>
          <cell r="H312">
            <v>48.6</v>
          </cell>
          <cell r="I312">
            <v>52.2</v>
          </cell>
          <cell r="J312">
            <v>12551</v>
          </cell>
          <cell r="K312">
            <v>17.3</v>
          </cell>
          <cell r="L312">
            <v>0.24</v>
          </cell>
          <cell r="M312">
            <v>2.2819444444444446</v>
          </cell>
          <cell r="N312">
            <v>2012</v>
          </cell>
          <cell r="O312">
            <v>154</v>
          </cell>
          <cell r="P312">
            <v>5</v>
          </cell>
        </row>
        <row r="313">
          <cell r="B313" t="str">
            <v>University of Bern</v>
          </cell>
          <cell r="C313" t="str">
            <v>Switzerland</v>
          </cell>
          <cell r="D313">
            <v>112</v>
          </cell>
          <cell r="E313">
            <v>77.599999999999994</v>
          </cell>
          <cell r="F313">
            <v>34.6</v>
          </cell>
          <cell r="G313">
            <v>73.5</v>
          </cell>
          <cell r="H313">
            <v>38.200000000000003</v>
          </cell>
          <cell r="I313">
            <v>52.1</v>
          </cell>
          <cell r="J313">
            <v>14708</v>
          </cell>
          <cell r="K313">
            <v>22.5</v>
          </cell>
          <cell r="L313">
            <v>0.14000000000000001</v>
          </cell>
          <cell r="M313">
            <v>2.2819444444444446</v>
          </cell>
          <cell r="N313">
            <v>2012</v>
          </cell>
          <cell r="O313">
            <v>201</v>
          </cell>
          <cell r="P313">
            <v>7</v>
          </cell>
        </row>
        <row r="314">
          <cell r="B314" t="str">
            <v>University of Utah</v>
          </cell>
          <cell r="C314" t="str">
            <v>United States of America</v>
          </cell>
          <cell r="D314">
            <v>113</v>
          </cell>
          <cell r="E314">
            <v>23.3</v>
          </cell>
          <cell r="F314">
            <v>41</v>
          </cell>
          <cell r="G314">
            <v>82.3</v>
          </cell>
          <cell r="H314" t="str">
            <v>-</v>
          </cell>
          <cell r="I314">
            <v>51.9</v>
          </cell>
          <cell r="J314">
            <v>25674</v>
          </cell>
          <cell r="K314">
            <v>16.899999999999999</v>
          </cell>
          <cell r="L314">
            <v>0.09</v>
          </cell>
          <cell r="M314">
            <v>1.9131944444444444</v>
          </cell>
          <cell r="N314">
            <v>2012</v>
          </cell>
          <cell r="O314">
            <v>38</v>
          </cell>
          <cell r="P314">
            <v>27</v>
          </cell>
        </row>
        <row r="315">
          <cell r="B315" t="str">
            <v>Stony Brook University</v>
          </cell>
          <cell r="C315" t="str">
            <v>United States of America</v>
          </cell>
          <cell r="D315">
            <v>114</v>
          </cell>
          <cell r="E315">
            <v>56.5</v>
          </cell>
          <cell r="F315">
            <v>28.7</v>
          </cell>
          <cell r="G315">
            <v>88.3</v>
          </cell>
          <cell r="H315">
            <v>29.2</v>
          </cell>
          <cell r="I315">
            <v>51.4</v>
          </cell>
          <cell r="J315">
            <v>21908</v>
          </cell>
          <cell r="K315">
            <v>10.9</v>
          </cell>
          <cell r="L315">
            <v>0.24</v>
          </cell>
          <cell r="M315">
            <v>2.1180555555555554</v>
          </cell>
          <cell r="N315">
            <v>2012</v>
          </cell>
          <cell r="O315">
            <v>89</v>
          </cell>
          <cell r="P315">
            <v>54</v>
          </cell>
        </row>
        <row r="316">
          <cell r="B316" t="str">
            <v>Eindhoven University of Technology</v>
          </cell>
          <cell r="C316" t="str">
            <v>Netherlands</v>
          </cell>
          <cell r="D316">
            <v>115</v>
          </cell>
          <cell r="E316">
            <v>67.3</v>
          </cell>
          <cell r="F316">
            <v>48</v>
          </cell>
          <cell r="G316">
            <v>62.1</v>
          </cell>
          <cell r="H316">
            <v>100</v>
          </cell>
          <cell r="I316">
            <v>51.3</v>
          </cell>
          <cell r="J316">
            <v>8176</v>
          </cell>
          <cell r="K316">
            <v>16</v>
          </cell>
          <cell r="L316">
            <v>0.14000000000000001</v>
          </cell>
          <cell r="M316">
            <v>0.84791666666666665</v>
          </cell>
          <cell r="N316">
            <v>2012</v>
          </cell>
          <cell r="O316">
            <v>353</v>
          </cell>
          <cell r="P316">
            <v>11</v>
          </cell>
        </row>
        <row r="317">
          <cell r="B317" t="str">
            <v>University of Lausanne</v>
          </cell>
          <cell r="C317" t="str">
            <v>Switzerland</v>
          </cell>
          <cell r="D317">
            <v>116</v>
          </cell>
          <cell r="E317">
            <v>86.7</v>
          </cell>
          <cell r="F317">
            <v>40.4</v>
          </cell>
          <cell r="G317">
            <v>77.8</v>
          </cell>
          <cell r="H317">
            <v>40.299999999999997</v>
          </cell>
          <cell r="I317">
            <v>51.2</v>
          </cell>
          <cell r="J317">
            <v>11964</v>
          </cell>
          <cell r="K317">
            <v>13.1</v>
          </cell>
          <cell r="L317">
            <v>0.22</v>
          </cell>
          <cell r="N317">
            <v>2012</v>
          </cell>
          <cell r="O317">
            <v>194</v>
          </cell>
          <cell r="P317">
            <v>6</v>
          </cell>
        </row>
        <row r="318">
          <cell r="B318" t="str">
            <v>Monash University</v>
          </cell>
          <cell r="C318" t="str">
            <v>Australia</v>
          </cell>
          <cell r="D318">
            <v>117</v>
          </cell>
          <cell r="E318">
            <v>75.8</v>
          </cell>
          <cell r="F318">
            <v>48.5</v>
          </cell>
          <cell r="G318">
            <v>57.1</v>
          </cell>
          <cell r="H318">
            <v>62.2</v>
          </cell>
          <cell r="I318">
            <v>51.1</v>
          </cell>
          <cell r="J318">
            <v>50882</v>
          </cell>
          <cell r="K318">
            <v>40.5</v>
          </cell>
          <cell r="L318">
            <v>0.36</v>
          </cell>
          <cell r="M318">
            <v>2.3638888888888889</v>
          </cell>
          <cell r="N318">
            <v>2012</v>
          </cell>
          <cell r="O318">
            <v>170</v>
          </cell>
          <cell r="P318">
            <v>6</v>
          </cell>
        </row>
        <row r="319">
          <cell r="B319" t="str">
            <v>Trinity College Dublin</v>
          </cell>
          <cell r="C319" t="str">
            <v>Republic of Ireland</v>
          </cell>
          <cell r="D319">
            <v>117</v>
          </cell>
          <cell r="E319">
            <v>89.4</v>
          </cell>
          <cell r="F319">
            <v>23.5</v>
          </cell>
          <cell r="G319">
            <v>91.7</v>
          </cell>
          <cell r="H319">
            <v>29.7</v>
          </cell>
          <cell r="I319">
            <v>51.1</v>
          </cell>
          <cell r="J319">
            <v>15521</v>
          </cell>
          <cell r="K319">
            <v>18</v>
          </cell>
          <cell r="L319">
            <v>0.25</v>
          </cell>
          <cell r="M319">
            <v>2.4048611111111109</v>
          </cell>
          <cell r="N319">
            <v>2012</v>
          </cell>
          <cell r="O319" t="e">
            <v>#N/A</v>
          </cell>
          <cell r="P319" t="e">
            <v>#N/A</v>
          </cell>
        </row>
        <row r="320">
          <cell r="B320" t="str">
            <v>Osaka University</v>
          </cell>
          <cell r="C320" t="str">
            <v>Japan</v>
          </cell>
          <cell r="D320">
            <v>119</v>
          </cell>
          <cell r="E320">
            <v>21.1</v>
          </cell>
          <cell r="F320">
            <v>56.5</v>
          </cell>
          <cell r="G320">
            <v>40</v>
          </cell>
          <cell r="H320">
            <v>75</v>
          </cell>
          <cell r="I320">
            <v>51</v>
          </cell>
          <cell r="J320">
            <v>23144</v>
          </cell>
          <cell r="K320">
            <v>7.8</v>
          </cell>
          <cell r="L320">
            <v>0.09</v>
          </cell>
          <cell r="M320" t="str">
            <v>31 : 69</v>
          </cell>
          <cell r="N320">
            <v>2012</v>
          </cell>
          <cell r="O320">
            <v>32</v>
          </cell>
          <cell r="P320">
            <v>3</v>
          </cell>
        </row>
        <row r="321">
          <cell r="B321" t="str">
            <v>Tohoku University</v>
          </cell>
          <cell r="C321" t="str">
            <v>Japan</v>
          </cell>
          <cell r="D321">
            <v>120</v>
          </cell>
          <cell r="E321">
            <v>25.6</v>
          </cell>
          <cell r="F321">
            <v>55.7</v>
          </cell>
          <cell r="G321">
            <v>42.9</v>
          </cell>
          <cell r="H321">
            <v>78.900000000000006</v>
          </cell>
          <cell r="I321">
            <v>50.8</v>
          </cell>
          <cell r="J321">
            <v>17200</v>
          </cell>
          <cell r="K321">
            <v>5</v>
          </cell>
          <cell r="L321">
            <v>7.0000000000000007E-2</v>
          </cell>
          <cell r="M321" t="str">
            <v>25 : 75</v>
          </cell>
          <cell r="N321">
            <v>2012</v>
          </cell>
          <cell r="O321">
            <v>79</v>
          </cell>
          <cell r="P321">
            <v>5</v>
          </cell>
        </row>
        <row r="322">
          <cell r="B322" t="str">
            <v>Hebrew University of Jerusalem</v>
          </cell>
          <cell r="C322" t="str">
            <v>Israel</v>
          </cell>
          <cell r="D322">
            <v>121</v>
          </cell>
          <cell r="E322">
            <v>53</v>
          </cell>
          <cell r="F322">
            <v>56.4</v>
          </cell>
          <cell r="G322">
            <v>48.4</v>
          </cell>
          <cell r="H322">
            <v>25</v>
          </cell>
          <cell r="I322">
            <v>50.4</v>
          </cell>
          <cell r="J322">
            <v>17612</v>
          </cell>
          <cell r="K322">
            <v>10.7</v>
          </cell>
          <cell r="L322">
            <v>0.05</v>
          </cell>
          <cell r="M322">
            <v>2.3229166666666665</v>
          </cell>
          <cell r="N322">
            <v>2012</v>
          </cell>
          <cell r="O322">
            <v>22</v>
          </cell>
          <cell r="P322">
            <v>2</v>
          </cell>
        </row>
        <row r="323">
          <cell r="B323" t="str">
            <v>University of York</v>
          </cell>
          <cell r="C323" t="str">
            <v>United Kingdom</v>
          </cell>
          <cell r="D323">
            <v>121</v>
          </cell>
          <cell r="E323">
            <v>72.7</v>
          </cell>
          <cell r="F323">
            <v>38.799999999999997</v>
          </cell>
          <cell r="G323">
            <v>71.599999999999994</v>
          </cell>
          <cell r="H323">
            <v>33.9</v>
          </cell>
          <cell r="I323">
            <v>50.4</v>
          </cell>
          <cell r="N323">
            <v>2012</v>
          </cell>
          <cell r="O323">
            <v>336</v>
          </cell>
          <cell r="P323">
            <v>30</v>
          </cell>
        </row>
        <row r="324">
          <cell r="B324" t="str">
            <v>Indiana University</v>
          </cell>
          <cell r="C324" t="str">
            <v>United States of America</v>
          </cell>
          <cell r="D324">
            <v>123</v>
          </cell>
          <cell r="E324">
            <v>37.700000000000003</v>
          </cell>
          <cell r="F324">
            <v>34.5</v>
          </cell>
          <cell r="G324">
            <v>73.7</v>
          </cell>
          <cell r="H324" t="str">
            <v>-</v>
          </cell>
          <cell r="I324">
            <v>50.2</v>
          </cell>
          <cell r="J324">
            <v>62468</v>
          </cell>
          <cell r="K324">
            <v>13.6</v>
          </cell>
          <cell r="L324">
            <v>0.13</v>
          </cell>
          <cell r="M324">
            <v>2.2409722222222221</v>
          </cell>
          <cell r="N324">
            <v>2012</v>
          </cell>
          <cell r="O324" t="e">
            <v>#N/A</v>
          </cell>
          <cell r="P324" t="e">
            <v>#N/A</v>
          </cell>
        </row>
        <row r="325">
          <cell r="B325" t="str">
            <v>Seoul National University</v>
          </cell>
          <cell r="C325" t="str">
            <v>South Korea</v>
          </cell>
          <cell r="D325">
            <v>124</v>
          </cell>
          <cell r="E325">
            <v>16.3</v>
          </cell>
          <cell r="F325">
            <v>50.8</v>
          </cell>
          <cell r="G325">
            <v>44</v>
          </cell>
          <cell r="H325">
            <v>42.6</v>
          </cell>
          <cell r="I325">
            <v>50.1</v>
          </cell>
          <cell r="J325">
            <v>26389</v>
          </cell>
          <cell r="K325">
            <v>13.9</v>
          </cell>
          <cell r="L325">
            <v>0.1</v>
          </cell>
          <cell r="N325">
            <v>2012</v>
          </cell>
          <cell r="O325">
            <v>75</v>
          </cell>
          <cell r="P325">
            <v>1</v>
          </cell>
        </row>
        <row r="326">
          <cell r="B326" t="str">
            <v>Aarhus University</v>
          </cell>
          <cell r="C326" t="str">
            <v>Denmark</v>
          </cell>
          <cell r="D326">
            <v>125</v>
          </cell>
          <cell r="E326">
            <v>69.3</v>
          </cell>
          <cell r="F326">
            <v>49</v>
          </cell>
          <cell r="G326">
            <v>64</v>
          </cell>
          <cell r="H326">
            <v>67</v>
          </cell>
          <cell r="I326">
            <v>50</v>
          </cell>
          <cell r="J326">
            <v>23895</v>
          </cell>
          <cell r="K326">
            <v>13.6</v>
          </cell>
          <cell r="L326">
            <v>0.14000000000000001</v>
          </cell>
          <cell r="M326">
            <v>2.2819444444444446</v>
          </cell>
          <cell r="N326">
            <v>2012</v>
          </cell>
          <cell r="O326">
            <v>119</v>
          </cell>
          <cell r="P326">
            <v>2</v>
          </cell>
        </row>
        <row r="327">
          <cell r="B327" t="str">
            <v>University of Florida</v>
          </cell>
          <cell r="C327" t="str">
            <v>United States of America</v>
          </cell>
          <cell r="D327">
            <v>125</v>
          </cell>
          <cell r="E327">
            <v>25.9</v>
          </cell>
          <cell r="F327">
            <v>59.9</v>
          </cell>
          <cell r="G327">
            <v>50.9</v>
          </cell>
          <cell r="H327" t="str">
            <v>-</v>
          </cell>
          <cell r="I327">
            <v>50</v>
          </cell>
          <cell r="J327">
            <v>50095</v>
          </cell>
          <cell r="K327">
            <v>18.7</v>
          </cell>
          <cell r="L327">
            <v>0.09</v>
          </cell>
          <cell r="M327">
            <v>2.2819444444444446</v>
          </cell>
          <cell r="N327">
            <v>2012</v>
          </cell>
          <cell r="O327">
            <v>55</v>
          </cell>
          <cell r="P327">
            <v>40</v>
          </cell>
        </row>
        <row r="328">
          <cell r="B328" t="str">
            <v>Arizona State University</v>
          </cell>
          <cell r="C328" t="str">
            <v>United States of America</v>
          </cell>
          <cell r="D328">
            <v>127</v>
          </cell>
          <cell r="E328">
            <v>26.1</v>
          </cell>
          <cell r="F328">
            <v>39</v>
          </cell>
          <cell r="G328">
            <v>80.3</v>
          </cell>
          <cell r="H328">
            <v>28.7</v>
          </cell>
          <cell r="I328">
            <v>49.9</v>
          </cell>
          <cell r="J328">
            <v>83236</v>
          </cell>
          <cell r="K328">
            <v>29.9</v>
          </cell>
          <cell r="L328">
            <v>0.09</v>
          </cell>
          <cell r="M328">
            <v>2.1180555555555554</v>
          </cell>
          <cell r="N328">
            <v>2012</v>
          </cell>
          <cell r="O328">
            <v>80</v>
          </cell>
          <cell r="P328">
            <v>52</v>
          </cell>
        </row>
        <row r="329">
          <cell r="B329" t="str">
            <v>Queen Mary University of London</v>
          </cell>
          <cell r="C329" t="str">
            <v>United Kingdom</v>
          </cell>
          <cell r="D329">
            <v>127</v>
          </cell>
          <cell r="E329">
            <v>88.8</v>
          </cell>
          <cell r="F329">
            <v>28.6</v>
          </cell>
          <cell r="G329">
            <v>83.7</v>
          </cell>
          <cell r="H329">
            <v>36.6</v>
          </cell>
          <cell r="I329">
            <v>49.9</v>
          </cell>
          <cell r="J329">
            <v>14260</v>
          </cell>
          <cell r="K329">
            <v>14</v>
          </cell>
          <cell r="L329">
            <v>0.4</v>
          </cell>
          <cell r="M329">
            <v>2.2000000000000002</v>
          </cell>
          <cell r="N329">
            <v>2012</v>
          </cell>
          <cell r="O329">
            <v>214</v>
          </cell>
          <cell r="P329">
            <v>18</v>
          </cell>
        </row>
        <row r="330">
          <cell r="B330" t="str">
            <v>University of Southampton</v>
          </cell>
          <cell r="C330" t="str">
            <v>United Kingdom</v>
          </cell>
          <cell r="D330">
            <v>127</v>
          </cell>
          <cell r="E330">
            <v>78.3</v>
          </cell>
          <cell r="F330">
            <v>35.5</v>
          </cell>
          <cell r="G330">
            <v>72.5</v>
          </cell>
          <cell r="H330">
            <v>39.299999999999997</v>
          </cell>
          <cell r="I330">
            <v>49.9</v>
          </cell>
          <cell r="J330">
            <v>20925</v>
          </cell>
          <cell r="K330">
            <v>13.5</v>
          </cell>
          <cell r="L330">
            <v>0.28999999999999998</v>
          </cell>
          <cell r="M330">
            <v>2.2409722222222221</v>
          </cell>
          <cell r="N330">
            <v>2012</v>
          </cell>
          <cell r="O330">
            <v>146</v>
          </cell>
          <cell r="P330">
            <v>11</v>
          </cell>
        </row>
        <row r="331">
          <cell r="B331" t="str">
            <v>University of Geneva</v>
          </cell>
          <cell r="C331" t="str">
            <v>Switzerland</v>
          </cell>
          <cell r="D331">
            <v>130</v>
          </cell>
          <cell r="E331">
            <v>97.5</v>
          </cell>
          <cell r="F331">
            <v>39</v>
          </cell>
          <cell r="G331">
            <v>65.099999999999994</v>
          </cell>
          <cell r="H331">
            <v>32.700000000000003</v>
          </cell>
          <cell r="I331">
            <v>49.8</v>
          </cell>
          <cell r="J331">
            <v>15668</v>
          </cell>
          <cell r="K331">
            <v>15</v>
          </cell>
          <cell r="L331">
            <v>0.39</v>
          </cell>
          <cell r="M331">
            <v>2.5687500000000001</v>
          </cell>
          <cell r="N331">
            <v>2012</v>
          </cell>
          <cell r="O331">
            <v>65</v>
          </cell>
          <cell r="P331">
            <v>2</v>
          </cell>
        </row>
        <row r="332">
          <cell r="B332" t="str">
            <v>Lancaster University</v>
          </cell>
          <cell r="C332" t="str">
            <v>United Kingdom</v>
          </cell>
          <cell r="D332">
            <v>131</v>
          </cell>
          <cell r="E332">
            <v>78.599999999999994</v>
          </cell>
          <cell r="F332">
            <v>35.700000000000003</v>
          </cell>
          <cell r="G332">
            <v>75.400000000000006</v>
          </cell>
          <cell r="H332">
            <v>27.5</v>
          </cell>
          <cell r="I332">
            <v>49.7</v>
          </cell>
          <cell r="J332">
            <v>11512</v>
          </cell>
          <cell r="K332">
            <v>14.9</v>
          </cell>
          <cell r="L332">
            <v>0.33</v>
          </cell>
          <cell r="M332">
            <v>2.2000000000000002</v>
          </cell>
          <cell r="N332">
            <v>2012</v>
          </cell>
          <cell r="O332">
            <v>449</v>
          </cell>
          <cell r="P332">
            <v>38</v>
          </cell>
        </row>
        <row r="333">
          <cell r="B333" t="str">
            <v>Stockholm University</v>
          </cell>
          <cell r="C333" t="str">
            <v>Sweden</v>
          </cell>
          <cell r="D333">
            <v>131</v>
          </cell>
          <cell r="E333">
            <v>48.8</v>
          </cell>
          <cell r="F333">
            <v>36</v>
          </cell>
          <cell r="G333">
            <v>90.2</v>
          </cell>
          <cell r="H333">
            <v>26.8</v>
          </cell>
          <cell r="I333">
            <v>49.7</v>
          </cell>
          <cell r="J333">
            <v>31715</v>
          </cell>
          <cell r="K333">
            <v>23.7</v>
          </cell>
          <cell r="L333">
            <v>0.08</v>
          </cell>
          <cell r="M333">
            <v>2.6097222222222221</v>
          </cell>
          <cell r="N333">
            <v>2012</v>
          </cell>
          <cell r="O333">
            <v>187</v>
          </cell>
          <cell r="P333">
            <v>6</v>
          </cell>
        </row>
        <row r="334">
          <cell r="B334" t="str">
            <v>University of Leeds</v>
          </cell>
          <cell r="C334" t="str">
            <v>United Kingdom</v>
          </cell>
          <cell r="D334">
            <v>133</v>
          </cell>
          <cell r="E334">
            <v>64.8</v>
          </cell>
          <cell r="F334">
            <v>43.9</v>
          </cell>
          <cell r="G334">
            <v>57.1</v>
          </cell>
          <cell r="H334">
            <v>36.4</v>
          </cell>
          <cell r="I334">
            <v>49.5</v>
          </cell>
          <cell r="J334">
            <v>27703</v>
          </cell>
          <cell r="K334">
            <v>14.7</v>
          </cell>
          <cell r="L334">
            <v>0.21</v>
          </cell>
          <cell r="M334">
            <v>2.4458333333333333</v>
          </cell>
          <cell r="N334">
            <v>2012</v>
          </cell>
          <cell r="O334">
            <v>151</v>
          </cell>
          <cell r="P334">
            <v>13</v>
          </cell>
        </row>
        <row r="335">
          <cell r="B335" t="str">
            <v>University of Groningen</v>
          </cell>
          <cell r="C335" t="str">
            <v>Netherlands</v>
          </cell>
          <cell r="D335">
            <v>134</v>
          </cell>
          <cell r="E335">
            <v>47.3</v>
          </cell>
          <cell r="F335">
            <v>52.4</v>
          </cell>
          <cell r="G335">
            <v>62.4</v>
          </cell>
          <cell r="H335">
            <v>59.9</v>
          </cell>
          <cell r="I335">
            <v>49.2</v>
          </cell>
          <cell r="J335">
            <v>24556</v>
          </cell>
          <cell r="K335">
            <v>25.6</v>
          </cell>
          <cell r="L335">
            <v>0.12</v>
          </cell>
          <cell r="M335">
            <v>2.2000000000000002</v>
          </cell>
          <cell r="N335">
            <v>2012</v>
          </cell>
          <cell r="O335">
            <v>127</v>
          </cell>
          <cell r="P335">
            <v>5</v>
          </cell>
        </row>
        <row r="336">
          <cell r="B336" t="str">
            <v>George Washington University</v>
          </cell>
          <cell r="C336" t="str">
            <v>United States of America</v>
          </cell>
          <cell r="D336">
            <v>135</v>
          </cell>
          <cell r="E336">
            <v>38.299999999999997</v>
          </cell>
          <cell r="F336">
            <v>33.6</v>
          </cell>
          <cell r="G336">
            <v>73.2</v>
          </cell>
          <cell r="H336" t="str">
            <v>-</v>
          </cell>
          <cell r="I336">
            <v>49</v>
          </cell>
          <cell r="J336">
            <v>20541</v>
          </cell>
          <cell r="K336">
            <v>12</v>
          </cell>
          <cell r="L336">
            <v>0.16</v>
          </cell>
          <cell r="M336">
            <v>2.3638888888888889</v>
          </cell>
          <cell r="N336">
            <v>2012</v>
          </cell>
          <cell r="O336">
            <v>180</v>
          </cell>
          <cell r="P336">
            <v>79</v>
          </cell>
        </row>
        <row r="337">
          <cell r="B337" t="str">
            <v>University of Copenhagen</v>
          </cell>
          <cell r="C337" t="str">
            <v>Denmark</v>
          </cell>
          <cell r="D337">
            <v>135</v>
          </cell>
          <cell r="E337">
            <v>74.8</v>
          </cell>
          <cell r="F337">
            <v>31.6</v>
          </cell>
          <cell r="G337">
            <v>72.099999999999994</v>
          </cell>
          <cell r="H337">
            <v>37</v>
          </cell>
          <cell r="I337">
            <v>49</v>
          </cell>
          <cell r="J337">
            <v>27545</v>
          </cell>
          <cell r="K337">
            <v>4.0999999999999996</v>
          </cell>
          <cell r="L337">
            <v>0.19</v>
          </cell>
          <cell r="M337">
            <v>2.8145833333333332</v>
          </cell>
          <cell r="N337">
            <v>2012</v>
          </cell>
          <cell r="O337">
            <v>93</v>
          </cell>
          <cell r="P337">
            <v>1</v>
          </cell>
        </row>
        <row r="338">
          <cell r="B338" t="str">
            <v>University of Virginia</v>
          </cell>
          <cell r="C338" t="str">
            <v>United States of America</v>
          </cell>
          <cell r="D338">
            <v>135</v>
          </cell>
          <cell r="E338">
            <v>26.4</v>
          </cell>
          <cell r="F338">
            <v>42.2</v>
          </cell>
          <cell r="G338">
            <v>74.7</v>
          </cell>
          <cell r="H338">
            <v>34.700000000000003</v>
          </cell>
          <cell r="I338">
            <v>49</v>
          </cell>
          <cell r="J338">
            <v>23845</v>
          </cell>
          <cell r="K338">
            <v>10.199999999999999</v>
          </cell>
          <cell r="L338">
            <v>0.12</v>
          </cell>
          <cell r="M338">
            <v>2.2000000000000002</v>
          </cell>
          <cell r="N338">
            <v>2012</v>
          </cell>
          <cell r="O338">
            <v>84</v>
          </cell>
          <cell r="P338">
            <v>54</v>
          </cell>
        </row>
        <row r="339">
          <cell r="B339" t="str">
            <v>Georgetown University</v>
          </cell>
          <cell r="C339" t="str">
            <v>United States of America</v>
          </cell>
          <cell r="D339">
            <v>138</v>
          </cell>
          <cell r="E339">
            <v>29.1</v>
          </cell>
          <cell r="F339">
            <v>40.4</v>
          </cell>
          <cell r="G339">
            <v>57.7</v>
          </cell>
          <cell r="H339" t="str">
            <v>-</v>
          </cell>
          <cell r="I339">
            <v>48</v>
          </cell>
          <cell r="J339">
            <v>15408</v>
          </cell>
          <cell r="K339">
            <v>8.5</v>
          </cell>
          <cell r="L339">
            <v>0.14000000000000001</v>
          </cell>
          <cell r="M339">
            <v>2.2409722222222221</v>
          </cell>
          <cell r="N339">
            <v>2012</v>
          </cell>
          <cell r="O339">
            <v>118</v>
          </cell>
          <cell r="P339">
            <v>61</v>
          </cell>
        </row>
        <row r="340">
          <cell r="B340" t="str">
            <v>University of Vienna</v>
          </cell>
          <cell r="C340" t="str">
            <v>Austria</v>
          </cell>
          <cell r="D340">
            <v>139</v>
          </cell>
          <cell r="E340">
            <v>86.6</v>
          </cell>
          <cell r="F340">
            <v>41.2</v>
          </cell>
          <cell r="G340">
            <v>45.2</v>
          </cell>
          <cell r="H340">
            <v>25.4</v>
          </cell>
          <cell r="I340">
            <v>47.9</v>
          </cell>
          <cell r="J340">
            <v>34651</v>
          </cell>
          <cell r="K340">
            <v>20.5</v>
          </cell>
          <cell r="L340">
            <v>0.25</v>
          </cell>
          <cell r="M340">
            <v>2.8145833333333332</v>
          </cell>
          <cell r="N340">
            <v>2012</v>
          </cell>
          <cell r="O340">
            <v>205</v>
          </cell>
          <cell r="P340">
            <v>1</v>
          </cell>
        </row>
        <row r="341">
          <cell r="B341" t="str">
            <v>University of Nottingham</v>
          </cell>
          <cell r="C341" t="str">
            <v>United Kingdom</v>
          </cell>
          <cell r="D341">
            <v>140</v>
          </cell>
          <cell r="E341">
            <v>72.599999999999994</v>
          </cell>
          <cell r="F341">
            <v>40</v>
          </cell>
          <cell r="G341">
            <v>57.6</v>
          </cell>
          <cell r="H341">
            <v>36.700000000000003</v>
          </cell>
          <cell r="I341">
            <v>47.7</v>
          </cell>
          <cell r="J341">
            <v>30144</v>
          </cell>
          <cell r="K341">
            <v>15</v>
          </cell>
          <cell r="L341">
            <v>0.27</v>
          </cell>
          <cell r="M341">
            <v>2.2819444444444446</v>
          </cell>
          <cell r="N341">
            <v>2012</v>
          </cell>
          <cell r="O341">
            <v>97</v>
          </cell>
          <cell r="P341">
            <v>6</v>
          </cell>
        </row>
        <row r="342">
          <cell r="B342" t="str">
            <v>University of Iowa</v>
          </cell>
          <cell r="C342" t="str">
            <v>United States of America</v>
          </cell>
          <cell r="D342">
            <v>141</v>
          </cell>
          <cell r="E342">
            <v>21.9</v>
          </cell>
          <cell r="F342">
            <v>42.1</v>
          </cell>
          <cell r="G342">
            <v>61.3</v>
          </cell>
          <cell r="H342" t="str">
            <v>-</v>
          </cell>
          <cell r="I342">
            <v>47.6</v>
          </cell>
          <cell r="J342">
            <v>27526</v>
          </cell>
          <cell r="K342">
            <v>11.6</v>
          </cell>
          <cell r="L342">
            <v>0.11</v>
          </cell>
          <cell r="M342">
            <v>2.2000000000000002</v>
          </cell>
          <cell r="N342">
            <v>2012</v>
          </cell>
          <cell r="O342">
            <v>125</v>
          </cell>
          <cell r="P342">
            <v>63</v>
          </cell>
        </row>
        <row r="343">
          <cell r="B343" t="str">
            <v>Ã‰cole Normale SupÃ©rieure de Lyon</v>
          </cell>
          <cell r="C343" t="str">
            <v>France</v>
          </cell>
          <cell r="D343">
            <v>141</v>
          </cell>
          <cell r="E343">
            <v>58.8</v>
          </cell>
          <cell r="F343">
            <v>21.4</v>
          </cell>
          <cell r="G343">
            <v>85.1</v>
          </cell>
          <cell r="H343">
            <v>25.1</v>
          </cell>
          <cell r="I343">
            <v>47.6</v>
          </cell>
          <cell r="J343">
            <v>2218</v>
          </cell>
          <cell r="K343">
            <v>8</v>
          </cell>
          <cell r="L343">
            <v>0.14000000000000001</v>
          </cell>
          <cell r="M343">
            <v>2.0770833333333334</v>
          </cell>
          <cell r="N343">
            <v>2012</v>
          </cell>
          <cell r="O343">
            <v>462</v>
          </cell>
          <cell r="P343">
            <v>18</v>
          </cell>
        </row>
        <row r="344">
          <cell r="B344" t="str">
            <v>University of California, Riverside</v>
          </cell>
          <cell r="C344" t="str">
            <v>United States of America</v>
          </cell>
          <cell r="D344">
            <v>143</v>
          </cell>
          <cell r="E344">
            <v>30</v>
          </cell>
          <cell r="F344">
            <v>30.9</v>
          </cell>
          <cell r="G344">
            <v>89.6</v>
          </cell>
          <cell r="H344">
            <v>31</v>
          </cell>
          <cell r="I344">
            <v>47.5</v>
          </cell>
          <cell r="J344">
            <v>20626</v>
          </cell>
          <cell r="K344">
            <v>22</v>
          </cell>
          <cell r="L344">
            <v>0.12</v>
          </cell>
          <cell r="M344">
            <v>2.1590277777777778</v>
          </cell>
          <cell r="N344">
            <v>2012</v>
          </cell>
          <cell r="O344">
            <v>222</v>
          </cell>
          <cell r="P344">
            <v>91</v>
          </cell>
        </row>
        <row r="345">
          <cell r="B345" t="str">
            <v>Rensselaer Polytechnic Institute</v>
          </cell>
          <cell r="C345" t="str">
            <v>United States of America</v>
          </cell>
          <cell r="D345">
            <v>144</v>
          </cell>
          <cell r="E345">
            <v>32.700000000000003</v>
          </cell>
          <cell r="F345">
            <v>40.4</v>
          </cell>
          <cell r="G345">
            <v>73.599999999999994</v>
          </cell>
          <cell r="H345">
            <v>49</v>
          </cell>
          <cell r="I345">
            <v>47.4</v>
          </cell>
          <cell r="J345">
            <v>6671</v>
          </cell>
          <cell r="K345">
            <v>15</v>
          </cell>
          <cell r="L345">
            <v>0.16</v>
          </cell>
          <cell r="M345" t="str">
            <v>30 : 70</v>
          </cell>
          <cell r="N345">
            <v>2012</v>
          </cell>
          <cell r="O345">
            <v>243</v>
          </cell>
          <cell r="P345">
            <v>100</v>
          </cell>
        </row>
        <row r="346">
          <cell r="B346" t="str">
            <v>University of East Anglia</v>
          </cell>
          <cell r="C346" t="str">
            <v>United Kingdom</v>
          </cell>
          <cell r="D346">
            <v>145</v>
          </cell>
          <cell r="E346">
            <v>68.5</v>
          </cell>
          <cell r="F346">
            <v>26.1</v>
          </cell>
          <cell r="G346">
            <v>85.6</v>
          </cell>
          <cell r="H346">
            <v>28</v>
          </cell>
          <cell r="I346">
            <v>47.3</v>
          </cell>
          <cell r="J346">
            <v>14992</v>
          </cell>
          <cell r="K346">
            <v>14.7</v>
          </cell>
          <cell r="L346">
            <v>0.28000000000000003</v>
          </cell>
          <cell r="M346">
            <v>2.4458333333333333</v>
          </cell>
          <cell r="N346">
            <v>2012</v>
          </cell>
          <cell r="O346">
            <v>350</v>
          </cell>
          <cell r="P346">
            <v>33</v>
          </cell>
        </row>
        <row r="347">
          <cell r="B347" t="str">
            <v>Newcastle University</v>
          </cell>
          <cell r="C347" t="str">
            <v>United Kingdom</v>
          </cell>
          <cell r="D347">
            <v>146</v>
          </cell>
          <cell r="E347">
            <v>76.2</v>
          </cell>
          <cell r="F347">
            <v>28.4</v>
          </cell>
          <cell r="G347">
            <v>72.2</v>
          </cell>
          <cell r="H347">
            <v>32.299999999999997</v>
          </cell>
          <cell r="I347">
            <v>47</v>
          </cell>
          <cell r="J347">
            <v>20174</v>
          </cell>
          <cell r="K347">
            <v>15.2</v>
          </cell>
          <cell r="L347">
            <v>0.28999999999999998</v>
          </cell>
          <cell r="M347">
            <v>2.1180555555555554</v>
          </cell>
          <cell r="N347">
            <v>2012</v>
          </cell>
          <cell r="O347">
            <v>229</v>
          </cell>
          <cell r="P347">
            <v>19</v>
          </cell>
        </row>
        <row r="348">
          <cell r="B348" t="str">
            <v>William &amp; Mary</v>
          </cell>
          <cell r="C348" t="str">
            <v>United States of America</v>
          </cell>
          <cell r="D348">
            <v>146</v>
          </cell>
          <cell r="E348">
            <v>19.7</v>
          </cell>
          <cell r="F348">
            <v>18.899999999999999</v>
          </cell>
          <cell r="G348">
            <v>90.7</v>
          </cell>
          <cell r="H348">
            <v>27</v>
          </cell>
          <cell r="I348">
            <v>47</v>
          </cell>
          <cell r="J348">
            <v>7867</v>
          </cell>
          <cell r="K348">
            <v>11.8</v>
          </cell>
          <cell r="L348">
            <v>7.0000000000000007E-2</v>
          </cell>
          <cell r="M348">
            <v>2.2819444444444446</v>
          </cell>
          <cell r="N348">
            <v>2012</v>
          </cell>
          <cell r="O348" t="e">
            <v>#N/A</v>
          </cell>
          <cell r="P348" t="e">
            <v>#N/A</v>
          </cell>
        </row>
        <row r="349">
          <cell r="B349" t="str">
            <v>University of Birmingham</v>
          </cell>
          <cell r="C349" t="str">
            <v>United Kingdom</v>
          </cell>
          <cell r="D349">
            <v>148</v>
          </cell>
          <cell r="E349">
            <v>70.3</v>
          </cell>
          <cell r="F349">
            <v>42.6</v>
          </cell>
          <cell r="G349">
            <v>50.6</v>
          </cell>
          <cell r="H349">
            <v>36</v>
          </cell>
          <cell r="I349">
            <v>46.9</v>
          </cell>
          <cell r="J349">
            <v>25295</v>
          </cell>
          <cell r="K349">
            <v>16.399999999999999</v>
          </cell>
          <cell r="L349">
            <v>0.23</v>
          </cell>
          <cell r="M349">
            <v>2.2819444444444446</v>
          </cell>
          <cell r="N349">
            <v>2012</v>
          </cell>
          <cell r="O349">
            <v>142</v>
          </cell>
          <cell r="P349">
            <v>10</v>
          </cell>
        </row>
        <row r="350">
          <cell r="B350" t="str">
            <v>Birkbeck, University of London</v>
          </cell>
          <cell r="C350" t="str">
            <v>United Kingdom</v>
          </cell>
          <cell r="D350">
            <v>149</v>
          </cell>
          <cell r="E350">
            <v>85.3</v>
          </cell>
          <cell r="F350">
            <v>25.8</v>
          </cell>
          <cell r="G350">
            <v>80.8</v>
          </cell>
          <cell r="H350">
            <v>25.1</v>
          </cell>
          <cell r="I350">
            <v>46.8</v>
          </cell>
          <cell r="J350">
            <v>9454</v>
          </cell>
          <cell r="K350">
            <v>17.2</v>
          </cell>
          <cell r="L350">
            <v>0.38</v>
          </cell>
          <cell r="M350">
            <v>2.3229166666666665</v>
          </cell>
          <cell r="N350">
            <v>2012</v>
          </cell>
          <cell r="O350">
            <v>624</v>
          </cell>
          <cell r="P350">
            <v>46</v>
          </cell>
        </row>
        <row r="351">
          <cell r="B351" t="str">
            <v>Brandeis University</v>
          </cell>
          <cell r="C351" t="str">
            <v>United States of America</v>
          </cell>
          <cell r="D351">
            <v>150</v>
          </cell>
          <cell r="E351">
            <v>40.299999999999997</v>
          </cell>
          <cell r="F351">
            <v>27.3</v>
          </cell>
          <cell r="G351">
            <v>90.2</v>
          </cell>
          <cell r="H351">
            <v>33.700000000000003</v>
          </cell>
          <cell r="I351">
            <v>46.7</v>
          </cell>
          <cell r="J351">
            <v>5495</v>
          </cell>
          <cell r="K351">
            <v>12.6</v>
          </cell>
          <cell r="L351">
            <v>0.22</v>
          </cell>
          <cell r="M351">
            <v>2.3229166666666665</v>
          </cell>
          <cell r="N351">
            <v>2012</v>
          </cell>
          <cell r="O351">
            <v>236</v>
          </cell>
          <cell r="P351">
            <v>97</v>
          </cell>
        </row>
        <row r="352">
          <cell r="B352" t="str">
            <v>Chinese University of Hong Kong</v>
          </cell>
          <cell r="C352" t="str">
            <v>Hong Kong</v>
          </cell>
          <cell r="D352">
            <v>151</v>
          </cell>
          <cell r="E352">
            <v>69.5</v>
          </cell>
          <cell r="F352">
            <v>50.2</v>
          </cell>
          <cell r="G352">
            <v>37.799999999999997</v>
          </cell>
          <cell r="H352">
            <v>36.4</v>
          </cell>
          <cell r="I352">
            <v>46.6</v>
          </cell>
          <cell r="J352">
            <v>17916</v>
          </cell>
          <cell r="K352">
            <v>10.199999999999999</v>
          </cell>
          <cell r="L352">
            <v>0.22</v>
          </cell>
          <cell r="M352">
            <v>2.2409722222222221</v>
          </cell>
          <cell r="N352">
            <v>2012</v>
          </cell>
          <cell r="O352">
            <v>202</v>
          </cell>
          <cell r="P352">
            <v>2</v>
          </cell>
        </row>
        <row r="353">
          <cell r="B353" t="str">
            <v>Free University of Berlin</v>
          </cell>
          <cell r="C353" t="str">
            <v>Germany</v>
          </cell>
          <cell r="D353">
            <v>151</v>
          </cell>
          <cell r="E353">
            <v>62.1</v>
          </cell>
          <cell r="F353">
            <v>48.5</v>
          </cell>
          <cell r="G353">
            <v>42.5</v>
          </cell>
          <cell r="H353">
            <v>30.6</v>
          </cell>
          <cell r="I353">
            <v>46.6</v>
          </cell>
          <cell r="J353">
            <v>33062</v>
          </cell>
          <cell r="K353">
            <v>39.299999999999997</v>
          </cell>
          <cell r="L353">
            <v>0.2</v>
          </cell>
          <cell r="M353">
            <v>2.4458333333333333</v>
          </cell>
          <cell r="N353">
            <v>2012</v>
          </cell>
          <cell r="O353">
            <v>158</v>
          </cell>
          <cell r="P353">
            <v>7</v>
          </cell>
        </row>
        <row r="354">
          <cell r="B354" t="str">
            <v>University of Aberdeen</v>
          </cell>
          <cell r="C354" t="str">
            <v>United Kingdom</v>
          </cell>
          <cell r="D354">
            <v>151</v>
          </cell>
          <cell r="E354">
            <v>84.8</v>
          </cell>
          <cell r="F354">
            <v>32.200000000000003</v>
          </cell>
          <cell r="G354">
            <v>67.7</v>
          </cell>
          <cell r="H354">
            <v>44.4</v>
          </cell>
          <cell r="I354">
            <v>46.6</v>
          </cell>
          <cell r="J354">
            <v>12938</v>
          </cell>
          <cell r="K354">
            <v>15.8</v>
          </cell>
          <cell r="L354">
            <v>0.33</v>
          </cell>
          <cell r="M354">
            <v>2.2819444444444446</v>
          </cell>
          <cell r="N354">
            <v>2012</v>
          </cell>
          <cell r="O354">
            <v>276</v>
          </cell>
          <cell r="P354">
            <v>24</v>
          </cell>
        </row>
        <row r="355">
          <cell r="B355" t="str">
            <v>National Taiwan University</v>
          </cell>
          <cell r="C355" t="str">
            <v>Taiwan</v>
          </cell>
          <cell r="D355">
            <v>154</v>
          </cell>
          <cell r="E355">
            <v>20.7</v>
          </cell>
          <cell r="F355">
            <v>58.5</v>
          </cell>
          <cell r="G355">
            <v>39.200000000000003</v>
          </cell>
          <cell r="H355">
            <v>40</v>
          </cell>
          <cell r="I355">
            <v>46.2</v>
          </cell>
          <cell r="J355">
            <v>31891</v>
          </cell>
          <cell r="K355">
            <v>11.9</v>
          </cell>
          <cell r="L355">
            <v>7.0000000000000007E-2</v>
          </cell>
          <cell r="M355" t="str">
            <v>39 : 61</v>
          </cell>
          <cell r="N355">
            <v>2012</v>
          </cell>
          <cell r="O355">
            <v>65</v>
          </cell>
          <cell r="P355">
            <v>1</v>
          </cell>
        </row>
        <row r="356">
          <cell r="B356" t="str">
            <v>Yeshiva University</v>
          </cell>
          <cell r="C356" t="str">
            <v>United States of America</v>
          </cell>
          <cell r="D356">
            <v>154</v>
          </cell>
          <cell r="E356">
            <v>26.4</v>
          </cell>
          <cell r="F356">
            <v>27</v>
          </cell>
          <cell r="G356">
            <v>75.3</v>
          </cell>
          <cell r="H356" t="str">
            <v>-</v>
          </cell>
          <cell r="I356">
            <v>46.2</v>
          </cell>
          <cell r="J356">
            <v>6753</v>
          </cell>
          <cell r="K356">
            <v>5.5</v>
          </cell>
          <cell r="L356">
            <v>7.0000000000000007E-2</v>
          </cell>
          <cell r="M356">
            <v>2.2409722222222221</v>
          </cell>
          <cell r="N356">
            <v>2012</v>
          </cell>
          <cell r="O356">
            <v>172</v>
          </cell>
          <cell r="P356">
            <v>75</v>
          </cell>
        </row>
        <row r="357">
          <cell r="B357" t="str">
            <v>University of Exeter</v>
          </cell>
          <cell r="C357" t="str">
            <v>United Kingdom</v>
          </cell>
          <cell r="D357">
            <v>156</v>
          </cell>
          <cell r="E357">
            <v>73.400000000000006</v>
          </cell>
          <cell r="F357">
            <v>33.299999999999997</v>
          </cell>
          <cell r="G357">
            <v>67.8</v>
          </cell>
          <cell r="H357">
            <v>35.4</v>
          </cell>
          <cell r="I357">
            <v>46.1</v>
          </cell>
          <cell r="J357">
            <v>17755</v>
          </cell>
          <cell r="K357">
            <v>18.8</v>
          </cell>
          <cell r="L357">
            <v>0.28000000000000003</v>
          </cell>
          <cell r="M357">
            <v>2.2819444444444446</v>
          </cell>
          <cell r="N357">
            <v>2012</v>
          </cell>
          <cell r="O357">
            <v>357</v>
          </cell>
          <cell r="P357">
            <v>34</v>
          </cell>
        </row>
        <row r="358">
          <cell r="B358" t="str">
            <v>Erasmus University Rotterdam</v>
          </cell>
          <cell r="C358" t="str">
            <v>Netherlands</v>
          </cell>
          <cell r="D358">
            <v>157</v>
          </cell>
          <cell r="E358">
            <v>65</v>
          </cell>
          <cell r="F358">
            <v>27.2</v>
          </cell>
          <cell r="G358">
            <v>77.400000000000006</v>
          </cell>
          <cell r="H358">
            <v>45</v>
          </cell>
          <cell r="I358">
            <v>46</v>
          </cell>
          <cell r="J358">
            <v>20580</v>
          </cell>
          <cell r="K358">
            <v>18.899999999999999</v>
          </cell>
          <cell r="L358">
            <v>0.18</v>
          </cell>
          <cell r="M358">
            <v>2.036111111111111</v>
          </cell>
          <cell r="N358">
            <v>2012</v>
          </cell>
          <cell r="O358">
            <v>101</v>
          </cell>
          <cell r="P358">
            <v>2</v>
          </cell>
        </row>
        <row r="359">
          <cell r="B359" t="str">
            <v>University of Warwick</v>
          </cell>
          <cell r="C359" t="str">
            <v>United Kingdom</v>
          </cell>
          <cell r="D359">
            <v>157</v>
          </cell>
          <cell r="E359">
            <v>85.5</v>
          </cell>
          <cell r="F359">
            <v>44.5</v>
          </cell>
          <cell r="G359">
            <v>45</v>
          </cell>
          <cell r="H359">
            <v>31.3</v>
          </cell>
          <cell r="I359">
            <v>46</v>
          </cell>
          <cell r="J359">
            <v>18529</v>
          </cell>
          <cell r="K359">
            <v>16.600000000000001</v>
          </cell>
          <cell r="L359">
            <v>0.37</v>
          </cell>
          <cell r="M359">
            <v>2.036111111111111</v>
          </cell>
          <cell r="N359">
            <v>2012</v>
          </cell>
          <cell r="O359">
            <v>324</v>
          </cell>
          <cell r="P359">
            <v>29</v>
          </cell>
        </row>
        <row r="360">
          <cell r="B360" t="str">
            <v>Radboud University Nijmegen</v>
          </cell>
          <cell r="C360" t="str">
            <v>Netherlands</v>
          </cell>
          <cell r="D360">
            <v>159</v>
          </cell>
          <cell r="E360">
            <v>52.3</v>
          </cell>
          <cell r="F360">
            <v>43.8</v>
          </cell>
          <cell r="G360">
            <v>65.5</v>
          </cell>
          <cell r="H360">
            <v>33.1</v>
          </cell>
          <cell r="I360">
            <v>45.9</v>
          </cell>
          <cell r="J360">
            <v>17713</v>
          </cell>
          <cell r="K360">
            <v>13</v>
          </cell>
          <cell r="L360">
            <v>0.1</v>
          </cell>
          <cell r="M360">
            <v>2.4458333333333333</v>
          </cell>
          <cell r="N360">
            <v>2012</v>
          </cell>
          <cell r="O360">
            <v>129</v>
          </cell>
          <cell r="P360">
            <v>6</v>
          </cell>
        </row>
        <row r="361">
          <cell r="B361" t="str">
            <v>University College Dublin</v>
          </cell>
          <cell r="C361" t="str">
            <v>Republic of Ireland</v>
          </cell>
          <cell r="D361">
            <v>159</v>
          </cell>
          <cell r="E361">
            <v>83.2</v>
          </cell>
          <cell r="F361">
            <v>23.7</v>
          </cell>
          <cell r="G361">
            <v>80.5</v>
          </cell>
          <cell r="H361">
            <v>32.299999999999997</v>
          </cell>
          <cell r="I361">
            <v>45.9</v>
          </cell>
          <cell r="J361">
            <v>22193</v>
          </cell>
          <cell r="K361">
            <v>24.5</v>
          </cell>
          <cell r="L361">
            <v>0.23</v>
          </cell>
          <cell r="N361">
            <v>2012</v>
          </cell>
          <cell r="O361">
            <v>269</v>
          </cell>
          <cell r="P361">
            <v>2</v>
          </cell>
        </row>
        <row r="362">
          <cell r="B362" t="str">
            <v>VU University Amsterdam</v>
          </cell>
          <cell r="C362" t="str">
            <v>Netherlands</v>
          </cell>
          <cell r="D362">
            <v>159</v>
          </cell>
          <cell r="E362">
            <v>48</v>
          </cell>
          <cell r="F362">
            <v>35.299999999999997</v>
          </cell>
          <cell r="G362">
            <v>70.2</v>
          </cell>
          <cell r="H362">
            <v>63.2</v>
          </cell>
          <cell r="I362">
            <v>45.9</v>
          </cell>
          <cell r="J362">
            <v>23280</v>
          </cell>
          <cell r="K362">
            <v>16.3</v>
          </cell>
          <cell r="L362">
            <v>0.06</v>
          </cell>
          <cell r="M362">
            <v>2.3638888888888889</v>
          </cell>
          <cell r="N362">
            <v>2012</v>
          </cell>
          <cell r="O362">
            <v>144</v>
          </cell>
          <cell r="P362">
            <v>7</v>
          </cell>
        </row>
        <row r="363">
          <cell r="B363" t="str">
            <v>Medical University of South Carolina</v>
          </cell>
          <cell r="C363" t="str">
            <v>United States of America</v>
          </cell>
          <cell r="D363">
            <v>162</v>
          </cell>
          <cell r="E363">
            <v>23.9</v>
          </cell>
          <cell r="F363">
            <v>38.9</v>
          </cell>
          <cell r="G363">
            <v>56.6</v>
          </cell>
          <cell r="H363">
            <v>87.8</v>
          </cell>
          <cell r="I363">
            <v>45.8</v>
          </cell>
          <cell r="N363">
            <v>2012</v>
          </cell>
          <cell r="O363">
            <v>312</v>
          </cell>
          <cell r="P363">
            <v>118</v>
          </cell>
        </row>
        <row r="364">
          <cell r="B364" t="str">
            <v>Wake Forest University</v>
          </cell>
          <cell r="C364" t="str">
            <v>United States of America</v>
          </cell>
          <cell r="D364">
            <v>162</v>
          </cell>
          <cell r="E364">
            <v>17.2</v>
          </cell>
          <cell r="F364">
            <v>21.6</v>
          </cell>
          <cell r="G364">
            <v>86.1</v>
          </cell>
          <cell r="H364">
            <v>49.1</v>
          </cell>
          <cell r="I364">
            <v>45.8</v>
          </cell>
          <cell r="J364">
            <v>7326</v>
          </cell>
          <cell r="K364">
            <v>4.5999999999999996</v>
          </cell>
          <cell r="L364">
            <v>0.05</v>
          </cell>
          <cell r="M364">
            <v>2.1590277777777778</v>
          </cell>
          <cell r="N364">
            <v>2012</v>
          </cell>
          <cell r="O364">
            <v>145</v>
          </cell>
          <cell r="P364">
            <v>68</v>
          </cell>
        </row>
        <row r="365">
          <cell r="B365" t="str">
            <v>Texas A&amp;M University</v>
          </cell>
          <cell r="C365" t="str">
            <v>United States of America</v>
          </cell>
          <cell r="D365">
            <v>164</v>
          </cell>
          <cell r="E365">
            <v>36</v>
          </cell>
          <cell r="F365">
            <v>51.8</v>
          </cell>
          <cell r="G365">
            <v>45.7</v>
          </cell>
          <cell r="H365">
            <v>43.8</v>
          </cell>
          <cell r="I365">
            <v>45.7</v>
          </cell>
          <cell r="J365">
            <v>50657</v>
          </cell>
          <cell r="K365">
            <v>21.4</v>
          </cell>
          <cell r="L365">
            <v>0.09</v>
          </cell>
          <cell r="M365">
            <v>1.9951388888888888</v>
          </cell>
          <cell r="N365">
            <v>2012</v>
          </cell>
          <cell r="O365" t="e">
            <v>#N/A</v>
          </cell>
          <cell r="P365" t="e">
            <v>#N/A</v>
          </cell>
        </row>
        <row r="366">
          <cell r="B366" t="str">
            <v>University of Reading</v>
          </cell>
          <cell r="C366" t="str">
            <v>United Kingdom</v>
          </cell>
          <cell r="D366">
            <v>164</v>
          </cell>
          <cell r="E366">
            <v>75.099999999999994</v>
          </cell>
          <cell r="F366">
            <v>38.6</v>
          </cell>
          <cell r="G366">
            <v>55.4</v>
          </cell>
          <cell r="H366">
            <v>31.6</v>
          </cell>
          <cell r="I366">
            <v>45.7</v>
          </cell>
          <cell r="J366">
            <v>12050</v>
          </cell>
          <cell r="K366">
            <v>14.8</v>
          </cell>
          <cell r="L366">
            <v>0.28000000000000003</v>
          </cell>
          <cell r="M366">
            <v>2.3229166666666665</v>
          </cell>
          <cell r="N366">
            <v>2012</v>
          </cell>
          <cell r="O366">
            <v>287</v>
          </cell>
          <cell r="P366">
            <v>25</v>
          </cell>
        </row>
        <row r="367">
          <cell r="B367" t="str">
            <v>Tel Aviv University</v>
          </cell>
          <cell r="C367" t="str">
            <v>Israel</v>
          </cell>
          <cell r="D367">
            <v>166</v>
          </cell>
          <cell r="E367">
            <v>30.1</v>
          </cell>
          <cell r="F367">
            <v>60.7</v>
          </cell>
          <cell r="G367">
            <v>33</v>
          </cell>
          <cell r="H367">
            <v>35</v>
          </cell>
          <cell r="I367">
            <v>45.4</v>
          </cell>
          <cell r="J367">
            <v>23977</v>
          </cell>
          <cell r="K367">
            <v>24.4</v>
          </cell>
          <cell r="L367">
            <v>0.04</v>
          </cell>
          <cell r="N367">
            <v>2012</v>
          </cell>
          <cell r="O367">
            <v>56</v>
          </cell>
          <cell r="P367">
            <v>4</v>
          </cell>
        </row>
        <row r="368">
          <cell r="B368" t="str">
            <v>University of Illinois at Chicago</v>
          </cell>
          <cell r="C368" t="str">
            <v>United States of America</v>
          </cell>
          <cell r="D368">
            <v>167</v>
          </cell>
          <cell r="E368">
            <v>27.2</v>
          </cell>
          <cell r="F368">
            <v>43.9</v>
          </cell>
          <cell r="G368">
            <v>43.3</v>
          </cell>
          <cell r="H368">
            <v>38.6</v>
          </cell>
          <cell r="I368">
            <v>45.2</v>
          </cell>
          <cell r="J368">
            <v>24313</v>
          </cell>
          <cell r="K368">
            <v>9.1999999999999993</v>
          </cell>
          <cell r="L368">
            <v>0.17</v>
          </cell>
          <cell r="M368">
            <v>2.2409722222222221</v>
          </cell>
          <cell r="N368">
            <v>2012</v>
          </cell>
          <cell r="O368">
            <v>218</v>
          </cell>
          <cell r="P368">
            <v>90</v>
          </cell>
        </row>
        <row r="369">
          <cell r="B369" t="str">
            <v>RWTH Aachen University</v>
          </cell>
          <cell r="C369" t="str">
            <v>Germany</v>
          </cell>
          <cell r="D369">
            <v>168</v>
          </cell>
          <cell r="E369">
            <v>67.099999999999994</v>
          </cell>
          <cell r="F369">
            <v>25.1</v>
          </cell>
          <cell r="G369">
            <v>67.2</v>
          </cell>
          <cell r="H369">
            <v>61.8</v>
          </cell>
          <cell r="I369">
            <v>45.1</v>
          </cell>
          <cell r="J369">
            <v>37917</v>
          </cell>
          <cell r="K369">
            <v>27.6</v>
          </cell>
          <cell r="L369">
            <v>0.16</v>
          </cell>
          <cell r="M369" t="str">
            <v>31 : 69</v>
          </cell>
          <cell r="N369">
            <v>2012</v>
          </cell>
          <cell r="O369">
            <v>238</v>
          </cell>
          <cell r="P369">
            <v>19</v>
          </cell>
        </row>
        <row r="370">
          <cell r="B370" t="str">
            <v>Nanyang Technological University</v>
          </cell>
          <cell r="C370" t="str">
            <v>Singapore</v>
          </cell>
          <cell r="D370">
            <v>169</v>
          </cell>
          <cell r="E370">
            <v>89.8</v>
          </cell>
          <cell r="F370">
            <v>47.8</v>
          </cell>
          <cell r="G370">
            <v>34.5</v>
          </cell>
          <cell r="H370">
            <v>44.4</v>
          </cell>
          <cell r="I370">
            <v>45</v>
          </cell>
          <cell r="J370">
            <v>25028</v>
          </cell>
          <cell r="K370">
            <v>16.2</v>
          </cell>
          <cell r="L370">
            <v>0.33</v>
          </cell>
          <cell r="M370">
            <v>2.036111111111111</v>
          </cell>
          <cell r="N370">
            <v>2012</v>
          </cell>
          <cell r="O370">
            <v>148</v>
          </cell>
          <cell r="P370">
            <v>2</v>
          </cell>
        </row>
        <row r="371">
          <cell r="B371" t="str">
            <v>Paris Diderot University â€“ Paris 7</v>
          </cell>
          <cell r="C371" t="str">
            <v>France</v>
          </cell>
          <cell r="D371">
            <v>169</v>
          </cell>
          <cell r="E371">
            <v>70.7</v>
          </cell>
          <cell r="F371">
            <v>18.7</v>
          </cell>
          <cell r="G371">
            <v>88.9</v>
          </cell>
          <cell r="H371" t="str">
            <v>-</v>
          </cell>
          <cell r="I371">
            <v>45</v>
          </cell>
          <cell r="J371">
            <v>27756</v>
          </cell>
          <cell r="K371">
            <v>14.8</v>
          </cell>
          <cell r="L371">
            <v>0.17</v>
          </cell>
          <cell r="M371">
            <v>2.6506944444444445</v>
          </cell>
          <cell r="N371">
            <v>2012</v>
          </cell>
          <cell r="O371" t="e">
            <v>#N/A</v>
          </cell>
          <cell r="P371" t="e">
            <v>#N/A</v>
          </cell>
        </row>
        <row r="372">
          <cell r="B372" t="str">
            <v>UniversitÃ© Catholique de Louvain</v>
          </cell>
          <cell r="C372" t="str">
            <v>Belgium</v>
          </cell>
          <cell r="D372">
            <v>169</v>
          </cell>
          <cell r="E372">
            <v>72.5</v>
          </cell>
          <cell r="F372">
            <v>34.700000000000003</v>
          </cell>
          <cell r="G372">
            <v>65.5</v>
          </cell>
          <cell r="H372">
            <v>30.8</v>
          </cell>
          <cell r="I372">
            <v>45</v>
          </cell>
          <cell r="J372">
            <v>28856</v>
          </cell>
          <cell r="K372">
            <v>42</v>
          </cell>
          <cell r="L372">
            <v>0.19</v>
          </cell>
          <cell r="M372">
            <v>2.2819444444444446</v>
          </cell>
          <cell r="N372">
            <v>2012</v>
          </cell>
          <cell r="O372">
            <v>191</v>
          </cell>
          <cell r="P372">
            <v>4</v>
          </cell>
        </row>
        <row r="373">
          <cell r="B373" t="str">
            <v>University of Miami</v>
          </cell>
          <cell r="C373" t="str">
            <v>United States of America</v>
          </cell>
          <cell r="D373">
            <v>172</v>
          </cell>
          <cell r="E373">
            <v>30.3</v>
          </cell>
          <cell r="F373">
            <v>23.3</v>
          </cell>
          <cell r="G373">
            <v>70.3</v>
          </cell>
          <cell r="H373" t="str">
            <v>-</v>
          </cell>
          <cell r="I373">
            <v>44.8</v>
          </cell>
          <cell r="J373">
            <v>15286</v>
          </cell>
          <cell r="K373">
            <v>5.7</v>
          </cell>
          <cell r="L373">
            <v>0.14000000000000001</v>
          </cell>
          <cell r="M373">
            <v>2.1180555555555554</v>
          </cell>
          <cell r="N373">
            <v>2012</v>
          </cell>
          <cell r="O373">
            <v>138</v>
          </cell>
          <cell r="P373">
            <v>66</v>
          </cell>
        </row>
        <row r="374">
          <cell r="B374" t="str">
            <v>Queenâ€™s University</v>
          </cell>
          <cell r="C374" t="str">
            <v>Canada</v>
          </cell>
          <cell r="D374">
            <v>173</v>
          </cell>
          <cell r="E374">
            <v>65</v>
          </cell>
          <cell r="F374">
            <v>36.1</v>
          </cell>
          <cell r="G374">
            <v>49.3</v>
          </cell>
          <cell r="H374">
            <v>87.5</v>
          </cell>
          <cell r="I374">
            <v>44.6</v>
          </cell>
          <cell r="J374">
            <v>20488</v>
          </cell>
          <cell r="K374">
            <v>22.1</v>
          </cell>
          <cell r="L374">
            <v>0.1</v>
          </cell>
          <cell r="M374">
            <v>2.4458333333333333</v>
          </cell>
          <cell r="N374">
            <v>2012</v>
          </cell>
          <cell r="O374" t="e">
            <v>#N/A</v>
          </cell>
          <cell r="P374" t="e">
            <v>#N/A</v>
          </cell>
        </row>
        <row r="375">
          <cell r="B375" t="str">
            <v>University of Auckland</v>
          </cell>
          <cell r="C375" t="str">
            <v>New Zealand</v>
          </cell>
          <cell r="D375">
            <v>173</v>
          </cell>
          <cell r="E375">
            <v>92.9</v>
          </cell>
          <cell r="F375">
            <v>35</v>
          </cell>
          <cell r="G375">
            <v>55.7</v>
          </cell>
          <cell r="H375">
            <v>76.599999999999994</v>
          </cell>
          <cell r="I375">
            <v>44.6</v>
          </cell>
          <cell r="J375">
            <v>29787</v>
          </cell>
          <cell r="K375">
            <v>18.899999999999999</v>
          </cell>
          <cell r="L375">
            <v>0.28000000000000003</v>
          </cell>
          <cell r="M375">
            <v>2.2819444444444446</v>
          </cell>
          <cell r="N375">
            <v>2012</v>
          </cell>
          <cell r="O375">
            <v>273</v>
          </cell>
          <cell r="P375">
            <v>1</v>
          </cell>
        </row>
        <row r="376">
          <cell r="B376" t="str">
            <v>University of New South Wales</v>
          </cell>
          <cell r="C376" t="str">
            <v>Australia</v>
          </cell>
          <cell r="D376">
            <v>173</v>
          </cell>
          <cell r="E376">
            <v>85.1</v>
          </cell>
          <cell r="F376">
            <v>40.200000000000003</v>
          </cell>
          <cell r="G376">
            <v>46.8</v>
          </cell>
          <cell r="H376">
            <v>53.1</v>
          </cell>
          <cell r="I376">
            <v>44.6</v>
          </cell>
          <cell r="J376">
            <v>38309</v>
          </cell>
          <cell r="K376">
            <v>25.9</v>
          </cell>
          <cell r="L376">
            <v>0.33</v>
          </cell>
          <cell r="M376">
            <v>1.9951388888888888</v>
          </cell>
          <cell r="N376">
            <v>2012</v>
          </cell>
          <cell r="O376">
            <v>149</v>
          </cell>
          <cell r="P376">
            <v>4</v>
          </cell>
        </row>
        <row r="377">
          <cell r="B377" t="str">
            <v>University of Dundee</v>
          </cell>
          <cell r="C377" t="str">
            <v>United Kingdom</v>
          </cell>
          <cell r="D377">
            <v>176</v>
          </cell>
          <cell r="E377">
            <v>62.5</v>
          </cell>
          <cell r="F377">
            <v>20.100000000000001</v>
          </cell>
          <cell r="G377">
            <v>87.1</v>
          </cell>
          <cell r="H377">
            <v>55.3</v>
          </cell>
          <cell r="I377">
            <v>44.5</v>
          </cell>
          <cell r="J377">
            <v>11628</v>
          </cell>
          <cell r="K377">
            <v>15.3</v>
          </cell>
          <cell r="L377">
            <v>0.25</v>
          </cell>
          <cell r="M377">
            <v>2.5277777777777777</v>
          </cell>
          <cell r="N377">
            <v>2012</v>
          </cell>
          <cell r="O377">
            <v>252</v>
          </cell>
          <cell r="P377">
            <v>20</v>
          </cell>
        </row>
        <row r="378">
          <cell r="B378" t="str">
            <v>University of Victoria</v>
          </cell>
          <cell r="C378" t="str">
            <v>Canada</v>
          </cell>
          <cell r="D378">
            <v>177</v>
          </cell>
          <cell r="E378">
            <v>70.5</v>
          </cell>
          <cell r="F378">
            <v>31.5</v>
          </cell>
          <cell r="G378">
            <v>79.2</v>
          </cell>
          <cell r="H378">
            <v>26.8</v>
          </cell>
          <cell r="I378">
            <v>44.2</v>
          </cell>
          <cell r="J378">
            <v>17581</v>
          </cell>
          <cell r="K378">
            <v>21.5</v>
          </cell>
          <cell r="L378">
            <v>0.11</v>
          </cell>
          <cell r="M378">
            <v>2.3638888888888889</v>
          </cell>
          <cell r="N378">
            <v>2012</v>
          </cell>
          <cell r="O378">
            <v>377</v>
          </cell>
          <cell r="P378">
            <v>16</v>
          </cell>
        </row>
        <row r="379">
          <cell r="B379" t="str">
            <v>Technical University of Denmark</v>
          </cell>
          <cell r="C379" t="str">
            <v>Denmark</v>
          </cell>
          <cell r="D379">
            <v>178</v>
          </cell>
          <cell r="E379">
            <v>65.2</v>
          </cell>
          <cell r="F379">
            <v>24.1</v>
          </cell>
          <cell r="G379">
            <v>66.8</v>
          </cell>
          <cell r="H379">
            <v>95.7</v>
          </cell>
          <cell r="I379">
            <v>44.1</v>
          </cell>
          <cell r="J379">
            <v>9990</v>
          </cell>
          <cell r="K379">
            <v>5</v>
          </cell>
          <cell r="L379">
            <v>0.18</v>
          </cell>
          <cell r="M379" t="str">
            <v>27 : 73</v>
          </cell>
          <cell r="N379">
            <v>2012</v>
          </cell>
          <cell r="O379">
            <v>197</v>
          </cell>
          <cell r="P379">
            <v>3</v>
          </cell>
        </row>
        <row r="380">
          <cell r="B380" t="str">
            <v>University of SÃ£o Paulo</v>
          </cell>
          <cell r="C380" t="str">
            <v>Brazil</v>
          </cell>
          <cell r="D380">
            <v>178</v>
          </cell>
          <cell r="E380">
            <v>22.9</v>
          </cell>
          <cell r="F380">
            <v>58</v>
          </cell>
          <cell r="G380">
            <v>18.8</v>
          </cell>
          <cell r="H380">
            <v>33.299999999999997</v>
          </cell>
          <cell r="I380">
            <v>44.1</v>
          </cell>
          <cell r="J380">
            <v>81402</v>
          </cell>
          <cell r="K380">
            <v>14.6</v>
          </cell>
          <cell r="L380">
            <v>0.04</v>
          </cell>
          <cell r="M380">
            <v>2.036111111111111</v>
          </cell>
          <cell r="N380">
            <v>2012</v>
          </cell>
          <cell r="O380">
            <v>131</v>
          </cell>
          <cell r="P380">
            <v>1</v>
          </cell>
        </row>
        <row r="381">
          <cell r="B381" t="str">
            <v>University of Delaware</v>
          </cell>
          <cell r="C381" t="str">
            <v>United States of America</v>
          </cell>
          <cell r="D381">
            <v>180</v>
          </cell>
          <cell r="E381">
            <v>29.8</v>
          </cell>
          <cell r="F381">
            <v>37.200000000000003</v>
          </cell>
          <cell r="G381">
            <v>66.7</v>
          </cell>
          <cell r="H381">
            <v>98</v>
          </cell>
          <cell r="I381">
            <v>43.8</v>
          </cell>
          <cell r="J381">
            <v>19262</v>
          </cell>
          <cell r="K381">
            <v>15.9</v>
          </cell>
          <cell r="L381">
            <v>0.1</v>
          </cell>
          <cell r="M381">
            <v>2.3638888888888889</v>
          </cell>
          <cell r="N381">
            <v>2012</v>
          </cell>
          <cell r="O381">
            <v>247</v>
          </cell>
          <cell r="P381">
            <v>101</v>
          </cell>
        </row>
        <row r="382">
          <cell r="B382" t="str">
            <v>Goethe University Frankfurt</v>
          </cell>
          <cell r="C382" t="str">
            <v>Germany</v>
          </cell>
          <cell r="D382">
            <v>181</v>
          </cell>
          <cell r="E382">
            <v>57.6</v>
          </cell>
          <cell r="F382">
            <v>21.7</v>
          </cell>
          <cell r="G382">
            <v>75.099999999999994</v>
          </cell>
          <cell r="H382">
            <v>42.4</v>
          </cell>
          <cell r="I382">
            <v>43.6</v>
          </cell>
          <cell r="J382">
            <v>31861</v>
          </cell>
          <cell r="K382">
            <v>9.3000000000000007</v>
          </cell>
          <cell r="L382">
            <v>0.15</v>
          </cell>
          <cell r="M382">
            <v>2.5277777777777777</v>
          </cell>
          <cell r="N382">
            <v>2012</v>
          </cell>
          <cell r="O382">
            <v>161</v>
          </cell>
          <cell r="P382">
            <v>9</v>
          </cell>
        </row>
        <row r="383">
          <cell r="B383" t="str">
            <v>University of Liverpool</v>
          </cell>
          <cell r="C383" t="str">
            <v>United Kingdom</v>
          </cell>
          <cell r="D383">
            <v>181</v>
          </cell>
          <cell r="E383">
            <v>73.099999999999994</v>
          </cell>
          <cell r="F383">
            <v>33.5</v>
          </cell>
          <cell r="G383">
            <v>55.6</v>
          </cell>
          <cell r="H383">
            <v>37.1</v>
          </cell>
          <cell r="I383">
            <v>43.6</v>
          </cell>
          <cell r="J383">
            <v>18815</v>
          </cell>
          <cell r="K383">
            <v>13.6</v>
          </cell>
          <cell r="L383">
            <v>0.3</v>
          </cell>
          <cell r="M383">
            <v>2.2000000000000002</v>
          </cell>
          <cell r="N383">
            <v>2012</v>
          </cell>
          <cell r="O383">
            <v>211</v>
          </cell>
          <cell r="P383">
            <v>17</v>
          </cell>
        </row>
        <row r="384">
          <cell r="B384" t="str">
            <v>University of Oslo</v>
          </cell>
          <cell r="C384" t="str">
            <v>Norway</v>
          </cell>
          <cell r="D384">
            <v>181</v>
          </cell>
          <cell r="E384">
            <v>63.9</v>
          </cell>
          <cell r="F384">
            <v>36.9</v>
          </cell>
          <cell r="G384">
            <v>56.6</v>
          </cell>
          <cell r="H384">
            <v>29</v>
          </cell>
          <cell r="I384">
            <v>43.6</v>
          </cell>
          <cell r="J384">
            <v>27139</v>
          </cell>
          <cell r="K384">
            <v>18.8</v>
          </cell>
          <cell r="L384">
            <v>0.18</v>
          </cell>
          <cell r="N384">
            <v>2012</v>
          </cell>
          <cell r="O384">
            <v>91</v>
          </cell>
          <cell r="P384">
            <v>1</v>
          </cell>
        </row>
        <row r="385">
          <cell r="B385" t="str">
            <v>Iowa State University</v>
          </cell>
          <cell r="C385" t="str">
            <v>United States of America</v>
          </cell>
          <cell r="D385">
            <v>184</v>
          </cell>
          <cell r="E385">
            <v>28.3</v>
          </cell>
          <cell r="F385">
            <v>30.1</v>
          </cell>
          <cell r="G385">
            <v>70.400000000000006</v>
          </cell>
          <cell r="H385">
            <v>49.2</v>
          </cell>
          <cell r="I385">
            <v>43.4</v>
          </cell>
          <cell r="J385">
            <v>29991</v>
          </cell>
          <cell r="K385">
            <v>17.399999999999999</v>
          </cell>
          <cell r="L385">
            <v>0.11</v>
          </cell>
          <cell r="M385">
            <v>1.8722222222222222</v>
          </cell>
          <cell r="N385">
            <v>2012</v>
          </cell>
          <cell r="O385">
            <v>182</v>
          </cell>
          <cell r="P385">
            <v>80</v>
          </cell>
        </row>
        <row r="386">
          <cell r="B386" t="str">
            <v>University of Ottawa</v>
          </cell>
          <cell r="C386" t="str">
            <v>Canada</v>
          </cell>
          <cell r="D386">
            <v>185</v>
          </cell>
          <cell r="E386">
            <v>49.6</v>
          </cell>
          <cell r="F386">
            <v>34.799999999999997</v>
          </cell>
          <cell r="G386">
            <v>54.8</v>
          </cell>
          <cell r="H386">
            <v>36.9</v>
          </cell>
          <cell r="I386">
            <v>43.2</v>
          </cell>
          <cell r="J386">
            <v>36733</v>
          </cell>
          <cell r="K386">
            <v>26.3</v>
          </cell>
          <cell r="L386">
            <v>0.15</v>
          </cell>
          <cell r="M386">
            <v>2.5277777777777777</v>
          </cell>
          <cell r="N386">
            <v>2012</v>
          </cell>
          <cell r="O386">
            <v>212</v>
          </cell>
          <cell r="P386">
            <v>9</v>
          </cell>
        </row>
        <row r="387">
          <cell r="B387" t="str">
            <v>Pompeu Fabra University</v>
          </cell>
          <cell r="C387" t="str">
            <v>Spain</v>
          </cell>
          <cell r="D387">
            <v>186</v>
          </cell>
          <cell r="E387">
            <v>54.3</v>
          </cell>
          <cell r="F387">
            <v>16.100000000000001</v>
          </cell>
          <cell r="G387">
            <v>87.6</v>
          </cell>
          <cell r="H387">
            <v>37.6</v>
          </cell>
          <cell r="I387">
            <v>43.1</v>
          </cell>
          <cell r="J387">
            <v>10901</v>
          </cell>
          <cell r="K387">
            <v>18.3</v>
          </cell>
          <cell r="L387">
            <v>0.13</v>
          </cell>
          <cell r="M387">
            <v>2.4868055555555557</v>
          </cell>
          <cell r="N387">
            <v>2012</v>
          </cell>
          <cell r="O387">
            <v>426</v>
          </cell>
          <cell r="P387">
            <v>11</v>
          </cell>
        </row>
        <row r="388">
          <cell r="B388" t="str">
            <v>KTH Royal Institute of Technology</v>
          </cell>
          <cell r="C388" t="str">
            <v>Sweden</v>
          </cell>
          <cell r="D388">
            <v>187</v>
          </cell>
          <cell r="E388">
            <v>82.1</v>
          </cell>
          <cell r="F388">
            <v>39.5</v>
          </cell>
          <cell r="G388">
            <v>34.1</v>
          </cell>
          <cell r="H388">
            <v>100</v>
          </cell>
          <cell r="I388">
            <v>43</v>
          </cell>
          <cell r="J388">
            <v>12062</v>
          </cell>
          <cell r="K388">
            <v>14.6</v>
          </cell>
          <cell r="L388">
            <v>0.21</v>
          </cell>
          <cell r="M388" t="str">
            <v>30 : 70</v>
          </cell>
          <cell r="N388">
            <v>2012</v>
          </cell>
          <cell r="O388" t="e">
            <v>#N/A</v>
          </cell>
          <cell r="P388" t="e">
            <v>#N/A</v>
          </cell>
        </row>
        <row r="389">
          <cell r="B389" t="str">
            <v>University of TÃ¼bingen</v>
          </cell>
          <cell r="C389" t="str">
            <v>Germany</v>
          </cell>
          <cell r="D389">
            <v>187</v>
          </cell>
          <cell r="E389">
            <v>58.1</v>
          </cell>
          <cell r="F389">
            <v>24.1</v>
          </cell>
          <cell r="G389">
            <v>67.599999999999994</v>
          </cell>
          <cell r="H389">
            <v>31</v>
          </cell>
          <cell r="I389">
            <v>43</v>
          </cell>
          <cell r="J389">
            <v>28327</v>
          </cell>
          <cell r="K389">
            <v>38.9</v>
          </cell>
          <cell r="L389">
            <v>0.12</v>
          </cell>
          <cell r="M389">
            <v>2.4458333333333333</v>
          </cell>
          <cell r="N389">
            <v>2012</v>
          </cell>
          <cell r="O389">
            <v>159</v>
          </cell>
          <cell r="P389">
            <v>8</v>
          </cell>
        </row>
        <row r="390">
          <cell r="B390" t="str">
            <v>University of Freiburg</v>
          </cell>
          <cell r="C390" t="str">
            <v>Germany</v>
          </cell>
          <cell r="D390">
            <v>189</v>
          </cell>
          <cell r="E390">
            <v>55.6</v>
          </cell>
          <cell r="F390">
            <v>18.7</v>
          </cell>
          <cell r="G390">
            <v>67.8</v>
          </cell>
          <cell r="H390">
            <v>81.8</v>
          </cell>
          <cell r="I390">
            <v>42.9</v>
          </cell>
          <cell r="J390">
            <v>26467</v>
          </cell>
          <cell r="K390">
            <v>31.2</v>
          </cell>
          <cell r="L390">
            <v>0.16</v>
          </cell>
          <cell r="M390">
            <v>2.2000000000000002</v>
          </cell>
          <cell r="N390">
            <v>2012</v>
          </cell>
          <cell r="O390" t="e">
            <v>#N/A</v>
          </cell>
          <cell r="P390" t="e">
            <v>#N/A</v>
          </cell>
        </row>
        <row r="391">
          <cell r="B391" t="str">
            <v>University of Western Australia</v>
          </cell>
          <cell r="C391" t="str">
            <v>Australia</v>
          </cell>
          <cell r="D391">
            <v>189</v>
          </cell>
          <cell r="E391">
            <v>90</v>
          </cell>
          <cell r="F391">
            <v>35.799999999999997</v>
          </cell>
          <cell r="G391">
            <v>47.8</v>
          </cell>
          <cell r="H391">
            <v>58.7</v>
          </cell>
          <cell r="I391">
            <v>42.9</v>
          </cell>
          <cell r="J391">
            <v>20851</v>
          </cell>
          <cell r="K391">
            <v>20.7</v>
          </cell>
          <cell r="L391">
            <v>0.27</v>
          </cell>
          <cell r="M391">
            <v>2.1180555555555554</v>
          </cell>
          <cell r="N391">
            <v>2012</v>
          </cell>
          <cell r="O391">
            <v>225</v>
          </cell>
          <cell r="P391">
            <v>7</v>
          </cell>
        </row>
        <row r="392">
          <cell r="B392" t="str">
            <v>University of Bergen</v>
          </cell>
          <cell r="C392" t="str">
            <v>Norway</v>
          </cell>
          <cell r="D392">
            <v>191</v>
          </cell>
          <cell r="E392">
            <v>73.5</v>
          </cell>
          <cell r="F392">
            <v>26.6</v>
          </cell>
          <cell r="G392">
            <v>65.2</v>
          </cell>
          <cell r="H392">
            <v>42.1</v>
          </cell>
          <cell r="I392">
            <v>42.8</v>
          </cell>
          <cell r="J392">
            <v>11623</v>
          </cell>
          <cell r="K392">
            <v>11.1</v>
          </cell>
          <cell r="L392">
            <v>0.12</v>
          </cell>
          <cell r="M392">
            <v>2.5277777777777777</v>
          </cell>
          <cell r="N392">
            <v>2012</v>
          </cell>
          <cell r="O392">
            <v>305</v>
          </cell>
          <cell r="P392">
            <v>3</v>
          </cell>
        </row>
        <row r="393">
          <cell r="B393" t="str">
            <v>University of Science and Technology of China</v>
          </cell>
          <cell r="C393" t="str">
            <v>China</v>
          </cell>
          <cell r="D393">
            <v>192</v>
          </cell>
          <cell r="E393">
            <v>14.8</v>
          </cell>
          <cell r="F393">
            <v>23.5</v>
          </cell>
          <cell r="G393">
            <v>73.599999999999994</v>
          </cell>
          <cell r="H393">
            <v>29.7</v>
          </cell>
          <cell r="I393">
            <v>42.7</v>
          </cell>
          <cell r="J393">
            <v>14290</v>
          </cell>
          <cell r="K393">
            <v>7.9</v>
          </cell>
          <cell r="L393">
            <v>0.02</v>
          </cell>
          <cell r="N393">
            <v>2012</v>
          </cell>
          <cell r="O393">
            <v>270</v>
          </cell>
          <cell r="P393">
            <v>8</v>
          </cell>
        </row>
        <row r="394">
          <cell r="B394" t="str">
            <v>City University of Hong Kong</v>
          </cell>
          <cell r="C394" t="str">
            <v>Hong Kong</v>
          </cell>
          <cell r="D394">
            <v>193</v>
          </cell>
          <cell r="E394">
            <v>61.6</v>
          </cell>
          <cell r="F394">
            <v>35</v>
          </cell>
          <cell r="G394">
            <v>57.4</v>
          </cell>
          <cell r="H394">
            <v>50.1</v>
          </cell>
          <cell r="I394">
            <v>42.6</v>
          </cell>
          <cell r="J394">
            <v>10015</v>
          </cell>
          <cell r="K394">
            <v>7.1</v>
          </cell>
          <cell r="L394">
            <v>0.28000000000000003</v>
          </cell>
          <cell r="M394">
            <v>2.1590277777777778</v>
          </cell>
          <cell r="N394">
            <v>2012</v>
          </cell>
          <cell r="O394">
            <v>375</v>
          </cell>
          <cell r="P394">
            <v>4</v>
          </cell>
        </row>
        <row r="395">
          <cell r="B395" t="str">
            <v>University of Konstanz</v>
          </cell>
          <cell r="C395" t="str">
            <v>Germany</v>
          </cell>
          <cell r="D395">
            <v>194</v>
          </cell>
          <cell r="E395">
            <v>63.7</v>
          </cell>
          <cell r="F395">
            <v>29.7</v>
          </cell>
          <cell r="G395">
            <v>62.8</v>
          </cell>
          <cell r="H395">
            <v>49.9</v>
          </cell>
          <cell r="I395">
            <v>42.5</v>
          </cell>
          <cell r="J395">
            <v>10930</v>
          </cell>
          <cell r="K395">
            <v>59.1</v>
          </cell>
          <cell r="L395">
            <v>0.12</v>
          </cell>
          <cell r="M395">
            <v>2.2819444444444446</v>
          </cell>
          <cell r="N395">
            <v>2012</v>
          </cell>
          <cell r="O395">
            <v>468</v>
          </cell>
          <cell r="P395">
            <v>36</v>
          </cell>
        </row>
        <row r="396">
          <cell r="B396" t="str">
            <v>Boston College</v>
          </cell>
          <cell r="C396" t="str">
            <v>United States of America</v>
          </cell>
          <cell r="D396">
            <v>195</v>
          </cell>
          <cell r="E396">
            <v>41.4</v>
          </cell>
          <cell r="F396">
            <v>18.899999999999999</v>
          </cell>
          <cell r="G396">
            <v>83.5</v>
          </cell>
          <cell r="H396">
            <v>24.2</v>
          </cell>
          <cell r="I396">
            <v>42.4</v>
          </cell>
          <cell r="J396">
            <v>13216</v>
          </cell>
          <cell r="K396">
            <v>17.399999999999999</v>
          </cell>
          <cell r="L396">
            <v>0.19</v>
          </cell>
          <cell r="M396">
            <v>2.2819444444444446</v>
          </cell>
          <cell r="N396">
            <v>2012</v>
          </cell>
          <cell r="O396">
            <v>332</v>
          </cell>
          <cell r="P396">
            <v>124</v>
          </cell>
        </row>
        <row r="397">
          <cell r="B397" t="str">
            <v>Karlsruhe Institute of Technology</v>
          </cell>
          <cell r="C397" t="str">
            <v>Germany</v>
          </cell>
          <cell r="D397">
            <v>196</v>
          </cell>
          <cell r="E397">
            <v>64.900000000000006</v>
          </cell>
          <cell r="F397">
            <v>19.600000000000001</v>
          </cell>
          <cell r="G397">
            <v>65.5</v>
          </cell>
          <cell r="H397">
            <v>35.6</v>
          </cell>
          <cell r="I397">
            <v>41.6</v>
          </cell>
          <cell r="J397">
            <v>25294</v>
          </cell>
          <cell r="K397">
            <v>24.6</v>
          </cell>
          <cell r="L397">
            <v>0.16</v>
          </cell>
          <cell r="M397" t="str">
            <v>26 : 74</v>
          </cell>
          <cell r="N397">
            <v>2012</v>
          </cell>
          <cell r="O397">
            <v>215</v>
          </cell>
          <cell r="P397">
            <v>15</v>
          </cell>
        </row>
        <row r="398">
          <cell r="B398" t="str">
            <v>Georgia Health Sciences University</v>
          </cell>
          <cell r="C398" t="str">
            <v>United States of America</v>
          </cell>
          <cell r="D398">
            <v>197</v>
          </cell>
          <cell r="E398">
            <v>32.1</v>
          </cell>
          <cell r="F398">
            <v>14.2</v>
          </cell>
          <cell r="G398">
            <v>63.5</v>
          </cell>
          <cell r="H398">
            <v>40.700000000000003</v>
          </cell>
          <cell r="I398">
            <v>41.5</v>
          </cell>
          <cell r="N398">
            <v>2012</v>
          </cell>
          <cell r="O398" t="e">
            <v>#N/A</v>
          </cell>
          <cell r="P398" t="e">
            <v>#N/A</v>
          </cell>
        </row>
        <row r="399">
          <cell r="B399" t="str">
            <v>Maastricht University</v>
          </cell>
          <cell r="C399" t="str">
            <v>Netherlands</v>
          </cell>
          <cell r="D399">
            <v>197</v>
          </cell>
          <cell r="E399">
            <v>86.4</v>
          </cell>
          <cell r="F399">
            <v>30.5</v>
          </cell>
          <cell r="G399">
            <v>53.9</v>
          </cell>
          <cell r="H399" t="str">
            <v>-</v>
          </cell>
          <cell r="I399">
            <v>41.5</v>
          </cell>
          <cell r="J399">
            <v>15626</v>
          </cell>
          <cell r="K399">
            <v>18.899999999999999</v>
          </cell>
          <cell r="L399">
            <v>0.48</v>
          </cell>
          <cell r="M399">
            <v>2.3638888888888889</v>
          </cell>
          <cell r="N399">
            <v>2012</v>
          </cell>
          <cell r="O399">
            <v>250</v>
          </cell>
          <cell r="P399">
            <v>8</v>
          </cell>
        </row>
        <row r="400">
          <cell r="B400" t="str">
            <v>University of Leicester</v>
          </cell>
          <cell r="C400" t="str">
            <v>United Kingdom</v>
          </cell>
          <cell r="D400">
            <v>197</v>
          </cell>
          <cell r="E400">
            <v>84.9</v>
          </cell>
          <cell r="F400">
            <v>30.3</v>
          </cell>
          <cell r="G400">
            <v>56.3</v>
          </cell>
          <cell r="H400">
            <v>34.4</v>
          </cell>
          <cell r="I400">
            <v>41.5</v>
          </cell>
          <cell r="J400">
            <v>14541</v>
          </cell>
          <cell r="K400">
            <v>13.4</v>
          </cell>
          <cell r="L400">
            <v>0.35</v>
          </cell>
          <cell r="M400">
            <v>2.2819444444444446</v>
          </cell>
          <cell r="N400">
            <v>2012</v>
          </cell>
          <cell r="O400">
            <v>263</v>
          </cell>
          <cell r="P400">
            <v>22</v>
          </cell>
        </row>
        <row r="401">
          <cell r="B401" t="str">
            <v>University of Twente</v>
          </cell>
          <cell r="C401" t="str">
            <v>Netherlands</v>
          </cell>
          <cell r="D401">
            <v>200</v>
          </cell>
          <cell r="E401">
            <v>56.2</v>
          </cell>
          <cell r="F401">
            <v>30.4</v>
          </cell>
          <cell r="G401">
            <v>54.4</v>
          </cell>
          <cell r="H401">
            <v>76.8</v>
          </cell>
          <cell r="I401">
            <v>41.4</v>
          </cell>
          <cell r="J401">
            <v>6631</v>
          </cell>
          <cell r="K401">
            <v>12</v>
          </cell>
          <cell r="L401">
            <v>0.26</v>
          </cell>
          <cell r="M401" t="str">
            <v>37 : 63</v>
          </cell>
          <cell r="N401">
            <v>2012</v>
          </cell>
          <cell r="O401">
            <v>445</v>
          </cell>
          <cell r="P401">
            <v>12</v>
          </cell>
        </row>
        <row r="402">
          <cell r="B402" t="str">
            <v>Autonomous University of Barcelona</v>
          </cell>
          <cell r="C402" t="str">
            <v>Spain</v>
          </cell>
          <cell r="D402" t="str">
            <v>201-225</v>
          </cell>
          <cell r="E402">
            <v>45.9</v>
          </cell>
          <cell r="F402">
            <v>27.9</v>
          </cell>
          <cell r="G402">
            <v>57.9</v>
          </cell>
          <cell r="H402">
            <v>37</v>
          </cell>
          <cell r="I402" t="str">
            <v>-</v>
          </cell>
          <cell r="J402">
            <v>30538</v>
          </cell>
          <cell r="K402">
            <v>12.3</v>
          </cell>
          <cell r="L402">
            <v>0.1</v>
          </cell>
          <cell r="M402">
            <v>2.4868055555555557</v>
          </cell>
          <cell r="N402">
            <v>2012</v>
          </cell>
          <cell r="O402">
            <v>254</v>
          </cell>
          <cell r="P402">
            <v>3</v>
          </cell>
        </row>
        <row r="403">
          <cell r="B403" t="str">
            <v>Bilkent University</v>
          </cell>
          <cell r="C403" t="str">
            <v>Turkey</v>
          </cell>
          <cell r="D403" t="str">
            <v>201-225</v>
          </cell>
          <cell r="E403">
            <v>48.5</v>
          </cell>
          <cell r="F403">
            <v>22.3</v>
          </cell>
          <cell r="G403">
            <v>60.8</v>
          </cell>
          <cell r="H403">
            <v>29.4</v>
          </cell>
          <cell r="I403" t="str">
            <v>-</v>
          </cell>
          <cell r="N403">
            <v>2012</v>
          </cell>
          <cell r="O403">
            <v>856</v>
          </cell>
          <cell r="P403">
            <v>7</v>
          </cell>
        </row>
        <row r="404">
          <cell r="B404" t="str">
            <v>Cardiff University</v>
          </cell>
          <cell r="C404" t="str">
            <v>United Kingdom</v>
          </cell>
          <cell r="D404" t="str">
            <v>201-225</v>
          </cell>
          <cell r="E404">
            <v>67.8</v>
          </cell>
          <cell r="F404">
            <v>34</v>
          </cell>
          <cell r="G404">
            <v>51.7</v>
          </cell>
          <cell r="H404">
            <v>35.5</v>
          </cell>
          <cell r="I404" t="str">
            <v>-</v>
          </cell>
          <cell r="J404">
            <v>23347</v>
          </cell>
          <cell r="K404">
            <v>13.1</v>
          </cell>
          <cell r="L404">
            <v>0.23</v>
          </cell>
          <cell r="M404">
            <v>2.4048611111111109</v>
          </cell>
          <cell r="N404">
            <v>2012</v>
          </cell>
          <cell r="O404">
            <v>209</v>
          </cell>
          <cell r="P404">
            <v>16</v>
          </cell>
        </row>
        <row r="405">
          <cell r="B405" t="str">
            <v>Colorado School of Mines</v>
          </cell>
          <cell r="C405" t="str">
            <v>United States of America</v>
          </cell>
          <cell r="D405" t="str">
            <v>201-225</v>
          </cell>
          <cell r="E405">
            <v>38.4</v>
          </cell>
          <cell r="F405">
            <v>22.8</v>
          </cell>
          <cell r="G405">
            <v>63.7</v>
          </cell>
          <cell r="H405">
            <v>99.4</v>
          </cell>
          <cell r="I405" t="str">
            <v>-</v>
          </cell>
          <cell r="J405">
            <v>5287</v>
          </cell>
          <cell r="K405">
            <v>18.2</v>
          </cell>
          <cell r="L405">
            <v>0.12</v>
          </cell>
          <cell r="M405" t="str">
            <v>26 : 74</v>
          </cell>
          <cell r="N405">
            <v>2012</v>
          </cell>
          <cell r="O405">
            <v>364</v>
          </cell>
          <cell r="P405">
            <v>131</v>
          </cell>
        </row>
        <row r="406">
          <cell r="B406" t="str">
            <v>Nagoya University</v>
          </cell>
          <cell r="C406" t="str">
            <v>Japan</v>
          </cell>
          <cell r="D406" t="str">
            <v>201-225</v>
          </cell>
          <cell r="E406">
            <v>21.2</v>
          </cell>
          <cell r="F406">
            <v>39.200000000000003</v>
          </cell>
          <cell r="G406">
            <v>43.8</v>
          </cell>
          <cell r="H406">
            <v>33.1</v>
          </cell>
          <cell r="I406" t="str">
            <v>-</v>
          </cell>
          <cell r="J406">
            <v>15529</v>
          </cell>
          <cell r="K406">
            <v>7.9</v>
          </cell>
          <cell r="L406">
            <v>0.1</v>
          </cell>
          <cell r="M406" t="str">
            <v>29 : 71</v>
          </cell>
          <cell r="N406">
            <v>2012</v>
          </cell>
          <cell r="O406">
            <v>74</v>
          </cell>
          <cell r="P406">
            <v>4</v>
          </cell>
        </row>
        <row r="407">
          <cell r="B407" t="str">
            <v>National Tsing Hua University</v>
          </cell>
          <cell r="C407" t="str">
            <v>Taiwan</v>
          </cell>
          <cell r="D407" t="str">
            <v>201-225</v>
          </cell>
          <cell r="E407">
            <v>17.7</v>
          </cell>
          <cell r="F407">
            <v>44.5</v>
          </cell>
          <cell r="G407">
            <v>39.700000000000003</v>
          </cell>
          <cell r="H407">
            <v>46.8</v>
          </cell>
          <cell r="I407" t="str">
            <v>-</v>
          </cell>
          <cell r="J407">
            <v>10221</v>
          </cell>
          <cell r="K407">
            <v>13.5</v>
          </cell>
          <cell r="L407">
            <v>0.05</v>
          </cell>
          <cell r="M407" t="str">
            <v>33 : 67</v>
          </cell>
          <cell r="N407">
            <v>2012</v>
          </cell>
          <cell r="O407">
            <v>418</v>
          </cell>
          <cell r="P407">
            <v>4</v>
          </cell>
        </row>
        <row r="408">
          <cell r="B408" t="str">
            <v>Northeastern University</v>
          </cell>
          <cell r="C408" t="str">
            <v>United States of America</v>
          </cell>
          <cell r="D408" t="str">
            <v>201-225</v>
          </cell>
          <cell r="E408">
            <v>38</v>
          </cell>
          <cell r="F408">
            <v>18.899999999999999</v>
          </cell>
          <cell r="G408">
            <v>70</v>
          </cell>
          <cell r="H408">
            <v>31.1</v>
          </cell>
          <cell r="I408" t="str">
            <v>-</v>
          </cell>
          <cell r="J408">
            <v>18539</v>
          </cell>
          <cell r="K408">
            <v>15.1</v>
          </cell>
          <cell r="L408">
            <v>0.26</v>
          </cell>
          <cell r="M408">
            <v>2.1180555555555554</v>
          </cell>
          <cell r="N408">
            <v>2012</v>
          </cell>
          <cell r="O408">
            <v>318</v>
          </cell>
          <cell r="P408">
            <v>119</v>
          </cell>
        </row>
        <row r="409">
          <cell r="B409" t="str">
            <v>Technion Israel Institute of Technology</v>
          </cell>
          <cell r="C409" t="str">
            <v>Israel</v>
          </cell>
          <cell r="D409" t="str">
            <v>201-225</v>
          </cell>
          <cell r="E409">
            <v>48.9</v>
          </cell>
          <cell r="F409">
            <v>45</v>
          </cell>
          <cell r="G409">
            <v>34</v>
          </cell>
          <cell r="H409">
            <v>33.6</v>
          </cell>
          <cell r="I409" t="str">
            <v>-</v>
          </cell>
          <cell r="J409">
            <v>13855</v>
          </cell>
          <cell r="K409">
            <v>19.399999999999999</v>
          </cell>
          <cell r="L409">
            <v>0.04</v>
          </cell>
          <cell r="M409" t="str">
            <v>35 : 65</v>
          </cell>
          <cell r="N409">
            <v>2012</v>
          </cell>
          <cell r="O409" t="e">
            <v>#N/A</v>
          </cell>
          <cell r="P409" t="e">
            <v>#N/A</v>
          </cell>
        </row>
        <row r="410">
          <cell r="B410" t="str">
            <v>Tulane University</v>
          </cell>
          <cell r="C410" t="str">
            <v>United States of America</v>
          </cell>
          <cell r="D410" t="str">
            <v>201-225</v>
          </cell>
          <cell r="E410">
            <v>29.8</v>
          </cell>
          <cell r="F410">
            <v>34.1</v>
          </cell>
          <cell r="G410">
            <v>58.8</v>
          </cell>
          <cell r="H410" t="str">
            <v>-</v>
          </cell>
          <cell r="I410" t="str">
            <v>-</v>
          </cell>
          <cell r="J410">
            <v>11381</v>
          </cell>
          <cell r="K410">
            <v>8.4</v>
          </cell>
          <cell r="L410">
            <v>0.08</v>
          </cell>
          <cell r="M410">
            <v>2.3638888888888889</v>
          </cell>
          <cell r="N410">
            <v>2012</v>
          </cell>
          <cell r="O410">
            <v>234</v>
          </cell>
          <cell r="P410">
            <v>95</v>
          </cell>
        </row>
        <row r="411">
          <cell r="B411" t="str">
            <v>Ulm University</v>
          </cell>
          <cell r="C411" t="str">
            <v>Germany</v>
          </cell>
          <cell r="D411" t="str">
            <v>201-225</v>
          </cell>
          <cell r="E411">
            <v>50.8</v>
          </cell>
          <cell r="F411">
            <v>18.8</v>
          </cell>
          <cell r="G411">
            <v>46.7</v>
          </cell>
          <cell r="H411">
            <v>69.8</v>
          </cell>
          <cell r="I411" t="str">
            <v>-</v>
          </cell>
          <cell r="J411">
            <v>9187</v>
          </cell>
          <cell r="K411">
            <v>11.2</v>
          </cell>
          <cell r="L411">
            <v>0.1</v>
          </cell>
          <cell r="M411">
            <v>1.9951388888888888</v>
          </cell>
          <cell r="N411">
            <v>2012</v>
          </cell>
          <cell r="O411" t="e">
            <v>#N/A</v>
          </cell>
          <cell r="P411" t="e">
            <v>#N/A</v>
          </cell>
        </row>
        <row r="412">
          <cell r="B412" t="str">
            <v>UmeÃ¥ University</v>
          </cell>
          <cell r="C412" t="str">
            <v>Sweden</v>
          </cell>
          <cell r="D412" t="str">
            <v>201-225</v>
          </cell>
          <cell r="E412">
            <v>52</v>
          </cell>
          <cell r="F412">
            <v>29.2</v>
          </cell>
          <cell r="G412">
            <v>59.4</v>
          </cell>
          <cell r="H412">
            <v>26.3</v>
          </cell>
          <cell r="I412" t="str">
            <v>-</v>
          </cell>
          <cell r="J412">
            <v>16667</v>
          </cell>
          <cell r="K412">
            <v>11.9</v>
          </cell>
          <cell r="L412">
            <v>7.0000000000000007E-2</v>
          </cell>
          <cell r="M412">
            <v>2.5277777777777777</v>
          </cell>
          <cell r="N412">
            <v>2012</v>
          </cell>
          <cell r="O412">
            <v>289</v>
          </cell>
          <cell r="P412">
            <v>7</v>
          </cell>
        </row>
        <row r="413">
          <cell r="B413" t="str">
            <v>University at Buffalo</v>
          </cell>
          <cell r="C413" t="str">
            <v>United States of America</v>
          </cell>
          <cell r="D413" t="str">
            <v>201-225</v>
          </cell>
          <cell r="E413">
            <v>49.2</v>
          </cell>
          <cell r="F413">
            <v>35.6</v>
          </cell>
          <cell r="G413">
            <v>42</v>
          </cell>
          <cell r="H413">
            <v>40.9</v>
          </cell>
          <cell r="I413" t="str">
            <v>-</v>
          </cell>
          <cell r="J413">
            <v>25668</v>
          </cell>
          <cell r="K413">
            <v>19</v>
          </cell>
          <cell r="L413">
            <v>0.19</v>
          </cell>
          <cell r="M413">
            <v>1.9951388888888888</v>
          </cell>
          <cell r="N413">
            <v>2012</v>
          </cell>
          <cell r="O413" t="e">
            <v>#N/A</v>
          </cell>
          <cell r="P413" t="e">
            <v>#N/A</v>
          </cell>
        </row>
        <row r="414">
          <cell r="B414" t="str">
            <v>University of Adelaide</v>
          </cell>
          <cell r="C414" t="str">
            <v>Australia</v>
          </cell>
          <cell r="D414" t="str">
            <v>201-225</v>
          </cell>
          <cell r="E414">
            <v>81.7</v>
          </cell>
          <cell r="F414">
            <v>33.4</v>
          </cell>
          <cell r="G414">
            <v>43.8</v>
          </cell>
          <cell r="H414">
            <v>50.7</v>
          </cell>
          <cell r="I414" t="str">
            <v>-</v>
          </cell>
          <cell r="J414">
            <v>20771</v>
          </cell>
          <cell r="K414">
            <v>30.1</v>
          </cell>
          <cell r="L414">
            <v>0.26</v>
          </cell>
          <cell r="M414">
            <v>2.036111111111111</v>
          </cell>
          <cell r="N414">
            <v>2012</v>
          </cell>
          <cell r="O414">
            <v>340</v>
          </cell>
          <cell r="P414">
            <v>8</v>
          </cell>
        </row>
        <row r="415">
          <cell r="B415" t="str">
            <v>University of Barcelona</v>
          </cell>
          <cell r="C415" t="str">
            <v>Spain</v>
          </cell>
          <cell r="D415" t="str">
            <v>201-225</v>
          </cell>
          <cell r="E415">
            <v>44.1</v>
          </cell>
          <cell r="F415">
            <v>22.2</v>
          </cell>
          <cell r="G415">
            <v>71.900000000000006</v>
          </cell>
          <cell r="H415">
            <v>29.5</v>
          </cell>
          <cell r="I415" t="str">
            <v>-</v>
          </cell>
          <cell r="J415">
            <v>47491</v>
          </cell>
          <cell r="K415">
            <v>12.2</v>
          </cell>
          <cell r="L415">
            <v>0.1</v>
          </cell>
          <cell r="M415">
            <v>2.6097222222222221</v>
          </cell>
          <cell r="N415">
            <v>2012</v>
          </cell>
          <cell r="O415">
            <v>120</v>
          </cell>
          <cell r="P415">
            <v>1</v>
          </cell>
        </row>
        <row r="416">
          <cell r="B416" t="str">
            <v>University of Cincinnati</v>
          </cell>
          <cell r="C416" t="str">
            <v>United States of America</v>
          </cell>
          <cell r="D416" t="str">
            <v>201-225</v>
          </cell>
          <cell r="E416">
            <v>20.6</v>
          </cell>
          <cell r="F416">
            <v>24.9</v>
          </cell>
          <cell r="G416">
            <v>69</v>
          </cell>
          <cell r="H416">
            <v>32.9</v>
          </cell>
          <cell r="I416" t="str">
            <v>-</v>
          </cell>
          <cell r="J416">
            <v>36108</v>
          </cell>
          <cell r="K416">
            <v>15.7</v>
          </cell>
          <cell r="L416">
            <v>0.06</v>
          </cell>
          <cell r="M416">
            <v>2.2819444444444446</v>
          </cell>
          <cell r="N416">
            <v>2012</v>
          </cell>
          <cell r="O416">
            <v>177</v>
          </cell>
          <cell r="P416">
            <v>78</v>
          </cell>
        </row>
        <row r="417">
          <cell r="B417" t="str">
            <v>University of Essex</v>
          </cell>
          <cell r="C417" t="str">
            <v>United Kingdom</v>
          </cell>
          <cell r="D417" t="str">
            <v>201-225</v>
          </cell>
          <cell r="E417">
            <v>90.1</v>
          </cell>
          <cell r="F417">
            <v>35.9</v>
          </cell>
          <cell r="G417">
            <v>37</v>
          </cell>
          <cell r="H417">
            <v>28.3</v>
          </cell>
          <cell r="I417" t="str">
            <v>-</v>
          </cell>
          <cell r="J417">
            <v>12695</v>
          </cell>
          <cell r="K417">
            <v>19.8</v>
          </cell>
          <cell r="L417">
            <v>0.39</v>
          </cell>
          <cell r="M417">
            <v>2.3229166666666665</v>
          </cell>
          <cell r="N417">
            <v>2012</v>
          </cell>
          <cell r="O417">
            <v>563</v>
          </cell>
          <cell r="P417">
            <v>44</v>
          </cell>
        </row>
        <row r="418">
          <cell r="B418" t="str">
            <v>University of Georgia</v>
          </cell>
          <cell r="C418" t="str">
            <v>United States of America</v>
          </cell>
          <cell r="D418" t="str">
            <v>201-225</v>
          </cell>
          <cell r="E418">
            <v>30.6</v>
          </cell>
          <cell r="F418">
            <v>36.4</v>
          </cell>
          <cell r="G418">
            <v>37.299999999999997</v>
          </cell>
          <cell r="H418">
            <v>27.7</v>
          </cell>
          <cell r="I418" t="str">
            <v>-</v>
          </cell>
          <cell r="J418">
            <v>33119</v>
          </cell>
          <cell r="K418">
            <v>19.899999999999999</v>
          </cell>
          <cell r="L418">
            <v>7.0000000000000007E-2</v>
          </cell>
          <cell r="M418">
            <v>2.4048611111111109</v>
          </cell>
          <cell r="N418">
            <v>2012</v>
          </cell>
          <cell r="O418">
            <v>207</v>
          </cell>
          <cell r="P418">
            <v>87</v>
          </cell>
        </row>
        <row r="419">
          <cell r="B419" t="str">
            <v>University of Gothenburg</v>
          </cell>
          <cell r="C419" t="str">
            <v>Sweden</v>
          </cell>
          <cell r="D419" t="str">
            <v>201-225</v>
          </cell>
          <cell r="E419">
            <v>48.4</v>
          </cell>
          <cell r="F419">
            <v>37.700000000000003</v>
          </cell>
          <cell r="G419">
            <v>55.7</v>
          </cell>
          <cell r="H419">
            <v>37.700000000000003</v>
          </cell>
          <cell r="I419" t="str">
            <v>-</v>
          </cell>
          <cell r="J419">
            <v>26420</v>
          </cell>
          <cell r="K419">
            <v>16.399999999999999</v>
          </cell>
          <cell r="L419">
            <v>0.12</v>
          </cell>
          <cell r="N419">
            <v>2012</v>
          </cell>
          <cell r="O419">
            <v>168</v>
          </cell>
          <cell r="P419">
            <v>5</v>
          </cell>
        </row>
        <row r="420">
          <cell r="B420" t="str">
            <v>University of Innsbruck</v>
          </cell>
          <cell r="C420" t="str">
            <v>Austria</v>
          </cell>
          <cell r="D420" t="str">
            <v>201-225</v>
          </cell>
          <cell r="E420">
            <v>90.7</v>
          </cell>
          <cell r="F420">
            <v>13.8</v>
          </cell>
          <cell r="G420">
            <v>65.7</v>
          </cell>
          <cell r="H420">
            <v>32.799999999999997</v>
          </cell>
          <cell r="I420" t="str">
            <v>-</v>
          </cell>
          <cell r="J420">
            <v>18209</v>
          </cell>
          <cell r="K420">
            <v>16.899999999999999</v>
          </cell>
          <cell r="L420">
            <v>0.39</v>
          </cell>
          <cell r="M420">
            <v>2.2819444444444446</v>
          </cell>
          <cell r="N420">
            <v>2012</v>
          </cell>
          <cell r="O420">
            <v>326</v>
          </cell>
          <cell r="P420">
            <v>3</v>
          </cell>
        </row>
        <row r="421">
          <cell r="B421" t="str">
            <v>University of Medicine and Dentistry of New Jersey</v>
          </cell>
          <cell r="C421" t="str">
            <v>United States of America</v>
          </cell>
          <cell r="D421" t="str">
            <v>201-225</v>
          </cell>
          <cell r="E421">
            <v>31</v>
          </cell>
          <cell r="F421">
            <v>14.4</v>
          </cell>
          <cell r="G421">
            <v>55.6</v>
          </cell>
          <cell r="H421">
            <v>34.299999999999997</v>
          </cell>
          <cell r="I421" t="str">
            <v>-</v>
          </cell>
          <cell r="N421">
            <v>2012</v>
          </cell>
          <cell r="O421" t="e">
            <v>#N/A</v>
          </cell>
          <cell r="P421" t="e">
            <v>#N/A</v>
          </cell>
        </row>
        <row r="422">
          <cell r="B422" t="str">
            <v>University of Otago</v>
          </cell>
          <cell r="C422" t="str">
            <v>New Zealand</v>
          </cell>
          <cell r="D422" t="str">
            <v>201-225</v>
          </cell>
          <cell r="E422">
            <v>88.8</v>
          </cell>
          <cell r="F422">
            <v>28</v>
          </cell>
          <cell r="G422">
            <v>48</v>
          </cell>
          <cell r="H422">
            <v>27.8</v>
          </cell>
          <cell r="I422" t="str">
            <v>-</v>
          </cell>
          <cell r="J422">
            <v>18600</v>
          </cell>
          <cell r="K422">
            <v>20.3</v>
          </cell>
          <cell r="L422">
            <v>0.21</v>
          </cell>
          <cell r="M422">
            <v>2.4048611111111109</v>
          </cell>
          <cell r="N422">
            <v>2012</v>
          </cell>
          <cell r="O422">
            <v>355</v>
          </cell>
          <cell r="P422">
            <v>2</v>
          </cell>
        </row>
        <row r="423">
          <cell r="B423" t="str">
            <v>University of South Carolina</v>
          </cell>
          <cell r="C423" t="str">
            <v>United States of America</v>
          </cell>
          <cell r="D423" t="str">
            <v>201-225</v>
          </cell>
          <cell r="E423">
            <v>26</v>
          </cell>
          <cell r="F423">
            <v>29.3</v>
          </cell>
          <cell r="G423">
            <v>52.1</v>
          </cell>
          <cell r="H423">
            <v>27.3</v>
          </cell>
          <cell r="I423" t="str">
            <v>-</v>
          </cell>
          <cell r="J423">
            <v>29336</v>
          </cell>
          <cell r="K423">
            <v>16.3</v>
          </cell>
          <cell r="L423">
            <v>0.01</v>
          </cell>
          <cell r="M423">
            <v>2.3229166666666665</v>
          </cell>
          <cell r="N423">
            <v>2012</v>
          </cell>
          <cell r="O423" t="e">
            <v>#N/A</v>
          </cell>
          <cell r="P423" t="e">
            <v>#N/A</v>
          </cell>
        </row>
        <row r="424">
          <cell r="B424" t="str">
            <v>University of Strasbourg</v>
          </cell>
          <cell r="C424" t="str">
            <v>France</v>
          </cell>
          <cell r="D424" t="str">
            <v>201-225</v>
          </cell>
          <cell r="E424">
            <v>70.400000000000006</v>
          </cell>
          <cell r="F424">
            <v>17.3</v>
          </cell>
          <cell r="G424">
            <v>70.3</v>
          </cell>
          <cell r="H424">
            <v>32.1</v>
          </cell>
          <cell r="I424" t="str">
            <v>-</v>
          </cell>
          <cell r="J424">
            <v>46208</v>
          </cell>
          <cell r="K424">
            <v>17.8</v>
          </cell>
          <cell r="L424">
            <v>0.21</v>
          </cell>
          <cell r="M424">
            <v>2.4458333333333333</v>
          </cell>
          <cell r="N424">
            <v>2012</v>
          </cell>
          <cell r="O424">
            <v>176</v>
          </cell>
          <cell r="P424">
            <v>7</v>
          </cell>
        </row>
        <row r="425">
          <cell r="B425" t="str">
            <v>University of Waterloo</v>
          </cell>
          <cell r="C425" t="str">
            <v>Canada</v>
          </cell>
          <cell r="D425" t="str">
            <v>201-225</v>
          </cell>
          <cell r="E425">
            <v>62.1</v>
          </cell>
          <cell r="F425">
            <v>44.2</v>
          </cell>
          <cell r="G425">
            <v>32.5</v>
          </cell>
          <cell r="H425">
            <v>32.700000000000003</v>
          </cell>
          <cell r="I425" t="str">
            <v>-</v>
          </cell>
          <cell r="J425">
            <v>30726</v>
          </cell>
          <cell r="K425">
            <v>24.2</v>
          </cell>
          <cell r="L425">
            <v>0.14000000000000001</v>
          </cell>
          <cell r="M425">
            <v>1.9131944444444444</v>
          </cell>
          <cell r="N425">
            <v>2012</v>
          </cell>
          <cell r="O425">
            <v>280</v>
          </cell>
          <cell r="P425">
            <v>13</v>
          </cell>
        </row>
        <row r="426">
          <cell r="B426" t="str">
            <v>University of Western Ontario</v>
          </cell>
          <cell r="C426" t="str">
            <v>Canada</v>
          </cell>
          <cell r="D426" t="str">
            <v>201-225</v>
          </cell>
          <cell r="E426">
            <v>55.7</v>
          </cell>
          <cell r="F426">
            <v>34.299999999999997</v>
          </cell>
          <cell r="G426">
            <v>38.5</v>
          </cell>
          <cell r="H426">
            <v>41.9</v>
          </cell>
          <cell r="I426" t="str">
            <v>-</v>
          </cell>
          <cell r="J426">
            <v>27387</v>
          </cell>
          <cell r="K426">
            <v>20.7</v>
          </cell>
          <cell r="L426">
            <v>0.16</v>
          </cell>
          <cell r="M426">
            <v>2.2819444444444446</v>
          </cell>
          <cell r="N426">
            <v>2012</v>
          </cell>
          <cell r="O426" t="e">
            <v>#N/A</v>
          </cell>
          <cell r="P426" t="e">
            <v>#N/A</v>
          </cell>
        </row>
        <row r="427">
          <cell r="B427" t="str">
            <v>University of WÃ¼rzburg</v>
          </cell>
          <cell r="C427" t="str">
            <v>Germany</v>
          </cell>
          <cell r="D427" t="str">
            <v>201-225</v>
          </cell>
          <cell r="E427">
            <v>44</v>
          </cell>
          <cell r="F427">
            <v>18</v>
          </cell>
          <cell r="G427">
            <v>63</v>
          </cell>
          <cell r="H427">
            <v>27.9</v>
          </cell>
          <cell r="I427" t="str">
            <v>-</v>
          </cell>
          <cell r="J427">
            <v>26576</v>
          </cell>
          <cell r="K427">
            <v>38.4</v>
          </cell>
          <cell r="L427">
            <v>0.08</v>
          </cell>
          <cell r="M427">
            <v>2.4048611111111109</v>
          </cell>
          <cell r="N427">
            <v>2012</v>
          </cell>
          <cell r="O427" t="e">
            <v>#N/A</v>
          </cell>
          <cell r="P427" t="e">
            <v>#N/A</v>
          </cell>
        </row>
        <row r="428">
          <cell r="B428" t="str">
            <v>UniversitÃ© Libre de Bruxelles</v>
          </cell>
          <cell r="C428" t="str">
            <v>Belgium</v>
          </cell>
          <cell r="D428" t="str">
            <v>201-225</v>
          </cell>
          <cell r="E428">
            <v>80.400000000000006</v>
          </cell>
          <cell r="F428">
            <v>25.9</v>
          </cell>
          <cell r="G428">
            <v>53.5</v>
          </cell>
          <cell r="H428">
            <v>52.8</v>
          </cell>
          <cell r="I428" t="str">
            <v>-</v>
          </cell>
          <cell r="J428">
            <v>23819</v>
          </cell>
          <cell r="K428">
            <v>26.1</v>
          </cell>
          <cell r="L428">
            <v>0.32</v>
          </cell>
          <cell r="M428">
            <v>2.2819444444444446</v>
          </cell>
          <cell r="N428">
            <v>2012</v>
          </cell>
          <cell r="O428">
            <v>139</v>
          </cell>
          <cell r="P428">
            <v>3</v>
          </cell>
        </row>
        <row r="429">
          <cell r="B429" t="str">
            <v>Carleton University</v>
          </cell>
          <cell r="C429" t="str">
            <v>Canada</v>
          </cell>
          <cell r="D429" t="str">
            <v>226-250</v>
          </cell>
          <cell r="E429">
            <v>58.6</v>
          </cell>
          <cell r="F429">
            <v>24.2</v>
          </cell>
          <cell r="G429">
            <v>61.6</v>
          </cell>
          <cell r="H429" t="str">
            <v>-</v>
          </cell>
          <cell r="I429" t="str">
            <v>-</v>
          </cell>
          <cell r="J429">
            <v>25036</v>
          </cell>
          <cell r="K429">
            <v>29.8</v>
          </cell>
          <cell r="L429">
            <v>0.18</v>
          </cell>
          <cell r="M429">
            <v>1.9951388888888888</v>
          </cell>
          <cell r="N429">
            <v>2012</v>
          </cell>
          <cell r="O429">
            <v>627</v>
          </cell>
          <cell r="P429">
            <v>22</v>
          </cell>
        </row>
        <row r="430">
          <cell r="B430" t="str">
            <v>Chalmers University of Technology</v>
          </cell>
          <cell r="C430" t="str">
            <v>Sweden</v>
          </cell>
          <cell r="D430" t="str">
            <v>226-250</v>
          </cell>
          <cell r="E430">
            <v>66</v>
          </cell>
          <cell r="F430">
            <v>37.200000000000003</v>
          </cell>
          <cell r="G430">
            <v>36.299999999999997</v>
          </cell>
          <cell r="H430">
            <v>79.3</v>
          </cell>
          <cell r="I430" t="str">
            <v>-</v>
          </cell>
          <cell r="J430">
            <v>8605</v>
          </cell>
          <cell r="K430">
            <v>11.6</v>
          </cell>
          <cell r="L430">
            <v>0.15</v>
          </cell>
          <cell r="M430" t="str">
            <v>30 : 70</v>
          </cell>
          <cell r="N430">
            <v>2012</v>
          </cell>
          <cell r="O430">
            <v>395</v>
          </cell>
          <cell r="P430">
            <v>9</v>
          </cell>
        </row>
        <row r="431">
          <cell r="B431" t="str">
            <v>Colorado State University</v>
          </cell>
          <cell r="C431" t="str">
            <v>United States of America</v>
          </cell>
          <cell r="D431" t="str">
            <v>226-250</v>
          </cell>
          <cell r="E431">
            <v>25.5</v>
          </cell>
          <cell r="F431">
            <v>32</v>
          </cell>
          <cell r="G431">
            <v>51.2</v>
          </cell>
          <cell r="H431" t="str">
            <v>-</v>
          </cell>
          <cell r="I431" t="str">
            <v>-</v>
          </cell>
          <cell r="J431">
            <v>26769</v>
          </cell>
          <cell r="K431">
            <v>19</v>
          </cell>
          <cell r="L431">
            <v>0.05</v>
          </cell>
          <cell r="M431">
            <v>2.2000000000000002</v>
          </cell>
          <cell r="N431">
            <v>2012</v>
          </cell>
          <cell r="O431" t="e">
            <v>#N/A</v>
          </cell>
          <cell r="P431" t="e">
            <v>#N/A</v>
          </cell>
        </row>
        <row r="432">
          <cell r="B432" t="str">
            <v>Creighton University</v>
          </cell>
          <cell r="C432" t="str">
            <v>United States of America</v>
          </cell>
          <cell r="D432" t="str">
            <v>226-250</v>
          </cell>
          <cell r="E432">
            <v>25</v>
          </cell>
          <cell r="F432">
            <v>10.5</v>
          </cell>
          <cell r="G432">
            <v>55.7</v>
          </cell>
          <cell r="H432">
            <v>24.2</v>
          </cell>
          <cell r="I432" t="str">
            <v>-</v>
          </cell>
          <cell r="J432">
            <v>7086</v>
          </cell>
          <cell r="K432">
            <v>8.3000000000000007</v>
          </cell>
          <cell r="L432">
            <v>0.02</v>
          </cell>
          <cell r="M432">
            <v>2.4048611111111109</v>
          </cell>
          <cell r="N432">
            <v>2012</v>
          </cell>
          <cell r="O432">
            <v>490</v>
          </cell>
          <cell r="P432">
            <v>160</v>
          </cell>
        </row>
        <row r="433">
          <cell r="B433" t="str">
            <v>Dalhousie University</v>
          </cell>
          <cell r="C433" t="str">
            <v>Canada</v>
          </cell>
          <cell r="D433" t="str">
            <v>226-250</v>
          </cell>
          <cell r="E433">
            <v>64.8</v>
          </cell>
          <cell r="F433">
            <v>30.7</v>
          </cell>
          <cell r="G433">
            <v>43</v>
          </cell>
          <cell r="H433">
            <v>72.5</v>
          </cell>
          <cell r="I433" t="str">
            <v>-</v>
          </cell>
          <cell r="J433">
            <v>15064</v>
          </cell>
          <cell r="K433">
            <v>14.4</v>
          </cell>
          <cell r="L433">
            <v>0.18</v>
          </cell>
          <cell r="M433">
            <v>2.3229166666666665</v>
          </cell>
          <cell r="N433">
            <v>2012</v>
          </cell>
          <cell r="O433">
            <v>284</v>
          </cell>
          <cell r="P433">
            <v>14</v>
          </cell>
        </row>
        <row r="434">
          <cell r="B434" t="str">
            <v>Drexel University</v>
          </cell>
          <cell r="C434" t="str">
            <v>United States of America</v>
          </cell>
          <cell r="D434" t="str">
            <v>226-250</v>
          </cell>
          <cell r="E434">
            <v>37.799999999999997</v>
          </cell>
          <cell r="F434">
            <v>12.2</v>
          </cell>
          <cell r="G434">
            <v>59.4</v>
          </cell>
          <cell r="H434">
            <v>29.9</v>
          </cell>
          <cell r="I434" t="str">
            <v>-</v>
          </cell>
          <cell r="J434">
            <v>20713</v>
          </cell>
          <cell r="K434">
            <v>10.8</v>
          </cell>
          <cell r="L434">
            <v>0.18</v>
          </cell>
          <cell r="M434">
            <v>2.036111111111111</v>
          </cell>
          <cell r="N434">
            <v>2012</v>
          </cell>
          <cell r="O434">
            <v>261</v>
          </cell>
          <cell r="P434">
            <v>107</v>
          </cell>
        </row>
        <row r="435">
          <cell r="B435" t="str">
            <v>Fudan University</v>
          </cell>
          <cell r="C435" t="str">
            <v>China</v>
          </cell>
          <cell r="D435" t="str">
            <v>226-250</v>
          </cell>
          <cell r="E435">
            <v>36.1</v>
          </cell>
          <cell r="F435">
            <v>26.2</v>
          </cell>
          <cell r="G435">
            <v>42.9</v>
          </cell>
          <cell r="H435">
            <v>40.5</v>
          </cell>
          <cell r="I435" t="str">
            <v>-</v>
          </cell>
          <cell r="J435">
            <v>32175</v>
          </cell>
          <cell r="K435">
            <v>12.2</v>
          </cell>
          <cell r="L435">
            <v>0.11</v>
          </cell>
          <cell r="M435">
            <v>2.1180555555555554</v>
          </cell>
          <cell r="N435">
            <v>2012</v>
          </cell>
          <cell r="O435">
            <v>189</v>
          </cell>
          <cell r="P435">
            <v>3</v>
          </cell>
        </row>
        <row r="436">
          <cell r="B436" t="str">
            <v>Korea University</v>
          </cell>
          <cell r="C436" t="str">
            <v>South Korea</v>
          </cell>
          <cell r="D436" t="str">
            <v>226-250</v>
          </cell>
          <cell r="E436">
            <v>23.4</v>
          </cell>
          <cell r="F436">
            <v>39.6</v>
          </cell>
          <cell r="G436">
            <v>30.2</v>
          </cell>
          <cell r="H436">
            <v>49.7</v>
          </cell>
          <cell r="I436" t="str">
            <v>-</v>
          </cell>
          <cell r="J436">
            <v>24043</v>
          </cell>
          <cell r="K436">
            <v>15.8</v>
          </cell>
          <cell r="L436">
            <v>0.14000000000000001</v>
          </cell>
          <cell r="N436">
            <v>2012</v>
          </cell>
          <cell r="O436">
            <v>130</v>
          </cell>
          <cell r="P436">
            <v>4</v>
          </cell>
        </row>
        <row r="437">
          <cell r="B437" t="str">
            <v>Macquarie University</v>
          </cell>
          <cell r="C437" t="str">
            <v>Australia</v>
          </cell>
          <cell r="D437" t="str">
            <v>226-250</v>
          </cell>
          <cell r="E437">
            <v>93</v>
          </cell>
          <cell r="F437">
            <v>23.2</v>
          </cell>
          <cell r="G437">
            <v>46.5</v>
          </cell>
          <cell r="H437">
            <v>42.3</v>
          </cell>
          <cell r="I437" t="str">
            <v>-</v>
          </cell>
          <cell r="J437">
            <v>27930</v>
          </cell>
          <cell r="K437">
            <v>20</v>
          </cell>
          <cell r="L437">
            <v>0.44</v>
          </cell>
          <cell r="M437">
            <v>2.3229166666666665</v>
          </cell>
          <cell r="N437">
            <v>2012</v>
          </cell>
          <cell r="O437">
            <v>486</v>
          </cell>
          <cell r="P437">
            <v>9</v>
          </cell>
        </row>
        <row r="438">
          <cell r="B438" t="str">
            <v>National Chiao Tung University</v>
          </cell>
          <cell r="C438" t="str">
            <v>Taiwan</v>
          </cell>
          <cell r="D438" t="str">
            <v>226-250</v>
          </cell>
          <cell r="E438">
            <v>24.2</v>
          </cell>
          <cell r="F438">
            <v>44.5</v>
          </cell>
          <cell r="G438">
            <v>25.1</v>
          </cell>
          <cell r="H438">
            <v>100</v>
          </cell>
          <cell r="I438" t="str">
            <v>-</v>
          </cell>
          <cell r="J438">
            <v>12646</v>
          </cell>
          <cell r="K438">
            <v>16.600000000000001</v>
          </cell>
          <cell r="L438">
            <v>0.05</v>
          </cell>
          <cell r="M438" t="str">
            <v>27 : 73</v>
          </cell>
          <cell r="N438">
            <v>2012</v>
          </cell>
          <cell r="O438">
            <v>411</v>
          </cell>
          <cell r="P438">
            <v>3</v>
          </cell>
        </row>
        <row r="439">
          <cell r="B439" t="str">
            <v>Simon Fraser University</v>
          </cell>
          <cell r="C439" t="str">
            <v>Canada</v>
          </cell>
          <cell r="D439" t="str">
            <v>226-250</v>
          </cell>
          <cell r="E439">
            <v>56.8</v>
          </cell>
          <cell r="F439">
            <v>30</v>
          </cell>
          <cell r="G439">
            <v>53</v>
          </cell>
          <cell r="H439">
            <v>37.6</v>
          </cell>
          <cell r="I439" t="str">
            <v>-</v>
          </cell>
          <cell r="J439">
            <v>26640</v>
          </cell>
          <cell r="K439">
            <v>28.3</v>
          </cell>
          <cell r="L439">
            <v>0.19</v>
          </cell>
          <cell r="M439">
            <v>2.3229166666666665</v>
          </cell>
          <cell r="N439">
            <v>2012</v>
          </cell>
          <cell r="O439">
            <v>393</v>
          </cell>
          <cell r="P439">
            <v>17</v>
          </cell>
        </row>
        <row r="440">
          <cell r="B440" t="str">
            <v>State University of New York Albany</v>
          </cell>
          <cell r="C440" t="str">
            <v>United States of America</v>
          </cell>
          <cell r="D440" t="str">
            <v>226-250</v>
          </cell>
          <cell r="E440">
            <v>25.9</v>
          </cell>
          <cell r="F440">
            <v>30.8</v>
          </cell>
          <cell r="G440">
            <v>53.5</v>
          </cell>
          <cell r="H440">
            <v>92.9</v>
          </cell>
          <cell r="I440" t="str">
            <v>-</v>
          </cell>
          <cell r="J440">
            <v>15387</v>
          </cell>
          <cell r="K440">
            <v>18.5</v>
          </cell>
          <cell r="L440">
            <v>0.08</v>
          </cell>
          <cell r="M440">
            <v>2.1590277777777778</v>
          </cell>
          <cell r="N440">
            <v>2012</v>
          </cell>
          <cell r="O440" t="e">
            <v>#N/A</v>
          </cell>
          <cell r="P440" t="e">
            <v>#N/A</v>
          </cell>
        </row>
        <row r="441">
          <cell r="B441" t="str">
            <v>Swedish University of Agricultural Sciences</v>
          </cell>
          <cell r="C441" t="str">
            <v>Sweden</v>
          </cell>
          <cell r="D441" t="str">
            <v>226-250</v>
          </cell>
          <cell r="E441">
            <v>43.5</v>
          </cell>
          <cell r="F441">
            <v>22.2</v>
          </cell>
          <cell r="G441">
            <v>49.8</v>
          </cell>
          <cell r="H441">
            <v>100</v>
          </cell>
          <cell r="I441" t="str">
            <v>-</v>
          </cell>
          <cell r="J441">
            <v>3879</v>
          </cell>
          <cell r="K441">
            <v>4.5999999999999996</v>
          </cell>
          <cell r="M441">
            <v>2.8145833333333332</v>
          </cell>
          <cell r="N441">
            <v>2012</v>
          </cell>
          <cell r="O441">
            <v>433</v>
          </cell>
          <cell r="P441">
            <v>10</v>
          </cell>
        </row>
        <row r="442">
          <cell r="B442" t="str">
            <v>Tokyo Metropolitan University</v>
          </cell>
          <cell r="C442" t="str">
            <v>Japan</v>
          </cell>
          <cell r="D442" t="str">
            <v>226-250</v>
          </cell>
          <cell r="E442">
            <v>17.8</v>
          </cell>
          <cell r="F442">
            <v>10.3</v>
          </cell>
          <cell r="G442">
            <v>84.3</v>
          </cell>
          <cell r="H442">
            <v>27.6</v>
          </cell>
          <cell r="I442" t="str">
            <v>-</v>
          </cell>
          <cell r="J442">
            <v>9303</v>
          </cell>
          <cell r="K442">
            <v>9.9</v>
          </cell>
          <cell r="L442">
            <v>0.04</v>
          </cell>
          <cell r="M442" t="str">
            <v>35 : 65</v>
          </cell>
          <cell r="N442">
            <v>2012</v>
          </cell>
          <cell r="O442">
            <v>502</v>
          </cell>
          <cell r="P442">
            <v>28</v>
          </cell>
        </row>
        <row r="443">
          <cell r="B443" t="str">
            <v>University of Bologna</v>
          </cell>
          <cell r="C443" t="str">
            <v>Italy</v>
          </cell>
          <cell r="D443" t="str">
            <v>226-250</v>
          </cell>
          <cell r="E443">
            <v>34.9</v>
          </cell>
          <cell r="F443">
            <v>22</v>
          </cell>
          <cell r="G443">
            <v>52.1</v>
          </cell>
          <cell r="H443">
            <v>32.200000000000003</v>
          </cell>
          <cell r="I443" t="str">
            <v>-</v>
          </cell>
          <cell r="J443">
            <v>85532</v>
          </cell>
          <cell r="K443">
            <v>22.9</v>
          </cell>
          <cell r="L443">
            <v>7.0000000000000007E-2</v>
          </cell>
          <cell r="M443">
            <v>2.3638888888888889</v>
          </cell>
          <cell r="N443">
            <v>2012</v>
          </cell>
          <cell r="O443">
            <v>219</v>
          </cell>
          <cell r="P443">
            <v>4</v>
          </cell>
        </row>
        <row r="444">
          <cell r="B444" t="str">
            <v>University of Calgary</v>
          </cell>
          <cell r="C444" t="str">
            <v>Canada</v>
          </cell>
          <cell r="D444" t="str">
            <v>226-250</v>
          </cell>
          <cell r="E444">
            <v>42.7</v>
          </cell>
          <cell r="F444">
            <v>34.4</v>
          </cell>
          <cell r="G444">
            <v>39.700000000000003</v>
          </cell>
          <cell r="H444">
            <v>39.5</v>
          </cell>
          <cell r="I444" t="str">
            <v>-</v>
          </cell>
          <cell r="J444">
            <v>28341</v>
          </cell>
          <cell r="K444">
            <v>16.5</v>
          </cell>
          <cell r="L444">
            <v>0.17</v>
          </cell>
          <cell r="M444">
            <v>2.2409722222222221</v>
          </cell>
          <cell r="N444">
            <v>2012</v>
          </cell>
          <cell r="O444">
            <v>166</v>
          </cell>
          <cell r="P444">
            <v>8</v>
          </cell>
        </row>
        <row r="445">
          <cell r="B445" t="str">
            <v>University of Hamburg</v>
          </cell>
          <cell r="C445" t="str">
            <v>Germany</v>
          </cell>
          <cell r="D445" t="str">
            <v>226-250</v>
          </cell>
          <cell r="E445">
            <v>56.3</v>
          </cell>
          <cell r="F445">
            <v>21.3</v>
          </cell>
          <cell r="G445">
            <v>50</v>
          </cell>
          <cell r="H445">
            <v>27.4</v>
          </cell>
          <cell r="I445" t="str">
            <v>-</v>
          </cell>
          <cell r="N445">
            <v>2012</v>
          </cell>
          <cell r="O445">
            <v>179</v>
          </cell>
          <cell r="P445">
            <v>11</v>
          </cell>
        </row>
        <row r="446">
          <cell r="B446" t="str">
            <v>University of Milan</v>
          </cell>
          <cell r="C446" t="str">
            <v>Italy</v>
          </cell>
          <cell r="D446" t="str">
            <v>226-250</v>
          </cell>
          <cell r="E446">
            <v>34.299999999999997</v>
          </cell>
          <cell r="F446">
            <v>24.3</v>
          </cell>
          <cell r="G446">
            <v>51.3</v>
          </cell>
          <cell r="H446">
            <v>35</v>
          </cell>
          <cell r="I446" t="str">
            <v>-</v>
          </cell>
          <cell r="J446">
            <v>58618</v>
          </cell>
          <cell r="K446">
            <v>24.3</v>
          </cell>
          <cell r="L446">
            <v>0.05</v>
          </cell>
          <cell r="M446">
            <v>2.5277777777777777</v>
          </cell>
          <cell r="N446">
            <v>2012</v>
          </cell>
          <cell r="O446">
            <v>181</v>
          </cell>
          <cell r="P446">
            <v>2</v>
          </cell>
        </row>
        <row r="447">
          <cell r="B447" t="str">
            <v>University of Milan-Bicocca</v>
          </cell>
          <cell r="C447" t="str">
            <v>Italy</v>
          </cell>
          <cell r="D447" t="str">
            <v>226-250</v>
          </cell>
          <cell r="E447">
            <v>33.200000000000003</v>
          </cell>
          <cell r="F447">
            <v>12.3</v>
          </cell>
          <cell r="G447">
            <v>78.3</v>
          </cell>
          <cell r="H447">
            <v>35.6</v>
          </cell>
          <cell r="I447" t="str">
            <v>-</v>
          </cell>
          <cell r="J447">
            <v>33370</v>
          </cell>
          <cell r="K447">
            <v>72.5</v>
          </cell>
          <cell r="L447">
            <v>0.05</v>
          </cell>
          <cell r="M447">
            <v>2.5277777777777777</v>
          </cell>
          <cell r="N447">
            <v>2012</v>
          </cell>
          <cell r="O447" t="e">
            <v>#N/A</v>
          </cell>
          <cell r="P447" t="e">
            <v>#N/A</v>
          </cell>
        </row>
        <row r="448">
          <cell r="B448" t="str">
            <v>University of Missouri</v>
          </cell>
          <cell r="C448" t="str">
            <v>United States of America</v>
          </cell>
          <cell r="D448" t="str">
            <v>226-250</v>
          </cell>
          <cell r="E448">
            <v>26.9</v>
          </cell>
          <cell r="F448">
            <v>33.700000000000003</v>
          </cell>
          <cell r="G448">
            <v>37.700000000000003</v>
          </cell>
          <cell r="H448">
            <v>26.5</v>
          </cell>
          <cell r="I448" t="str">
            <v>-</v>
          </cell>
          <cell r="J448">
            <v>29885</v>
          </cell>
          <cell r="K448">
            <v>14.1</v>
          </cell>
          <cell r="L448">
            <v>0.05</v>
          </cell>
          <cell r="M448">
            <v>2.2409722222222221</v>
          </cell>
          <cell r="N448">
            <v>2012</v>
          </cell>
          <cell r="O448" t="e">
            <v>#N/A</v>
          </cell>
          <cell r="P448" t="e">
            <v>#N/A</v>
          </cell>
        </row>
        <row r="449">
          <cell r="B449" t="str">
            <v>University of Padua</v>
          </cell>
          <cell r="C449" t="str">
            <v>Italy</v>
          </cell>
          <cell r="D449" t="str">
            <v>226-250</v>
          </cell>
          <cell r="E449">
            <v>34.299999999999997</v>
          </cell>
          <cell r="F449">
            <v>26</v>
          </cell>
          <cell r="G449">
            <v>56.2</v>
          </cell>
          <cell r="H449">
            <v>31.1</v>
          </cell>
          <cell r="I449" t="str">
            <v>-</v>
          </cell>
          <cell r="J449">
            <v>62577</v>
          </cell>
          <cell r="K449">
            <v>18.3</v>
          </cell>
          <cell r="L449">
            <v>0.04</v>
          </cell>
          <cell r="M449">
            <v>2.3638888888888889</v>
          </cell>
          <cell r="N449">
            <v>2012</v>
          </cell>
          <cell r="O449">
            <v>184</v>
          </cell>
          <cell r="P449">
            <v>3</v>
          </cell>
        </row>
        <row r="450">
          <cell r="B450" t="str">
            <v>University of Trieste</v>
          </cell>
          <cell r="C450" t="str">
            <v>Italy</v>
          </cell>
          <cell r="D450" t="str">
            <v>226-250</v>
          </cell>
          <cell r="E450">
            <v>45.5</v>
          </cell>
          <cell r="F450">
            <v>12.9</v>
          </cell>
          <cell r="G450">
            <v>76.900000000000006</v>
          </cell>
          <cell r="H450">
            <v>31.3</v>
          </cell>
          <cell r="I450" t="str">
            <v>-</v>
          </cell>
          <cell r="J450">
            <v>18135</v>
          </cell>
          <cell r="K450">
            <v>25.8</v>
          </cell>
          <cell r="L450">
            <v>0.09</v>
          </cell>
          <cell r="M450">
            <v>2.3638888888888889</v>
          </cell>
          <cell r="N450">
            <v>2012</v>
          </cell>
          <cell r="O450">
            <v>367</v>
          </cell>
          <cell r="P450">
            <v>14</v>
          </cell>
        </row>
        <row r="451">
          <cell r="B451" t="str">
            <v>Yonsei University</v>
          </cell>
          <cell r="C451" t="str">
            <v>South Korea</v>
          </cell>
          <cell r="D451" t="str">
            <v>226-250</v>
          </cell>
          <cell r="E451">
            <v>23.3</v>
          </cell>
          <cell r="F451">
            <v>33.6</v>
          </cell>
          <cell r="G451">
            <v>36.9</v>
          </cell>
          <cell r="H451">
            <v>47.9</v>
          </cell>
          <cell r="I451" t="str">
            <v>-</v>
          </cell>
          <cell r="J451">
            <v>24774</v>
          </cell>
          <cell r="K451">
            <v>11.6</v>
          </cell>
          <cell r="L451">
            <v>0.14000000000000001</v>
          </cell>
          <cell r="N451">
            <v>2012</v>
          </cell>
          <cell r="O451">
            <v>107</v>
          </cell>
          <cell r="P451">
            <v>2</v>
          </cell>
        </row>
        <row r="452">
          <cell r="B452" t="str">
            <v>Bangor University</v>
          </cell>
          <cell r="C452" t="str">
            <v>United Kingdom</v>
          </cell>
          <cell r="D452" t="str">
            <v>251-275</v>
          </cell>
          <cell r="E452">
            <v>67.099999999999994</v>
          </cell>
          <cell r="F452">
            <v>23.8</v>
          </cell>
          <cell r="G452">
            <v>48</v>
          </cell>
          <cell r="H452">
            <v>29</v>
          </cell>
          <cell r="I452" t="str">
            <v>-</v>
          </cell>
          <cell r="J452">
            <v>9567</v>
          </cell>
          <cell r="K452">
            <v>19.5</v>
          </cell>
          <cell r="L452">
            <v>0.22</v>
          </cell>
          <cell r="M452">
            <v>2.3229166666666665</v>
          </cell>
          <cell r="N452">
            <v>2012</v>
          </cell>
          <cell r="O452">
            <v>552</v>
          </cell>
          <cell r="P452">
            <v>43</v>
          </cell>
        </row>
        <row r="453">
          <cell r="B453" t="str">
            <v>Bielefeld University</v>
          </cell>
          <cell r="C453" t="str">
            <v>Germany</v>
          </cell>
          <cell r="D453" t="str">
            <v>251-275</v>
          </cell>
          <cell r="E453">
            <v>45.2</v>
          </cell>
          <cell r="F453">
            <v>17</v>
          </cell>
          <cell r="G453">
            <v>61.6</v>
          </cell>
          <cell r="H453">
            <v>28.6</v>
          </cell>
          <cell r="I453" t="str">
            <v>-</v>
          </cell>
          <cell r="J453">
            <v>21428</v>
          </cell>
          <cell r="K453">
            <v>67.8</v>
          </cell>
          <cell r="L453">
            <v>0.08</v>
          </cell>
          <cell r="M453">
            <v>2.4048611111111109</v>
          </cell>
          <cell r="N453">
            <v>2012</v>
          </cell>
          <cell r="O453">
            <v>491</v>
          </cell>
          <cell r="P453">
            <v>38</v>
          </cell>
        </row>
        <row r="454">
          <cell r="B454" t="str">
            <v>Brunel University London</v>
          </cell>
          <cell r="C454" t="str">
            <v>United Kingdom</v>
          </cell>
          <cell r="D454" t="str">
            <v>251-275</v>
          </cell>
          <cell r="E454">
            <v>89.9</v>
          </cell>
          <cell r="F454">
            <v>20.3</v>
          </cell>
          <cell r="G454">
            <v>51.7</v>
          </cell>
          <cell r="H454">
            <v>30</v>
          </cell>
          <cell r="I454" t="str">
            <v>-</v>
          </cell>
          <cell r="J454">
            <v>12613</v>
          </cell>
          <cell r="K454">
            <v>17.600000000000001</v>
          </cell>
          <cell r="L454">
            <v>0.38</v>
          </cell>
          <cell r="M454">
            <v>1.9541666666666666</v>
          </cell>
          <cell r="N454">
            <v>2012</v>
          </cell>
          <cell r="O454" t="e">
            <v>#N/A</v>
          </cell>
          <cell r="P454" t="e">
            <v>#N/A</v>
          </cell>
        </row>
        <row r="455">
          <cell r="B455" t="str">
            <v>Hong Kong Polytechnic University</v>
          </cell>
          <cell r="C455" t="str">
            <v>Hong Kong</v>
          </cell>
          <cell r="D455" t="str">
            <v>251-275</v>
          </cell>
          <cell r="E455">
            <v>62.5</v>
          </cell>
          <cell r="F455">
            <v>37.299999999999997</v>
          </cell>
          <cell r="G455">
            <v>22.2</v>
          </cell>
          <cell r="H455">
            <v>72.8</v>
          </cell>
          <cell r="I455" t="str">
            <v>-</v>
          </cell>
          <cell r="J455">
            <v>22064</v>
          </cell>
          <cell r="K455">
            <v>25.9</v>
          </cell>
          <cell r="L455">
            <v>0.26</v>
          </cell>
          <cell r="M455">
            <v>2.1590277777777778</v>
          </cell>
          <cell r="N455">
            <v>2012</v>
          </cell>
          <cell r="O455">
            <v>381</v>
          </cell>
          <cell r="P455">
            <v>5</v>
          </cell>
        </row>
        <row r="456">
          <cell r="B456" t="str">
            <v>Johannes Kepler University of Linz</v>
          </cell>
          <cell r="C456" t="str">
            <v>Austria</v>
          </cell>
          <cell r="D456" t="str">
            <v>251-275</v>
          </cell>
          <cell r="E456">
            <v>56.6</v>
          </cell>
          <cell r="F456">
            <v>11.1</v>
          </cell>
          <cell r="G456">
            <v>62.8</v>
          </cell>
          <cell r="H456">
            <v>73.400000000000006</v>
          </cell>
          <cell r="I456" t="str">
            <v>-</v>
          </cell>
          <cell r="J456">
            <v>19646</v>
          </cell>
          <cell r="K456">
            <v>29.1</v>
          </cell>
          <cell r="L456">
            <v>0.1</v>
          </cell>
          <cell r="M456">
            <v>2.036111111111111</v>
          </cell>
          <cell r="N456">
            <v>2012</v>
          </cell>
          <cell r="O456">
            <v>687</v>
          </cell>
          <cell r="P456">
            <v>8</v>
          </cell>
        </row>
        <row r="457">
          <cell r="B457" t="str">
            <v>Kyushu University</v>
          </cell>
          <cell r="C457" t="str">
            <v>Japan</v>
          </cell>
          <cell r="D457" t="str">
            <v>251-275</v>
          </cell>
          <cell r="E457">
            <v>19.5</v>
          </cell>
          <cell r="F457">
            <v>30.7</v>
          </cell>
          <cell r="G457">
            <v>23.2</v>
          </cell>
          <cell r="H457">
            <v>75.099999999999994</v>
          </cell>
          <cell r="I457" t="str">
            <v>-</v>
          </cell>
          <cell r="J457">
            <v>18925</v>
          </cell>
          <cell r="K457">
            <v>6.7</v>
          </cell>
          <cell r="L457">
            <v>0.08</v>
          </cell>
          <cell r="M457" t="str">
            <v>28 : 72</v>
          </cell>
          <cell r="N457">
            <v>2012</v>
          </cell>
          <cell r="O457">
            <v>92</v>
          </cell>
          <cell r="P457">
            <v>7</v>
          </cell>
        </row>
        <row r="458">
          <cell r="B458" t="str">
            <v>Nanjing University</v>
          </cell>
          <cell r="C458" t="str">
            <v>China</v>
          </cell>
          <cell r="D458" t="str">
            <v>251-275</v>
          </cell>
          <cell r="E458">
            <v>25</v>
          </cell>
          <cell r="F458">
            <v>24.2</v>
          </cell>
          <cell r="G458">
            <v>42.3</v>
          </cell>
          <cell r="H458">
            <v>42.9</v>
          </cell>
          <cell r="I458" t="str">
            <v>-</v>
          </cell>
          <cell r="J458">
            <v>29743</v>
          </cell>
          <cell r="K458">
            <v>13.3</v>
          </cell>
          <cell r="L458">
            <v>0.1</v>
          </cell>
          <cell r="M458">
            <v>1.9541666666666666</v>
          </cell>
          <cell r="N458">
            <v>2012</v>
          </cell>
          <cell r="O458">
            <v>217</v>
          </cell>
          <cell r="P458">
            <v>6</v>
          </cell>
        </row>
        <row r="459">
          <cell r="B459" t="str">
            <v>National Sun Yat-Sen University</v>
          </cell>
          <cell r="C459" t="str">
            <v>Taiwan</v>
          </cell>
          <cell r="D459" t="str">
            <v>251-275</v>
          </cell>
          <cell r="E459">
            <v>16</v>
          </cell>
          <cell r="F459">
            <v>30.4</v>
          </cell>
          <cell r="G459">
            <v>48.5</v>
          </cell>
          <cell r="H459">
            <v>42.1</v>
          </cell>
          <cell r="I459" t="str">
            <v>-</v>
          </cell>
          <cell r="J459">
            <v>9336</v>
          </cell>
          <cell r="K459">
            <v>19.600000000000001</v>
          </cell>
          <cell r="L459">
            <v>0.04</v>
          </cell>
          <cell r="M459" t="str">
            <v>37 : 63</v>
          </cell>
          <cell r="N459">
            <v>2012</v>
          </cell>
          <cell r="O459">
            <v>791</v>
          </cell>
          <cell r="P459">
            <v>11</v>
          </cell>
        </row>
        <row r="460">
          <cell r="B460" t="str">
            <v>Norwegian University of Science and Technology</v>
          </cell>
          <cell r="C460" t="str">
            <v>Norway</v>
          </cell>
          <cell r="D460" t="str">
            <v>251-275</v>
          </cell>
          <cell r="E460">
            <v>57.7</v>
          </cell>
          <cell r="F460">
            <v>26.9</v>
          </cell>
          <cell r="G460">
            <v>41.5</v>
          </cell>
          <cell r="H460">
            <v>49.7</v>
          </cell>
          <cell r="I460" t="str">
            <v>-</v>
          </cell>
          <cell r="J460">
            <v>17381</v>
          </cell>
          <cell r="K460">
            <v>13.9</v>
          </cell>
          <cell r="L460">
            <v>0.09</v>
          </cell>
          <cell r="M460">
            <v>1.9541666666666666</v>
          </cell>
          <cell r="N460">
            <v>2012</v>
          </cell>
          <cell r="O460">
            <v>286</v>
          </cell>
          <cell r="P460">
            <v>2</v>
          </cell>
        </row>
        <row r="461">
          <cell r="B461" t="str">
            <v>Queenâ€™s University Belfast</v>
          </cell>
          <cell r="C461" t="str">
            <v>United Kingdom</v>
          </cell>
          <cell r="D461" t="str">
            <v>251-275</v>
          </cell>
          <cell r="E461">
            <v>89.5</v>
          </cell>
          <cell r="F461">
            <v>21.3</v>
          </cell>
          <cell r="G461">
            <v>42</v>
          </cell>
          <cell r="H461">
            <v>41.9</v>
          </cell>
          <cell r="I461" t="str">
            <v>-</v>
          </cell>
          <cell r="J461">
            <v>17940</v>
          </cell>
          <cell r="K461">
            <v>17.899999999999999</v>
          </cell>
          <cell r="L461">
            <v>0.3</v>
          </cell>
          <cell r="M461">
            <v>2.2819444444444446</v>
          </cell>
          <cell r="N461">
            <v>2012</v>
          </cell>
          <cell r="O461" t="e">
            <v>#N/A</v>
          </cell>
          <cell r="P461" t="e">
            <v>#N/A</v>
          </cell>
        </row>
        <row r="462">
          <cell r="B462" t="str">
            <v>Ruhr University Bochum</v>
          </cell>
          <cell r="C462" t="str">
            <v>Germany</v>
          </cell>
          <cell r="D462" t="str">
            <v>251-275</v>
          </cell>
          <cell r="E462">
            <v>46.6</v>
          </cell>
          <cell r="F462">
            <v>28.3</v>
          </cell>
          <cell r="G462">
            <v>36</v>
          </cell>
          <cell r="H462">
            <v>59.7</v>
          </cell>
          <cell r="I462" t="str">
            <v>-</v>
          </cell>
          <cell r="J462">
            <v>38675</v>
          </cell>
          <cell r="K462">
            <v>46.3</v>
          </cell>
          <cell r="L462">
            <v>0.13</v>
          </cell>
          <cell r="M462">
            <v>2.036111111111111</v>
          </cell>
          <cell r="N462">
            <v>2012</v>
          </cell>
          <cell r="O462">
            <v>304</v>
          </cell>
          <cell r="P462">
            <v>28</v>
          </cell>
        </row>
        <row r="463">
          <cell r="B463" t="str">
            <v>Stellenbosch University</v>
          </cell>
          <cell r="C463" t="str">
            <v>South Africa</v>
          </cell>
          <cell r="D463" t="str">
            <v>251-275</v>
          </cell>
          <cell r="E463">
            <v>44.4</v>
          </cell>
          <cell r="F463">
            <v>30</v>
          </cell>
          <cell r="G463">
            <v>36.6</v>
          </cell>
          <cell r="H463">
            <v>99.6</v>
          </cell>
          <cell r="I463" t="str">
            <v>-</v>
          </cell>
          <cell r="J463">
            <v>21849</v>
          </cell>
          <cell r="K463">
            <v>23</v>
          </cell>
          <cell r="L463">
            <v>0.08</v>
          </cell>
          <cell r="M463">
            <v>2.2409722222222221</v>
          </cell>
          <cell r="N463">
            <v>2012</v>
          </cell>
          <cell r="O463">
            <v>311</v>
          </cell>
          <cell r="P463">
            <v>3</v>
          </cell>
        </row>
        <row r="464">
          <cell r="B464" t="str">
            <v>Tilburg University</v>
          </cell>
          <cell r="C464" t="str">
            <v>Netherlands</v>
          </cell>
          <cell r="D464" t="str">
            <v>251-275</v>
          </cell>
          <cell r="E464">
            <v>69.099999999999994</v>
          </cell>
          <cell r="F464">
            <v>49.4</v>
          </cell>
          <cell r="G464">
            <v>23.6</v>
          </cell>
          <cell r="H464">
            <v>36</v>
          </cell>
          <cell r="I464" t="str">
            <v>-</v>
          </cell>
          <cell r="J464">
            <v>7576</v>
          </cell>
          <cell r="K464">
            <v>22.4</v>
          </cell>
          <cell r="L464">
            <v>0.1</v>
          </cell>
          <cell r="M464">
            <v>2.0770833333333334</v>
          </cell>
          <cell r="N464">
            <v>2012</v>
          </cell>
          <cell r="O464">
            <v>614</v>
          </cell>
          <cell r="P464">
            <v>13</v>
          </cell>
        </row>
        <row r="465">
          <cell r="B465" t="str">
            <v>TU Dresden</v>
          </cell>
          <cell r="C465" t="str">
            <v>Germany</v>
          </cell>
          <cell r="D465" t="str">
            <v>251-275</v>
          </cell>
          <cell r="E465">
            <v>49.2</v>
          </cell>
          <cell r="F465">
            <v>13.8</v>
          </cell>
          <cell r="G465">
            <v>57.4</v>
          </cell>
          <cell r="H465">
            <v>31.9</v>
          </cell>
          <cell r="I465" t="str">
            <v>-</v>
          </cell>
          <cell r="J465">
            <v>35487</v>
          </cell>
          <cell r="K465">
            <v>37.4</v>
          </cell>
          <cell r="L465">
            <v>0.12</v>
          </cell>
          <cell r="M465">
            <v>1.7902777777777779</v>
          </cell>
          <cell r="N465">
            <v>2012</v>
          </cell>
          <cell r="O465" t="e">
            <v>#N/A</v>
          </cell>
          <cell r="P465" t="e">
            <v>#N/A</v>
          </cell>
        </row>
        <row r="466">
          <cell r="B466" t="str">
            <v>University of Bath</v>
          </cell>
          <cell r="C466" t="str">
            <v>United Kingdom</v>
          </cell>
          <cell r="D466" t="str">
            <v>251-275</v>
          </cell>
          <cell r="E466">
            <v>80.599999999999994</v>
          </cell>
          <cell r="F466">
            <v>23.2</v>
          </cell>
          <cell r="G466">
            <v>39.9</v>
          </cell>
          <cell r="H466">
            <v>38.9</v>
          </cell>
          <cell r="I466" t="str">
            <v>-</v>
          </cell>
          <cell r="J466">
            <v>12830</v>
          </cell>
          <cell r="K466">
            <v>18.8</v>
          </cell>
          <cell r="L466">
            <v>0.3</v>
          </cell>
          <cell r="M466">
            <v>1.9541666666666666</v>
          </cell>
          <cell r="N466">
            <v>2012</v>
          </cell>
          <cell r="O466">
            <v>421</v>
          </cell>
          <cell r="P466">
            <v>37</v>
          </cell>
        </row>
        <row r="467">
          <cell r="B467" t="str">
            <v>University of Graz</v>
          </cell>
          <cell r="C467" t="str">
            <v>Austria</v>
          </cell>
          <cell r="D467" t="str">
            <v>251-275</v>
          </cell>
          <cell r="E467">
            <v>63.8</v>
          </cell>
          <cell r="F467">
            <v>14</v>
          </cell>
          <cell r="G467">
            <v>55.1</v>
          </cell>
          <cell r="H467">
            <v>25.5</v>
          </cell>
          <cell r="I467" t="str">
            <v>-</v>
          </cell>
          <cell r="J467">
            <v>20584</v>
          </cell>
          <cell r="K467">
            <v>26.8</v>
          </cell>
          <cell r="L467">
            <v>0.12</v>
          </cell>
          <cell r="M467">
            <v>2.7326388888888888</v>
          </cell>
          <cell r="N467">
            <v>2012</v>
          </cell>
          <cell r="O467">
            <v>518</v>
          </cell>
          <cell r="P467">
            <v>6</v>
          </cell>
        </row>
        <row r="468">
          <cell r="B468" t="str">
            <v>University of Hawaiâ€™i at MÄnoa</v>
          </cell>
          <cell r="C468" t="str">
            <v>United States of America</v>
          </cell>
          <cell r="D468" t="str">
            <v>251-275</v>
          </cell>
          <cell r="E468">
            <v>34.6</v>
          </cell>
          <cell r="F468">
            <v>29.2</v>
          </cell>
          <cell r="G468">
            <v>44.3</v>
          </cell>
          <cell r="H468" t="str">
            <v>-</v>
          </cell>
          <cell r="I468" t="str">
            <v>-</v>
          </cell>
          <cell r="N468">
            <v>2012</v>
          </cell>
          <cell r="O468" t="e">
            <v>#N/A</v>
          </cell>
          <cell r="P468" t="e">
            <v>#N/A</v>
          </cell>
        </row>
        <row r="469">
          <cell r="B469" t="str">
            <v>University of Kiel</v>
          </cell>
          <cell r="C469" t="str">
            <v>Germany</v>
          </cell>
          <cell r="D469" t="str">
            <v>251-275</v>
          </cell>
          <cell r="E469">
            <v>47.3</v>
          </cell>
          <cell r="F469">
            <v>20.9</v>
          </cell>
          <cell r="G469">
            <v>52.1</v>
          </cell>
          <cell r="H469">
            <v>33.6</v>
          </cell>
          <cell r="I469" t="str">
            <v>-</v>
          </cell>
          <cell r="J469">
            <v>24444</v>
          </cell>
          <cell r="K469">
            <v>23.8</v>
          </cell>
          <cell r="L469">
            <v>0.08</v>
          </cell>
          <cell r="M469">
            <v>2.2409722222222221</v>
          </cell>
          <cell r="N469">
            <v>2012</v>
          </cell>
          <cell r="O469">
            <v>232</v>
          </cell>
          <cell r="P469">
            <v>17</v>
          </cell>
        </row>
        <row r="470">
          <cell r="B470" t="str">
            <v>University of Southern Denmark</v>
          </cell>
          <cell r="C470" t="str">
            <v>Denmark</v>
          </cell>
          <cell r="D470" t="str">
            <v>251-275</v>
          </cell>
          <cell r="E470">
            <v>73.7</v>
          </cell>
          <cell r="F470">
            <v>12.4</v>
          </cell>
          <cell r="G470">
            <v>58</v>
          </cell>
          <cell r="H470">
            <v>67.900000000000006</v>
          </cell>
          <cell r="I470" t="str">
            <v>-</v>
          </cell>
          <cell r="J470">
            <v>22210</v>
          </cell>
          <cell r="K470">
            <v>12.7</v>
          </cell>
          <cell r="L470">
            <v>0.16</v>
          </cell>
          <cell r="M470">
            <v>2.2000000000000002</v>
          </cell>
          <cell r="N470">
            <v>2012</v>
          </cell>
          <cell r="O470">
            <v>352</v>
          </cell>
          <cell r="P470">
            <v>4</v>
          </cell>
        </row>
        <row r="471">
          <cell r="B471" t="str">
            <v>University of Texas at Dallas</v>
          </cell>
          <cell r="C471" t="str">
            <v>United States of America</v>
          </cell>
          <cell r="D471" t="str">
            <v>251-275</v>
          </cell>
          <cell r="E471">
            <v>35.9</v>
          </cell>
          <cell r="F471">
            <v>36.700000000000003</v>
          </cell>
          <cell r="G471">
            <v>44.2</v>
          </cell>
          <cell r="H471">
            <v>31.1</v>
          </cell>
          <cell r="I471" t="str">
            <v>-</v>
          </cell>
          <cell r="J471">
            <v>16306</v>
          </cell>
          <cell r="K471">
            <v>22.8</v>
          </cell>
          <cell r="L471">
            <v>0.23</v>
          </cell>
          <cell r="M471">
            <v>1.8722222222222222</v>
          </cell>
          <cell r="N471">
            <v>2012</v>
          </cell>
          <cell r="O471">
            <v>143</v>
          </cell>
          <cell r="P471">
            <v>67</v>
          </cell>
        </row>
        <row r="472">
          <cell r="B472" t="str">
            <v>University of the Witwatersrand</v>
          </cell>
          <cell r="C472" t="str">
            <v>South Africa</v>
          </cell>
          <cell r="D472" t="str">
            <v>251-275</v>
          </cell>
          <cell r="E472">
            <v>71.7</v>
          </cell>
          <cell r="F472">
            <v>32.4</v>
          </cell>
          <cell r="G472">
            <v>32.700000000000003</v>
          </cell>
          <cell r="H472">
            <v>100</v>
          </cell>
          <cell r="I472" t="str">
            <v>-</v>
          </cell>
          <cell r="J472">
            <v>23321</v>
          </cell>
          <cell r="K472">
            <v>18.600000000000001</v>
          </cell>
          <cell r="L472">
            <v>0.09</v>
          </cell>
          <cell r="M472">
            <v>2.3638888888888889</v>
          </cell>
          <cell r="N472">
            <v>2012</v>
          </cell>
          <cell r="O472">
            <v>114</v>
          </cell>
          <cell r="P472">
            <v>1</v>
          </cell>
        </row>
        <row r="473">
          <cell r="B473" t="str">
            <v>University of Tsukuba</v>
          </cell>
          <cell r="C473" t="str">
            <v>Japan</v>
          </cell>
          <cell r="D473" t="str">
            <v>251-275</v>
          </cell>
          <cell r="E473">
            <v>27.2</v>
          </cell>
          <cell r="F473">
            <v>26.2</v>
          </cell>
          <cell r="G473">
            <v>41.4</v>
          </cell>
          <cell r="H473">
            <v>32</v>
          </cell>
          <cell r="I473" t="str">
            <v>-</v>
          </cell>
          <cell r="J473">
            <v>15930</v>
          </cell>
          <cell r="K473">
            <v>12.6</v>
          </cell>
          <cell r="L473">
            <v>0.16</v>
          </cell>
          <cell r="M473" t="str">
            <v>38 : 62</v>
          </cell>
          <cell r="N473">
            <v>2012</v>
          </cell>
          <cell r="O473">
            <v>253</v>
          </cell>
          <cell r="P473">
            <v>13</v>
          </cell>
        </row>
        <row r="474">
          <cell r="B474" t="str">
            <v>University of Wollongong</v>
          </cell>
          <cell r="C474" t="str">
            <v>Australia</v>
          </cell>
          <cell r="D474" t="str">
            <v>251-275</v>
          </cell>
          <cell r="E474">
            <v>88.7</v>
          </cell>
          <cell r="F474">
            <v>23</v>
          </cell>
          <cell r="G474">
            <v>43.5</v>
          </cell>
          <cell r="H474">
            <v>40.4</v>
          </cell>
          <cell r="I474" t="str">
            <v>-</v>
          </cell>
          <cell r="J474">
            <v>16489</v>
          </cell>
          <cell r="K474">
            <v>25.4</v>
          </cell>
          <cell r="L474">
            <v>0.24</v>
          </cell>
          <cell r="M474">
            <v>2.1180555555555554</v>
          </cell>
          <cell r="N474">
            <v>2012</v>
          </cell>
          <cell r="O474">
            <v>506</v>
          </cell>
          <cell r="P474">
            <v>10</v>
          </cell>
        </row>
        <row r="475">
          <cell r="B475" t="str">
            <v>Victoria University of Wellington</v>
          </cell>
          <cell r="C475" t="str">
            <v>New Zealand</v>
          </cell>
          <cell r="D475" t="str">
            <v>251-275</v>
          </cell>
          <cell r="E475">
            <v>89</v>
          </cell>
          <cell r="F475">
            <v>21.5</v>
          </cell>
          <cell r="G475">
            <v>51.1</v>
          </cell>
          <cell r="H475">
            <v>25.8</v>
          </cell>
          <cell r="I475" t="str">
            <v>-</v>
          </cell>
          <cell r="J475">
            <v>17142</v>
          </cell>
          <cell r="K475">
            <v>21.1</v>
          </cell>
          <cell r="L475">
            <v>0.21</v>
          </cell>
          <cell r="M475">
            <v>2.3229166666666665</v>
          </cell>
          <cell r="N475">
            <v>2012</v>
          </cell>
          <cell r="O475">
            <v>527</v>
          </cell>
          <cell r="P475">
            <v>4</v>
          </cell>
        </row>
        <row r="476">
          <cell r="B476" t="str">
            <v>Virginia Polytechnic Institute and State University</v>
          </cell>
          <cell r="C476" t="str">
            <v>United States of America</v>
          </cell>
          <cell r="D476" t="str">
            <v>251-275</v>
          </cell>
          <cell r="E476">
            <v>25.1</v>
          </cell>
          <cell r="F476">
            <v>40.4</v>
          </cell>
          <cell r="G476">
            <v>30.3</v>
          </cell>
          <cell r="H476">
            <v>24.2</v>
          </cell>
          <cell r="I476" t="str">
            <v>-</v>
          </cell>
          <cell r="J476">
            <v>30850</v>
          </cell>
          <cell r="K476">
            <v>18.600000000000001</v>
          </cell>
          <cell r="L476">
            <v>0.1</v>
          </cell>
          <cell r="M476">
            <v>1.7902777777777779</v>
          </cell>
          <cell r="N476">
            <v>2012</v>
          </cell>
          <cell r="O476">
            <v>271</v>
          </cell>
          <cell r="P476">
            <v>111</v>
          </cell>
        </row>
        <row r="477">
          <cell r="B477" t="str">
            <v>Wayne State University</v>
          </cell>
          <cell r="C477" t="str">
            <v>United States of America</v>
          </cell>
          <cell r="D477" t="str">
            <v>251-275</v>
          </cell>
          <cell r="E477">
            <v>24.6</v>
          </cell>
          <cell r="F477">
            <v>16.399999999999999</v>
          </cell>
          <cell r="G477">
            <v>55.2</v>
          </cell>
          <cell r="H477" t="str">
            <v>-</v>
          </cell>
          <cell r="I477" t="str">
            <v>-</v>
          </cell>
          <cell r="J477">
            <v>23065</v>
          </cell>
          <cell r="K477">
            <v>10.7</v>
          </cell>
          <cell r="L477">
            <v>7.0000000000000007E-2</v>
          </cell>
          <cell r="M477">
            <v>2.4048611111111109</v>
          </cell>
          <cell r="N477">
            <v>2012</v>
          </cell>
          <cell r="O477">
            <v>192</v>
          </cell>
          <cell r="P477">
            <v>83</v>
          </cell>
        </row>
        <row r="478">
          <cell r="B478" t="str">
            <v>Aberystwyth University</v>
          </cell>
          <cell r="C478" t="str">
            <v>United Kingdom</v>
          </cell>
          <cell r="D478" t="str">
            <v>276-300</v>
          </cell>
          <cell r="E478">
            <v>63.8</v>
          </cell>
          <cell r="F478">
            <v>15.5</v>
          </cell>
          <cell r="G478">
            <v>56.6</v>
          </cell>
          <cell r="H478">
            <v>35.5</v>
          </cell>
          <cell r="I478" t="str">
            <v>-</v>
          </cell>
          <cell r="J478">
            <v>9252</v>
          </cell>
          <cell r="K478">
            <v>19.2</v>
          </cell>
          <cell r="L478">
            <v>0.18</v>
          </cell>
          <cell r="M478">
            <v>2.036111111111111</v>
          </cell>
          <cell r="N478">
            <v>2012</v>
          </cell>
          <cell r="O478">
            <v>800</v>
          </cell>
          <cell r="P478">
            <v>59</v>
          </cell>
        </row>
        <row r="479">
          <cell r="B479" t="str">
            <v>Autonomous University of Madrid</v>
          </cell>
          <cell r="C479" t="str">
            <v>Spain</v>
          </cell>
          <cell r="D479" t="str">
            <v>276-300</v>
          </cell>
          <cell r="E479">
            <v>39.700000000000003</v>
          </cell>
          <cell r="F479">
            <v>21.4</v>
          </cell>
          <cell r="G479">
            <v>47.5</v>
          </cell>
          <cell r="H479">
            <v>32.5</v>
          </cell>
          <cell r="I479" t="str">
            <v>-</v>
          </cell>
          <cell r="J479">
            <v>28296</v>
          </cell>
          <cell r="K479">
            <v>13</v>
          </cell>
          <cell r="L479">
            <v>0.15</v>
          </cell>
          <cell r="M479">
            <v>2.3638888888888889</v>
          </cell>
          <cell r="N479">
            <v>2012</v>
          </cell>
          <cell r="O479">
            <v>309</v>
          </cell>
          <cell r="P479">
            <v>5</v>
          </cell>
        </row>
        <row r="480">
          <cell r="B480" t="str">
            <v>Hokkaido University</v>
          </cell>
          <cell r="C480" t="str">
            <v>Japan</v>
          </cell>
          <cell r="D480" t="str">
            <v>276-300</v>
          </cell>
          <cell r="E480">
            <v>18.8</v>
          </cell>
          <cell r="F480">
            <v>34.299999999999997</v>
          </cell>
          <cell r="G480">
            <v>21.6</v>
          </cell>
          <cell r="H480">
            <v>38.700000000000003</v>
          </cell>
          <cell r="I480" t="str">
            <v>-</v>
          </cell>
          <cell r="J480">
            <v>18162</v>
          </cell>
          <cell r="K480">
            <v>8.1999999999999993</v>
          </cell>
          <cell r="L480">
            <v>0.09</v>
          </cell>
          <cell r="M480" t="str">
            <v>29 : 71</v>
          </cell>
          <cell r="N480">
            <v>2012</v>
          </cell>
          <cell r="O480">
            <v>188</v>
          </cell>
          <cell r="P480">
            <v>12</v>
          </cell>
        </row>
        <row r="481">
          <cell r="B481" t="str">
            <v>Hong Kong Baptist University</v>
          </cell>
          <cell r="C481" t="str">
            <v>Hong Kong</v>
          </cell>
          <cell r="D481" t="str">
            <v>276-300</v>
          </cell>
          <cell r="E481">
            <v>58.9</v>
          </cell>
          <cell r="F481">
            <v>11.2</v>
          </cell>
          <cell r="G481">
            <v>59.7</v>
          </cell>
          <cell r="H481">
            <v>25.3</v>
          </cell>
          <cell r="I481" t="str">
            <v>-</v>
          </cell>
          <cell r="J481">
            <v>10441</v>
          </cell>
          <cell r="K481">
            <v>11</v>
          </cell>
          <cell r="L481">
            <v>0.25</v>
          </cell>
          <cell r="M481">
            <v>2.5687500000000001</v>
          </cell>
          <cell r="N481">
            <v>2012</v>
          </cell>
          <cell r="O481">
            <v>678</v>
          </cell>
          <cell r="P481">
            <v>6</v>
          </cell>
        </row>
        <row r="482">
          <cell r="B482" t="str">
            <v>Istanbul Technical University</v>
          </cell>
          <cell r="C482" t="str">
            <v>Turkey</v>
          </cell>
          <cell r="D482" t="str">
            <v>276-300</v>
          </cell>
          <cell r="E482">
            <v>18.899999999999999</v>
          </cell>
          <cell r="F482">
            <v>18.2</v>
          </cell>
          <cell r="G482">
            <v>48.9</v>
          </cell>
          <cell r="H482">
            <v>99.1</v>
          </cell>
          <cell r="I482" t="str">
            <v>-</v>
          </cell>
          <cell r="J482">
            <v>34550</v>
          </cell>
          <cell r="K482">
            <v>16</v>
          </cell>
          <cell r="L482">
            <v>0.05</v>
          </cell>
          <cell r="M482" t="str">
            <v>34 : 66</v>
          </cell>
          <cell r="N482">
            <v>2012</v>
          </cell>
          <cell r="O482">
            <v>773</v>
          </cell>
          <cell r="P482">
            <v>4</v>
          </cell>
        </row>
        <row r="483">
          <cell r="B483" t="str">
            <v>Lomonosov Moscow State University</v>
          </cell>
          <cell r="C483" t="str">
            <v>Russian Federation</v>
          </cell>
          <cell r="D483" t="str">
            <v>276-300</v>
          </cell>
          <cell r="E483">
            <v>53.3</v>
          </cell>
          <cell r="F483">
            <v>27.5</v>
          </cell>
          <cell r="G483">
            <v>11</v>
          </cell>
          <cell r="H483">
            <v>80</v>
          </cell>
          <cell r="I483" t="str">
            <v>-</v>
          </cell>
          <cell r="J483">
            <v>30822</v>
          </cell>
          <cell r="K483">
            <v>7.7</v>
          </cell>
          <cell r="L483">
            <v>0.2</v>
          </cell>
          <cell r="M483">
            <v>1.83125</v>
          </cell>
          <cell r="N483">
            <v>2012</v>
          </cell>
          <cell r="O483">
            <v>90</v>
          </cell>
          <cell r="P483">
            <v>1</v>
          </cell>
        </row>
        <row r="484">
          <cell r="B484" t="str">
            <v>Middle East Technical University</v>
          </cell>
          <cell r="C484" t="str">
            <v>Turkey</v>
          </cell>
          <cell r="D484" t="str">
            <v>276-300</v>
          </cell>
          <cell r="E484">
            <v>23.5</v>
          </cell>
          <cell r="F484">
            <v>28.9</v>
          </cell>
          <cell r="G484">
            <v>35.1</v>
          </cell>
          <cell r="H484">
            <v>43.2</v>
          </cell>
          <cell r="I484" t="str">
            <v>-</v>
          </cell>
          <cell r="J484">
            <v>25779</v>
          </cell>
          <cell r="K484">
            <v>22.2</v>
          </cell>
          <cell r="L484">
            <v>7.0000000000000007E-2</v>
          </cell>
          <cell r="M484">
            <v>1.8722222222222222</v>
          </cell>
          <cell r="N484">
            <v>2012</v>
          </cell>
          <cell r="O484">
            <v>396</v>
          </cell>
          <cell r="P484">
            <v>1</v>
          </cell>
        </row>
        <row r="485">
          <cell r="B485" t="str">
            <v>Montpellier University</v>
          </cell>
          <cell r="C485" t="str">
            <v>France</v>
          </cell>
          <cell r="D485" t="str">
            <v>276-300</v>
          </cell>
          <cell r="E485">
            <v>52.9</v>
          </cell>
          <cell r="F485">
            <v>8.6999999999999993</v>
          </cell>
          <cell r="G485">
            <v>62.3</v>
          </cell>
          <cell r="H485">
            <v>24.9</v>
          </cell>
          <cell r="I485" t="str">
            <v>-</v>
          </cell>
          <cell r="J485">
            <v>36731</v>
          </cell>
          <cell r="K485">
            <v>18.399999999999999</v>
          </cell>
          <cell r="L485">
            <v>0.14000000000000001</v>
          </cell>
          <cell r="M485">
            <v>2.1590277777777778</v>
          </cell>
          <cell r="N485">
            <v>2012</v>
          </cell>
          <cell r="O485" t="e">
            <v>#N/A</v>
          </cell>
          <cell r="P485" t="e">
            <v>#N/A</v>
          </cell>
        </row>
        <row r="486">
          <cell r="B486" t="str">
            <v>Queensland University of Technology</v>
          </cell>
          <cell r="C486" t="str">
            <v>Australia</v>
          </cell>
          <cell r="D486" t="str">
            <v>276-300</v>
          </cell>
          <cell r="E486">
            <v>76.7</v>
          </cell>
          <cell r="F486">
            <v>26.7</v>
          </cell>
          <cell r="G486">
            <v>35.5</v>
          </cell>
          <cell r="H486">
            <v>62.5</v>
          </cell>
          <cell r="I486" t="str">
            <v>-</v>
          </cell>
          <cell r="J486">
            <v>33391</v>
          </cell>
          <cell r="K486">
            <v>35.799999999999997</v>
          </cell>
          <cell r="L486">
            <v>0.17</v>
          </cell>
          <cell r="M486">
            <v>2.2819444444444446</v>
          </cell>
          <cell r="N486">
            <v>2012</v>
          </cell>
          <cell r="O486">
            <v>605</v>
          </cell>
          <cell r="P486">
            <v>14</v>
          </cell>
        </row>
        <row r="487">
          <cell r="B487" t="str">
            <v>State University of Campinas</v>
          </cell>
          <cell r="C487" t="str">
            <v>Brazil</v>
          </cell>
          <cell r="D487" t="str">
            <v>276-300</v>
          </cell>
          <cell r="E487">
            <v>19.100000000000001</v>
          </cell>
          <cell r="F487">
            <v>33.1</v>
          </cell>
          <cell r="G487">
            <v>15.2</v>
          </cell>
          <cell r="H487">
            <v>43.2</v>
          </cell>
          <cell r="I487" t="str">
            <v>-</v>
          </cell>
          <cell r="J487">
            <v>27095</v>
          </cell>
          <cell r="K487">
            <v>15.3</v>
          </cell>
          <cell r="L487">
            <v>0.03</v>
          </cell>
          <cell r="M487">
            <v>2.036111111111111</v>
          </cell>
          <cell r="N487">
            <v>2012</v>
          </cell>
          <cell r="O487" t="e">
            <v>#N/A</v>
          </cell>
          <cell r="P487" t="e">
            <v>#N/A</v>
          </cell>
        </row>
        <row r="488">
          <cell r="B488" t="str">
            <v>Sun Yat-sen University</v>
          </cell>
          <cell r="C488" t="str">
            <v>China</v>
          </cell>
          <cell r="D488" t="str">
            <v>276-300</v>
          </cell>
          <cell r="E488">
            <v>20.7</v>
          </cell>
          <cell r="F488">
            <v>14.3</v>
          </cell>
          <cell r="G488">
            <v>50.5</v>
          </cell>
          <cell r="H488">
            <v>42.1</v>
          </cell>
          <cell r="I488" t="str">
            <v>-</v>
          </cell>
          <cell r="J488">
            <v>51351</v>
          </cell>
          <cell r="K488">
            <v>16.600000000000001</v>
          </cell>
          <cell r="L488">
            <v>0.08</v>
          </cell>
          <cell r="M488">
            <v>2.1590277777777778</v>
          </cell>
          <cell r="N488">
            <v>2012</v>
          </cell>
          <cell r="O488">
            <v>292</v>
          </cell>
          <cell r="P488">
            <v>9</v>
          </cell>
        </row>
        <row r="489">
          <cell r="B489" t="str">
            <v>Technical University of Darmstadt</v>
          </cell>
          <cell r="C489" t="str">
            <v>Germany</v>
          </cell>
          <cell r="D489" t="str">
            <v>276-300</v>
          </cell>
          <cell r="E489">
            <v>71</v>
          </cell>
          <cell r="F489">
            <v>15.5</v>
          </cell>
          <cell r="G489">
            <v>39.200000000000003</v>
          </cell>
          <cell r="H489">
            <v>45.1</v>
          </cell>
          <cell r="I489" t="str">
            <v>-</v>
          </cell>
          <cell r="J489">
            <v>20300</v>
          </cell>
          <cell r="K489">
            <v>53.6</v>
          </cell>
          <cell r="L489">
            <v>0.18</v>
          </cell>
          <cell r="M489" t="str">
            <v>28 : 72</v>
          </cell>
          <cell r="N489">
            <v>2012</v>
          </cell>
          <cell r="O489" t="e">
            <v>#N/A</v>
          </cell>
          <cell r="P489" t="e">
            <v>#N/A</v>
          </cell>
        </row>
        <row r="490">
          <cell r="B490" t="str">
            <v>Tokyo Medical and Dental University (TMDU)</v>
          </cell>
          <cell r="C490" t="str">
            <v>Japan</v>
          </cell>
          <cell r="D490" t="str">
            <v>276-300</v>
          </cell>
          <cell r="E490">
            <v>18</v>
          </cell>
          <cell r="F490">
            <v>22.6</v>
          </cell>
          <cell r="G490">
            <v>36.700000000000003</v>
          </cell>
          <cell r="H490">
            <v>40.799999999999997</v>
          </cell>
          <cell r="I490" t="str">
            <v>-</v>
          </cell>
          <cell r="J490">
            <v>2872</v>
          </cell>
          <cell r="K490">
            <v>3.3</v>
          </cell>
          <cell r="L490">
            <v>7.0000000000000007E-2</v>
          </cell>
          <cell r="M490">
            <v>2.1590277777777778</v>
          </cell>
          <cell r="N490">
            <v>2012</v>
          </cell>
          <cell r="O490" t="e">
            <v>#N/A</v>
          </cell>
          <cell r="P490" t="e">
            <v>#N/A</v>
          </cell>
        </row>
        <row r="491">
          <cell r="B491" t="str">
            <v>UiT The Arctic University of Norway</v>
          </cell>
          <cell r="C491" t="str">
            <v>Norway</v>
          </cell>
          <cell r="D491" t="str">
            <v>276-300</v>
          </cell>
          <cell r="E491">
            <v>63.5</v>
          </cell>
          <cell r="F491">
            <v>14.4</v>
          </cell>
          <cell r="G491">
            <v>53</v>
          </cell>
          <cell r="H491">
            <v>32.799999999999997</v>
          </cell>
          <cell r="I491" t="str">
            <v>-</v>
          </cell>
          <cell r="J491">
            <v>10398</v>
          </cell>
          <cell r="K491">
            <v>12.2</v>
          </cell>
          <cell r="L491">
            <v>0.1</v>
          </cell>
          <cell r="M491">
            <v>2.5277777777777777</v>
          </cell>
          <cell r="N491">
            <v>2012</v>
          </cell>
          <cell r="O491" t="e">
            <v>#N/A</v>
          </cell>
          <cell r="P491" t="e">
            <v>#N/A</v>
          </cell>
        </row>
        <row r="492">
          <cell r="B492" t="str">
            <v>University of Antwerp</v>
          </cell>
          <cell r="C492" t="str">
            <v>Belgium</v>
          </cell>
          <cell r="D492" t="str">
            <v>276-300</v>
          </cell>
          <cell r="E492">
            <v>70.7</v>
          </cell>
          <cell r="F492">
            <v>10.9</v>
          </cell>
          <cell r="G492">
            <v>55.3</v>
          </cell>
          <cell r="H492">
            <v>56.2</v>
          </cell>
          <cell r="I492" t="str">
            <v>-</v>
          </cell>
          <cell r="J492">
            <v>12346</v>
          </cell>
          <cell r="K492">
            <v>30.3</v>
          </cell>
          <cell r="L492">
            <v>0.16</v>
          </cell>
          <cell r="M492">
            <v>2.3638888888888889</v>
          </cell>
          <cell r="N492">
            <v>2012</v>
          </cell>
          <cell r="O492">
            <v>330</v>
          </cell>
          <cell r="P492">
            <v>7</v>
          </cell>
        </row>
        <row r="493">
          <cell r="B493" t="str">
            <v>University of Crete</v>
          </cell>
          <cell r="C493" t="str">
            <v>Greece</v>
          </cell>
          <cell r="D493" t="str">
            <v>276-300</v>
          </cell>
          <cell r="E493">
            <v>42.6</v>
          </cell>
          <cell r="F493">
            <v>12.6</v>
          </cell>
          <cell r="G493">
            <v>66.7</v>
          </cell>
          <cell r="H493">
            <v>33.200000000000003</v>
          </cell>
          <cell r="I493" t="str">
            <v>-</v>
          </cell>
          <cell r="J493">
            <v>14650</v>
          </cell>
          <cell r="K493">
            <v>26.9</v>
          </cell>
          <cell r="L493">
            <v>0.05</v>
          </cell>
          <cell r="M493">
            <v>2.6506944444444445</v>
          </cell>
          <cell r="N493">
            <v>2012</v>
          </cell>
          <cell r="O493">
            <v>551</v>
          </cell>
          <cell r="P493">
            <v>3</v>
          </cell>
        </row>
        <row r="494">
          <cell r="B494" t="str">
            <v>University of Guelph</v>
          </cell>
          <cell r="C494" t="str">
            <v>Canada</v>
          </cell>
          <cell r="D494" t="str">
            <v>276-300</v>
          </cell>
          <cell r="E494">
            <v>33.299999999999997</v>
          </cell>
          <cell r="F494">
            <v>31.4</v>
          </cell>
          <cell r="G494">
            <v>38.6</v>
          </cell>
          <cell r="H494">
            <v>48.9</v>
          </cell>
          <cell r="I494" t="str">
            <v>-</v>
          </cell>
          <cell r="J494">
            <v>21643</v>
          </cell>
          <cell r="K494">
            <v>28.3</v>
          </cell>
          <cell r="L494">
            <v>0.04</v>
          </cell>
          <cell r="M494">
            <v>2.5277777777777777</v>
          </cell>
          <cell r="N494">
            <v>2012</v>
          </cell>
          <cell r="O494">
            <v>366</v>
          </cell>
          <cell r="P494">
            <v>15</v>
          </cell>
        </row>
        <row r="495">
          <cell r="B495" t="str">
            <v>University of Iceland</v>
          </cell>
          <cell r="C495" t="str">
            <v>Iceland</v>
          </cell>
          <cell r="D495" t="str">
            <v>276-300</v>
          </cell>
          <cell r="E495">
            <v>56.9</v>
          </cell>
          <cell r="F495">
            <v>17.3</v>
          </cell>
          <cell r="G495">
            <v>62.4</v>
          </cell>
          <cell r="H495">
            <v>75.400000000000006</v>
          </cell>
          <cell r="I495" t="str">
            <v>-</v>
          </cell>
          <cell r="J495">
            <v>13960</v>
          </cell>
          <cell r="K495">
            <v>25.9</v>
          </cell>
          <cell r="L495">
            <v>0.08</v>
          </cell>
          <cell r="M495">
            <v>2.7736111111111112</v>
          </cell>
          <cell r="N495">
            <v>2012</v>
          </cell>
          <cell r="O495">
            <v>516</v>
          </cell>
          <cell r="P495">
            <v>1</v>
          </cell>
        </row>
        <row r="496">
          <cell r="B496" t="str">
            <v>University of Kansas</v>
          </cell>
          <cell r="C496" t="str">
            <v>United States of America</v>
          </cell>
          <cell r="D496" t="str">
            <v>276-300</v>
          </cell>
          <cell r="E496">
            <v>23.5</v>
          </cell>
          <cell r="F496">
            <v>20.100000000000001</v>
          </cell>
          <cell r="G496">
            <v>43</v>
          </cell>
          <cell r="H496">
            <v>27.6</v>
          </cell>
          <cell r="I496" t="str">
            <v>-</v>
          </cell>
          <cell r="N496">
            <v>2012</v>
          </cell>
          <cell r="O496">
            <v>203</v>
          </cell>
          <cell r="P496">
            <v>86</v>
          </cell>
        </row>
        <row r="497">
          <cell r="B497" t="str">
            <v>University of Kentucky</v>
          </cell>
          <cell r="C497" t="str">
            <v>United States of America</v>
          </cell>
          <cell r="D497" t="str">
            <v>276-300</v>
          </cell>
          <cell r="E497">
            <v>18.3</v>
          </cell>
          <cell r="F497">
            <v>28.4</v>
          </cell>
          <cell r="G497">
            <v>35.200000000000003</v>
          </cell>
          <cell r="H497" t="str">
            <v>-</v>
          </cell>
          <cell r="I497" t="str">
            <v>-</v>
          </cell>
          <cell r="N497">
            <v>2012</v>
          </cell>
          <cell r="O497">
            <v>259</v>
          </cell>
          <cell r="P497">
            <v>105</v>
          </cell>
        </row>
        <row r="498">
          <cell r="B498" t="str">
            <v>University of MÃ¼nster</v>
          </cell>
          <cell r="C498" t="str">
            <v>Germany</v>
          </cell>
          <cell r="D498" t="str">
            <v>276-300</v>
          </cell>
          <cell r="E498">
            <v>43.3</v>
          </cell>
          <cell r="F498">
            <v>18.5</v>
          </cell>
          <cell r="G498">
            <v>49.1</v>
          </cell>
          <cell r="H498">
            <v>35.1</v>
          </cell>
          <cell r="I498" t="str">
            <v>-</v>
          </cell>
          <cell r="J498">
            <v>39838</v>
          </cell>
          <cell r="K498">
            <v>46.1</v>
          </cell>
          <cell r="L498">
            <v>0.08</v>
          </cell>
          <cell r="M498">
            <v>2.2409722222222221</v>
          </cell>
          <cell r="N498">
            <v>2012</v>
          </cell>
          <cell r="O498">
            <v>210</v>
          </cell>
          <cell r="P498">
            <v>13</v>
          </cell>
        </row>
        <row r="499">
          <cell r="B499" t="str">
            <v>University of Newcastle</v>
          </cell>
          <cell r="C499" t="str">
            <v>Australia</v>
          </cell>
          <cell r="D499" t="str">
            <v>276-300</v>
          </cell>
          <cell r="E499">
            <v>76.3</v>
          </cell>
          <cell r="F499">
            <v>27.1</v>
          </cell>
          <cell r="G499">
            <v>35.799999999999997</v>
          </cell>
          <cell r="H499">
            <v>64.8</v>
          </cell>
          <cell r="I499" t="str">
            <v>-</v>
          </cell>
          <cell r="J499">
            <v>23508</v>
          </cell>
          <cell r="K499">
            <v>21.9</v>
          </cell>
          <cell r="L499">
            <v>0.18</v>
          </cell>
          <cell r="M499">
            <v>2.3638888888888889</v>
          </cell>
          <cell r="N499">
            <v>2012</v>
          </cell>
          <cell r="O499">
            <v>546</v>
          </cell>
          <cell r="P499">
            <v>12</v>
          </cell>
        </row>
        <row r="500">
          <cell r="B500" t="str">
            <v>University of Texas at San Antonio</v>
          </cell>
          <cell r="C500" t="str">
            <v>United States of America</v>
          </cell>
          <cell r="D500" t="str">
            <v>276-300</v>
          </cell>
          <cell r="E500">
            <v>22.6</v>
          </cell>
          <cell r="F500">
            <v>15.4</v>
          </cell>
          <cell r="G500">
            <v>70.3</v>
          </cell>
          <cell r="H500">
            <v>25.3</v>
          </cell>
          <cell r="I500" t="str">
            <v>-</v>
          </cell>
          <cell r="J500">
            <v>27520</v>
          </cell>
          <cell r="K500">
            <v>26.9</v>
          </cell>
          <cell r="L500">
            <v>0.06</v>
          </cell>
          <cell r="M500">
            <v>2.036111111111111</v>
          </cell>
          <cell r="N500">
            <v>2012</v>
          </cell>
          <cell r="O500">
            <v>256</v>
          </cell>
          <cell r="P500">
            <v>103</v>
          </cell>
        </row>
        <row r="501">
          <cell r="B501" t="str">
            <v>University of Trento</v>
          </cell>
          <cell r="C501" t="str">
            <v>Italy</v>
          </cell>
          <cell r="D501" t="str">
            <v>276-300</v>
          </cell>
          <cell r="E501">
            <v>49.7</v>
          </cell>
          <cell r="F501">
            <v>20</v>
          </cell>
          <cell r="G501">
            <v>51.5</v>
          </cell>
          <cell r="H501">
            <v>51</v>
          </cell>
          <cell r="I501" t="str">
            <v>-</v>
          </cell>
          <cell r="J501">
            <v>16841</v>
          </cell>
          <cell r="K501">
            <v>43.2</v>
          </cell>
          <cell r="L501">
            <v>0.08</v>
          </cell>
          <cell r="M501">
            <v>2.1590277777777778</v>
          </cell>
          <cell r="N501">
            <v>2012</v>
          </cell>
          <cell r="O501">
            <v>597</v>
          </cell>
          <cell r="P501">
            <v>33</v>
          </cell>
        </row>
        <row r="502">
          <cell r="B502" t="str">
            <v>York University</v>
          </cell>
          <cell r="C502" t="str">
            <v>Canada</v>
          </cell>
          <cell r="D502" t="str">
            <v>276-300</v>
          </cell>
          <cell r="E502">
            <v>57.7</v>
          </cell>
          <cell r="F502">
            <v>27.7</v>
          </cell>
          <cell r="G502">
            <v>41.2</v>
          </cell>
          <cell r="H502">
            <v>41.7</v>
          </cell>
          <cell r="I502" t="str">
            <v>-</v>
          </cell>
          <cell r="J502">
            <v>48007</v>
          </cell>
          <cell r="K502">
            <v>39.4</v>
          </cell>
          <cell r="L502">
            <v>0.09</v>
          </cell>
          <cell r="M502">
            <v>2.4868055555555557</v>
          </cell>
          <cell r="N502">
            <v>2012</v>
          </cell>
          <cell r="O502">
            <v>398</v>
          </cell>
          <cell r="P502">
            <v>18</v>
          </cell>
        </row>
        <row r="503">
          <cell r="B503" t="str">
            <v>Aalborg University</v>
          </cell>
          <cell r="C503" t="str">
            <v>Denmark</v>
          </cell>
          <cell r="D503" t="str">
            <v>301-350</v>
          </cell>
          <cell r="E503">
            <v>75.3</v>
          </cell>
          <cell r="F503">
            <v>20</v>
          </cell>
          <cell r="G503">
            <v>27.1</v>
          </cell>
          <cell r="H503">
            <v>36.4</v>
          </cell>
          <cell r="I503" t="str">
            <v>-</v>
          </cell>
          <cell r="J503">
            <v>17422</v>
          </cell>
          <cell r="K503">
            <v>15.9</v>
          </cell>
          <cell r="L503">
            <v>0.15</v>
          </cell>
          <cell r="M503">
            <v>2.036111111111111</v>
          </cell>
          <cell r="N503">
            <v>2012</v>
          </cell>
          <cell r="O503">
            <v>593</v>
          </cell>
          <cell r="P503">
            <v>5</v>
          </cell>
        </row>
        <row r="504">
          <cell r="B504" t="str">
            <v>Aalto University</v>
          </cell>
          <cell r="C504" t="str">
            <v>Finland</v>
          </cell>
          <cell r="D504" t="str">
            <v>301-350</v>
          </cell>
          <cell r="E504">
            <v>49</v>
          </cell>
          <cell r="F504">
            <v>22.2</v>
          </cell>
          <cell r="G504">
            <v>37.5</v>
          </cell>
          <cell r="H504">
            <v>61.9</v>
          </cell>
          <cell r="I504" t="str">
            <v>-</v>
          </cell>
          <cell r="J504">
            <v>16099</v>
          </cell>
          <cell r="K504">
            <v>24.2</v>
          </cell>
          <cell r="L504">
            <v>0.17</v>
          </cell>
          <cell r="M504" t="str">
            <v>32 : 68</v>
          </cell>
          <cell r="N504">
            <v>2012</v>
          </cell>
          <cell r="O504">
            <v>392</v>
          </cell>
          <cell r="P504">
            <v>4</v>
          </cell>
        </row>
        <row r="505">
          <cell r="B505" t="str">
            <v>Alexandria University</v>
          </cell>
          <cell r="C505" t="str">
            <v>Egypt</v>
          </cell>
          <cell r="D505" t="str">
            <v>301-350</v>
          </cell>
          <cell r="E505">
            <v>31.6</v>
          </cell>
          <cell r="F505">
            <v>7.8</v>
          </cell>
          <cell r="G505">
            <v>61.4</v>
          </cell>
          <cell r="H505">
            <v>34.5</v>
          </cell>
          <cell r="I505" t="str">
            <v>-</v>
          </cell>
          <cell r="J505">
            <v>127431</v>
          </cell>
          <cell r="K505">
            <v>23.3</v>
          </cell>
          <cell r="L505">
            <v>0.01</v>
          </cell>
          <cell r="M505">
            <v>1.9541666666666666</v>
          </cell>
          <cell r="N505">
            <v>2012</v>
          </cell>
          <cell r="O505">
            <v>951</v>
          </cell>
          <cell r="P505">
            <v>2</v>
          </cell>
        </row>
        <row r="506">
          <cell r="B506" t="str">
            <v>Bar-Ilan University</v>
          </cell>
          <cell r="C506" t="str">
            <v>Israel</v>
          </cell>
          <cell r="D506" t="str">
            <v>301-350</v>
          </cell>
          <cell r="E506">
            <v>47</v>
          </cell>
          <cell r="F506">
            <v>32.200000000000003</v>
          </cell>
          <cell r="G506">
            <v>15.7</v>
          </cell>
          <cell r="H506">
            <v>28.5</v>
          </cell>
          <cell r="I506" t="str">
            <v>-</v>
          </cell>
          <cell r="J506">
            <v>17503</v>
          </cell>
          <cell r="K506">
            <v>16</v>
          </cell>
          <cell r="L506">
            <v>0.05</v>
          </cell>
          <cell r="M506">
            <v>2.4868055555555557</v>
          </cell>
          <cell r="N506">
            <v>2012</v>
          </cell>
          <cell r="O506">
            <v>503</v>
          </cell>
          <cell r="P506">
            <v>6</v>
          </cell>
        </row>
        <row r="507">
          <cell r="B507" t="str">
            <v>Binghamton University, State University of New York</v>
          </cell>
          <cell r="C507" t="str">
            <v>United States of America</v>
          </cell>
          <cell r="D507" t="str">
            <v>301-350</v>
          </cell>
          <cell r="E507">
            <v>30.8</v>
          </cell>
          <cell r="F507">
            <v>20.3</v>
          </cell>
          <cell r="G507">
            <v>46.2</v>
          </cell>
          <cell r="H507">
            <v>29.5</v>
          </cell>
          <cell r="I507" t="str">
            <v>-</v>
          </cell>
          <cell r="J507">
            <v>15799</v>
          </cell>
          <cell r="K507">
            <v>23.3</v>
          </cell>
          <cell r="L507">
            <v>0.14000000000000001</v>
          </cell>
          <cell r="M507">
            <v>2.036111111111111</v>
          </cell>
          <cell r="N507">
            <v>2012</v>
          </cell>
          <cell r="O507" t="e">
            <v>#N/A</v>
          </cell>
          <cell r="P507" t="e">
            <v>#N/A</v>
          </cell>
        </row>
        <row r="508">
          <cell r="B508" t="str">
            <v>BoÄŸaziÃ§i University</v>
          </cell>
          <cell r="C508" t="str">
            <v>Turkey</v>
          </cell>
          <cell r="D508" t="str">
            <v>301-350</v>
          </cell>
          <cell r="E508">
            <v>36.200000000000003</v>
          </cell>
          <cell r="F508">
            <v>19.7</v>
          </cell>
          <cell r="G508">
            <v>45.7</v>
          </cell>
          <cell r="H508">
            <v>34.700000000000003</v>
          </cell>
          <cell r="I508" t="str">
            <v>-</v>
          </cell>
          <cell r="J508">
            <v>11506</v>
          </cell>
          <cell r="K508">
            <v>25</v>
          </cell>
          <cell r="L508">
            <v>7.0000000000000007E-2</v>
          </cell>
          <cell r="M508">
            <v>2.1180555555555554</v>
          </cell>
          <cell r="N508">
            <v>2012</v>
          </cell>
          <cell r="O508">
            <v>903</v>
          </cell>
          <cell r="P508">
            <v>9</v>
          </cell>
        </row>
        <row r="509">
          <cell r="B509" t="str">
            <v>Charles Darwin University</v>
          </cell>
          <cell r="C509" t="str">
            <v>Australia</v>
          </cell>
          <cell r="D509" t="str">
            <v>301-350</v>
          </cell>
          <cell r="E509">
            <v>46.7</v>
          </cell>
          <cell r="F509">
            <v>19.399999999999999</v>
          </cell>
          <cell r="G509">
            <v>52.6</v>
          </cell>
          <cell r="H509">
            <v>31.3</v>
          </cell>
          <cell r="I509" t="str">
            <v>-</v>
          </cell>
          <cell r="J509">
            <v>5570</v>
          </cell>
          <cell r="K509">
            <v>25.4</v>
          </cell>
          <cell r="L509">
            <v>0.15</v>
          </cell>
          <cell r="M509">
            <v>2.8145833333333332</v>
          </cell>
          <cell r="N509">
            <v>2012</v>
          </cell>
          <cell r="O509">
            <v>910</v>
          </cell>
          <cell r="P509">
            <v>26</v>
          </cell>
        </row>
        <row r="510">
          <cell r="B510" t="str">
            <v>Charles University in Prague</v>
          </cell>
          <cell r="C510" t="str">
            <v>Czech Republic</v>
          </cell>
          <cell r="D510" t="str">
            <v>301-350</v>
          </cell>
          <cell r="E510">
            <v>51.4</v>
          </cell>
          <cell r="F510">
            <v>24.6</v>
          </cell>
          <cell r="G510">
            <v>31</v>
          </cell>
          <cell r="H510">
            <v>24.5</v>
          </cell>
          <cell r="I510" t="str">
            <v>-</v>
          </cell>
          <cell r="J510">
            <v>51438</v>
          </cell>
          <cell r="K510">
            <v>13</v>
          </cell>
          <cell r="L510">
            <v>0.15</v>
          </cell>
          <cell r="M510">
            <v>2.6097222222222221</v>
          </cell>
          <cell r="N510">
            <v>2012</v>
          </cell>
          <cell r="O510">
            <v>313</v>
          </cell>
          <cell r="P510">
            <v>1</v>
          </cell>
        </row>
        <row r="511">
          <cell r="B511" t="str">
            <v>George Mason University</v>
          </cell>
          <cell r="C511" t="str">
            <v>United States of America</v>
          </cell>
          <cell r="D511" t="str">
            <v>301-350</v>
          </cell>
          <cell r="E511">
            <v>23.8</v>
          </cell>
          <cell r="F511">
            <v>17.7</v>
          </cell>
          <cell r="G511">
            <v>42.6</v>
          </cell>
          <cell r="H511">
            <v>25.1</v>
          </cell>
          <cell r="I511" t="str">
            <v>-</v>
          </cell>
          <cell r="J511">
            <v>26622</v>
          </cell>
          <cell r="K511">
            <v>17</v>
          </cell>
          <cell r="L511">
            <v>7.0000000000000007E-2</v>
          </cell>
          <cell r="M511">
            <v>2.2819444444444446</v>
          </cell>
          <cell r="N511">
            <v>2012</v>
          </cell>
          <cell r="O511">
            <v>434</v>
          </cell>
          <cell r="P511">
            <v>141</v>
          </cell>
        </row>
        <row r="512">
          <cell r="B512" t="str">
            <v>Indian Institute of Technology Bombay</v>
          </cell>
          <cell r="C512" t="str">
            <v>India</v>
          </cell>
          <cell r="D512" t="str">
            <v>301-350</v>
          </cell>
          <cell r="E512">
            <v>14.3</v>
          </cell>
          <cell r="F512">
            <v>15.7</v>
          </cell>
          <cell r="G512">
            <v>38.799999999999997</v>
          </cell>
          <cell r="H512">
            <v>24.2</v>
          </cell>
          <cell r="I512" t="str">
            <v>-</v>
          </cell>
          <cell r="J512">
            <v>8327</v>
          </cell>
          <cell r="K512">
            <v>14.9</v>
          </cell>
          <cell r="L512">
            <v>0.01</v>
          </cell>
          <cell r="M512">
            <v>0.72499999999999998</v>
          </cell>
          <cell r="N512">
            <v>2012</v>
          </cell>
          <cell r="O512">
            <v>535</v>
          </cell>
          <cell r="P512">
            <v>4</v>
          </cell>
        </row>
        <row r="513">
          <cell r="B513" t="str">
            <v>Jagiellonian University</v>
          </cell>
          <cell r="C513" t="str">
            <v>Poland</v>
          </cell>
          <cell r="D513" t="str">
            <v>301-350</v>
          </cell>
          <cell r="E513">
            <v>39.5</v>
          </cell>
          <cell r="F513">
            <v>16</v>
          </cell>
          <cell r="G513">
            <v>43.1</v>
          </cell>
          <cell r="H513">
            <v>25.8</v>
          </cell>
          <cell r="I513" t="str">
            <v>-</v>
          </cell>
          <cell r="J513">
            <v>42835</v>
          </cell>
          <cell r="K513">
            <v>11.5</v>
          </cell>
          <cell r="L513">
            <v>0.05</v>
          </cell>
          <cell r="M513">
            <v>2.8145833333333332</v>
          </cell>
          <cell r="N513">
            <v>2012</v>
          </cell>
          <cell r="O513">
            <v>479</v>
          </cell>
          <cell r="P513">
            <v>2</v>
          </cell>
        </row>
        <row r="514">
          <cell r="B514" t="str">
            <v>Keele University</v>
          </cell>
          <cell r="C514" t="str">
            <v>United Kingdom</v>
          </cell>
          <cell r="D514" t="str">
            <v>301-350</v>
          </cell>
          <cell r="E514">
            <v>62.6</v>
          </cell>
          <cell r="F514">
            <v>18.100000000000001</v>
          </cell>
          <cell r="G514">
            <v>39.799999999999997</v>
          </cell>
          <cell r="H514">
            <v>28.1</v>
          </cell>
          <cell r="I514" t="str">
            <v>-</v>
          </cell>
          <cell r="J514">
            <v>8397</v>
          </cell>
          <cell r="K514">
            <v>15.7</v>
          </cell>
          <cell r="L514">
            <v>0.2</v>
          </cell>
          <cell r="M514">
            <v>2.3229166666666665</v>
          </cell>
          <cell r="N514">
            <v>2012</v>
          </cell>
          <cell r="O514">
            <v>663</v>
          </cell>
          <cell r="P514">
            <v>50</v>
          </cell>
        </row>
        <row r="515">
          <cell r="B515" t="str">
            <v>Keio University</v>
          </cell>
          <cell r="C515" t="str">
            <v>Japan</v>
          </cell>
          <cell r="D515" t="str">
            <v>301-350</v>
          </cell>
          <cell r="E515">
            <v>18.3</v>
          </cell>
          <cell r="F515">
            <v>21.9</v>
          </cell>
          <cell r="G515">
            <v>26.1</v>
          </cell>
          <cell r="H515">
            <v>40</v>
          </cell>
          <cell r="I515" t="str">
            <v>-</v>
          </cell>
          <cell r="J515">
            <v>33751</v>
          </cell>
          <cell r="K515">
            <v>11.9</v>
          </cell>
          <cell r="L515">
            <v>0.05</v>
          </cell>
          <cell r="M515" t="str">
            <v>32 : 68</v>
          </cell>
          <cell r="N515">
            <v>2012</v>
          </cell>
          <cell r="O515">
            <v>70</v>
          </cell>
          <cell r="P515">
            <v>4</v>
          </cell>
        </row>
        <row r="516">
          <cell r="B516" t="str">
            <v>Kent State University</v>
          </cell>
          <cell r="C516" t="str">
            <v>United States of America</v>
          </cell>
          <cell r="D516" t="str">
            <v>301-350</v>
          </cell>
          <cell r="E516">
            <v>26.9</v>
          </cell>
          <cell r="F516">
            <v>13.9</v>
          </cell>
          <cell r="G516">
            <v>58.3</v>
          </cell>
          <cell r="H516">
            <v>24.6</v>
          </cell>
          <cell r="I516" t="str">
            <v>-</v>
          </cell>
          <cell r="J516">
            <v>23122</v>
          </cell>
          <cell r="K516">
            <v>19</v>
          </cell>
          <cell r="L516">
            <v>0.08</v>
          </cell>
          <cell r="M516">
            <v>2.4458333333333333</v>
          </cell>
          <cell r="N516">
            <v>2012</v>
          </cell>
          <cell r="O516">
            <v>586</v>
          </cell>
          <cell r="P516">
            <v>173</v>
          </cell>
        </row>
        <row r="517">
          <cell r="B517" t="str">
            <v>Lehigh University</v>
          </cell>
          <cell r="C517" t="str">
            <v>United States of America</v>
          </cell>
          <cell r="D517" t="str">
            <v>301-350</v>
          </cell>
          <cell r="E517">
            <v>26.5</v>
          </cell>
          <cell r="F517">
            <v>18.100000000000001</v>
          </cell>
          <cell r="G517">
            <v>44.9</v>
          </cell>
          <cell r="H517">
            <v>38.6</v>
          </cell>
          <cell r="I517" t="str">
            <v>-</v>
          </cell>
          <cell r="J517">
            <v>6300</v>
          </cell>
          <cell r="K517">
            <v>11.3</v>
          </cell>
          <cell r="L517">
            <v>0.15</v>
          </cell>
          <cell r="M517">
            <v>1.8722222222222222</v>
          </cell>
          <cell r="N517">
            <v>2012</v>
          </cell>
          <cell r="O517">
            <v>258</v>
          </cell>
          <cell r="P517">
            <v>104</v>
          </cell>
        </row>
        <row r="518">
          <cell r="B518" t="str">
            <v>LinkÃ¶ping University</v>
          </cell>
          <cell r="C518" t="str">
            <v>Sweden</v>
          </cell>
          <cell r="D518" t="str">
            <v>301-350</v>
          </cell>
          <cell r="E518">
            <v>48.6</v>
          </cell>
          <cell r="F518">
            <v>18.899999999999999</v>
          </cell>
          <cell r="G518">
            <v>42.8</v>
          </cell>
          <cell r="H518">
            <v>31.8</v>
          </cell>
          <cell r="I518" t="str">
            <v>-</v>
          </cell>
          <cell r="J518">
            <v>17866</v>
          </cell>
          <cell r="K518">
            <v>7.7</v>
          </cell>
          <cell r="L518">
            <v>0.1</v>
          </cell>
          <cell r="M518">
            <v>2.2000000000000002</v>
          </cell>
          <cell r="N518">
            <v>2012</v>
          </cell>
          <cell r="O518">
            <v>302</v>
          </cell>
          <cell r="P518">
            <v>8</v>
          </cell>
        </row>
        <row r="519">
          <cell r="B519" t="str">
            <v>National Taiwan University of Science and Technology (Taiwan Tech)</v>
          </cell>
          <cell r="C519" t="str">
            <v>Taiwan</v>
          </cell>
          <cell r="D519" t="str">
            <v>301-350</v>
          </cell>
          <cell r="E519">
            <v>15.6</v>
          </cell>
          <cell r="F519">
            <v>37</v>
          </cell>
          <cell r="G519">
            <v>19.399999999999999</v>
          </cell>
          <cell r="H519">
            <v>42.9</v>
          </cell>
          <cell r="I519" t="str">
            <v>-</v>
          </cell>
          <cell r="J519">
            <v>7446</v>
          </cell>
          <cell r="K519">
            <v>17.399999999999999</v>
          </cell>
          <cell r="L519">
            <v>0.11</v>
          </cell>
          <cell r="M519" t="str">
            <v>34 : 66</v>
          </cell>
          <cell r="N519">
            <v>2012</v>
          </cell>
          <cell r="O519" t="e">
            <v>#N/A</v>
          </cell>
          <cell r="P519" t="e">
            <v>#N/A</v>
          </cell>
        </row>
        <row r="520">
          <cell r="B520" t="str">
            <v>Plymouth University</v>
          </cell>
          <cell r="C520" t="str">
            <v>United Kingdom</v>
          </cell>
          <cell r="D520" t="str">
            <v>301-350</v>
          </cell>
          <cell r="E520">
            <v>49</v>
          </cell>
          <cell r="F520">
            <v>13.7</v>
          </cell>
          <cell r="G520">
            <v>58.1</v>
          </cell>
          <cell r="H520">
            <v>25.8</v>
          </cell>
          <cell r="I520" t="str">
            <v>-</v>
          </cell>
          <cell r="J520">
            <v>24121</v>
          </cell>
          <cell r="K520">
            <v>25.9</v>
          </cell>
          <cell r="L520">
            <v>0.13</v>
          </cell>
          <cell r="M520">
            <v>2.2000000000000002</v>
          </cell>
          <cell r="N520">
            <v>2012</v>
          </cell>
          <cell r="O520">
            <v>577</v>
          </cell>
          <cell r="P520">
            <v>45</v>
          </cell>
        </row>
        <row r="521">
          <cell r="B521" t="str">
            <v>Polytechnic University of Milan</v>
          </cell>
          <cell r="C521" t="str">
            <v>Italy</v>
          </cell>
          <cell r="D521" t="str">
            <v>301-350</v>
          </cell>
          <cell r="E521">
            <v>33.6</v>
          </cell>
          <cell r="F521">
            <v>17.600000000000001</v>
          </cell>
          <cell r="G521">
            <v>33.9</v>
          </cell>
          <cell r="H521">
            <v>69.8</v>
          </cell>
          <cell r="I521" t="str">
            <v>-</v>
          </cell>
          <cell r="J521">
            <v>30025</v>
          </cell>
          <cell r="K521">
            <v>22.2</v>
          </cell>
          <cell r="L521">
            <v>0.12</v>
          </cell>
          <cell r="M521" t="str">
            <v>34 : 66</v>
          </cell>
          <cell r="N521">
            <v>2012</v>
          </cell>
          <cell r="O521">
            <v>389</v>
          </cell>
          <cell r="P521">
            <v>19</v>
          </cell>
        </row>
        <row r="522">
          <cell r="B522" t="str">
            <v>Sapienza University of Rome</v>
          </cell>
          <cell r="C522" t="str">
            <v>Italy</v>
          </cell>
          <cell r="D522" t="str">
            <v>301-350</v>
          </cell>
          <cell r="E522">
            <v>32.4</v>
          </cell>
          <cell r="F522">
            <v>27.2</v>
          </cell>
          <cell r="G522">
            <v>29.2</v>
          </cell>
          <cell r="H522">
            <v>32.799999999999997</v>
          </cell>
          <cell r="I522" t="str">
            <v>-</v>
          </cell>
          <cell r="J522">
            <v>120986</v>
          </cell>
          <cell r="K522">
            <v>32.299999999999997</v>
          </cell>
          <cell r="L522">
            <v>7.0000000000000007E-2</v>
          </cell>
          <cell r="M522">
            <v>2.4868055555555557</v>
          </cell>
          <cell r="N522">
            <v>2012</v>
          </cell>
          <cell r="O522">
            <v>77</v>
          </cell>
          <cell r="P522">
            <v>1</v>
          </cell>
        </row>
        <row r="523">
          <cell r="B523" t="str">
            <v>Shanghai Jiao Tong University</v>
          </cell>
          <cell r="C523" t="str">
            <v>China</v>
          </cell>
          <cell r="D523" t="str">
            <v>301-350</v>
          </cell>
          <cell r="E523">
            <v>20.5</v>
          </cell>
          <cell r="F523">
            <v>29.7</v>
          </cell>
          <cell r="G523">
            <v>19.100000000000001</v>
          </cell>
          <cell r="H523">
            <v>85.2</v>
          </cell>
          <cell r="I523" t="str">
            <v>-</v>
          </cell>
          <cell r="J523">
            <v>38191</v>
          </cell>
          <cell r="K523">
            <v>12.8</v>
          </cell>
          <cell r="L523">
            <v>0.06</v>
          </cell>
          <cell r="M523" t="str">
            <v>37 : 63</v>
          </cell>
          <cell r="N523">
            <v>2012</v>
          </cell>
          <cell r="O523">
            <v>195</v>
          </cell>
          <cell r="P523">
            <v>4</v>
          </cell>
        </row>
        <row r="524">
          <cell r="B524" t="str">
            <v>Sharif University of Technology</v>
          </cell>
          <cell r="C524" t="str">
            <v>Iran</v>
          </cell>
          <cell r="D524" t="str">
            <v>301-350</v>
          </cell>
          <cell r="E524">
            <v>12.7</v>
          </cell>
          <cell r="F524">
            <v>29.7</v>
          </cell>
          <cell r="G524">
            <v>19.3</v>
          </cell>
          <cell r="H524">
            <v>93.1</v>
          </cell>
          <cell r="I524" t="str">
            <v>-</v>
          </cell>
          <cell r="J524">
            <v>10977</v>
          </cell>
          <cell r="K524">
            <v>18.7</v>
          </cell>
          <cell r="L524">
            <v>0</v>
          </cell>
          <cell r="M524" t="str">
            <v>27 : 73</v>
          </cell>
          <cell r="N524">
            <v>2012</v>
          </cell>
          <cell r="O524">
            <v>833</v>
          </cell>
          <cell r="P524">
            <v>2</v>
          </cell>
        </row>
        <row r="525">
          <cell r="B525" t="str">
            <v>Sungkyunkwan University (SKKU)</v>
          </cell>
          <cell r="C525" t="str">
            <v>South Korea</v>
          </cell>
          <cell r="D525" t="str">
            <v>301-350</v>
          </cell>
          <cell r="E525">
            <v>26.6</v>
          </cell>
          <cell r="F525">
            <v>32.1</v>
          </cell>
          <cell r="G525">
            <v>23.9</v>
          </cell>
          <cell r="H525">
            <v>99.4</v>
          </cell>
          <cell r="I525" t="str">
            <v>-</v>
          </cell>
          <cell r="J525">
            <v>24365</v>
          </cell>
          <cell r="K525">
            <v>20.3</v>
          </cell>
          <cell r="L525">
            <v>0.09</v>
          </cell>
          <cell r="M525" t="str">
            <v>39 : 61</v>
          </cell>
          <cell r="N525">
            <v>2012</v>
          </cell>
          <cell r="O525" t="e">
            <v>#N/A</v>
          </cell>
          <cell r="P525" t="e">
            <v>#N/A</v>
          </cell>
        </row>
        <row r="526">
          <cell r="B526" t="str">
            <v>University College Cork</v>
          </cell>
          <cell r="C526" t="str">
            <v>Republic of Ireland</v>
          </cell>
          <cell r="D526" t="str">
            <v>301-350</v>
          </cell>
          <cell r="E526">
            <v>77</v>
          </cell>
          <cell r="F526">
            <v>19.2</v>
          </cell>
          <cell r="G526">
            <v>29.4</v>
          </cell>
          <cell r="H526">
            <v>36.799999999999997</v>
          </cell>
          <cell r="I526" t="str">
            <v>-</v>
          </cell>
          <cell r="J526">
            <v>15805</v>
          </cell>
          <cell r="K526">
            <v>22.3</v>
          </cell>
          <cell r="L526">
            <v>0.15</v>
          </cell>
          <cell r="M526">
            <v>2.3229166666666665</v>
          </cell>
          <cell r="N526">
            <v>2012</v>
          </cell>
          <cell r="O526">
            <v>463</v>
          </cell>
          <cell r="P526">
            <v>3</v>
          </cell>
        </row>
        <row r="527">
          <cell r="B527" t="str">
            <v>University of Aveiro</v>
          </cell>
          <cell r="C527" t="str">
            <v>Portugal</v>
          </cell>
          <cell r="D527" t="str">
            <v>301-350</v>
          </cell>
          <cell r="E527">
            <v>48.4</v>
          </cell>
          <cell r="F527">
            <v>15.9</v>
          </cell>
          <cell r="G527">
            <v>40.9</v>
          </cell>
          <cell r="H527">
            <v>34.700000000000003</v>
          </cell>
          <cell r="I527" t="str">
            <v>-</v>
          </cell>
          <cell r="J527">
            <v>10791</v>
          </cell>
          <cell r="K527">
            <v>17.8</v>
          </cell>
          <cell r="L527">
            <v>0.1</v>
          </cell>
          <cell r="M527">
            <v>2.1590277777777778</v>
          </cell>
          <cell r="N527">
            <v>2012</v>
          </cell>
          <cell r="O527">
            <v>553</v>
          </cell>
          <cell r="P527">
            <v>4</v>
          </cell>
        </row>
        <row r="528">
          <cell r="B528" t="str">
            <v>University of Canterbury</v>
          </cell>
          <cell r="C528" t="str">
            <v>New Zealand</v>
          </cell>
          <cell r="D528" t="str">
            <v>301-350</v>
          </cell>
          <cell r="E528">
            <v>76.3</v>
          </cell>
          <cell r="F528">
            <v>24.3</v>
          </cell>
          <cell r="G528">
            <v>30.5</v>
          </cell>
          <cell r="H528">
            <v>26.6</v>
          </cell>
          <cell r="I528" t="str">
            <v>-</v>
          </cell>
          <cell r="J528">
            <v>12187</v>
          </cell>
          <cell r="K528">
            <v>16.5</v>
          </cell>
          <cell r="L528">
            <v>0.2</v>
          </cell>
          <cell r="M528">
            <v>2.1590277777777778</v>
          </cell>
          <cell r="N528">
            <v>2012</v>
          </cell>
          <cell r="O528">
            <v>487</v>
          </cell>
          <cell r="P528">
            <v>3</v>
          </cell>
        </row>
        <row r="529">
          <cell r="B529" t="str">
            <v>University of Eastern Finland</v>
          </cell>
          <cell r="C529" t="str">
            <v>Finland</v>
          </cell>
          <cell r="D529" t="str">
            <v>301-350</v>
          </cell>
          <cell r="E529">
            <v>33.5</v>
          </cell>
          <cell r="F529">
            <v>16.100000000000001</v>
          </cell>
          <cell r="G529">
            <v>51.1</v>
          </cell>
          <cell r="H529">
            <v>30.2</v>
          </cell>
          <cell r="I529" t="str">
            <v>-</v>
          </cell>
          <cell r="J529">
            <v>10798</v>
          </cell>
          <cell r="K529">
            <v>17.3</v>
          </cell>
          <cell r="L529">
            <v>0.06</v>
          </cell>
          <cell r="M529">
            <v>2.6916666666666669</v>
          </cell>
          <cell r="N529">
            <v>2012</v>
          </cell>
          <cell r="O529">
            <v>373</v>
          </cell>
          <cell r="P529">
            <v>2</v>
          </cell>
        </row>
        <row r="530">
          <cell r="B530" t="str">
            <v>University of Ferrara</v>
          </cell>
          <cell r="C530" t="str">
            <v>Italy</v>
          </cell>
          <cell r="D530" t="str">
            <v>301-350</v>
          </cell>
          <cell r="E530">
            <v>37.1</v>
          </cell>
          <cell r="F530">
            <v>14.1</v>
          </cell>
          <cell r="G530">
            <v>59.3</v>
          </cell>
          <cell r="H530">
            <v>34.299999999999997</v>
          </cell>
          <cell r="I530" t="str">
            <v>-</v>
          </cell>
          <cell r="J530">
            <v>18882</v>
          </cell>
          <cell r="K530">
            <v>30.2</v>
          </cell>
          <cell r="L530">
            <v>7.0000000000000007E-2</v>
          </cell>
          <cell r="M530">
            <v>2.3638888888888889</v>
          </cell>
          <cell r="N530">
            <v>2012</v>
          </cell>
          <cell r="O530">
            <v>387</v>
          </cell>
          <cell r="P530">
            <v>17</v>
          </cell>
        </row>
        <row r="531">
          <cell r="B531" t="str">
            <v>University of Hertfordshire</v>
          </cell>
          <cell r="C531" t="str">
            <v>United Kingdom</v>
          </cell>
          <cell r="D531" t="str">
            <v>301-350</v>
          </cell>
          <cell r="E531">
            <v>76.5</v>
          </cell>
          <cell r="F531">
            <v>7.7</v>
          </cell>
          <cell r="G531">
            <v>55.5</v>
          </cell>
          <cell r="H531">
            <v>27.1</v>
          </cell>
          <cell r="I531" t="str">
            <v>-</v>
          </cell>
          <cell r="J531">
            <v>19665</v>
          </cell>
          <cell r="K531">
            <v>19.399999999999999</v>
          </cell>
          <cell r="L531">
            <v>0.27</v>
          </cell>
          <cell r="M531">
            <v>2.2819444444444446</v>
          </cell>
          <cell r="N531">
            <v>2012</v>
          </cell>
          <cell r="O531">
            <v>645</v>
          </cell>
          <cell r="P531">
            <v>49</v>
          </cell>
        </row>
        <row r="532">
          <cell r="B532" t="str">
            <v>University of Houston</v>
          </cell>
          <cell r="C532" t="str">
            <v>United States of America</v>
          </cell>
          <cell r="D532" t="str">
            <v>301-350</v>
          </cell>
          <cell r="E532">
            <v>27.7</v>
          </cell>
          <cell r="F532">
            <v>23.6</v>
          </cell>
          <cell r="G532">
            <v>23.6</v>
          </cell>
          <cell r="H532">
            <v>31.2</v>
          </cell>
          <cell r="I532" t="str">
            <v>-</v>
          </cell>
          <cell r="J532">
            <v>40325</v>
          </cell>
          <cell r="K532">
            <v>43.7</v>
          </cell>
          <cell r="L532">
            <v>0.09</v>
          </cell>
          <cell r="M532">
            <v>2.1180555555555554</v>
          </cell>
          <cell r="N532">
            <v>2012</v>
          </cell>
          <cell r="O532">
            <v>162</v>
          </cell>
          <cell r="P532">
            <v>70</v>
          </cell>
        </row>
        <row r="533">
          <cell r="B533" t="str">
            <v>University of Hull</v>
          </cell>
          <cell r="C533" t="str">
            <v>United Kingdom</v>
          </cell>
          <cell r="D533" t="str">
            <v>301-350</v>
          </cell>
          <cell r="E533">
            <v>66.2</v>
          </cell>
          <cell r="F533">
            <v>16.7</v>
          </cell>
          <cell r="G533">
            <v>40.200000000000003</v>
          </cell>
          <cell r="H533">
            <v>28.1</v>
          </cell>
          <cell r="I533" t="str">
            <v>-</v>
          </cell>
          <cell r="J533">
            <v>15141</v>
          </cell>
          <cell r="K533">
            <v>18.7</v>
          </cell>
          <cell r="L533">
            <v>0.2</v>
          </cell>
          <cell r="M533">
            <v>2.2000000000000002</v>
          </cell>
          <cell r="N533">
            <v>2012</v>
          </cell>
          <cell r="O533">
            <v>317</v>
          </cell>
          <cell r="P533">
            <v>27</v>
          </cell>
        </row>
        <row r="534">
          <cell r="B534" t="str">
            <v>University of LiÃ¨ge</v>
          </cell>
          <cell r="C534" t="str">
            <v>Belgium</v>
          </cell>
          <cell r="D534" t="str">
            <v>301-350</v>
          </cell>
          <cell r="E534">
            <v>68.7</v>
          </cell>
          <cell r="F534">
            <v>16.399999999999999</v>
          </cell>
          <cell r="G534">
            <v>38.9</v>
          </cell>
          <cell r="H534">
            <v>64.8</v>
          </cell>
          <cell r="I534" t="str">
            <v>-</v>
          </cell>
          <cell r="J534">
            <v>20951</v>
          </cell>
          <cell r="K534">
            <v>25.9</v>
          </cell>
          <cell r="L534">
            <v>0.23</v>
          </cell>
          <cell r="M534">
            <v>2.2819444444444446</v>
          </cell>
          <cell r="N534">
            <v>2012</v>
          </cell>
          <cell r="O534">
            <v>316</v>
          </cell>
          <cell r="P534">
            <v>6</v>
          </cell>
        </row>
        <row r="535">
          <cell r="B535" t="str">
            <v>University of Manitoba</v>
          </cell>
          <cell r="C535" t="str">
            <v>Canada</v>
          </cell>
          <cell r="D535" t="str">
            <v>301-350</v>
          </cell>
          <cell r="E535">
            <v>40.200000000000003</v>
          </cell>
          <cell r="F535">
            <v>31.7</v>
          </cell>
          <cell r="G535">
            <v>27.7</v>
          </cell>
          <cell r="H535">
            <v>40.700000000000003</v>
          </cell>
          <cell r="I535" t="str">
            <v>-</v>
          </cell>
          <cell r="J535">
            <v>28576</v>
          </cell>
          <cell r="K535">
            <v>27.8</v>
          </cell>
          <cell r="L535">
            <v>0.11</v>
          </cell>
          <cell r="M535">
            <v>2.3229166666666665</v>
          </cell>
          <cell r="N535">
            <v>2012</v>
          </cell>
          <cell r="O535">
            <v>220</v>
          </cell>
          <cell r="P535">
            <v>10</v>
          </cell>
        </row>
        <row r="536">
          <cell r="B536" t="str">
            <v>University of Maryland, Baltimore County</v>
          </cell>
          <cell r="C536" t="str">
            <v>United States of America</v>
          </cell>
          <cell r="D536" t="str">
            <v>301-350</v>
          </cell>
          <cell r="E536">
            <v>18.600000000000001</v>
          </cell>
          <cell r="F536">
            <v>14.5</v>
          </cell>
          <cell r="G536">
            <v>52.8</v>
          </cell>
          <cell r="H536">
            <v>29.9</v>
          </cell>
          <cell r="I536" t="str">
            <v>-</v>
          </cell>
          <cell r="J536">
            <v>13908</v>
          </cell>
          <cell r="K536">
            <v>18.100000000000001</v>
          </cell>
          <cell r="L536">
            <v>7.0000000000000007E-2</v>
          </cell>
          <cell r="M536">
            <v>1.9541666666666666</v>
          </cell>
          <cell r="N536">
            <v>2012</v>
          </cell>
          <cell r="O536">
            <v>505</v>
          </cell>
          <cell r="P536">
            <v>162</v>
          </cell>
        </row>
        <row r="537">
          <cell r="B537" t="str">
            <v>University of Modena and Reggio Emilia</v>
          </cell>
          <cell r="C537" t="str">
            <v>Italy</v>
          </cell>
          <cell r="D537" t="str">
            <v>301-350</v>
          </cell>
          <cell r="E537">
            <v>26.8</v>
          </cell>
          <cell r="F537">
            <v>15.7</v>
          </cell>
          <cell r="G537">
            <v>50.8</v>
          </cell>
          <cell r="H537">
            <v>27.9</v>
          </cell>
          <cell r="I537" t="str">
            <v>-</v>
          </cell>
          <cell r="J537">
            <v>19693</v>
          </cell>
          <cell r="K537">
            <v>25.3</v>
          </cell>
          <cell r="L537">
            <v>0.06</v>
          </cell>
          <cell r="M537">
            <v>2.2819444444444446</v>
          </cell>
          <cell r="N537">
            <v>2012</v>
          </cell>
          <cell r="O537">
            <v>466</v>
          </cell>
          <cell r="P537">
            <v>24</v>
          </cell>
        </row>
        <row r="538">
          <cell r="B538" t="str">
            <v>University of Oklahoma</v>
          </cell>
          <cell r="C538" t="str">
            <v>United States of America</v>
          </cell>
          <cell r="D538" t="str">
            <v>301-350</v>
          </cell>
          <cell r="E538">
            <v>20.7</v>
          </cell>
          <cell r="F538">
            <v>16.100000000000001</v>
          </cell>
          <cell r="G538">
            <v>31.6</v>
          </cell>
          <cell r="H538">
            <v>32.299999999999997</v>
          </cell>
          <cell r="I538" t="str">
            <v>-</v>
          </cell>
          <cell r="N538">
            <v>2012</v>
          </cell>
          <cell r="O538" t="e">
            <v>#N/A</v>
          </cell>
          <cell r="P538" t="e">
            <v>#N/A</v>
          </cell>
        </row>
        <row r="539">
          <cell r="B539" t="str">
            <v>University of Pisa</v>
          </cell>
          <cell r="C539" t="str">
            <v>Italy</v>
          </cell>
          <cell r="D539" t="str">
            <v>301-350</v>
          </cell>
          <cell r="E539">
            <v>26.2</v>
          </cell>
          <cell r="F539">
            <v>18.5</v>
          </cell>
          <cell r="G539">
            <v>50.8</v>
          </cell>
          <cell r="H539">
            <v>35.299999999999997</v>
          </cell>
          <cell r="I539" t="str">
            <v>-</v>
          </cell>
          <cell r="J539">
            <v>47247</v>
          </cell>
          <cell r="K539">
            <v>18</v>
          </cell>
          <cell r="L539">
            <v>0.04</v>
          </cell>
          <cell r="M539">
            <v>2.2000000000000002</v>
          </cell>
          <cell r="N539">
            <v>2012</v>
          </cell>
          <cell r="O539">
            <v>308</v>
          </cell>
          <cell r="P539">
            <v>8</v>
          </cell>
        </row>
        <row r="540">
          <cell r="B540" t="str">
            <v>University of Porto</v>
          </cell>
          <cell r="C540" t="str">
            <v>Portugal</v>
          </cell>
          <cell r="D540" t="str">
            <v>301-350</v>
          </cell>
          <cell r="E540">
            <v>42</v>
          </cell>
          <cell r="F540">
            <v>13</v>
          </cell>
          <cell r="G540">
            <v>43.9</v>
          </cell>
          <cell r="H540">
            <v>33.700000000000003</v>
          </cell>
          <cell r="I540" t="str">
            <v>-</v>
          </cell>
          <cell r="J540">
            <v>32720</v>
          </cell>
          <cell r="K540">
            <v>18.8</v>
          </cell>
          <cell r="L540">
            <v>0.09</v>
          </cell>
          <cell r="M540">
            <v>2.2819444444444446</v>
          </cell>
          <cell r="N540">
            <v>2012</v>
          </cell>
          <cell r="O540">
            <v>290</v>
          </cell>
          <cell r="P540">
            <v>2</v>
          </cell>
        </row>
        <row r="541">
          <cell r="B541" t="str">
            <v>University of South Florida</v>
          </cell>
          <cell r="C541" t="str">
            <v>United States of America</v>
          </cell>
          <cell r="D541" t="str">
            <v>301-350</v>
          </cell>
          <cell r="E541">
            <v>15</v>
          </cell>
          <cell r="F541">
            <v>30.1</v>
          </cell>
          <cell r="G541">
            <v>36.6</v>
          </cell>
          <cell r="H541">
            <v>94.4</v>
          </cell>
          <cell r="I541" t="str">
            <v>-</v>
          </cell>
          <cell r="J541">
            <v>31424</v>
          </cell>
          <cell r="K541">
            <v>21.5</v>
          </cell>
          <cell r="L541">
            <v>0.1</v>
          </cell>
          <cell r="N541">
            <v>2012</v>
          </cell>
          <cell r="O541" t="e">
            <v>#N/A</v>
          </cell>
          <cell r="P541" t="e">
            <v>#N/A</v>
          </cell>
        </row>
        <row r="542">
          <cell r="B542" t="str">
            <v>University of Stirling</v>
          </cell>
          <cell r="C542" t="str">
            <v>United Kingdom</v>
          </cell>
          <cell r="D542" t="str">
            <v>301-350</v>
          </cell>
          <cell r="E542">
            <v>69.5</v>
          </cell>
          <cell r="F542">
            <v>22.2</v>
          </cell>
          <cell r="G542">
            <v>42</v>
          </cell>
          <cell r="H542">
            <v>26.6</v>
          </cell>
          <cell r="I542" t="str">
            <v>-</v>
          </cell>
          <cell r="J542">
            <v>7828</v>
          </cell>
          <cell r="K542">
            <v>15.9</v>
          </cell>
          <cell r="L542">
            <v>0.22</v>
          </cell>
          <cell r="M542">
            <v>2.5687500000000001</v>
          </cell>
          <cell r="N542">
            <v>2012</v>
          </cell>
          <cell r="O542">
            <v>735</v>
          </cell>
          <cell r="P542">
            <v>57</v>
          </cell>
        </row>
        <row r="543">
          <cell r="B543" t="str">
            <v>University of Surrey</v>
          </cell>
          <cell r="C543" t="str">
            <v>United Kingdom</v>
          </cell>
          <cell r="D543" t="str">
            <v>301-350</v>
          </cell>
          <cell r="E543">
            <v>81.5</v>
          </cell>
          <cell r="F543">
            <v>25.2</v>
          </cell>
          <cell r="G543">
            <v>12.4</v>
          </cell>
          <cell r="H543">
            <v>46.9</v>
          </cell>
          <cell r="I543" t="str">
            <v>-</v>
          </cell>
          <cell r="J543">
            <v>12063</v>
          </cell>
          <cell r="K543">
            <v>16.600000000000001</v>
          </cell>
          <cell r="L543">
            <v>0.38</v>
          </cell>
          <cell r="M543">
            <v>2.3229166666666665</v>
          </cell>
          <cell r="N543">
            <v>2012</v>
          </cell>
          <cell r="O543">
            <v>499</v>
          </cell>
          <cell r="P543">
            <v>41</v>
          </cell>
        </row>
        <row r="544">
          <cell r="B544" t="str">
            <v>University of Tampere</v>
          </cell>
          <cell r="C544" t="str">
            <v>Finland</v>
          </cell>
          <cell r="D544" t="str">
            <v>301-350</v>
          </cell>
          <cell r="E544">
            <v>38.299999999999997</v>
          </cell>
          <cell r="F544">
            <v>22.1</v>
          </cell>
          <cell r="G544">
            <v>44.4</v>
          </cell>
          <cell r="H544">
            <v>55.1</v>
          </cell>
          <cell r="I544" t="str">
            <v>-</v>
          </cell>
          <cell r="J544">
            <v>10045</v>
          </cell>
          <cell r="K544">
            <v>9.5</v>
          </cell>
          <cell r="L544">
            <v>0.04</v>
          </cell>
          <cell r="M544">
            <v>2.7736111111111112</v>
          </cell>
          <cell r="N544">
            <v>2012</v>
          </cell>
          <cell r="O544">
            <v>430</v>
          </cell>
          <cell r="P544">
            <v>6</v>
          </cell>
        </row>
        <row r="545">
          <cell r="B545" t="str">
            <v>University of Tasmania</v>
          </cell>
          <cell r="C545" t="str">
            <v>Australia</v>
          </cell>
          <cell r="D545" t="str">
            <v>301-350</v>
          </cell>
          <cell r="E545">
            <v>70.5</v>
          </cell>
          <cell r="F545">
            <v>15</v>
          </cell>
          <cell r="G545">
            <v>34.9</v>
          </cell>
          <cell r="H545">
            <v>42.1</v>
          </cell>
          <cell r="I545" t="str">
            <v>-</v>
          </cell>
          <cell r="J545">
            <v>18340</v>
          </cell>
          <cell r="K545">
            <v>23.8</v>
          </cell>
          <cell r="L545">
            <v>0.21</v>
          </cell>
          <cell r="M545">
            <v>2.4048611111111109</v>
          </cell>
          <cell r="N545">
            <v>2012</v>
          </cell>
          <cell r="O545">
            <v>608</v>
          </cell>
          <cell r="P545">
            <v>15</v>
          </cell>
        </row>
        <row r="546">
          <cell r="B546" t="str">
            <v>University of Valencia</v>
          </cell>
          <cell r="C546" t="str">
            <v>Spain</v>
          </cell>
          <cell r="D546" t="str">
            <v>301-350</v>
          </cell>
          <cell r="E546">
            <v>36.4</v>
          </cell>
          <cell r="F546">
            <v>10.199999999999999</v>
          </cell>
          <cell r="G546">
            <v>64.3</v>
          </cell>
          <cell r="H546">
            <v>32.1</v>
          </cell>
          <cell r="I546" t="str">
            <v>-</v>
          </cell>
          <cell r="J546">
            <v>58413</v>
          </cell>
          <cell r="K546">
            <v>15.4</v>
          </cell>
          <cell r="L546">
            <v>0.09</v>
          </cell>
          <cell r="M546">
            <v>2.5277777777777777</v>
          </cell>
          <cell r="N546">
            <v>2012</v>
          </cell>
          <cell r="O546">
            <v>301</v>
          </cell>
          <cell r="P546">
            <v>4</v>
          </cell>
        </row>
        <row r="547">
          <cell r="B547" t="str">
            <v>University of Waikato</v>
          </cell>
          <cell r="C547" t="str">
            <v>New Zealand</v>
          </cell>
          <cell r="D547" t="str">
            <v>301-350</v>
          </cell>
          <cell r="E547">
            <v>87</v>
          </cell>
          <cell r="F547">
            <v>13.9</v>
          </cell>
          <cell r="G547">
            <v>47.8</v>
          </cell>
          <cell r="H547">
            <v>24.5</v>
          </cell>
          <cell r="I547" t="str">
            <v>-</v>
          </cell>
          <cell r="J547">
            <v>10159</v>
          </cell>
          <cell r="K547">
            <v>17</v>
          </cell>
          <cell r="L547">
            <v>0.25</v>
          </cell>
          <cell r="M547">
            <v>2.4048611111111109</v>
          </cell>
          <cell r="N547">
            <v>2012</v>
          </cell>
          <cell r="O547">
            <v>879</v>
          </cell>
          <cell r="P547">
            <v>6</v>
          </cell>
        </row>
        <row r="548">
          <cell r="B548" t="str">
            <v>University of Warsaw</v>
          </cell>
          <cell r="C548" t="str">
            <v>Poland</v>
          </cell>
          <cell r="D548" t="str">
            <v>301-350</v>
          </cell>
          <cell r="E548">
            <v>35.799999999999997</v>
          </cell>
          <cell r="F548">
            <v>15.7</v>
          </cell>
          <cell r="G548">
            <v>44.3</v>
          </cell>
          <cell r="H548" t="str">
            <v>-</v>
          </cell>
          <cell r="I548" t="str">
            <v>-</v>
          </cell>
          <cell r="J548">
            <v>49292</v>
          </cell>
          <cell r="K548">
            <v>14.1</v>
          </cell>
          <cell r="L548">
            <v>7.0000000000000007E-2</v>
          </cell>
          <cell r="M548">
            <v>2.8145833333333332</v>
          </cell>
          <cell r="N548">
            <v>2012</v>
          </cell>
          <cell r="O548">
            <v>419</v>
          </cell>
          <cell r="P548">
            <v>1</v>
          </cell>
        </row>
        <row r="549">
          <cell r="B549" t="str">
            <v>Vienna University of Technology</v>
          </cell>
          <cell r="C549" t="str">
            <v>Austria</v>
          </cell>
          <cell r="D549" t="str">
            <v>301-350</v>
          </cell>
          <cell r="E549">
            <v>82.5</v>
          </cell>
          <cell r="F549">
            <v>14.1</v>
          </cell>
          <cell r="G549">
            <v>24.3</v>
          </cell>
          <cell r="H549">
            <v>35.200000000000003</v>
          </cell>
          <cell r="I549" t="str">
            <v>-</v>
          </cell>
          <cell r="J549">
            <v>26419</v>
          </cell>
          <cell r="K549">
            <v>52</v>
          </cell>
          <cell r="L549">
            <v>0.27</v>
          </cell>
          <cell r="M549" t="str">
            <v>27 : 73</v>
          </cell>
          <cell r="N549">
            <v>2012</v>
          </cell>
          <cell r="O549">
            <v>427</v>
          </cell>
          <cell r="P549">
            <v>4</v>
          </cell>
        </row>
        <row r="550">
          <cell r="B550" t="str">
            <v>Vrije Universiteit Brussel</v>
          </cell>
          <cell r="C550" t="str">
            <v>Belgium</v>
          </cell>
          <cell r="D550" t="str">
            <v>301-350</v>
          </cell>
          <cell r="E550">
            <v>49.4</v>
          </cell>
          <cell r="F550">
            <v>21.1</v>
          </cell>
          <cell r="G550">
            <v>36.700000000000003</v>
          </cell>
          <cell r="H550">
            <v>66.2</v>
          </cell>
          <cell r="I550" t="str">
            <v>-</v>
          </cell>
          <cell r="J550">
            <v>9020</v>
          </cell>
          <cell r="K550">
            <v>17.100000000000001</v>
          </cell>
          <cell r="L550">
            <v>0.16</v>
          </cell>
          <cell r="M550">
            <v>2.3229166666666665</v>
          </cell>
          <cell r="N550">
            <v>2012</v>
          </cell>
          <cell r="O550">
            <v>248</v>
          </cell>
          <cell r="P550">
            <v>5</v>
          </cell>
        </row>
        <row r="551">
          <cell r="B551" t="str">
            <v>Washington State University</v>
          </cell>
          <cell r="C551" t="str">
            <v>United States of America</v>
          </cell>
          <cell r="D551" t="str">
            <v>301-350</v>
          </cell>
          <cell r="E551">
            <v>31</v>
          </cell>
          <cell r="F551">
            <v>24.5</v>
          </cell>
          <cell r="G551">
            <v>33.5</v>
          </cell>
          <cell r="H551">
            <v>34.299999999999997</v>
          </cell>
          <cell r="I551" t="str">
            <v>-</v>
          </cell>
          <cell r="J551">
            <v>24550</v>
          </cell>
          <cell r="K551">
            <v>18.3</v>
          </cell>
          <cell r="L551">
            <v>7.0000000000000007E-2</v>
          </cell>
          <cell r="M551">
            <v>2.1180555555555554</v>
          </cell>
          <cell r="N551">
            <v>2012</v>
          </cell>
          <cell r="O551" t="e">
            <v>#N/A</v>
          </cell>
          <cell r="P551" t="e">
            <v>#N/A</v>
          </cell>
        </row>
        <row r="552">
          <cell r="B552" t="str">
            <v>Zhejiang University</v>
          </cell>
          <cell r="C552" t="str">
            <v>China</v>
          </cell>
          <cell r="D552" t="str">
            <v>301-350</v>
          </cell>
          <cell r="E552">
            <v>13.9</v>
          </cell>
          <cell r="F552">
            <v>27.2</v>
          </cell>
          <cell r="G552">
            <v>23</v>
          </cell>
          <cell r="H552">
            <v>84.4</v>
          </cell>
          <cell r="I552" t="str">
            <v>-</v>
          </cell>
          <cell r="J552">
            <v>47508</v>
          </cell>
          <cell r="K552">
            <v>15.9</v>
          </cell>
          <cell r="L552">
            <v>0.05</v>
          </cell>
          <cell r="M552">
            <v>1.7493055555555554</v>
          </cell>
          <cell r="N552">
            <v>2012</v>
          </cell>
          <cell r="O552">
            <v>206</v>
          </cell>
          <cell r="P552">
            <v>5</v>
          </cell>
        </row>
        <row r="553">
          <cell r="B553" t="str">
            <v>Aston University</v>
          </cell>
          <cell r="C553" t="str">
            <v>United Kingdom</v>
          </cell>
          <cell r="D553" t="str">
            <v>350-400</v>
          </cell>
          <cell r="E553">
            <v>84.5</v>
          </cell>
          <cell r="F553">
            <v>19.899999999999999</v>
          </cell>
          <cell r="G553">
            <v>11.7</v>
          </cell>
          <cell r="H553">
            <v>26.8</v>
          </cell>
          <cell r="I553" t="str">
            <v>-</v>
          </cell>
          <cell r="N553">
            <v>2012</v>
          </cell>
          <cell r="O553">
            <v>707</v>
          </cell>
          <cell r="P553">
            <v>55</v>
          </cell>
        </row>
        <row r="554">
          <cell r="B554" t="str">
            <v>Auburn University</v>
          </cell>
          <cell r="C554" t="str">
            <v>United States of America</v>
          </cell>
          <cell r="D554" t="str">
            <v>350-400</v>
          </cell>
          <cell r="E554">
            <v>22.5</v>
          </cell>
          <cell r="F554">
            <v>18.7</v>
          </cell>
          <cell r="G554">
            <v>10.3</v>
          </cell>
          <cell r="H554">
            <v>47.3</v>
          </cell>
          <cell r="I554" t="str">
            <v>-</v>
          </cell>
          <cell r="J554">
            <v>22386</v>
          </cell>
          <cell r="K554">
            <v>17.600000000000001</v>
          </cell>
          <cell r="L554">
            <v>0.04</v>
          </cell>
          <cell r="M554">
            <v>2.1590277777777778</v>
          </cell>
          <cell r="N554">
            <v>2012</v>
          </cell>
          <cell r="O554">
            <v>548</v>
          </cell>
          <cell r="P554">
            <v>171</v>
          </cell>
        </row>
        <row r="555">
          <cell r="B555" t="str">
            <v>Clemson University</v>
          </cell>
          <cell r="C555" t="str">
            <v>United States of America</v>
          </cell>
          <cell r="D555" t="str">
            <v>350-400</v>
          </cell>
          <cell r="E555">
            <v>28.5</v>
          </cell>
          <cell r="F555">
            <v>17</v>
          </cell>
          <cell r="G555">
            <v>25.5</v>
          </cell>
          <cell r="H555">
            <v>30.8</v>
          </cell>
          <cell r="I555" t="str">
            <v>-</v>
          </cell>
          <cell r="J555">
            <v>19198</v>
          </cell>
          <cell r="K555">
            <v>17.100000000000001</v>
          </cell>
          <cell r="L555">
            <v>0.08</v>
          </cell>
          <cell r="M555">
            <v>1.9541666666666666</v>
          </cell>
          <cell r="N555">
            <v>2012</v>
          </cell>
          <cell r="O555">
            <v>510</v>
          </cell>
          <cell r="P555">
            <v>163</v>
          </cell>
        </row>
        <row r="556">
          <cell r="B556" t="str">
            <v>Curtin University</v>
          </cell>
          <cell r="C556" t="str">
            <v>Australia</v>
          </cell>
          <cell r="D556" t="str">
            <v>350-400</v>
          </cell>
          <cell r="E556">
            <v>91.4</v>
          </cell>
          <cell r="F556">
            <v>12.3</v>
          </cell>
          <cell r="G556">
            <v>28.7</v>
          </cell>
          <cell r="H556">
            <v>31.3</v>
          </cell>
          <cell r="I556" t="str">
            <v>-</v>
          </cell>
          <cell r="J556">
            <v>30333</v>
          </cell>
          <cell r="K556">
            <v>17.100000000000001</v>
          </cell>
          <cell r="L556">
            <v>0.38</v>
          </cell>
          <cell r="M556">
            <v>2.2409722222222221</v>
          </cell>
          <cell r="N556">
            <v>2012</v>
          </cell>
          <cell r="O556">
            <v>612</v>
          </cell>
          <cell r="P556">
            <v>16</v>
          </cell>
        </row>
        <row r="557">
          <cell r="B557" t="str">
            <v>Deakin University</v>
          </cell>
          <cell r="C557" t="str">
            <v>Australia</v>
          </cell>
          <cell r="D557" t="str">
            <v>350-400</v>
          </cell>
          <cell r="E557">
            <v>56.3</v>
          </cell>
          <cell r="F557">
            <v>16.8</v>
          </cell>
          <cell r="G557">
            <v>26.2</v>
          </cell>
          <cell r="H557">
            <v>27.9</v>
          </cell>
          <cell r="I557" t="str">
            <v>-</v>
          </cell>
          <cell r="J557">
            <v>32713</v>
          </cell>
          <cell r="K557">
            <v>30.4</v>
          </cell>
          <cell r="L557">
            <v>0.17</v>
          </cell>
          <cell r="M557">
            <v>2.5277777777777777</v>
          </cell>
          <cell r="N557">
            <v>2012</v>
          </cell>
          <cell r="O557">
            <v>613</v>
          </cell>
          <cell r="P557">
            <v>17</v>
          </cell>
        </row>
        <row r="558">
          <cell r="B558" t="str">
            <v>Flinders University</v>
          </cell>
          <cell r="C558" t="str">
            <v>Australia</v>
          </cell>
          <cell r="D558" t="str">
            <v>350-400</v>
          </cell>
          <cell r="E558">
            <v>59.9</v>
          </cell>
          <cell r="F558">
            <v>19.100000000000001</v>
          </cell>
          <cell r="G558">
            <v>20.3</v>
          </cell>
          <cell r="H558">
            <v>36.200000000000003</v>
          </cell>
          <cell r="I558" t="str">
            <v>-</v>
          </cell>
          <cell r="J558">
            <v>15655</v>
          </cell>
          <cell r="K558">
            <v>22.6</v>
          </cell>
          <cell r="L558">
            <v>0.15</v>
          </cell>
          <cell r="M558">
            <v>2.6506944444444445</v>
          </cell>
          <cell r="N558">
            <v>2012</v>
          </cell>
          <cell r="O558">
            <v>507</v>
          </cell>
          <cell r="P558">
            <v>11</v>
          </cell>
        </row>
        <row r="559">
          <cell r="B559" t="str">
            <v>Georgia State University</v>
          </cell>
          <cell r="C559" t="str">
            <v>United States of America</v>
          </cell>
          <cell r="D559" t="str">
            <v>350-400</v>
          </cell>
          <cell r="E559">
            <v>27.9</v>
          </cell>
          <cell r="F559">
            <v>20.2</v>
          </cell>
          <cell r="G559">
            <v>34.4</v>
          </cell>
          <cell r="H559">
            <v>39.1</v>
          </cell>
          <cell r="I559" t="str">
            <v>-</v>
          </cell>
          <cell r="J559">
            <v>28534</v>
          </cell>
          <cell r="K559">
            <v>20.399999999999999</v>
          </cell>
          <cell r="L559">
            <v>0.05</v>
          </cell>
          <cell r="M559">
            <v>2.4868055555555557</v>
          </cell>
          <cell r="N559">
            <v>2012</v>
          </cell>
          <cell r="O559">
            <v>512</v>
          </cell>
          <cell r="P559">
            <v>164</v>
          </cell>
        </row>
        <row r="560">
          <cell r="B560" t="str">
            <v>Griffith University</v>
          </cell>
          <cell r="C560" t="str">
            <v>Australia</v>
          </cell>
          <cell r="D560" t="str">
            <v>350-400</v>
          </cell>
          <cell r="E560">
            <v>79</v>
          </cell>
          <cell r="F560">
            <v>16.2</v>
          </cell>
          <cell r="G560">
            <v>20.3</v>
          </cell>
          <cell r="H560">
            <v>30.7</v>
          </cell>
          <cell r="I560" t="str">
            <v>-</v>
          </cell>
          <cell r="J560">
            <v>30251</v>
          </cell>
          <cell r="K560">
            <v>22</v>
          </cell>
          <cell r="L560">
            <v>0.21</v>
          </cell>
          <cell r="N560">
            <v>2012</v>
          </cell>
          <cell r="O560">
            <v>625</v>
          </cell>
          <cell r="P560">
            <v>18</v>
          </cell>
        </row>
        <row r="561">
          <cell r="B561" t="str">
            <v>Harbin Institute of Technology</v>
          </cell>
          <cell r="C561" t="str">
            <v>China</v>
          </cell>
          <cell r="D561" t="str">
            <v>350-400</v>
          </cell>
          <cell r="E561">
            <v>21</v>
          </cell>
          <cell r="F561">
            <v>12.5</v>
          </cell>
          <cell r="G561">
            <v>21</v>
          </cell>
          <cell r="H561">
            <v>97.2</v>
          </cell>
          <cell r="I561" t="str">
            <v>-</v>
          </cell>
          <cell r="J561">
            <v>31658</v>
          </cell>
          <cell r="K561">
            <v>10.8</v>
          </cell>
          <cell r="L561">
            <v>7.0000000000000007E-2</v>
          </cell>
          <cell r="M561" t="str">
            <v>29 : 71</v>
          </cell>
          <cell r="N561">
            <v>2012</v>
          </cell>
          <cell r="O561">
            <v>475</v>
          </cell>
          <cell r="P561">
            <v>22</v>
          </cell>
        </row>
        <row r="562">
          <cell r="B562" t="str">
            <v>Heriot-Watt University</v>
          </cell>
          <cell r="C562" t="str">
            <v>United Kingdom</v>
          </cell>
          <cell r="D562" t="str">
            <v>350-400</v>
          </cell>
          <cell r="E562">
            <v>82.6</v>
          </cell>
          <cell r="F562">
            <v>16.2</v>
          </cell>
          <cell r="G562">
            <v>18.8</v>
          </cell>
          <cell r="H562">
            <v>41.1</v>
          </cell>
          <cell r="I562" t="str">
            <v>-</v>
          </cell>
          <cell r="J562">
            <v>8773</v>
          </cell>
          <cell r="K562">
            <v>17.8</v>
          </cell>
          <cell r="L562">
            <v>0.43</v>
          </cell>
          <cell r="M562">
            <v>1.7493055555555554</v>
          </cell>
          <cell r="N562">
            <v>2012</v>
          </cell>
          <cell r="O562">
            <v>703</v>
          </cell>
          <cell r="P562">
            <v>53</v>
          </cell>
        </row>
        <row r="563">
          <cell r="B563" t="str">
            <v>Hiroshima University</v>
          </cell>
          <cell r="C563" t="str">
            <v>Japan</v>
          </cell>
          <cell r="D563" t="str">
            <v>350-400</v>
          </cell>
          <cell r="E563">
            <v>18.8</v>
          </cell>
          <cell r="F563">
            <v>16.3</v>
          </cell>
          <cell r="G563">
            <v>20.100000000000001</v>
          </cell>
          <cell r="H563">
            <v>39.4</v>
          </cell>
          <cell r="I563" t="str">
            <v>-</v>
          </cell>
          <cell r="J563">
            <v>14686</v>
          </cell>
          <cell r="K563">
            <v>8.1999999999999993</v>
          </cell>
          <cell r="L563">
            <v>0.05</v>
          </cell>
          <cell r="M563" t="str">
            <v>36 : 64</v>
          </cell>
          <cell r="N563">
            <v>2012</v>
          </cell>
          <cell r="O563">
            <v>279</v>
          </cell>
          <cell r="P563">
            <v>14</v>
          </cell>
        </row>
        <row r="564">
          <cell r="B564" t="str">
            <v>Kansas State University</v>
          </cell>
          <cell r="C564" t="str">
            <v>United States of America</v>
          </cell>
          <cell r="D564" t="str">
            <v>350-400</v>
          </cell>
          <cell r="E564">
            <v>23.6</v>
          </cell>
          <cell r="F564">
            <v>13.8</v>
          </cell>
          <cell r="G564">
            <v>33.9</v>
          </cell>
          <cell r="H564">
            <v>36</v>
          </cell>
          <cell r="I564" t="str">
            <v>-</v>
          </cell>
          <cell r="J564">
            <v>21379</v>
          </cell>
          <cell r="K564">
            <v>15.1</v>
          </cell>
          <cell r="L564">
            <v>0.1</v>
          </cell>
          <cell r="M564">
            <v>2.1180555555555554</v>
          </cell>
          <cell r="N564">
            <v>2012</v>
          </cell>
          <cell r="O564">
            <v>319</v>
          </cell>
          <cell r="P564">
            <v>120</v>
          </cell>
        </row>
        <row r="565">
          <cell r="B565" t="str">
            <v>Kobe University</v>
          </cell>
          <cell r="C565" t="str">
            <v>Japan</v>
          </cell>
          <cell r="D565" t="str">
            <v>350-400</v>
          </cell>
          <cell r="E565">
            <v>18.100000000000001</v>
          </cell>
          <cell r="F565">
            <v>15.5</v>
          </cell>
          <cell r="G565">
            <v>24.3</v>
          </cell>
          <cell r="H565">
            <v>33.5</v>
          </cell>
          <cell r="I565" t="str">
            <v>-</v>
          </cell>
          <cell r="J565">
            <v>15885</v>
          </cell>
          <cell r="K565">
            <v>8.4</v>
          </cell>
          <cell r="L565">
            <v>0.06</v>
          </cell>
          <cell r="M565" t="str">
            <v>33 : 67</v>
          </cell>
          <cell r="N565">
            <v>2012</v>
          </cell>
          <cell r="O565">
            <v>153</v>
          </cell>
          <cell r="P565">
            <v>11</v>
          </cell>
        </row>
        <row r="566">
          <cell r="B566" t="str">
            <v>Kyung Hee University</v>
          </cell>
          <cell r="C566" t="str">
            <v>South Korea</v>
          </cell>
          <cell r="D566" t="str">
            <v>350-400</v>
          </cell>
          <cell r="E566">
            <v>31.4</v>
          </cell>
          <cell r="F566">
            <v>17.899999999999999</v>
          </cell>
          <cell r="G566">
            <v>6.6</v>
          </cell>
          <cell r="H566">
            <v>79.900000000000006</v>
          </cell>
          <cell r="I566" t="str">
            <v>-</v>
          </cell>
          <cell r="J566">
            <v>24356</v>
          </cell>
          <cell r="K566">
            <v>17.399999999999999</v>
          </cell>
          <cell r="L566">
            <v>0.14000000000000001</v>
          </cell>
          <cell r="N566">
            <v>2012</v>
          </cell>
          <cell r="O566">
            <v>380</v>
          </cell>
          <cell r="P566">
            <v>11</v>
          </cell>
        </row>
        <row r="567">
          <cell r="B567" t="str">
            <v>La Trobe University</v>
          </cell>
          <cell r="C567" t="str">
            <v>Australia</v>
          </cell>
          <cell r="D567" t="str">
            <v>350-400</v>
          </cell>
          <cell r="E567">
            <v>71.3</v>
          </cell>
          <cell r="F567">
            <v>19.5</v>
          </cell>
          <cell r="G567">
            <v>13.6</v>
          </cell>
          <cell r="H567">
            <v>28.9</v>
          </cell>
          <cell r="I567" t="str">
            <v>-</v>
          </cell>
          <cell r="J567">
            <v>22037</v>
          </cell>
          <cell r="K567">
            <v>29</v>
          </cell>
          <cell r="L567">
            <v>0.27</v>
          </cell>
          <cell r="M567">
            <v>2.6506944444444445</v>
          </cell>
          <cell r="N567">
            <v>2012</v>
          </cell>
          <cell r="O567">
            <v>636</v>
          </cell>
          <cell r="P567">
            <v>19</v>
          </cell>
        </row>
        <row r="568">
          <cell r="B568" t="str">
            <v>Leibniz University of Hanover</v>
          </cell>
          <cell r="C568" t="str">
            <v>Germany</v>
          </cell>
          <cell r="D568" t="str">
            <v>350-400</v>
          </cell>
          <cell r="E568">
            <v>51.4</v>
          </cell>
          <cell r="F568">
            <v>15.9</v>
          </cell>
          <cell r="G568">
            <v>21.7</v>
          </cell>
          <cell r="H568">
            <v>38.9</v>
          </cell>
          <cell r="I568" t="str">
            <v>-</v>
          </cell>
          <cell r="J568">
            <v>22401</v>
          </cell>
          <cell r="K568">
            <v>62.7</v>
          </cell>
          <cell r="L568">
            <v>0.12</v>
          </cell>
          <cell r="M568">
            <v>1.7493055555555554</v>
          </cell>
          <cell r="N568">
            <v>2012</v>
          </cell>
          <cell r="O568" t="e">
            <v>#N/A</v>
          </cell>
          <cell r="P568" t="e">
            <v>#N/A</v>
          </cell>
        </row>
        <row r="569">
          <cell r="B569" t="str">
            <v>Liverpool John Moores University</v>
          </cell>
          <cell r="C569" t="str">
            <v>United Kingdom</v>
          </cell>
          <cell r="D569" t="str">
            <v>350-400</v>
          </cell>
          <cell r="E569">
            <v>52.6</v>
          </cell>
          <cell r="F569">
            <v>9.3000000000000007</v>
          </cell>
          <cell r="G569">
            <v>48.4</v>
          </cell>
          <cell r="H569">
            <v>26.9</v>
          </cell>
          <cell r="I569" t="str">
            <v>-</v>
          </cell>
          <cell r="J569">
            <v>18513</v>
          </cell>
          <cell r="K569">
            <v>19.8</v>
          </cell>
          <cell r="L569">
            <v>0.13</v>
          </cell>
          <cell r="M569">
            <v>2.2000000000000002</v>
          </cell>
          <cell r="N569">
            <v>2012</v>
          </cell>
          <cell r="O569">
            <v>724</v>
          </cell>
          <cell r="P569">
            <v>56</v>
          </cell>
        </row>
        <row r="570">
          <cell r="B570" t="str">
            <v>Loughborough University</v>
          </cell>
          <cell r="C570" t="str">
            <v>United Kingdom</v>
          </cell>
          <cell r="D570" t="str">
            <v>350-400</v>
          </cell>
          <cell r="E570">
            <v>66.7</v>
          </cell>
          <cell r="F570">
            <v>25.7</v>
          </cell>
          <cell r="G570">
            <v>9.1999999999999993</v>
          </cell>
          <cell r="H570">
            <v>39.4</v>
          </cell>
          <cell r="I570" t="str">
            <v>-</v>
          </cell>
          <cell r="J570">
            <v>13951</v>
          </cell>
          <cell r="K570">
            <v>15.9</v>
          </cell>
          <cell r="L570">
            <v>0.22</v>
          </cell>
          <cell r="M570" t="str">
            <v>38 : 62</v>
          </cell>
          <cell r="N570">
            <v>2012</v>
          </cell>
          <cell r="O570">
            <v>705</v>
          </cell>
          <cell r="P570">
            <v>54</v>
          </cell>
        </row>
        <row r="571">
          <cell r="B571" t="str">
            <v>Mahidol University</v>
          </cell>
          <cell r="C571" t="str">
            <v>Thailand</v>
          </cell>
          <cell r="D571" t="str">
            <v>350-400</v>
          </cell>
          <cell r="E571">
            <v>45</v>
          </cell>
          <cell r="F571">
            <v>14.7</v>
          </cell>
          <cell r="G571">
            <v>20.9</v>
          </cell>
          <cell r="H571">
            <v>29</v>
          </cell>
          <cell r="I571" t="str">
            <v>-</v>
          </cell>
          <cell r="J571">
            <v>27402</v>
          </cell>
          <cell r="K571">
            <v>7.5</v>
          </cell>
          <cell r="L571">
            <v>0.03</v>
          </cell>
          <cell r="M571">
            <v>2.6506944444444445</v>
          </cell>
          <cell r="N571">
            <v>2012</v>
          </cell>
          <cell r="O571">
            <v>550</v>
          </cell>
          <cell r="P571">
            <v>2</v>
          </cell>
        </row>
        <row r="572">
          <cell r="B572" t="str">
            <v>Massey University</v>
          </cell>
          <cell r="C572" t="str">
            <v>New Zealand</v>
          </cell>
          <cell r="D572" t="str">
            <v>350-400</v>
          </cell>
          <cell r="E572">
            <v>77.8</v>
          </cell>
          <cell r="F572">
            <v>17.2</v>
          </cell>
          <cell r="G572">
            <v>24.5</v>
          </cell>
          <cell r="H572" t="str">
            <v>-</v>
          </cell>
          <cell r="I572" t="str">
            <v>-</v>
          </cell>
          <cell r="J572">
            <v>19101</v>
          </cell>
          <cell r="K572">
            <v>16.8</v>
          </cell>
          <cell r="L572">
            <v>0.15</v>
          </cell>
          <cell r="M572">
            <v>2.6097222222222221</v>
          </cell>
          <cell r="N572">
            <v>2012</v>
          </cell>
          <cell r="O572">
            <v>628</v>
          </cell>
          <cell r="P572">
            <v>5</v>
          </cell>
        </row>
        <row r="573">
          <cell r="B573" t="str">
            <v>Michigan Technological University</v>
          </cell>
          <cell r="C573" t="str">
            <v>United States of America</v>
          </cell>
          <cell r="D573" t="str">
            <v>350-400</v>
          </cell>
          <cell r="E573">
            <v>32.299999999999997</v>
          </cell>
          <cell r="F573">
            <v>13.8</v>
          </cell>
          <cell r="G573">
            <v>24.8</v>
          </cell>
          <cell r="H573">
            <v>41.9</v>
          </cell>
          <cell r="I573" t="str">
            <v>-</v>
          </cell>
          <cell r="N573">
            <v>2012</v>
          </cell>
          <cell r="O573">
            <v>796</v>
          </cell>
          <cell r="P573">
            <v>216</v>
          </cell>
        </row>
        <row r="574">
          <cell r="B574" t="str">
            <v>National Central University</v>
          </cell>
          <cell r="C574" t="str">
            <v>Taiwan</v>
          </cell>
          <cell r="D574" t="str">
            <v>350-400</v>
          </cell>
          <cell r="E574">
            <v>22.2</v>
          </cell>
          <cell r="F574">
            <v>21.4</v>
          </cell>
          <cell r="G574">
            <v>27.1</v>
          </cell>
          <cell r="H574">
            <v>78.599999999999994</v>
          </cell>
          <cell r="I574" t="str">
            <v>-</v>
          </cell>
          <cell r="J574">
            <v>10915</v>
          </cell>
          <cell r="K574">
            <v>9.8000000000000007</v>
          </cell>
          <cell r="L574">
            <v>0.06</v>
          </cell>
          <cell r="M574" t="str">
            <v>31 : 69</v>
          </cell>
          <cell r="N574">
            <v>2012</v>
          </cell>
          <cell r="O574">
            <v>565</v>
          </cell>
          <cell r="P574">
            <v>6</v>
          </cell>
        </row>
        <row r="575">
          <cell r="B575" t="str">
            <v>National Taiwan Ocean University</v>
          </cell>
          <cell r="C575" t="str">
            <v>Taiwan</v>
          </cell>
          <cell r="D575" t="str">
            <v>350-400</v>
          </cell>
          <cell r="E575">
            <v>14.3</v>
          </cell>
          <cell r="F575">
            <v>19.7</v>
          </cell>
          <cell r="G575">
            <v>31</v>
          </cell>
          <cell r="H575">
            <v>68</v>
          </cell>
          <cell r="I575" t="str">
            <v>-</v>
          </cell>
          <cell r="J575">
            <v>8240</v>
          </cell>
          <cell r="K575">
            <v>20.9</v>
          </cell>
          <cell r="L575">
            <v>0.05</v>
          </cell>
          <cell r="M575" t="str">
            <v>30 : 70</v>
          </cell>
          <cell r="N575">
            <v>2012</v>
          </cell>
          <cell r="O575">
            <v>899</v>
          </cell>
          <cell r="P575">
            <v>17</v>
          </cell>
        </row>
        <row r="576">
          <cell r="B576" t="str">
            <v>National University of Ireland, Galway</v>
          </cell>
          <cell r="C576" t="str">
            <v>Republic of Ireland</v>
          </cell>
          <cell r="D576" t="str">
            <v>350-400</v>
          </cell>
          <cell r="E576">
            <v>72.599999999999994</v>
          </cell>
          <cell r="F576">
            <v>12.2</v>
          </cell>
          <cell r="G576">
            <v>31.3</v>
          </cell>
          <cell r="H576">
            <v>32.700000000000003</v>
          </cell>
          <cell r="I576" t="str">
            <v>-</v>
          </cell>
          <cell r="J576">
            <v>14067</v>
          </cell>
          <cell r="K576">
            <v>26.8</v>
          </cell>
          <cell r="L576">
            <v>0.14000000000000001</v>
          </cell>
          <cell r="M576">
            <v>2.3638888888888889</v>
          </cell>
          <cell r="N576">
            <v>2012</v>
          </cell>
          <cell r="O576">
            <v>600</v>
          </cell>
          <cell r="P576">
            <v>4</v>
          </cell>
        </row>
        <row r="577">
          <cell r="B577" t="str">
            <v>National University of Ireland, Maynooth</v>
          </cell>
          <cell r="C577" t="str">
            <v>Republic of Ireland</v>
          </cell>
          <cell r="D577" t="str">
            <v>350-400</v>
          </cell>
          <cell r="E577">
            <v>74.8</v>
          </cell>
          <cell r="F577">
            <v>18.600000000000001</v>
          </cell>
          <cell r="G577">
            <v>22.1</v>
          </cell>
          <cell r="H577">
            <v>27.1</v>
          </cell>
          <cell r="I577" t="str">
            <v>-</v>
          </cell>
          <cell r="J577">
            <v>7653</v>
          </cell>
          <cell r="K577">
            <v>28</v>
          </cell>
          <cell r="L577">
            <v>0.11</v>
          </cell>
          <cell r="M577">
            <v>2.3229166666666665</v>
          </cell>
          <cell r="N577">
            <v>2012</v>
          </cell>
          <cell r="O577">
            <v>820</v>
          </cell>
          <cell r="P577">
            <v>7</v>
          </cell>
        </row>
        <row r="578">
          <cell r="B578" t="str">
            <v>New Jersey Institute of Technology</v>
          </cell>
          <cell r="C578" t="str">
            <v>United States of America</v>
          </cell>
          <cell r="D578" t="str">
            <v>350-400</v>
          </cell>
          <cell r="E578">
            <v>41.3</v>
          </cell>
          <cell r="F578">
            <v>14.5</v>
          </cell>
          <cell r="G578">
            <v>26.4</v>
          </cell>
          <cell r="H578">
            <v>37.5</v>
          </cell>
          <cell r="I578" t="str">
            <v>-</v>
          </cell>
          <cell r="J578">
            <v>10646</v>
          </cell>
          <cell r="K578">
            <v>26.2</v>
          </cell>
          <cell r="L578">
            <v>0.17</v>
          </cell>
          <cell r="M578" t="str">
            <v>25 : 75</v>
          </cell>
          <cell r="N578">
            <v>2012</v>
          </cell>
          <cell r="O578">
            <v>661</v>
          </cell>
          <cell r="P578">
            <v>190</v>
          </cell>
        </row>
        <row r="579">
          <cell r="B579" t="str">
            <v>New University of Lisbon</v>
          </cell>
          <cell r="C579" t="str">
            <v>Portugal</v>
          </cell>
          <cell r="D579" t="str">
            <v>350-400</v>
          </cell>
          <cell r="E579">
            <v>48.3</v>
          </cell>
          <cell r="F579">
            <v>10.9</v>
          </cell>
          <cell r="G579">
            <v>28.3</v>
          </cell>
          <cell r="H579">
            <v>38.299999999999997</v>
          </cell>
          <cell r="I579" t="str">
            <v>-</v>
          </cell>
          <cell r="J579">
            <v>18867</v>
          </cell>
          <cell r="K579">
            <v>17.899999999999999</v>
          </cell>
          <cell r="L579">
            <v>7.0000000000000007E-2</v>
          </cell>
          <cell r="M579">
            <v>2.0770833333333334</v>
          </cell>
          <cell r="N579">
            <v>2012</v>
          </cell>
          <cell r="O579" t="e">
            <v>#N/A</v>
          </cell>
          <cell r="P579" t="e">
            <v>#N/A</v>
          </cell>
        </row>
        <row r="580">
          <cell r="B580" t="str">
            <v>Old Dominion University</v>
          </cell>
          <cell r="C580" t="str">
            <v>United States of America</v>
          </cell>
          <cell r="D580" t="str">
            <v>350-400</v>
          </cell>
          <cell r="E580">
            <v>27.3</v>
          </cell>
          <cell r="F580">
            <v>12.5</v>
          </cell>
          <cell r="G580">
            <v>46.9</v>
          </cell>
          <cell r="H580" t="str">
            <v>-</v>
          </cell>
          <cell r="I580" t="str">
            <v>-</v>
          </cell>
          <cell r="N580">
            <v>2012</v>
          </cell>
          <cell r="O580">
            <v>675</v>
          </cell>
          <cell r="P580">
            <v>194</v>
          </cell>
        </row>
        <row r="581">
          <cell r="B581" t="str">
            <v>Polytechnic University of Catalonia</v>
          </cell>
          <cell r="C581" t="str">
            <v>Spain</v>
          </cell>
          <cell r="D581" t="str">
            <v>350-400</v>
          </cell>
          <cell r="E581">
            <v>42</v>
          </cell>
          <cell r="F581">
            <v>12.5</v>
          </cell>
          <cell r="G581">
            <v>23.3</v>
          </cell>
          <cell r="H581">
            <v>44.6</v>
          </cell>
          <cell r="I581" t="str">
            <v>-</v>
          </cell>
          <cell r="J581">
            <v>22893</v>
          </cell>
          <cell r="K581">
            <v>11.7</v>
          </cell>
          <cell r="L581">
            <v>0.28000000000000003</v>
          </cell>
          <cell r="M581">
            <v>0.56111111111111112</v>
          </cell>
          <cell r="N581">
            <v>2012</v>
          </cell>
          <cell r="O581">
            <v>410</v>
          </cell>
          <cell r="P581">
            <v>9</v>
          </cell>
        </row>
        <row r="582">
          <cell r="B582" t="str">
            <v>Polytechnic University of Turin</v>
          </cell>
          <cell r="C582" t="str">
            <v>Italy</v>
          </cell>
          <cell r="D582" t="str">
            <v>350-400</v>
          </cell>
          <cell r="E582">
            <v>32.4</v>
          </cell>
          <cell r="F582">
            <v>12.1</v>
          </cell>
          <cell r="G582">
            <v>29.1</v>
          </cell>
          <cell r="H582">
            <v>67.599999999999994</v>
          </cell>
          <cell r="I582" t="str">
            <v>-</v>
          </cell>
          <cell r="J582">
            <v>27709</v>
          </cell>
          <cell r="K582">
            <v>19.600000000000001</v>
          </cell>
          <cell r="L582">
            <v>0.16</v>
          </cell>
          <cell r="M582" t="str">
            <v>29 : 71</v>
          </cell>
          <cell r="N582">
            <v>2012</v>
          </cell>
          <cell r="O582">
            <v>579</v>
          </cell>
          <cell r="P582">
            <v>31</v>
          </cell>
        </row>
        <row r="583">
          <cell r="B583" t="str">
            <v>Polytechnic University of Valencia</v>
          </cell>
          <cell r="C583" t="str">
            <v>Spain</v>
          </cell>
          <cell r="D583" t="str">
            <v>350-400</v>
          </cell>
          <cell r="E583">
            <v>23.6</v>
          </cell>
          <cell r="F583">
            <v>9.8000000000000007</v>
          </cell>
          <cell r="G583">
            <v>45.3</v>
          </cell>
          <cell r="H583">
            <v>36.6</v>
          </cell>
          <cell r="I583" t="str">
            <v>-</v>
          </cell>
          <cell r="J583">
            <v>33172</v>
          </cell>
          <cell r="K583">
            <v>13.6</v>
          </cell>
          <cell r="L583">
            <v>7.0000000000000007E-2</v>
          </cell>
          <cell r="M583" t="str">
            <v>36 : 64</v>
          </cell>
          <cell r="N583">
            <v>2012</v>
          </cell>
          <cell r="O583">
            <v>474</v>
          </cell>
          <cell r="P583">
            <v>13</v>
          </cell>
        </row>
        <row r="584">
          <cell r="B584" t="str">
            <v>Pontifical Catholic University of Chile</v>
          </cell>
          <cell r="C584" t="str">
            <v>Chile</v>
          </cell>
          <cell r="D584" t="str">
            <v>350-400</v>
          </cell>
          <cell r="E584">
            <v>45.5</v>
          </cell>
          <cell r="F584">
            <v>16.3</v>
          </cell>
          <cell r="G584">
            <v>30.1</v>
          </cell>
          <cell r="H584">
            <v>29.7</v>
          </cell>
          <cell r="I584" t="str">
            <v>-</v>
          </cell>
          <cell r="J584">
            <v>25075</v>
          </cell>
          <cell r="K584">
            <v>15.3</v>
          </cell>
          <cell r="L584">
            <v>7.0000000000000007E-2</v>
          </cell>
          <cell r="N584">
            <v>2012</v>
          </cell>
          <cell r="O584">
            <v>450</v>
          </cell>
          <cell r="P584">
            <v>1</v>
          </cell>
        </row>
        <row r="585">
          <cell r="B585" t="str">
            <v>Saint Petersburg State University</v>
          </cell>
          <cell r="C585" t="str">
            <v>Russian Federation</v>
          </cell>
          <cell r="D585" t="str">
            <v>350-400</v>
          </cell>
          <cell r="E585">
            <v>38.1</v>
          </cell>
          <cell r="F585">
            <v>19.7</v>
          </cell>
          <cell r="G585">
            <v>3.1</v>
          </cell>
          <cell r="H585">
            <v>26</v>
          </cell>
          <cell r="I585" t="str">
            <v>-</v>
          </cell>
          <cell r="J585">
            <v>20836</v>
          </cell>
          <cell r="K585">
            <v>5.2</v>
          </cell>
          <cell r="L585">
            <v>7.0000000000000007E-2</v>
          </cell>
          <cell r="M585">
            <v>2.5277777777777777</v>
          </cell>
          <cell r="N585">
            <v>2012</v>
          </cell>
          <cell r="O585">
            <v>285</v>
          </cell>
          <cell r="P585">
            <v>2</v>
          </cell>
        </row>
        <row r="586">
          <cell r="B586" t="str">
            <v>Swansea University</v>
          </cell>
          <cell r="C586" t="str">
            <v>United Kingdom</v>
          </cell>
          <cell r="D586" t="str">
            <v>350-400</v>
          </cell>
          <cell r="E586">
            <v>63.3</v>
          </cell>
          <cell r="F586">
            <v>18.100000000000001</v>
          </cell>
          <cell r="G586">
            <v>25.6</v>
          </cell>
          <cell r="H586">
            <v>28.8</v>
          </cell>
          <cell r="I586" t="str">
            <v>-</v>
          </cell>
          <cell r="J586">
            <v>12801</v>
          </cell>
          <cell r="K586">
            <v>17.100000000000001</v>
          </cell>
          <cell r="L586">
            <v>0.2</v>
          </cell>
          <cell r="M586">
            <v>2.0770833333333334</v>
          </cell>
          <cell r="N586">
            <v>2012</v>
          </cell>
          <cell r="O586">
            <v>699</v>
          </cell>
          <cell r="P586">
            <v>52</v>
          </cell>
        </row>
        <row r="587">
          <cell r="B587" t="str">
            <v>Swinburne University of Technology</v>
          </cell>
          <cell r="C587" t="str">
            <v>Australia</v>
          </cell>
          <cell r="D587" t="str">
            <v>350-400</v>
          </cell>
          <cell r="E587">
            <v>64.599999999999994</v>
          </cell>
          <cell r="F587">
            <v>11.3</v>
          </cell>
          <cell r="G587">
            <v>35.6</v>
          </cell>
          <cell r="H587">
            <v>40.299999999999997</v>
          </cell>
          <cell r="I587" t="str">
            <v>-</v>
          </cell>
          <cell r="J587">
            <v>20314</v>
          </cell>
          <cell r="K587">
            <v>36.5</v>
          </cell>
          <cell r="L587">
            <v>0.33</v>
          </cell>
          <cell r="M587">
            <v>1.8722222222222222</v>
          </cell>
          <cell r="N587">
            <v>2012</v>
          </cell>
          <cell r="O587">
            <v>737</v>
          </cell>
          <cell r="P587">
            <v>21</v>
          </cell>
        </row>
        <row r="588">
          <cell r="B588" t="str">
            <v>Tokyo University of Agriculture and Technology</v>
          </cell>
          <cell r="C588" t="str">
            <v>Japan</v>
          </cell>
          <cell r="D588" t="str">
            <v>350-400</v>
          </cell>
          <cell r="E588">
            <v>18</v>
          </cell>
          <cell r="F588">
            <v>15.8</v>
          </cell>
          <cell r="G588">
            <v>21.7</v>
          </cell>
          <cell r="H588">
            <v>41.5</v>
          </cell>
          <cell r="I588" t="str">
            <v>-</v>
          </cell>
          <cell r="J588">
            <v>5865</v>
          </cell>
          <cell r="K588">
            <v>14.4</v>
          </cell>
          <cell r="L588">
            <v>0.05</v>
          </cell>
          <cell r="M588" t="str">
            <v>27 : 73</v>
          </cell>
          <cell r="N588">
            <v>2012</v>
          </cell>
          <cell r="O588">
            <v>603</v>
          </cell>
          <cell r="P588">
            <v>40</v>
          </cell>
        </row>
        <row r="589">
          <cell r="B589" t="str">
            <v>University of Bari Aldo Moro</v>
          </cell>
          <cell r="C589" t="str">
            <v>Italy</v>
          </cell>
          <cell r="D589" t="str">
            <v>350-400</v>
          </cell>
          <cell r="E589">
            <v>30.5</v>
          </cell>
          <cell r="F589">
            <v>17.399999999999999</v>
          </cell>
          <cell r="G589">
            <v>35.1</v>
          </cell>
          <cell r="H589">
            <v>30.6</v>
          </cell>
          <cell r="I589" t="str">
            <v>-</v>
          </cell>
          <cell r="J589">
            <v>51560</v>
          </cell>
          <cell r="K589">
            <v>65.099999999999994</v>
          </cell>
          <cell r="L589">
            <v>0.02</v>
          </cell>
          <cell r="M589">
            <v>2.7326388888888888</v>
          </cell>
          <cell r="N589">
            <v>2012</v>
          </cell>
          <cell r="O589">
            <v>388</v>
          </cell>
          <cell r="P589">
            <v>18</v>
          </cell>
        </row>
        <row r="590">
          <cell r="B590" t="str">
            <v>University of Coimbra</v>
          </cell>
          <cell r="C590" t="str">
            <v>Portugal</v>
          </cell>
          <cell r="D590" t="str">
            <v>350-400</v>
          </cell>
          <cell r="E590">
            <v>55.8</v>
          </cell>
          <cell r="F590">
            <v>11.6</v>
          </cell>
          <cell r="G590">
            <v>27.4</v>
          </cell>
          <cell r="H590">
            <v>29.4</v>
          </cell>
          <cell r="I590" t="str">
            <v>-</v>
          </cell>
          <cell r="J590">
            <v>22795</v>
          </cell>
          <cell r="K590">
            <v>19</v>
          </cell>
          <cell r="L590">
            <v>0.11</v>
          </cell>
          <cell r="M590">
            <v>2.3229166666666665</v>
          </cell>
          <cell r="N590">
            <v>2012</v>
          </cell>
          <cell r="O590">
            <v>545</v>
          </cell>
          <cell r="P590">
            <v>3</v>
          </cell>
        </row>
        <row r="591">
          <cell r="B591" t="str">
            <v>University of Idaho</v>
          </cell>
          <cell r="C591" t="str">
            <v>United States of America</v>
          </cell>
          <cell r="D591" t="str">
            <v>350-400</v>
          </cell>
          <cell r="E591">
            <v>27.4</v>
          </cell>
          <cell r="F591">
            <v>16.2</v>
          </cell>
          <cell r="G591">
            <v>24</v>
          </cell>
          <cell r="H591">
            <v>25.5</v>
          </cell>
          <cell r="I591" t="str">
            <v>-</v>
          </cell>
          <cell r="J591">
            <v>11641</v>
          </cell>
          <cell r="K591">
            <v>21.5</v>
          </cell>
          <cell r="L591">
            <v>0.06</v>
          </cell>
          <cell r="M591">
            <v>1.9951388888888888</v>
          </cell>
          <cell r="N591">
            <v>2012</v>
          </cell>
          <cell r="O591">
            <v>638</v>
          </cell>
          <cell r="P591">
            <v>184</v>
          </cell>
        </row>
        <row r="592">
          <cell r="B592" t="str">
            <v>University of Kent</v>
          </cell>
          <cell r="C592" t="str">
            <v>United Kingdom</v>
          </cell>
          <cell r="D592" t="str">
            <v>350-400</v>
          </cell>
          <cell r="E592">
            <v>82.5</v>
          </cell>
          <cell r="F592">
            <v>18.5</v>
          </cell>
          <cell r="G592">
            <v>19.100000000000001</v>
          </cell>
          <cell r="H592">
            <v>26.5</v>
          </cell>
          <cell r="I592" t="str">
            <v>-</v>
          </cell>
          <cell r="J592">
            <v>17638</v>
          </cell>
          <cell r="K592">
            <v>14.4</v>
          </cell>
          <cell r="L592">
            <v>0.27</v>
          </cell>
          <cell r="M592">
            <v>2.2409722222222221</v>
          </cell>
          <cell r="N592">
            <v>2012</v>
          </cell>
          <cell r="O592">
            <v>693</v>
          </cell>
          <cell r="P592">
            <v>51</v>
          </cell>
        </row>
        <row r="593">
          <cell r="B593" t="str">
            <v>University of Paris North â€“ Paris 13</v>
          </cell>
          <cell r="C593" t="str">
            <v>France</v>
          </cell>
          <cell r="D593" t="str">
            <v>350-400</v>
          </cell>
          <cell r="E593">
            <v>59.9</v>
          </cell>
          <cell r="F593">
            <v>11.8</v>
          </cell>
          <cell r="G593">
            <v>39.4</v>
          </cell>
          <cell r="H593">
            <v>24.2</v>
          </cell>
          <cell r="I593" t="str">
            <v>-</v>
          </cell>
          <cell r="J593">
            <v>23026</v>
          </cell>
          <cell r="K593">
            <v>23.4</v>
          </cell>
          <cell r="L593">
            <v>0.22</v>
          </cell>
          <cell r="M593">
            <v>2.5277777777777777</v>
          </cell>
          <cell r="N593">
            <v>2012</v>
          </cell>
          <cell r="O593" t="e">
            <v>#N/A</v>
          </cell>
          <cell r="P593" t="e">
            <v>#N/A</v>
          </cell>
        </row>
        <row r="594">
          <cell r="B594" t="str">
            <v>University of Salento</v>
          </cell>
          <cell r="C594" t="str">
            <v>Italy</v>
          </cell>
          <cell r="D594" t="str">
            <v>350-400</v>
          </cell>
          <cell r="E594">
            <v>24.4</v>
          </cell>
          <cell r="F594">
            <v>19.100000000000001</v>
          </cell>
          <cell r="G594">
            <v>27.2</v>
          </cell>
          <cell r="H594">
            <v>73.099999999999994</v>
          </cell>
          <cell r="I594" t="str">
            <v>-</v>
          </cell>
          <cell r="J594">
            <v>19959</v>
          </cell>
          <cell r="K594">
            <v>58.4</v>
          </cell>
          <cell r="L594">
            <v>0.01</v>
          </cell>
          <cell r="M594">
            <v>2.6916666666666669</v>
          </cell>
          <cell r="N594">
            <v>2012</v>
          </cell>
          <cell r="O594">
            <v>785</v>
          </cell>
          <cell r="P594">
            <v>42</v>
          </cell>
        </row>
        <row r="595">
          <cell r="B595" t="str">
            <v>University of South Australia</v>
          </cell>
          <cell r="C595" t="str">
            <v>Australia</v>
          </cell>
          <cell r="D595" t="str">
            <v>350-400</v>
          </cell>
          <cell r="E595">
            <v>81.8</v>
          </cell>
          <cell r="F595">
            <v>18</v>
          </cell>
          <cell r="G595">
            <v>19.399999999999999</v>
          </cell>
          <cell r="H595">
            <v>87.7</v>
          </cell>
          <cell r="I595" t="str">
            <v>-</v>
          </cell>
          <cell r="J595">
            <v>18971</v>
          </cell>
          <cell r="K595">
            <v>26.2</v>
          </cell>
          <cell r="L595">
            <v>0.32</v>
          </cell>
          <cell r="M595">
            <v>2.4868055555555557</v>
          </cell>
          <cell r="N595">
            <v>2012</v>
          </cell>
          <cell r="O595">
            <v>723</v>
          </cell>
          <cell r="P595">
            <v>20</v>
          </cell>
        </row>
        <row r="596">
          <cell r="B596" t="str">
            <v>University of Strathclyde</v>
          </cell>
          <cell r="C596" t="str">
            <v>United Kingdom</v>
          </cell>
          <cell r="D596" t="str">
            <v>350-400</v>
          </cell>
          <cell r="E596">
            <v>63</v>
          </cell>
          <cell r="F596">
            <v>17.7</v>
          </cell>
          <cell r="G596">
            <v>19.3</v>
          </cell>
          <cell r="H596">
            <v>33.1</v>
          </cell>
          <cell r="I596" t="str">
            <v>-</v>
          </cell>
          <cell r="J596">
            <v>15705</v>
          </cell>
          <cell r="K596">
            <v>20.2</v>
          </cell>
          <cell r="L596">
            <v>0.2</v>
          </cell>
          <cell r="M596">
            <v>2.1180555555555554</v>
          </cell>
          <cell r="N596">
            <v>2012</v>
          </cell>
          <cell r="O596">
            <v>472</v>
          </cell>
          <cell r="P596">
            <v>39</v>
          </cell>
        </row>
        <row r="597">
          <cell r="B597" t="str">
            <v>University of Tartu</v>
          </cell>
          <cell r="C597" t="str">
            <v>Estonia</v>
          </cell>
          <cell r="D597" t="str">
            <v>350-400</v>
          </cell>
          <cell r="E597">
            <v>42</v>
          </cell>
          <cell r="F597">
            <v>17.8</v>
          </cell>
          <cell r="G597">
            <v>34.4</v>
          </cell>
          <cell r="H597">
            <v>26.3</v>
          </cell>
          <cell r="I597" t="str">
            <v>-</v>
          </cell>
          <cell r="J597">
            <v>10269</v>
          </cell>
          <cell r="K597">
            <v>13</v>
          </cell>
          <cell r="L597">
            <v>0.03</v>
          </cell>
          <cell r="M597">
            <v>2.7736111111111112</v>
          </cell>
          <cell r="N597">
            <v>2012</v>
          </cell>
          <cell r="O597">
            <v>556</v>
          </cell>
          <cell r="P597">
            <v>1</v>
          </cell>
        </row>
        <row r="598">
          <cell r="B598" t="str">
            <v>University of Turku</v>
          </cell>
          <cell r="C598" t="str">
            <v>Finland</v>
          </cell>
          <cell r="D598" t="str">
            <v>350-400</v>
          </cell>
          <cell r="E598">
            <v>41.4</v>
          </cell>
          <cell r="F598">
            <v>21.5</v>
          </cell>
          <cell r="G598">
            <v>28.9</v>
          </cell>
          <cell r="H598">
            <v>32.299999999999997</v>
          </cell>
          <cell r="I598" t="str">
            <v>-</v>
          </cell>
          <cell r="J598">
            <v>12326</v>
          </cell>
          <cell r="K598">
            <v>14.6</v>
          </cell>
          <cell r="L598">
            <v>0.05</v>
          </cell>
          <cell r="M598">
            <v>2.5687500000000001</v>
          </cell>
          <cell r="N598">
            <v>2012</v>
          </cell>
          <cell r="O598">
            <v>391</v>
          </cell>
          <cell r="P598">
            <v>3</v>
          </cell>
        </row>
        <row r="599">
          <cell r="B599" t="str">
            <v>University of Wyoming</v>
          </cell>
          <cell r="C599" t="str">
            <v>United States of America</v>
          </cell>
          <cell r="D599" t="str">
            <v>350-400</v>
          </cell>
          <cell r="E599">
            <v>21.8</v>
          </cell>
          <cell r="F599">
            <v>20.9</v>
          </cell>
          <cell r="G599">
            <v>36.700000000000003</v>
          </cell>
          <cell r="H599">
            <v>29.8</v>
          </cell>
          <cell r="I599" t="str">
            <v>-</v>
          </cell>
          <cell r="N599">
            <v>2012</v>
          </cell>
          <cell r="O599">
            <v>485</v>
          </cell>
          <cell r="P599">
            <v>157</v>
          </cell>
        </row>
        <row r="600">
          <cell r="B600" t="str">
            <v>University of Zaragoza</v>
          </cell>
          <cell r="C600" t="str">
            <v>Spain</v>
          </cell>
          <cell r="D600" t="str">
            <v>350-400</v>
          </cell>
          <cell r="E600">
            <v>28.8</v>
          </cell>
          <cell r="F600">
            <v>9.3000000000000007</v>
          </cell>
          <cell r="G600">
            <v>38.4</v>
          </cell>
          <cell r="H600">
            <v>42.9</v>
          </cell>
          <cell r="I600" t="str">
            <v>-</v>
          </cell>
          <cell r="J600">
            <v>31046</v>
          </cell>
          <cell r="K600">
            <v>11.8</v>
          </cell>
          <cell r="L600">
            <v>0.05</v>
          </cell>
          <cell r="M600">
            <v>2.3229166666666665</v>
          </cell>
          <cell r="N600">
            <v>2012</v>
          </cell>
          <cell r="O600">
            <v>520</v>
          </cell>
          <cell r="P600">
            <v>15</v>
          </cell>
        </row>
        <row r="601">
          <cell r="B601" t="str">
            <v>Waseda University</v>
          </cell>
          <cell r="C601" t="str">
            <v>Japan</v>
          </cell>
          <cell r="D601" t="str">
            <v>350-400</v>
          </cell>
          <cell r="E601">
            <v>27.1</v>
          </cell>
          <cell r="F601">
            <v>17.3</v>
          </cell>
          <cell r="G601">
            <v>29.7</v>
          </cell>
          <cell r="H601">
            <v>27.3</v>
          </cell>
          <cell r="I601" t="str">
            <v>-</v>
          </cell>
          <cell r="J601">
            <v>52316</v>
          </cell>
          <cell r="K601">
            <v>16.899999999999999</v>
          </cell>
          <cell r="L601">
            <v>0.08</v>
          </cell>
          <cell r="M601" t="str">
            <v>35 : 65</v>
          </cell>
          <cell r="N601">
            <v>2012</v>
          </cell>
          <cell r="O601">
            <v>40</v>
          </cell>
          <cell r="P601">
            <v>4</v>
          </cell>
        </row>
        <row r="602">
          <cell r="B602" t="str">
            <v>Wuhan University</v>
          </cell>
          <cell r="C602" t="str">
            <v>China</v>
          </cell>
          <cell r="D602" t="str">
            <v>350-400</v>
          </cell>
          <cell r="E602">
            <v>21.7</v>
          </cell>
          <cell r="F602">
            <v>12.9</v>
          </cell>
          <cell r="G602">
            <v>25.3</v>
          </cell>
          <cell r="H602">
            <v>66.7</v>
          </cell>
          <cell r="I602" t="str">
            <v>-</v>
          </cell>
          <cell r="J602">
            <v>46227</v>
          </cell>
          <cell r="K602">
            <v>14.4</v>
          </cell>
          <cell r="L602">
            <v>7.0000000000000007E-2</v>
          </cell>
          <cell r="N602">
            <v>2012</v>
          </cell>
          <cell r="O602">
            <v>438</v>
          </cell>
          <cell r="P602">
            <v>19</v>
          </cell>
        </row>
        <row r="603">
          <cell r="B603" t="str">
            <v>Yuan Ze University</v>
          </cell>
          <cell r="C603" t="str">
            <v>Taiwan</v>
          </cell>
          <cell r="D603" t="str">
            <v>350-400</v>
          </cell>
          <cell r="E603">
            <v>12.8</v>
          </cell>
          <cell r="F603">
            <v>9.6</v>
          </cell>
          <cell r="G603">
            <v>58.3</v>
          </cell>
          <cell r="H603">
            <v>29.2</v>
          </cell>
          <cell r="I603" t="str">
            <v>-</v>
          </cell>
          <cell r="J603">
            <v>8663</v>
          </cell>
          <cell r="K603">
            <v>20.6</v>
          </cell>
          <cell r="L603">
            <v>0.04</v>
          </cell>
          <cell r="M603">
            <v>1.83125</v>
          </cell>
          <cell r="N603">
            <v>2012</v>
          </cell>
          <cell r="O603">
            <v>952</v>
          </cell>
          <cell r="P603">
            <v>20</v>
          </cell>
        </row>
        <row r="604">
          <cell r="B604" t="str">
            <v>California Institute of Technology</v>
          </cell>
          <cell r="C604" t="str">
            <v>United States of America</v>
          </cell>
          <cell r="D604">
            <v>1</v>
          </cell>
          <cell r="E604">
            <v>59.8</v>
          </cell>
          <cell r="F604">
            <v>99.4</v>
          </cell>
          <cell r="G604">
            <v>99.7</v>
          </cell>
          <cell r="H604">
            <v>95.6</v>
          </cell>
          <cell r="I604">
            <v>95.5</v>
          </cell>
          <cell r="J604">
            <v>2243</v>
          </cell>
          <cell r="K604">
            <v>6.9</v>
          </cell>
          <cell r="L604">
            <v>0.27</v>
          </cell>
          <cell r="M604" t="str">
            <v>33 : 67</v>
          </cell>
          <cell r="N604">
            <v>2013</v>
          </cell>
          <cell r="O604">
            <v>5</v>
          </cell>
          <cell r="P604">
            <v>4</v>
          </cell>
        </row>
        <row r="605">
          <cell r="B605" t="str">
            <v>Stanford University</v>
          </cell>
          <cell r="C605" t="str">
            <v>United States of America</v>
          </cell>
          <cell r="D605">
            <v>2</v>
          </cell>
          <cell r="E605">
            <v>56.6</v>
          </cell>
          <cell r="F605">
            <v>98.8</v>
          </cell>
          <cell r="G605">
            <v>99.3</v>
          </cell>
          <cell r="H605">
            <v>62.4</v>
          </cell>
          <cell r="I605">
            <v>93.7</v>
          </cell>
          <cell r="J605">
            <v>15596</v>
          </cell>
          <cell r="K605">
            <v>7.8</v>
          </cell>
          <cell r="L605">
            <v>0.22</v>
          </cell>
          <cell r="M605">
            <v>1.7902777777777779</v>
          </cell>
          <cell r="N605">
            <v>2013</v>
          </cell>
          <cell r="O605">
            <v>3</v>
          </cell>
          <cell r="P605">
            <v>3</v>
          </cell>
        </row>
        <row r="606">
          <cell r="B606" t="str">
            <v>University of Oxford</v>
          </cell>
          <cell r="C606" t="str">
            <v>United Kingdom</v>
          </cell>
          <cell r="D606">
            <v>2</v>
          </cell>
          <cell r="E606">
            <v>88.7</v>
          </cell>
          <cell r="F606">
            <v>98.1</v>
          </cell>
          <cell r="G606">
            <v>95.6</v>
          </cell>
          <cell r="H606">
            <v>79.8</v>
          </cell>
          <cell r="I606">
            <v>93.7</v>
          </cell>
          <cell r="J606">
            <v>19919</v>
          </cell>
          <cell r="K606">
            <v>11.6</v>
          </cell>
          <cell r="L606">
            <v>0.34</v>
          </cell>
          <cell r="M606">
            <v>1.9541666666666666</v>
          </cell>
          <cell r="N606">
            <v>2013</v>
          </cell>
          <cell r="O606">
            <v>7</v>
          </cell>
          <cell r="P606">
            <v>2</v>
          </cell>
        </row>
        <row r="607">
          <cell r="B607" t="str">
            <v>Harvard University</v>
          </cell>
          <cell r="C607" t="str">
            <v>United States of America</v>
          </cell>
          <cell r="D607">
            <v>4</v>
          </cell>
          <cell r="E607">
            <v>63.7</v>
          </cell>
          <cell r="F607">
            <v>98.6</v>
          </cell>
          <cell r="G607">
            <v>99.2</v>
          </cell>
          <cell r="H607">
            <v>39.9</v>
          </cell>
          <cell r="I607">
            <v>93.6</v>
          </cell>
          <cell r="J607">
            <v>20152</v>
          </cell>
          <cell r="K607">
            <v>8.9</v>
          </cell>
          <cell r="L607">
            <v>0.25</v>
          </cell>
          <cell r="N607">
            <v>2013</v>
          </cell>
          <cell r="O607">
            <v>1</v>
          </cell>
          <cell r="P607">
            <v>1</v>
          </cell>
        </row>
        <row r="608">
          <cell r="B608" t="str">
            <v>Massachusetts Institute of Technology</v>
          </cell>
          <cell r="C608" t="str">
            <v>United States of America</v>
          </cell>
          <cell r="D608">
            <v>5</v>
          </cell>
          <cell r="E608">
            <v>81.599999999999994</v>
          </cell>
          <cell r="F608">
            <v>89.2</v>
          </cell>
          <cell r="G608">
            <v>99.9</v>
          </cell>
          <cell r="H608">
            <v>92.9</v>
          </cell>
          <cell r="I608">
            <v>93.1</v>
          </cell>
          <cell r="J608">
            <v>11074</v>
          </cell>
          <cell r="K608">
            <v>9</v>
          </cell>
          <cell r="L608">
            <v>0.33</v>
          </cell>
          <cell r="M608" t="str">
            <v>37 : 63</v>
          </cell>
          <cell r="N608">
            <v>2013</v>
          </cell>
          <cell r="O608">
            <v>2</v>
          </cell>
          <cell r="P608">
            <v>2</v>
          </cell>
        </row>
        <row r="609">
          <cell r="B609" t="str">
            <v>Princeton University</v>
          </cell>
          <cell r="C609" t="str">
            <v>United States of America</v>
          </cell>
          <cell r="D609">
            <v>6</v>
          </cell>
          <cell r="E609">
            <v>54.5</v>
          </cell>
          <cell r="F609">
            <v>99.4</v>
          </cell>
          <cell r="G609">
            <v>99.8</v>
          </cell>
          <cell r="H609">
            <v>79.5</v>
          </cell>
          <cell r="I609">
            <v>92.7</v>
          </cell>
          <cell r="J609">
            <v>7929</v>
          </cell>
          <cell r="K609">
            <v>8.4</v>
          </cell>
          <cell r="L609">
            <v>0.27</v>
          </cell>
          <cell r="M609">
            <v>1.9131944444444444</v>
          </cell>
          <cell r="N609">
            <v>2013</v>
          </cell>
          <cell r="O609">
            <v>6</v>
          </cell>
          <cell r="P609">
            <v>5</v>
          </cell>
        </row>
        <row r="610">
          <cell r="B610" t="str">
            <v>University of Cambridge</v>
          </cell>
          <cell r="C610" t="str">
            <v>United Kingdom</v>
          </cell>
          <cell r="D610">
            <v>7</v>
          </cell>
          <cell r="E610">
            <v>83.6</v>
          </cell>
          <cell r="F610">
            <v>95.6</v>
          </cell>
          <cell r="G610">
            <v>96.2</v>
          </cell>
          <cell r="H610">
            <v>59.1</v>
          </cell>
          <cell r="I610">
            <v>92.6</v>
          </cell>
          <cell r="J610">
            <v>18812</v>
          </cell>
          <cell r="K610">
            <v>11.8</v>
          </cell>
          <cell r="L610">
            <v>0.34</v>
          </cell>
          <cell r="M610">
            <v>1.9541666666666666</v>
          </cell>
          <cell r="N610">
            <v>2013</v>
          </cell>
          <cell r="O610">
            <v>4</v>
          </cell>
          <cell r="P610">
            <v>1</v>
          </cell>
        </row>
        <row r="611">
          <cell r="B611" t="str">
            <v>Imperial College London</v>
          </cell>
          <cell r="C611" t="str">
            <v>United Kingdom</v>
          </cell>
          <cell r="D611">
            <v>8</v>
          </cell>
          <cell r="E611">
            <v>91.4</v>
          </cell>
          <cell r="F611">
            <v>90.9</v>
          </cell>
          <cell r="G611">
            <v>93</v>
          </cell>
          <cell r="H611">
            <v>87.5</v>
          </cell>
          <cell r="I611">
            <v>90.6</v>
          </cell>
          <cell r="J611">
            <v>15060</v>
          </cell>
          <cell r="K611">
            <v>11.7</v>
          </cell>
          <cell r="L611">
            <v>0.51</v>
          </cell>
          <cell r="M611" t="str">
            <v>37 : 63</v>
          </cell>
          <cell r="N611">
            <v>2013</v>
          </cell>
          <cell r="O611">
            <v>28</v>
          </cell>
          <cell r="P611">
            <v>3</v>
          </cell>
        </row>
        <row r="612">
          <cell r="B612" t="str">
            <v>University of California, Berkeley</v>
          </cell>
          <cell r="C612" t="str">
            <v>United States of America</v>
          </cell>
          <cell r="D612">
            <v>9</v>
          </cell>
          <cell r="E612">
            <v>49.7</v>
          </cell>
          <cell r="F612">
            <v>99.3</v>
          </cell>
          <cell r="G612">
            <v>99.3</v>
          </cell>
          <cell r="H612">
            <v>65.400000000000006</v>
          </cell>
          <cell r="I612">
            <v>90.5</v>
          </cell>
          <cell r="J612">
            <v>36186</v>
          </cell>
          <cell r="K612">
            <v>16.399999999999999</v>
          </cell>
          <cell r="L612">
            <v>0.15</v>
          </cell>
          <cell r="M612">
            <v>2.1180555555555554</v>
          </cell>
          <cell r="N612">
            <v>2013</v>
          </cell>
          <cell r="O612">
            <v>10</v>
          </cell>
          <cell r="P612">
            <v>8</v>
          </cell>
        </row>
        <row r="613">
          <cell r="B613" t="str">
            <v>University of Chicago</v>
          </cell>
          <cell r="C613" t="str">
            <v>United States of America</v>
          </cell>
          <cell r="D613">
            <v>10</v>
          </cell>
          <cell r="E613">
            <v>55.3</v>
          </cell>
          <cell r="F613">
            <v>92.9</v>
          </cell>
          <cell r="G613">
            <v>98.7</v>
          </cell>
          <cell r="H613" t="str">
            <v>-</v>
          </cell>
          <cell r="I613">
            <v>90.4</v>
          </cell>
          <cell r="J613">
            <v>14221</v>
          </cell>
          <cell r="K613">
            <v>6.9</v>
          </cell>
          <cell r="L613">
            <v>0.21</v>
          </cell>
          <cell r="M613">
            <v>1.7902777777777779</v>
          </cell>
          <cell r="N613">
            <v>2013</v>
          </cell>
          <cell r="O613">
            <v>11</v>
          </cell>
          <cell r="P613">
            <v>9</v>
          </cell>
        </row>
        <row r="614">
          <cell r="B614" t="str">
            <v>Yale University</v>
          </cell>
          <cell r="C614" t="str">
            <v>United States of America</v>
          </cell>
          <cell r="D614">
            <v>11</v>
          </cell>
          <cell r="E614">
            <v>54.7</v>
          </cell>
          <cell r="F614">
            <v>92.5</v>
          </cell>
          <cell r="G614">
            <v>94.8</v>
          </cell>
          <cell r="H614">
            <v>38.200000000000003</v>
          </cell>
          <cell r="I614">
            <v>89.2</v>
          </cell>
          <cell r="J614">
            <v>11751</v>
          </cell>
          <cell r="K614">
            <v>4.4000000000000004</v>
          </cell>
          <cell r="L614">
            <v>0.2</v>
          </cell>
          <cell r="M614">
            <v>2.1180555555555554</v>
          </cell>
          <cell r="N614">
            <v>2013</v>
          </cell>
          <cell r="O614">
            <v>8</v>
          </cell>
          <cell r="P614">
            <v>6</v>
          </cell>
        </row>
        <row r="615">
          <cell r="B615" t="str">
            <v>ETH Zurich â€“ Swiss Federal Institute of Technology Zurich</v>
          </cell>
          <cell r="C615" t="str">
            <v>Switzerland</v>
          </cell>
          <cell r="D615">
            <v>12</v>
          </cell>
          <cell r="E615">
            <v>95.7</v>
          </cell>
          <cell r="F615">
            <v>92.7</v>
          </cell>
          <cell r="G615">
            <v>86.6</v>
          </cell>
          <cell r="H615" t="str">
            <v>-</v>
          </cell>
          <cell r="I615">
            <v>87.8</v>
          </cell>
          <cell r="J615">
            <v>18178</v>
          </cell>
          <cell r="K615">
            <v>14.7</v>
          </cell>
          <cell r="L615">
            <v>0.37</v>
          </cell>
          <cell r="M615" t="str">
            <v>31 : 69</v>
          </cell>
          <cell r="N615">
            <v>2013</v>
          </cell>
          <cell r="O615" t="e">
            <v>#N/A</v>
          </cell>
          <cell r="P615" t="e">
            <v>#N/A</v>
          </cell>
        </row>
        <row r="616">
          <cell r="B616" t="str">
            <v>University of California, Los Angeles</v>
          </cell>
          <cell r="C616" t="str">
            <v>United States of America</v>
          </cell>
          <cell r="D616">
            <v>13</v>
          </cell>
          <cell r="E616">
            <v>42.3</v>
          </cell>
          <cell r="F616">
            <v>93.8</v>
          </cell>
          <cell r="G616">
            <v>95.9</v>
          </cell>
          <cell r="H616" t="str">
            <v>-</v>
          </cell>
          <cell r="I616">
            <v>87.7</v>
          </cell>
          <cell r="J616">
            <v>38206</v>
          </cell>
          <cell r="K616">
            <v>10.3</v>
          </cell>
          <cell r="L616">
            <v>0.15</v>
          </cell>
          <cell r="M616">
            <v>2.2000000000000002</v>
          </cell>
          <cell r="N616">
            <v>2013</v>
          </cell>
          <cell r="O616">
            <v>19</v>
          </cell>
          <cell r="P616">
            <v>13</v>
          </cell>
        </row>
        <row r="617">
          <cell r="B617" t="str">
            <v>Columbia University</v>
          </cell>
          <cell r="C617" t="str">
            <v>United States of America</v>
          </cell>
          <cell r="D617">
            <v>14</v>
          </cell>
          <cell r="E617">
            <v>66.099999999999994</v>
          </cell>
          <cell r="F617">
            <v>82</v>
          </cell>
          <cell r="G617">
            <v>96.1</v>
          </cell>
          <cell r="H617" t="str">
            <v>-</v>
          </cell>
          <cell r="I617">
            <v>87</v>
          </cell>
          <cell r="J617">
            <v>25055</v>
          </cell>
          <cell r="K617">
            <v>5.9</v>
          </cell>
          <cell r="L617">
            <v>0.28000000000000003</v>
          </cell>
          <cell r="N617">
            <v>2013</v>
          </cell>
          <cell r="O617">
            <v>9</v>
          </cell>
          <cell r="P617">
            <v>7</v>
          </cell>
        </row>
        <row r="618">
          <cell r="B618" t="str">
            <v>University of Pennsylvania</v>
          </cell>
          <cell r="C618" t="str">
            <v>United States of America</v>
          </cell>
          <cell r="D618">
            <v>15</v>
          </cell>
          <cell r="E618">
            <v>38.1</v>
          </cell>
          <cell r="F618">
            <v>89.4</v>
          </cell>
          <cell r="G618">
            <v>96.2</v>
          </cell>
          <cell r="H618">
            <v>43.7</v>
          </cell>
          <cell r="I618">
            <v>86.6</v>
          </cell>
          <cell r="J618">
            <v>20376</v>
          </cell>
          <cell r="K618">
            <v>6.5</v>
          </cell>
          <cell r="L618">
            <v>0.2</v>
          </cell>
          <cell r="M618">
            <v>2.1590277777777778</v>
          </cell>
          <cell r="N618">
            <v>2013</v>
          </cell>
          <cell r="O618">
            <v>13</v>
          </cell>
          <cell r="P618">
            <v>11</v>
          </cell>
        </row>
        <row r="619">
          <cell r="B619" t="str">
            <v>Johns Hopkins University</v>
          </cell>
          <cell r="C619" t="str">
            <v>United States of America</v>
          </cell>
          <cell r="D619">
            <v>16</v>
          </cell>
          <cell r="E619">
            <v>57.3</v>
          </cell>
          <cell r="F619">
            <v>85.5</v>
          </cell>
          <cell r="G619">
            <v>95.3</v>
          </cell>
          <cell r="H619">
            <v>100</v>
          </cell>
          <cell r="I619">
            <v>85.6</v>
          </cell>
          <cell r="J619">
            <v>15128</v>
          </cell>
          <cell r="K619">
            <v>3.6</v>
          </cell>
          <cell r="L619">
            <v>0.23</v>
          </cell>
          <cell r="M619">
            <v>2.1180555555555554</v>
          </cell>
          <cell r="N619">
            <v>2013</v>
          </cell>
          <cell r="O619">
            <v>15</v>
          </cell>
          <cell r="P619">
            <v>12</v>
          </cell>
        </row>
        <row r="620">
          <cell r="B620" t="str">
            <v>University College London</v>
          </cell>
          <cell r="C620" t="str">
            <v>United Kingdom</v>
          </cell>
          <cell r="D620">
            <v>17</v>
          </cell>
          <cell r="E620">
            <v>89</v>
          </cell>
          <cell r="F620">
            <v>88.8</v>
          </cell>
          <cell r="G620">
            <v>86.8</v>
          </cell>
          <cell r="H620">
            <v>45.1</v>
          </cell>
          <cell r="I620">
            <v>85.5</v>
          </cell>
          <cell r="J620">
            <v>26607</v>
          </cell>
          <cell r="K620">
            <v>10.7</v>
          </cell>
          <cell r="L620">
            <v>0.46</v>
          </cell>
          <cell r="M620">
            <v>2.3638888888888889</v>
          </cell>
          <cell r="N620">
            <v>2013</v>
          </cell>
          <cell r="O620">
            <v>31</v>
          </cell>
          <cell r="P620">
            <v>4</v>
          </cell>
        </row>
        <row r="621">
          <cell r="B621" t="str">
            <v>Cornell University</v>
          </cell>
          <cell r="C621" t="str">
            <v>United States of America</v>
          </cell>
          <cell r="D621">
            <v>18</v>
          </cell>
          <cell r="E621">
            <v>53.8</v>
          </cell>
          <cell r="F621">
            <v>92.1</v>
          </cell>
          <cell r="G621">
            <v>91.8</v>
          </cell>
          <cell r="H621">
            <v>39.5</v>
          </cell>
          <cell r="I621">
            <v>83.3</v>
          </cell>
          <cell r="J621">
            <v>21424</v>
          </cell>
          <cell r="K621">
            <v>10.199999999999999</v>
          </cell>
          <cell r="L621">
            <v>0.19</v>
          </cell>
          <cell r="M621">
            <v>2.036111111111111</v>
          </cell>
          <cell r="N621">
            <v>2013</v>
          </cell>
          <cell r="O621">
            <v>12</v>
          </cell>
          <cell r="P621">
            <v>10</v>
          </cell>
        </row>
        <row r="622">
          <cell r="B622" t="str">
            <v>Northwestern University</v>
          </cell>
          <cell r="C622" t="str">
            <v>United States of America</v>
          </cell>
          <cell r="D622">
            <v>19</v>
          </cell>
          <cell r="E622">
            <v>33.799999999999997</v>
          </cell>
          <cell r="F622">
            <v>87.3</v>
          </cell>
          <cell r="G622">
            <v>98.2</v>
          </cell>
          <cell r="H622">
            <v>64.400000000000006</v>
          </cell>
          <cell r="I622">
            <v>83.1</v>
          </cell>
          <cell r="J622">
            <v>18334</v>
          </cell>
          <cell r="K622">
            <v>13.8</v>
          </cell>
          <cell r="L622">
            <v>0.15</v>
          </cell>
          <cell r="M622">
            <v>2.036111111111111</v>
          </cell>
          <cell r="N622">
            <v>2013</v>
          </cell>
          <cell r="O622">
            <v>33</v>
          </cell>
          <cell r="P622">
            <v>23</v>
          </cell>
        </row>
        <row r="623">
          <cell r="B623" t="str">
            <v>University of Michigan</v>
          </cell>
          <cell r="C623" t="str">
            <v>United States of America</v>
          </cell>
          <cell r="D623">
            <v>20</v>
          </cell>
          <cell r="E623">
            <v>47.6</v>
          </cell>
          <cell r="F623">
            <v>91.4</v>
          </cell>
          <cell r="G623">
            <v>91.6</v>
          </cell>
          <cell r="H623">
            <v>53.9</v>
          </cell>
          <cell r="I623">
            <v>82.6</v>
          </cell>
          <cell r="J623">
            <v>41786</v>
          </cell>
          <cell r="K623">
            <v>9</v>
          </cell>
          <cell r="L623">
            <v>0.16</v>
          </cell>
          <cell r="M623">
            <v>2.036111111111111</v>
          </cell>
          <cell r="N623">
            <v>2013</v>
          </cell>
          <cell r="O623" t="e">
            <v>#N/A</v>
          </cell>
          <cell r="P623" t="e">
            <v>#N/A</v>
          </cell>
        </row>
        <row r="624">
          <cell r="B624" t="str">
            <v>University of Toronto</v>
          </cell>
          <cell r="C624" t="str">
            <v>Canada</v>
          </cell>
          <cell r="D624">
            <v>21</v>
          </cell>
          <cell r="E624">
            <v>65.099999999999994</v>
          </cell>
          <cell r="F624">
            <v>89.4</v>
          </cell>
          <cell r="G624">
            <v>85.1</v>
          </cell>
          <cell r="H624">
            <v>42.9</v>
          </cell>
          <cell r="I624">
            <v>82.2</v>
          </cell>
          <cell r="J624">
            <v>66198</v>
          </cell>
          <cell r="K624">
            <v>19.5</v>
          </cell>
          <cell r="L624">
            <v>0.15</v>
          </cell>
          <cell r="N624">
            <v>2013</v>
          </cell>
          <cell r="O624">
            <v>35</v>
          </cell>
          <cell r="P624">
            <v>1</v>
          </cell>
        </row>
        <row r="625">
          <cell r="B625" t="str">
            <v>Carnegie Mellon University</v>
          </cell>
          <cell r="C625" t="str">
            <v>United States of America</v>
          </cell>
          <cell r="D625">
            <v>22</v>
          </cell>
          <cell r="E625">
            <v>51.4</v>
          </cell>
          <cell r="F625">
            <v>87</v>
          </cell>
          <cell r="G625">
            <v>95.5</v>
          </cell>
          <cell r="H625">
            <v>55.9</v>
          </cell>
          <cell r="I625">
            <v>81.5</v>
          </cell>
          <cell r="J625">
            <v>11885</v>
          </cell>
          <cell r="K625">
            <v>13.1</v>
          </cell>
          <cell r="L625">
            <v>0.35</v>
          </cell>
          <cell r="M625" t="str">
            <v>39 : 61</v>
          </cell>
          <cell r="N625">
            <v>2013</v>
          </cell>
          <cell r="O625">
            <v>43</v>
          </cell>
          <cell r="P625">
            <v>31</v>
          </cell>
        </row>
        <row r="626">
          <cell r="B626" t="str">
            <v>Duke University</v>
          </cell>
          <cell r="C626" t="str">
            <v>United States of America</v>
          </cell>
          <cell r="D626">
            <v>23</v>
          </cell>
          <cell r="E626">
            <v>45.8</v>
          </cell>
          <cell r="F626">
            <v>81.5</v>
          </cell>
          <cell r="G626">
            <v>97</v>
          </cell>
          <cell r="H626">
            <v>100</v>
          </cell>
          <cell r="I626">
            <v>81.2</v>
          </cell>
          <cell r="J626">
            <v>15172</v>
          </cell>
          <cell r="K626">
            <v>4.8</v>
          </cell>
          <cell r="L626">
            <v>0.17</v>
          </cell>
          <cell r="M626">
            <v>2.0770833333333334</v>
          </cell>
          <cell r="N626">
            <v>2013</v>
          </cell>
          <cell r="O626">
            <v>27</v>
          </cell>
          <cell r="P626">
            <v>20</v>
          </cell>
        </row>
        <row r="627">
          <cell r="B627" t="str">
            <v>University of Washington</v>
          </cell>
          <cell r="C627" t="str">
            <v>United States of America</v>
          </cell>
          <cell r="D627">
            <v>24</v>
          </cell>
          <cell r="E627">
            <v>39.1</v>
          </cell>
          <cell r="F627">
            <v>81.3</v>
          </cell>
          <cell r="G627">
            <v>97</v>
          </cell>
          <cell r="H627">
            <v>41.3</v>
          </cell>
          <cell r="I627">
            <v>79.900000000000006</v>
          </cell>
          <cell r="J627">
            <v>44020</v>
          </cell>
          <cell r="K627">
            <v>11.8</v>
          </cell>
          <cell r="L627">
            <v>0.13</v>
          </cell>
          <cell r="M627">
            <v>2.2409722222222221</v>
          </cell>
          <cell r="N627">
            <v>2013</v>
          </cell>
          <cell r="O627" t="e">
            <v>#N/A</v>
          </cell>
          <cell r="P627" t="e">
            <v>#N/A</v>
          </cell>
        </row>
        <row r="628">
          <cell r="B628" t="str">
            <v>Georgia Institute of Technology</v>
          </cell>
          <cell r="C628" t="str">
            <v>United States of America</v>
          </cell>
          <cell r="D628">
            <v>25</v>
          </cell>
          <cell r="E628">
            <v>66.3</v>
          </cell>
          <cell r="F628">
            <v>79.5</v>
          </cell>
          <cell r="G628">
            <v>90.3</v>
          </cell>
          <cell r="H628">
            <v>74.900000000000006</v>
          </cell>
          <cell r="I628">
            <v>78.8</v>
          </cell>
          <cell r="J628">
            <v>19967</v>
          </cell>
          <cell r="K628">
            <v>20.100000000000001</v>
          </cell>
          <cell r="L628">
            <v>0.26</v>
          </cell>
          <cell r="M628" t="str">
            <v>31 : 69</v>
          </cell>
          <cell r="N628">
            <v>2013</v>
          </cell>
          <cell r="O628">
            <v>87</v>
          </cell>
          <cell r="P628">
            <v>56</v>
          </cell>
        </row>
        <row r="629">
          <cell r="B629" t="str">
            <v>University of Texas at Austin</v>
          </cell>
          <cell r="C629" t="str">
            <v>United States of America</v>
          </cell>
          <cell r="D629">
            <v>25</v>
          </cell>
          <cell r="E629">
            <v>42.1</v>
          </cell>
          <cell r="F629">
            <v>80.7</v>
          </cell>
          <cell r="G629">
            <v>91</v>
          </cell>
          <cell r="H629">
            <v>57.9</v>
          </cell>
          <cell r="I629">
            <v>78.8</v>
          </cell>
          <cell r="J629">
            <v>49427</v>
          </cell>
          <cell r="K629">
            <v>17.399999999999999</v>
          </cell>
          <cell r="L629">
            <v>0.09</v>
          </cell>
          <cell r="M629">
            <v>2.1590277777777778</v>
          </cell>
          <cell r="N629">
            <v>2013</v>
          </cell>
          <cell r="O629">
            <v>30</v>
          </cell>
          <cell r="P629">
            <v>22</v>
          </cell>
        </row>
        <row r="630">
          <cell r="B630" t="str">
            <v>University of Tokyo</v>
          </cell>
          <cell r="C630" t="str">
            <v>Japan</v>
          </cell>
          <cell r="D630">
            <v>27</v>
          </cell>
          <cell r="E630">
            <v>27.6</v>
          </cell>
          <cell r="F630">
            <v>89.9</v>
          </cell>
          <cell r="G630">
            <v>71.3</v>
          </cell>
          <cell r="H630">
            <v>59</v>
          </cell>
          <cell r="I630">
            <v>78.3</v>
          </cell>
          <cell r="J630">
            <v>26199</v>
          </cell>
          <cell r="K630">
            <v>5.7</v>
          </cell>
          <cell r="L630">
            <v>0.1</v>
          </cell>
          <cell r="N630">
            <v>2013</v>
          </cell>
          <cell r="O630">
            <v>14</v>
          </cell>
          <cell r="P630">
            <v>1</v>
          </cell>
        </row>
        <row r="631">
          <cell r="B631" t="str">
            <v>University of Melbourne</v>
          </cell>
          <cell r="C631" t="str">
            <v>Australia</v>
          </cell>
          <cell r="D631">
            <v>28</v>
          </cell>
          <cell r="E631">
            <v>77.2</v>
          </cell>
          <cell r="F631">
            <v>82.5</v>
          </cell>
          <cell r="G631">
            <v>83.7</v>
          </cell>
          <cell r="H631">
            <v>67.599999999999994</v>
          </cell>
          <cell r="I631">
            <v>77.900000000000006</v>
          </cell>
          <cell r="J631">
            <v>40128</v>
          </cell>
          <cell r="K631">
            <v>23.7</v>
          </cell>
          <cell r="L631">
            <v>0.35</v>
          </cell>
          <cell r="M631">
            <v>2.3229166666666665</v>
          </cell>
          <cell r="N631">
            <v>2013</v>
          </cell>
          <cell r="O631">
            <v>97</v>
          </cell>
          <cell r="P631">
            <v>2</v>
          </cell>
        </row>
        <row r="632">
          <cell r="B632" t="str">
            <v>National University of Singapore</v>
          </cell>
          <cell r="C632" t="str">
            <v>Singapore</v>
          </cell>
          <cell r="D632">
            <v>29</v>
          </cell>
          <cell r="E632">
            <v>92.3</v>
          </cell>
          <cell r="F632">
            <v>87.2</v>
          </cell>
          <cell r="G632">
            <v>67.2</v>
          </cell>
          <cell r="H632">
            <v>77.400000000000006</v>
          </cell>
          <cell r="I632">
            <v>77.5</v>
          </cell>
          <cell r="J632">
            <v>31592</v>
          </cell>
          <cell r="K632">
            <v>15.5</v>
          </cell>
          <cell r="L632">
            <v>0.34</v>
          </cell>
          <cell r="M632">
            <v>2.0770833333333334</v>
          </cell>
          <cell r="N632">
            <v>2013</v>
          </cell>
          <cell r="O632">
            <v>87</v>
          </cell>
          <cell r="P632">
            <v>1</v>
          </cell>
        </row>
        <row r="633">
          <cell r="B633" t="str">
            <v>University of British Columbia</v>
          </cell>
          <cell r="C633" t="str">
            <v>Canada</v>
          </cell>
          <cell r="D633">
            <v>30</v>
          </cell>
          <cell r="E633">
            <v>82.1</v>
          </cell>
          <cell r="F633">
            <v>80.400000000000006</v>
          </cell>
          <cell r="G633">
            <v>84</v>
          </cell>
          <cell r="H633">
            <v>42.4</v>
          </cell>
          <cell r="I633">
            <v>77.3</v>
          </cell>
          <cell r="J633">
            <v>50152</v>
          </cell>
          <cell r="K633">
            <v>17.600000000000001</v>
          </cell>
          <cell r="L633">
            <v>0.25</v>
          </cell>
          <cell r="M633">
            <v>2.2819444444444446</v>
          </cell>
          <cell r="N633">
            <v>2013</v>
          </cell>
          <cell r="O633">
            <v>67</v>
          </cell>
          <cell r="P633">
            <v>3</v>
          </cell>
        </row>
        <row r="634">
          <cell r="B634" t="str">
            <v>University of Wisconsin-Madison</v>
          </cell>
          <cell r="C634" t="str">
            <v>United States of America</v>
          </cell>
          <cell r="D634">
            <v>31</v>
          </cell>
          <cell r="E634">
            <v>29.8</v>
          </cell>
          <cell r="F634">
            <v>80.099999999999994</v>
          </cell>
          <cell r="G634">
            <v>88.2</v>
          </cell>
          <cell r="H634">
            <v>54.8</v>
          </cell>
          <cell r="I634">
            <v>76.900000000000006</v>
          </cell>
          <cell r="J634">
            <v>39655</v>
          </cell>
          <cell r="K634">
            <v>10.8</v>
          </cell>
          <cell r="L634">
            <v>0.11</v>
          </cell>
          <cell r="M634">
            <v>2.1590277777777778</v>
          </cell>
          <cell r="N634">
            <v>2013</v>
          </cell>
          <cell r="O634" t="e">
            <v>#N/A</v>
          </cell>
          <cell r="P634" t="e">
            <v>#N/A</v>
          </cell>
        </row>
        <row r="635">
          <cell r="B635" t="str">
            <v>University of Edinburgh</v>
          </cell>
          <cell r="C635" t="str">
            <v>United Kingdom</v>
          </cell>
          <cell r="D635">
            <v>32</v>
          </cell>
          <cell r="E635">
            <v>78.900000000000006</v>
          </cell>
          <cell r="F635">
            <v>71.3</v>
          </cell>
          <cell r="G635">
            <v>90.8</v>
          </cell>
          <cell r="H635">
            <v>43.8</v>
          </cell>
          <cell r="I635">
            <v>76.099999999999994</v>
          </cell>
          <cell r="J635">
            <v>25774</v>
          </cell>
          <cell r="K635">
            <v>14.1</v>
          </cell>
          <cell r="L635">
            <v>0.36</v>
          </cell>
          <cell r="M635">
            <v>2.4458333333333333</v>
          </cell>
          <cell r="N635">
            <v>2013</v>
          </cell>
          <cell r="O635">
            <v>60</v>
          </cell>
          <cell r="P635">
            <v>1</v>
          </cell>
        </row>
        <row r="636">
          <cell r="B636" t="str">
            <v>University of Illinois at Urbana-Champaign</v>
          </cell>
          <cell r="C636" t="str">
            <v>United States of America</v>
          </cell>
          <cell r="D636">
            <v>33</v>
          </cell>
          <cell r="E636">
            <v>36</v>
          </cell>
          <cell r="F636">
            <v>84.9</v>
          </cell>
          <cell r="G636">
            <v>80.8</v>
          </cell>
          <cell r="H636" t="str">
            <v>-</v>
          </cell>
          <cell r="I636">
            <v>75.8</v>
          </cell>
          <cell r="J636">
            <v>42727</v>
          </cell>
          <cell r="K636">
            <v>18.7</v>
          </cell>
          <cell r="L636">
            <v>0.2</v>
          </cell>
          <cell r="M636">
            <v>1.9951388888888888</v>
          </cell>
          <cell r="N636">
            <v>2013</v>
          </cell>
          <cell r="O636" t="e">
            <v>#N/A</v>
          </cell>
          <cell r="P636" t="e">
            <v>#N/A</v>
          </cell>
        </row>
        <row r="637">
          <cell r="B637" t="str">
            <v>McGill University</v>
          </cell>
          <cell r="C637" t="str">
            <v>Canada</v>
          </cell>
          <cell r="D637">
            <v>34</v>
          </cell>
          <cell r="E637">
            <v>75.900000000000006</v>
          </cell>
          <cell r="F637">
            <v>80.400000000000006</v>
          </cell>
          <cell r="G637">
            <v>75.2</v>
          </cell>
          <cell r="H637">
            <v>40.299999999999997</v>
          </cell>
          <cell r="I637">
            <v>75.7</v>
          </cell>
          <cell r="J637">
            <v>31326</v>
          </cell>
          <cell r="K637">
            <v>13.7</v>
          </cell>
          <cell r="L637">
            <v>0.23</v>
          </cell>
          <cell r="M637">
            <v>2.3638888888888889</v>
          </cell>
          <cell r="N637">
            <v>2013</v>
          </cell>
          <cell r="O637">
            <v>41</v>
          </cell>
          <cell r="P637">
            <v>2</v>
          </cell>
        </row>
        <row r="638">
          <cell r="B638" t="str">
            <v>University of California, Santa Barbara</v>
          </cell>
          <cell r="C638" t="str">
            <v>United States of America</v>
          </cell>
          <cell r="D638">
            <v>35</v>
          </cell>
          <cell r="E638">
            <v>58.3</v>
          </cell>
          <cell r="F638">
            <v>73.5</v>
          </cell>
          <cell r="G638">
            <v>99.4</v>
          </cell>
          <cell r="H638">
            <v>100</v>
          </cell>
          <cell r="I638">
            <v>75.599999999999994</v>
          </cell>
          <cell r="J638">
            <v>22020</v>
          </cell>
          <cell r="K638">
            <v>27.3</v>
          </cell>
          <cell r="L638">
            <v>0.11</v>
          </cell>
          <cell r="M638">
            <v>2.2000000000000002</v>
          </cell>
          <cell r="N638">
            <v>2013</v>
          </cell>
          <cell r="O638">
            <v>40</v>
          </cell>
          <cell r="P638">
            <v>29</v>
          </cell>
        </row>
        <row r="639">
          <cell r="B639" t="str">
            <v>University of Hong Kong</v>
          </cell>
          <cell r="C639" t="str">
            <v>Hong Kong</v>
          </cell>
          <cell r="D639">
            <v>35</v>
          </cell>
          <cell r="E639">
            <v>81.7</v>
          </cell>
          <cell r="F639">
            <v>85.9</v>
          </cell>
          <cell r="G639">
            <v>62.1</v>
          </cell>
          <cell r="H639">
            <v>62.5</v>
          </cell>
          <cell r="I639">
            <v>75.599999999999994</v>
          </cell>
          <cell r="J639">
            <v>19835</v>
          </cell>
          <cell r="K639">
            <v>17.600000000000001</v>
          </cell>
          <cell r="L639">
            <v>0.38</v>
          </cell>
          <cell r="M639">
            <v>2.2409722222222221</v>
          </cell>
          <cell r="N639">
            <v>2013</v>
          </cell>
          <cell r="O639">
            <v>155</v>
          </cell>
          <cell r="P639">
            <v>1</v>
          </cell>
        </row>
        <row r="640">
          <cell r="B640" t="str">
            <v>Australian National University</v>
          </cell>
          <cell r="C640" t="str">
            <v>Australia</v>
          </cell>
          <cell r="D640">
            <v>37</v>
          </cell>
          <cell r="E640">
            <v>90</v>
          </cell>
          <cell r="F640">
            <v>83.5</v>
          </cell>
          <cell r="G640">
            <v>73.5</v>
          </cell>
          <cell r="H640">
            <v>39.6</v>
          </cell>
          <cell r="I640">
            <v>75.400000000000006</v>
          </cell>
          <cell r="J640">
            <v>14604</v>
          </cell>
          <cell r="K640">
            <v>19.2</v>
          </cell>
          <cell r="L640">
            <v>0.35</v>
          </cell>
          <cell r="M640">
            <v>2.2000000000000002</v>
          </cell>
          <cell r="N640">
            <v>2013</v>
          </cell>
          <cell r="O640">
            <v>96</v>
          </cell>
          <cell r="P640">
            <v>2</v>
          </cell>
        </row>
        <row r="641">
          <cell r="B641" t="str">
            <v>University of California, San Diego</v>
          </cell>
          <cell r="C641" t="str">
            <v>United States of America</v>
          </cell>
          <cell r="D641">
            <v>38</v>
          </cell>
          <cell r="E641">
            <v>34.200000000000003</v>
          </cell>
          <cell r="F641">
            <v>79</v>
          </cell>
          <cell r="G641">
            <v>96.2</v>
          </cell>
          <cell r="H641">
            <v>43.9</v>
          </cell>
          <cell r="I641">
            <v>75.2</v>
          </cell>
          <cell r="J641">
            <v>27233</v>
          </cell>
          <cell r="K641">
            <v>6.5</v>
          </cell>
          <cell r="L641">
            <v>0.11</v>
          </cell>
          <cell r="M641">
            <v>2.036111111111111</v>
          </cell>
          <cell r="N641">
            <v>2013</v>
          </cell>
          <cell r="O641">
            <v>20</v>
          </cell>
          <cell r="P641">
            <v>14</v>
          </cell>
        </row>
        <row r="642">
          <cell r="B642" t="str">
            <v>London School of Economics and Political Science</v>
          </cell>
          <cell r="C642" t="str">
            <v>United Kingdom</v>
          </cell>
          <cell r="D642">
            <v>39</v>
          </cell>
          <cell r="E642">
            <v>87.2</v>
          </cell>
          <cell r="F642">
            <v>80.8</v>
          </cell>
          <cell r="G642">
            <v>66.5</v>
          </cell>
          <cell r="H642">
            <v>42.9</v>
          </cell>
          <cell r="I642">
            <v>73.099999999999994</v>
          </cell>
          <cell r="N642">
            <v>2013</v>
          </cell>
          <cell r="O642" t="e">
            <v>#N/A</v>
          </cell>
          <cell r="P642" t="e">
            <v>#N/A</v>
          </cell>
        </row>
        <row r="643">
          <cell r="B643" t="str">
            <v>Ã‰cole Polytechnique FÃ©dÃ©rale de Lausanne</v>
          </cell>
          <cell r="C643" t="str">
            <v>Switzerland</v>
          </cell>
          <cell r="D643">
            <v>40</v>
          </cell>
          <cell r="E643">
            <v>98.8</v>
          </cell>
          <cell r="F643">
            <v>57</v>
          </cell>
          <cell r="G643">
            <v>95</v>
          </cell>
          <cell r="H643">
            <v>49.8</v>
          </cell>
          <cell r="I643">
            <v>73</v>
          </cell>
          <cell r="J643">
            <v>9666</v>
          </cell>
          <cell r="K643">
            <v>10.5</v>
          </cell>
          <cell r="L643">
            <v>0.54</v>
          </cell>
          <cell r="M643" t="str">
            <v>27 : 73</v>
          </cell>
          <cell r="N643">
            <v>2013</v>
          </cell>
          <cell r="O643" t="e">
            <v>#N/A</v>
          </cell>
          <cell r="P643" t="e">
            <v>#N/A</v>
          </cell>
        </row>
        <row r="644">
          <cell r="B644" t="str">
            <v>New York University</v>
          </cell>
          <cell r="C644" t="str">
            <v>United States of America</v>
          </cell>
          <cell r="D644">
            <v>41</v>
          </cell>
          <cell r="E644">
            <v>38.700000000000003</v>
          </cell>
          <cell r="F644">
            <v>67.400000000000006</v>
          </cell>
          <cell r="G644">
            <v>89.2</v>
          </cell>
          <cell r="H644">
            <v>29.5</v>
          </cell>
          <cell r="I644">
            <v>72.8</v>
          </cell>
          <cell r="J644">
            <v>42056</v>
          </cell>
          <cell r="K644">
            <v>6.8</v>
          </cell>
          <cell r="L644">
            <v>0.19</v>
          </cell>
          <cell r="M644">
            <v>2.3229166666666665</v>
          </cell>
          <cell r="N644">
            <v>2013</v>
          </cell>
          <cell r="O644">
            <v>23</v>
          </cell>
          <cell r="P644">
            <v>16</v>
          </cell>
        </row>
        <row r="645">
          <cell r="B645" t="str">
            <v>Karolinska Institute</v>
          </cell>
          <cell r="C645" t="str">
            <v>Sweden</v>
          </cell>
          <cell r="D645">
            <v>42</v>
          </cell>
          <cell r="E645">
            <v>64.5</v>
          </cell>
          <cell r="F645">
            <v>75.7</v>
          </cell>
          <cell r="G645">
            <v>77.3</v>
          </cell>
          <cell r="H645">
            <v>71.400000000000006</v>
          </cell>
          <cell r="I645">
            <v>72.400000000000006</v>
          </cell>
          <cell r="J645">
            <v>7774</v>
          </cell>
          <cell r="K645">
            <v>11.5</v>
          </cell>
          <cell r="L645">
            <v>0.22</v>
          </cell>
          <cell r="M645">
            <v>2.9375</v>
          </cell>
          <cell r="N645">
            <v>2013</v>
          </cell>
          <cell r="O645">
            <v>70</v>
          </cell>
          <cell r="P645">
            <v>1</v>
          </cell>
        </row>
        <row r="646">
          <cell r="B646" t="str">
            <v>University of North Carolina at Chapel Hill</v>
          </cell>
          <cell r="C646" t="str">
            <v>United States of America</v>
          </cell>
          <cell r="D646">
            <v>42</v>
          </cell>
          <cell r="E646">
            <v>32.9</v>
          </cell>
          <cell r="F646">
            <v>69.3</v>
          </cell>
          <cell r="G646">
            <v>90.1</v>
          </cell>
          <cell r="H646">
            <v>40</v>
          </cell>
          <cell r="I646">
            <v>72.400000000000006</v>
          </cell>
          <cell r="J646">
            <v>26518</v>
          </cell>
          <cell r="K646">
            <v>7.3</v>
          </cell>
          <cell r="L646">
            <v>0.08</v>
          </cell>
          <cell r="M646">
            <v>2.4458333333333333</v>
          </cell>
          <cell r="N646">
            <v>2013</v>
          </cell>
          <cell r="O646">
            <v>36</v>
          </cell>
          <cell r="P646">
            <v>25</v>
          </cell>
        </row>
        <row r="647">
          <cell r="B647" t="str">
            <v>University of California, Davis</v>
          </cell>
          <cell r="C647" t="str">
            <v>United States of America</v>
          </cell>
          <cell r="D647">
            <v>44</v>
          </cell>
          <cell r="E647">
            <v>51.7</v>
          </cell>
          <cell r="F647">
            <v>71.599999999999994</v>
          </cell>
          <cell r="G647">
            <v>82.7</v>
          </cell>
          <cell r="H647">
            <v>52.5</v>
          </cell>
          <cell r="I647">
            <v>71.8</v>
          </cell>
          <cell r="J647">
            <v>35364</v>
          </cell>
          <cell r="K647">
            <v>13.9</v>
          </cell>
          <cell r="L647">
            <v>0.13</v>
          </cell>
          <cell r="M647">
            <v>2.2819444444444446</v>
          </cell>
          <cell r="N647">
            <v>2013</v>
          </cell>
          <cell r="O647">
            <v>45</v>
          </cell>
          <cell r="P647">
            <v>33</v>
          </cell>
        </row>
        <row r="648">
          <cell r="B648" t="str">
            <v>Washington University in St Louis</v>
          </cell>
          <cell r="C648" t="str">
            <v>United States of America</v>
          </cell>
          <cell r="D648">
            <v>44</v>
          </cell>
          <cell r="E648">
            <v>44.3</v>
          </cell>
          <cell r="F648">
            <v>62.8</v>
          </cell>
          <cell r="G648">
            <v>95.2</v>
          </cell>
          <cell r="H648" t="str">
            <v>-</v>
          </cell>
          <cell r="I648">
            <v>71.8</v>
          </cell>
          <cell r="J648">
            <v>12528</v>
          </cell>
          <cell r="K648">
            <v>5.7</v>
          </cell>
          <cell r="L648">
            <v>0.17</v>
          </cell>
          <cell r="N648">
            <v>2013</v>
          </cell>
          <cell r="O648" t="e">
            <v>#N/A</v>
          </cell>
          <cell r="P648" t="e">
            <v>#N/A</v>
          </cell>
        </row>
        <row r="649">
          <cell r="B649" t="str">
            <v>Peking University</v>
          </cell>
          <cell r="C649" t="str">
            <v>China</v>
          </cell>
          <cell r="D649">
            <v>46</v>
          </cell>
          <cell r="E649">
            <v>54.1</v>
          </cell>
          <cell r="F649">
            <v>67.900000000000006</v>
          </cell>
          <cell r="G649">
            <v>64.3</v>
          </cell>
          <cell r="H649">
            <v>99.9</v>
          </cell>
          <cell r="I649">
            <v>70.7</v>
          </cell>
          <cell r="J649">
            <v>40148</v>
          </cell>
          <cell r="K649">
            <v>8.3000000000000007</v>
          </cell>
          <cell r="L649">
            <v>0.14000000000000001</v>
          </cell>
          <cell r="N649">
            <v>2013</v>
          </cell>
          <cell r="O649">
            <v>55</v>
          </cell>
          <cell r="P649">
            <v>1</v>
          </cell>
        </row>
        <row r="650">
          <cell r="B650" t="str">
            <v>University of Minnesota</v>
          </cell>
          <cell r="C650" t="str">
            <v>United States of America</v>
          </cell>
          <cell r="D650">
            <v>47</v>
          </cell>
          <cell r="E650">
            <v>28.7</v>
          </cell>
          <cell r="F650">
            <v>74</v>
          </cell>
          <cell r="G650">
            <v>84.7</v>
          </cell>
          <cell r="H650" t="str">
            <v>-</v>
          </cell>
          <cell r="I650">
            <v>70.5</v>
          </cell>
          <cell r="J650">
            <v>46825</v>
          </cell>
          <cell r="K650">
            <v>18</v>
          </cell>
          <cell r="L650">
            <v>0.13</v>
          </cell>
          <cell r="M650">
            <v>2.2000000000000002</v>
          </cell>
          <cell r="N650">
            <v>2013</v>
          </cell>
          <cell r="O650" t="e">
            <v>#N/A</v>
          </cell>
          <cell r="P650" t="e">
            <v>#N/A</v>
          </cell>
        </row>
        <row r="651">
          <cell r="B651" t="str">
            <v>LMU Munich</v>
          </cell>
          <cell r="C651" t="str">
            <v>Germany</v>
          </cell>
          <cell r="D651">
            <v>48</v>
          </cell>
          <cell r="E651">
            <v>54.7</v>
          </cell>
          <cell r="F651">
            <v>66.5</v>
          </cell>
          <cell r="G651">
            <v>85.5</v>
          </cell>
          <cell r="H651">
            <v>42</v>
          </cell>
          <cell r="I651">
            <v>70.400000000000006</v>
          </cell>
          <cell r="J651">
            <v>35691</v>
          </cell>
          <cell r="K651">
            <v>15.5</v>
          </cell>
          <cell r="L651">
            <v>0.13</v>
          </cell>
          <cell r="M651">
            <v>2.6097222222222221</v>
          </cell>
          <cell r="N651">
            <v>2013</v>
          </cell>
          <cell r="O651" t="e">
            <v>#N/A</v>
          </cell>
          <cell r="P651" t="e">
            <v>#N/A</v>
          </cell>
        </row>
        <row r="652">
          <cell r="B652" t="str">
            <v>University of Manchester</v>
          </cell>
          <cell r="C652" t="str">
            <v>United Kingdom</v>
          </cell>
          <cell r="D652">
            <v>49</v>
          </cell>
          <cell r="E652">
            <v>77.900000000000006</v>
          </cell>
          <cell r="F652">
            <v>67.7</v>
          </cell>
          <cell r="G652">
            <v>76.900000000000006</v>
          </cell>
          <cell r="H652">
            <v>43.2</v>
          </cell>
          <cell r="I652">
            <v>70.099999999999994</v>
          </cell>
          <cell r="J652">
            <v>34938</v>
          </cell>
          <cell r="K652">
            <v>15.3</v>
          </cell>
          <cell r="L652">
            <v>0.34</v>
          </cell>
          <cell r="M652">
            <v>2.2000000000000002</v>
          </cell>
          <cell r="N652">
            <v>2013</v>
          </cell>
          <cell r="O652">
            <v>76</v>
          </cell>
          <cell r="P652">
            <v>5</v>
          </cell>
        </row>
        <row r="653">
          <cell r="B653" t="str">
            <v>Pohang University of Science and Technology</v>
          </cell>
          <cell r="C653" t="str">
            <v>South Korea</v>
          </cell>
          <cell r="D653">
            <v>50</v>
          </cell>
          <cell r="E653">
            <v>28.8</v>
          </cell>
          <cell r="F653">
            <v>63.9</v>
          </cell>
          <cell r="G653">
            <v>88.2</v>
          </cell>
          <cell r="H653">
            <v>100</v>
          </cell>
          <cell r="I653">
            <v>69.400000000000006</v>
          </cell>
          <cell r="J653">
            <v>3055</v>
          </cell>
          <cell r="K653">
            <v>10.1</v>
          </cell>
          <cell r="L653">
            <v>0.04</v>
          </cell>
          <cell r="M653">
            <v>0.88888888888888884</v>
          </cell>
          <cell r="N653">
            <v>2013</v>
          </cell>
          <cell r="O653">
            <v>186</v>
          </cell>
          <cell r="P653">
            <v>6</v>
          </cell>
        </row>
        <row r="654">
          <cell r="B654" t="str">
            <v>Brown University</v>
          </cell>
          <cell r="C654" t="str">
            <v>United States of America</v>
          </cell>
          <cell r="D654">
            <v>51</v>
          </cell>
          <cell r="E654">
            <v>36.9</v>
          </cell>
          <cell r="F654">
            <v>60.3</v>
          </cell>
          <cell r="G654">
            <v>94.1</v>
          </cell>
          <cell r="H654">
            <v>29.9</v>
          </cell>
          <cell r="I654">
            <v>68.900000000000006</v>
          </cell>
          <cell r="J654">
            <v>8653</v>
          </cell>
          <cell r="K654">
            <v>10.1</v>
          </cell>
          <cell r="L654">
            <v>0.19</v>
          </cell>
          <cell r="N654">
            <v>2013</v>
          </cell>
          <cell r="O654">
            <v>66</v>
          </cell>
          <cell r="P654">
            <v>46</v>
          </cell>
        </row>
        <row r="655">
          <cell r="B655" t="str">
            <v>Tsinghua University</v>
          </cell>
          <cell r="C655" t="str">
            <v>China</v>
          </cell>
          <cell r="D655">
            <v>52</v>
          </cell>
          <cell r="E655">
            <v>37.200000000000003</v>
          </cell>
          <cell r="F655">
            <v>76.400000000000006</v>
          </cell>
          <cell r="G655">
            <v>55.2</v>
          </cell>
          <cell r="H655">
            <v>99.2</v>
          </cell>
          <cell r="I655">
            <v>67.099999999999994</v>
          </cell>
          <cell r="J655">
            <v>39763</v>
          </cell>
          <cell r="K655">
            <v>13.7</v>
          </cell>
          <cell r="L655">
            <v>0.1</v>
          </cell>
          <cell r="M655" t="str">
            <v>32 : 68</v>
          </cell>
          <cell r="N655">
            <v>2013</v>
          </cell>
          <cell r="O655">
            <v>87</v>
          </cell>
          <cell r="P655">
            <v>2</v>
          </cell>
        </row>
        <row r="656">
          <cell r="B656" t="str">
            <v>Ohio State University</v>
          </cell>
          <cell r="C656" t="str">
            <v>United States of America</v>
          </cell>
          <cell r="D656">
            <v>53</v>
          </cell>
          <cell r="E656">
            <v>46.3</v>
          </cell>
          <cell r="F656">
            <v>60.9</v>
          </cell>
          <cell r="G656">
            <v>80.099999999999994</v>
          </cell>
          <cell r="H656">
            <v>49.5</v>
          </cell>
          <cell r="I656">
            <v>67</v>
          </cell>
          <cell r="J656">
            <v>51462</v>
          </cell>
          <cell r="K656">
            <v>13.4</v>
          </cell>
          <cell r="L656">
            <v>0.12</v>
          </cell>
          <cell r="M656">
            <v>2.0770833333333334</v>
          </cell>
          <cell r="N656">
            <v>2013</v>
          </cell>
          <cell r="O656" t="e">
            <v>#N/A</v>
          </cell>
          <cell r="P656" t="e">
            <v>#N/A</v>
          </cell>
        </row>
        <row r="657">
          <cell r="B657" t="str">
            <v>Boston University</v>
          </cell>
          <cell r="C657" t="str">
            <v>United States of America</v>
          </cell>
          <cell r="D657">
            <v>54</v>
          </cell>
          <cell r="E657">
            <v>39.200000000000003</v>
          </cell>
          <cell r="F657">
            <v>50.9</v>
          </cell>
          <cell r="G657">
            <v>94.2</v>
          </cell>
          <cell r="H657">
            <v>30.6</v>
          </cell>
          <cell r="I657">
            <v>66.8</v>
          </cell>
          <cell r="J657">
            <v>24789</v>
          </cell>
          <cell r="K657">
            <v>8.6</v>
          </cell>
          <cell r="L657">
            <v>0.17</v>
          </cell>
          <cell r="M657">
            <v>2.4458333333333333</v>
          </cell>
          <cell r="N657">
            <v>2013</v>
          </cell>
          <cell r="O657">
            <v>62</v>
          </cell>
          <cell r="P657">
            <v>44</v>
          </cell>
        </row>
        <row r="658">
          <cell r="B658" t="str">
            <v>Kyoto University</v>
          </cell>
          <cell r="C658" t="str">
            <v>Japan</v>
          </cell>
          <cell r="D658">
            <v>54</v>
          </cell>
          <cell r="E658">
            <v>26.3</v>
          </cell>
          <cell r="F658">
            <v>74.8</v>
          </cell>
          <cell r="G658">
            <v>57.8</v>
          </cell>
          <cell r="H658">
            <v>76.400000000000006</v>
          </cell>
          <cell r="I658">
            <v>66.8</v>
          </cell>
          <cell r="J658">
            <v>22809</v>
          </cell>
          <cell r="K658">
            <v>5.6</v>
          </cell>
          <cell r="L658">
            <v>7.0000000000000007E-2</v>
          </cell>
          <cell r="N658">
            <v>2013</v>
          </cell>
          <cell r="O658">
            <v>17</v>
          </cell>
          <cell r="P658">
            <v>2</v>
          </cell>
        </row>
        <row r="659">
          <cell r="B659" t="str">
            <v>University of Southern California</v>
          </cell>
          <cell r="C659" t="str">
            <v>United States of America</v>
          </cell>
          <cell r="D659">
            <v>56</v>
          </cell>
          <cell r="E659">
            <v>43.4</v>
          </cell>
          <cell r="F659">
            <v>57.1</v>
          </cell>
          <cell r="G659">
            <v>81.900000000000006</v>
          </cell>
          <cell r="H659">
            <v>33.5</v>
          </cell>
          <cell r="I659">
            <v>66.3</v>
          </cell>
          <cell r="J659">
            <v>36534</v>
          </cell>
          <cell r="K659">
            <v>12.9</v>
          </cell>
          <cell r="L659">
            <v>0.2</v>
          </cell>
          <cell r="M659">
            <v>2.2000000000000002</v>
          </cell>
          <cell r="N659">
            <v>2013</v>
          </cell>
          <cell r="O659">
            <v>44</v>
          </cell>
          <cell r="P659">
            <v>32</v>
          </cell>
        </row>
        <row r="660">
          <cell r="B660" t="str">
            <v>Kingâ€™s College London</v>
          </cell>
          <cell r="C660" t="str">
            <v>United Kingdom</v>
          </cell>
          <cell r="D660">
            <v>57</v>
          </cell>
          <cell r="E660">
            <v>86</v>
          </cell>
          <cell r="F660">
            <v>59.3</v>
          </cell>
          <cell r="G660">
            <v>82.8</v>
          </cell>
          <cell r="H660">
            <v>42.4</v>
          </cell>
          <cell r="I660">
            <v>66.2</v>
          </cell>
          <cell r="J660">
            <v>21394</v>
          </cell>
          <cell r="K660">
            <v>11.4</v>
          </cell>
          <cell r="L660">
            <v>0.37</v>
          </cell>
          <cell r="M660">
            <v>2.5687500000000001</v>
          </cell>
          <cell r="N660">
            <v>2013</v>
          </cell>
          <cell r="O660" t="e">
            <v>#N/A</v>
          </cell>
          <cell r="P660" t="e">
            <v>#N/A</v>
          </cell>
        </row>
        <row r="661">
          <cell r="B661" t="str">
            <v>KU Leuven</v>
          </cell>
          <cell r="C661" t="str">
            <v>Belgium</v>
          </cell>
          <cell r="D661">
            <v>58</v>
          </cell>
          <cell r="E661">
            <v>56.6</v>
          </cell>
          <cell r="F661">
            <v>71</v>
          </cell>
          <cell r="G661">
            <v>67.2</v>
          </cell>
          <cell r="H661">
            <v>99.7</v>
          </cell>
          <cell r="I661">
            <v>66.099999999999994</v>
          </cell>
          <cell r="J661">
            <v>42503</v>
          </cell>
          <cell r="K661">
            <v>41.9</v>
          </cell>
          <cell r="L661">
            <v>0.18</v>
          </cell>
          <cell r="M661">
            <v>2.2819444444444446</v>
          </cell>
          <cell r="N661">
            <v>2013</v>
          </cell>
          <cell r="O661" t="e">
            <v>#N/A</v>
          </cell>
          <cell r="P661" t="e">
            <v>#N/A</v>
          </cell>
        </row>
        <row r="662">
          <cell r="B662" t="str">
            <v>Seoul National University</v>
          </cell>
          <cell r="C662" t="str">
            <v>South Korea</v>
          </cell>
          <cell r="D662">
            <v>59</v>
          </cell>
          <cell r="E662">
            <v>27</v>
          </cell>
          <cell r="F662">
            <v>81.400000000000006</v>
          </cell>
          <cell r="G662">
            <v>48</v>
          </cell>
          <cell r="H662">
            <v>81.7</v>
          </cell>
          <cell r="I662">
            <v>65.900000000000006</v>
          </cell>
          <cell r="J662">
            <v>26389</v>
          </cell>
          <cell r="K662">
            <v>13.9</v>
          </cell>
          <cell r="L662">
            <v>0.1</v>
          </cell>
          <cell r="N662">
            <v>2013</v>
          </cell>
          <cell r="O662">
            <v>75</v>
          </cell>
          <cell r="P662">
            <v>1</v>
          </cell>
        </row>
        <row r="663">
          <cell r="B663" t="str">
            <v>Ã‰cole Normale SupÃ©rieure</v>
          </cell>
          <cell r="C663" t="str">
            <v>France</v>
          </cell>
          <cell r="D663">
            <v>59</v>
          </cell>
          <cell r="E663">
            <v>67.3</v>
          </cell>
          <cell r="F663">
            <v>46.9</v>
          </cell>
          <cell r="G663">
            <v>90.3</v>
          </cell>
          <cell r="H663">
            <v>47.2</v>
          </cell>
          <cell r="I663">
            <v>65.900000000000006</v>
          </cell>
          <cell r="J663">
            <v>2400</v>
          </cell>
          <cell r="K663">
            <v>7.9</v>
          </cell>
          <cell r="L663">
            <v>0.2</v>
          </cell>
          <cell r="M663">
            <v>1.9541666666666666</v>
          </cell>
          <cell r="N663">
            <v>2013</v>
          </cell>
          <cell r="O663" t="e">
            <v>#N/A</v>
          </cell>
          <cell r="P663" t="e">
            <v>#N/A</v>
          </cell>
        </row>
        <row r="664">
          <cell r="B664" t="str">
            <v>Pennsylvania State University</v>
          </cell>
          <cell r="C664" t="str">
            <v>United States of America</v>
          </cell>
          <cell r="D664">
            <v>61</v>
          </cell>
          <cell r="E664">
            <v>34.9</v>
          </cell>
          <cell r="F664">
            <v>69.2</v>
          </cell>
          <cell r="G664">
            <v>81.400000000000006</v>
          </cell>
          <cell r="H664">
            <v>59.7</v>
          </cell>
          <cell r="I664">
            <v>65.8</v>
          </cell>
          <cell r="J664">
            <v>44501</v>
          </cell>
          <cell r="K664">
            <v>12.4</v>
          </cell>
          <cell r="L664">
            <v>0.12</v>
          </cell>
          <cell r="M664">
            <v>1.9541666666666666</v>
          </cell>
          <cell r="N664">
            <v>2013</v>
          </cell>
          <cell r="O664" t="e">
            <v>#N/A</v>
          </cell>
          <cell r="P664" t="e">
            <v>#N/A</v>
          </cell>
        </row>
        <row r="665">
          <cell r="B665" t="str">
            <v>University of Sydney</v>
          </cell>
          <cell r="C665" t="str">
            <v>Australia</v>
          </cell>
          <cell r="D665">
            <v>62</v>
          </cell>
          <cell r="E665">
            <v>83</v>
          </cell>
          <cell r="F665">
            <v>70.099999999999994</v>
          </cell>
          <cell r="G665">
            <v>62.9</v>
          </cell>
          <cell r="H665">
            <v>69.2</v>
          </cell>
          <cell r="I665">
            <v>65.7</v>
          </cell>
          <cell r="J665">
            <v>41868</v>
          </cell>
          <cell r="K665">
            <v>20.2</v>
          </cell>
          <cell r="L665">
            <v>0.28000000000000003</v>
          </cell>
          <cell r="M665">
            <v>2.4048611111111109</v>
          </cell>
          <cell r="N665">
            <v>2013</v>
          </cell>
          <cell r="O665">
            <v>94</v>
          </cell>
          <cell r="P665">
            <v>2</v>
          </cell>
        </row>
        <row r="666">
          <cell r="B666" t="str">
            <v>Ã‰cole Polytechnique</v>
          </cell>
          <cell r="C666" t="str">
            <v>France</v>
          </cell>
          <cell r="D666">
            <v>62</v>
          </cell>
          <cell r="E666">
            <v>83</v>
          </cell>
          <cell r="F666">
            <v>54.7</v>
          </cell>
          <cell r="G666">
            <v>80.7</v>
          </cell>
          <cell r="H666">
            <v>75.8</v>
          </cell>
          <cell r="I666">
            <v>65.7</v>
          </cell>
          <cell r="J666">
            <v>2429</v>
          </cell>
          <cell r="K666">
            <v>4.8</v>
          </cell>
          <cell r="L666">
            <v>0.3</v>
          </cell>
          <cell r="M666">
            <v>0.80694444444444446</v>
          </cell>
          <cell r="N666">
            <v>2013</v>
          </cell>
          <cell r="O666">
            <v>61</v>
          </cell>
          <cell r="P666">
            <v>3</v>
          </cell>
        </row>
        <row r="667">
          <cell r="B667" t="str">
            <v>Leiden University</v>
          </cell>
          <cell r="C667" t="str">
            <v>Netherlands</v>
          </cell>
          <cell r="D667">
            <v>64</v>
          </cell>
          <cell r="E667">
            <v>54.8</v>
          </cell>
          <cell r="F667">
            <v>67.099999999999994</v>
          </cell>
          <cell r="G667">
            <v>78.400000000000006</v>
          </cell>
          <cell r="H667">
            <v>46.1</v>
          </cell>
          <cell r="I667">
            <v>65.099999999999994</v>
          </cell>
          <cell r="J667">
            <v>21222</v>
          </cell>
          <cell r="K667">
            <v>17.100000000000001</v>
          </cell>
          <cell r="L667">
            <v>0.1</v>
          </cell>
          <cell r="M667">
            <v>2.4868055555555557</v>
          </cell>
          <cell r="N667">
            <v>2013</v>
          </cell>
          <cell r="O667">
            <v>85</v>
          </cell>
          <cell r="P667">
            <v>1</v>
          </cell>
        </row>
        <row r="668">
          <cell r="B668" t="str">
            <v>Hong Kong University of Science and Technology</v>
          </cell>
          <cell r="C668" t="str">
            <v>Hong Kong</v>
          </cell>
          <cell r="D668">
            <v>65</v>
          </cell>
          <cell r="E668">
            <v>78.099999999999994</v>
          </cell>
          <cell r="F668">
            <v>64.599999999999994</v>
          </cell>
          <cell r="G668">
            <v>68.900000000000006</v>
          </cell>
          <cell r="H668">
            <v>55.6</v>
          </cell>
          <cell r="I668">
            <v>64.400000000000006</v>
          </cell>
          <cell r="J668">
            <v>11385</v>
          </cell>
          <cell r="K668">
            <v>23.8</v>
          </cell>
          <cell r="L668">
            <v>0.36</v>
          </cell>
          <cell r="N668">
            <v>2013</v>
          </cell>
          <cell r="O668">
            <v>291</v>
          </cell>
          <cell r="P668">
            <v>3</v>
          </cell>
        </row>
        <row r="669">
          <cell r="B669" t="str">
            <v>The University of Queensland</v>
          </cell>
          <cell r="C669" t="str">
            <v>Australia</v>
          </cell>
          <cell r="D669">
            <v>65</v>
          </cell>
          <cell r="E669">
            <v>77.8</v>
          </cell>
          <cell r="F669">
            <v>66.099999999999994</v>
          </cell>
          <cell r="G669">
            <v>69.599999999999994</v>
          </cell>
          <cell r="H669">
            <v>64</v>
          </cell>
          <cell r="I669">
            <v>64.400000000000006</v>
          </cell>
          <cell r="J669">
            <v>34718</v>
          </cell>
          <cell r="K669">
            <v>32.700000000000003</v>
          </cell>
          <cell r="L669">
            <v>0.27</v>
          </cell>
          <cell r="M669">
            <v>2.2409722222222221</v>
          </cell>
          <cell r="N669">
            <v>2013</v>
          </cell>
          <cell r="O669" t="e">
            <v>#N/A</v>
          </cell>
          <cell r="P669" t="e">
            <v>#N/A</v>
          </cell>
        </row>
        <row r="670">
          <cell r="B670" t="str">
            <v>Utrecht University</v>
          </cell>
          <cell r="C670" t="str">
            <v>Netherlands</v>
          </cell>
          <cell r="D670">
            <v>67</v>
          </cell>
          <cell r="E670">
            <v>47.3</v>
          </cell>
          <cell r="F670">
            <v>64.7</v>
          </cell>
          <cell r="G670">
            <v>82.4</v>
          </cell>
          <cell r="H670">
            <v>82.6</v>
          </cell>
          <cell r="I670">
            <v>64.099999999999994</v>
          </cell>
          <cell r="J670">
            <v>30779</v>
          </cell>
          <cell r="K670">
            <v>15.4</v>
          </cell>
          <cell r="L670">
            <v>7.0000000000000007E-2</v>
          </cell>
          <cell r="M670">
            <v>2.4868055555555557</v>
          </cell>
          <cell r="N670">
            <v>2013</v>
          </cell>
          <cell r="O670">
            <v>99</v>
          </cell>
          <cell r="P670">
            <v>2</v>
          </cell>
        </row>
        <row r="671">
          <cell r="B671" t="str">
            <v>Korea Advanced Institute of Science and Technology (KAIST)</v>
          </cell>
          <cell r="C671" t="str">
            <v>South Korea</v>
          </cell>
          <cell r="D671">
            <v>68</v>
          </cell>
          <cell r="E671">
            <v>31.1</v>
          </cell>
          <cell r="F671">
            <v>68.900000000000006</v>
          </cell>
          <cell r="G671">
            <v>58.4</v>
          </cell>
          <cell r="H671">
            <v>100</v>
          </cell>
          <cell r="I671">
            <v>64</v>
          </cell>
          <cell r="J671">
            <v>9027</v>
          </cell>
          <cell r="K671">
            <v>10</v>
          </cell>
          <cell r="L671">
            <v>0.09</v>
          </cell>
          <cell r="M671">
            <v>0.88888888888888884</v>
          </cell>
          <cell r="N671">
            <v>2013</v>
          </cell>
          <cell r="O671">
            <v>128</v>
          </cell>
          <cell r="P671">
            <v>3</v>
          </cell>
        </row>
        <row r="672">
          <cell r="B672" t="str">
            <v>Purdue University</v>
          </cell>
          <cell r="C672" t="str">
            <v>United States of America</v>
          </cell>
          <cell r="D672">
            <v>69</v>
          </cell>
          <cell r="E672">
            <v>54.8</v>
          </cell>
          <cell r="F672">
            <v>71.900000000000006</v>
          </cell>
          <cell r="G672">
            <v>63.1</v>
          </cell>
          <cell r="H672" t="str">
            <v>-</v>
          </cell>
          <cell r="I672">
            <v>63.8</v>
          </cell>
          <cell r="J672">
            <v>39256</v>
          </cell>
          <cell r="K672">
            <v>18.100000000000001</v>
          </cell>
          <cell r="L672">
            <v>0.22</v>
          </cell>
          <cell r="M672">
            <v>1.7902777777777779</v>
          </cell>
          <cell r="N672">
            <v>2013</v>
          </cell>
          <cell r="O672" t="e">
            <v>#N/A</v>
          </cell>
          <cell r="P672" t="e">
            <v>#N/A</v>
          </cell>
        </row>
        <row r="673">
          <cell r="B673" t="str">
            <v>University of GÃ¶ttingen</v>
          </cell>
          <cell r="C673" t="str">
            <v>Germany</v>
          </cell>
          <cell r="D673">
            <v>70</v>
          </cell>
          <cell r="E673">
            <v>51</v>
          </cell>
          <cell r="F673">
            <v>52.5</v>
          </cell>
          <cell r="G673">
            <v>92.5</v>
          </cell>
          <cell r="H673">
            <v>34.4</v>
          </cell>
          <cell r="I673">
            <v>63.2</v>
          </cell>
          <cell r="J673">
            <v>25581</v>
          </cell>
          <cell r="K673">
            <v>25.6</v>
          </cell>
          <cell r="L673">
            <v>0.12</v>
          </cell>
          <cell r="M673">
            <v>2.1590277777777778</v>
          </cell>
          <cell r="N673">
            <v>2013</v>
          </cell>
          <cell r="O673">
            <v>169</v>
          </cell>
          <cell r="P673">
            <v>10</v>
          </cell>
        </row>
        <row r="674">
          <cell r="B674" t="str">
            <v>Wageningen University and Research Center</v>
          </cell>
          <cell r="C674" t="str">
            <v>Netherlands</v>
          </cell>
          <cell r="D674">
            <v>70</v>
          </cell>
          <cell r="E674">
            <v>79.2</v>
          </cell>
          <cell r="F674">
            <v>53.7</v>
          </cell>
          <cell r="G674">
            <v>73.8</v>
          </cell>
          <cell r="H674">
            <v>100</v>
          </cell>
          <cell r="I674">
            <v>63.2</v>
          </cell>
          <cell r="J674">
            <v>9248</v>
          </cell>
          <cell r="K674">
            <v>17</v>
          </cell>
          <cell r="L674">
            <v>0.21</v>
          </cell>
          <cell r="M674">
            <v>2.3638888888888889</v>
          </cell>
          <cell r="N674">
            <v>2013</v>
          </cell>
          <cell r="O674" t="e">
            <v>#N/A</v>
          </cell>
          <cell r="P674" t="e">
            <v>#N/A</v>
          </cell>
        </row>
        <row r="675">
          <cell r="B675" t="str">
            <v>Erasmus University Rotterdam</v>
          </cell>
          <cell r="C675" t="str">
            <v>Netherlands</v>
          </cell>
          <cell r="D675">
            <v>72</v>
          </cell>
          <cell r="E675">
            <v>62.8</v>
          </cell>
          <cell r="F675">
            <v>64.099999999999994</v>
          </cell>
          <cell r="G675">
            <v>80.2</v>
          </cell>
          <cell r="H675">
            <v>62</v>
          </cell>
          <cell r="I675">
            <v>62.9</v>
          </cell>
          <cell r="J675">
            <v>20580</v>
          </cell>
          <cell r="K675">
            <v>18.899999999999999</v>
          </cell>
          <cell r="L675">
            <v>0.18</v>
          </cell>
          <cell r="M675">
            <v>2.036111111111111</v>
          </cell>
          <cell r="N675">
            <v>2013</v>
          </cell>
          <cell r="O675">
            <v>101</v>
          </cell>
          <cell r="P675">
            <v>2</v>
          </cell>
        </row>
        <row r="676">
          <cell r="B676" t="str">
            <v>University of Massachusetts</v>
          </cell>
          <cell r="C676" t="str">
            <v>United States of America</v>
          </cell>
          <cell r="D676">
            <v>72</v>
          </cell>
          <cell r="E676">
            <v>31.7</v>
          </cell>
          <cell r="F676">
            <v>62.6</v>
          </cell>
          <cell r="G676">
            <v>77.8</v>
          </cell>
          <cell r="H676">
            <v>52.8</v>
          </cell>
          <cell r="I676">
            <v>62.9</v>
          </cell>
          <cell r="J676">
            <v>56959</v>
          </cell>
          <cell r="K676">
            <v>13</v>
          </cell>
          <cell r="L676">
            <v>0.11</v>
          </cell>
          <cell r="M676">
            <v>2.0770833333333334</v>
          </cell>
          <cell r="N676">
            <v>2013</v>
          </cell>
          <cell r="O676" t="e">
            <v>#N/A</v>
          </cell>
          <cell r="P676" t="e">
            <v>#N/A</v>
          </cell>
        </row>
        <row r="677">
          <cell r="B677" t="str">
            <v>University of Bristol</v>
          </cell>
          <cell r="C677" t="str">
            <v>United Kingdom</v>
          </cell>
          <cell r="D677">
            <v>74</v>
          </cell>
          <cell r="E677">
            <v>71.900000000000006</v>
          </cell>
          <cell r="F677">
            <v>51.7</v>
          </cell>
          <cell r="G677">
            <v>85.4</v>
          </cell>
          <cell r="H677">
            <v>38.700000000000003</v>
          </cell>
          <cell r="I677">
            <v>62.5</v>
          </cell>
          <cell r="J677">
            <v>17906</v>
          </cell>
          <cell r="K677">
            <v>14</v>
          </cell>
          <cell r="L677">
            <v>0.25</v>
          </cell>
          <cell r="M677">
            <v>2.2409722222222221</v>
          </cell>
          <cell r="N677">
            <v>2013</v>
          </cell>
          <cell r="O677">
            <v>98</v>
          </cell>
          <cell r="P677">
            <v>7</v>
          </cell>
        </row>
        <row r="678">
          <cell r="B678" t="str">
            <v>Rice University</v>
          </cell>
          <cell r="C678" t="str">
            <v>United States of America</v>
          </cell>
          <cell r="D678">
            <v>75</v>
          </cell>
          <cell r="E678">
            <v>59</v>
          </cell>
          <cell r="F678">
            <v>39.299999999999997</v>
          </cell>
          <cell r="G678">
            <v>100</v>
          </cell>
          <cell r="H678">
            <v>36.5</v>
          </cell>
          <cell r="I678">
            <v>62</v>
          </cell>
          <cell r="J678">
            <v>6333</v>
          </cell>
          <cell r="K678">
            <v>9</v>
          </cell>
          <cell r="L678">
            <v>0.26</v>
          </cell>
          <cell r="M678">
            <v>1.8722222222222222</v>
          </cell>
          <cell r="N678">
            <v>2013</v>
          </cell>
          <cell r="O678">
            <v>57</v>
          </cell>
          <cell r="P678">
            <v>41</v>
          </cell>
        </row>
        <row r="679">
          <cell r="B679" t="str">
            <v>University of Pittsburgh</v>
          </cell>
          <cell r="C679" t="str">
            <v>United States of America</v>
          </cell>
          <cell r="D679">
            <v>76</v>
          </cell>
          <cell r="E679">
            <v>29.4</v>
          </cell>
          <cell r="F679">
            <v>55.1</v>
          </cell>
          <cell r="G679">
            <v>85.2</v>
          </cell>
          <cell r="H679">
            <v>39.299999999999997</v>
          </cell>
          <cell r="I679">
            <v>61.7</v>
          </cell>
          <cell r="J679">
            <v>26485</v>
          </cell>
          <cell r="K679">
            <v>5.8</v>
          </cell>
          <cell r="L679">
            <v>0.1</v>
          </cell>
          <cell r="M679">
            <v>2.1590277777777778</v>
          </cell>
          <cell r="N679">
            <v>2013</v>
          </cell>
          <cell r="O679" t="e">
            <v>#N/A</v>
          </cell>
          <cell r="P679" t="e">
            <v>#N/A</v>
          </cell>
        </row>
        <row r="680">
          <cell r="B680" t="str">
            <v>Delft University of Technology</v>
          </cell>
          <cell r="C680" t="str">
            <v>Netherlands</v>
          </cell>
          <cell r="D680">
            <v>77</v>
          </cell>
          <cell r="E680">
            <v>67.7</v>
          </cell>
          <cell r="F680">
            <v>75.099999999999994</v>
          </cell>
          <cell r="G680">
            <v>45.1</v>
          </cell>
          <cell r="H680">
            <v>99.9</v>
          </cell>
          <cell r="I680">
            <v>61.6</v>
          </cell>
          <cell r="J680">
            <v>15920</v>
          </cell>
          <cell r="K680">
            <v>19.399999999999999</v>
          </cell>
          <cell r="L680">
            <v>0.25</v>
          </cell>
          <cell r="M680" t="str">
            <v>26 : 74</v>
          </cell>
          <cell r="N680">
            <v>2013</v>
          </cell>
          <cell r="O680">
            <v>275</v>
          </cell>
          <cell r="P680">
            <v>9</v>
          </cell>
        </row>
        <row r="681">
          <cell r="B681" t="str">
            <v>Heidelberg University</v>
          </cell>
          <cell r="C681" t="str">
            <v>Germany</v>
          </cell>
          <cell r="D681">
            <v>78</v>
          </cell>
          <cell r="E681">
            <v>61.3</v>
          </cell>
          <cell r="F681">
            <v>49</v>
          </cell>
          <cell r="G681">
            <v>75.5</v>
          </cell>
          <cell r="H681">
            <v>40.700000000000003</v>
          </cell>
          <cell r="I681">
            <v>61.4</v>
          </cell>
          <cell r="J681">
            <v>28881</v>
          </cell>
          <cell r="K681">
            <v>24.5</v>
          </cell>
          <cell r="L681">
            <v>0.17</v>
          </cell>
          <cell r="M681">
            <v>2.3229166666666665</v>
          </cell>
          <cell r="N681">
            <v>2013</v>
          </cell>
          <cell r="O681" t="e">
            <v>#N/A</v>
          </cell>
          <cell r="P681" t="e">
            <v>#N/A</v>
          </cell>
        </row>
        <row r="682">
          <cell r="B682" t="str">
            <v>Emory University</v>
          </cell>
          <cell r="C682" t="str">
            <v>United States of America</v>
          </cell>
          <cell r="D682">
            <v>79</v>
          </cell>
          <cell r="E682">
            <v>36.6</v>
          </cell>
          <cell r="F682">
            <v>44.4</v>
          </cell>
          <cell r="G682">
            <v>90.9</v>
          </cell>
          <cell r="H682">
            <v>38.299999999999997</v>
          </cell>
          <cell r="I682">
            <v>61.3</v>
          </cell>
          <cell r="J682">
            <v>12338</v>
          </cell>
          <cell r="K682">
            <v>4.5</v>
          </cell>
          <cell r="L682">
            <v>0.18</v>
          </cell>
          <cell r="M682">
            <v>2.3638888888888889</v>
          </cell>
          <cell r="N682">
            <v>2013</v>
          </cell>
          <cell r="O682">
            <v>81</v>
          </cell>
          <cell r="P682">
            <v>53</v>
          </cell>
        </row>
        <row r="683">
          <cell r="B683" t="str">
            <v>Durham University</v>
          </cell>
          <cell r="C683" t="str">
            <v>United Kingdom</v>
          </cell>
          <cell r="D683">
            <v>80</v>
          </cell>
          <cell r="E683">
            <v>77.7</v>
          </cell>
          <cell r="F683">
            <v>44.5</v>
          </cell>
          <cell r="G683">
            <v>93.3</v>
          </cell>
          <cell r="H683">
            <v>34.299999999999997</v>
          </cell>
          <cell r="I683">
            <v>60.7</v>
          </cell>
          <cell r="J683">
            <v>15489</v>
          </cell>
          <cell r="K683">
            <v>15.7</v>
          </cell>
          <cell r="L683">
            <v>0.24</v>
          </cell>
          <cell r="M683">
            <v>2.2819444444444446</v>
          </cell>
          <cell r="N683">
            <v>2013</v>
          </cell>
          <cell r="O683">
            <v>264</v>
          </cell>
          <cell r="P683">
            <v>23</v>
          </cell>
        </row>
        <row r="684">
          <cell r="B684" t="str">
            <v>Pierre and Marie Curie University</v>
          </cell>
          <cell r="C684" t="str">
            <v>France</v>
          </cell>
          <cell r="D684">
            <v>81</v>
          </cell>
          <cell r="E684">
            <v>64.400000000000006</v>
          </cell>
          <cell r="F684">
            <v>43.5</v>
          </cell>
          <cell r="G684">
            <v>80.599999999999994</v>
          </cell>
          <cell r="H684">
            <v>28.6</v>
          </cell>
          <cell r="I684">
            <v>60.5</v>
          </cell>
          <cell r="J684">
            <v>27862</v>
          </cell>
          <cell r="K684">
            <v>8.6999999999999993</v>
          </cell>
          <cell r="L684">
            <v>0.18</v>
          </cell>
          <cell r="M684">
            <v>2.036111111111111</v>
          </cell>
          <cell r="N684">
            <v>2013</v>
          </cell>
          <cell r="O684" t="e">
            <v>#N/A</v>
          </cell>
          <cell r="P684" t="e">
            <v>#N/A</v>
          </cell>
        </row>
        <row r="685">
          <cell r="B685" t="str">
            <v>Lund University</v>
          </cell>
          <cell r="C685" t="str">
            <v>Sweden</v>
          </cell>
          <cell r="D685">
            <v>82</v>
          </cell>
          <cell r="E685">
            <v>64.400000000000006</v>
          </cell>
          <cell r="F685">
            <v>61.3</v>
          </cell>
          <cell r="G685">
            <v>77.099999999999994</v>
          </cell>
          <cell r="H685">
            <v>34.200000000000003</v>
          </cell>
          <cell r="I685">
            <v>60.3</v>
          </cell>
          <cell r="J685">
            <v>28251</v>
          </cell>
          <cell r="K685">
            <v>11.5</v>
          </cell>
          <cell r="L685">
            <v>0.15</v>
          </cell>
          <cell r="N685">
            <v>2013</v>
          </cell>
          <cell r="O685">
            <v>116</v>
          </cell>
          <cell r="P685">
            <v>3</v>
          </cell>
        </row>
        <row r="686">
          <cell r="B686" t="str">
            <v>University of Amsterdam</v>
          </cell>
          <cell r="C686" t="str">
            <v>Netherlands</v>
          </cell>
          <cell r="D686">
            <v>83</v>
          </cell>
          <cell r="E686">
            <v>57</v>
          </cell>
          <cell r="F686">
            <v>61.3</v>
          </cell>
          <cell r="G686">
            <v>75.099999999999994</v>
          </cell>
          <cell r="H686">
            <v>49</v>
          </cell>
          <cell r="I686">
            <v>60.1</v>
          </cell>
          <cell r="J686">
            <v>24570</v>
          </cell>
          <cell r="K686">
            <v>14.4</v>
          </cell>
          <cell r="L686">
            <v>0.11</v>
          </cell>
          <cell r="M686">
            <v>2.2409722222222221</v>
          </cell>
          <cell r="N686">
            <v>2013</v>
          </cell>
          <cell r="O686">
            <v>122</v>
          </cell>
          <cell r="P686">
            <v>4</v>
          </cell>
        </row>
        <row r="687">
          <cell r="B687" t="str">
            <v>University of Montreal</v>
          </cell>
          <cell r="C687" t="str">
            <v>Canada</v>
          </cell>
          <cell r="D687">
            <v>84</v>
          </cell>
          <cell r="E687">
            <v>74.599999999999994</v>
          </cell>
          <cell r="F687">
            <v>57.9</v>
          </cell>
          <cell r="G687">
            <v>60.9</v>
          </cell>
          <cell r="H687">
            <v>95</v>
          </cell>
          <cell r="I687">
            <v>59.8</v>
          </cell>
          <cell r="J687">
            <v>38264</v>
          </cell>
          <cell r="K687">
            <v>20.3</v>
          </cell>
          <cell r="L687">
            <v>0.25</v>
          </cell>
          <cell r="M687">
            <v>2.4048611111111109</v>
          </cell>
          <cell r="N687">
            <v>2013</v>
          </cell>
          <cell r="O687">
            <v>134</v>
          </cell>
          <cell r="P687">
            <v>5</v>
          </cell>
        </row>
        <row r="688">
          <cell r="B688" t="str">
            <v>University of New South Wales</v>
          </cell>
          <cell r="C688" t="str">
            <v>Australia</v>
          </cell>
          <cell r="D688">
            <v>85</v>
          </cell>
          <cell r="E688">
            <v>84.8</v>
          </cell>
          <cell r="F688">
            <v>63.8</v>
          </cell>
          <cell r="G688">
            <v>56.7</v>
          </cell>
          <cell r="H688">
            <v>50.5</v>
          </cell>
          <cell r="I688">
            <v>59.6</v>
          </cell>
          <cell r="J688">
            <v>38309</v>
          </cell>
          <cell r="K688">
            <v>25.9</v>
          </cell>
          <cell r="L688">
            <v>0.33</v>
          </cell>
          <cell r="M688">
            <v>1.9951388888888888</v>
          </cell>
          <cell r="N688">
            <v>2013</v>
          </cell>
          <cell r="O688">
            <v>149</v>
          </cell>
          <cell r="P688">
            <v>4</v>
          </cell>
        </row>
        <row r="689">
          <cell r="B689" t="str">
            <v>Nanyang Technological University</v>
          </cell>
          <cell r="C689" t="str">
            <v>Singapore</v>
          </cell>
          <cell r="D689">
            <v>86</v>
          </cell>
          <cell r="E689">
            <v>90.5</v>
          </cell>
          <cell r="F689">
            <v>66.900000000000006</v>
          </cell>
          <cell r="G689">
            <v>54.5</v>
          </cell>
          <cell r="H689">
            <v>99.5</v>
          </cell>
          <cell r="I689">
            <v>59.4</v>
          </cell>
          <cell r="J689">
            <v>25028</v>
          </cell>
          <cell r="K689">
            <v>16.2</v>
          </cell>
          <cell r="L689">
            <v>0.33</v>
          </cell>
          <cell r="M689">
            <v>2.036111111111111</v>
          </cell>
          <cell r="N689">
            <v>2013</v>
          </cell>
          <cell r="O689">
            <v>148</v>
          </cell>
          <cell r="P689">
            <v>2</v>
          </cell>
        </row>
        <row r="690">
          <cell r="B690" t="str">
            <v>Tufts University</v>
          </cell>
          <cell r="C690" t="str">
            <v>United States of America</v>
          </cell>
          <cell r="D690">
            <v>87</v>
          </cell>
          <cell r="E690">
            <v>39.6</v>
          </cell>
          <cell r="F690">
            <v>36.4</v>
          </cell>
          <cell r="G690">
            <v>94.8</v>
          </cell>
          <cell r="H690">
            <v>39.4</v>
          </cell>
          <cell r="I690">
            <v>59.1</v>
          </cell>
          <cell r="J690">
            <v>10410</v>
          </cell>
          <cell r="K690">
            <v>10</v>
          </cell>
          <cell r="L690">
            <v>0.14000000000000001</v>
          </cell>
          <cell r="M690">
            <v>2.2819444444444446</v>
          </cell>
          <cell r="N690">
            <v>2013</v>
          </cell>
          <cell r="O690">
            <v>86</v>
          </cell>
          <cell r="P690">
            <v>55</v>
          </cell>
        </row>
        <row r="691">
          <cell r="B691" t="str">
            <v>McMaster University</v>
          </cell>
          <cell r="C691" t="str">
            <v>Canada</v>
          </cell>
          <cell r="D691">
            <v>88</v>
          </cell>
          <cell r="E691">
            <v>66.900000000000006</v>
          </cell>
          <cell r="F691">
            <v>47.9</v>
          </cell>
          <cell r="G691">
            <v>81.7</v>
          </cell>
          <cell r="H691">
            <v>98</v>
          </cell>
          <cell r="I691">
            <v>59</v>
          </cell>
          <cell r="J691">
            <v>23823</v>
          </cell>
          <cell r="K691">
            <v>19.3</v>
          </cell>
          <cell r="L691">
            <v>0.15</v>
          </cell>
          <cell r="M691">
            <v>2.2409722222222221</v>
          </cell>
          <cell r="N691">
            <v>2013</v>
          </cell>
          <cell r="O691">
            <v>141</v>
          </cell>
          <cell r="P691">
            <v>6</v>
          </cell>
        </row>
        <row r="692">
          <cell r="B692" t="str">
            <v>University of Groningen</v>
          </cell>
          <cell r="C692" t="str">
            <v>Netherlands</v>
          </cell>
          <cell r="D692">
            <v>89</v>
          </cell>
          <cell r="E692">
            <v>49.8</v>
          </cell>
          <cell r="F692">
            <v>61</v>
          </cell>
          <cell r="G692">
            <v>71.599999999999994</v>
          </cell>
          <cell r="H692">
            <v>85.2</v>
          </cell>
          <cell r="I692">
            <v>58.8</v>
          </cell>
          <cell r="J692">
            <v>24556</v>
          </cell>
          <cell r="K692">
            <v>25.6</v>
          </cell>
          <cell r="L692">
            <v>0.12</v>
          </cell>
          <cell r="M692">
            <v>2.2000000000000002</v>
          </cell>
          <cell r="N692">
            <v>2013</v>
          </cell>
          <cell r="O692">
            <v>127</v>
          </cell>
          <cell r="P692">
            <v>5</v>
          </cell>
        </row>
        <row r="693">
          <cell r="B693" t="str">
            <v>University of Zurich</v>
          </cell>
          <cell r="C693" t="str">
            <v>Switzerland</v>
          </cell>
          <cell r="D693">
            <v>89</v>
          </cell>
          <cell r="E693">
            <v>84.1</v>
          </cell>
          <cell r="F693">
            <v>41.6</v>
          </cell>
          <cell r="G693">
            <v>80</v>
          </cell>
          <cell r="H693">
            <v>38.299999999999997</v>
          </cell>
          <cell r="I693">
            <v>58.8</v>
          </cell>
          <cell r="J693">
            <v>26583</v>
          </cell>
          <cell r="K693">
            <v>6.5</v>
          </cell>
          <cell r="L693">
            <v>0.19</v>
          </cell>
          <cell r="M693">
            <v>2.4048611111111109</v>
          </cell>
          <cell r="N693">
            <v>2013</v>
          </cell>
          <cell r="O693">
            <v>88</v>
          </cell>
          <cell r="P693">
            <v>4</v>
          </cell>
        </row>
        <row r="694">
          <cell r="B694" t="str">
            <v>University of Colorado Boulder</v>
          </cell>
          <cell r="C694" t="str">
            <v>United States of America</v>
          </cell>
          <cell r="D694">
            <v>91</v>
          </cell>
          <cell r="E694">
            <v>34.700000000000003</v>
          </cell>
          <cell r="F694">
            <v>44.4</v>
          </cell>
          <cell r="G694">
            <v>97.1</v>
          </cell>
          <cell r="H694" t="str">
            <v>-</v>
          </cell>
          <cell r="I694">
            <v>58.7</v>
          </cell>
          <cell r="J694">
            <v>29325</v>
          </cell>
          <cell r="K694">
            <v>16.100000000000001</v>
          </cell>
          <cell r="L694">
            <v>0.08</v>
          </cell>
          <cell r="M694">
            <v>1.9131944444444444</v>
          </cell>
          <cell r="N694">
            <v>2013</v>
          </cell>
          <cell r="O694">
            <v>46</v>
          </cell>
          <cell r="P694">
            <v>34</v>
          </cell>
        </row>
        <row r="695">
          <cell r="B695" t="str">
            <v>Paris-Sud University</v>
          </cell>
          <cell r="C695" t="str">
            <v>France</v>
          </cell>
          <cell r="D695">
            <v>92</v>
          </cell>
          <cell r="E695">
            <v>63.9</v>
          </cell>
          <cell r="F695">
            <v>45.9</v>
          </cell>
          <cell r="G695">
            <v>82.9</v>
          </cell>
          <cell r="H695">
            <v>28.4</v>
          </cell>
          <cell r="I695">
            <v>58.6</v>
          </cell>
          <cell r="J695">
            <v>27603</v>
          </cell>
          <cell r="K695">
            <v>15</v>
          </cell>
          <cell r="L695">
            <v>0.17</v>
          </cell>
          <cell r="N695">
            <v>2013</v>
          </cell>
          <cell r="O695" t="e">
            <v>#N/A</v>
          </cell>
          <cell r="P695" t="e">
            <v>#N/A</v>
          </cell>
        </row>
        <row r="696">
          <cell r="B696" t="str">
            <v>Ghent University</v>
          </cell>
          <cell r="C696" t="str">
            <v>Belgium</v>
          </cell>
          <cell r="D696">
            <v>93</v>
          </cell>
          <cell r="E696">
            <v>49.1</v>
          </cell>
          <cell r="F696">
            <v>56.7</v>
          </cell>
          <cell r="G696">
            <v>71.3</v>
          </cell>
          <cell r="H696">
            <v>95.9</v>
          </cell>
          <cell r="I696">
            <v>58.4</v>
          </cell>
          <cell r="J696">
            <v>32166</v>
          </cell>
          <cell r="K696">
            <v>34.1</v>
          </cell>
          <cell r="L696">
            <v>0.09</v>
          </cell>
          <cell r="M696">
            <v>2.4048611111111109</v>
          </cell>
          <cell r="N696">
            <v>2013</v>
          </cell>
          <cell r="O696">
            <v>136</v>
          </cell>
          <cell r="P696">
            <v>2</v>
          </cell>
        </row>
        <row r="697">
          <cell r="B697" t="str">
            <v>Michigan State University</v>
          </cell>
          <cell r="C697" t="str">
            <v>United States of America</v>
          </cell>
          <cell r="D697">
            <v>94</v>
          </cell>
          <cell r="E697">
            <v>36.799999999999997</v>
          </cell>
          <cell r="F697">
            <v>56.8</v>
          </cell>
          <cell r="G697">
            <v>73.8</v>
          </cell>
          <cell r="H697">
            <v>32.6</v>
          </cell>
          <cell r="I697">
            <v>58.3</v>
          </cell>
          <cell r="J697">
            <v>44750</v>
          </cell>
          <cell r="K697">
            <v>15.7</v>
          </cell>
          <cell r="L697">
            <v>0.15</v>
          </cell>
          <cell r="M697">
            <v>2.1590277777777778</v>
          </cell>
          <cell r="N697">
            <v>2013</v>
          </cell>
          <cell r="O697">
            <v>112</v>
          </cell>
          <cell r="P697">
            <v>59</v>
          </cell>
        </row>
        <row r="698">
          <cell r="B698" t="str">
            <v>University of Notre Dame</v>
          </cell>
          <cell r="C698" t="str">
            <v>United States of America</v>
          </cell>
          <cell r="D698">
            <v>94</v>
          </cell>
          <cell r="E698">
            <v>41.6</v>
          </cell>
          <cell r="F698">
            <v>39.6</v>
          </cell>
          <cell r="G698">
            <v>93.5</v>
          </cell>
          <cell r="H698">
            <v>29.8</v>
          </cell>
          <cell r="I698">
            <v>58.3</v>
          </cell>
          <cell r="J698">
            <v>11829</v>
          </cell>
          <cell r="K698">
            <v>13.8</v>
          </cell>
          <cell r="L698">
            <v>0.1</v>
          </cell>
          <cell r="M698">
            <v>1.8722222222222222</v>
          </cell>
          <cell r="N698">
            <v>2013</v>
          </cell>
          <cell r="O698">
            <v>64</v>
          </cell>
          <cell r="P698">
            <v>42</v>
          </cell>
        </row>
        <row r="699">
          <cell r="B699" t="str">
            <v>University of California, Irvine</v>
          </cell>
          <cell r="C699" t="str">
            <v>United States of America</v>
          </cell>
          <cell r="D699">
            <v>96</v>
          </cell>
          <cell r="E699">
            <v>35.200000000000003</v>
          </cell>
          <cell r="F699">
            <v>47.2</v>
          </cell>
          <cell r="G699">
            <v>90.3</v>
          </cell>
          <cell r="H699">
            <v>42.1</v>
          </cell>
          <cell r="I699">
            <v>58.2</v>
          </cell>
          <cell r="J699">
            <v>26614</v>
          </cell>
          <cell r="K699">
            <v>16.100000000000001</v>
          </cell>
          <cell r="L699">
            <v>0.16</v>
          </cell>
          <cell r="M699">
            <v>2.2000000000000002</v>
          </cell>
          <cell r="N699">
            <v>2013</v>
          </cell>
          <cell r="O699">
            <v>47</v>
          </cell>
          <cell r="P699">
            <v>35</v>
          </cell>
        </row>
        <row r="700">
          <cell r="B700" t="str">
            <v>University of Maryland, College Park</v>
          </cell>
          <cell r="C700" t="str">
            <v>United States of America</v>
          </cell>
          <cell r="D700">
            <v>97</v>
          </cell>
          <cell r="E700">
            <v>40.4</v>
          </cell>
          <cell r="F700">
            <v>51.4</v>
          </cell>
          <cell r="G700">
            <v>83.9</v>
          </cell>
          <cell r="H700">
            <v>32.1</v>
          </cell>
          <cell r="I700">
            <v>57.9</v>
          </cell>
          <cell r="J700">
            <v>31331</v>
          </cell>
          <cell r="K700">
            <v>8.4</v>
          </cell>
          <cell r="L700">
            <v>0.09</v>
          </cell>
          <cell r="M700">
            <v>2.036111111111111</v>
          </cell>
          <cell r="N700">
            <v>2013</v>
          </cell>
          <cell r="O700">
            <v>68</v>
          </cell>
          <cell r="P700">
            <v>47</v>
          </cell>
        </row>
        <row r="701">
          <cell r="B701" t="str">
            <v>University of Arizona</v>
          </cell>
          <cell r="C701" t="str">
            <v>United States of America</v>
          </cell>
          <cell r="D701">
            <v>98</v>
          </cell>
          <cell r="E701">
            <v>31.3</v>
          </cell>
          <cell r="F701">
            <v>53.7</v>
          </cell>
          <cell r="G701">
            <v>76.900000000000006</v>
          </cell>
          <cell r="H701">
            <v>83.9</v>
          </cell>
          <cell r="I701">
            <v>57.7</v>
          </cell>
          <cell r="J701">
            <v>36429</v>
          </cell>
          <cell r="K701">
            <v>12.7</v>
          </cell>
          <cell r="L701">
            <v>0.08</v>
          </cell>
          <cell r="M701">
            <v>2.2000000000000002</v>
          </cell>
          <cell r="N701">
            <v>2013</v>
          </cell>
          <cell r="O701">
            <v>50</v>
          </cell>
          <cell r="P701">
            <v>37</v>
          </cell>
        </row>
        <row r="702">
          <cell r="B702" t="str">
            <v>Humboldt University of Berlin</v>
          </cell>
          <cell r="C702" t="str">
            <v>Germany</v>
          </cell>
          <cell r="D702">
            <v>99</v>
          </cell>
          <cell r="E702">
            <v>57.5</v>
          </cell>
          <cell r="F702">
            <v>58.7</v>
          </cell>
          <cell r="G702">
            <v>59.5</v>
          </cell>
          <cell r="H702" t="str">
            <v>-</v>
          </cell>
          <cell r="I702">
            <v>57.5</v>
          </cell>
          <cell r="J702">
            <v>29987</v>
          </cell>
          <cell r="K702">
            <v>52.5</v>
          </cell>
          <cell r="L702">
            <v>0.16</v>
          </cell>
          <cell r="N702">
            <v>2013</v>
          </cell>
          <cell r="O702">
            <v>157</v>
          </cell>
          <cell r="P702">
            <v>6</v>
          </cell>
        </row>
        <row r="703">
          <cell r="B703" t="str">
            <v>Monash University</v>
          </cell>
          <cell r="C703" t="str">
            <v>Australia</v>
          </cell>
          <cell r="D703">
            <v>99</v>
          </cell>
          <cell r="E703">
            <v>66.400000000000006</v>
          </cell>
          <cell r="F703">
            <v>60.6</v>
          </cell>
          <cell r="G703">
            <v>60.9</v>
          </cell>
          <cell r="H703">
            <v>70</v>
          </cell>
          <cell r="I703">
            <v>57.5</v>
          </cell>
          <cell r="J703">
            <v>50882</v>
          </cell>
          <cell r="K703">
            <v>40.5</v>
          </cell>
          <cell r="L703">
            <v>0.36</v>
          </cell>
          <cell r="M703">
            <v>2.3638888888888889</v>
          </cell>
          <cell r="N703">
            <v>2013</v>
          </cell>
          <cell r="O703">
            <v>170</v>
          </cell>
          <cell r="P703">
            <v>6</v>
          </cell>
        </row>
        <row r="704">
          <cell r="B704" t="str">
            <v>Rutgers, the State University of New Jersey</v>
          </cell>
          <cell r="C704" t="str">
            <v>United States of America</v>
          </cell>
          <cell r="D704">
            <v>99</v>
          </cell>
          <cell r="E704">
            <v>27.9</v>
          </cell>
          <cell r="F704">
            <v>61.3</v>
          </cell>
          <cell r="G704">
            <v>69.5</v>
          </cell>
          <cell r="H704">
            <v>35.799999999999997</v>
          </cell>
          <cell r="I704">
            <v>57.5</v>
          </cell>
          <cell r="J704">
            <v>37032</v>
          </cell>
          <cell r="K704">
            <v>17.3</v>
          </cell>
          <cell r="L704">
            <v>0.08</v>
          </cell>
          <cell r="M704">
            <v>2.1590277777777778</v>
          </cell>
          <cell r="N704">
            <v>2013</v>
          </cell>
          <cell r="O704" t="e">
            <v>#N/A</v>
          </cell>
          <cell r="P704" t="e">
            <v>#N/A</v>
          </cell>
        </row>
        <row r="705">
          <cell r="B705" t="str">
            <v>University of Rochester</v>
          </cell>
          <cell r="C705" t="str">
            <v>United States of America</v>
          </cell>
          <cell r="D705">
            <v>102</v>
          </cell>
          <cell r="E705">
            <v>45.9</v>
          </cell>
          <cell r="F705">
            <v>37.799999999999997</v>
          </cell>
          <cell r="G705">
            <v>92.3</v>
          </cell>
          <cell r="H705">
            <v>39.6</v>
          </cell>
          <cell r="I705">
            <v>57.2</v>
          </cell>
          <cell r="J705">
            <v>9390</v>
          </cell>
          <cell r="K705">
            <v>4.5</v>
          </cell>
          <cell r="L705">
            <v>0.26</v>
          </cell>
          <cell r="M705">
            <v>2.0770833333333334</v>
          </cell>
          <cell r="N705">
            <v>2013</v>
          </cell>
          <cell r="O705">
            <v>53</v>
          </cell>
          <cell r="P705">
            <v>39</v>
          </cell>
        </row>
        <row r="706">
          <cell r="B706" t="str">
            <v>University of York</v>
          </cell>
          <cell r="C706" t="str">
            <v>United Kingdom</v>
          </cell>
          <cell r="D706">
            <v>103</v>
          </cell>
          <cell r="E706">
            <v>71.900000000000006</v>
          </cell>
          <cell r="F706">
            <v>43.9</v>
          </cell>
          <cell r="G706">
            <v>83.4</v>
          </cell>
          <cell r="H706">
            <v>38.4</v>
          </cell>
          <cell r="I706">
            <v>57.1</v>
          </cell>
          <cell r="N706">
            <v>2013</v>
          </cell>
          <cell r="O706">
            <v>336</v>
          </cell>
          <cell r="P706">
            <v>30</v>
          </cell>
        </row>
        <row r="707">
          <cell r="B707" t="str">
            <v>Case Western Reserve University</v>
          </cell>
          <cell r="C707" t="str">
            <v>United States of America</v>
          </cell>
          <cell r="D707">
            <v>104</v>
          </cell>
          <cell r="E707">
            <v>34.200000000000003</v>
          </cell>
          <cell r="F707">
            <v>42</v>
          </cell>
          <cell r="G707">
            <v>80.400000000000006</v>
          </cell>
          <cell r="H707" t="str">
            <v>-</v>
          </cell>
          <cell r="I707">
            <v>56.9</v>
          </cell>
          <cell r="J707">
            <v>9259</v>
          </cell>
          <cell r="K707">
            <v>6.4</v>
          </cell>
          <cell r="L707">
            <v>0.17</v>
          </cell>
          <cell r="M707">
            <v>2.036111111111111</v>
          </cell>
          <cell r="N707">
            <v>2013</v>
          </cell>
          <cell r="O707">
            <v>78</v>
          </cell>
          <cell r="P707">
            <v>51</v>
          </cell>
        </row>
        <row r="708">
          <cell r="B708" t="str">
            <v>Technical University of Munich</v>
          </cell>
          <cell r="C708" t="str">
            <v>Germany</v>
          </cell>
          <cell r="D708">
            <v>105</v>
          </cell>
          <cell r="E708">
            <v>61.5</v>
          </cell>
          <cell r="F708">
            <v>42.4</v>
          </cell>
          <cell r="G708">
            <v>76.5</v>
          </cell>
          <cell r="H708">
            <v>49.7</v>
          </cell>
          <cell r="I708">
            <v>56.8</v>
          </cell>
          <cell r="J708">
            <v>35565</v>
          </cell>
          <cell r="K708">
            <v>31.5</v>
          </cell>
          <cell r="L708">
            <v>0.2</v>
          </cell>
          <cell r="M708" t="str">
            <v>33 : 67</v>
          </cell>
          <cell r="N708">
            <v>2013</v>
          </cell>
          <cell r="O708">
            <v>90</v>
          </cell>
          <cell r="P708">
            <v>3</v>
          </cell>
        </row>
        <row r="709">
          <cell r="B709" t="str">
            <v>Uppsala University</v>
          </cell>
          <cell r="C709" t="str">
            <v>Sweden</v>
          </cell>
          <cell r="D709">
            <v>106</v>
          </cell>
          <cell r="E709">
            <v>56.3</v>
          </cell>
          <cell r="F709">
            <v>63.9</v>
          </cell>
          <cell r="G709">
            <v>58.2</v>
          </cell>
          <cell r="H709">
            <v>44.1</v>
          </cell>
          <cell r="I709">
            <v>56.6</v>
          </cell>
          <cell r="J709">
            <v>25266</v>
          </cell>
          <cell r="K709">
            <v>18.2</v>
          </cell>
          <cell r="L709">
            <v>0.12</v>
          </cell>
          <cell r="M709">
            <v>2.4048611111111109</v>
          </cell>
          <cell r="N709">
            <v>2013</v>
          </cell>
          <cell r="O709">
            <v>124</v>
          </cell>
          <cell r="P709">
            <v>4</v>
          </cell>
        </row>
        <row r="710">
          <cell r="B710" t="str">
            <v>Vanderbilt University</v>
          </cell>
          <cell r="C710" t="str">
            <v>United States of America</v>
          </cell>
          <cell r="D710">
            <v>106</v>
          </cell>
          <cell r="E710">
            <v>27.5</v>
          </cell>
          <cell r="F710">
            <v>40.9</v>
          </cell>
          <cell r="G710">
            <v>85</v>
          </cell>
          <cell r="H710">
            <v>53</v>
          </cell>
          <cell r="I710">
            <v>56.6</v>
          </cell>
          <cell r="J710">
            <v>12161</v>
          </cell>
          <cell r="K710">
            <v>3.6</v>
          </cell>
          <cell r="L710">
            <v>0.1</v>
          </cell>
          <cell r="M710">
            <v>2.2000000000000002</v>
          </cell>
          <cell r="N710">
            <v>2013</v>
          </cell>
          <cell r="O710">
            <v>59</v>
          </cell>
          <cell r="P710">
            <v>43</v>
          </cell>
        </row>
        <row r="711">
          <cell r="B711" t="str">
            <v>University of St Andrews</v>
          </cell>
          <cell r="C711" t="str">
            <v>United Kingdom</v>
          </cell>
          <cell r="D711">
            <v>108</v>
          </cell>
          <cell r="E711">
            <v>86.3</v>
          </cell>
          <cell r="F711">
            <v>43.8</v>
          </cell>
          <cell r="G711">
            <v>76.599999999999994</v>
          </cell>
          <cell r="H711">
            <v>38.9</v>
          </cell>
          <cell r="I711">
            <v>56.5</v>
          </cell>
          <cell r="J711">
            <v>8338</v>
          </cell>
          <cell r="K711">
            <v>12.7</v>
          </cell>
          <cell r="L711">
            <v>0.47</v>
          </cell>
          <cell r="M711">
            <v>2.3638888888888889</v>
          </cell>
          <cell r="N711">
            <v>2013</v>
          </cell>
          <cell r="O711">
            <v>323</v>
          </cell>
          <cell r="P711">
            <v>28</v>
          </cell>
        </row>
        <row r="712">
          <cell r="B712" t="str">
            <v>University of Helsinki</v>
          </cell>
          <cell r="C712" t="str">
            <v>Finland</v>
          </cell>
          <cell r="D712">
            <v>109</v>
          </cell>
          <cell r="E712">
            <v>48.3</v>
          </cell>
          <cell r="F712">
            <v>53</v>
          </cell>
          <cell r="G712">
            <v>77.7</v>
          </cell>
          <cell r="H712">
            <v>31.1</v>
          </cell>
          <cell r="I712">
            <v>56.4</v>
          </cell>
          <cell r="J712">
            <v>23505</v>
          </cell>
          <cell r="K712">
            <v>15.1</v>
          </cell>
          <cell r="L712">
            <v>0.06</v>
          </cell>
          <cell r="M712">
            <v>2.7736111111111112</v>
          </cell>
          <cell r="N712">
            <v>2013</v>
          </cell>
          <cell r="O712">
            <v>89</v>
          </cell>
          <cell r="P712">
            <v>1</v>
          </cell>
        </row>
        <row r="713">
          <cell r="B713" t="str">
            <v>Trinity College Dublin</v>
          </cell>
          <cell r="C713" t="str">
            <v>Republic of Ireland</v>
          </cell>
          <cell r="D713">
            <v>110</v>
          </cell>
          <cell r="E713">
            <v>84.5</v>
          </cell>
          <cell r="F713">
            <v>33.5</v>
          </cell>
          <cell r="G713">
            <v>88.1</v>
          </cell>
          <cell r="H713">
            <v>32.799999999999997</v>
          </cell>
          <cell r="I713">
            <v>56.2</v>
          </cell>
          <cell r="J713">
            <v>15521</v>
          </cell>
          <cell r="K713">
            <v>18</v>
          </cell>
          <cell r="L713">
            <v>0.25</v>
          </cell>
          <cell r="M713">
            <v>2.4048611111111109</v>
          </cell>
          <cell r="N713">
            <v>2013</v>
          </cell>
          <cell r="O713" t="e">
            <v>#N/A</v>
          </cell>
          <cell r="P713" t="e">
            <v>#N/A</v>
          </cell>
        </row>
        <row r="714">
          <cell r="B714" t="str">
            <v>University of Sheffield</v>
          </cell>
          <cell r="C714" t="str">
            <v>United Kingdom</v>
          </cell>
          <cell r="D714">
            <v>110</v>
          </cell>
          <cell r="E714">
            <v>68.099999999999994</v>
          </cell>
          <cell r="F714">
            <v>46.2</v>
          </cell>
          <cell r="G714">
            <v>71</v>
          </cell>
          <cell r="H714">
            <v>41.5</v>
          </cell>
          <cell r="I714">
            <v>56.2</v>
          </cell>
          <cell r="J714">
            <v>23311</v>
          </cell>
          <cell r="K714">
            <v>15.5</v>
          </cell>
          <cell r="L714">
            <v>0.31</v>
          </cell>
          <cell r="M714">
            <v>2.1180555555555554</v>
          </cell>
          <cell r="N714">
            <v>2013</v>
          </cell>
          <cell r="O714">
            <v>178</v>
          </cell>
          <cell r="P714">
            <v>14</v>
          </cell>
        </row>
        <row r="715">
          <cell r="B715" t="str">
            <v>University of Sussex</v>
          </cell>
          <cell r="C715" t="str">
            <v>United Kingdom</v>
          </cell>
          <cell r="D715">
            <v>110</v>
          </cell>
          <cell r="E715">
            <v>76.7</v>
          </cell>
          <cell r="F715">
            <v>39.5</v>
          </cell>
          <cell r="G715">
            <v>91.1</v>
          </cell>
          <cell r="H715">
            <v>32.1</v>
          </cell>
          <cell r="I715">
            <v>56.2</v>
          </cell>
          <cell r="J715">
            <v>12001</v>
          </cell>
          <cell r="K715">
            <v>17.399999999999999</v>
          </cell>
          <cell r="L715">
            <v>0.35</v>
          </cell>
          <cell r="M715">
            <v>2.2819444444444446</v>
          </cell>
          <cell r="N715">
            <v>2013</v>
          </cell>
          <cell r="O715">
            <v>190</v>
          </cell>
          <cell r="P715">
            <v>15</v>
          </cell>
        </row>
        <row r="716">
          <cell r="B716" t="str">
            <v>University of Cape Town</v>
          </cell>
          <cell r="C716" t="str">
            <v>South Africa</v>
          </cell>
          <cell r="D716">
            <v>113</v>
          </cell>
          <cell r="E716">
            <v>75.099999999999994</v>
          </cell>
          <cell r="F716">
            <v>45.5</v>
          </cell>
          <cell r="G716">
            <v>79.7</v>
          </cell>
          <cell r="H716">
            <v>87.3</v>
          </cell>
          <cell r="I716">
            <v>55.8</v>
          </cell>
          <cell r="J716">
            <v>20040</v>
          </cell>
          <cell r="K716">
            <v>12.1</v>
          </cell>
          <cell r="L716">
            <v>0.18</v>
          </cell>
          <cell r="M716">
            <v>2.2409722222222221</v>
          </cell>
          <cell r="N716">
            <v>2013</v>
          </cell>
          <cell r="O716">
            <v>267</v>
          </cell>
          <cell r="P716">
            <v>2</v>
          </cell>
        </row>
        <row r="717">
          <cell r="B717" t="str">
            <v>Eindhoven University of Technology</v>
          </cell>
          <cell r="C717" t="str">
            <v>Netherlands</v>
          </cell>
          <cell r="D717">
            <v>114</v>
          </cell>
          <cell r="E717">
            <v>69.8</v>
          </cell>
          <cell r="F717">
            <v>51.8</v>
          </cell>
          <cell r="G717">
            <v>63.8</v>
          </cell>
          <cell r="H717">
            <v>100</v>
          </cell>
          <cell r="I717">
            <v>55.6</v>
          </cell>
          <cell r="J717">
            <v>8176</v>
          </cell>
          <cell r="K717">
            <v>16</v>
          </cell>
          <cell r="L717">
            <v>0.14000000000000001</v>
          </cell>
          <cell r="M717">
            <v>0.84791666666666665</v>
          </cell>
          <cell r="N717">
            <v>2013</v>
          </cell>
          <cell r="O717">
            <v>353</v>
          </cell>
          <cell r="P717">
            <v>11</v>
          </cell>
        </row>
        <row r="718">
          <cell r="B718" t="str">
            <v>Maastricht University</v>
          </cell>
          <cell r="C718" t="str">
            <v>Netherlands</v>
          </cell>
          <cell r="D718">
            <v>115</v>
          </cell>
          <cell r="E718">
            <v>85.2</v>
          </cell>
          <cell r="F718">
            <v>53.2</v>
          </cell>
          <cell r="G718">
            <v>62.5</v>
          </cell>
          <cell r="H718">
            <v>99.1</v>
          </cell>
          <cell r="I718">
            <v>55.5</v>
          </cell>
          <cell r="J718">
            <v>15626</v>
          </cell>
          <cell r="K718">
            <v>18.899999999999999</v>
          </cell>
          <cell r="L718">
            <v>0.48</v>
          </cell>
          <cell r="M718">
            <v>2.3638888888888889</v>
          </cell>
          <cell r="N718">
            <v>2013</v>
          </cell>
          <cell r="O718">
            <v>250</v>
          </cell>
          <cell r="P718">
            <v>8</v>
          </cell>
        </row>
        <row r="719">
          <cell r="B719" t="str">
            <v>Aarhus University</v>
          </cell>
          <cell r="C719" t="str">
            <v>Denmark</v>
          </cell>
          <cell r="D719">
            <v>116</v>
          </cell>
          <cell r="E719">
            <v>66.400000000000006</v>
          </cell>
          <cell r="F719">
            <v>54.6</v>
          </cell>
          <cell r="G719">
            <v>71.599999999999994</v>
          </cell>
          <cell r="H719">
            <v>69.7</v>
          </cell>
          <cell r="I719">
            <v>55.3</v>
          </cell>
          <cell r="J719">
            <v>23895</v>
          </cell>
          <cell r="K719">
            <v>13.6</v>
          </cell>
          <cell r="L719">
            <v>0.14000000000000001</v>
          </cell>
          <cell r="M719">
            <v>2.2819444444444446</v>
          </cell>
          <cell r="N719">
            <v>2013</v>
          </cell>
          <cell r="O719">
            <v>119</v>
          </cell>
          <cell r="P719">
            <v>2</v>
          </cell>
        </row>
        <row r="720">
          <cell r="B720" t="str">
            <v>Stockholm University</v>
          </cell>
          <cell r="C720" t="str">
            <v>Sweden</v>
          </cell>
          <cell r="D720">
            <v>117</v>
          </cell>
          <cell r="E720">
            <v>52.2</v>
          </cell>
          <cell r="F720">
            <v>43.8</v>
          </cell>
          <cell r="G720">
            <v>93</v>
          </cell>
          <cell r="H720">
            <v>32</v>
          </cell>
          <cell r="I720">
            <v>55.2</v>
          </cell>
          <cell r="J720">
            <v>31715</v>
          </cell>
          <cell r="K720">
            <v>23.7</v>
          </cell>
          <cell r="L720">
            <v>0.08</v>
          </cell>
          <cell r="M720">
            <v>2.6097222222222221</v>
          </cell>
          <cell r="N720">
            <v>2013</v>
          </cell>
          <cell r="O720">
            <v>187</v>
          </cell>
          <cell r="P720">
            <v>6</v>
          </cell>
        </row>
        <row r="721">
          <cell r="B721" t="str">
            <v>University of Virginia</v>
          </cell>
          <cell r="C721" t="str">
            <v>United States of America</v>
          </cell>
          <cell r="D721">
            <v>118</v>
          </cell>
          <cell r="E721">
            <v>27.9</v>
          </cell>
          <cell r="F721">
            <v>43</v>
          </cell>
          <cell r="G721">
            <v>73.5</v>
          </cell>
          <cell r="H721">
            <v>48.6</v>
          </cell>
          <cell r="I721">
            <v>55</v>
          </cell>
          <cell r="J721">
            <v>23845</v>
          </cell>
          <cell r="K721">
            <v>10.199999999999999</v>
          </cell>
          <cell r="L721">
            <v>0.12</v>
          </cell>
          <cell r="M721">
            <v>2.2000000000000002</v>
          </cell>
          <cell r="N721">
            <v>2013</v>
          </cell>
          <cell r="O721">
            <v>84</v>
          </cell>
          <cell r="P721">
            <v>54</v>
          </cell>
        </row>
        <row r="722">
          <cell r="B722" t="str">
            <v>Royal Holloway, University of London</v>
          </cell>
          <cell r="C722" t="str">
            <v>United Kingdom</v>
          </cell>
          <cell r="D722">
            <v>119</v>
          </cell>
          <cell r="E722">
            <v>92.5</v>
          </cell>
          <cell r="F722">
            <v>27.7</v>
          </cell>
          <cell r="G722">
            <v>99</v>
          </cell>
          <cell r="H722">
            <v>31.9</v>
          </cell>
          <cell r="I722">
            <v>54.9</v>
          </cell>
          <cell r="J722">
            <v>8747</v>
          </cell>
          <cell r="K722">
            <v>15.9</v>
          </cell>
          <cell r="L722">
            <v>0.37</v>
          </cell>
          <cell r="M722">
            <v>2.4048611111111109</v>
          </cell>
          <cell r="N722">
            <v>2013</v>
          </cell>
          <cell r="O722">
            <v>541</v>
          </cell>
          <cell r="P722">
            <v>42</v>
          </cell>
        </row>
        <row r="723">
          <cell r="B723" t="str">
            <v>University of Nottingham</v>
          </cell>
          <cell r="C723" t="str">
            <v>United Kingdom</v>
          </cell>
          <cell r="D723">
            <v>120</v>
          </cell>
          <cell r="E723">
            <v>70.099999999999994</v>
          </cell>
          <cell r="F723">
            <v>50.8</v>
          </cell>
          <cell r="G723">
            <v>62.8</v>
          </cell>
          <cell r="H723">
            <v>38.299999999999997</v>
          </cell>
          <cell r="I723">
            <v>54.8</v>
          </cell>
          <cell r="J723">
            <v>30144</v>
          </cell>
          <cell r="K723">
            <v>15</v>
          </cell>
          <cell r="L723">
            <v>0.27</v>
          </cell>
          <cell r="M723">
            <v>2.2819444444444446</v>
          </cell>
          <cell r="N723">
            <v>2013</v>
          </cell>
          <cell r="O723">
            <v>97</v>
          </cell>
          <cell r="P723">
            <v>6</v>
          </cell>
        </row>
        <row r="724">
          <cell r="B724" t="str">
            <v>University of Alberta</v>
          </cell>
          <cell r="C724" t="str">
            <v>Canada</v>
          </cell>
          <cell r="D724">
            <v>121</v>
          </cell>
          <cell r="E724">
            <v>67.599999999999994</v>
          </cell>
          <cell r="F724">
            <v>53.9</v>
          </cell>
          <cell r="G724">
            <v>56.6</v>
          </cell>
          <cell r="H724">
            <v>50.6</v>
          </cell>
          <cell r="I724">
            <v>54.7</v>
          </cell>
          <cell r="J724">
            <v>36299</v>
          </cell>
          <cell r="K724">
            <v>21.6</v>
          </cell>
          <cell r="L724">
            <v>0.23</v>
          </cell>
          <cell r="M724">
            <v>2.3229166666666665</v>
          </cell>
          <cell r="N724">
            <v>2013</v>
          </cell>
          <cell r="O724">
            <v>97</v>
          </cell>
          <cell r="P724">
            <v>4</v>
          </cell>
        </row>
        <row r="725">
          <cell r="B725" t="str">
            <v>University of California, Santa Cruz</v>
          </cell>
          <cell r="C725" t="str">
            <v>United States of America</v>
          </cell>
          <cell r="D725">
            <v>122</v>
          </cell>
          <cell r="E725">
            <v>32.5</v>
          </cell>
          <cell r="F725">
            <v>39.6</v>
          </cell>
          <cell r="G725">
            <v>99.9</v>
          </cell>
          <cell r="H725" t="str">
            <v>-</v>
          </cell>
          <cell r="I725">
            <v>54.5</v>
          </cell>
          <cell r="J725">
            <v>17404</v>
          </cell>
          <cell r="K725">
            <v>22.7</v>
          </cell>
          <cell r="L725">
            <v>0.01</v>
          </cell>
          <cell r="M725">
            <v>2.2409722222222221</v>
          </cell>
          <cell r="N725">
            <v>2013</v>
          </cell>
          <cell r="O725">
            <v>163</v>
          </cell>
          <cell r="P725">
            <v>71</v>
          </cell>
        </row>
        <row r="726">
          <cell r="B726" t="str">
            <v>University of Florida</v>
          </cell>
          <cell r="C726" t="str">
            <v>United States of America</v>
          </cell>
          <cell r="D726">
            <v>122</v>
          </cell>
          <cell r="E726">
            <v>31.2</v>
          </cell>
          <cell r="F726">
            <v>62.9</v>
          </cell>
          <cell r="G726">
            <v>56</v>
          </cell>
          <cell r="H726" t="str">
            <v>-</v>
          </cell>
          <cell r="I726">
            <v>54.5</v>
          </cell>
          <cell r="J726">
            <v>50095</v>
          </cell>
          <cell r="K726">
            <v>18.7</v>
          </cell>
          <cell r="L726">
            <v>0.09</v>
          </cell>
          <cell r="M726">
            <v>2.2819444444444446</v>
          </cell>
          <cell r="N726">
            <v>2013</v>
          </cell>
          <cell r="O726">
            <v>55</v>
          </cell>
          <cell r="P726">
            <v>40</v>
          </cell>
        </row>
        <row r="727">
          <cell r="B727" t="str">
            <v>Chinese University of Hong Kong</v>
          </cell>
          <cell r="C727" t="str">
            <v>Hong Kong</v>
          </cell>
          <cell r="D727">
            <v>124</v>
          </cell>
          <cell r="E727">
            <v>62.6</v>
          </cell>
          <cell r="F727">
            <v>63.1</v>
          </cell>
          <cell r="G727">
            <v>45.1</v>
          </cell>
          <cell r="H727">
            <v>44.5</v>
          </cell>
          <cell r="I727">
            <v>54.4</v>
          </cell>
          <cell r="J727">
            <v>17916</v>
          </cell>
          <cell r="K727">
            <v>10.199999999999999</v>
          </cell>
          <cell r="L727">
            <v>0.22</v>
          </cell>
          <cell r="M727">
            <v>2.2409722222222221</v>
          </cell>
          <cell r="N727">
            <v>2013</v>
          </cell>
          <cell r="O727">
            <v>202</v>
          </cell>
          <cell r="P727">
            <v>2</v>
          </cell>
        </row>
        <row r="728">
          <cell r="B728" t="str">
            <v>Dartmouth College</v>
          </cell>
          <cell r="C728" t="str">
            <v>United States of America</v>
          </cell>
          <cell r="D728">
            <v>124</v>
          </cell>
          <cell r="E728">
            <v>31.5</v>
          </cell>
          <cell r="F728">
            <v>35.9</v>
          </cell>
          <cell r="G728">
            <v>87</v>
          </cell>
          <cell r="H728">
            <v>38.6</v>
          </cell>
          <cell r="I728">
            <v>54.4</v>
          </cell>
          <cell r="J728">
            <v>6178</v>
          </cell>
          <cell r="K728">
            <v>6.6</v>
          </cell>
          <cell r="L728">
            <v>0.16</v>
          </cell>
          <cell r="M728">
            <v>1.9951388888888888</v>
          </cell>
          <cell r="N728">
            <v>2013</v>
          </cell>
          <cell r="O728">
            <v>58</v>
          </cell>
          <cell r="P728">
            <v>42</v>
          </cell>
        </row>
        <row r="729">
          <cell r="B729" t="str">
            <v>University of Warwick</v>
          </cell>
          <cell r="C729" t="str">
            <v>United Kingdom</v>
          </cell>
          <cell r="D729">
            <v>124</v>
          </cell>
          <cell r="E729">
            <v>80.900000000000006</v>
          </cell>
          <cell r="F729">
            <v>50.5</v>
          </cell>
          <cell r="G729">
            <v>58.8</v>
          </cell>
          <cell r="H729">
            <v>35.299999999999997</v>
          </cell>
          <cell r="I729">
            <v>54.4</v>
          </cell>
          <cell r="J729">
            <v>18529</v>
          </cell>
          <cell r="K729">
            <v>16.600000000000001</v>
          </cell>
          <cell r="L729">
            <v>0.37</v>
          </cell>
          <cell r="M729">
            <v>2.036111111111111</v>
          </cell>
          <cell r="N729">
            <v>2013</v>
          </cell>
          <cell r="O729">
            <v>324</v>
          </cell>
          <cell r="P729">
            <v>29</v>
          </cell>
        </row>
        <row r="730">
          <cell r="B730" t="str">
            <v>Radboud University Nijmegen</v>
          </cell>
          <cell r="C730" t="str">
            <v>Netherlands</v>
          </cell>
          <cell r="D730">
            <v>127</v>
          </cell>
          <cell r="E730">
            <v>53.4</v>
          </cell>
          <cell r="F730">
            <v>54.3</v>
          </cell>
          <cell r="G730">
            <v>73.3</v>
          </cell>
          <cell r="H730">
            <v>41.7</v>
          </cell>
          <cell r="I730">
            <v>54</v>
          </cell>
          <cell r="J730">
            <v>17713</v>
          </cell>
          <cell r="K730">
            <v>13</v>
          </cell>
          <cell r="L730">
            <v>0.1</v>
          </cell>
          <cell r="M730">
            <v>2.4458333333333333</v>
          </cell>
          <cell r="N730">
            <v>2013</v>
          </cell>
          <cell r="O730">
            <v>129</v>
          </cell>
          <cell r="P730">
            <v>6</v>
          </cell>
        </row>
        <row r="731">
          <cell r="B731" t="str">
            <v>Free University of Berlin</v>
          </cell>
          <cell r="C731" t="str">
            <v>Germany</v>
          </cell>
          <cell r="D731">
            <v>128</v>
          </cell>
          <cell r="E731">
            <v>60.9</v>
          </cell>
          <cell r="F731">
            <v>56.5</v>
          </cell>
          <cell r="G731">
            <v>51.5</v>
          </cell>
          <cell r="H731">
            <v>32.799999999999997</v>
          </cell>
          <cell r="I731">
            <v>53.7</v>
          </cell>
          <cell r="J731">
            <v>33062</v>
          </cell>
          <cell r="K731">
            <v>39.299999999999997</v>
          </cell>
          <cell r="L731">
            <v>0.2</v>
          </cell>
          <cell r="M731">
            <v>2.4458333333333333</v>
          </cell>
          <cell r="N731">
            <v>2013</v>
          </cell>
          <cell r="O731">
            <v>158</v>
          </cell>
          <cell r="P731">
            <v>7</v>
          </cell>
        </row>
        <row r="732">
          <cell r="B732" t="str">
            <v>Tokyo Institute of Technology</v>
          </cell>
          <cell r="C732" t="str">
            <v>Japan</v>
          </cell>
          <cell r="D732">
            <v>128</v>
          </cell>
          <cell r="E732">
            <v>29.6</v>
          </cell>
          <cell r="F732">
            <v>56.1</v>
          </cell>
          <cell r="G732">
            <v>52</v>
          </cell>
          <cell r="H732">
            <v>65.3</v>
          </cell>
          <cell r="I732">
            <v>53.7</v>
          </cell>
          <cell r="J732">
            <v>9586</v>
          </cell>
          <cell r="K732">
            <v>7.3</v>
          </cell>
          <cell r="L732">
            <v>0.13</v>
          </cell>
          <cell r="M732">
            <v>0.6020833333333333</v>
          </cell>
          <cell r="N732">
            <v>2013</v>
          </cell>
          <cell r="O732">
            <v>96</v>
          </cell>
          <cell r="P732">
            <v>8</v>
          </cell>
        </row>
        <row r="733">
          <cell r="B733" t="str">
            <v>University of Copenhagen</v>
          </cell>
          <cell r="C733" t="str">
            <v>Denmark</v>
          </cell>
          <cell r="D733">
            <v>130</v>
          </cell>
          <cell r="E733">
            <v>73.5</v>
          </cell>
          <cell r="F733">
            <v>40.4</v>
          </cell>
          <cell r="G733">
            <v>74.3</v>
          </cell>
          <cell r="H733">
            <v>39.700000000000003</v>
          </cell>
          <cell r="I733">
            <v>53.6</v>
          </cell>
          <cell r="J733">
            <v>27545</v>
          </cell>
          <cell r="K733">
            <v>4.0999999999999996</v>
          </cell>
          <cell r="L733">
            <v>0.19</v>
          </cell>
          <cell r="M733">
            <v>2.8145833333333332</v>
          </cell>
          <cell r="N733">
            <v>2013</v>
          </cell>
          <cell r="O733">
            <v>93</v>
          </cell>
          <cell r="P733">
            <v>1</v>
          </cell>
        </row>
        <row r="734">
          <cell r="B734" t="str">
            <v>University of Lausanne</v>
          </cell>
          <cell r="C734" t="str">
            <v>Switzerland</v>
          </cell>
          <cell r="D734">
            <v>130</v>
          </cell>
          <cell r="E734">
            <v>82.7</v>
          </cell>
          <cell r="F734">
            <v>44.8</v>
          </cell>
          <cell r="G734">
            <v>76.2</v>
          </cell>
          <cell r="H734">
            <v>45.8</v>
          </cell>
          <cell r="I734">
            <v>53.6</v>
          </cell>
          <cell r="J734">
            <v>11964</v>
          </cell>
          <cell r="K734">
            <v>13.1</v>
          </cell>
          <cell r="L734">
            <v>0.22</v>
          </cell>
          <cell r="N734">
            <v>2013</v>
          </cell>
          <cell r="O734">
            <v>194</v>
          </cell>
          <cell r="P734">
            <v>6</v>
          </cell>
        </row>
        <row r="735">
          <cell r="B735" t="str">
            <v>University of Southampton</v>
          </cell>
          <cell r="C735" t="str">
            <v>United Kingdom</v>
          </cell>
          <cell r="D735">
            <v>130</v>
          </cell>
          <cell r="E735">
            <v>77.400000000000006</v>
          </cell>
          <cell r="F735">
            <v>38.9</v>
          </cell>
          <cell r="G735">
            <v>79.2</v>
          </cell>
          <cell r="H735">
            <v>41.8</v>
          </cell>
          <cell r="I735">
            <v>53.6</v>
          </cell>
          <cell r="J735">
            <v>20925</v>
          </cell>
          <cell r="K735">
            <v>13.5</v>
          </cell>
          <cell r="L735">
            <v>0.28999999999999998</v>
          </cell>
          <cell r="M735">
            <v>2.2409722222222221</v>
          </cell>
          <cell r="N735">
            <v>2013</v>
          </cell>
          <cell r="O735">
            <v>146</v>
          </cell>
          <cell r="P735">
            <v>11</v>
          </cell>
        </row>
        <row r="736">
          <cell r="B736" t="str">
            <v>University of Geneva</v>
          </cell>
          <cell r="C736" t="str">
            <v>Switzerland</v>
          </cell>
          <cell r="D736">
            <v>133</v>
          </cell>
          <cell r="E736">
            <v>95.3</v>
          </cell>
          <cell r="F736">
            <v>42.5</v>
          </cell>
          <cell r="G736">
            <v>73.099999999999994</v>
          </cell>
          <cell r="H736">
            <v>32.4</v>
          </cell>
          <cell r="I736">
            <v>53.5</v>
          </cell>
          <cell r="J736">
            <v>15668</v>
          </cell>
          <cell r="K736">
            <v>15</v>
          </cell>
          <cell r="L736">
            <v>0.39</v>
          </cell>
          <cell r="M736">
            <v>2.5687500000000001</v>
          </cell>
          <cell r="N736">
            <v>2013</v>
          </cell>
          <cell r="O736">
            <v>65</v>
          </cell>
          <cell r="P736">
            <v>2</v>
          </cell>
        </row>
        <row r="737">
          <cell r="B737" t="str">
            <v>Indiana University</v>
          </cell>
          <cell r="C737" t="str">
            <v>United States of America</v>
          </cell>
          <cell r="D737">
            <v>134</v>
          </cell>
          <cell r="E737">
            <v>36</v>
          </cell>
          <cell r="F737">
            <v>44.2</v>
          </cell>
          <cell r="G737">
            <v>72.5</v>
          </cell>
          <cell r="H737" t="str">
            <v>-</v>
          </cell>
          <cell r="I737">
            <v>53.2</v>
          </cell>
          <cell r="J737">
            <v>62468</v>
          </cell>
          <cell r="K737">
            <v>13.6</v>
          </cell>
          <cell r="L737">
            <v>0.13</v>
          </cell>
          <cell r="M737">
            <v>2.2409722222222221</v>
          </cell>
          <cell r="N737">
            <v>2013</v>
          </cell>
          <cell r="O737" t="e">
            <v>#N/A</v>
          </cell>
          <cell r="P737" t="e">
            <v>#N/A</v>
          </cell>
        </row>
        <row r="738">
          <cell r="B738" t="str">
            <v>National Taiwan University</v>
          </cell>
          <cell r="C738" t="str">
            <v>Taiwan</v>
          </cell>
          <cell r="D738">
            <v>134</v>
          </cell>
          <cell r="E738">
            <v>24.6</v>
          </cell>
          <cell r="F738">
            <v>65.7</v>
          </cell>
          <cell r="G738">
            <v>45.5</v>
          </cell>
          <cell r="H738">
            <v>44</v>
          </cell>
          <cell r="I738">
            <v>53.2</v>
          </cell>
          <cell r="J738">
            <v>31891</v>
          </cell>
          <cell r="K738">
            <v>11.9</v>
          </cell>
          <cell r="L738">
            <v>7.0000000000000007E-2</v>
          </cell>
          <cell r="M738" t="str">
            <v>39 : 61</v>
          </cell>
          <cell r="N738">
            <v>2013</v>
          </cell>
          <cell r="O738">
            <v>65</v>
          </cell>
          <cell r="P738">
            <v>1</v>
          </cell>
        </row>
        <row r="739">
          <cell r="B739" t="str">
            <v>University of Utah</v>
          </cell>
          <cell r="C739" t="str">
            <v>United States of America</v>
          </cell>
          <cell r="D739">
            <v>134</v>
          </cell>
          <cell r="E739">
            <v>25.2</v>
          </cell>
          <cell r="F739">
            <v>41.3</v>
          </cell>
          <cell r="G739">
            <v>81</v>
          </cell>
          <cell r="H739">
            <v>63.3</v>
          </cell>
          <cell r="I739">
            <v>53.2</v>
          </cell>
          <cell r="J739">
            <v>25674</v>
          </cell>
          <cell r="K739">
            <v>16.899999999999999</v>
          </cell>
          <cell r="L739">
            <v>0.09</v>
          </cell>
          <cell r="M739">
            <v>1.9131944444444444</v>
          </cell>
          <cell r="N739">
            <v>2013</v>
          </cell>
          <cell r="O739">
            <v>38</v>
          </cell>
          <cell r="P739">
            <v>27</v>
          </cell>
        </row>
        <row r="740">
          <cell r="B740" t="str">
            <v>Hebrew University of Jerusalem</v>
          </cell>
          <cell r="C740" t="str">
            <v>Israel</v>
          </cell>
          <cell r="D740">
            <v>137</v>
          </cell>
          <cell r="E740">
            <v>50.3</v>
          </cell>
          <cell r="F740">
            <v>55.8</v>
          </cell>
          <cell r="G740">
            <v>57</v>
          </cell>
          <cell r="H740">
            <v>33.6</v>
          </cell>
          <cell r="I740">
            <v>53.1</v>
          </cell>
          <cell r="J740">
            <v>17612</v>
          </cell>
          <cell r="K740">
            <v>10.7</v>
          </cell>
          <cell r="L740">
            <v>0.05</v>
          </cell>
          <cell r="M740">
            <v>2.3229166666666665</v>
          </cell>
          <cell r="N740">
            <v>2013</v>
          </cell>
          <cell r="O740">
            <v>22</v>
          </cell>
          <cell r="P740">
            <v>2</v>
          </cell>
        </row>
        <row r="741">
          <cell r="B741" t="str">
            <v>Tohoku University</v>
          </cell>
          <cell r="C741" t="str">
            <v>Japan</v>
          </cell>
          <cell r="D741">
            <v>137</v>
          </cell>
          <cell r="E741">
            <v>32</v>
          </cell>
          <cell r="F741">
            <v>55.6</v>
          </cell>
          <cell r="G741">
            <v>48.9</v>
          </cell>
          <cell r="H741">
            <v>80.7</v>
          </cell>
          <cell r="I741">
            <v>53.1</v>
          </cell>
          <cell r="J741">
            <v>17200</v>
          </cell>
          <cell r="K741">
            <v>5</v>
          </cell>
          <cell r="L741">
            <v>7.0000000000000007E-2</v>
          </cell>
          <cell r="M741" t="str">
            <v>25 : 75</v>
          </cell>
          <cell r="N741">
            <v>2013</v>
          </cell>
          <cell r="O741">
            <v>79</v>
          </cell>
          <cell r="P741">
            <v>5</v>
          </cell>
        </row>
        <row r="742">
          <cell r="B742" t="str">
            <v>University of Glasgow</v>
          </cell>
          <cell r="C742" t="str">
            <v>United Kingdom</v>
          </cell>
          <cell r="D742">
            <v>139</v>
          </cell>
          <cell r="E742">
            <v>69.7</v>
          </cell>
          <cell r="F742">
            <v>40.200000000000003</v>
          </cell>
          <cell r="G742">
            <v>78.099999999999994</v>
          </cell>
          <cell r="H742">
            <v>44.1</v>
          </cell>
          <cell r="I742">
            <v>53</v>
          </cell>
          <cell r="J742">
            <v>22616</v>
          </cell>
          <cell r="K742">
            <v>16</v>
          </cell>
          <cell r="L742">
            <v>0.28999999999999998</v>
          </cell>
          <cell r="M742">
            <v>2.4048611111111109</v>
          </cell>
          <cell r="N742">
            <v>2013</v>
          </cell>
          <cell r="O742">
            <v>137</v>
          </cell>
          <cell r="P742">
            <v>9</v>
          </cell>
        </row>
        <row r="743">
          <cell r="B743" t="str">
            <v>KTH Royal Institute of Technology</v>
          </cell>
          <cell r="C743" t="str">
            <v>Sweden</v>
          </cell>
          <cell r="D743">
            <v>140</v>
          </cell>
          <cell r="E743">
            <v>86.1</v>
          </cell>
          <cell r="F743">
            <v>49.7</v>
          </cell>
          <cell r="G743">
            <v>49.1</v>
          </cell>
          <cell r="H743">
            <v>100</v>
          </cell>
          <cell r="I743">
            <v>52.9</v>
          </cell>
          <cell r="J743">
            <v>12062</v>
          </cell>
          <cell r="K743">
            <v>14.6</v>
          </cell>
          <cell r="L743">
            <v>0.21</v>
          </cell>
          <cell r="M743" t="str">
            <v>30 : 70</v>
          </cell>
          <cell r="N743">
            <v>2013</v>
          </cell>
          <cell r="O743" t="e">
            <v>#N/A</v>
          </cell>
          <cell r="P743" t="e">
            <v>#N/A</v>
          </cell>
        </row>
        <row r="744">
          <cell r="B744" t="str">
            <v>VU University Amsterdam</v>
          </cell>
          <cell r="C744" t="str">
            <v>Netherlands</v>
          </cell>
          <cell r="D744">
            <v>140</v>
          </cell>
          <cell r="E744">
            <v>47.1</v>
          </cell>
          <cell r="F744">
            <v>45.1</v>
          </cell>
          <cell r="G744">
            <v>74.2</v>
          </cell>
          <cell r="H744">
            <v>58.5</v>
          </cell>
          <cell r="I744">
            <v>52.9</v>
          </cell>
          <cell r="J744">
            <v>23280</v>
          </cell>
          <cell r="K744">
            <v>16.3</v>
          </cell>
          <cell r="L744">
            <v>0.06</v>
          </cell>
          <cell r="M744">
            <v>2.3638888888888889</v>
          </cell>
          <cell r="N744">
            <v>2013</v>
          </cell>
          <cell r="O744">
            <v>144</v>
          </cell>
          <cell r="P744">
            <v>7</v>
          </cell>
        </row>
        <row r="745">
          <cell r="B745" t="str">
            <v>University of Basel</v>
          </cell>
          <cell r="C745" t="str">
            <v>Switzerland</v>
          </cell>
          <cell r="D745">
            <v>142</v>
          </cell>
          <cell r="E745">
            <v>89.8</v>
          </cell>
          <cell r="F745">
            <v>23.2</v>
          </cell>
          <cell r="G745">
            <v>87.8</v>
          </cell>
          <cell r="H745">
            <v>64.2</v>
          </cell>
          <cell r="I745">
            <v>52.8</v>
          </cell>
          <cell r="J745">
            <v>12551</v>
          </cell>
          <cell r="K745">
            <v>17.3</v>
          </cell>
          <cell r="L745">
            <v>0.24</v>
          </cell>
          <cell r="M745">
            <v>2.2819444444444446</v>
          </cell>
          <cell r="N745">
            <v>2013</v>
          </cell>
          <cell r="O745">
            <v>154</v>
          </cell>
          <cell r="P745">
            <v>5</v>
          </cell>
        </row>
        <row r="746">
          <cell r="B746" t="str">
            <v>University of Leeds</v>
          </cell>
          <cell r="C746" t="str">
            <v>United Kingdom</v>
          </cell>
          <cell r="D746">
            <v>142</v>
          </cell>
          <cell r="E746">
            <v>66.599999999999994</v>
          </cell>
          <cell r="F746">
            <v>48.6</v>
          </cell>
          <cell r="G746">
            <v>65.8</v>
          </cell>
          <cell r="H746">
            <v>41.3</v>
          </cell>
          <cell r="I746">
            <v>52.8</v>
          </cell>
          <cell r="J746">
            <v>27703</v>
          </cell>
          <cell r="K746">
            <v>14.7</v>
          </cell>
          <cell r="L746">
            <v>0.21</v>
          </cell>
          <cell r="M746">
            <v>2.4458333333333333</v>
          </cell>
          <cell r="N746">
            <v>2013</v>
          </cell>
          <cell r="O746">
            <v>151</v>
          </cell>
          <cell r="P746">
            <v>13</v>
          </cell>
        </row>
        <row r="747">
          <cell r="B747" t="str">
            <v>University of Freiburg</v>
          </cell>
          <cell r="C747" t="str">
            <v>Germany</v>
          </cell>
          <cell r="D747">
            <v>144</v>
          </cell>
          <cell r="E747">
            <v>54.9</v>
          </cell>
          <cell r="F747">
            <v>33</v>
          </cell>
          <cell r="G747">
            <v>72.400000000000006</v>
          </cell>
          <cell r="H747">
            <v>81.099999999999994</v>
          </cell>
          <cell r="I747">
            <v>52.3</v>
          </cell>
          <cell r="J747">
            <v>26467</v>
          </cell>
          <cell r="K747">
            <v>31.2</v>
          </cell>
          <cell r="L747">
            <v>0.16</v>
          </cell>
          <cell r="M747">
            <v>2.2000000000000002</v>
          </cell>
          <cell r="N747">
            <v>2013</v>
          </cell>
          <cell r="O747" t="e">
            <v>#N/A</v>
          </cell>
          <cell r="P747" t="e">
            <v>#N/A</v>
          </cell>
        </row>
        <row r="748">
          <cell r="B748" t="str">
            <v>Lancaster University</v>
          </cell>
          <cell r="C748" t="str">
            <v>United Kingdom</v>
          </cell>
          <cell r="D748">
            <v>145</v>
          </cell>
          <cell r="E748">
            <v>76.2</v>
          </cell>
          <cell r="F748">
            <v>40.9</v>
          </cell>
          <cell r="G748">
            <v>73.2</v>
          </cell>
          <cell r="H748">
            <v>31.8</v>
          </cell>
          <cell r="I748">
            <v>52.1</v>
          </cell>
          <cell r="J748">
            <v>11512</v>
          </cell>
          <cell r="K748">
            <v>14.9</v>
          </cell>
          <cell r="L748">
            <v>0.33</v>
          </cell>
          <cell r="M748">
            <v>2.2000000000000002</v>
          </cell>
          <cell r="N748">
            <v>2013</v>
          </cell>
          <cell r="O748">
            <v>449</v>
          </cell>
          <cell r="P748">
            <v>38</v>
          </cell>
        </row>
        <row r="749">
          <cell r="B749" t="str">
            <v>Queen Mary University of London</v>
          </cell>
          <cell r="C749" t="str">
            <v>United Kingdom</v>
          </cell>
          <cell r="D749">
            <v>145</v>
          </cell>
          <cell r="E749">
            <v>87</v>
          </cell>
          <cell r="F749">
            <v>30</v>
          </cell>
          <cell r="G749">
            <v>85.4</v>
          </cell>
          <cell r="H749">
            <v>42.7</v>
          </cell>
          <cell r="I749">
            <v>52.1</v>
          </cell>
          <cell r="J749">
            <v>14260</v>
          </cell>
          <cell r="K749">
            <v>14</v>
          </cell>
          <cell r="L749">
            <v>0.4</v>
          </cell>
          <cell r="M749">
            <v>2.2000000000000002</v>
          </cell>
          <cell r="N749">
            <v>2013</v>
          </cell>
          <cell r="O749">
            <v>214</v>
          </cell>
          <cell r="P749">
            <v>18</v>
          </cell>
        </row>
        <row r="750">
          <cell r="B750" t="str">
            <v>Osaka University</v>
          </cell>
          <cell r="C750" t="str">
            <v>Japan</v>
          </cell>
          <cell r="D750">
            <v>147</v>
          </cell>
          <cell r="E750">
            <v>23.6</v>
          </cell>
          <cell r="F750">
            <v>55.7</v>
          </cell>
          <cell r="G750">
            <v>46.4</v>
          </cell>
          <cell r="H750">
            <v>69.599999999999994</v>
          </cell>
          <cell r="I750">
            <v>52</v>
          </cell>
          <cell r="J750">
            <v>23144</v>
          </cell>
          <cell r="K750">
            <v>7.8</v>
          </cell>
          <cell r="L750">
            <v>0.09</v>
          </cell>
          <cell r="M750" t="str">
            <v>31 : 69</v>
          </cell>
          <cell r="N750">
            <v>2013</v>
          </cell>
          <cell r="O750">
            <v>32</v>
          </cell>
          <cell r="P750">
            <v>3</v>
          </cell>
        </row>
        <row r="751">
          <cell r="B751" t="str">
            <v>Arizona State University</v>
          </cell>
          <cell r="C751" t="str">
            <v>United States of America</v>
          </cell>
          <cell r="D751">
            <v>148</v>
          </cell>
          <cell r="E751">
            <v>27.4</v>
          </cell>
          <cell r="F751">
            <v>45.2</v>
          </cell>
          <cell r="G751">
            <v>79.900000000000006</v>
          </cell>
          <cell r="H751">
            <v>31.8</v>
          </cell>
          <cell r="I751">
            <v>51.9</v>
          </cell>
          <cell r="J751">
            <v>83236</v>
          </cell>
          <cell r="K751">
            <v>29.9</v>
          </cell>
          <cell r="L751">
            <v>0.09</v>
          </cell>
          <cell r="M751">
            <v>2.1180555555555554</v>
          </cell>
          <cell r="N751">
            <v>2013</v>
          </cell>
          <cell r="O751">
            <v>80</v>
          </cell>
          <cell r="P751">
            <v>52</v>
          </cell>
        </row>
        <row r="752">
          <cell r="B752" t="str">
            <v>Technical University of Denmark</v>
          </cell>
          <cell r="C752" t="str">
            <v>Denmark</v>
          </cell>
          <cell r="D752">
            <v>149</v>
          </cell>
          <cell r="E752">
            <v>77</v>
          </cell>
          <cell r="F752">
            <v>30</v>
          </cell>
          <cell r="G752">
            <v>76.900000000000006</v>
          </cell>
          <cell r="H752">
            <v>98.7</v>
          </cell>
          <cell r="I752">
            <v>51.7</v>
          </cell>
          <cell r="J752">
            <v>9990</v>
          </cell>
          <cell r="K752">
            <v>5</v>
          </cell>
          <cell r="L752">
            <v>0.18</v>
          </cell>
          <cell r="M752" t="str">
            <v>27 : 73</v>
          </cell>
          <cell r="N752">
            <v>2013</v>
          </cell>
          <cell r="O752">
            <v>197</v>
          </cell>
          <cell r="P752">
            <v>3</v>
          </cell>
        </row>
        <row r="753">
          <cell r="B753" t="str">
            <v>Boston College</v>
          </cell>
          <cell r="C753" t="str">
            <v>United States of America</v>
          </cell>
          <cell r="D753">
            <v>150</v>
          </cell>
          <cell r="E753">
            <v>52.4</v>
          </cell>
          <cell r="F753">
            <v>33.200000000000003</v>
          </cell>
          <cell r="G753">
            <v>88.7</v>
          </cell>
          <cell r="H753" t="str">
            <v>-</v>
          </cell>
          <cell r="I753">
            <v>51.6</v>
          </cell>
          <cell r="J753">
            <v>13216</v>
          </cell>
          <cell r="K753">
            <v>17.399999999999999</v>
          </cell>
          <cell r="L753">
            <v>0.19</v>
          </cell>
          <cell r="M753">
            <v>2.2819444444444446</v>
          </cell>
          <cell r="N753">
            <v>2013</v>
          </cell>
          <cell r="O753">
            <v>332</v>
          </cell>
          <cell r="P753">
            <v>124</v>
          </cell>
        </row>
        <row r="754">
          <cell r="B754" t="str">
            <v>Karlsruhe Institute of Technology</v>
          </cell>
          <cell r="C754" t="str">
            <v>Germany</v>
          </cell>
          <cell r="D754">
            <v>151</v>
          </cell>
          <cell r="E754">
            <v>64.5</v>
          </cell>
          <cell r="F754">
            <v>38.9</v>
          </cell>
          <cell r="G754">
            <v>63.4</v>
          </cell>
          <cell r="H754">
            <v>82.9</v>
          </cell>
          <cell r="I754">
            <v>51.5</v>
          </cell>
          <cell r="J754">
            <v>25294</v>
          </cell>
          <cell r="K754">
            <v>24.6</v>
          </cell>
          <cell r="L754">
            <v>0.16</v>
          </cell>
          <cell r="M754" t="str">
            <v>26 : 74</v>
          </cell>
          <cell r="N754">
            <v>2013</v>
          </cell>
          <cell r="O754">
            <v>215</v>
          </cell>
          <cell r="P754">
            <v>15</v>
          </cell>
        </row>
        <row r="755">
          <cell r="B755" t="str">
            <v>University of Bern</v>
          </cell>
          <cell r="C755" t="str">
            <v>Switzerland</v>
          </cell>
          <cell r="D755">
            <v>151</v>
          </cell>
          <cell r="E755">
            <v>77.3</v>
          </cell>
          <cell r="F755">
            <v>36</v>
          </cell>
          <cell r="G755">
            <v>69.7</v>
          </cell>
          <cell r="H755">
            <v>42</v>
          </cell>
          <cell r="I755">
            <v>51.5</v>
          </cell>
          <cell r="J755">
            <v>14708</v>
          </cell>
          <cell r="K755">
            <v>22.5</v>
          </cell>
          <cell r="L755">
            <v>0.14000000000000001</v>
          </cell>
          <cell r="M755">
            <v>2.2819444444444446</v>
          </cell>
          <cell r="N755">
            <v>2013</v>
          </cell>
          <cell r="O755">
            <v>201</v>
          </cell>
          <cell r="P755">
            <v>7</v>
          </cell>
        </row>
        <row r="756">
          <cell r="B756" t="str">
            <v>University of Exeter</v>
          </cell>
          <cell r="C756" t="str">
            <v>United Kingdom</v>
          </cell>
          <cell r="D756">
            <v>153</v>
          </cell>
          <cell r="E756">
            <v>74.099999999999994</v>
          </cell>
          <cell r="F756">
            <v>38.1</v>
          </cell>
          <cell r="G756">
            <v>78.099999999999994</v>
          </cell>
          <cell r="H756">
            <v>37.1</v>
          </cell>
          <cell r="I756">
            <v>51.3</v>
          </cell>
          <cell r="J756">
            <v>17755</v>
          </cell>
          <cell r="K756">
            <v>18.8</v>
          </cell>
          <cell r="L756">
            <v>0.28000000000000003</v>
          </cell>
          <cell r="M756">
            <v>2.2819444444444446</v>
          </cell>
          <cell r="N756">
            <v>2013</v>
          </cell>
          <cell r="O756">
            <v>357</v>
          </cell>
          <cell r="P756">
            <v>34</v>
          </cell>
        </row>
        <row r="757">
          <cell r="B757" t="str">
            <v>RWTH Aachen University</v>
          </cell>
          <cell r="C757" t="str">
            <v>Germany</v>
          </cell>
          <cell r="D757">
            <v>154</v>
          </cell>
          <cell r="E757">
            <v>53.9</v>
          </cell>
          <cell r="F757">
            <v>32.4</v>
          </cell>
          <cell r="G757">
            <v>73.8</v>
          </cell>
          <cell r="H757">
            <v>63.1</v>
          </cell>
          <cell r="I757">
            <v>51.1</v>
          </cell>
          <cell r="J757">
            <v>37917</v>
          </cell>
          <cell r="K757">
            <v>27.6</v>
          </cell>
          <cell r="L757">
            <v>0.16</v>
          </cell>
          <cell r="M757" t="str">
            <v>31 : 69</v>
          </cell>
          <cell r="N757">
            <v>2013</v>
          </cell>
          <cell r="O757">
            <v>238</v>
          </cell>
          <cell r="P757">
            <v>19</v>
          </cell>
        </row>
        <row r="758">
          <cell r="B758" t="str">
            <v>University of California, Riverside</v>
          </cell>
          <cell r="C758" t="str">
            <v>United States of America</v>
          </cell>
          <cell r="D758">
            <v>154</v>
          </cell>
          <cell r="E758">
            <v>62.8</v>
          </cell>
          <cell r="F758">
            <v>32.5</v>
          </cell>
          <cell r="G758">
            <v>90.3</v>
          </cell>
          <cell r="H758">
            <v>33.5</v>
          </cell>
          <cell r="I758">
            <v>51.1</v>
          </cell>
          <cell r="J758">
            <v>20626</v>
          </cell>
          <cell r="K758">
            <v>22</v>
          </cell>
          <cell r="L758">
            <v>0.12</v>
          </cell>
          <cell r="M758">
            <v>2.1590277777777778</v>
          </cell>
          <cell r="N758">
            <v>2013</v>
          </cell>
          <cell r="O758">
            <v>222</v>
          </cell>
          <cell r="P758">
            <v>91</v>
          </cell>
        </row>
        <row r="759">
          <cell r="B759" t="str">
            <v>Texas A&amp;M University</v>
          </cell>
          <cell r="C759" t="str">
            <v>United States of America</v>
          </cell>
          <cell r="D759">
            <v>156</v>
          </cell>
          <cell r="E759">
            <v>47.2</v>
          </cell>
          <cell r="F759">
            <v>58.3</v>
          </cell>
          <cell r="G759">
            <v>49.3</v>
          </cell>
          <cell r="H759">
            <v>45.5</v>
          </cell>
          <cell r="I759">
            <v>50.9</v>
          </cell>
          <cell r="J759">
            <v>50657</v>
          </cell>
          <cell r="K759">
            <v>21.4</v>
          </cell>
          <cell r="L759">
            <v>0.09</v>
          </cell>
          <cell r="M759">
            <v>1.9951388888888888</v>
          </cell>
          <cell r="N759">
            <v>2013</v>
          </cell>
          <cell r="O759" t="e">
            <v>#N/A</v>
          </cell>
          <cell r="P759" t="e">
            <v>#N/A</v>
          </cell>
        </row>
        <row r="760">
          <cell r="B760" t="str">
            <v>Yeshiva University</v>
          </cell>
          <cell r="C760" t="str">
            <v>United States of America</v>
          </cell>
          <cell r="D760">
            <v>156</v>
          </cell>
          <cell r="E760">
            <v>28.4</v>
          </cell>
          <cell r="F760">
            <v>30.1</v>
          </cell>
          <cell r="G760">
            <v>78.8</v>
          </cell>
          <cell r="H760" t="str">
            <v>-</v>
          </cell>
          <cell r="I760">
            <v>50.9</v>
          </cell>
          <cell r="J760">
            <v>6753</v>
          </cell>
          <cell r="K760">
            <v>5.5</v>
          </cell>
          <cell r="L760">
            <v>7.0000000000000007E-2</v>
          </cell>
          <cell r="M760">
            <v>2.2409722222222221</v>
          </cell>
          <cell r="N760">
            <v>2013</v>
          </cell>
          <cell r="O760">
            <v>172</v>
          </cell>
          <cell r="P760">
            <v>75</v>
          </cell>
        </row>
        <row r="761">
          <cell r="B761" t="str">
            <v>Tel Aviv University</v>
          </cell>
          <cell r="C761" t="str">
            <v>Israel</v>
          </cell>
          <cell r="D761">
            <v>158</v>
          </cell>
          <cell r="E761">
            <v>39.5</v>
          </cell>
          <cell r="F761">
            <v>59.8</v>
          </cell>
          <cell r="G761">
            <v>43.7</v>
          </cell>
          <cell r="H761">
            <v>49.2</v>
          </cell>
          <cell r="I761">
            <v>50.5</v>
          </cell>
          <cell r="J761">
            <v>23977</v>
          </cell>
          <cell r="K761">
            <v>24.4</v>
          </cell>
          <cell r="L761">
            <v>0.04</v>
          </cell>
          <cell r="N761">
            <v>2013</v>
          </cell>
          <cell r="O761">
            <v>56</v>
          </cell>
          <cell r="P761">
            <v>4</v>
          </cell>
        </row>
        <row r="762">
          <cell r="B762" t="str">
            <v>University of Birmingham</v>
          </cell>
          <cell r="C762" t="str">
            <v>United Kingdom</v>
          </cell>
          <cell r="D762">
            <v>158</v>
          </cell>
          <cell r="E762">
            <v>69.7</v>
          </cell>
          <cell r="F762">
            <v>46.7</v>
          </cell>
          <cell r="G762">
            <v>56.3</v>
          </cell>
          <cell r="H762">
            <v>38.4</v>
          </cell>
          <cell r="I762">
            <v>50.5</v>
          </cell>
          <cell r="J762">
            <v>25295</v>
          </cell>
          <cell r="K762">
            <v>16.399999999999999</v>
          </cell>
          <cell r="L762">
            <v>0.23</v>
          </cell>
          <cell r="M762">
            <v>2.2819444444444446</v>
          </cell>
          <cell r="N762">
            <v>2013</v>
          </cell>
          <cell r="O762">
            <v>142</v>
          </cell>
          <cell r="P762">
            <v>10</v>
          </cell>
        </row>
        <row r="763">
          <cell r="B763" t="str">
            <v>University of SÃ£o Paulo</v>
          </cell>
          <cell r="C763" t="str">
            <v>Brazil</v>
          </cell>
          <cell r="D763">
            <v>158</v>
          </cell>
          <cell r="E763">
            <v>24.5</v>
          </cell>
          <cell r="F763">
            <v>65.7</v>
          </cell>
          <cell r="G763">
            <v>30.2</v>
          </cell>
          <cell r="H763">
            <v>40</v>
          </cell>
          <cell r="I763">
            <v>50.5</v>
          </cell>
          <cell r="J763">
            <v>81402</v>
          </cell>
          <cell r="K763">
            <v>14.6</v>
          </cell>
          <cell r="L763">
            <v>0.04</v>
          </cell>
          <cell r="M763">
            <v>2.036111111111111</v>
          </cell>
          <cell r="N763">
            <v>2013</v>
          </cell>
          <cell r="O763">
            <v>131</v>
          </cell>
          <cell r="P763">
            <v>1</v>
          </cell>
        </row>
        <row r="764">
          <cell r="B764" t="str">
            <v>University of Auckland</v>
          </cell>
          <cell r="C764" t="str">
            <v>New Zealand</v>
          </cell>
          <cell r="D764">
            <v>161</v>
          </cell>
          <cell r="E764">
            <v>88</v>
          </cell>
          <cell r="F764">
            <v>40.9</v>
          </cell>
          <cell r="G764">
            <v>64.2</v>
          </cell>
          <cell r="H764">
            <v>76.599999999999994</v>
          </cell>
          <cell r="I764">
            <v>50.3</v>
          </cell>
          <cell r="J764">
            <v>29787</v>
          </cell>
          <cell r="K764">
            <v>18.899999999999999</v>
          </cell>
          <cell r="L764">
            <v>0.28000000000000003</v>
          </cell>
          <cell r="M764">
            <v>2.2819444444444446</v>
          </cell>
          <cell r="N764">
            <v>2013</v>
          </cell>
          <cell r="O764">
            <v>273</v>
          </cell>
          <cell r="P764">
            <v>1</v>
          </cell>
        </row>
        <row r="765">
          <cell r="B765" t="str">
            <v>Stony Brook University</v>
          </cell>
          <cell r="C765" t="str">
            <v>United States of America</v>
          </cell>
          <cell r="D765">
            <v>162</v>
          </cell>
          <cell r="E765">
            <v>52.8</v>
          </cell>
          <cell r="F765">
            <v>29.9</v>
          </cell>
          <cell r="G765">
            <v>82.9</v>
          </cell>
          <cell r="H765">
            <v>31.6</v>
          </cell>
          <cell r="I765">
            <v>50.2</v>
          </cell>
          <cell r="J765">
            <v>21908</v>
          </cell>
          <cell r="K765">
            <v>10.9</v>
          </cell>
          <cell r="L765">
            <v>0.24</v>
          </cell>
          <cell r="M765">
            <v>2.1180555555555554</v>
          </cell>
          <cell r="N765">
            <v>2013</v>
          </cell>
          <cell r="O765">
            <v>89</v>
          </cell>
          <cell r="P765">
            <v>54</v>
          </cell>
        </row>
        <row r="766">
          <cell r="B766" t="str">
            <v>University of Vienna</v>
          </cell>
          <cell r="C766" t="str">
            <v>Austria</v>
          </cell>
          <cell r="D766">
            <v>162</v>
          </cell>
          <cell r="E766">
            <v>86.3</v>
          </cell>
          <cell r="F766">
            <v>46.7</v>
          </cell>
          <cell r="G766">
            <v>52.4</v>
          </cell>
          <cell r="H766">
            <v>29.1</v>
          </cell>
          <cell r="I766">
            <v>50.2</v>
          </cell>
          <cell r="J766">
            <v>34651</v>
          </cell>
          <cell r="K766">
            <v>20.5</v>
          </cell>
          <cell r="L766">
            <v>0.25</v>
          </cell>
          <cell r="M766">
            <v>2.8145833333333332</v>
          </cell>
          <cell r="N766">
            <v>2013</v>
          </cell>
          <cell r="O766">
            <v>205</v>
          </cell>
          <cell r="P766">
            <v>1</v>
          </cell>
        </row>
        <row r="767">
          <cell r="B767" t="str">
            <v>UniversitÃ© Catholique de Louvain</v>
          </cell>
          <cell r="C767" t="str">
            <v>Belgium</v>
          </cell>
          <cell r="D767">
            <v>164</v>
          </cell>
          <cell r="E767">
            <v>64.3</v>
          </cell>
          <cell r="F767">
            <v>40.5</v>
          </cell>
          <cell r="G767">
            <v>68.8</v>
          </cell>
          <cell r="H767">
            <v>34.5</v>
          </cell>
          <cell r="I767">
            <v>50</v>
          </cell>
          <cell r="J767">
            <v>28856</v>
          </cell>
          <cell r="K767">
            <v>42</v>
          </cell>
          <cell r="L767">
            <v>0.19</v>
          </cell>
          <cell r="M767">
            <v>2.2819444444444446</v>
          </cell>
          <cell r="N767">
            <v>2013</v>
          </cell>
          <cell r="O767">
            <v>191</v>
          </cell>
          <cell r="P767">
            <v>4</v>
          </cell>
        </row>
        <row r="768">
          <cell r="B768" t="str">
            <v>University of Delaware</v>
          </cell>
          <cell r="C768" t="str">
            <v>United States of America</v>
          </cell>
          <cell r="D768">
            <v>165</v>
          </cell>
          <cell r="E768">
            <v>37.299999999999997</v>
          </cell>
          <cell r="F768">
            <v>41.6</v>
          </cell>
          <cell r="G768">
            <v>76.599999999999994</v>
          </cell>
          <cell r="H768">
            <v>97.7</v>
          </cell>
          <cell r="I768">
            <v>49.7</v>
          </cell>
          <cell r="J768">
            <v>19262</v>
          </cell>
          <cell r="K768">
            <v>15.9</v>
          </cell>
          <cell r="L768">
            <v>0.1</v>
          </cell>
          <cell r="M768">
            <v>2.3638888888888889</v>
          </cell>
          <cell r="N768">
            <v>2013</v>
          </cell>
          <cell r="O768">
            <v>247</v>
          </cell>
          <cell r="P768">
            <v>101</v>
          </cell>
        </row>
        <row r="769">
          <cell r="B769" t="str">
            <v>Paris Diderot University â€“ Paris 7</v>
          </cell>
          <cell r="C769" t="str">
            <v>France</v>
          </cell>
          <cell r="D769">
            <v>166</v>
          </cell>
          <cell r="E769">
            <v>66.8</v>
          </cell>
          <cell r="F769">
            <v>27.1</v>
          </cell>
          <cell r="G769">
            <v>87.9</v>
          </cell>
          <cell r="H769" t="str">
            <v>-</v>
          </cell>
          <cell r="I769">
            <v>49.6</v>
          </cell>
          <cell r="J769">
            <v>27756</v>
          </cell>
          <cell r="K769">
            <v>14.8</v>
          </cell>
          <cell r="L769">
            <v>0.17</v>
          </cell>
          <cell r="M769">
            <v>2.6506944444444445</v>
          </cell>
          <cell r="N769">
            <v>2013</v>
          </cell>
          <cell r="O769" t="e">
            <v>#N/A</v>
          </cell>
          <cell r="P769" t="e">
            <v>#N/A</v>
          </cell>
        </row>
        <row r="770">
          <cell r="B770" t="str">
            <v>University of Texas at Dallas</v>
          </cell>
          <cell r="C770" t="str">
            <v>United States of America</v>
          </cell>
          <cell r="D770">
            <v>167</v>
          </cell>
          <cell r="E770">
            <v>46.8</v>
          </cell>
          <cell r="F770">
            <v>32.200000000000003</v>
          </cell>
          <cell r="G770">
            <v>85.2</v>
          </cell>
          <cell r="H770">
            <v>40</v>
          </cell>
          <cell r="I770">
            <v>49.5</v>
          </cell>
          <cell r="J770">
            <v>16306</v>
          </cell>
          <cell r="K770">
            <v>22.8</v>
          </cell>
          <cell r="L770">
            <v>0.23</v>
          </cell>
          <cell r="M770">
            <v>1.8722222222222222</v>
          </cell>
          <cell r="N770">
            <v>2013</v>
          </cell>
          <cell r="O770">
            <v>143</v>
          </cell>
          <cell r="P770">
            <v>67</v>
          </cell>
        </row>
        <row r="771">
          <cell r="B771" t="str">
            <v>George Washington University</v>
          </cell>
          <cell r="C771" t="str">
            <v>United States of America</v>
          </cell>
          <cell r="D771">
            <v>168</v>
          </cell>
          <cell r="E771">
            <v>36.6</v>
          </cell>
          <cell r="F771">
            <v>28</v>
          </cell>
          <cell r="G771">
            <v>77.099999999999994</v>
          </cell>
          <cell r="H771">
            <v>30</v>
          </cell>
          <cell r="I771">
            <v>49.4</v>
          </cell>
          <cell r="J771">
            <v>20541</v>
          </cell>
          <cell r="K771">
            <v>12</v>
          </cell>
          <cell r="L771">
            <v>0.16</v>
          </cell>
          <cell r="M771">
            <v>2.3638888888888889</v>
          </cell>
          <cell r="N771">
            <v>2013</v>
          </cell>
          <cell r="O771">
            <v>180</v>
          </cell>
          <cell r="P771">
            <v>79</v>
          </cell>
        </row>
        <row r="772">
          <cell r="B772" t="str">
            <v>University of Iowa</v>
          </cell>
          <cell r="C772" t="str">
            <v>United States of America</v>
          </cell>
          <cell r="D772">
            <v>169</v>
          </cell>
          <cell r="E772">
            <v>26.4</v>
          </cell>
          <cell r="F772">
            <v>40.9</v>
          </cell>
          <cell r="G772">
            <v>65.7</v>
          </cell>
          <cell r="H772" t="str">
            <v>-</v>
          </cell>
          <cell r="I772">
            <v>49.3</v>
          </cell>
          <cell r="J772">
            <v>27526</v>
          </cell>
          <cell r="K772">
            <v>11.6</v>
          </cell>
          <cell r="L772">
            <v>0.11</v>
          </cell>
          <cell r="M772">
            <v>2.2000000000000002</v>
          </cell>
          <cell r="N772">
            <v>2013</v>
          </cell>
          <cell r="O772">
            <v>125</v>
          </cell>
          <cell r="P772">
            <v>63</v>
          </cell>
        </row>
        <row r="773">
          <cell r="B773" t="str">
            <v>Ã‰cole Normale SupÃ©rieure de Lyon</v>
          </cell>
          <cell r="C773" t="str">
            <v>France</v>
          </cell>
          <cell r="D773">
            <v>170</v>
          </cell>
          <cell r="E773">
            <v>61</v>
          </cell>
          <cell r="F773">
            <v>25.9</v>
          </cell>
          <cell r="G773">
            <v>79.599999999999994</v>
          </cell>
          <cell r="H773">
            <v>28.9</v>
          </cell>
          <cell r="I773">
            <v>49.2</v>
          </cell>
          <cell r="J773">
            <v>2218</v>
          </cell>
          <cell r="K773">
            <v>8</v>
          </cell>
          <cell r="L773">
            <v>0.14000000000000001</v>
          </cell>
          <cell r="M773">
            <v>2.0770833333333334</v>
          </cell>
          <cell r="N773">
            <v>2013</v>
          </cell>
          <cell r="O773">
            <v>462</v>
          </cell>
          <cell r="P773">
            <v>18</v>
          </cell>
        </row>
        <row r="774">
          <cell r="B774" t="str">
            <v>University of Bonn</v>
          </cell>
          <cell r="C774" t="str">
            <v>Germany</v>
          </cell>
          <cell r="D774">
            <v>171</v>
          </cell>
          <cell r="E774">
            <v>54</v>
          </cell>
          <cell r="F774">
            <v>26.1</v>
          </cell>
          <cell r="G774">
            <v>80.400000000000006</v>
          </cell>
          <cell r="H774" t="str">
            <v>-</v>
          </cell>
          <cell r="I774">
            <v>49</v>
          </cell>
          <cell r="J774">
            <v>32474</v>
          </cell>
          <cell r="K774">
            <v>70.400000000000006</v>
          </cell>
          <cell r="L774">
            <v>0.13</v>
          </cell>
          <cell r="M774">
            <v>2.3229166666666665</v>
          </cell>
          <cell r="N774">
            <v>2013</v>
          </cell>
          <cell r="O774">
            <v>98</v>
          </cell>
          <cell r="P774">
            <v>3</v>
          </cell>
        </row>
        <row r="775">
          <cell r="B775" t="str">
            <v>University of Liverpool</v>
          </cell>
          <cell r="C775" t="str">
            <v>United Kingdom</v>
          </cell>
          <cell r="D775">
            <v>171</v>
          </cell>
          <cell r="E775">
            <v>73.7</v>
          </cell>
          <cell r="F775">
            <v>37.5</v>
          </cell>
          <cell r="G775">
            <v>64.8</v>
          </cell>
          <cell r="H775">
            <v>46.4</v>
          </cell>
          <cell r="I775">
            <v>49</v>
          </cell>
          <cell r="J775">
            <v>18815</v>
          </cell>
          <cell r="K775">
            <v>13.6</v>
          </cell>
          <cell r="L775">
            <v>0.3</v>
          </cell>
          <cell r="M775">
            <v>2.2000000000000002</v>
          </cell>
          <cell r="N775">
            <v>2013</v>
          </cell>
          <cell r="O775">
            <v>211</v>
          </cell>
          <cell r="P775">
            <v>17</v>
          </cell>
        </row>
        <row r="776">
          <cell r="B776" t="str">
            <v>University of Ottawa</v>
          </cell>
          <cell r="C776" t="str">
            <v>Canada</v>
          </cell>
          <cell r="D776">
            <v>171</v>
          </cell>
          <cell r="E776">
            <v>58.1</v>
          </cell>
          <cell r="F776">
            <v>41.4</v>
          </cell>
          <cell r="G776">
            <v>63.1</v>
          </cell>
          <cell r="H776">
            <v>43</v>
          </cell>
          <cell r="I776">
            <v>49</v>
          </cell>
          <cell r="J776">
            <v>36733</v>
          </cell>
          <cell r="K776">
            <v>26.3</v>
          </cell>
          <cell r="L776">
            <v>0.15</v>
          </cell>
          <cell r="M776">
            <v>2.5277777777777777</v>
          </cell>
          <cell r="N776">
            <v>2013</v>
          </cell>
          <cell r="O776">
            <v>212</v>
          </cell>
          <cell r="P776">
            <v>9</v>
          </cell>
        </row>
        <row r="777">
          <cell r="B777" t="str">
            <v>Georgetown University</v>
          </cell>
          <cell r="C777" t="str">
            <v>United States of America</v>
          </cell>
          <cell r="D777">
            <v>174</v>
          </cell>
          <cell r="E777">
            <v>32.9</v>
          </cell>
          <cell r="F777">
            <v>35.6</v>
          </cell>
          <cell r="G777">
            <v>59.8</v>
          </cell>
          <cell r="H777" t="str">
            <v>-</v>
          </cell>
          <cell r="I777">
            <v>48.9</v>
          </cell>
          <cell r="J777">
            <v>15408</v>
          </cell>
          <cell r="K777">
            <v>8.5</v>
          </cell>
          <cell r="L777">
            <v>0.14000000000000001</v>
          </cell>
          <cell r="M777">
            <v>2.2409722222222221</v>
          </cell>
          <cell r="N777">
            <v>2013</v>
          </cell>
          <cell r="O777">
            <v>118</v>
          </cell>
          <cell r="P777">
            <v>61</v>
          </cell>
        </row>
        <row r="778">
          <cell r="B778" t="str">
            <v>Rensselaer Polytechnic Institute</v>
          </cell>
          <cell r="C778" t="str">
            <v>United States of America</v>
          </cell>
          <cell r="D778">
            <v>174</v>
          </cell>
          <cell r="E778">
            <v>32.9</v>
          </cell>
          <cell r="F778">
            <v>40.200000000000003</v>
          </cell>
          <cell r="G778">
            <v>73</v>
          </cell>
          <cell r="H778">
            <v>66.8</v>
          </cell>
          <cell r="I778">
            <v>48.9</v>
          </cell>
          <cell r="J778">
            <v>6671</v>
          </cell>
          <cell r="K778">
            <v>15</v>
          </cell>
          <cell r="L778">
            <v>0.16</v>
          </cell>
          <cell r="M778" t="str">
            <v>30 : 70</v>
          </cell>
          <cell r="N778">
            <v>2013</v>
          </cell>
          <cell r="O778">
            <v>243</v>
          </cell>
          <cell r="P778">
            <v>100</v>
          </cell>
        </row>
        <row r="779">
          <cell r="B779" t="str">
            <v>University of Aberdeen</v>
          </cell>
          <cell r="C779" t="str">
            <v>United Kingdom</v>
          </cell>
          <cell r="D779">
            <v>176</v>
          </cell>
          <cell r="E779">
            <v>84.1</v>
          </cell>
          <cell r="F779">
            <v>34.299999999999997</v>
          </cell>
          <cell r="G779">
            <v>71.5</v>
          </cell>
          <cell r="H779">
            <v>48.9</v>
          </cell>
          <cell r="I779">
            <v>48.8</v>
          </cell>
          <cell r="J779">
            <v>12938</v>
          </cell>
          <cell r="K779">
            <v>15.8</v>
          </cell>
          <cell r="L779">
            <v>0.33</v>
          </cell>
          <cell r="M779">
            <v>2.2819444444444446</v>
          </cell>
          <cell r="N779">
            <v>2013</v>
          </cell>
          <cell r="O779">
            <v>276</v>
          </cell>
          <cell r="P779">
            <v>24</v>
          </cell>
        </row>
        <row r="780">
          <cell r="B780" t="str">
            <v>University of Adelaide</v>
          </cell>
          <cell r="C780" t="str">
            <v>Australia</v>
          </cell>
          <cell r="D780">
            <v>176</v>
          </cell>
          <cell r="E780">
            <v>82.2</v>
          </cell>
          <cell r="F780">
            <v>43.7</v>
          </cell>
          <cell r="G780">
            <v>55.9</v>
          </cell>
          <cell r="H780">
            <v>63.2</v>
          </cell>
          <cell r="I780">
            <v>48.8</v>
          </cell>
          <cell r="J780">
            <v>20771</v>
          </cell>
          <cell r="K780">
            <v>30.1</v>
          </cell>
          <cell r="L780">
            <v>0.26</v>
          </cell>
          <cell r="M780">
            <v>2.036111111111111</v>
          </cell>
          <cell r="N780">
            <v>2013</v>
          </cell>
          <cell r="O780">
            <v>340</v>
          </cell>
          <cell r="P780">
            <v>8</v>
          </cell>
        </row>
        <row r="781">
          <cell r="B781" t="str">
            <v>University of East Anglia</v>
          </cell>
          <cell r="C781" t="str">
            <v>United Kingdom</v>
          </cell>
          <cell r="D781">
            <v>176</v>
          </cell>
          <cell r="E781">
            <v>68.900000000000006</v>
          </cell>
          <cell r="F781">
            <v>27.7</v>
          </cell>
          <cell r="G781">
            <v>85.5</v>
          </cell>
          <cell r="H781">
            <v>30.7</v>
          </cell>
          <cell r="I781">
            <v>48.8</v>
          </cell>
          <cell r="J781">
            <v>14992</v>
          </cell>
          <cell r="K781">
            <v>14.7</v>
          </cell>
          <cell r="L781">
            <v>0.28000000000000003</v>
          </cell>
          <cell r="M781">
            <v>2.4458333333333333</v>
          </cell>
          <cell r="N781">
            <v>2013</v>
          </cell>
          <cell r="O781">
            <v>350</v>
          </cell>
          <cell r="P781">
            <v>33</v>
          </cell>
        </row>
        <row r="782">
          <cell r="B782" t="str">
            <v>University of Reading</v>
          </cell>
          <cell r="C782" t="str">
            <v>United Kingdom</v>
          </cell>
          <cell r="D782">
            <v>176</v>
          </cell>
          <cell r="E782">
            <v>72.400000000000006</v>
          </cell>
          <cell r="F782">
            <v>41.1</v>
          </cell>
          <cell r="G782">
            <v>61.3</v>
          </cell>
          <cell r="H782">
            <v>35.200000000000003</v>
          </cell>
          <cell r="I782">
            <v>48.8</v>
          </cell>
          <cell r="J782">
            <v>12050</v>
          </cell>
          <cell r="K782">
            <v>14.8</v>
          </cell>
          <cell r="L782">
            <v>0.28000000000000003</v>
          </cell>
          <cell r="M782">
            <v>2.3229166666666665</v>
          </cell>
          <cell r="N782">
            <v>2013</v>
          </cell>
          <cell r="O782">
            <v>287</v>
          </cell>
          <cell r="P782">
            <v>25</v>
          </cell>
        </row>
        <row r="783">
          <cell r="B783" t="str">
            <v>Joseph Fourier University</v>
          </cell>
          <cell r="C783" t="str">
            <v>France</v>
          </cell>
          <cell r="D783">
            <v>180</v>
          </cell>
          <cell r="E783">
            <v>56.3</v>
          </cell>
          <cell r="F783">
            <v>26.5</v>
          </cell>
          <cell r="G783">
            <v>81.8</v>
          </cell>
          <cell r="H783">
            <v>36.299999999999997</v>
          </cell>
          <cell r="I783">
            <v>48.6</v>
          </cell>
          <cell r="J783">
            <v>16130</v>
          </cell>
          <cell r="K783">
            <v>12.1</v>
          </cell>
          <cell r="L783">
            <v>0.13</v>
          </cell>
          <cell r="N783">
            <v>2013</v>
          </cell>
          <cell r="O783">
            <v>221</v>
          </cell>
          <cell r="P783">
            <v>8</v>
          </cell>
        </row>
        <row r="784">
          <cell r="B784" t="str">
            <v>Newcastle University</v>
          </cell>
          <cell r="C784" t="str">
            <v>United Kingdom</v>
          </cell>
          <cell r="D784">
            <v>180</v>
          </cell>
          <cell r="E784">
            <v>74.400000000000006</v>
          </cell>
          <cell r="F784">
            <v>30.5</v>
          </cell>
          <cell r="G784">
            <v>72.099999999999994</v>
          </cell>
          <cell r="H784">
            <v>37.4</v>
          </cell>
          <cell r="I784">
            <v>48.6</v>
          </cell>
          <cell r="J784">
            <v>20174</v>
          </cell>
          <cell r="K784">
            <v>15.2</v>
          </cell>
          <cell r="L784">
            <v>0.28999999999999998</v>
          </cell>
          <cell r="M784">
            <v>2.1180555555555554</v>
          </cell>
          <cell r="N784">
            <v>2013</v>
          </cell>
          <cell r="O784">
            <v>229</v>
          </cell>
          <cell r="P784">
            <v>19</v>
          </cell>
        </row>
        <row r="785">
          <cell r="B785" t="str">
            <v>City University of Hong Kong</v>
          </cell>
          <cell r="C785" t="str">
            <v>Hong Kong</v>
          </cell>
          <cell r="D785">
            <v>182</v>
          </cell>
          <cell r="E785">
            <v>64</v>
          </cell>
          <cell r="F785">
            <v>41.8</v>
          </cell>
          <cell r="G785">
            <v>64.099999999999994</v>
          </cell>
          <cell r="H785">
            <v>53.6</v>
          </cell>
          <cell r="I785">
            <v>48.5</v>
          </cell>
          <cell r="J785">
            <v>10015</v>
          </cell>
          <cell r="K785">
            <v>7.1</v>
          </cell>
          <cell r="L785">
            <v>0.28000000000000003</v>
          </cell>
          <cell r="M785">
            <v>2.1590277777777778</v>
          </cell>
          <cell r="N785">
            <v>2013</v>
          </cell>
          <cell r="O785">
            <v>375</v>
          </cell>
          <cell r="P785">
            <v>4</v>
          </cell>
        </row>
        <row r="786">
          <cell r="B786" t="str">
            <v>Yonsei University</v>
          </cell>
          <cell r="C786" t="str">
            <v>South Korea</v>
          </cell>
          <cell r="D786">
            <v>183</v>
          </cell>
          <cell r="E786">
            <v>33.4</v>
          </cell>
          <cell r="F786">
            <v>50.6</v>
          </cell>
          <cell r="G786">
            <v>48.6</v>
          </cell>
          <cell r="H786">
            <v>56.1</v>
          </cell>
          <cell r="I786">
            <v>48.2</v>
          </cell>
          <cell r="J786">
            <v>24774</v>
          </cell>
          <cell r="K786">
            <v>11.6</v>
          </cell>
          <cell r="L786">
            <v>0.14000000000000001</v>
          </cell>
          <cell r="N786">
            <v>2013</v>
          </cell>
          <cell r="O786">
            <v>107</v>
          </cell>
          <cell r="P786">
            <v>2</v>
          </cell>
        </row>
        <row r="787">
          <cell r="B787" t="str">
            <v>Colorado School of Mines</v>
          </cell>
          <cell r="C787" t="str">
            <v>United States of America</v>
          </cell>
          <cell r="D787">
            <v>184</v>
          </cell>
          <cell r="E787">
            <v>51.2</v>
          </cell>
          <cell r="F787">
            <v>22.5</v>
          </cell>
          <cell r="G787">
            <v>94.3</v>
          </cell>
          <cell r="H787">
            <v>66</v>
          </cell>
          <cell r="I787">
            <v>48</v>
          </cell>
          <cell r="J787">
            <v>5287</v>
          </cell>
          <cell r="K787">
            <v>18.2</v>
          </cell>
          <cell r="L787">
            <v>0.12</v>
          </cell>
          <cell r="M787" t="str">
            <v>26 : 74</v>
          </cell>
          <cell r="N787">
            <v>2013</v>
          </cell>
          <cell r="O787">
            <v>364</v>
          </cell>
          <cell r="P787">
            <v>131</v>
          </cell>
        </row>
        <row r="788">
          <cell r="B788" t="str">
            <v>University of Illinois at Chicago</v>
          </cell>
          <cell r="C788" t="str">
            <v>United States of America</v>
          </cell>
          <cell r="D788">
            <v>184</v>
          </cell>
          <cell r="E788">
            <v>29.1</v>
          </cell>
          <cell r="F788">
            <v>42.6</v>
          </cell>
          <cell r="G788">
            <v>52.9</v>
          </cell>
          <cell r="H788">
            <v>40.4</v>
          </cell>
          <cell r="I788">
            <v>48</v>
          </cell>
          <cell r="J788">
            <v>24313</v>
          </cell>
          <cell r="K788">
            <v>9.1999999999999993</v>
          </cell>
          <cell r="L788">
            <v>0.17</v>
          </cell>
          <cell r="M788">
            <v>2.2409722222222221</v>
          </cell>
          <cell r="N788">
            <v>2013</v>
          </cell>
          <cell r="O788">
            <v>218</v>
          </cell>
          <cell r="P788">
            <v>90</v>
          </cell>
        </row>
        <row r="789">
          <cell r="B789" t="str">
            <v>William &amp; Mary</v>
          </cell>
          <cell r="C789" t="str">
            <v>United States of America</v>
          </cell>
          <cell r="D789">
            <v>184</v>
          </cell>
          <cell r="E789">
            <v>25.8</v>
          </cell>
          <cell r="F789">
            <v>22.6</v>
          </cell>
          <cell r="G789">
            <v>87.1</v>
          </cell>
          <cell r="H789">
            <v>29.9</v>
          </cell>
          <cell r="I789">
            <v>48</v>
          </cell>
          <cell r="J789">
            <v>7867</v>
          </cell>
          <cell r="K789">
            <v>11.8</v>
          </cell>
          <cell r="L789">
            <v>7.0000000000000007E-2</v>
          </cell>
          <cell r="M789">
            <v>2.2819444444444446</v>
          </cell>
          <cell r="N789">
            <v>2013</v>
          </cell>
          <cell r="O789" t="e">
            <v>#N/A</v>
          </cell>
          <cell r="P789" t="e">
            <v>#N/A</v>
          </cell>
        </row>
        <row r="790">
          <cell r="B790" t="str">
            <v>University College Dublin</v>
          </cell>
          <cell r="C790" t="str">
            <v>Republic of Ireland</v>
          </cell>
          <cell r="D790">
            <v>187</v>
          </cell>
          <cell r="E790">
            <v>76.5</v>
          </cell>
          <cell r="F790">
            <v>31.8</v>
          </cell>
          <cell r="G790">
            <v>74.900000000000006</v>
          </cell>
          <cell r="H790">
            <v>35.299999999999997</v>
          </cell>
          <cell r="I790">
            <v>47.9</v>
          </cell>
          <cell r="J790">
            <v>22193</v>
          </cell>
          <cell r="K790">
            <v>24.5</v>
          </cell>
          <cell r="L790">
            <v>0.23</v>
          </cell>
          <cell r="N790">
            <v>2013</v>
          </cell>
          <cell r="O790">
            <v>269</v>
          </cell>
          <cell r="P790">
            <v>2</v>
          </cell>
        </row>
        <row r="791">
          <cell r="B791" t="str">
            <v>University of Twente</v>
          </cell>
          <cell r="C791" t="str">
            <v>Netherlands</v>
          </cell>
          <cell r="D791">
            <v>187</v>
          </cell>
          <cell r="E791">
            <v>61.5</v>
          </cell>
          <cell r="F791">
            <v>46.4</v>
          </cell>
          <cell r="G791">
            <v>55.6</v>
          </cell>
          <cell r="H791">
            <v>79.7</v>
          </cell>
          <cell r="I791">
            <v>47.9</v>
          </cell>
          <cell r="J791">
            <v>6631</v>
          </cell>
          <cell r="K791">
            <v>12</v>
          </cell>
          <cell r="L791">
            <v>0.26</v>
          </cell>
          <cell r="M791" t="str">
            <v>37 : 63</v>
          </cell>
          <cell r="N791">
            <v>2013</v>
          </cell>
          <cell r="O791">
            <v>445</v>
          </cell>
          <cell r="P791">
            <v>12</v>
          </cell>
        </row>
        <row r="792">
          <cell r="B792" t="str">
            <v>Medical University of South Carolina</v>
          </cell>
          <cell r="C792" t="str">
            <v>United States of America</v>
          </cell>
          <cell r="D792">
            <v>189</v>
          </cell>
          <cell r="E792">
            <v>27.7</v>
          </cell>
          <cell r="F792">
            <v>39.6</v>
          </cell>
          <cell r="G792">
            <v>59.7</v>
          </cell>
          <cell r="H792">
            <v>77.099999999999994</v>
          </cell>
          <cell r="I792">
            <v>47.7</v>
          </cell>
          <cell r="N792">
            <v>2013</v>
          </cell>
          <cell r="O792">
            <v>312</v>
          </cell>
          <cell r="P792">
            <v>118</v>
          </cell>
        </row>
        <row r="793">
          <cell r="B793" t="str">
            <v>University of Western Australia</v>
          </cell>
          <cell r="C793" t="str">
            <v>Australia</v>
          </cell>
          <cell r="D793">
            <v>190</v>
          </cell>
          <cell r="E793">
            <v>88.4</v>
          </cell>
          <cell r="F793">
            <v>39.9</v>
          </cell>
          <cell r="G793">
            <v>55.7</v>
          </cell>
          <cell r="H793">
            <v>60</v>
          </cell>
          <cell r="I793">
            <v>47.3</v>
          </cell>
          <cell r="J793">
            <v>20851</v>
          </cell>
          <cell r="K793">
            <v>20.7</v>
          </cell>
          <cell r="L793">
            <v>0.27</v>
          </cell>
          <cell r="M793">
            <v>2.1180555555555554</v>
          </cell>
          <cell r="N793">
            <v>2013</v>
          </cell>
          <cell r="O793">
            <v>225</v>
          </cell>
          <cell r="P793">
            <v>7</v>
          </cell>
        </row>
        <row r="794">
          <cell r="B794" t="str">
            <v>Wake Forest University</v>
          </cell>
          <cell r="C794" t="str">
            <v>United States of America</v>
          </cell>
          <cell r="D794">
            <v>190</v>
          </cell>
          <cell r="E794">
            <v>19</v>
          </cell>
          <cell r="F794">
            <v>22.4</v>
          </cell>
          <cell r="G794">
            <v>89.1</v>
          </cell>
          <cell r="H794">
            <v>48</v>
          </cell>
          <cell r="I794">
            <v>47.3</v>
          </cell>
          <cell r="J794">
            <v>7326</v>
          </cell>
          <cell r="K794">
            <v>4.5999999999999996</v>
          </cell>
          <cell r="L794">
            <v>0.05</v>
          </cell>
          <cell r="M794">
            <v>2.1590277777777778</v>
          </cell>
          <cell r="N794">
            <v>2013</v>
          </cell>
          <cell r="O794">
            <v>145</v>
          </cell>
          <cell r="P794">
            <v>68</v>
          </cell>
        </row>
        <row r="795">
          <cell r="B795" t="str">
            <v>University of Antwerp</v>
          </cell>
          <cell r="C795" t="str">
            <v>Belgium</v>
          </cell>
          <cell r="D795">
            <v>192</v>
          </cell>
          <cell r="E795">
            <v>58.5</v>
          </cell>
          <cell r="F795">
            <v>35.5</v>
          </cell>
          <cell r="G795">
            <v>64.8</v>
          </cell>
          <cell r="H795">
            <v>100</v>
          </cell>
          <cell r="I795">
            <v>47.1</v>
          </cell>
          <cell r="J795">
            <v>12346</v>
          </cell>
          <cell r="K795">
            <v>30.3</v>
          </cell>
          <cell r="L795">
            <v>0.16</v>
          </cell>
          <cell r="M795">
            <v>2.3638888888888889</v>
          </cell>
          <cell r="N795">
            <v>2013</v>
          </cell>
          <cell r="O795">
            <v>330</v>
          </cell>
          <cell r="P795">
            <v>7</v>
          </cell>
        </row>
        <row r="796">
          <cell r="B796" t="str">
            <v>Iowa State University</v>
          </cell>
          <cell r="C796" t="str">
            <v>United States of America</v>
          </cell>
          <cell r="D796">
            <v>193</v>
          </cell>
          <cell r="E796">
            <v>30.5</v>
          </cell>
          <cell r="F796">
            <v>34.299999999999997</v>
          </cell>
          <cell r="G796">
            <v>74.900000000000006</v>
          </cell>
          <cell r="H796">
            <v>44</v>
          </cell>
          <cell r="I796">
            <v>46.9</v>
          </cell>
          <cell r="J796">
            <v>29991</v>
          </cell>
          <cell r="K796">
            <v>17.399999999999999</v>
          </cell>
          <cell r="L796">
            <v>0.11</v>
          </cell>
          <cell r="M796">
            <v>1.8722222222222222</v>
          </cell>
          <cell r="N796">
            <v>2013</v>
          </cell>
          <cell r="O796">
            <v>182</v>
          </cell>
          <cell r="P796">
            <v>80</v>
          </cell>
        </row>
        <row r="797">
          <cell r="B797" t="str">
            <v>Technion Israel Institute of Technology</v>
          </cell>
          <cell r="C797" t="str">
            <v>Israel</v>
          </cell>
          <cell r="D797">
            <v>193</v>
          </cell>
          <cell r="E797">
            <v>55.9</v>
          </cell>
          <cell r="F797">
            <v>50.2</v>
          </cell>
          <cell r="G797">
            <v>44</v>
          </cell>
          <cell r="H797">
            <v>40.799999999999997</v>
          </cell>
          <cell r="I797">
            <v>46.9</v>
          </cell>
          <cell r="J797">
            <v>13855</v>
          </cell>
          <cell r="K797">
            <v>19.399999999999999</v>
          </cell>
          <cell r="L797">
            <v>0.04</v>
          </cell>
          <cell r="M797" t="str">
            <v>35 : 65</v>
          </cell>
          <cell r="N797">
            <v>2013</v>
          </cell>
          <cell r="O797" t="e">
            <v>#N/A</v>
          </cell>
          <cell r="P797" t="e">
            <v>#N/A</v>
          </cell>
        </row>
        <row r="798">
          <cell r="B798" t="str">
            <v>University of Miami</v>
          </cell>
          <cell r="C798" t="str">
            <v>United States of America</v>
          </cell>
          <cell r="D798">
            <v>193</v>
          </cell>
          <cell r="E798">
            <v>33.1</v>
          </cell>
          <cell r="F798">
            <v>27</v>
          </cell>
          <cell r="G798">
            <v>69.7</v>
          </cell>
          <cell r="H798" t="str">
            <v>-</v>
          </cell>
          <cell r="I798">
            <v>46.9</v>
          </cell>
          <cell r="J798">
            <v>15286</v>
          </cell>
          <cell r="K798">
            <v>5.7</v>
          </cell>
          <cell r="L798">
            <v>0.14000000000000001</v>
          </cell>
          <cell r="M798">
            <v>2.1180555555555554</v>
          </cell>
          <cell r="N798">
            <v>2013</v>
          </cell>
          <cell r="O798">
            <v>138</v>
          </cell>
          <cell r="P798">
            <v>66</v>
          </cell>
        </row>
        <row r="799">
          <cell r="B799" t="str">
            <v>University of Leicester</v>
          </cell>
          <cell r="C799" t="str">
            <v>United Kingdom</v>
          </cell>
          <cell r="D799">
            <v>196</v>
          </cell>
          <cell r="E799">
            <v>83.7</v>
          </cell>
          <cell r="F799">
            <v>32.5</v>
          </cell>
          <cell r="G799">
            <v>66.5</v>
          </cell>
          <cell r="H799">
            <v>34.9</v>
          </cell>
          <cell r="I799">
            <v>46.7</v>
          </cell>
          <cell r="J799">
            <v>14541</v>
          </cell>
          <cell r="K799">
            <v>13.4</v>
          </cell>
          <cell r="L799">
            <v>0.35</v>
          </cell>
          <cell r="M799">
            <v>2.2819444444444446</v>
          </cell>
          <cell r="N799">
            <v>2013</v>
          </cell>
          <cell r="O799">
            <v>263</v>
          </cell>
          <cell r="P799">
            <v>22</v>
          </cell>
        </row>
        <row r="800">
          <cell r="B800" t="str">
            <v>University of Victoria</v>
          </cell>
          <cell r="C800" t="str">
            <v>Canada</v>
          </cell>
          <cell r="D800">
            <v>196</v>
          </cell>
          <cell r="E800">
            <v>65.900000000000006</v>
          </cell>
          <cell r="F800">
            <v>33.700000000000003</v>
          </cell>
          <cell r="G800">
            <v>82.7</v>
          </cell>
          <cell r="H800">
            <v>30.6</v>
          </cell>
          <cell r="I800">
            <v>46.7</v>
          </cell>
          <cell r="J800">
            <v>17581</v>
          </cell>
          <cell r="K800">
            <v>21.5</v>
          </cell>
          <cell r="L800">
            <v>0.11</v>
          </cell>
          <cell r="M800">
            <v>2.3638888888888889</v>
          </cell>
          <cell r="N800">
            <v>2013</v>
          </cell>
          <cell r="O800">
            <v>377</v>
          </cell>
          <cell r="P800">
            <v>16</v>
          </cell>
        </row>
        <row r="801">
          <cell r="B801" t="str">
            <v>University at Buffalo</v>
          </cell>
          <cell r="C801" t="str">
            <v>United States of America</v>
          </cell>
          <cell r="D801">
            <v>198</v>
          </cell>
          <cell r="E801">
            <v>50.7</v>
          </cell>
          <cell r="F801">
            <v>40.6</v>
          </cell>
          <cell r="G801">
            <v>52.1</v>
          </cell>
          <cell r="H801">
            <v>42.4</v>
          </cell>
          <cell r="I801">
            <v>46.6</v>
          </cell>
          <cell r="J801">
            <v>25668</v>
          </cell>
          <cell r="K801">
            <v>19</v>
          </cell>
          <cell r="L801">
            <v>0.19</v>
          </cell>
          <cell r="M801">
            <v>1.9951388888888888</v>
          </cell>
          <cell r="N801">
            <v>2013</v>
          </cell>
          <cell r="O801" t="e">
            <v>#N/A</v>
          </cell>
          <cell r="P801" t="e">
            <v>#N/A</v>
          </cell>
        </row>
        <row r="802">
          <cell r="B802" t="str">
            <v>Goethe University Frankfurt</v>
          </cell>
          <cell r="C802" t="str">
            <v>Germany</v>
          </cell>
          <cell r="D802">
            <v>199</v>
          </cell>
          <cell r="E802">
            <v>57.6</v>
          </cell>
          <cell r="F802">
            <v>29.7</v>
          </cell>
          <cell r="G802">
            <v>73.900000000000006</v>
          </cell>
          <cell r="H802">
            <v>41.4</v>
          </cell>
          <cell r="I802">
            <v>46.4</v>
          </cell>
          <cell r="J802">
            <v>31861</v>
          </cell>
          <cell r="K802">
            <v>9.3000000000000007</v>
          </cell>
          <cell r="L802">
            <v>0.15</v>
          </cell>
          <cell r="M802">
            <v>2.5277777777777777</v>
          </cell>
          <cell r="N802">
            <v>2013</v>
          </cell>
          <cell r="O802">
            <v>161</v>
          </cell>
          <cell r="P802">
            <v>9</v>
          </cell>
        </row>
        <row r="803">
          <cell r="B803" t="str">
            <v>Birkbeck, University of London</v>
          </cell>
          <cell r="C803" t="str">
            <v>United Kingdom</v>
          </cell>
          <cell r="D803">
            <v>200</v>
          </cell>
          <cell r="E803">
            <v>83.2</v>
          </cell>
          <cell r="F803">
            <v>30.5</v>
          </cell>
          <cell r="G803">
            <v>72.8</v>
          </cell>
          <cell r="H803">
            <v>29.4</v>
          </cell>
          <cell r="I803">
            <v>46.2</v>
          </cell>
          <cell r="J803">
            <v>9454</v>
          </cell>
          <cell r="K803">
            <v>17.2</v>
          </cell>
          <cell r="L803">
            <v>0.38</v>
          </cell>
          <cell r="M803">
            <v>2.3229166666666665</v>
          </cell>
          <cell r="N803">
            <v>2013</v>
          </cell>
          <cell r="O803">
            <v>624</v>
          </cell>
          <cell r="P803">
            <v>46</v>
          </cell>
        </row>
        <row r="804">
          <cell r="B804" t="str">
            <v>Autonomous University of Barcelona</v>
          </cell>
          <cell r="C804" t="str">
            <v>Spain</v>
          </cell>
          <cell r="D804" t="str">
            <v>201-225</v>
          </cell>
          <cell r="E804">
            <v>47.1</v>
          </cell>
          <cell r="F804">
            <v>35.700000000000003</v>
          </cell>
          <cell r="G804">
            <v>62.8</v>
          </cell>
          <cell r="H804">
            <v>37.299999999999997</v>
          </cell>
          <cell r="I804" t="str">
            <v>-</v>
          </cell>
          <cell r="J804">
            <v>30538</v>
          </cell>
          <cell r="K804">
            <v>12.3</v>
          </cell>
          <cell r="L804">
            <v>0.1</v>
          </cell>
          <cell r="M804">
            <v>2.4868055555555557</v>
          </cell>
          <cell r="N804">
            <v>2013</v>
          </cell>
          <cell r="O804">
            <v>254</v>
          </cell>
          <cell r="P804">
            <v>3</v>
          </cell>
        </row>
        <row r="805">
          <cell r="B805" t="str">
            <v>Brandeis University</v>
          </cell>
          <cell r="C805" t="str">
            <v>United States of America</v>
          </cell>
          <cell r="D805" t="str">
            <v>201-225</v>
          </cell>
          <cell r="E805">
            <v>45.3</v>
          </cell>
          <cell r="F805">
            <v>27.9</v>
          </cell>
          <cell r="G805">
            <v>83.1</v>
          </cell>
          <cell r="H805">
            <v>37.4</v>
          </cell>
          <cell r="I805" t="str">
            <v>-</v>
          </cell>
          <cell r="J805">
            <v>5495</v>
          </cell>
          <cell r="K805">
            <v>12.6</v>
          </cell>
          <cell r="L805">
            <v>0.22</v>
          </cell>
          <cell r="M805">
            <v>2.3229166666666665</v>
          </cell>
          <cell r="N805">
            <v>2013</v>
          </cell>
          <cell r="O805">
            <v>236</v>
          </cell>
          <cell r="P805">
            <v>97</v>
          </cell>
        </row>
        <row r="806">
          <cell r="B806" t="str">
            <v>Cardiff University</v>
          </cell>
          <cell r="C806" t="str">
            <v>United Kingdom</v>
          </cell>
          <cell r="D806" t="str">
            <v>201-225</v>
          </cell>
          <cell r="E806">
            <v>68.099999999999994</v>
          </cell>
          <cell r="F806">
            <v>38.200000000000003</v>
          </cell>
          <cell r="G806">
            <v>60.2</v>
          </cell>
          <cell r="H806">
            <v>39.799999999999997</v>
          </cell>
          <cell r="I806" t="str">
            <v>-</v>
          </cell>
          <cell r="J806">
            <v>23347</v>
          </cell>
          <cell r="K806">
            <v>13.1</v>
          </cell>
          <cell r="L806">
            <v>0.23</v>
          </cell>
          <cell r="M806">
            <v>2.4048611111111109</v>
          </cell>
          <cell r="N806">
            <v>2013</v>
          </cell>
          <cell r="O806">
            <v>209</v>
          </cell>
          <cell r="P806">
            <v>16</v>
          </cell>
        </row>
        <row r="807">
          <cell r="B807" t="str">
            <v>Fudan University</v>
          </cell>
          <cell r="C807" t="str">
            <v>China</v>
          </cell>
          <cell r="D807" t="str">
            <v>201-225</v>
          </cell>
          <cell r="E807">
            <v>38.6</v>
          </cell>
          <cell r="F807">
            <v>39.5</v>
          </cell>
          <cell r="G807">
            <v>51.3</v>
          </cell>
          <cell r="H807">
            <v>46.3</v>
          </cell>
          <cell r="I807" t="str">
            <v>-</v>
          </cell>
          <cell r="J807">
            <v>32175</v>
          </cell>
          <cell r="K807">
            <v>12.2</v>
          </cell>
          <cell r="L807">
            <v>0.11</v>
          </cell>
          <cell r="M807">
            <v>2.1180555555555554</v>
          </cell>
          <cell r="N807">
            <v>2013</v>
          </cell>
          <cell r="O807">
            <v>189</v>
          </cell>
          <cell r="P807">
            <v>3</v>
          </cell>
        </row>
        <row r="808">
          <cell r="B808" t="str">
            <v>Johannes Gutenberg University of Mainz</v>
          </cell>
          <cell r="C808" t="str">
            <v>Germany</v>
          </cell>
          <cell r="D808" t="str">
            <v>201-225</v>
          </cell>
          <cell r="E808">
            <v>57</v>
          </cell>
          <cell r="F808">
            <v>18.399999999999999</v>
          </cell>
          <cell r="G808">
            <v>85.2</v>
          </cell>
          <cell r="H808" t="str">
            <v>-</v>
          </cell>
          <cell r="I808" t="str">
            <v>-</v>
          </cell>
          <cell r="J808">
            <v>35609</v>
          </cell>
          <cell r="K808">
            <v>32.6</v>
          </cell>
          <cell r="L808">
            <v>0.1</v>
          </cell>
          <cell r="M808">
            <v>2.4458333333333333</v>
          </cell>
          <cell r="N808">
            <v>2013</v>
          </cell>
          <cell r="O808">
            <v>249</v>
          </cell>
          <cell r="P808">
            <v>20</v>
          </cell>
        </row>
        <row r="809">
          <cell r="B809" t="str">
            <v>Lomonosov Moscow State University</v>
          </cell>
          <cell r="C809" t="str">
            <v>Russian Federation</v>
          </cell>
          <cell r="D809" t="str">
            <v>201-225</v>
          </cell>
          <cell r="E809">
            <v>50.3</v>
          </cell>
          <cell r="F809">
            <v>48.1</v>
          </cell>
          <cell r="G809">
            <v>19.7</v>
          </cell>
          <cell r="H809">
            <v>70.099999999999994</v>
          </cell>
          <cell r="I809" t="str">
            <v>-</v>
          </cell>
          <cell r="J809">
            <v>30822</v>
          </cell>
          <cell r="K809">
            <v>7.7</v>
          </cell>
          <cell r="L809">
            <v>0.2</v>
          </cell>
          <cell r="M809">
            <v>1.83125</v>
          </cell>
          <cell r="N809">
            <v>2013</v>
          </cell>
          <cell r="O809">
            <v>90</v>
          </cell>
          <cell r="P809">
            <v>1</v>
          </cell>
        </row>
        <row r="810">
          <cell r="B810" t="str">
            <v>Middle East Technical University</v>
          </cell>
          <cell r="C810" t="str">
            <v>Turkey</v>
          </cell>
          <cell r="D810" t="str">
            <v>201-225</v>
          </cell>
          <cell r="E810">
            <v>28</v>
          </cell>
          <cell r="F810">
            <v>46</v>
          </cell>
          <cell r="G810">
            <v>44.6</v>
          </cell>
          <cell r="H810">
            <v>50.6</v>
          </cell>
          <cell r="I810" t="str">
            <v>-</v>
          </cell>
          <cell r="J810">
            <v>25779</v>
          </cell>
          <cell r="K810">
            <v>22.2</v>
          </cell>
          <cell r="L810">
            <v>7.0000000000000007E-2</v>
          </cell>
          <cell r="M810">
            <v>1.8722222222222222</v>
          </cell>
          <cell r="N810">
            <v>2013</v>
          </cell>
          <cell r="O810">
            <v>396</v>
          </cell>
          <cell r="P810">
            <v>1</v>
          </cell>
        </row>
        <row r="811">
          <cell r="B811" t="str">
            <v>Nagoya University</v>
          </cell>
          <cell r="C811" t="str">
            <v>Japan</v>
          </cell>
          <cell r="D811" t="str">
            <v>201-225</v>
          </cell>
          <cell r="E811">
            <v>25.3</v>
          </cell>
          <cell r="F811">
            <v>39.200000000000003</v>
          </cell>
          <cell r="G811">
            <v>53.3</v>
          </cell>
          <cell r="H811">
            <v>35.5</v>
          </cell>
          <cell r="I811" t="str">
            <v>-</v>
          </cell>
          <cell r="J811">
            <v>15529</v>
          </cell>
          <cell r="K811">
            <v>7.9</v>
          </cell>
          <cell r="L811">
            <v>0.1</v>
          </cell>
          <cell r="M811" t="str">
            <v>29 : 71</v>
          </cell>
          <cell r="N811">
            <v>2013</v>
          </cell>
          <cell r="O811">
            <v>74</v>
          </cell>
          <cell r="P811">
            <v>4</v>
          </cell>
        </row>
        <row r="812">
          <cell r="B812" t="str">
            <v>Northeastern University</v>
          </cell>
          <cell r="C812" t="str">
            <v>United States of America</v>
          </cell>
          <cell r="D812" t="str">
            <v>201-225</v>
          </cell>
          <cell r="E812">
            <v>41</v>
          </cell>
          <cell r="F812">
            <v>21.2</v>
          </cell>
          <cell r="G812">
            <v>76.400000000000006</v>
          </cell>
          <cell r="H812">
            <v>33.799999999999997</v>
          </cell>
          <cell r="I812" t="str">
            <v>-</v>
          </cell>
          <cell r="J812">
            <v>18539</v>
          </cell>
          <cell r="K812">
            <v>15.1</v>
          </cell>
          <cell r="L812">
            <v>0.26</v>
          </cell>
          <cell r="M812">
            <v>2.1180555555555554</v>
          </cell>
          <cell r="N812">
            <v>2013</v>
          </cell>
          <cell r="O812">
            <v>318</v>
          </cell>
          <cell r="P812">
            <v>119</v>
          </cell>
        </row>
        <row r="813">
          <cell r="B813" t="str">
            <v>Pompeu Fabra University</v>
          </cell>
          <cell r="C813" t="str">
            <v>Spain</v>
          </cell>
          <cell r="D813" t="str">
            <v>201-225</v>
          </cell>
          <cell r="E813">
            <v>49.9</v>
          </cell>
          <cell r="F813">
            <v>23.2</v>
          </cell>
          <cell r="G813">
            <v>77.5</v>
          </cell>
          <cell r="H813">
            <v>34.200000000000003</v>
          </cell>
          <cell r="I813" t="str">
            <v>-</v>
          </cell>
          <cell r="J813">
            <v>10901</v>
          </cell>
          <cell r="K813">
            <v>18.3</v>
          </cell>
          <cell r="L813">
            <v>0.13</v>
          </cell>
          <cell r="M813">
            <v>2.4868055555555557</v>
          </cell>
          <cell r="N813">
            <v>2013</v>
          </cell>
          <cell r="O813">
            <v>426</v>
          </cell>
          <cell r="P813">
            <v>11</v>
          </cell>
        </row>
        <row r="814">
          <cell r="B814" t="str">
            <v>Queenâ€™s University</v>
          </cell>
          <cell r="C814" t="str">
            <v>Canada</v>
          </cell>
          <cell r="D814" t="str">
            <v>201-225</v>
          </cell>
          <cell r="E814">
            <v>58</v>
          </cell>
          <cell r="F814">
            <v>35.4</v>
          </cell>
          <cell r="G814">
            <v>51.2</v>
          </cell>
          <cell r="H814">
            <v>77.3</v>
          </cell>
          <cell r="I814" t="str">
            <v>-</v>
          </cell>
          <cell r="J814">
            <v>20488</v>
          </cell>
          <cell r="K814">
            <v>22.1</v>
          </cell>
          <cell r="L814">
            <v>0.1</v>
          </cell>
          <cell r="M814">
            <v>2.4458333333333333</v>
          </cell>
          <cell r="N814">
            <v>2013</v>
          </cell>
          <cell r="O814" t="e">
            <v>#N/A</v>
          </cell>
          <cell r="P814" t="e">
            <v>#N/A</v>
          </cell>
        </row>
        <row r="815">
          <cell r="B815" t="str">
            <v>St Georgeâ€™s, University of London</v>
          </cell>
          <cell r="C815" t="str">
            <v>United Kingdom</v>
          </cell>
          <cell r="D815" t="str">
            <v>201-225</v>
          </cell>
          <cell r="E815">
            <v>57.9</v>
          </cell>
          <cell r="F815">
            <v>22.6</v>
          </cell>
          <cell r="G815">
            <v>89.7</v>
          </cell>
          <cell r="H815">
            <v>44.1</v>
          </cell>
          <cell r="I815" t="str">
            <v>-</v>
          </cell>
          <cell r="J815">
            <v>2958</v>
          </cell>
          <cell r="K815">
            <v>13.4</v>
          </cell>
          <cell r="L815">
            <v>0.17</v>
          </cell>
          <cell r="M815">
            <v>2.5687500000000001</v>
          </cell>
          <cell r="N815">
            <v>2013</v>
          </cell>
          <cell r="O815" t="e">
            <v>#N/A</v>
          </cell>
          <cell r="P815" t="e">
            <v>#N/A</v>
          </cell>
        </row>
        <row r="816">
          <cell r="B816" t="str">
            <v>Sungkyunkwan University (SKKU)</v>
          </cell>
          <cell r="C816" t="str">
            <v>South Korea</v>
          </cell>
          <cell r="D816" t="str">
            <v>201-225</v>
          </cell>
          <cell r="E816">
            <v>30.9</v>
          </cell>
          <cell r="F816">
            <v>48.7</v>
          </cell>
          <cell r="G816">
            <v>39.299999999999997</v>
          </cell>
          <cell r="H816">
            <v>98.7</v>
          </cell>
          <cell r="I816" t="str">
            <v>-</v>
          </cell>
          <cell r="J816">
            <v>24365</v>
          </cell>
          <cell r="K816">
            <v>20.3</v>
          </cell>
          <cell r="L816">
            <v>0.09</v>
          </cell>
          <cell r="M816" t="str">
            <v>39 : 61</v>
          </cell>
          <cell r="N816">
            <v>2013</v>
          </cell>
          <cell r="O816" t="e">
            <v>#N/A</v>
          </cell>
          <cell r="P816" t="e">
            <v>#N/A</v>
          </cell>
        </row>
        <row r="817">
          <cell r="B817" t="str">
            <v>Tilburg University</v>
          </cell>
          <cell r="C817" t="str">
            <v>Netherlands</v>
          </cell>
          <cell r="D817" t="str">
            <v>201-225</v>
          </cell>
          <cell r="E817">
            <v>56.6</v>
          </cell>
          <cell r="F817">
            <v>54.5</v>
          </cell>
          <cell r="G817">
            <v>33.700000000000003</v>
          </cell>
          <cell r="H817">
            <v>54.8</v>
          </cell>
          <cell r="I817" t="str">
            <v>-</v>
          </cell>
          <cell r="J817">
            <v>7576</v>
          </cell>
          <cell r="K817">
            <v>22.4</v>
          </cell>
          <cell r="L817">
            <v>0.1</v>
          </cell>
          <cell r="M817">
            <v>2.0770833333333334</v>
          </cell>
          <cell r="N817">
            <v>2013</v>
          </cell>
          <cell r="O817">
            <v>614</v>
          </cell>
          <cell r="P817">
            <v>13</v>
          </cell>
        </row>
        <row r="818">
          <cell r="B818" t="str">
            <v>University of Barcelona</v>
          </cell>
          <cell r="C818" t="str">
            <v>Spain</v>
          </cell>
          <cell r="D818" t="str">
            <v>201-225</v>
          </cell>
          <cell r="E818">
            <v>46</v>
          </cell>
          <cell r="F818">
            <v>33.4</v>
          </cell>
          <cell r="G818">
            <v>71.400000000000006</v>
          </cell>
          <cell r="H818">
            <v>30.9</v>
          </cell>
          <cell r="I818" t="str">
            <v>-</v>
          </cell>
          <cell r="J818">
            <v>47491</v>
          </cell>
          <cell r="K818">
            <v>12.2</v>
          </cell>
          <cell r="L818">
            <v>0.1</v>
          </cell>
          <cell r="M818">
            <v>2.6097222222222221</v>
          </cell>
          <cell r="N818">
            <v>2013</v>
          </cell>
          <cell r="O818">
            <v>120</v>
          </cell>
          <cell r="P818">
            <v>1</v>
          </cell>
        </row>
        <row r="819">
          <cell r="B819" t="str">
            <v>University of Dundee</v>
          </cell>
          <cell r="C819" t="str">
            <v>United Kingdom</v>
          </cell>
          <cell r="D819" t="str">
            <v>201-225</v>
          </cell>
          <cell r="E819">
            <v>66.599999999999994</v>
          </cell>
          <cell r="F819">
            <v>23.2</v>
          </cell>
          <cell r="G819">
            <v>81.099999999999994</v>
          </cell>
          <cell r="H819">
            <v>49.9</v>
          </cell>
          <cell r="I819" t="str">
            <v>-</v>
          </cell>
          <cell r="J819">
            <v>11628</v>
          </cell>
          <cell r="K819">
            <v>15.3</v>
          </cell>
          <cell r="L819">
            <v>0.25</v>
          </cell>
          <cell r="M819">
            <v>2.5277777777777777</v>
          </cell>
          <cell r="N819">
            <v>2013</v>
          </cell>
          <cell r="O819">
            <v>252</v>
          </cell>
          <cell r="P819">
            <v>20</v>
          </cell>
        </row>
        <row r="820">
          <cell r="B820" t="str">
            <v>University of Erlangen-Nuremberg</v>
          </cell>
          <cell r="C820" t="str">
            <v>Germany</v>
          </cell>
          <cell r="D820" t="str">
            <v>201-225</v>
          </cell>
          <cell r="E820">
            <v>49</v>
          </cell>
          <cell r="F820">
            <v>18.7</v>
          </cell>
          <cell r="G820">
            <v>74.599999999999994</v>
          </cell>
          <cell r="H820">
            <v>45.2</v>
          </cell>
          <cell r="I820" t="str">
            <v>-</v>
          </cell>
          <cell r="J820">
            <v>36146</v>
          </cell>
          <cell r="K820">
            <v>53.9</v>
          </cell>
          <cell r="L820">
            <v>0.09</v>
          </cell>
          <cell r="M820">
            <v>2.0770833333333334</v>
          </cell>
          <cell r="N820">
            <v>2013</v>
          </cell>
          <cell r="O820">
            <v>213</v>
          </cell>
          <cell r="P820">
            <v>14</v>
          </cell>
        </row>
        <row r="821">
          <cell r="B821" t="str">
            <v>University of Georgia</v>
          </cell>
          <cell r="C821" t="str">
            <v>United States of America</v>
          </cell>
          <cell r="D821" t="str">
            <v>201-225</v>
          </cell>
          <cell r="E821">
            <v>36.200000000000003</v>
          </cell>
          <cell r="F821">
            <v>40.1</v>
          </cell>
          <cell r="G821">
            <v>46.8</v>
          </cell>
          <cell r="H821">
            <v>31.3</v>
          </cell>
          <cell r="I821" t="str">
            <v>-</v>
          </cell>
          <cell r="J821">
            <v>33119</v>
          </cell>
          <cell r="K821">
            <v>19.899999999999999</v>
          </cell>
          <cell r="L821">
            <v>7.0000000000000007E-2</v>
          </cell>
          <cell r="M821">
            <v>2.4048611111111109</v>
          </cell>
          <cell r="N821">
            <v>2013</v>
          </cell>
          <cell r="O821">
            <v>207</v>
          </cell>
          <cell r="P821">
            <v>87</v>
          </cell>
        </row>
        <row r="822">
          <cell r="B822" t="str">
            <v>University of Gothenburg</v>
          </cell>
          <cell r="C822" t="str">
            <v>Sweden</v>
          </cell>
          <cell r="D822" t="str">
            <v>201-225</v>
          </cell>
          <cell r="E822">
            <v>48.4</v>
          </cell>
          <cell r="F822">
            <v>41.9</v>
          </cell>
          <cell r="G822">
            <v>63.8</v>
          </cell>
          <cell r="H822">
            <v>38.6</v>
          </cell>
          <cell r="I822" t="str">
            <v>-</v>
          </cell>
          <cell r="J822">
            <v>26420</v>
          </cell>
          <cell r="K822">
            <v>16.399999999999999</v>
          </cell>
          <cell r="L822">
            <v>0.12</v>
          </cell>
          <cell r="N822">
            <v>2013</v>
          </cell>
          <cell r="O822">
            <v>168</v>
          </cell>
          <cell r="P822">
            <v>5</v>
          </cell>
        </row>
        <row r="823">
          <cell r="B823" t="str">
            <v>University of Innsbruck</v>
          </cell>
          <cell r="C823" t="str">
            <v>Austria</v>
          </cell>
          <cell r="D823" t="str">
            <v>201-225</v>
          </cell>
          <cell r="E823">
            <v>88.7</v>
          </cell>
          <cell r="F823">
            <v>17.899999999999999</v>
          </cell>
          <cell r="G823">
            <v>71.599999999999994</v>
          </cell>
          <cell r="H823">
            <v>38.200000000000003</v>
          </cell>
          <cell r="I823" t="str">
            <v>-</v>
          </cell>
          <cell r="J823">
            <v>18209</v>
          </cell>
          <cell r="K823">
            <v>16.899999999999999</v>
          </cell>
          <cell r="L823">
            <v>0.39</v>
          </cell>
          <cell r="M823">
            <v>2.2819444444444446</v>
          </cell>
          <cell r="N823">
            <v>2013</v>
          </cell>
          <cell r="O823">
            <v>326</v>
          </cell>
          <cell r="P823">
            <v>3</v>
          </cell>
        </row>
        <row r="824">
          <cell r="B824" t="str">
            <v>University of Konstanz</v>
          </cell>
          <cell r="C824" t="str">
            <v>Germany</v>
          </cell>
          <cell r="D824" t="str">
            <v>201-225</v>
          </cell>
          <cell r="E824">
            <v>58.5</v>
          </cell>
          <cell r="F824">
            <v>35.6</v>
          </cell>
          <cell r="G824">
            <v>64.5</v>
          </cell>
          <cell r="H824">
            <v>51.9</v>
          </cell>
          <cell r="I824" t="str">
            <v>-</v>
          </cell>
          <cell r="J824">
            <v>10930</v>
          </cell>
          <cell r="K824">
            <v>59.1</v>
          </cell>
          <cell r="L824">
            <v>0.12</v>
          </cell>
          <cell r="M824">
            <v>2.2819444444444446</v>
          </cell>
          <cell r="N824">
            <v>2013</v>
          </cell>
          <cell r="O824">
            <v>468</v>
          </cell>
          <cell r="P824">
            <v>36</v>
          </cell>
        </row>
        <row r="825">
          <cell r="B825" t="str">
            <v>University of Oslo</v>
          </cell>
          <cell r="C825" t="str">
            <v>Norway</v>
          </cell>
          <cell r="D825" t="str">
            <v>201-225</v>
          </cell>
          <cell r="E825">
            <v>59</v>
          </cell>
          <cell r="F825">
            <v>39.799999999999997</v>
          </cell>
          <cell r="G825">
            <v>62.3</v>
          </cell>
          <cell r="H825">
            <v>31.4</v>
          </cell>
          <cell r="I825" t="str">
            <v>-</v>
          </cell>
          <cell r="J825">
            <v>27139</v>
          </cell>
          <cell r="K825">
            <v>18.8</v>
          </cell>
          <cell r="L825">
            <v>0.18</v>
          </cell>
          <cell r="N825">
            <v>2013</v>
          </cell>
          <cell r="O825">
            <v>91</v>
          </cell>
          <cell r="P825">
            <v>1</v>
          </cell>
        </row>
        <row r="826">
          <cell r="B826" t="str">
            <v>University of Science and Technology of China</v>
          </cell>
          <cell r="C826" t="str">
            <v>China</v>
          </cell>
          <cell r="D826" t="str">
            <v>201-225</v>
          </cell>
          <cell r="E826">
            <v>22</v>
          </cell>
          <cell r="F826">
            <v>27.7</v>
          </cell>
          <cell r="G826">
            <v>72.7</v>
          </cell>
          <cell r="H826">
            <v>50.1</v>
          </cell>
          <cell r="I826" t="str">
            <v>-</v>
          </cell>
          <cell r="J826">
            <v>14290</v>
          </cell>
          <cell r="K826">
            <v>7.9</v>
          </cell>
          <cell r="L826">
            <v>0.02</v>
          </cell>
          <cell r="N826">
            <v>2013</v>
          </cell>
          <cell r="O826">
            <v>270</v>
          </cell>
          <cell r="P826">
            <v>8</v>
          </cell>
        </row>
        <row r="827">
          <cell r="B827" t="str">
            <v>University of Strasbourg</v>
          </cell>
          <cell r="C827" t="str">
            <v>France</v>
          </cell>
          <cell r="D827" t="str">
            <v>201-225</v>
          </cell>
          <cell r="E827">
            <v>68.3</v>
          </cell>
          <cell r="F827">
            <v>29.2</v>
          </cell>
          <cell r="G827">
            <v>72</v>
          </cell>
          <cell r="H827">
            <v>34.799999999999997</v>
          </cell>
          <cell r="I827" t="str">
            <v>-</v>
          </cell>
          <cell r="J827">
            <v>46208</v>
          </cell>
          <cell r="K827">
            <v>17.8</v>
          </cell>
          <cell r="L827">
            <v>0.21</v>
          </cell>
          <cell r="M827">
            <v>2.4458333333333333</v>
          </cell>
          <cell r="N827">
            <v>2013</v>
          </cell>
          <cell r="O827">
            <v>176</v>
          </cell>
          <cell r="P827">
            <v>7</v>
          </cell>
        </row>
        <row r="828">
          <cell r="B828" t="str">
            <v>University of TÃ¼bingen</v>
          </cell>
          <cell r="C828" t="str">
            <v>Germany</v>
          </cell>
          <cell r="D828" t="str">
            <v>201-225</v>
          </cell>
          <cell r="E828">
            <v>56.3</v>
          </cell>
          <cell r="F828">
            <v>25.1</v>
          </cell>
          <cell r="G828">
            <v>73.8</v>
          </cell>
          <cell r="H828">
            <v>31.6</v>
          </cell>
          <cell r="I828" t="str">
            <v>-</v>
          </cell>
          <cell r="J828">
            <v>28327</v>
          </cell>
          <cell r="K828">
            <v>38.9</v>
          </cell>
          <cell r="L828">
            <v>0.12</v>
          </cell>
          <cell r="M828">
            <v>2.4458333333333333</v>
          </cell>
          <cell r="N828">
            <v>2013</v>
          </cell>
          <cell r="O828">
            <v>159</v>
          </cell>
          <cell r="P828">
            <v>8</v>
          </cell>
        </row>
        <row r="829">
          <cell r="B829" t="str">
            <v>Bilkent University</v>
          </cell>
          <cell r="C829" t="str">
            <v>Turkey</v>
          </cell>
          <cell r="D829" t="str">
            <v>226-250</v>
          </cell>
          <cell r="E829">
            <v>42</v>
          </cell>
          <cell r="F829">
            <v>30.5</v>
          </cell>
          <cell r="G829">
            <v>60.1</v>
          </cell>
          <cell r="H829">
            <v>39.9</v>
          </cell>
          <cell r="I829" t="str">
            <v>-</v>
          </cell>
          <cell r="N829">
            <v>2013</v>
          </cell>
          <cell r="O829">
            <v>856</v>
          </cell>
          <cell r="P829">
            <v>7</v>
          </cell>
        </row>
        <row r="830">
          <cell r="B830" t="str">
            <v>Carleton University</v>
          </cell>
          <cell r="C830" t="str">
            <v>Canada</v>
          </cell>
          <cell r="D830" t="str">
            <v>226-250</v>
          </cell>
          <cell r="E830">
            <v>56.8</v>
          </cell>
          <cell r="F830">
            <v>26.7</v>
          </cell>
          <cell r="G830">
            <v>75.099999999999994</v>
          </cell>
          <cell r="H830" t="str">
            <v>-</v>
          </cell>
          <cell r="I830" t="str">
            <v>-</v>
          </cell>
          <cell r="J830">
            <v>25036</v>
          </cell>
          <cell r="K830">
            <v>29.8</v>
          </cell>
          <cell r="L830">
            <v>0.18</v>
          </cell>
          <cell r="M830">
            <v>1.9951388888888888</v>
          </cell>
          <cell r="N830">
            <v>2013</v>
          </cell>
          <cell r="O830">
            <v>627</v>
          </cell>
          <cell r="P830">
            <v>22</v>
          </cell>
        </row>
        <row r="831">
          <cell r="B831" t="str">
            <v>Chalmers University of Technology</v>
          </cell>
          <cell r="C831" t="str">
            <v>Sweden</v>
          </cell>
          <cell r="D831" t="str">
            <v>226-250</v>
          </cell>
          <cell r="E831">
            <v>65.3</v>
          </cell>
          <cell r="F831">
            <v>41.5</v>
          </cell>
          <cell r="G831">
            <v>47.7</v>
          </cell>
          <cell r="H831">
            <v>78.5</v>
          </cell>
          <cell r="I831" t="str">
            <v>-</v>
          </cell>
          <cell r="J831">
            <v>8605</v>
          </cell>
          <cell r="K831">
            <v>11.6</v>
          </cell>
          <cell r="L831">
            <v>0.15</v>
          </cell>
          <cell r="M831" t="str">
            <v>30 : 70</v>
          </cell>
          <cell r="N831">
            <v>2013</v>
          </cell>
          <cell r="O831">
            <v>395</v>
          </cell>
          <cell r="P831">
            <v>9</v>
          </cell>
        </row>
        <row r="832">
          <cell r="B832" t="str">
            <v>Florida Institute of Technology</v>
          </cell>
          <cell r="C832" t="str">
            <v>United States of America</v>
          </cell>
          <cell r="D832" t="str">
            <v>226-250</v>
          </cell>
          <cell r="E832">
            <v>58.4</v>
          </cell>
          <cell r="F832">
            <v>11.9</v>
          </cell>
          <cell r="G832">
            <v>92.5</v>
          </cell>
          <cell r="H832">
            <v>28.7</v>
          </cell>
          <cell r="I832" t="str">
            <v>-</v>
          </cell>
          <cell r="J832">
            <v>4408</v>
          </cell>
          <cell r="K832">
            <v>13.7</v>
          </cell>
          <cell r="L832">
            <v>0.26</v>
          </cell>
          <cell r="M832" t="str">
            <v>34 : 66</v>
          </cell>
          <cell r="N832">
            <v>2013</v>
          </cell>
          <cell r="O832">
            <v>853</v>
          </cell>
          <cell r="P832">
            <v>222</v>
          </cell>
        </row>
        <row r="833">
          <cell r="B833" t="str">
            <v>Georgia Health Sciences University</v>
          </cell>
          <cell r="C833" t="str">
            <v>United States of America</v>
          </cell>
          <cell r="D833" t="str">
            <v>226-250</v>
          </cell>
          <cell r="E833">
            <v>32.6</v>
          </cell>
          <cell r="F833">
            <v>17.5</v>
          </cell>
          <cell r="G833">
            <v>62</v>
          </cell>
          <cell r="H833">
            <v>43.6</v>
          </cell>
          <cell r="I833" t="str">
            <v>-</v>
          </cell>
          <cell r="N833">
            <v>2013</v>
          </cell>
          <cell r="O833" t="e">
            <v>#N/A</v>
          </cell>
          <cell r="P833" t="e">
            <v>#N/A</v>
          </cell>
        </row>
        <row r="834">
          <cell r="B834" t="str">
            <v>Indian Institute of Technology Kharagpur</v>
          </cell>
          <cell r="C834" t="str">
            <v>India</v>
          </cell>
          <cell r="D834" t="str">
            <v>226-250</v>
          </cell>
          <cell r="E834">
            <v>16.100000000000001</v>
          </cell>
          <cell r="F834">
            <v>45.3</v>
          </cell>
          <cell r="G834">
            <v>39</v>
          </cell>
          <cell r="H834">
            <v>72.400000000000006</v>
          </cell>
          <cell r="I834" t="str">
            <v>-</v>
          </cell>
          <cell r="J834">
            <v>9928</v>
          </cell>
          <cell r="K834">
            <v>17.5</v>
          </cell>
          <cell r="L834">
            <v>0</v>
          </cell>
          <cell r="M834">
            <v>0.68402777777777779</v>
          </cell>
          <cell r="N834">
            <v>2013</v>
          </cell>
          <cell r="O834">
            <v>574</v>
          </cell>
          <cell r="P834">
            <v>7</v>
          </cell>
        </row>
        <row r="835">
          <cell r="B835" t="str">
            <v>Korea University</v>
          </cell>
          <cell r="C835" t="str">
            <v>South Korea</v>
          </cell>
          <cell r="D835" t="str">
            <v>226-250</v>
          </cell>
          <cell r="E835">
            <v>27.3</v>
          </cell>
          <cell r="F835">
            <v>43.7</v>
          </cell>
          <cell r="G835">
            <v>39.4</v>
          </cell>
          <cell r="H835">
            <v>52.1</v>
          </cell>
          <cell r="I835" t="str">
            <v>-</v>
          </cell>
          <cell r="J835">
            <v>24043</v>
          </cell>
          <cell r="K835">
            <v>15.8</v>
          </cell>
          <cell r="L835">
            <v>0.14000000000000001</v>
          </cell>
          <cell r="N835">
            <v>2013</v>
          </cell>
          <cell r="O835">
            <v>130</v>
          </cell>
          <cell r="P835">
            <v>4</v>
          </cell>
        </row>
        <row r="836">
          <cell r="B836" t="str">
            <v>KoÃ§ University</v>
          </cell>
          <cell r="C836" t="str">
            <v>Turkey</v>
          </cell>
          <cell r="D836" t="str">
            <v>226-250</v>
          </cell>
          <cell r="E836">
            <v>52.8</v>
          </cell>
          <cell r="F836">
            <v>22.3</v>
          </cell>
          <cell r="G836">
            <v>79.2</v>
          </cell>
          <cell r="H836">
            <v>37.9</v>
          </cell>
          <cell r="I836" t="str">
            <v>-</v>
          </cell>
          <cell r="J836">
            <v>4488</v>
          </cell>
          <cell r="K836">
            <v>14.6</v>
          </cell>
          <cell r="L836">
            <v>0.08</v>
          </cell>
          <cell r="M836">
            <v>2.2000000000000002</v>
          </cell>
          <cell r="N836">
            <v>2013</v>
          </cell>
          <cell r="O836" t="e">
            <v>#N/A</v>
          </cell>
          <cell r="P836" t="e">
            <v>#N/A</v>
          </cell>
        </row>
        <row r="837">
          <cell r="B837" t="str">
            <v>Laval University</v>
          </cell>
          <cell r="C837" t="str">
            <v>Canada</v>
          </cell>
          <cell r="D837" t="str">
            <v>226-250</v>
          </cell>
          <cell r="E837">
            <v>54.4</v>
          </cell>
          <cell r="F837">
            <v>27.3</v>
          </cell>
          <cell r="G837">
            <v>57.5</v>
          </cell>
          <cell r="H837">
            <v>56.6</v>
          </cell>
          <cell r="I837" t="str">
            <v>-</v>
          </cell>
          <cell r="J837">
            <v>27227</v>
          </cell>
          <cell r="K837">
            <v>16.2</v>
          </cell>
          <cell r="L837">
            <v>0.12</v>
          </cell>
          <cell r="N837">
            <v>2013</v>
          </cell>
          <cell r="O837">
            <v>226</v>
          </cell>
          <cell r="P837">
            <v>11</v>
          </cell>
        </row>
        <row r="838">
          <cell r="B838" t="str">
            <v>Mines ParisTech</v>
          </cell>
          <cell r="C838" t="str">
            <v>France</v>
          </cell>
          <cell r="D838" t="str">
            <v>226-250</v>
          </cell>
          <cell r="E838">
            <v>62.4</v>
          </cell>
          <cell r="F838">
            <v>25.6</v>
          </cell>
          <cell r="G838">
            <v>51.7</v>
          </cell>
          <cell r="H838">
            <v>99.4</v>
          </cell>
          <cell r="I838" t="str">
            <v>-</v>
          </cell>
          <cell r="J838">
            <v>1283</v>
          </cell>
          <cell r="K838">
            <v>5.6</v>
          </cell>
          <cell r="L838">
            <v>0.22</v>
          </cell>
          <cell r="M838" t="str">
            <v>28 : 72</v>
          </cell>
          <cell r="N838">
            <v>2013</v>
          </cell>
          <cell r="O838">
            <v>100</v>
          </cell>
          <cell r="P838">
            <v>5</v>
          </cell>
        </row>
        <row r="839">
          <cell r="B839" t="str">
            <v>National Research Nuclear University MePhI</v>
          </cell>
          <cell r="C839" t="str">
            <v>Russian Federation</v>
          </cell>
          <cell r="D839" t="str">
            <v>226-250</v>
          </cell>
          <cell r="E839">
            <v>18.8</v>
          </cell>
          <cell r="F839">
            <v>10.6</v>
          </cell>
          <cell r="G839">
            <v>100</v>
          </cell>
          <cell r="H839">
            <v>59.6</v>
          </cell>
          <cell r="I839" t="str">
            <v>-</v>
          </cell>
          <cell r="J839">
            <v>7801</v>
          </cell>
          <cell r="K839">
            <v>7.3</v>
          </cell>
          <cell r="L839">
            <v>7.0000000000000007E-2</v>
          </cell>
          <cell r="M839" t="str">
            <v>29 : 71</v>
          </cell>
          <cell r="N839">
            <v>2013</v>
          </cell>
          <cell r="O839">
            <v>755</v>
          </cell>
          <cell r="P839">
            <v>4</v>
          </cell>
        </row>
        <row r="840">
          <cell r="B840" t="str">
            <v>National Tsing Hua University</v>
          </cell>
          <cell r="C840" t="str">
            <v>Taiwan</v>
          </cell>
          <cell r="D840" t="str">
            <v>226-250</v>
          </cell>
          <cell r="E840">
            <v>20.100000000000001</v>
          </cell>
          <cell r="F840">
            <v>44.1</v>
          </cell>
          <cell r="G840">
            <v>44.4</v>
          </cell>
          <cell r="H840">
            <v>44</v>
          </cell>
          <cell r="I840" t="str">
            <v>-</v>
          </cell>
          <cell r="J840">
            <v>10221</v>
          </cell>
          <cell r="K840">
            <v>13.5</v>
          </cell>
          <cell r="L840">
            <v>0.05</v>
          </cell>
          <cell r="M840" t="str">
            <v>33 : 67</v>
          </cell>
          <cell r="N840">
            <v>2013</v>
          </cell>
          <cell r="O840">
            <v>418</v>
          </cell>
          <cell r="P840">
            <v>4</v>
          </cell>
        </row>
        <row r="841">
          <cell r="B841" t="str">
            <v>Simon Fraser University</v>
          </cell>
          <cell r="C841" t="str">
            <v>Canada</v>
          </cell>
          <cell r="D841" t="str">
            <v>226-250</v>
          </cell>
          <cell r="E841">
            <v>55.6</v>
          </cell>
          <cell r="F841">
            <v>35.299999999999997</v>
          </cell>
          <cell r="G841">
            <v>61</v>
          </cell>
          <cell r="H841">
            <v>41.6</v>
          </cell>
          <cell r="I841" t="str">
            <v>-</v>
          </cell>
          <cell r="J841">
            <v>26640</v>
          </cell>
          <cell r="K841">
            <v>28.3</v>
          </cell>
          <cell r="L841">
            <v>0.19</v>
          </cell>
          <cell r="M841">
            <v>2.3229166666666665</v>
          </cell>
          <cell r="N841">
            <v>2013</v>
          </cell>
          <cell r="O841">
            <v>393</v>
          </cell>
          <cell r="P841">
            <v>17</v>
          </cell>
        </row>
        <row r="842">
          <cell r="B842" t="str">
            <v>Technical University of Darmstadt</v>
          </cell>
          <cell r="C842" t="str">
            <v>Germany</v>
          </cell>
          <cell r="D842" t="str">
            <v>226-250</v>
          </cell>
          <cell r="E842">
            <v>64.400000000000006</v>
          </cell>
          <cell r="F842">
            <v>31.8</v>
          </cell>
          <cell r="G842">
            <v>44.4</v>
          </cell>
          <cell r="H842">
            <v>84.4</v>
          </cell>
          <cell r="I842" t="str">
            <v>-</v>
          </cell>
          <cell r="J842">
            <v>20300</v>
          </cell>
          <cell r="K842">
            <v>53.6</v>
          </cell>
          <cell r="L842">
            <v>0.18</v>
          </cell>
          <cell r="M842" t="str">
            <v>28 : 72</v>
          </cell>
          <cell r="N842">
            <v>2013</v>
          </cell>
          <cell r="O842" t="e">
            <v>#N/A</v>
          </cell>
          <cell r="P842" t="e">
            <v>#N/A</v>
          </cell>
        </row>
        <row r="843">
          <cell r="B843" t="str">
            <v>Tulane University</v>
          </cell>
          <cell r="C843" t="str">
            <v>United States of America</v>
          </cell>
          <cell r="D843" t="str">
            <v>226-250</v>
          </cell>
          <cell r="E843">
            <v>31.2</v>
          </cell>
          <cell r="F843">
            <v>22.6</v>
          </cell>
          <cell r="G843">
            <v>66.8</v>
          </cell>
          <cell r="H843" t="str">
            <v>-</v>
          </cell>
          <cell r="I843" t="str">
            <v>-</v>
          </cell>
          <cell r="J843">
            <v>11381</v>
          </cell>
          <cell r="K843">
            <v>8.4</v>
          </cell>
          <cell r="L843">
            <v>0.08</v>
          </cell>
          <cell r="M843">
            <v>2.3638888888888889</v>
          </cell>
          <cell r="N843">
            <v>2013</v>
          </cell>
          <cell r="O843">
            <v>234</v>
          </cell>
          <cell r="P843">
            <v>95</v>
          </cell>
        </row>
        <row r="844">
          <cell r="B844" t="str">
            <v>University of Bergen</v>
          </cell>
          <cell r="C844" t="str">
            <v>Norway</v>
          </cell>
          <cell r="D844" t="str">
            <v>226-250</v>
          </cell>
          <cell r="E844">
            <v>71</v>
          </cell>
          <cell r="F844">
            <v>26.8</v>
          </cell>
          <cell r="G844">
            <v>66.2</v>
          </cell>
          <cell r="H844">
            <v>41.1</v>
          </cell>
          <cell r="I844" t="str">
            <v>-</v>
          </cell>
          <cell r="J844">
            <v>11623</v>
          </cell>
          <cell r="K844">
            <v>11.1</v>
          </cell>
          <cell r="L844">
            <v>0.12</v>
          </cell>
          <cell r="M844">
            <v>2.5277777777777777</v>
          </cell>
          <cell r="N844">
            <v>2013</v>
          </cell>
          <cell r="O844">
            <v>305</v>
          </cell>
          <cell r="P844">
            <v>3</v>
          </cell>
        </row>
        <row r="845">
          <cell r="B845" t="str">
            <v>University of Calgary</v>
          </cell>
          <cell r="C845" t="str">
            <v>Canada</v>
          </cell>
          <cell r="D845" t="str">
            <v>226-250</v>
          </cell>
          <cell r="E845">
            <v>62.2</v>
          </cell>
          <cell r="F845">
            <v>35.799999999999997</v>
          </cell>
          <cell r="G845">
            <v>47.1</v>
          </cell>
          <cell r="H845">
            <v>42.8</v>
          </cell>
          <cell r="I845" t="str">
            <v>-</v>
          </cell>
          <cell r="J845">
            <v>28341</v>
          </cell>
          <cell r="K845">
            <v>16.5</v>
          </cell>
          <cell r="L845">
            <v>0.17</v>
          </cell>
          <cell r="M845">
            <v>2.2409722222222221</v>
          </cell>
          <cell r="N845">
            <v>2013</v>
          </cell>
          <cell r="O845">
            <v>166</v>
          </cell>
          <cell r="P845">
            <v>8</v>
          </cell>
        </row>
        <row r="846">
          <cell r="B846" t="str">
            <v>University of Cincinnati</v>
          </cell>
          <cell r="C846" t="str">
            <v>United States of America</v>
          </cell>
          <cell r="D846" t="str">
            <v>226-250</v>
          </cell>
          <cell r="E846">
            <v>23.9</v>
          </cell>
          <cell r="F846">
            <v>26.5</v>
          </cell>
          <cell r="G846">
            <v>69.5</v>
          </cell>
          <cell r="H846">
            <v>35.799999999999997</v>
          </cell>
          <cell r="I846" t="str">
            <v>-</v>
          </cell>
          <cell r="J846">
            <v>36108</v>
          </cell>
          <cell r="K846">
            <v>15.7</v>
          </cell>
          <cell r="L846">
            <v>0.06</v>
          </cell>
          <cell r="M846">
            <v>2.2819444444444446</v>
          </cell>
          <cell r="N846">
            <v>2013</v>
          </cell>
          <cell r="O846">
            <v>177</v>
          </cell>
          <cell r="P846">
            <v>78</v>
          </cell>
        </row>
        <row r="847">
          <cell r="B847" t="str">
            <v>University of Missouri</v>
          </cell>
          <cell r="C847" t="str">
            <v>United States of America</v>
          </cell>
          <cell r="D847" t="str">
            <v>226-250</v>
          </cell>
          <cell r="E847">
            <v>30.8</v>
          </cell>
          <cell r="F847">
            <v>45.8</v>
          </cell>
          <cell r="G847">
            <v>45.2</v>
          </cell>
          <cell r="H847">
            <v>31.1</v>
          </cell>
          <cell r="I847" t="str">
            <v>-</v>
          </cell>
          <cell r="J847">
            <v>29885</v>
          </cell>
          <cell r="K847">
            <v>14.1</v>
          </cell>
          <cell r="L847">
            <v>0.05</v>
          </cell>
          <cell r="M847">
            <v>2.2409722222222221</v>
          </cell>
          <cell r="N847">
            <v>2013</v>
          </cell>
          <cell r="O847" t="e">
            <v>#N/A</v>
          </cell>
          <cell r="P847" t="e">
            <v>#N/A</v>
          </cell>
        </row>
        <row r="848">
          <cell r="B848" t="str">
            <v>University of Otago</v>
          </cell>
          <cell r="C848" t="str">
            <v>New Zealand</v>
          </cell>
          <cell r="D848" t="str">
            <v>226-250</v>
          </cell>
          <cell r="E848">
            <v>85.4</v>
          </cell>
          <cell r="F848">
            <v>30.9</v>
          </cell>
          <cell r="G848">
            <v>54.8</v>
          </cell>
          <cell r="H848">
            <v>37.200000000000003</v>
          </cell>
          <cell r="I848" t="str">
            <v>-</v>
          </cell>
          <cell r="J848">
            <v>18600</v>
          </cell>
          <cell r="K848">
            <v>20.3</v>
          </cell>
          <cell r="L848">
            <v>0.21</v>
          </cell>
          <cell r="M848">
            <v>2.4048611111111109</v>
          </cell>
          <cell r="N848">
            <v>2013</v>
          </cell>
          <cell r="O848">
            <v>355</v>
          </cell>
          <cell r="P848">
            <v>2</v>
          </cell>
        </row>
        <row r="849">
          <cell r="B849" t="str">
            <v>University of South Florida</v>
          </cell>
          <cell r="C849" t="str">
            <v>United States of America</v>
          </cell>
          <cell r="D849" t="str">
            <v>226-250</v>
          </cell>
          <cell r="E849">
            <v>19.7</v>
          </cell>
          <cell r="F849">
            <v>42</v>
          </cell>
          <cell r="G849">
            <v>48.4</v>
          </cell>
          <cell r="H849">
            <v>98.9</v>
          </cell>
          <cell r="I849" t="str">
            <v>-</v>
          </cell>
          <cell r="J849">
            <v>31424</v>
          </cell>
          <cell r="K849">
            <v>21.5</v>
          </cell>
          <cell r="L849">
            <v>0.1</v>
          </cell>
          <cell r="N849">
            <v>2013</v>
          </cell>
          <cell r="O849" t="e">
            <v>#N/A</v>
          </cell>
          <cell r="P849" t="e">
            <v>#N/A</v>
          </cell>
        </row>
        <row r="850">
          <cell r="B850" t="str">
            <v>University of the Witwatersrand</v>
          </cell>
          <cell r="C850" t="str">
            <v>South Africa</v>
          </cell>
          <cell r="D850" t="str">
            <v>226-250</v>
          </cell>
          <cell r="E850">
            <v>65.099999999999994</v>
          </cell>
          <cell r="F850">
            <v>38.299999999999997</v>
          </cell>
          <cell r="G850">
            <v>49.8</v>
          </cell>
          <cell r="H850">
            <v>98.4</v>
          </cell>
          <cell r="I850" t="str">
            <v>-</v>
          </cell>
          <cell r="J850">
            <v>23321</v>
          </cell>
          <cell r="K850">
            <v>18.600000000000001</v>
          </cell>
          <cell r="L850">
            <v>0.09</v>
          </cell>
          <cell r="M850">
            <v>2.3638888888888889</v>
          </cell>
          <cell r="N850">
            <v>2013</v>
          </cell>
          <cell r="O850">
            <v>114</v>
          </cell>
          <cell r="P850">
            <v>1</v>
          </cell>
        </row>
        <row r="851">
          <cell r="B851" t="str">
            <v>University of Waterloo</v>
          </cell>
          <cell r="C851" t="str">
            <v>Canada</v>
          </cell>
          <cell r="D851" t="str">
            <v>226-250</v>
          </cell>
          <cell r="E851">
            <v>58.3</v>
          </cell>
          <cell r="F851">
            <v>42.1</v>
          </cell>
          <cell r="G851">
            <v>41.8</v>
          </cell>
          <cell r="H851">
            <v>39.4</v>
          </cell>
          <cell r="I851" t="str">
            <v>-</v>
          </cell>
          <cell r="J851">
            <v>30726</v>
          </cell>
          <cell r="K851">
            <v>24.2</v>
          </cell>
          <cell r="L851">
            <v>0.14000000000000001</v>
          </cell>
          <cell r="M851">
            <v>1.9131944444444444</v>
          </cell>
          <cell r="N851">
            <v>2013</v>
          </cell>
          <cell r="O851">
            <v>280</v>
          </cell>
          <cell r="P851">
            <v>13</v>
          </cell>
        </row>
        <row r="852">
          <cell r="B852" t="str">
            <v>University of Western Ontario</v>
          </cell>
          <cell r="C852" t="str">
            <v>Canada</v>
          </cell>
          <cell r="D852" t="str">
            <v>226-250</v>
          </cell>
          <cell r="E852">
            <v>51.3</v>
          </cell>
          <cell r="F852">
            <v>37.200000000000003</v>
          </cell>
          <cell r="G852">
            <v>44.8</v>
          </cell>
          <cell r="H852">
            <v>44.6</v>
          </cell>
          <cell r="I852" t="str">
            <v>-</v>
          </cell>
          <cell r="J852">
            <v>27387</v>
          </cell>
          <cell r="K852">
            <v>20.7</v>
          </cell>
          <cell r="L852">
            <v>0.16</v>
          </cell>
          <cell r="M852">
            <v>2.2819444444444446</v>
          </cell>
          <cell r="N852">
            <v>2013</v>
          </cell>
          <cell r="O852" t="e">
            <v>#N/A</v>
          </cell>
          <cell r="P852" t="e">
            <v>#N/A</v>
          </cell>
        </row>
        <row r="853">
          <cell r="B853" t="str">
            <v>University of WÃ¼rzburg</v>
          </cell>
          <cell r="C853" t="str">
            <v>Germany</v>
          </cell>
          <cell r="D853" t="str">
            <v>226-250</v>
          </cell>
          <cell r="E853">
            <v>44.8</v>
          </cell>
          <cell r="F853">
            <v>19.399999999999999</v>
          </cell>
          <cell r="G853">
            <v>70.900000000000006</v>
          </cell>
          <cell r="H853">
            <v>30.4</v>
          </cell>
          <cell r="I853" t="str">
            <v>-</v>
          </cell>
          <cell r="J853">
            <v>26576</v>
          </cell>
          <cell r="K853">
            <v>38.4</v>
          </cell>
          <cell r="L853">
            <v>0.08</v>
          </cell>
          <cell r="M853">
            <v>2.4048611111111109</v>
          </cell>
          <cell r="N853">
            <v>2013</v>
          </cell>
          <cell r="O853" t="e">
            <v>#N/A</v>
          </cell>
          <cell r="P853" t="e">
            <v>#N/A</v>
          </cell>
        </row>
        <row r="854">
          <cell r="B854" t="str">
            <v>UniversitÃ© Libre de Bruxelles</v>
          </cell>
          <cell r="C854" t="str">
            <v>Belgium</v>
          </cell>
          <cell r="D854" t="str">
            <v>226-250</v>
          </cell>
          <cell r="E854">
            <v>78.2</v>
          </cell>
          <cell r="F854">
            <v>30.6</v>
          </cell>
          <cell r="G854">
            <v>59.3</v>
          </cell>
          <cell r="H854">
            <v>54.9</v>
          </cell>
          <cell r="I854" t="str">
            <v>-</v>
          </cell>
          <cell r="J854">
            <v>23819</v>
          </cell>
          <cell r="K854">
            <v>26.1</v>
          </cell>
          <cell r="L854">
            <v>0.32</v>
          </cell>
          <cell r="M854">
            <v>2.2819444444444446</v>
          </cell>
          <cell r="N854">
            <v>2013</v>
          </cell>
          <cell r="O854">
            <v>139</v>
          </cell>
          <cell r="P854">
            <v>3</v>
          </cell>
        </row>
        <row r="855">
          <cell r="B855" t="str">
            <v>Aalto University</v>
          </cell>
          <cell r="C855" t="str">
            <v>Finland</v>
          </cell>
          <cell r="D855" t="str">
            <v>251-275</v>
          </cell>
          <cell r="E855">
            <v>52</v>
          </cell>
          <cell r="F855">
            <v>26.8</v>
          </cell>
          <cell r="G855">
            <v>50.1</v>
          </cell>
          <cell r="H855">
            <v>73.7</v>
          </cell>
          <cell r="I855" t="str">
            <v>-</v>
          </cell>
          <cell r="J855">
            <v>16099</v>
          </cell>
          <cell r="K855">
            <v>24.2</v>
          </cell>
          <cell r="L855">
            <v>0.17</v>
          </cell>
          <cell r="M855" t="str">
            <v>32 : 68</v>
          </cell>
          <cell r="N855">
            <v>2013</v>
          </cell>
          <cell r="O855">
            <v>392</v>
          </cell>
          <cell r="P855">
            <v>4</v>
          </cell>
        </row>
        <row r="856">
          <cell r="B856" t="str">
            <v>Dalhousie University</v>
          </cell>
          <cell r="C856" t="str">
            <v>Canada</v>
          </cell>
          <cell r="D856" t="str">
            <v>251-275</v>
          </cell>
          <cell r="E856">
            <v>59.1</v>
          </cell>
          <cell r="F856">
            <v>29.8</v>
          </cell>
          <cell r="G856">
            <v>54.3</v>
          </cell>
          <cell r="H856">
            <v>65</v>
          </cell>
          <cell r="I856" t="str">
            <v>-</v>
          </cell>
          <cell r="J856">
            <v>15064</v>
          </cell>
          <cell r="K856">
            <v>14.4</v>
          </cell>
          <cell r="L856">
            <v>0.18</v>
          </cell>
          <cell r="M856">
            <v>2.3229166666666665</v>
          </cell>
          <cell r="N856">
            <v>2013</v>
          </cell>
          <cell r="O856">
            <v>284</v>
          </cell>
          <cell r="P856">
            <v>14</v>
          </cell>
        </row>
        <row r="857">
          <cell r="B857" t="str">
            <v>Hong Kong Polytechnic University</v>
          </cell>
          <cell r="C857" t="str">
            <v>Hong Kong</v>
          </cell>
          <cell r="D857" t="str">
            <v>251-275</v>
          </cell>
          <cell r="E857">
            <v>65.400000000000006</v>
          </cell>
          <cell r="F857">
            <v>41.2</v>
          </cell>
          <cell r="G857">
            <v>39.799999999999997</v>
          </cell>
          <cell r="H857">
            <v>42.2</v>
          </cell>
          <cell r="I857" t="str">
            <v>-</v>
          </cell>
          <cell r="J857">
            <v>22064</v>
          </cell>
          <cell r="K857">
            <v>25.9</v>
          </cell>
          <cell r="L857">
            <v>0.26</v>
          </cell>
          <cell r="M857">
            <v>2.1590277777777778</v>
          </cell>
          <cell r="N857">
            <v>2013</v>
          </cell>
          <cell r="O857">
            <v>381</v>
          </cell>
          <cell r="P857">
            <v>5</v>
          </cell>
        </row>
        <row r="858">
          <cell r="B858" t="str">
            <v>Indian Institute of Technology Bombay</v>
          </cell>
          <cell r="C858" t="str">
            <v>India</v>
          </cell>
          <cell r="D858" t="str">
            <v>251-275</v>
          </cell>
          <cell r="E858">
            <v>19.899999999999999</v>
          </cell>
          <cell r="F858">
            <v>33.1</v>
          </cell>
          <cell r="G858">
            <v>45.6</v>
          </cell>
          <cell r="H858">
            <v>52.7</v>
          </cell>
          <cell r="I858" t="str">
            <v>-</v>
          </cell>
          <cell r="J858">
            <v>8327</v>
          </cell>
          <cell r="K858">
            <v>14.9</v>
          </cell>
          <cell r="L858">
            <v>0.01</v>
          </cell>
          <cell r="M858">
            <v>0.72499999999999998</v>
          </cell>
          <cell r="N858">
            <v>2013</v>
          </cell>
          <cell r="O858">
            <v>535</v>
          </cell>
          <cell r="P858">
            <v>4</v>
          </cell>
        </row>
        <row r="859">
          <cell r="B859" t="str">
            <v>Macquarie University</v>
          </cell>
          <cell r="C859" t="str">
            <v>Australia</v>
          </cell>
          <cell r="D859" t="str">
            <v>251-275</v>
          </cell>
          <cell r="E859">
            <v>86.8</v>
          </cell>
          <cell r="F859">
            <v>29.6</v>
          </cell>
          <cell r="G859">
            <v>54.8</v>
          </cell>
          <cell r="H859">
            <v>37.200000000000003</v>
          </cell>
          <cell r="I859" t="str">
            <v>-</v>
          </cell>
          <cell r="J859">
            <v>27930</v>
          </cell>
          <cell r="K859">
            <v>20</v>
          </cell>
          <cell r="L859">
            <v>0.44</v>
          </cell>
          <cell r="M859">
            <v>2.3229166666666665</v>
          </cell>
          <cell r="N859">
            <v>2013</v>
          </cell>
          <cell r="O859">
            <v>486</v>
          </cell>
          <cell r="P859">
            <v>9</v>
          </cell>
        </row>
        <row r="860">
          <cell r="B860" t="str">
            <v>Nanjing University</v>
          </cell>
          <cell r="C860" t="str">
            <v>China</v>
          </cell>
          <cell r="D860" t="str">
            <v>251-275</v>
          </cell>
          <cell r="E860">
            <v>48.4</v>
          </cell>
          <cell r="F860">
            <v>25.3</v>
          </cell>
          <cell r="G860">
            <v>52.1</v>
          </cell>
          <cell r="H860">
            <v>47.7</v>
          </cell>
          <cell r="I860" t="str">
            <v>-</v>
          </cell>
          <cell r="J860">
            <v>29743</v>
          </cell>
          <cell r="K860">
            <v>13.3</v>
          </cell>
          <cell r="L860">
            <v>0.1</v>
          </cell>
          <cell r="M860">
            <v>1.9541666666666666</v>
          </cell>
          <cell r="N860">
            <v>2013</v>
          </cell>
          <cell r="O860">
            <v>217</v>
          </cell>
          <cell r="P860">
            <v>6</v>
          </cell>
        </row>
        <row r="861">
          <cell r="B861" t="str">
            <v>National Chiao Tung University</v>
          </cell>
          <cell r="C861" t="str">
            <v>Taiwan</v>
          </cell>
          <cell r="D861" t="str">
            <v>251-275</v>
          </cell>
          <cell r="E861">
            <v>27.2</v>
          </cell>
          <cell r="F861">
            <v>49.6</v>
          </cell>
          <cell r="G861">
            <v>31.5</v>
          </cell>
          <cell r="H861">
            <v>99</v>
          </cell>
          <cell r="I861" t="str">
            <v>-</v>
          </cell>
          <cell r="J861">
            <v>12646</v>
          </cell>
          <cell r="K861">
            <v>16.600000000000001</v>
          </cell>
          <cell r="L861">
            <v>0.05</v>
          </cell>
          <cell r="M861" t="str">
            <v>27 : 73</v>
          </cell>
          <cell r="N861">
            <v>2013</v>
          </cell>
          <cell r="O861">
            <v>411</v>
          </cell>
          <cell r="P861">
            <v>3</v>
          </cell>
        </row>
        <row r="862">
          <cell r="B862" t="str">
            <v>Norwegian University of Science and Technology</v>
          </cell>
          <cell r="C862" t="str">
            <v>Norway</v>
          </cell>
          <cell r="D862" t="str">
            <v>251-275</v>
          </cell>
          <cell r="E862">
            <v>57.5</v>
          </cell>
          <cell r="F862">
            <v>27.7</v>
          </cell>
          <cell r="G862">
            <v>50.8</v>
          </cell>
          <cell r="H862">
            <v>45.2</v>
          </cell>
          <cell r="I862" t="str">
            <v>-</v>
          </cell>
          <cell r="J862">
            <v>17381</v>
          </cell>
          <cell r="K862">
            <v>13.9</v>
          </cell>
          <cell r="L862">
            <v>0.09</v>
          </cell>
          <cell r="M862">
            <v>1.9541666666666666</v>
          </cell>
          <cell r="N862">
            <v>2013</v>
          </cell>
          <cell r="O862">
            <v>286</v>
          </cell>
          <cell r="P862">
            <v>2</v>
          </cell>
        </row>
        <row r="863">
          <cell r="B863" t="str">
            <v>Queensland University of Technology</v>
          </cell>
          <cell r="C863" t="str">
            <v>Australia</v>
          </cell>
          <cell r="D863" t="str">
            <v>251-275</v>
          </cell>
          <cell r="E863">
            <v>69.2</v>
          </cell>
          <cell r="F863">
            <v>37</v>
          </cell>
          <cell r="G863">
            <v>47</v>
          </cell>
          <cell r="H863">
            <v>58.9</v>
          </cell>
          <cell r="I863" t="str">
            <v>-</v>
          </cell>
          <cell r="J863">
            <v>33391</v>
          </cell>
          <cell r="K863">
            <v>35.799999999999997</v>
          </cell>
          <cell r="L863">
            <v>0.17</v>
          </cell>
          <cell r="M863">
            <v>2.2819444444444446</v>
          </cell>
          <cell r="N863">
            <v>2013</v>
          </cell>
          <cell r="O863">
            <v>605</v>
          </cell>
          <cell r="P863">
            <v>14</v>
          </cell>
        </row>
        <row r="864">
          <cell r="B864" t="str">
            <v>State University of Campinas</v>
          </cell>
          <cell r="C864" t="str">
            <v>Brazil</v>
          </cell>
          <cell r="D864" t="str">
            <v>251-275</v>
          </cell>
          <cell r="E864">
            <v>20.9</v>
          </cell>
          <cell r="F864">
            <v>46.8</v>
          </cell>
          <cell r="G864">
            <v>26.5</v>
          </cell>
          <cell r="H864">
            <v>44.9</v>
          </cell>
          <cell r="I864" t="str">
            <v>-</v>
          </cell>
          <cell r="J864">
            <v>27095</v>
          </cell>
          <cell r="K864">
            <v>15.3</v>
          </cell>
          <cell r="L864">
            <v>0.03</v>
          </cell>
          <cell r="M864">
            <v>2.036111111111111</v>
          </cell>
          <cell r="N864">
            <v>2013</v>
          </cell>
          <cell r="O864" t="e">
            <v>#N/A</v>
          </cell>
          <cell r="P864" t="e">
            <v>#N/A</v>
          </cell>
        </row>
        <row r="865">
          <cell r="B865" t="str">
            <v>Stellenbosch University</v>
          </cell>
          <cell r="C865" t="str">
            <v>South Africa</v>
          </cell>
          <cell r="D865" t="str">
            <v>251-275</v>
          </cell>
          <cell r="E865">
            <v>47.8</v>
          </cell>
          <cell r="F865">
            <v>35</v>
          </cell>
          <cell r="G865">
            <v>48.9</v>
          </cell>
          <cell r="H865">
            <v>96.6</v>
          </cell>
          <cell r="I865" t="str">
            <v>-</v>
          </cell>
          <cell r="J865">
            <v>21849</v>
          </cell>
          <cell r="K865">
            <v>23</v>
          </cell>
          <cell r="L865">
            <v>0.08</v>
          </cell>
          <cell r="M865">
            <v>2.2409722222222221</v>
          </cell>
          <cell r="N865">
            <v>2013</v>
          </cell>
          <cell r="O865">
            <v>311</v>
          </cell>
          <cell r="P865">
            <v>3</v>
          </cell>
        </row>
        <row r="866">
          <cell r="B866" t="str">
            <v>Tokyo Metropolitan University</v>
          </cell>
          <cell r="C866" t="str">
            <v>Japan</v>
          </cell>
          <cell r="D866" t="str">
            <v>251-275</v>
          </cell>
          <cell r="E866">
            <v>19.600000000000001</v>
          </cell>
          <cell r="F866">
            <v>9.8000000000000007</v>
          </cell>
          <cell r="G866">
            <v>97.1</v>
          </cell>
          <cell r="H866">
            <v>31.1</v>
          </cell>
          <cell r="I866" t="str">
            <v>-</v>
          </cell>
          <cell r="J866">
            <v>9303</v>
          </cell>
          <cell r="K866">
            <v>9.9</v>
          </cell>
          <cell r="L866">
            <v>0.04</v>
          </cell>
          <cell r="M866" t="str">
            <v>35 : 65</v>
          </cell>
          <cell r="N866">
            <v>2013</v>
          </cell>
          <cell r="O866">
            <v>502</v>
          </cell>
          <cell r="P866">
            <v>28</v>
          </cell>
        </row>
        <row r="867">
          <cell r="B867" t="str">
            <v>UmeÃ¥ University</v>
          </cell>
          <cell r="C867" t="str">
            <v>Sweden</v>
          </cell>
          <cell r="D867" t="str">
            <v>251-275</v>
          </cell>
          <cell r="E867">
            <v>52.4</v>
          </cell>
          <cell r="F867">
            <v>34.5</v>
          </cell>
          <cell r="G867">
            <v>59.6</v>
          </cell>
          <cell r="H867">
            <v>29.7</v>
          </cell>
          <cell r="I867" t="str">
            <v>-</v>
          </cell>
          <cell r="J867">
            <v>16667</v>
          </cell>
          <cell r="K867">
            <v>11.9</v>
          </cell>
          <cell r="L867">
            <v>7.0000000000000007E-2</v>
          </cell>
          <cell r="M867">
            <v>2.5277777777777777</v>
          </cell>
          <cell r="N867">
            <v>2013</v>
          </cell>
          <cell r="O867">
            <v>289</v>
          </cell>
          <cell r="P867">
            <v>7</v>
          </cell>
        </row>
        <row r="868">
          <cell r="B868" t="str">
            <v>University of Connecticut</v>
          </cell>
          <cell r="C868" t="str">
            <v>United States of America</v>
          </cell>
          <cell r="D868" t="str">
            <v>251-275</v>
          </cell>
          <cell r="E868">
            <v>40.5</v>
          </cell>
          <cell r="F868">
            <v>29.7</v>
          </cell>
          <cell r="G868">
            <v>50</v>
          </cell>
          <cell r="H868">
            <v>32.6</v>
          </cell>
          <cell r="I868" t="str">
            <v>-</v>
          </cell>
          <cell r="J868">
            <v>25742</v>
          </cell>
          <cell r="K868">
            <v>13</v>
          </cell>
          <cell r="L868">
            <v>0.11</v>
          </cell>
          <cell r="M868">
            <v>2.1590277777777778</v>
          </cell>
          <cell r="N868">
            <v>2013</v>
          </cell>
          <cell r="O868">
            <v>233</v>
          </cell>
          <cell r="P868">
            <v>94</v>
          </cell>
        </row>
        <row r="869">
          <cell r="B869" t="str">
            <v>University of Essex</v>
          </cell>
          <cell r="C869" t="str">
            <v>United Kingdom</v>
          </cell>
          <cell r="D869" t="str">
            <v>251-275</v>
          </cell>
          <cell r="E869">
            <v>86.4</v>
          </cell>
          <cell r="F869">
            <v>34.6</v>
          </cell>
          <cell r="G869">
            <v>39.6</v>
          </cell>
          <cell r="H869">
            <v>31</v>
          </cell>
          <cell r="I869" t="str">
            <v>-</v>
          </cell>
          <cell r="J869">
            <v>12695</v>
          </cell>
          <cell r="K869">
            <v>19.8</v>
          </cell>
          <cell r="L869">
            <v>0.39</v>
          </cell>
          <cell r="M869">
            <v>2.3229166666666665</v>
          </cell>
          <cell r="N869">
            <v>2013</v>
          </cell>
          <cell r="O869">
            <v>563</v>
          </cell>
          <cell r="P869">
            <v>44</v>
          </cell>
        </row>
        <row r="870">
          <cell r="B870" t="str">
            <v>University of Iceland</v>
          </cell>
          <cell r="C870" t="str">
            <v>Iceland</v>
          </cell>
          <cell r="D870" t="str">
            <v>251-275</v>
          </cell>
          <cell r="E870">
            <v>59.9</v>
          </cell>
          <cell r="F870">
            <v>28</v>
          </cell>
          <cell r="G870">
            <v>71</v>
          </cell>
          <cell r="H870">
            <v>74.400000000000006</v>
          </cell>
          <cell r="I870" t="str">
            <v>-</v>
          </cell>
          <cell r="J870">
            <v>13960</v>
          </cell>
          <cell r="K870">
            <v>25.9</v>
          </cell>
          <cell r="L870">
            <v>0.08</v>
          </cell>
          <cell r="M870">
            <v>2.7736111111111112</v>
          </cell>
          <cell r="N870">
            <v>2013</v>
          </cell>
          <cell r="O870">
            <v>516</v>
          </cell>
          <cell r="P870">
            <v>1</v>
          </cell>
        </row>
        <row r="871">
          <cell r="B871" t="str">
            <v>University of Kiel</v>
          </cell>
          <cell r="C871" t="str">
            <v>Germany</v>
          </cell>
          <cell r="D871" t="str">
            <v>251-275</v>
          </cell>
          <cell r="E871">
            <v>44.6</v>
          </cell>
          <cell r="F871">
            <v>27</v>
          </cell>
          <cell r="G871">
            <v>62.5</v>
          </cell>
          <cell r="H871">
            <v>35.6</v>
          </cell>
          <cell r="I871" t="str">
            <v>-</v>
          </cell>
          <cell r="J871">
            <v>24444</v>
          </cell>
          <cell r="K871">
            <v>23.8</v>
          </cell>
          <cell r="L871">
            <v>0.08</v>
          </cell>
          <cell r="M871">
            <v>2.2409722222222221</v>
          </cell>
          <cell r="N871">
            <v>2013</v>
          </cell>
          <cell r="O871">
            <v>232</v>
          </cell>
          <cell r="P871">
            <v>17</v>
          </cell>
        </row>
        <row r="872">
          <cell r="B872" t="str">
            <v>University of Milan</v>
          </cell>
          <cell r="C872" t="str">
            <v>Italy</v>
          </cell>
          <cell r="D872" t="str">
            <v>251-275</v>
          </cell>
          <cell r="E872">
            <v>35.700000000000003</v>
          </cell>
          <cell r="F872">
            <v>24.2</v>
          </cell>
          <cell r="G872">
            <v>61</v>
          </cell>
          <cell r="H872">
            <v>38.200000000000003</v>
          </cell>
          <cell r="I872" t="str">
            <v>-</v>
          </cell>
          <cell r="J872">
            <v>58618</v>
          </cell>
          <cell r="K872">
            <v>24.3</v>
          </cell>
          <cell r="L872">
            <v>0.05</v>
          </cell>
          <cell r="M872">
            <v>2.5277777777777777</v>
          </cell>
          <cell r="N872">
            <v>2013</v>
          </cell>
          <cell r="O872">
            <v>181</v>
          </cell>
          <cell r="P872">
            <v>2</v>
          </cell>
        </row>
        <row r="873">
          <cell r="B873" t="str">
            <v>University of Milan-Bicocca</v>
          </cell>
          <cell r="C873" t="str">
            <v>Italy</v>
          </cell>
          <cell r="D873" t="str">
            <v>251-275</v>
          </cell>
          <cell r="E873">
            <v>36.200000000000003</v>
          </cell>
          <cell r="F873">
            <v>21.1</v>
          </cell>
          <cell r="G873">
            <v>76</v>
          </cell>
          <cell r="H873">
            <v>39</v>
          </cell>
          <cell r="I873" t="str">
            <v>-</v>
          </cell>
          <cell r="J873">
            <v>33370</v>
          </cell>
          <cell r="K873">
            <v>72.5</v>
          </cell>
          <cell r="L873">
            <v>0.05</v>
          </cell>
          <cell r="M873">
            <v>2.5277777777777777</v>
          </cell>
          <cell r="N873">
            <v>2013</v>
          </cell>
          <cell r="O873" t="e">
            <v>#N/A</v>
          </cell>
          <cell r="P873" t="e">
            <v>#N/A</v>
          </cell>
        </row>
        <row r="874">
          <cell r="B874" t="str">
            <v>University of MÃ¼nster</v>
          </cell>
          <cell r="C874" t="str">
            <v>Germany</v>
          </cell>
          <cell r="D874" t="str">
            <v>251-275</v>
          </cell>
          <cell r="E874">
            <v>43.2</v>
          </cell>
          <cell r="F874">
            <v>20.399999999999999</v>
          </cell>
          <cell r="G874">
            <v>63.6</v>
          </cell>
          <cell r="H874">
            <v>38.200000000000003</v>
          </cell>
          <cell r="I874" t="str">
            <v>-</v>
          </cell>
          <cell r="J874">
            <v>39838</v>
          </cell>
          <cell r="K874">
            <v>46.1</v>
          </cell>
          <cell r="L874">
            <v>0.08</v>
          </cell>
          <cell r="M874">
            <v>2.2409722222222221</v>
          </cell>
          <cell r="N874">
            <v>2013</v>
          </cell>
          <cell r="O874">
            <v>210</v>
          </cell>
          <cell r="P874">
            <v>13</v>
          </cell>
        </row>
        <row r="875">
          <cell r="B875" t="str">
            <v>University of Oregon</v>
          </cell>
          <cell r="C875" t="str">
            <v>United States of America</v>
          </cell>
          <cell r="D875" t="str">
            <v>251-275</v>
          </cell>
          <cell r="E875">
            <v>30.2</v>
          </cell>
          <cell r="F875">
            <v>21.7</v>
          </cell>
          <cell r="G875">
            <v>70.400000000000006</v>
          </cell>
          <cell r="H875" t="str">
            <v>-</v>
          </cell>
          <cell r="I875" t="str">
            <v>-</v>
          </cell>
          <cell r="J875">
            <v>24418</v>
          </cell>
          <cell r="K875">
            <v>20.2</v>
          </cell>
          <cell r="L875">
            <v>0.11</v>
          </cell>
          <cell r="M875">
            <v>2.2000000000000002</v>
          </cell>
          <cell r="N875">
            <v>2013</v>
          </cell>
          <cell r="O875">
            <v>346</v>
          </cell>
          <cell r="P875">
            <v>126</v>
          </cell>
        </row>
        <row r="876">
          <cell r="B876" t="str">
            <v>University of Trieste</v>
          </cell>
          <cell r="C876" t="str">
            <v>Italy</v>
          </cell>
          <cell r="D876" t="str">
            <v>251-275</v>
          </cell>
          <cell r="E876">
            <v>48.5</v>
          </cell>
          <cell r="F876">
            <v>14.3</v>
          </cell>
          <cell r="G876">
            <v>82.2</v>
          </cell>
          <cell r="H876">
            <v>33.6</v>
          </cell>
          <cell r="I876" t="str">
            <v>-</v>
          </cell>
          <cell r="J876">
            <v>18135</v>
          </cell>
          <cell r="K876">
            <v>25.8</v>
          </cell>
          <cell r="L876">
            <v>0.09</v>
          </cell>
          <cell r="M876">
            <v>2.3638888888888889</v>
          </cell>
          <cell r="N876">
            <v>2013</v>
          </cell>
          <cell r="O876">
            <v>367</v>
          </cell>
          <cell r="P876">
            <v>14</v>
          </cell>
        </row>
        <row r="877">
          <cell r="B877" t="str">
            <v>Victoria University of Wellington</v>
          </cell>
          <cell r="C877" t="str">
            <v>New Zealand</v>
          </cell>
          <cell r="D877" t="str">
            <v>251-275</v>
          </cell>
          <cell r="E877">
            <v>84.8</v>
          </cell>
          <cell r="F877">
            <v>29.1</v>
          </cell>
          <cell r="G877">
            <v>55.6</v>
          </cell>
          <cell r="H877">
            <v>43</v>
          </cell>
          <cell r="I877" t="str">
            <v>-</v>
          </cell>
          <cell r="J877">
            <v>17142</v>
          </cell>
          <cell r="K877">
            <v>21.1</v>
          </cell>
          <cell r="L877">
            <v>0.21</v>
          </cell>
          <cell r="M877">
            <v>2.3229166666666665</v>
          </cell>
          <cell r="N877">
            <v>2013</v>
          </cell>
          <cell r="O877">
            <v>527</v>
          </cell>
          <cell r="P877">
            <v>4</v>
          </cell>
        </row>
        <row r="878">
          <cell r="B878" t="str">
            <v>Vienna University of Technology</v>
          </cell>
          <cell r="C878" t="str">
            <v>Austria</v>
          </cell>
          <cell r="D878" t="str">
            <v>251-275</v>
          </cell>
          <cell r="E878">
            <v>71.400000000000006</v>
          </cell>
          <cell r="F878">
            <v>32.4</v>
          </cell>
          <cell r="G878">
            <v>34.200000000000003</v>
          </cell>
          <cell r="H878">
            <v>65.5</v>
          </cell>
          <cell r="I878" t="str">
            <v>-</v>
          </cell>
          <cell r="J878">
            <v>26419</v>
          </cell>
          <cell r="K878">
            <v>52</v>
          </cell>
          <cell r="L878">
            <v>0.27</v>
          </cell>
          <cell r="M878" t="str">
            <v>27 : 73</v>
          </cell>
          <cell r="N878">
            <v>2013</v>
          </cell>
          <cell r="O878">
            <v>427</v>
          </cell>
          <cell r="P878">
            <v>4</v>
          </cell>
        </row>
        <row r="879">
          <cell r="B879" t="str">
            <v>Aberystwyth University</v>
          </cell>
          <cell r="C879" t="str">
            <v>United Kingdom</v>
          </cell>
          <cell r="D879" t="str">
            <v>276-300</v>
          </cell>
          <cell r="E879">
            <v>63.1</v>
          </cell>
          <cell r="F879">
            <v>21.7</v>
          </cell>
          <cell r="G879">
            <v>64.3</v>
          </cell>
          <cell r="H879">
            <v>34.9</v>
          </cell>
          <cell r="I879" t="str">
            <v>-</v>
          </cell>
          <cell r="J879">
            <v>9252</v>
          </cell>
          <cell r="K879">
            <v>19.2</v>
          </cell>
          <cell r="L879">
            <v>0.18</v>
          </cell>
          <cell r="M879">
            <v>2.036111111111111</v>
          </cell>
          <cell r="N879">
            <v>2013</v>
          </cell>
          <cell r="O879">
            <v>800</v>
          </cell>
          <cell r="P879">
            <v>59</v>
          </cell>
        </row>
        <row r="880">
          <cell r="B880" t="str">
            <v>Bangor University</v>
          </cell>
          <cell r="C880" t="str">
            <v>United Kingdom</v>
          </cell>
          <cell r="D880" t="str">
            <v>276-300</v>
          </cell>
          <cell r="E880">
            <v>70.3</v>
          </cell>
          <cell r="F880">
            <v>25.7</v>
          </cell>
          <cell r="G880">
            <v>53.8</v>
          </cell>
          <cell r="H880">
            <v>31.6</v>
          </cell>
          <cell r="I880" t="str">
            <v>-</v>
          </cell>
          <cell r="J880">
            <v>9567</v>
          </cell>
          <cell r="K880">
            <v>19.5</v>
          </cell>
          <cell r="L880">
            <v>0.22</v>
          </cell>
          <cell r="M880">
            <v>2.3229166666666665</v>
          </cell>
          <cell r="N880">
            <v>2013</v>
          </cell>
          <cell r="O880">
            <v>552</v>
          </cell>
          <cell r="P880">
            <v>43</v>
          </cell>
        </row>
        <row r="881">
          <cell r="B881" t="str">
            <v>Bayreuth University</v>
          </cell>
          <cell r="C881" t="str">
            <v>Germany</v>
          </cell>
          <cell r="D881" t="str">
            <v>276-300</v>
          </cell>
          <cell r="E881">
            <v>50.4</v>
          </cell>
          <cell r="F881">
            <v>14.9</v>
          </cell>
          <cell r="G881">
            <v>72.099999999999994</v>
          </cell>
          <cell r="H881">
            <v>35.4</v>
          </cell>
          <cell r="I881" t="str">
            <v>-</v>
          </cell>
          <cell r="J881">
            <v>12520</v>
          </cell>
          <cell r="K881">
            <v>35.5</v>
          </cell>
          <cell r="L881">
            <v>0.08</v>
          </cell>
          <cell r="M881">
            <v>1.9541666666666666</v>
          </cell>
          <cell r="N881">
            <v>2013</v>
          </cell>
          <cell r="O881" t="e">
            <v>#N/A</v>
          </cell>
          <cell r="P881" t="e">
            <v>#N/A</v>
          </cell>
        </row>
        <row r="882">
          <cell r="B882" t="str">
            <v>Bielefeld University</v>
          </cell>
          <cell r="C882" t="str">
            <v>Germany</v>
          </cell>
          <cell r="D882" t="str">
            <v>276-300</v>
          </cell>
          <cell r="E882">
            <v>47.5</v>
          </cell>
          <cell r="F882">
            <v>20.3</v>
          </cell>
          <cell r="G882">
            <v>63.5</v>
          </cell>
          <cell r="H882">
            <v>35.1</v>
          </cell>
          <cell r="I882" t="str">
            <v>-</v>
          </cell>
          <cell r="J882">
            <v>21428</v>
          </cell>
          <cell r="K882">
            <v>67.8</v>
          </cell>
          <cell r="L882">
            <v>0.08</v>
          </cell>
          <cell r="M882">
            <v>2.4048611111111109</v>
          </cell>
          <cell r="N882">
            <v>2013</v>
          </cell>
          <cell r="O882">
            <v>491</v>
          </cell>
          <cell r="P882">
            <v>38</v>
          </cell>
        </row>
        <row r="883">
          <cell r="B883" t="str">
            <v>BoÄŸaziÃ§i University</v>
          </cell>
          <cell r="C883" t="str">
            <v>Turkey</v>
          </cell>
          <cell r="D883" t="str">
            <v>276-300</v>
          </cell>
          <cell r="E883">
            <v>36.700000000000003</v>
          </cell>
          <cell r="F883">
            <v>33.9</v>
          </cell>
          <cell r="G883">
            <v>48.1</v>
          </cell>
          <cell r="H883">
            <v>38.4</v>
          </cell>
          <cell r="I883" t="str">
            <v>-</v>
          </cell>
          <cell r="J883">
            <v>11506</v>
          </cell>
          <cell r="K883">
            <v>25</v>
          </cell>
          <cell r="L883">
            <v>7.0000000000000007E-2</v>
          </cell>
          <cell r="M883">
            <v>2.1180555555555554</v>
          </cell>
          <cell r="N883">
            <v>2013</v>
          </cell>
          <cell r="O883">
            <v>903</v>
          </cell>
          <cell r="P883">
            <v>9</v>
          </cell>
        </row>
        <row r="884">
          <cell r="B884" t="str">
            <v>Colorado State University</v>
          </cell>
          <cell r="C884" t="str">
            <v>United States of America</v>
          </cell>
          <cell r="D884" t="str">
            <v>276-300</v>
          </cell>
          <cell r="E884">
            <v>29.8</v>
          </cell>
          <cell r="F884">
            <v>32</v>
          </cell>
          <cell r="G884">
            <v>55.8</v>
          </cell>
          <cell r="H884" t="str">
            <v>-</v>
          </cell>
          <cell r="I884" t="str">
            <v>-</v>
          </cell>
          <cell r="J884">
            <v>26769</v>
          </cell>
          <cell r="K884">
            <v>19</v>
          </cell>
          <cell r="L884">
            <v>0.05</v>
          </cell>
          <cell r="M884">
            <v>2.2000000000000002</v>
          </cell>
          <cell r="N884">
            <v>2013</v>
          </cell>
          <cell r="O884" t="e">
            <v>#N/A</v>
          </cell>
          <cell r="P884" t="e">
            <v>#N/A</v>
          </cell>
        </row>
        <row r="885">
          <cell r="B885" t="str">
            <v>Drexel University</v>
          </cell>
          <cell r="C885" t="str">
            <v>United States of America</v>
          </cell>
          <cell r="D885" t="str">
            <v>276-300</v>
          </cell>
          <cell r="E885">
            <v>36.6</v>
          </cell>
          <cell r="F885">
            <v>14.9</v>
          </cell>
          <cell r="G885">
            <v>65.099999999999994</v>
          </cell>
          <cell r="H885">
            <v>34.700000000000003</v>
          </cell>
          <cell r="I885" t="str">
            <v>-</v>
          </cell>
          <cell r="J885">
            <v>20713</v>
          </cell>
          <cell r="K885">
            <v>10.8</v>
          </cell>
          <cell r="L885">
            <v>0.18</v>
          </cell>
          <cell r="M885">
            <v>2.036111111111111</v>
          </cell>
          <cell r="N885">
            <v>2013</v>
          </cell>
          <cell r="O885">
            <v>261</v>
          </cell>
          <cell r="P885">
            <v>107</v>
          </cell>
        </row>
        <row r="886">
          <cell r="B886" t="str">
            <v>Istanbul Technical University</v>
          </cell>
          <cell r="C886" t="str">
            <v>Turkey</v>
          </cell>
          <cell r="D886" t="str">
            <v>276-300</v>
          </cell>
          <cell r="E886">
            <v>20.8</v>
          </cell>
          <cell r="F886">
            <v>25.5</v>
          </cell>
          <cell r="G886">
            <v>52.9</v>
          </cell>
          <cell r="H886">
            <v>98</v>
          </cell>
          <cell r="I886" t="str">
            <v>-</v>
          </cell>
          <cell r="J886">
            <v>34550</v>
          </cell>
          <cell r="K886">
            <v>16</v>
          </cell>
          <cell r="L886">
            <v>0.05</v>
          </cell>
          <cell r="M886" t="str">
            <v>34 : 66</v>
          </cell>
          <cell r="N886">
            <v>2013</v>
          </cell>
          <cell r="O886">
            <v>773</v>
          </cell>
          <cell r="P886">
            <v>4</v>
          </cell>
        </row>
        <row r="887">
          <cell r="B887" t="str">
            <v>Montpellier University</v>
          </cell>
          <cell r="C887" t="str">
            <v>France</v>
          </cell>
          <cell r="D887" t="str">
            <v>276-300</v>
          </cell>
          <cell r="E887">
            <v>54.2</v>
          </cell>
          <cell r="F887">
            <v>25.8</v>
          </cell>
          <cell r="G887">
            <v>64.400000000000006</v>
          </cell>
          <cell r="H887">
            <v>32.799999999999997</v>
          </cell>
          <cell r="I887" t="str">
            <v>-</v>
          </cell>
          <cell r="J887">
            <v>36731</v>
          </cell>
          <cell r="K887">
            <v>18.399999999999999</v>
          </cell>
          <cell r="L887">
            <v>0.14000000000000001</v>
          </cell>
          <cell r="M887">
            <v>2.1590277777777778</v>
          </cell>
          <cell r="N887">
            <v>2013</v>
          </cell>
          <cell r="O887" t="e">
            <v>#N/A</v>
          </cell>
          <cell r="P887" t="e">
            <v>#N/A</v>
          </cell>
        </row>
        <row r="888">
          <cell r="B888" t="str">
            <v>Oregon State University</v>
          </cell>
          <cell r="C888" t="str">
            <v>United States of America</v>
          </cell>
          <cell r="D888" t="str">
            <v>276-300</v>
          </cell>
          <cell r="E888">
            <v>34.200000000000003</v>
          </cell>
          <cell r="F888">
            <v>24.2</v>
          </cell>
          <cell r="G888">
            <v>64.099999999999994</v>
          </cell>
          <cell r="H888">
            <v>31</v>
          </cell>
          <cell r="I888" t="str">
            <v>-</v>
          </cell>
          <cell r="J888">
            <v>22578</v>
          </cell>
          <cell r="K888">
            <v>16.8</v>
          </cell>
          <cell r="L888">
            <v>0.09</v>
          </cell>
          <cell r="M888">
            <v>1.9951388888888888</v>
          </cell>
          <cell r="N888">
            <v>2013</v>
          </cell>
          <cell r="O888">
            <v>265</v>
          </cell>
          <cell r="P888">
            <v>109</v>
          </cell>
        </row>
        <row r="889">
          <cell r="B889" t="str">
            <v>Queenâ€™s University Belfast</v>
          </cell>
          <cell r="C889" t="str">
            <v>United Kingdom</v>
          </cell>
          <cell r="D889" t="str">
            <v>276-300</v>
          </cell>
          <cell r="E889">
            <v>87.1</v>
          </cell>
          <cell r="F889">
            <v>23.8</v>
          </cell>
          <cell r="G889">
            <v>52.2</v>
          </cell>
          <cell r="H889">
            <v>48.1</v>
          </cell>
          <cell r="I889" t="str">
            <v>-</v>
          </cell>
          <cell r="J889">
            <v>17940</v>
          </cell>
          <cell r="K889">
            <v>17.899999999999999</v>
          </cell>
          <cell r="L889">
            <v>0.3</v>
          </cell>
          <cell r="M889">
            <v>2.2819444444444446</v>
          </cell>
          <cell r="N889">
            <v>2013</v>
          </cell>
          <cell r="O889" t="e">
            <v>#N/A</v>
          </cell>
          <cell r="P889" t="e">
            <v>#N/A</v>
          </cell>
        </row>
        <row r="890">
          <cell r="B890" t="str">
            <v>Ruhr University Bochum</v>
          </cell>
          <cell r="C890" t="str">
            <v>Germany</v>
          </cell>
          <cell r="D890" t="str">
            <v>276-300</v>
          </cell>
          <cell r="E890">
            <v>48.3</v>
          </cell>
          <cell r="F890">
            <v>32.9</v>
          </cell>
          <cell r="G890">
            <v>42.4</v>
          </cell>
          <cell r="H890">
            <v>54.3</v>
          </cell>
          <cell r="I890" t="str">
            <v>-</v>
          </cell>
          <cell r="J890">
            <v>38675</v>
          </cell>
          <cell r="K890">
            <v>46.3</v>
          </cell>
          <cell r="L890">
            <v>0.13</v>
          </cell>
          <cell r="M890">
            <v>2.036111111111111</v>
          </cell>
          <cell r="N890">
            <v>2013</v>
          </cell>
          <cell r="O890">
            <v>304</v>
          </cell>
          <cell r="P890">
            <v>28</v>
          </cell>
        </row>
        <row r="891">
          <cell r="B891" t="str">
            <v>Shanghai Jiao Tong University</v>
          </cell>
          <cell r="C891" t="str">
            <v>China</v>
          </cell>
          <cell r="D891" t="str">
            <v>276-300</v>
          </cell>
          <cell r="E891">
            <v>20.7</v>
          </cell>
          <cell r="F891">
            <v>37.9</v>
          </cell>
          <cell r="G891">
            <v>31.3</v>
          </cell>
          <cell r="H891">
            <v>76.099999999999994</v>
          </cell>
          <cell r="I891" t="str">
            <v>-</v>
          </cell>
          <cell r="J891">
            <v>38191</v>
          </cell>
          <cell r="K891">
            <v>12.8</v>
          </cell>
          <cell r="L891">
            <v>0.06</v>
          </cell>
          <cell r="M891" t="str">
            <v>37 : 63</v>
          </cell>
          <cell r="N891">
            <v>2013</v>
          </cell>
          <cell r="O891">
            <v>195</v>
          </cell>
          <cell r="P891">
            <v>4</v>
          </cell>
        </row>
        <row r="892">
          <cell r="B892" t="str">
            <v>Swedish University of Agricultural Sciences</v>
          </cell>
          <cell r="C892" t="str">
            <v>Sweden</v>
          </cell>
          <cell r="D892" t="str">
            <v>276-300</v>
          </cell>
          <cell r="E892">
            <v>46.8</v>
          </cell>
          <cell r="F892">
            <v>25.3</v>
          </cell>
          <cell r="G892">
            <v>54.6</v>
          </cell>
          <cell r="H892">
            <v>99.8</v>
          </cell>
          <cell r="I892" t="str">
            <v>-</v>
          </cell>
          <cell r="J892">
            <v>3879</v>
          </cell>
          <cell r="K892">
            <v>4.5999999999999996</v>
          </cell>
          <cell r="M892">
            <v>2.8145833333333332</v>
          </cell>
          <cell r="N892">
            <v>2013</v>
          </cell>
          <cell r="O892">
            <v>433</v>
          </cell>
          <cell r="P892">
            <v>10</v>
          </cell>
        </row>
        <row r="893">
          <cell r="B893" t="str">
            <v>Tokyo Medical and Dental University (TMDU)</v>
          </cell>
          <cell r="C893" t="str">
            <v>Japan</v>
          </cell>
          <cell r="D893" t="str">
            <v>276-300</v>
          </cell>
          <cell r="E893">
            <v>21.9</v>
          </cell>
          <cell r="F893">
            <v>21.6</v>
          </cell>
          <cell r="G893">
            <v>47.1</v>
          </cell>
          <cell r="H893">
            <v>45.4</v>
          </cell>
          <cell r="I893" t="str">
            <v>-</v>
          </cell>
          <cell r="J893">
            <v>2872</v>
          </cell>
          <cell r="K893">
            <v>3.3</v>
          </cell>
          <cell r="L893">
            <v>7.0000000000000007E-2</v>
          </cell>
          <cell r="M893">
            <v>2.1590277777777778</v>
          </cell>
          <cell r="N893">
            <v>2013</v>
          </cell>
          <cell r="O893" t="e">
            <v>#N/A</v>
          </cell>
          <cell r="P893" t="e">
            <v>#N/A</v>
          </cell>
        </row>
        <row r="894">
          <cell r="B894" t="str">
            <v>TU Dresden</v>
          </cell>
          <cell r="C894" t="str">
            <v>Germany</v>
          </cell>
          <cell r="D894" t="str">
            <v>276-300</v>
          </cell>
          <cell r="E894">
            <v>48.9</v>
          </cell>
          <cell r="F894">
            <v>15.6</v>
          </cell>
          <cell r="G894">
            <v>63.9</v>
          </cell>
          <cell r="H894">
            <v>36.1</v>
          </cell>
          <cell r="I894" t="str">
            <v>-</v>
          </cell>
          <cell r="J894">
            <v>35487</v>
          </cell>
          <cell r="K894">
            <v>37.4</v>
          </cell>
          <cell r="L894">
            <v>0.12</v>
          </cell>
          <cell r="M894">
            <v>1.7902777777777779</v>
          </cell>
          <cell r="N894">
            <v>2013</v>
          </cell>
          <cell r="O894" t="e">
            <v>#N/A</v>
          </cell>
          <cell r="P894" t="e">
            <v>#N/A</v>
          </cell>
        </row>
        <row r="895">
          <cell r="B895" t="str">
            <v>University of Bath</v>
          </cell>
          <cell r="C895" t="str">
            <v>United Kingdom</v>
          </cell>
          <cell r="D895" t="str">
            <v>276-300</v>
          </cell>
          <cell r="E895">
            <v>75.900000000000006</v>
          </cell>
          <cell r="F895">
            <v>28.8</v>
          </cell>
          <cell r="G895">
            <v>50.2</v>
          </cell>
          <cell r="H895">
            <v>42.8</v>
          </cell>
          <cell r="I895" t="str">
            <v>-</v>
          </cell>
          <cell r="J895">
            <v>12830</v>
          </cell>
          <cell r="K895">
            <v>18.8</v>
          </cell>
          <cell r="L895">
            <v>0.3</v>
          </cell>
          <cell r="M895">
            <v>1.9541666666666666</v>
          </cell>
          <cell r="N895">
            <v>2013</v>
          </cell>
          <cell r="O895">
            <v>421</v>
          </cell>
          <cell r="P895">
            <v>37</v>
          </cell>
        </row>
        <row r="896">
          <cell r="B896" t="str">
            <v>University of Bologna</v>
          </cell>
          <cell r="C896" t="str">
            <v>Italy</v>
          </cell>
          <cell r="D896" t="str">
            <v>276-300</v>
          </cell>
          <cell r="E896">
            <v>37.6</v>
          </cell>
          <cell r="F896">
            <v>27.4</v>
          </cell>
          <cell r="G896">
            <v>53.9</v>
          </cell>
          <cell r="H896">
            <v>35.1</v>
          </cell>
          <cell r="I896" t="str">
            <v>-</v>
          </cell>
          <cell r="J896">
            <v>85532</v>
          </cell>
          <cell r="K896">
            <v>22.9</v>
          </cell>
          <cell r="L896">
            <v>7.0000000000000007E-2</v>
          </cell>
          <cell r="M896">
            <v>2.3638888888888889</v>
          </cell>
          <cell r="N896">
            <v>2013</v>
          </cell>
          <cell r="O896">
            <v>219</v>
          </cell>
          <cell r="P896">
            <v>4</v>
          </cell>
        </row>
        <row r="897">
          <cell r="B897" t="str">
            <v>University of Kansas</v>
          </cell>
          <cell r="C897" t="str">
            <v>United States of America</v>
          </cell>
          <cell r="D897" t="str">
            <v>276-300</v>
          </cell>
          <cell r="E897">
            <v>28.1</v>
          </cell>
          <cell r="F897">
            <v>20.5</v>
          </cell>
          <cell r="G897">
            <v>57.2</v>
          </cell>
          <cell r="H897">
            <v>34.5</v>
          </cell>
          <cell r="I897" t="str">
            <v>-</v>
          </cell>
          <cell r="N897">
            <v>2013</v>
          </cell>
          <cell r="O897">
            <v>203</v>
          </cell>
          <cell r="P897">
            <v>86</v>
          </cell>
        </row>
        <row r="898">
          <cell r="B898" t="str">
            <v>University of Montana</v>
          </cell>
          <cell r="C898" t="str">
            <v>United States of America</v>
          </cell>
          <cell r="D898" t="str">
            <v>276-300</v>
          </cell>
          <cell r="E898">
            <v>24.9</v>
          </cell>
          <cell r="F898">
            <v>14.9</v>
          </cell>
          <cell r="G898">
            <v>72.099999999999994</v>
          </cell>
          <cell r="H898">
            <v>34.1</v>
          </cell>
          <cell r="I898" t="str">
            <v>-</v>
          </cell>
          <cell r="J898">
            <v>12470</v>
          </cell>
          <cell r="K898">
            <v>15.2</v>
          </cell>
          <cell r="L898">
            <v>0.03</v>
          </cell>
          <cell r="M898">
            <v>2.2819444444444446</v>
          </cell>
          <cell r="N898">
            <v>2013</v>
          </cell>
          <cell r="O898" t="e">
            <v>#N/A</v>
          </cell>
          <cell r="P898" t="e">
            <v>#N/A</v>
          </cell>
        </row>
        <row r="899">
          <cell r="B899" t="str">
            <v>University of Newcastle</v>
          </cell>
          <cell r="C899" t="str">
            <v>Australia</v>
          </cell>
          <cell r="D899" t="str">
            <v>276-300</v>
          </cell>
          <cell r="E899">
            <v>70.5</v>
          </cell>
          <cell r="F899">
            <v>29</v>
          </cell>
          <cell r="G899">
            <v>49.8</v>
          </cell>
          <cell r="H899">
            <v>72.900000000000006</v>
          </cell>
          <cell r="I899" t="str">
            <v>-</v>
          </cell>
          <cell r="J899">
            <v>23508</v>
          </cell>
          <cell r="K899">
            <v>21.9</v>
          </cell>
          <cell r="L899">
            <v>0.18</v>
          </cell>
          <cell r="M899">
            <v>2.3638888888888889</v>
          </cell>
          <cell r="N899">
            <v>2013</v>
          </cell>
          <cell r="O899">
            <v>546</v>
          </cell>
          <cell r="P899">
            <v>12</v>
          </cell>
        </row>
        <row r="900">
          <cell r="B900" t="str">
            <v>University of South Carolina</v>
          </cell>
          <cell r="C900" t="str">
            <v>United States of America</v>
          </cell>
          <cell r="D900" t="str">
            <v>276-300</v>
          </cell>
          <cell r="E900">
            <v>31.3</v>
          </cell>
          <cell r="F900">
            <v>28</v>
          </cell>
          <cell r="G900">
            <v>53.2</v>
          </cell>
          <cell r="H900">
            <v>30.8</v>
          </cell>
          <cell r="I900" t="str">
            <v>-</v>
          </cell>
          <cell r="J900">
            <v>29336</v>
          </cell>
          <cell r="K900">
            <v>16.3</v>
          </cell>
          <cell r="L900">
            <v>0.01</v>
          </cell>
          <cell r="M900">
            <v>2.3229166666666665</v>
          </cell>
          <cell r="N900">
            <v>2013</v>
          </cell>
          <cell r="O900" t="e">
            <v>#N/A</v>
          </cell>
          <cell r="P900" t="e">
            <v>#N/A</v>
          </cell>
        </row>
        <row r="901">
          <cell r="B901" t="str">
            <v>University of Southern Denmark</v>
          </cell>
          <cell r="C901" t="str">
            <v>Denmark</v>
          </cell>
          <cell r="D901" t="str">
            <v>276-300</v>
          </cell>
          <cell r="E901">
            <v>67.3</v>
          </cell>
          <cell r="F901">
            <v>19.600000000000001</v>
          </cell>
          <cell r="G901">
            <v>67.3</v>
          </cell>
          <cell r="H901">
            <v>75.5</v>
          </cell>
          <cell r="I901" t="str">
            <v>-</v>
          </cell>
          <cell r="J901">
            <v>22210</v>
          </cell>
          <cell r="K901">
            <v>12.7</v>
          </cell>
          <cell r="L901">
            <v>0.16</v>
          </cell>
          <cell r="M901">
            <v>2.2000000000000002</v>
          </cell>
          <cell r="N901">
            <v>2013</v>
          </cell>
          <cell r="O901">
            <v>352</v>
          </cell>
          <cell r="P901">
            <v>4</v>
          </cell>
        </row>
        <row r="902">
          <cell r="B902" t="str">
            <v>University of Trento</v>
          </cell>
          <cell r="C902" t="str">
            <v>Italy</v>
          </cell>
          <cell r="D902" t="str">
            <v>276-300</v>
          </cell>
          <cell r="E902">
            <v>51.2</v>
          </cell>
          <cell r="F902">
            <v>21.9</v>
          </cell>
          <cell r="G902">
            <v>62.1</v>
          </cell>
          <cell r="H902">
            <v>45.3</v>
          </cell>
          <cell r="I902" t="str">
            <v>-</v>
          </cell>
          <cell r="J902">
            <v>16841</v>
          </cell>
          <cell r="K902">
            <v>43.2</v>
          </cell>
          <cell r="L902">
            <v>0.08</v>
          </cell>
          <cell r="M902">
            <v>2.1590277777777778</v>
          </cell>
          <cell r="N902">
            <v>2013</v>
          </cell>
          <cell r="O902">
            <v>597</v>
          </cell>
          <cell r="P902">
            <v>33</v>
          </cell>
        </row>
        <row r="903">
          <cell r="B903" t="str">
            <v>University of Turin</v>
          </cell>
          <cell r="C903" t="str">
            <v>Italy</v>
          </cell>
          <cell r="D903" t="str">
            <v>276-300</v>
          </cell>
          <cell r="E903">
            <v>36.299999999999997</v>
          </cell>
          <cell r="F903">
            <v>23.4</v>
          </cell>
          <cell r="G903">
            <v>66.2</v>
          </cell>
          <cell r="H903">
            <v>40.4</v>
          </cell>
          <cell r="I903" t="str">
            <v>-</v>
          </cell>
          <cell r="J903">
            <v>67552</v>
          </cell>
          <cell r="K903">
            <v>66</v>
          </cell>
          <cell r="L903">
            <v>0.06</v>
          </cell>
          <cell r="M903">
            <v>2.6097222222222221</v>
          </cell>
          <cell r="N903">
            <v>2013</v>
          </cell>
          <cell r="O903">
            <v>231</v>
          </cell>
          <cell r="P903">
            <v>5</v>
          </cell>
        </row>
        <row r="904">
          <cell r="B904" t="str">
            <v>Virginia Polytechnic Institute and State University</v>
          </cell>
          <cell r="C904" t="str">
            <v>United States of America</v>
          </cell>
          <cell r="D904" t="str">
            <v>276-300</v>
          </cell>
          <cell r="E904">
            <v>27.8</v>
          </cell>
          <cell r="F904">
            <v>44.4</v>
          </cell>
          <cell r="G904">
            <v>37.200000000000003</v>
          </cell>
          <cell r="H904">
            <v>27.9</v>
          </cell>
          <cell r="I904" t="str">
            <v>-</v>
          </cell>
          <cell r="J904">
            <v>30850</v>
          </cell>
          <cell r="K904">
            <v>18.600000000000001</v>
          </cell>
          <cell r="L904">
            <v>0.1</v>
          </cell>
          <cell r="M904">
            <v>1.7902777777777779</v>
          </cell>
          <cell r="N904">
            <v>2013</v>
          </cell>
          <cell r="O904">
            <v>271</v>
          </cell>
          <cell r="P904">
            <v>111</v>
          </cell>
        </row>
        <row r="905">
          <cell r="B905" t="str">
            <v>Autonomous University of Madrid</v>
          </cell>
          <cell r="C905" t="str">
            <v>Spain</v>
          </cell>
          <cell r="D905" t="str">
            <v>301-350</v>
          </cell>
          <cell r="E905">
            <v>45.7</v>
          </cell>
          <cell r="F905">
            <v>24</v>
          </cell>
          <cell r="G905">
            <v>51.9</v>
          </cell>
          <cell r="H905">
            <v>34.700000000000003</v>
          </cell>
          <cell r="I905" t="str">
            <v>-</v>
          </cell>
          <cell r="J905">
            <v>28296</v>
          </cell>
          <cell r="K905">
            <v>13</v>
          </cell>
          <cell r="L905">
            <v>0.15</v>
          </cell>
          <cell r="M905">
            <v>2.3638888888888889</v>
          </cell>
          <cell r="N905">
            <v>2013</v>
          </cell>
          <cell r="O905">
            <v>309</v>
          </cell>
          <cell r="P905">
            <v>5</v>
          </cell>
        </row>
        <row r="906">
          <cell r="B906" t="str">
            <v>Brunel University London</v>
          </cell>
          <cell r="C906" t="str">
            <v>United Kingdom</v>
          </cell>
          <cell r="D906" t="str">
            <v>301-350</v>
          </cell>
          <cell r="E906">
            <v>89.4</v>
          </cell>
          <cell r="F906">
            <v>20.100000000000001</v>
          </cell>
          <cell r="G906">
            <v>58.2</v>
          </cell>
          <cell r="H906">
            <v>33.4</v>
          </cell>
          <cell r="I906" t="str">
            <v>-</v>
          </cell>
          <cell r="J906">
            <v>12613</v>
          </cell>
          <cell r="K906">
            <v>17.600000000000001</v>
          </cell>
          <cell r="L906">
            <v>0.38</v>
          </cell>
          <cell r="M906">
            <v>1.9541666666666666</v>
          </cell>
          <cell r="N906">
            <v>2013</v>
          </cell>
          <cell r="O906" t="e">
            <v>#N/A</v>
          </cell>
          <cell r="P906" t="e">
            <v>#N/A</v>
          </cell>
        </row>
        <row r="907">
          <cell r="B907" t="str">
            <v>Charles University in Prague</v>
          </cell>
          <cell r="C907" t="str">
            <v>Czech Republic</v>
          </cell>
          <cell r="D907" t="str">
            <v>301-350</v>
          </cell>
          <cell r="E907">
            <v>50.3</v>
          </cell>
          <cell r="F907">
            <v>26.2</v>
          </cell>
          <cell r="G907">
            <v>42</v>
          </cell>
          <cell r="H907">
            <v>28.1</v>
          </cell>
          <cell r="I907" t="str">
            <v>-</v>
          </cell>
          <cell r="J907">
            <v>51438</v>
          </cell>
          <cell r="K907">
            <v>13</v>
          </cell>
          <cell r="L907">
            <v>0.15</v>
          </cell>
          <cell r="M907">
            <v>2.6097222222222221</v>
          </cell>
          <cell r="N907">
            <v>2013</v>
          </cell>
          <cell r="O907">
            <v>313</v>
          </cell>
          <cell r="P907">
            <v>1</v>
          </cell>
        </row>
        <row r="908">
          <cell r="B908" t="str">
            <v>Claude Bernard University Lyon 1</v>
          </cell>
          <cell r="C908" t="str">
            <v>France</v>
          </cell>
          <cell r="D908" t="str">
            <v>301-350</v>
          </cell>
          <cell r="E908">
            <v>50</v>
          </cell>
          <cell r="F908">
            <v>17.100000000000001</v>
          </cell>
          <cell r="G908">
            <v>62.6</v>
          </cell>
          <cell r="H908" t="str">
            <v>-</v>
          </cell>
          <cell r="I908" t="str">
            <v>-</v>
          </cell>
          <cell r="J908">
            <v>35308</v>
          </cell>
          <cell r="K908">
            <v>16.100000000000001</v>
          </cell>
          <cell r="L908">
            <v>0.11</v>
          </cell>
          <cell r="M908">
            <v>2.1180555555555554</v>
          </cell>
          <cell r="N908">
            <v>2013</v>
          </cell>
          <cell r="O908">
            <v>230</v>
          </cell>
          <cell r="P908">
            <v>10</v>
          </cell>
        </row>
        <row r="909">
          <cell r="B909" t="str">
            <v>Creighton University</v>
          </cell>
          <cell r="C909" t="str">
            <v>United States of America</v>
          </cell>
          <cell r="D909" t="str">
            <v>301-350</v>
          </cell>
          <cell r="E909">
            <v>26</v>
          </cell>
          <cell r="F909">
            <v>9.3000000000000007</v>
          </cell>
          <cell r="G909">
            <v>61</v>
          </cell>
          <cell r="H909" t="str">
            <v>-</v>
          </cell>
          <cell r="I909" t="str">
            <v>-</v>
          </cell>
          <cell r="J909">
            <v>7086</v>
          </cell>
          <cell r="K909">
            <v>8.3000000000000007</v>
          </cell>
          <cell r="L909">
            <v>0.02</v>
          </cell>
          <cell r="M909">
            <v>2.4048611111111109</v>
          </cell>
          <cell r="N909">
            <v>2013</v>
          </cell>
          <cell r="O909">
            <v>490</v>
          </cell>
          <cell r="P909">
            <v>160</v>
          </cell>
        </row>
        <row r="910">
          <cell r="B910" t="str">
            <v>Hokkaido University</v>
          </cell>
          <cell r="C910" t="str">
            <v>Japan</v>
          </cell>
          <cell r="D910" t="str">
            <v>301-350</v>
          </cell>
          <cell r="E910">
            <v>24.9</v>
          </cell>
          <cell r="F910">
            <v>34.200000000000003</v>
          </cell>
          <cell r="G910">
            <v>32.299999999999997</v>
          </cell>
          <cell r="H910">
            <v>41.3</v>
          </cell>
          <cell r="I910" t="str">
            <v>-</v>
          </cell>
          <cell r="J910">
            <v>18162</v>
          </cell>
          <cell r="K910">
            <v>8.1999999999999993</v>
          </cell>
          <cell r="L910">
            <v>0.09</v>
          </cell>
          <cell r="M910" t="str">
            <v>29 : 71</v>
          </cell>
          <cell r="N910">
            <v>2013</v>
          </cell>
          <cell r="O910">
            <v>188</v>
          </cell>
          <cell r="P910">
            <v>12</v>
          </cell>
        </row>
        <row r="911">
          <cell r="B911" t="str">
            <v>Hong Kong Baptist University</v>
          </cell>
          <cell r="C911" t="str">
            <v>Hong Kong</v>
          </cell>
          <cell r="D911" t="str">
            <v>301-350</v>
          </cell>
          <cell r="E911">
            <v>62</v>
          </cell>
          <cell r="F911">
            <v>15.1</v>
          </cell>
          <cell r="G911">
            <v>57.6</v>
          </cell>
          <cell r="H911">
            <v>29.6</v>
          </cell>
          <cell r="I911" t="str">
            <v>-</v>
          </cell>
          <cell r="J911">
            <v>10441</v>
          </cell>
          <cell r="K911">
            <v>11</v>
          </cell>
          <cell r="L911">
            <v>0.25</v>
          </cell>
          <cell r="M911">
            <v>2.5687500000000001</v>
          </cell>
          <cell r="N911">
            <v>2013</v>
          </cell>
          <cell r="O911">
            <v>678</v>
          </cell>
          <cell r="P911">
            <v>6</v>
          </cell>
        </row>
        <row r="912">
          <cell r="B912" t="str">
            <v>Johannes Kepler University of Linz</v>
          </cell>
          <cell r="C912" t="str">
            <v>Austria</v>
          </cell>
          <cell r="D912" t="str">
            <v>301-350</v>
          </cell>
          <cell r="E912">
            <v>59</v>
          </cell>
          <cell r="F912">
            <v>13.8</v>
          </cell>
          <cell r="G912">
            <v>59.3</v>
          </cell>
          <cell r="H912" t="str">
            <v>-</v>
          </cell>
          <cell r="I912" t="str">
            <v>-</v>
          </cell>
          <cell r="J912">
            <v>19646</v>
          </cell>
          <cell r="K912">
            <v>29.1</v>
          </cell>
          <cell r="L912">
            <v>0.1</v>
          </cell>
          <cell r="M912">
            <v>2.036111111111111</v>
          </cell>
          <cell r="N912">
            <v>2013</v>
          </cell>
          <cell r="O912">
            <v>687</v>
          </cell>
          <cell r="P912">
            <v>8</v>
          </cell>
        </row>
        <row r="913">
          <cell r="B913" t="str">
            <v>King Abdulaziz University</v>
          </cell>
          <cell r="C913" t="str">
            <v>Saudi Arabia</v>
          </cell>
          <cell r="D913" t="str">
            <v>301-350</v>
          </cell>
          <cell r="E913">
            <v>71</v>
          </cell>
          <cell r="F913">
            <v>10.3</v>
          </cell>
          <cell r="G913">
            <v>63.4</v>
          </cell>
          <cell r="H913">
            <v>40.200000000000003</v>
          </cell>
          <cell r="I913" t="str">
            <v>-</v>
          </cell>
          <cell r="J913">
            <v>35889</v>
          </cell>
          <cell r="K913">
            <v>8.4</v>
          </cell>
          <cell r="L913">
            <v>0.21</v>
          </cell>
          <cell r="M913">
            <v>2.4048611111111109</v>
          </cell>
          <cell r="N913">
            <v>2013</v>
          </cell>
          <cell r="O913">
            <v>992</v>
          </cell>
          <cell r="P913">
            <v>4</v>
          </cell>
        </row>
        <row r="914">
          <cell r="B914" t="str">
            <v>Kyushu University</v>
          </cell>
          <cell r="C914" t="str">
            <v>Japan</v>
          </cell>
          <cell r="D914" t="str">
            <v>301-350</v>
          </cell>
          <cell r="E914">
            <v>21.7</v>
          </cell>
          <cell r="F914">
            <v>28.8</v>
          </cell>
          <cell r="G914">
            <v>30.7</v>
          </cell>
          <cell r="H914">
            <v>73.099999999999994</v>
          </cell>
          <cell r="I914" t="str">
            <v>-</v>
          </cell>
          <cell r="J914">
            <v>18925</v>
          </cell>
          <cell r="K914">
            <v>6.7</v>
          </cell>
          <cell r="L914">
            <v>0.08</v>
          </cell>
          <cell r="M914" t="str">
            <v>28 : 72</v>
          </cell>
          <cell r="N914">
            <v>2013</v>
          </cell>
          <cell r="O914">
            <v>92</v>
          </cell>
          <cell r="P914">
            <v>7</v>
          </cell>
        </row>
        <row r="915">
          <cell r="B915" t="str">
            <v>LinkÃ¶ping University</v>
          </cell>
          <cell r="C915" t="str">
            <v>Sweden</v>
          </cell>
          <cell r="D915" t="str">
            <v>301-350</v>
          </cell>
          <cell r="E915">
            <v>47.7</v>
          </cell>
          <cell r="F915">
            <v>27</v>
          </cell>
          <cell r="G915">
            <v>53.3</v>
          </cell>
          <cell r="H915">
            <v>38</v>
          </cell>
          <cell r="I915" t="str">
            <v>-</v>
          </cell>
          <cell r="J915">
            <v>17866</v>
          </cell>
          <cell r="K915">
            <v>7.7</v>
          </cell>
          <cell r="L915">
            <v>0.1</v>
          </cell>
          <cell r="M915">
            <v>2.2000000000000002</v>
          </cell>
          <cell r="N915">
            <v>2013</v>
          </cell>
          <cell r="O915">
            <v>302</v>
          </cell>
          <cell r="P915">
            <v>8</v>
          </cell>
        </row>
        <row r="916">
          <cell r="B916" t="str">
            <v>Medical University of Vienna</v>
          </cell>
          <cell r="C916" t="str">
            <v>Austria</v>
          </cell>
          <cell r="D916" t="str">
            <v>301-350</v>
          </cell>
          <cell r="E916">
            <v>66.2</v>
          </cell>
          <cell r="F916">
            <v>13.4</v>
          </cell>
          <cell r="G916">
            <v>66</v>
          </cell>
          <cell r="H916">
            <v>33.200000000000003</v>
          </cell>
          <cell r="I916" t="str">
            <v>-</v>
          </cell>
          <cell r="J916">
            <v>7426</v>
          </cell>
          <cell r="K916">
            <v>2.9</v>
          </cell>
          <cell r="L916">
            <v>0.28000000000000003</v>
          </cell>
          <cell r="M916">
            <v>2.1180555555555554</v>
          </cell>
          <cell r="N916">
            <v>2013</v>
          </cell>
          <cell r="O916">
            <v>310</v>
          </cell>
          <cell r="P916">
            <v>2</v>
          </cell>
        </row>
        <row r="917">
          <cell r="B917" t="str">
            <v>Murdoch University</v>
          </cell>
          <cell r="C917" t="str">
            <v>Australia</v>
          </cell>
          <cell r="D917" t="str">
            <v>301-350</v>
          </cell>
          <cell r="E917">
            <v>83.3</v>
          </cell>
          <cell r="F917">
            <v>18.899999999999999</v>
          </cell>
          <cell r="G917">
            <v>49.6</v>
          </cell>
          <cell r="H917">
            <v>44.2</v>
          </cell>
          <cell r="I917" t="str">
            <v>-</v>
          </cell>
          <cell r="J917">
            <v>16606</v>
          </cell>
          <cell r="K917">
            <v>32.799999999999997</v>
          </cell>
          <cell r="L917">
            <v>0.43</v>
          </cell>
          <cell r="M917">
            <v>2.4868055555555557</v>
          </cell>
          <cell r="N917">
            <v>2013</v>
          </cell>
          <cell r="O917">
            <v>836</v>
          </cell>
          <cell r="P917">
            <v>22</v>
          </cell>
        </row>
        <row r="918">
          <cell r="B918" t="str">
            <v>National Cheng Kung University</v>
          </cell>
          <cell r="C918" t="str">
            <v>Taiwan</v>
          </cell>
          <cell r="D918" t="str">
            <v>301-350</v>
          </cell>
          <cell r="E918">
            <v>22.9</v>
          </cell>
          <cell r="F918">
            <v>40.299999999999997</v>
          </cell>
          <cell r="G918">
            <v>30.4</v>
          </cell>
          <cell r="H918">
            <v>99.9</v>
          </cell>
          <cell r="I918" t="str">
            <v>-</v>
          </cell>
          <cell r="J918">
            <v>21234</v>
          </cell>
          <cell r="K918">
            <v>14.4</v>
          </cell>
          <cell r="L918">
            <v>0.11</v>
          </cell>
          <cell r="M918" t="str">
            <v>36 : 64</v>
          </cell>
          <cell r="N918">
            <v>2013</v>
          </cell>
          <cell r="O918">
            <v>246</v>
          </cell>
          <cell r="P918">
            <v>2</v>
          </cell>
        </row>
        <row r="919">
          <cell r="B919" t="str">
            <v>National Sun Yat-Sen University</v>
          </cell>
          <cell r="C919" t="str">
            <v>Taiwan</v>
          </cell>
          <cell r="D919" t="str">
            <v>301-350</v>
          </cell>
          <cell r="E919">
            <v>23.9</v>
          </cell>
          <cell r="F919">
            <v>32.5</v>
          </cell>
          <cell r="G919">
            <v>48.5</v>
          </cell>
          <cell r="H919">
            <v>43.9</v>
          </cell>
          <cell r="I919" t="str">
            <v>-</v>
          </cell>
          <cell r="J919">
            <v>9336</v>
          </cell>
          <cell r="K919">
            <v>19.600000000000001</v>
          </cell>
          <cell r="L919">
            <v>0.04</v>
          </cell>
          <cell r="M919" t="str">
            <v>37 : 63</v>
          </cell>
          <cell r="N919">
            <v>2013</v>
          </cell>
          <cell r="O919">
            <v>791</v>
          </cell>
          <cell r="P919">
            <v>11</v>
          </cell>
        </row>
        <row r="920">
          <cell r="B920" t="str">
            <v>National University of Ireland, Galway</v>
          </cell>
          <cell r="C920" t="str">
            <v>Republic of Ireland</v>
          </cell>
          <cell r="D920" t="str">
            <v>301-350</v>
          </cell>
          <cell r="E920">
            <v>69.3</v>
          </cell>
          <cell r="F920">
            <v>19.8</v>
          </cell>
          <cell r="G920">
            <v>51.9</v>
          </cell>
          <cell r="H920">
            <v>41.1</v>
          </cell>
          <cell r="I920" t="str">
            <v>-</v>
          </cell>
          <cell r="J920">
            <v>14067</v>
          </cell>
          <cell r="K920">
            <v>26.8</v>
          </cell>
          <cell r="L920">
            <v>0.14000000000000001</v>
          </cell>
          <cell r="M920">
            <v>2.3638888888888889</v>
          </cell>
          <cell r="N920">
            <v>2013</v>
          </cell>
          <cell r="O920">
            <v>600</v>
          </cell>
          <cell r="P920">
            <v>4</v>
          </cell>
        </row>
        <row r="921">
          <cell r="B921" t="str">
            <v>North Carolina State University</v>
          </cell>
          <cell r="C921" t="str">
            <v>United States of America</v>
          </cell>
          <cell r="D921" t="str">
            <v>301-350</v>
          </cell>
          <cell r="E921">
            <v>29.2</v>
          </cell>
          <cell r="F921">
            <v>28.8</v>
          </cell>
          <cell r="G921">
            <v>47.6</v>
          </cell>
          <cell r="H921">
            <v>35.700000000000003</v>
          </cell>
          <cell r="I921" t="str">
            <v>-</v>
          </cell>
          <cell r="J921">
            <v>30533</v>
          </cell>
          <cell r="K921">
            <v>13.6</v>
          </cell>
          <cell r="L921">
            <v>0.11</v>
          </cell>
          <cell r="M921">
            <v>1.8722222222222222</v>
          </cell>
          <cell r="N921">
            <v>2013</v>
          </cell>
          <cell r="O921">
            <v>228</v>
          </cell>
          <cell r="P921">
            <v>93</v>
          </cell>
        </row>
        <row r="922">
          <cell r="B922" t="str">
            <v>Polytechnic University of Milan</v>
          </cell>
          <cell r="C922" t="str">
            <v>Italy</v>
          </cell>
          <cell r="D922" t="str">
            <v>301-350</v>
          </cell>
          <cell r="E922">
            <v>38.1</v>
          </cell>
          <cell r="F922">
            <v>23.8</v>
          </cell>
          <cell r="G922">
            <v>47.7</v>
          </cell>
          <cell r="H922">
            <v>68.099999999999994</v>
          </cell>
          <cell r="I922" t="str">
            <v>-</v>
          </cell>
          <cell r="J922">
            <v>30025</v>
          </cell>
          <cell r="K922">
            <v>22.2</v>
          </cell>
          <cell r="L922">
            <v>0.12</v>
          </cell>
          <cell r="M922" t="str">
            <v>34 : 66</v>
          </cell>
          <cell r="N922">
            <v>2013</v>
          </cell>
          <cell r="O922">
            <v>389</v>
          </cell>
          <cell r="P922">
            <v>19</v>
          </cell>
        </row>
        <row r="923">
          <cell r="B923" t="str">
            <v>Renmin University of China</v>
          </cell>
          <cell r="C923" t="str">
            <v>China</v>
          </cell>
          <cell r="D923" t="str">
            <v>301-350</v>
          </cell>
          <cell r="E923">
            <v>45.8</v>
          </cell>
          <cell r="F923">
            <v>12</v>
          </cell>
          <cell r="G923">
            <v>59.6</v>
          </cell>
          <cell r="H923">
            <v>44</v>
          </cell>
          <cell r="I923" t="str">
            <v>-</v>
          </cell>
          <cell r="J923">
            <v>24954</v>
          </cell>
          <cell r="K923">
            <v>12.7</v>
          </cell>
          <cell r="L923">
            <v>0.06</v>
          </cell>
          <cell r="N923">
            <v>2013</v>
          </cell>
          <cell r="O923">
            <v>496</v>
          </cell>
          <cell r="P923">
            <v>27</v>
          </cell>
        </row>
        <row r="924">
          <cell r="B924" t="str">
            <v>Sapienza University of Rome</v>
          </cell>
          <cell r="C924" t="str">
            <v>Italy</v>
          </cell>
          <cell r="D924" t="str">
            <v>301-350</v>
          </cell>
          <cell r="E924">
            <v>33.200000000000003</v>
          </cell>
          <cell r="F924">
            <v>30.6</v>
          </cell>
          <cell r="G924">
            <v>39.1</v>
          </cell>
          <cell r="H924">
            <v>36</v>
          </cell>
          <cell r="I924" t="str">
            <v>-</v>
          </cell>
          <cell r="J924">
            <v>120986</v>
          </cell>
          <cell r="K924">
            <v>32.299999999999997</v>
          </cell>
          <cell r="L924">
            <v>7.0000000000000007E-2</v>
          </cell>
          <cell r="M924">
            <v>2.4868055555555557</v>
          </cell>
          <cell r="N924">
            <v>2013</v>
          </cell>
          <cell r="O924">
            <v>77</v>
          </cell>
          <cell r="P924">
            <v>1</v>
          </cell>
        </row>
        <row r="925">
          <cell r="B925" t="str">
            <v>Sharif University of Technology</v>
          </cell>
          <cell r="C925" t="str">
            <v>Iran</v>
          </cell>
          <cell r="D925" t="str">
            <v>301-350</v>
          </cell>
          <cell r="E925">
            <v>16.7</v>
          </cell>
          <cell r="F925">
            <v>42.8</v>
          </cell>
          <cell r="G925">
            <v>34.200000000000003</v>
          </cell>
          <cell r="H925">
            <v>93</v>
          </cell>
          <cell r="I925" t="str">
            <v>-</v>
          </cell>
          <cell r="J925">
            <v>10977</v>
          </cell>
          <cell r="K925">
            <v>18.7</v>
          </cell>
          <cell r="L925">
            <v>0</v>
          </cell>
          <cell r="M925" t="str">
            <v>27 : 73</v>
          </cell>
          <cell r="N925">
            <v>2013</v>
          </cell>
          <cell r="O925">
            <v>833</v>
          </cell>
          <cell r="P925">
            <v>2</v>
          </cell>
        </row>
        <row r="926">
          <cell r="B926" t="str">
            <v>State University of New York Albany</v>
          </cell>
          <cell r="C926" t="str">
            <v>United States of America</v>
          </cell>
          <cell r="D926" t="str">
            <v>301-350</v>
          </cell>
          <cell r="E926">
            <v>27.8</v>
          </cell>
          <cell r="F926">
            <v>30</v>
          </cell>
          <cell r="G926">
            <v>52.9</v>
          </cell>
          <cell r="H926" t="str">
            <v>-</v>
          </cell>
          <cell r="I926" t="str">
            <v>-</v>
          </cell>
          <cell r="J926">
            <v>15387</v>
          </cell>
          <cell r="K926">
            <v>18.5</v>
          </cell>
          <cell r="L926">
            <v>0.08</v>
          </cell>
          <cell r="M926">
            <v>2.1590277777777778</v>
          </cell>
          <cell r="N926">
            <v>2013</v>
          </cell>
          <cell r="O926" t="e">
            <v>#N/A</v>
          </cell>
          <cell r="P926" t="e">
            <v>#N/A</v>
          </cell>
        </row>
        <row r="927">
          <cell r="B927" t="str">
            <v>Sun Yat-sen University</v>
          </cell>
          <cell r="C927" t="str">
            <v>China</v>
          </cell>
          <cell r="D927" t="str">
            <v>301-350</v>
          </cell>
          <cell r="E927">
            <v>24.2</v>
          </cell>
          <cell r="F927">
            <v>17.8</v>
          </cell>
          <cell r="G927">
            <v>52.2</v>
          </cell>
          <cell r="H927">
            <v>43.5</v>
          </cell>
          <cell r="I927" t="str">
            <v>-</v>
          </cell>
          <cell r="J927">
            <v>51351</v>
          </cell>
          <cell r="K927">
            <v>16.600000000000001</v>
          </cell>
          <cell r="L927">
            <v>0.08</v>
          </cell>
          <cell r="M927">
            <v>2.1590277777777778</v>
          </cell>
          <cell r="N927">
            <v>2013</v>
          </cell>
          <cell r="O927">
            <v>292</v>
          </cell>
          <cell r="P927">
            <v>9</v>
          </cell>
        </row>
        <row r="928">
          <cell r="B928" t="str">
            <v>UiT The Arctic University of Norway</v>
          </cell>
          <cell r="C928" t="str">
            <v>Norway</v>
          </cell>
          <cell r="D928" t="str">
            <v>301-350</v>
          </cell>
          <cell r="E928">
            <v>61.8</v>
          </cell>
          <cell r="F928">
            <v>19.399999999999999</v>
          </cell>
          <cell r="G928">
            <v>56.4</v>
          </cell>
          <cell r="H928">
            <v>29.1</v>
          </cell>
          <cell r="I928" t="str">
            <v>-</v>
          </cell>
          <cell r="J928">
            <v>10398</v>
          </cell>
          <cell r="K928">
            <v>12.2</v>
          </cell>
          <cell r="L928">
            <v>0.1</v>
          </cell>
          <cell r="M928">
            <v>2.5277777777777777</v>
          </cell>
          <cell r="N928">
            <v>2013</v>
          </cell>
          <cell r="O928" t="e">
            <v>#N/A</v>
          </cell>
          <cell r="P928" t="e">
            <v>#N/A</v>
          </cell>
        </row>
        <row r="929">
          <cell r="B929" t="str">
            <v>University College Cork</v>
          </cell>
          <cell r="C929" t="str">
            <v>Republic of Ireland</v>
          </cell>
          <cell r="D929" t="str">
            <v>301-350</v>
          </cell>
          <cell r="E929">
            <v>71.5</v>
          </cell>
          <cell r="F929">
            <v>19.5</v>
          </cell>
          <cell r="G929">
            <v>47.4</v>
          </cell>
          <cell r="H929">
            <v>38.799999999999997</v>
          </cell>
          <cell r="I929" t="str">
            <v>-</v>
          </cell>
          <cell r="J929">
            <v>15805</v>
          </cell>
          <cell r="K929">
            <v>22.3</v>
          </cell>
          <cell r="L929">
            <v>0.15</v>
          </cell>
          <cell r="M929">
            <v>2.3229166666666665</v>
          </cell>
          <cell r="N929">
            <v>2013</v>
          </cell>
          <cell r="O929">
            <v>463</v>
          </cell>
          <cell r="P929">
            <v>3</v>
          </cell>
        </row>
        <row r="930">
          <cell r="B930" t="str">
            <v>University of Canterbury</v>
          </cell>
          <cell r="C930" t="str">
            <v>New Zealand</v>
          </cell>
          <cell r="D930" t="str">
            <v>301-350</v>
          </cell>
          <cell r="E930">
            <v>88</v>
          </cell>
          <cell r="F930">
            <v>24</v>
          </cell>
          <cell r="G930">
            <v>48.4</v>
          </cell>
          <cell r="H930">
            <v>49.8</v>
          </cell>
          <cell r="I930" t="str">
            <v>-</v>
          </cell>
          <cell r="J930">
            <v>12187</v>
          </cell>
          <cell r="K930">
            <v>16.5</v>
          </cell>
          <cell r="L930">
            <v>0.2</v>
          </cell>
          <cell r="M930">
            <v>2.1590277777777778</v>
          </cell>
          <cell r="N930">
            <v>2013</v>
          </cell>
          <cell r="O930">
            <v>487</v>
          </cell>
          <cell r="P930">
            <v>3</v>
          </cell>
        </row>
        <row r="931">
          <cell r="B931" t="str">
            <v>University of Crete</v>
          </cell>
          <cell r="C931" t="str">
            <v>Greece</v>
          </cell>
          <cell r="D931" t="str">
            <v>301-350</v>
          </cell>
          <cell r="E931">
            <v>44.4</v>
          </cell>
          <cell r="F931">
            <v>16.3</v>
          </cell>
          <cell r="G931">
            <v>68.599999999999994</v>
          </cell>
          <cell r="H931">
            <v>34.1</v>
          </cell>
          <cell r="I931" t="str">
            <v>-</v>
          </cell>
          <cell r="J931">
            <v>14650</v>
          </cell>
          <cell r="K931">
            <v>26.9</v>
          </cell>
          <cell r="L931">
            <v>0.05</v>
          </cell>
          <cell r="M931">
            <v>2.6506944444444445</v>
          </cell>
          <cell r="N931">
            <v>2013</v>
          </cell>
          <cell r="O931">
            <v>551</v>
          </cell>
          <cell r="P931">
            <v>3</v>
          </cell>
        </row>
        <row r="932">
          <cell r="B932" t="str">
            <v>University of Eastern Finland</v>
          </cell>
          <cell r="C932" t="str">
            <v>Finland</v>
          </cell>
          <cell r="D932" t="str">
            <v>301-350</v>
          </cell>
          <cell r="E932">
            <v>39.5</v>
          </cell>
          <cell r="F932">
            <v>19.100000000000001</v>
          </cell>
          <cell r="G932">
            <v>58.1</v>
          </cell>
          <cell r="H932">
            <v>36.700000000000003</v>
          </cell>
          <cell r="I932" t="str">
            <v>-</v>
          </cell>
          <cell r="J932">
            <v>10798</v>
          </cell>
          <cell r="K932">
            <v>17.3</v>
          </cell>
          <cell r="L932">
            <v>0.06</v>
          </cell>
          <cell r="M932">
            <v>2.6916666666666669</v>
          </cell>
          <cell r="N932">
            <v>2013</v>
          </cell>
          <cell r="O932">
            <v>373</v>
          </cell>
          <cell r="P932">
            <v>2</v>
          </cell>
        </row>
        <row r="933">
          <cell r="B933" t="str">
            <v>University of Fribourg</v>
          </cell>
          <cell r="C933" t="str">
            <v>Switzerland</v>
          </cell>
          <cell r="D933" t="str">
            <v>301-350</v>
          </cell>
          <cell r="E933">
            <v>59.5</v>
          </cell>
          <cell r="F933">
            <v>11</v>
          </cell>
          <cell r="G933">
            <v>69.400000000000006</v>
          </cell>
          <cell r="H933" t="str">
            <v>-</v>
          </cell>
          <cell r="I933" t="str">
            <v>-</v>
          </cell>
          <cell r="J933">
            <v>10416</v>
          </cell>
          <cell r="K933">
            <v>46.9</v>
          </cell>
          <cell r="L933">
            <v>0.19</v>
          </cell>
          <cell r="M933">
            <v>2.4458333333333333</v>
          </cell>
          <cell r="N933">
            <v>2013</v>
          </cell>
          <cell r="O933">
            <v>514</v>
          </cell>
          <cell r="P933">
            <v>8</v>
          </cell>
        </row>
        <row r="934">
          <cell r="B934" t="str">
            <v>University of Graz</v>
          </cell>
          <cell r="C934" t="str">
            <v>Austria</v>
          </cell>
          <cell r="D934" t="str">
            <v>301-350</v>
          </cell>
          <cell r="E934">
            <v>59.7</v>
          </cell>
          <cell r="F934">
            <v>17.600000000000001</v>
          </cell>
          <cell r="G934">
            <v>57.4</v>
          </cell>
          <cell r="H934">
            <v>29.5</v>
          </cell>
          <cell r="I934" t="str">
            <v>-</v>
          </cell>
          <cell r="J934">
            <v>20584</v>
          </cell>
          <cell r="K934">
            <v>26.8</v>
          </cell>
          <cell r="L934">
            <v>0.12</v>
          </cell>
          <cell r="M934">
            <v>2.7326388888888888</v>
          </cell>
          <cell r="N934">
            <v>2013</v>
          </cell>
          <cell r="O934">
            <v>518</v>
          </cell>
          <cell r="P934">
            <v>6</v>
          </cell>
        </row>
        <row r="935">
          <cell r="B935" t="str">
            <v>University of Guelph</v>
          </cell>
          <cell r="C935" t="str">
            <v>Canada</v>
          </cell>
          <cell r="D935" t="str">
            <v>301-350</v>
          </cell>
          <cell r="E935">
            <v>39</v>
          </cell>
          <cell r="F935">
            <v>31.3</v>
          </cell>
          <cell r="G935">
            <v>48.2</v>
          </cell>
          <cell r="H935">
            <v>48.1</v>
          </cell>
          <cell r="I935" t="str">
            <v>-</v>
          </cell>
          <cell r="J935">
            <v>21643</v>
          </cell>
          <cell r="K935">
            <v>28.3</v>
          </cell>
          <cell r="L935">
            <v>0.04</v>
          </cell>
          <cell r="M935">
            <v>2.5277777777777777</v>
          </cell>
          <cell r="N935">
            <v>2013</v>
          </cell>
          <cell r="O935">
            <v>366</v>
          </cell>
          <cell r="P935">
            <v>15</v>
          </cell>
        </row>
        <row r="936">
          <cell r="B936" t="str">
            <v>University of Kentucky</v>
          </cell>
          <cell r="C936" t="str">
            <v>United States of America</v>
          </cell>
          <cell r="D936" t="str">
            <v>301-350</v>
          </cell>
          <cell r="E936">
            <v>21.7</v>
          </cell>
          <cell r="F936">
            <v>27.8</v>
          </cell>
          <cell r="G936">
            <v>45.5</v>
          </cell>
          <cell r="H936" t="str">
            <v>-</v>
          </cell>
          <cell r="I936" t="str">
            <v>-</v>
          </cell>
          <cell r="N936">
            <v>2013</v>
          </cell>
          <cell r="O936">
            <v>259</v>
          </cell>
          <cell r="P936">
            <v>105</v>
          </cell>
        </row>
        <row r="937">
          <cell r="B937" t="str">
            <v>University of Manitoba</v>
          </cell>
          <cell r="C937" t="str">
            <v>Canada</v>
          </cell>
          <cell r="D937" t="str">
            <v>301-350</v>
          </cell>
          <cell r="E937">
            <v>38.6</v>
          </cell>
          <cell r="F937">
            <v>32.4</v>
          </cell>
          <cell r="G937">
            <v>44.4</v>
          </cell>
          <cell r="H937">
            <v>43.5</v>
          </cell>
          <cell r="I937" t="str">
            <v>-</v>
          </cell>
          <cell r="J937">
            <v>28576</v>
          </cell>
          <cell r="K937">
            <v>27.8</v>
          </cell>
          <cell r="L937">
            <v>0.11</v>
          </cell>
          <cell r="M937">
            <v>2.3229166666666665</v>
          </cell>
          <cell r="N937">
            <v>2013</v>
          </cell>
          <cell r="O937">
            <v>220</v>
          </cell>
          <cell r="P937">
            <v>10</v>
          </cell>
        </row>
        <row r="938">
          <cell r="B938" t="str">
            <v>University of Maryland, Baltimore County</v>
          </cell>
          <cell r="C938" t="str">
            <v>United States of America</v>
          </cell>
          <cell r="D938" t="str">
            <v>301-350</v>
          </cell>
          <cell r="E938">
            <v>32.6</v>
          </cell>
          <cell r="F938">
            <v>16.399999999999999</v>
          </cell>
          <cell r="G938">
            <v>65.2</v>
          </cell>
          <cell r="H938">
            <v>32.6</v>
          </cell>
          <cell r="I938" t="str">
            <v>-</v>
          </cell>
          <cell r="J938">
            <v>13908</v>
          </cell>
          <cell r="K938">
            <v>18.100000000000001</v>
          </cell>
          <cell r="L938">
            <v>7.0000000000000007E-2</v>
          </cell>
          <cell r="M938">
            <v>1.9541666666666666</v>
          </cell>
          <cell r="N938">
            <v>2013</v>
          </cell>
          <cell r="O938">
            <v>505</v>
          </cell>
          <cell r="P938">
            <v>162</v>
          </cell>
        </row>
        <row r="939">
          <cell r="B939" t="str">
            <v>University of Padua</v>
          </cell>
          <cell r="C939" t="str">
            <v>Italy</v>
          </cell>
          <cell r="D939" t="str">
            <v>301-350</v>
          </cell>
          <cell r="E939">
            <v>37</v>
          </cell>
          <cell r="F939">
            <v>21.4</v>
          </cell>
          <cell r="G939">
            <v>64.5</v>
          </cell>
          <cell r="H939">
            <v>31.7</v>
          </cell>
          <cell r="I939" t="str">
            <v>-</v>
          </cell>
          <cell r="J939">
            <v>62577</v>
          </cell>
          <cell r="K939">
            <v>18.3</v>
          </cell>
          <cell r="L939">
            <v>0.04</v>
          </cell>
          <cell r="M939">
            <v>2.3638888888888889</v>
          </cell>
          <cell r="N939">
            <v>2013</v>
          </cell>
          <cell r="O939">
            <v>184</v>
          </cell>
          <cell r="P939">
            <v>3</v>
          </cell>
        </row>
        <row r="940">
          <cell r="B940" t="str">
            <v>University of Pavia</v>
          </cell>
          <cell r="C940" t="str">
            <v>Italy</v>
          </cell>
          <cell r="D940" t="str">
            <v>301-350</v>
          </cell>
          <cell r="E940">
            <v>34.4</v>
          </cell>
          <cell r="F940">
            <v>18.3</v>
          </cell>
          <cell r="G940">
            <v>56.3</v>
          </cell>
          <cell r="H940">
            <v>60.6</v>
          </cell>
          <cell r="I940" t="str">
            <v>-</v>
          </cell>
          <cell r="J940">
            <v>22958</v>
          </cell>
          <cell r="K940">
            <v>40.6</v>
          </cell>
          <cell r="L940">
            <v>0.06</v>
          </cell>
          <cell r="M940">
            <v>2.3638888888888889</v>
          </cell>
          <cell r="N940">
            <v>2013</v>
          </cell>
          <cell r="O940">
            <v>344</v>
          </cell>
          <cell r="P940">
            <v>12</v>
          </cell>
        </row>
        <row r="941">
          <cell r="B941" t="str">
            <v>University of Pisa</v>
          </cell>
          <cell r="C941" t="str">
            <v>Italy</v>
          </cell>
          <cell r="D941" t="str">
            <v>301-350</v>
          </cell>
          <cell r="E941">
            <v>29.6</v>
          </cell>
          <cell r="F941">
            <v>23.2</v>
          </cell>
          <cell r="G941">
            <v>63.8</v>
          </cell>
          <cell r="H941">
            <v>39.4</v>
          </cell>
          <cell r="I941" t="str">
            <v>-</v>
          </cell>
          <cell r="J941">
            <v>47247</v>
          </cell>
          <cell r="K941">
            <v>18</v>
          </cell>
          <cell r="L941">
            <v>0.04</v>
          </cell>
          <cell r="M941">
            <v>2.2000000000000002</v>
          </cell>
          <cell r="N941">
            <v>2013</v>
          </cell>
          <cell r="O941">
            <v>308</v>
          </cell>
          <cell r="P941">
            <v>8</v>
          </cell>
        </row>
        <row r="942">
          <cell r="B942" t="str">
            <v>University of Portsmouth</v>
          </cell>
          <cell r="C942" t="str">
            <v>United Kingdom</v>
          </cell>
          <cell r="D942" t="str">
            <v>301-350</v>
          </cell>
          <cell r="E942">
            <v>70.2</v>
          </cell>
          <cell r="F942">
            <v>10.5</v>
          </cell>
          <cell r="G942">
            <v>72.3</v>
          </cell>
          <cell r="H942">
            <v>29.2</v>
          </cell>
          <cell r="I942" t="str">
            <v>-</v>
          </cell>
          <cell r="J942">
            <v>20161</v>
          </cell>
          <cell r="K942">
            <v>19.100000000000001</v>
          </cell>
          <cell r="L942">
            <v>0.23</v>
          </cell>
          <cell r="M942">
            <v>1.9131944444444444</v>
          </cell>
          <cell r="N942">
            <v>2013</v>
          </cell>
          <cell r="O942">
            <v>640</v>
          </cell>
          <cell r="P942">
            <v>48</v>
          </cell>
        </row>
        <row r="943">
          <cell r="B943" t="str">
            <v>University of South Australia</v>
          </cell>
          <cell r="C943" t="str">
            <v>Australia</v>
          </cell>
          <cell r="D943" t="str">
            <v>301-350</v>
          </cell>
          <cell r="E943">
            <v>81</v>
          </cell>
          <cell r="F943">
            <v>25</v>
          </cell>
          <cell r="G943">
            <v>34.1</v>
          </cell>
          <cell r="H943">
            <v>83.7</v>
          </cell>
          <cell r="I943" t="str">
            <v>-</v>
          </cell>
          <cell r="J943">
            <v>18971</v>
          </cell>
          <cell r="K943">
            <v>26.2</v>
          </cell>
          <cell r="L943">
            <v>0.32</v>
          </cell>
          <cell r="M943">
            <v>2.4868055555555557</v>
          </cell>
          <cell r="N943">
            <v>2013</v>
          </cell>
          <cell r="O943">
            <v>723</v>
          </cell>
          <cell r="P943">
            <v>20</v>
          </cell>
        </row>
        <row r="944">
          <cell r="B944" t="str">
            <v>University of Tampere</v>
          </cell>
          <cell r="C944" t="str">
            <v>Finland</v>
          </cell>
          <cell r="D944" t="str">
            <v>301-350</v>
          </cell>
          <cell r="E944">
            <v>35</v>
          </cell>
          <cell r="F944">
            <v>23.9</v>
          </cell>
          <cell r="G944">
            <v>51.2</v>
          </cell>
          <cell r="H944">
            <v>49.3</v>
          </cell>
          <cell r="I944" t="str">
            <v>-</v>
          </cell>
          <cell r="J944">
            <v>10045</v>
          </cell>
          <cell r="K944">
            <v>9.5</v>
          </cell>
          <cell r="L944">
            <v>0.04</v>
          </cell>
          <cell r="M944">
            <v>2.7736111111111112</v>
          </cell>
          <cell r="N944">
            <v>2013</v>
          </cell>
          <cell r="O944">
            <v>430</v>
          </cell>
          <cell r="P944">
            <v>6</v>
          </cell>
        </row>
        <row r="945">
          <cell r="B945" t="str">
            <v>University of Tsukuba</v>
          </cell>
          <cell r="C945" t="str">
            <v>Japan</v>
          </cell>
          <cell r="D945" t="str">
            <v>301-350</v>
          </cell>
          <cell r="E945">
            <v>30.7</v>
          </cell>
          <cell r="F945">
            <v>26.2</v>
          </cell>
          <cell r="G945">
            <v>45.3</v>
          </cell>
          <cell r="H945">
            <v>33</v>
          </cell>
          <cell r="I945" t="str">
            <v>-</v>
          </cell>
          <cell r="J945">
            <v>15930</v>
          </cell>
          <cell r="K945">
            <v>12.6</v>
          </cell>
          <cell r="L945">
            <v>0.16</v>
          </cell>
          <cell r="M945" t="str">
            <v>38 : 62</v>
          </cell>
          <cell r="N945">
            <v>2013</v>
          </cell>
          <cell r="O945">
            <v>253</v>
          </cell>
          <cell r="P945">
            <v>13</v>
          </cell>
        </row>
        <row r="946">
          <cell r="B946" t="str">
            <v>University of Vermont</v>
          </cell>
          <cell r="C946" t="str">
            <v>United States of America</v>
          </cell>
          <cell r="D946" t="str">
            <v>301-350</v>
          </cell>
          <cell r="E946">
            <v>19.899999999999999</v>
          </cell>
          <cell r="F946">
            <v>20.6</v>
          </cell>
          <cell r="G946">
            <v>58.6</v>
          </cell>
          <cell r="H946" t="str">
            <v>-</v>
          </cell>
          <cell r="I946" t="str">
            <v>-</v>
          </cell>
          <cell r="N946">
            <v>2013</v>
          </cell>
          <cell r="O946">
            <v>320</v>
          </cell>
          <cell r="P946">
            <v>121</v>
          </cell>
        </row>
        <row r="947">
          <cell r="B947" t="str">
            <v>University of Waikato</v>
          </cell>
          <cell r="C947" t="str">
            <v>New Zealand</v>
          </cell>
          <cell r="D947" t="str">
            <v>301-350</v>
          </cell>
          <cell r="E947">
            <v>85.6</v>
          </cell>
          <cell r="F947">
            <v>19.899999999999999</v>
          </cell>
          <cell r="G947">
            <v>61.9</v>
          </cell>
          <cell r="H947">
            <v>28.2</v>
          </cell>
          <cell r="I947" t="str">
            <v>-</v>
          </cell>
          <cell r="J947">
            <v>10159</v>
          </cell>
          <cell r="K947">
            <v>17</v>
          </cell>
          <cell r="L947">
            <v>0.25</v>
          </cell>
          <cell r="M947">
            <v>2.4048611111111109</v>
          </cell>
          <cell r="N947">
            <v>2013</v>
          </cell>
          <cell r="O947">
            <v>879</v>
          </cell>
          <cell r="P947">
            <v>6</v>
          </cell>
        </row>
        <row r="948">
          <cell r="B948" t="str">
            <v>University of Wollongong</v>
          </cell>
          <cell r="C948" t="str">
            <v>Australia</v>
          </cell>
          <cell r="D948" t="str">
            <v>301-350</v>
          </cell>
          <cell r="E948">
            <v>83.7</v>
          </cell>
          <cell r="F948">
            <v>27.3</v>
          </cell>
          <cell r="G948">
            <v>47.4</v>
          </cell>
          <cell r="H948">
            <v>54</v>
          </cell>
          <cell r="I948" t="str">
            <v>-</v>
          </cell>
          <cell r="J948">
            <v>16489</v>
          </cell>
          <cell r="K948">
            <v>25.4</v>
          </cell>
          <cell r="L948">
            <v>0.24</v>
          </cell>
          <cell r="M948">
            <v>2.1180555555555554</v>
          </cell>
          <cell r="N948">
            <v>2013</v>
          </cell>
          <cell r="O948">
            <v>506</v>
          </cell>
          <cell r="P948">
            <v>10</v>
          </cell>
        </row>
        <row r="949">
          <cell r="B949" t="str">
            <v>Vrije Universiteit Brussel</v>
          </cell>
          <cell r="C949" t="str">
            <v>Belgium</v>
          </cell>
          <cell r="D949" t="str">
            <v>301-350</v>
          </cell>
          <cell r="E949">
            <v>48.4</v>
          </cell>
          <cell r="F949">
            <v>26.8</v>
          </cell>
          <cell r="G949">
            <v>53.8</v>
          </cell>
          <cell r="H949">
            <v>37.5</v>
          </cell>
          <cell r="I949" t="str">
            <v>-</v>
          </cell>
          <cell r="J949">
            <v>9020</v>
          </cell>
          <cell r="K949">
            <v>17.100000000000001</v>
          </cell>
          <cell r="L949">
            <v>0.16</v>
          </cell>
          <cell r="M949">
            <v>2.3229166666666665</v>
          </cell>
          <cell r="N949">
            <v>2013</v>
          </cell>
          <cell r="O949">
            <v>248</v>
          </cell>
          <cell r="P949">
            <v>5</v>
          </cell>
        </row>
        <row r="950">
          <cell r="B950" t="str">
            <v>Washington State University</v>
          </cell>
          <cell r="C950" t="str">
            <v>United States of America</v>
          </cell>
          <cell r="D950" t="str">
            <v>301-350</v>
          </cell>
          <cell r="E950">
            <v>33.9</v>
          </cell>
          <cell r="F950">
            <v>30.6</v>
          </cell>
          <cell r="G950">
            <v>47.1</v>
          </cell>
          <cell r="H950">
            <v>55.8</v>
          </cell>
          <cell r="I950" t="str">
            <v>-</v>
          </cell>
          <cell r="J950">
            <v>24550</v>
          </cell>
          <cell r="K950">
            <v>18.3</v>
          </cell>
          <cell r="L950">
            <v>7.0000000000000007E-2</v>
          </cell>
          <cell r="M950">
            <v>2.1180555555555554</v>
          </cell>
          <cell r="N950">
            <v>2013</v>
          </cell>
          <cell r="O950" t="e">
            <v>#N/A</v>
          </cell>
          <cell r="P950" t="e">
            <v>#N/A</v>
          </cell>
        </row>
        <row r="951">
          <cell r="B951" t="str">
            <v>Wayne State University</v>
          </cell>
          <cell r="C951" t="str">
            <v>United States of America</v>
          </cell>
          <cell r="D951" t="str">
            <v>301-350</v>
          </cell>
          <cell r="E951">
            <v>28.1</v>
          </cell>
          <cell r="F951">
            <v>16.2</v>
          </cell>
          <cell r="G951">
            <v>58.4</v>
          </cell>
          <cell r="H951" t="str">
            <v>-</v>
          </cell>
          <cell r="I951" t="str">
            <v>-</v>
          </cell>
          <cell r="J951">
            <v>23065</v>
          </cell>
          <cell r="K951">
            <v>10.7</v>
          </cell>
          <cell r="L951">
            <v>7.0000000000000007E-2</v>
          </cell>
          <cell r="M951">
            <v>2.4048611111111109</v>
          </cell>
          <cell r="N951">
            <v>2013</v>
          </cell>
          <cell r="O951">
            <v>192</v>
          </cell>
          <cell r="P951">
            <v>83</v>
          </cell>
        </row>
        <row r="952">
          <cell r="B952" t="str">
            <v>York University</v>
          </cell>
          <cell r="C952" t="str">
            <v>Canada</v>
          </cell>
          <cell r="D952" t="str">
            <v>301-350</v>
          </cell>
          <cell r="E952">
            <v>50.7</v>
          </cell>
          <cell r="F952">
            <v>30.1</v>
          </cell>
          <cell r="G952">
            <v>50.5</v>
          </cell>
          <cell r="H952">
            <v>41.9</v>
          </cell>
          <cell r="I952" t="str">
            <v>-</v>
          </cell>
          <cell r="J952">
            <v>48007</v>
          </cell>
          <cell r="K952">
            <v>39.4</v>
          </cell>
          <cell r="L952">
            <v>0.09</v>
          </cell>
          <cell r="M952">
            <v>2.4868055555555557</v>
          </cell>
          <cell r="N952">
            <v>2013</v>
          </cell>
          <cell r="O952">
            <v>398</v>
          </cell>
          <cell r="P952">
            <v>18</v>
          </cell>
        </row>
        <row r="953">
          <cell r="B953" t="str">
            <v>Zhejiang University</v>
          </cell>
          <cell r="C953" t="str">
            <v>China</v>
          </cell>
          <cell r="D953" t="str">
            <v>301-350</v>
          </cell>
          <cell r="E953">
            <v>20.100000000000001</v>
          </cell>
          <cell r="F953">
            <v>34.5</v>
          </cell>
          <cell r="G953">
            <v>32.6</v>
          </cell>
          <cell r="H953">
            <v>89</v>
          </cell>
          <cell r="I953" t="str">
            <v>-</v>
          </cell>
          <cell r="J953">
            <v>47508</v>
          </cell>
          <cell r="K953">
            <v>15.9</v>
          </cell>
          <cell r="L953">
            <v>0.05</v>
          </cell>
          <cell r="M953">
            <v>1.7493055555555554</v>
          </cell>
          <cell r="N953">
            <v>2013</v>
          </cell>
          <cell r="O953">
            <v>206</v>
          </cell>
          <cell r="P953">
            <v>5</v>
          </cell>
        </row>
        <row r="954">
          <cell r="B954" t="str">
            <v>Aalborg University</v>
          </cell>
          <cell r="C954" t="str">
            <v>Denmark</v>
          </cell>
          <cell r="D954" t="str">
            <v>351-400</v>
          </cell>
          <cell r="E954">
            <v>67.2</v>
          </cell>
          <cell r="F954">
            <v>24.9</v>
          </cell>
          <cell r="G954">
            <v>41</v>
          </cell>
          <cell r="H954">
            <v>39</v>
          </cell>
          <cell r="I954" t="str">
            <v>-</v>
          </cell>
          <cell r="J954">
            <v>17422</v>
          </cell>
          <cell r="K954">
            <v>15.9</v>
          </cell>
          <cell r="L954">
            <v>0.15</v>
          </cell>
          <cell r="M954">
            <v>2.036111111111111</v>
          </cell>
          <cell r="N954">
            <v>2013</v>
          </cell>
          <cell r="O954">
            <v>593</v>
          </cell>
          <cell r="P954">
            <v>5</v>
          </cell>
        </row>
        <row r="955">
          <cell r="B955" t="str">
            <v>Binghamton University, State University of New York</v>
          </cell>
          <cell r="C955" t="str">
            <v>United States of America</v>
          </cell>
          <cell r="D955" t="str">
            <v>351-400</v>
          </cell>
          <cell r="E955">
            <v>30.7</v>
          </cell>
          <cell r="F955">
            <v>21.9</v>
          </cell>
          <cell r="G955">
            <v>51.1</v>
          </cell>
          <cell r="H955">
            <v>33.4</v>
          </cell>
          <cell r="I955" t="str">
            <v>-</v>
          </cell>
          <cell r="J955">
            <v>15799</v>
          </cell>
          <cell r="K955">
            <v>23.3</v>
          </cell>
          <cell r="L955">
            <v>0.14000000000000001</v>
          </cell>
          <cell r="M955">
            <v>2.036111111111111</v>
          </cell>
          <cell r="N955">
            <v>2013</v>
          </cell>
          <cell r="O955" t="e">
            <v>#N/A</v>
          </cell>
          <cell r="P955" t="e">
            <v>#N/A</v>
          </cell>
        </row>
        <row r="956">
          <cell r="B956" t="str">
            <v>Charles Darwin University</v>
          </cell>
          <cell r="C956" t="str">
            <v>Australia</v>
          </cell>
          <cell r="D956" t="str">
            <v>351-400</v>
          </cell>
          <cell r="E956">
            <v>44.3</v>
          </cell>
          <cell r="F956">
            <v>15.3</v>
          </cell>
          <cell r="G956">
            <v>53.3</v>
          </cell>
          <cell r="H956">
            <v>32.5</v>
          </cell>
          <cell r="I956" t="str">
            <v>-</v>
          </cell>
          <cell r="J956">
            <v>5570</v>
          </cell>
          <cell r="K956">
            <v>25.4</v>
          </cell>
          <cell r="L956">
            <v>0.15</v>
          </cell>
          <cell r="M956">
            <v>2.8145833333333332</v>
          </cell>
          <cell r="N956">
            <v>2013</v>
          </cell>
          <cell r="O956">
            <v>910</v>
          </cell>
          <cell r="P956">
            <v>26</v>
          </cell>
        </row>
        <row r="957">
          <cell r="B957" t="str">
            <v>Deakin University</v>
          </cell>
          <cell r="C957" t="str">
            <v>Australia</v>
          </cell>
          <cell r="D957" t="str">
            <v>351-400</v>
          </cell>
          <cell r="E957">
            <v>68.400000000000006</v>
          </cell>
          <cell r="F957">
            <v>22</v>
          </cell>
          <cell r="G957">
            <v>47.1</v>
          </cell>
          <cell r="H957">
            <v>30.1</v>
          </cell>
          <cell r="I957" t="str">
            <v>-</v>
          </cell>
          <cell r="J957">
            <v>32713</v>
          </cell>
          <cell r="K957">
            <v>30.4</v>
          </cell>
          <cell r="L957">
            <v>0.17</v>
          </cell>
          <cell r="M957">
            <v>2.5277777777777777</v>
          </cell>
          <cell r="N957">
            <v>2013</v>
          </cell>
          <cell r="O957">
            <v>613</v>
          </cell>
          <cell r="P957">
            <v>17</v>
          </cell>
        </row>
        <row r="958">
          <cell r="B958" t="str">
            <v>Flinders University</v>
          </cell>
          <cell r="C958" t="str">
            <v>Australia</v>
          </cell>
          <cell r="D958" t="str">
            <v>351-400</v>
          </cell>
          <cell r="E958">
            <v>59.8</v>
          </cell>
          <cell r="F958">
            <v>24.2</v>
          </cell>
          <cell r="G958">
            <v>38.4</v>
          </cell>
          <cell r="H958">
            <v>39.1</v>
          </cell>
          <cell r="I958" t="str">
            <v>-</v>
          </cell>
          <cell r="J958">
            <v>15655</v>
          </cell>
          <cell r="K958">
            <v>22.6</v>
          </cell>
          <cell r="L958">
            <v>0.15</v>
          </cell>
          <cell r="M958">
            <v>2.6506944444444445</v>
          </cell>
          <cell r="N958">
            <v>2013</v>
          </cell>
          <cell r="O958">
            <v>507</v>
          </cell>
          <cell r="P958">
            <v>11</v>
          </cell>
        </row>
        <row r="959">
          <cell r="B959" t="str">
            <v>George Mason University</v>
          </cell>
          <cell r="C959" t="str">
            <v>United States of America</v>
          </cell>
          <cell r="D959" t="str">
            <v>351-400</v>
          </cell>
          <cell r="E959">
            <v>34.9</v>
          </cell>
          <cell r="F959">
            <v>19.7</v>
          </cell>
          <cell r="G959">
            <v>53</v>
          </cell>
          <cell r="H959">
            <v>28.2</v>
          </cell>
          <cell r="I959" t="str">
            <v>-</v>
          </cell>
          <cell r="J959">
            <v>26622</v>
          </cell>
          <cell r="K959">
            <v>17</v>
          </cell>
          <cell r="L959">
            <v>7.0000000000000007E-2</v>
          </cell>
          <cell r="M959">
            <v>2.2819444444444446</v>
          </cell>
          <cell r="N959">
            <v>2013</v>
          </cell>
          <cell r="O959">
            <v>434</v>
          </cell>
          <cell r="P959">
            <v>141</v>
          </cell>
        </row>
        <row r="960">
          <cell r="B960" t="str">
            <v>Heriot-Watt University</v>
          </cell>
          <cell r="C960" t="str">
            <v>United Kingdom</v>
          </cell>
          <cell r="D960" t="str">
            <v>351-400</v>
          </cell>
          <cell r="E960">
            <v>84.2</v>
          </cell>
          <cell r="F960">
            <v>21.4</v>
          </cell>
          <cell r="G960">
            <v>42.1</v>
          </cell>
          <cell r="H960">
            <v>48.4</v>
          </cell>
          <cell r="I960" t="str">
            <v>-</v>
          </cell>
          <cell r="J960">
            <v>8773</v>
          </cell>
          <cell r="K960">
            <v>17.8</v>
          </cell>
          <cell r="L960">
            <v>0.43</v>
          </cell>
          <cell r="M960">
            <v>1.7493055555555554</v>
          </cell>
          <cell r="N960">
            <v>2013</v>
          </cell>
          <cell r="O960">
            <v>703</v>
          </cell>
          <cell r="P960">
            <v>53</v>
          </cell>
        </row>
        <row r="961">
          <cell r="B961" t="str">
            <v>Indian Institute of Technology Roorkee</v>
          </cell>
          <cell r="C961" t="str">
            <v>India</v>
          </cell>
          <cell r="D961" t="str">
            <v>351-400</v>
          </cell>
          <cell r="E961">
            <v>15.6</v>
          </cell>
          <cell r="F961">
            <v>13.7</v>
          </cell>
          <cell r="G961">
            <v>45.8</v>
          </cell>
          <cell r="H961">
            <v>70.400000000000006</v>
          </cell>
          <cell r="I961" t="str">
            <v>-</v>
          </cell>
          <cell r="J961">
            <v>8061</v>
          </cell>
          <cell r="K961">
            <v>18.7</v>
          </cell>
          <cell r="L961">
            <v>0.01</v>
          </cell>
          <cell r="M961">
            <v>0.76597222222222228</v>
          </cell>
          <cell r="N961">
            <v>2013</v>
          </cell>
          <cell r="O961">
            <v>611</v>
          </cell>
          <cell r="P961">
            <v>10</v>
          </cell>
        </row>
        <row r="962">
          <cell r="B962" t="str">
            <v>Jagiellonian University</v>
          </cell>
          <cell r="C962" t="str">
            <v>Poland</v>
          </cell>
          <cell r="D962" t="str">
            <v>351-400</v>
          </cell>
          <cell r="E962">
            <v>41.7</v>
          </cell>
          <cell r="F962">
            <v>13.8</v>
          </cell>
          <cell r="G962">
            <v>48.2</v>
          </cell>
          <cell r="H962">
            <v>29.5</v>
          </cell>
          <cell r="I962" t="str">
            <v>-</v>
          </cell>
          <cell r="J962">
            <v>42835</v>
          </cell>
          <cell r="K962">
            <v>11.5</v>
          </cell>
          <cell r="L962">
            <v>0.05</v>
          </cell>
          <cell r="M962">
            <v>2.8145833333333332</v>
          </cell>
          <cell r="N962">
            <v>2013</v>
          </cell>
          <cell r="O962">
            <v>479</v>
          </cell>
          <cell r="P962">
            <v>2</v>
          </cell>
        </row>
        <row r="963">
          <cell r="B963" t="str">
            <v>Keele University</v>
          </cell>
          <cell r="C963" t="str">
            <v>United Kingdom</v>
          </cell>
          <cell r="D963" t="str">
            <v>351-400</v>
          </cell>
          <cell r="E963">
            <v>64.2</v>
          </cell>
          <cell r="F963">
            <v>18.8</v>
          </cell>
          <cell r="G963">
            <v>55.1</v>
          </cell>
          <cell r="H963">
            <v>31.7</v>
          </cell>
          <cell r="I963" t="str">
            <v>-</v>
          </cell>
          <cell r="J963">
            <v>8397</v>
          </cell>
          <cell r="K963">
            <v>15.7</v>
          </cell>
          <cell r="L963">
            <v>0.2</v>
          </cell>
          <cell r="M963">
            <v>2.3229166666666665</v>
          </cell>
          <cell r="N963">
            <v>2013</v>
          </cell>
          <cell r="O963">
            <v>663</v>
          </cell>
          <cell r="P963">
            <v>50</v>
          </cell>
        </row>
        <row r="964">
          <cell r="B964" t="str">
            <v>Keio University</v>
          </cell>
          <cell r="C964" t="str">
            <v>Japan</v>
          </cell>
          <cell r="D964" t="str">
            <v>351-400</v>
          </cell>
          <cell r="E964">
            <v>22.2</v>
          </cell>
          <cell r="F964">
            <v>28</v>
          </cell>
          <cell r="G964">
            <v>39.700000000000003</v>
          </cell>
          <cell r="H964">
            <v>43.1</v>
          </cell>
          <cell r="I964" t="str">
            <v>-</v>
          </cell>
          <cell r="J964">
            <v>33751</v>
          </cell>
          <cell r="K964">
            <v>11.9</v>
          </cell>
          <cell r="L964">
            <v>0.05</v>
          </cell>
          <cell r="M964" t="str">
            <v>32 : 68</v>
          </cell>
          <cell r="N964">
            <v>2013</v>
          </cell>
          <cell r="O964">
            <v>70</v>
          </cell>
          <cell r="P964">
            <v>4</v>
          </cell>
        </row>
        <row r="965">
          <cell r="B965" t="str">
            <v>King Mongkutâ€™s University of Technology Thonburi</v>
          </cell>
          <cell r="C965" t="str">
            <v>Thailand</v>
          </cell>
          <cell r="D965" t="str">
            <v>351-400</v>
          </cell>
          <cell r="E965">
            <v>23.8</v>
          </cell>
          <cell r="F965">
            <v>10.199999999999999</v>
          </cell>
          <cell r="G965">
            <v>68.400000000000006</v>
          </cell>
          <cell r="H965">
            <v>60.2</v>
          </cell>
          <cell r="I965" t="str">
            <v>-</v>
          </cell>
          <cell r="J965">
            <v>17791</v>
          </cell>
          <cell r="K965">
            <v>23.7</v>
          </cell>
          <cell r="L965">
            <v>0.01</v>
          </cell>
          <cell r="M965">
            <v>1.7902777777777779</v>
          </cell>
          <cell r="N965">
            <v>2013</v>
          </cell>
          <cell r="O965" t="e">
            <v>#N/A</v>
          </cell>
          <cell r="P965" t="e">
            <v>#N/A</v>
          </cell>
        </row>
        <row r="966">
          <cell r="B966" t="str">
            <v>Lehigh University</v>
          </cell>
          <cell r="C966" t="str">
            <v>United States of America</v>
          </cell>
          <cell r="D966" t="str">
            <v>351-400</v>
          </cell>
          <cell r="E966">
            <v>30.4</v>
          </cell>
          <cell r="F966">
            <v>19.7</v>
          </cell>
          <cell r="G966">
            <v>50.6</v>
          </cell>
          <cell r="H966">
            <v>40.1</v>
          </cell>
          <cell r="I966" t="str">
            <v>-</v>
          </cell>
          <cell r="J966">
            <v>6300</v>
          </cell>
          <cell r="K966">
            <v>11.3</v>
          </cell>
          <cell r="L966">
            <v>0.15</v>
          </cell>
          <cell r="M966">
            <v>1.8722222222222222</v>
          </cell>
          <cell r="N966">
            <v>2013</v>
          </cell>
          <cell r="O966">
            <v>258</v>
          </cell>
          <cell r="P966">
            <v>104</v>
          </cell>
        </row>
        <row r="967">
          <cell r="B967" t="str">
            <v>Leibniz University of Hanover</v>
          </cell>
          <cell r="C967" t="str">
            <v>Germany</v>
          </cell>
          <cell r="D967" t="str">
            <v>351-400</v>
          </cell>
          <cell r="E967">
            <v>48.2</v>
          </cell>
          <cell r="F967">
            <v>19.100000000000001</v>
          </cell>
          <cell r="G967">
            <v>35.1</v>
          </cell>
          <cell r="H967">
            <v>40.299999999999997</v>
          </cell>
          <cell r="I967" t="str">
            <v>-</v>
          </cell>
          <cell r="J967">
            <v>22401</v>
          </cell>
          <cell r="K967">
            <v>62.7</v>
          </cell>
          <cell r="L967">
            <v>0.12</v>
          </cell>
          <cell r="M967">
            <v>1.7493055555555554</v>
          </cell>
          <cell r="N967">
            <v>2013</v>
          </cell>
          <cell r="O967" t="e">
            <v>#N/A</v>
          </cell>
          <cell r="P967" t="e">
            <v>#N/A</v>
          </cell>
        </row>
        <row r="968">
          <cell r="B968" t="str">
            <v>Loughborough University</v>
          </cell>
          <cell r="C968" t="str">
            <v>United Kingdom</v>
          </cell>
          <cell r="D968" t="str">
            <v>351-400</v>
          </cell>
          <cell r="E968">
            <v>63.9</v>
          </cell>
          <cell r="F968">
            <v>32.700000000000003</v>
          </cell>
          <cell r="G968">
            <v>24.7</v>
          </cell>
          <cell r="H968">
            <v>40.700000000000003</v>
          </cell>
          <cell r="I968" t="str">
            <v>-</v>
          </cell>
          <cell r="J968">
            <v>13951</v>
          </cell>
          <cell r="K968">
            <v>15.9</v>
          </cell>
          <cell r="L968">
            <v>0.22</v>
          </cell>
          <cell r="M968" t="str">
            <v>38 : 62</v>
          </cell>
          <cell r="N968">
            <v>2013</v>
          </cell>
          <cell r="O968">
            <v>705</v>
          </cell>
          <cell r="P968">
            <v>54</v>
          </cell>
        </row>
        <row r="969">
          <cell r="B969" t="str">
            <v>Massey University</v>
          </cell>
          <cell r="C969" t="str">
            <v>New Zealand</v>
          </cell>
          <cell r="D969" t="str">
            <v>351-400</v>
          </cell>
          <cell r="E969">
            <v>73.3</v>
          </cell>
          <cell r="F969">
            <v>19.2</v>
          </cell>
          <cell r="G969">
            <v>37.6</v>
          </cell>
          <cell r="H969">
            <v>66</v>
          </cell>
          <cell r="I969" t="str">
            <v>-</v>
          </cell>
          <cell r="J969">
            <v>19101</v>
          </cell>
          <cell r="K969">
            <v>16.8</v>
          </cell>
          <cell r="L969">
            <v>0.15</v>
          </cell>
          <cell r="M969">
            <v>2.6097222222222221</v>
          </cell>
          <cell r="N969">
            <v>2013</v>
          </cell>
          <cell r="O969">
            <v>628</v>
          </cell>
          <cell r="P969">
            <v>5</v>
          </cell>
        </row>
        <row r="970">
          <cell r="B970" t="str">
            <v>National Autonomous University of Mexico</v>
          </cell>
          <cell r="C970" t="str">
            <v>Mexico</v>
          </cell>
          <cell r="D970" t="str">
            <v>351-400</v>
          </cell>
          <cell r="E970">
            <v>33.200000000000003</v>
          </cell>
          <cell r="F970">
            <v>31.6</v>
          </cell>
          <cell r="G970">
            <v>24.6</v>
          </cell>
          <cell r="H970">
            <v>36</v>
          </cell>
          <cell r="I970" t="str">
            <v>-</v>
          </cell>
          <cell r="J970">
            <v>137378</v>
          </cell>
          <cell r="K970">
            <v>11.6</v>
          </cell>
          <cell r="L970">
            <v>0.05</v>
          </cell>
          <cell r="M970">
            <v>2.1590277777777778</v>
          </cell>
          <cell r="N970">
            <v>2013</v>
          </cell>
          <cell r="O970">
            <v>337</v>
          </cell>
          <cell r="P970">
            <v>1</v>
          </cell>
        </row>
        <row r="971">
          <cell r="B971" t="str">
            <v>National Central University</v>
          </cell>
          <cell r="C971" t="str">
            <v>Taiwan</v>
          </cell>
          <cell r="D971" t="str">
            <v>351-400</v>
          </cell>
          <cell r="E971">
            <v>27.9</v>
          </cell>
          <cell r="F971">
            <v>26.5</v>
          </cell>
          <cell r="G971">
            <v>38.299999999999997</v>
          </cell>
          <cell r="H971">
            <v>84.8</v>
          </cell>
          <cell r="I971" t="str">
            <v>-</v>
          </cell>
          <cell r="J971">
            <v>10915</v>
          </cell>
          <cell r="K971">
            <v>9.8000000000000007</v>
          </cell>
          <cell r="L971">
            <v>0.06</v>
          </cell>
          <cell r="M971" t="str">
            <v>31 : 69</v>
          </cell>
          <cell r="N971">
            <v>2013</v>
          </cell>
          <cell r="O971">
            <v>565</v>
          </cell>
          <cell r="P971">
            <v>6</v>
          </cell>
        </row>
        <row r="972">
          <cell r="B972" t="str">
            <v>National Taiwan University of Science and Technology (Taiwan Tech)</v>
          </cell>
          <cell r="C972" t="str">
            <v>Taiwan</v>
          </cell>
          <cell r="D972" t="str">
            <v>351-400</v>
          </cell>
          <cell r="E972">
            <v>18.8</v>
          </cell>
          <cell r="F972">
            <v>42.5</v>
          </cell>
          <cell r="G972">
            <v>33.1</v>
          </cell>
          <cell r="H972">
            <v>46.8</v>
          </cell>
          <cell r="I972" t="str">
            <v>-</v>
          </cell>
          <cell r="J972">
            <v>7446</v>
          </cell>
          <cell r="K972">
            <v>17.399999999999999</v>
          </cell>
          <cell r="L972">
            <v>0.11</v>
          </cell>
          <cell r="M972" t="str">
            <v>34 : 66</v>
          </cell>
          <cell r="N972">
            <v>2013</v>
          </cell>
          <cell r="O972" t="e">
            <v>#N/A</v>
          </cell>
          <cell r="P972" t="e">
            <v>#N/A</v>
          </cell>
        </row>
        <row r="973">
          <cell r="B973" t="str">
            <v>National University of Ireland, Maynooth</v>
          </cell>
          <cell r="C973" t="str">
            <v>Republic of Ireland</v>
          </cell>
          <cell r="D973" t="str">
            <v>351-400</v>
          </cell>
          <cell r="E973">
            <v>69.2</v>
          </cell>
          <cell r="F973">
            <v>23.9</v>
          </cell>
          <cell r="G973">
            <v>28.1</v>
          </cell>
          <cell r="H973">
            <v>30.8</v>
          </cell>
          <cell r="I973" t="str">
            <v>-</v>
          </cell>
          <cell r="J973">
            <v>7653</v>
          </cell>
          <cell r="K973">
            <v>28</v>
          </cell>
          <cell r="L973">
            <v>0.11</v>
          </cell>
          <cell r="M973">
            <v>2.3229166666666665</v>
          </cell>
          <cell r="N973">
            <v>2013</v>
          </cell>
          <cell r="O973">
            <v>820</v>
          </cell>
          <cell r="P973">
            <v>7</v>
          </cell>
        </row>
        <row r="974">
          <cell r="B974" t="str">
            <v>Paris Dauphine University</v>
          </cell>
          <cell r="C974" t="str">
            <v>France</v>
          </cell>
          <cell r="D974" t="str">
            <v>351-400</v>
          </cell>
          <cell r="E974">
            <v>57.6</v>
          </cell>
          <cell r="F974">
            <v>12.7</v>
          </cell>
          <cell r="G974">
            <v>50.6</v>
          </cell>
          <cell r="H974">
            <v>29.4</v>
          </cell>
          <cell r="I974" t="str">
            <v>-</v>
          </cell>
          <cell r="J974">
            <v>9565</v>
          </cell>
          <cell r="K974">
            <v>15.4</v>
          </cell>
          <cell r="L974">
            <v>0.28000000000000003</v>
          </cell>
          <cell r="M974">
            <v>2.2409722222222221</v>
          </cell>
          <cell r="N974">
            <v>2013</v>
          </cell>
          <cell r="O974" t="e">
            <v>#N/A</v>
          </cell>
          <cell r="P974" t="e">
            <v>#N/A</v>
          </cell>
        </row>
        <row r="975">
          <cell r="B975" t="str">
            <v>Polytechnic University of Valencia</v>
          </cell>
          <cell r="C975" t="str">
            <v>Spain</v>
          </cell>
          <cell r="D975" t="str">
            <v>351-400</v>
          </cell>
          <cell r="E975">
            <v>26.1</v>
          </cell>
          <cell r="F975">
            <v>12.1</v>
          </cell>
          <cell r="G975">
            <v>59.4</v>
          </cell>
          <cell r="H975">
            <v>39.299999999999997</v>
          </cell>
          <cell r="I975" t="str">
            <v>-</v>
          </cell>
          <cell r="J975">
            <v>33172</v>
          </cell>
          <cell r="K975">
            <v>13.6</v>
          </cell>
          <cell r="L975">
            <v>7.0000000000000007E-2</v>
          </cell>
          <cell r="M975" t="str">
            <v>36 : 64</v>
          </cell>
          <cell r="N975">
            <v>2013</v>
          </cell>
          <cell r="O975">
            <v>474</v>
          </cell>
          <cell r="P975">
            <v>13</v>
          </cell>
        </row>
        <row r="976">
          <cell r="B976" t="str">
            <v>Southern Methodist University</v>
          </cell>
          <cell r="C976" t="str">
            <v>United States of America</v>
          </cell>
          <cell r="D976" t="str">
            <v>351-400</v>
          </cell>
          <cell r="E976">
            <v>35.200000000000003</v>
          </cell>
          <cell r="F976">
            <v>9</v>
          </cell>
          <cell r="G976">
            <v>67.3</v>
          </cell>
          <cell r="H976" t="str">
            <v>-</v>
          </cell>
          <cell r="I976" t="str">
            <v>-</v>
          </cell>
          <cell r="N976">
            <v>2013</v>
          </cell>
          <cell r="O976">
            <v>171</v>
          </cell>
          <cell r="P976">
            <v>74</v>
          </cell>
        </row>
        <row r="977">
          <cell r="B977" t="str">
            <v>Temple University</v>
          </cell>
          <cell r="C977" t="str">
            <v>United States of America</v>
          </cell>
          <cell r="D977" t="str">
            <v>351-400</v>
          </cell>
          <cell r="E977">
            <v>20.100000000000001</v>
          </cell>
          <cell r="F977">
            <v>18.8</v>
          </cell>
          <cell r="G977">
            <v>43.3</v>
          </cell>
          <cell r="H977" t="str">
            <v>-</v>
          </cell>
          <cell r="I977" t="str">
            <v>-</v>
          </cell>
          <cell r="J977">
            <v>33268</v>
          </cell>
          <cell r="K977">
            <v>13.3</v>
          </cell>
          <cell r="L977">
            <v>0.05</v>
          </cell>
          <cell r="M977">
            <v>2.1590277777777778</v>
          </cell>
          <cell r="N977">
            <v>2013</v>
          </cell>
          <cell r="O977">
            <v>390</v>
          </cell>
          <cell r="P977">
            <v>136</v>
          </cell>
        </row>
        <row r="978">
          <cell r="B978" t="str">
            <v>University of Aveiro</v>
          </cell>
          <cell r="C978" t="str">
            <v>Portugal</v>
          </cell>
          <cell r="D978" t="str">
            <v>351-400</v>
          </cell>
          <cell r="E978">
            <v>48.7</v>
          </cell>
          <cell r="F978">
            <v>21.1</v>
          </cell>
          <cell r="G978">
            <v>49</v>
          </cell>
          <cell r="H978">
            <v>39.9</v>
          </cell>
          <cell r="I978" t="str">
            <v>-</v>
          </cell>
          <cell r="J978">
            <v>10791</v>
          </cell>
          <cell r="K978">
            <v>17.8</v>
          </cell>
          <cell r="L978">
            <v>0.1</v>
          </cell>
          <cell r="M978">
            <v>2.1590277777777778</v>
          </cell>
          <cell r="N978">
            <v>2013</v>
          </cell>
          <cell r="O978">
            <v>553</v>
          </cell>
          <cell r="P978">
            <v>4</v>
          </cell>
        </row>
        <row r="979">
          <cell r="B979" t="str">
            <v>University of Duisburg-Essen</v>
          </cell>
          <cell r="C979" t="str">
            <v>Germany</v>
          </cell>
          <cell r="D979" t="str">
            <v>351-400</v>
          </cell>
          <cell r="E979">
            <v>50.2</v>
          </cell>
          <cell r="F979">
            <v>14.7</v>
          </cell>
          <cell r="G979">
            <v>54.7</v>
          </cell>
          <cell r="H979">
            <v>41.1</v>
          </cell>
          <cell r="I979" t="str">
            <v>-</v>
          </cell>
          <cell r="J979">
            <v>36051</v>
          </cell>
          <cell r="K979">
            <v>46.6</v>
          </cell>
          <cell r="L979">
            <v>0.11</v>
          </cell>
          <cell r="M979">
            <v>2.0770833333333334</v>
          </cell>
          <cell r="N979">
            <v>2013</v>
          </cell>
          <cell r="O979">
            <v>303</v>
          </cell>
          <cell r="P979">
            <v>27</v>
          </cell>
        </row>
        <row r="980">
          <cell r="B980" t="str">
            <v>University of Ferrara</v>
          </cell>
          <cell r="C980" t="str">
            <v>Italy</v>
          </cell>
          <cell r="D980" t="str">
            <v>351-400</v>
          </cell>
          <cell r="E980">
            <v>41.4</v>
          </cell>
          <cell r="F980">
            <v>13</v>
          </cell>
          <cell r="G980">
            <v>58.5</v>
          </cell>
          <cell r="H980">
            <v>37.700000000000003</v>
          </cell>
          <cell r="I980" t="str">
            <v>-</v>
          </cell>
          <cell r="J980">
            <v>18882</v>
          </cell>
          <cell r="K980">
            <v>30.2</v>
          </cell>
          <cell r="L980">
            <v>7.0000000000000007E-2</v>
          </cell>
          <cell r="M980">
            <v>2.3638888888888889</v>
          </cell>
          <cell r="N980">
            <v>2013</v>
          </cell>
          <cell r="O980">
            <v>387</v>
          </cell>
          <cell r="P980">
            <v>17</v>
          </cell>
        </row>
        <row r="981">
          <cell r="B981" t="str">
            <v>University of Hertfordshire</v>
          </cell>
          <cell r="C981" t="str">
            <v>United Kingdom</v>
          </cell>
          <cell r="D981" t="str">
            <v>351-400</v>
          </cell>
          <cell r="E981">
            <v>77.2</v>
          </cell>
          <cell r="F981">
            <v>9.1</v>
          </cell>
          <cell r="G981">
            <v>63.1</v>
          </cell>
          <cell r="H981">
            <v>28.9</v>
          </cell>
          <cell r="I981" t="str">
            <v>-</v>
          </cell>
          <cell r="J981">
            <v>19665</v>
          </cell>
          <cell r="K981">
            <v>19.399999999999999</v>
          </cell>
          <cell r="L981">
            <v>0.27</v>
          </cell>
          <cell r="M981">
            <v>2.2819444444444446</v>
          </cell>
          <cell r="N981">
            <v>2013</v>
          </cell>
          <cell r="O981">
            <v>645</v>
          </cell>
          <cell r="P981">
            <v>49</v>
          </cell>
        </row>
        <row r="982">
          <cell r="B982" t="str">
            <v>University of Houston</v>
          </cell>
          <cell r="C982" t="str">
            <v>United States of America</v>
          </cell>
          <cell r="D982" t="str">
            <v>351-400</v>
          </cell>
          <cell r="E982">
            <v>32.6</v>
          </cell>
          <cell r="F982">
            <v>25</v>
          </cell>
          <cell r="G982">
            <v>35</v>
          </cell>
          <cell r="H982">
            <v>35.700000000000003</v>
          </cell>
          <cell r="I982" t="str">
            <v>-</v>
          </cell>
          <cell r="J982">
            <v>40325</v>
          </cell>
          <cell r="K982">
            <v>43.7</v>
          </cell>
          <cell r="L982">
            <v>0.09</v>
          </cell>
          <cell r="M982">
            <v>2.1180555555555554</v>
          </cell>
          <cell r="N982">
            <v>2013</v>
          </cell>
          <cell r="O982">
            <v>162</v>
          </cell>
          <cell r="P982">
            <v>70</v>
          </cell>
        </row>
        <row r="983">
          <cell r="B983" t="str">
            <v>University of JyvÃ¤skylÃ¤</v>
          </cell>
          <cell r="C983" t="str">
            <v>Finland</v>
          </cell>
          <cell r="D983" t="str">
            <v>351-400</v>
          </cell>
          <cell r="E983">
            <v>49.7</v>
          </cell>
          <cell r="F983">
            <v>15.8</v>
          </cell>
          <cell r="G983">
            <v>44.6</v>
          </cell>
          <cell r="H983">
            <v>71.2</v>
          </cell>
          <cell r="I983" t="str">
            <v>-</v>
          </cell>
          <cell r="J983">
            <v>9703</v>
          </cell>
          <cell r="K983">
            <v>15.2</v>
          </cell>
          <cell r="L983">
            <v>0.05</v>
          </cell>
          <cell r="M983">
            <v>2.6097222222222221</v>
          </cell>
          <cell r="N983">
            <v>2013</v>
          </cell>
          <cell r="O983">
            <v>664</v>
          </cell>
          <cell r="P983">
            <v>8</v>
          </cell>
        </row>
        <row r="984">
          <cell r="B984" t="str">
            <v>University of KwaZulu-Natal</v>
          </cell>
          <cell r="C984" t="str">
            <v>South Africa</v>
          </cell>
          <cell r="D984" t="str">
            <v>351-400</v>
          </cell>
          <cell r="E984">
            <v>56.2</v>
          </cell>
          <cell r="F984">
            <v>20.2</v>
          </cell>
          <cell r="G984">
            <v>40</v>
          </cell>
          <cell r="H984">
            <v>28.5</v>
          </cell>
          <cell r="I984" t="str">
            <v>-</v>
          </cell>
          <cell r="J984">
            <v>30572</v>
          </cell>
          <cell r="K984">
            <v>24.9</v>
          </cell>
          <cell r="L984">
            <v>0.06</v>
          </cell>
          <cell r="M984">
            <v>2.4458333333333333</v>
          </cell>
          <cell r="N984">
            <v>2013</v>
          </cell>
          <cell r="O984">
            <v>459</v>
          </cell>
          <cell r="P984">
            <v>4</v>
          </cell>
        </row>
        <row r="985">
          <cell r="B985" t="str">
            <v>University of LiÃ¨ge</v>
          </cell>
          <cell r="C985" t="str">
            <v>Belgium</v>
          </cell>
          <cell r="D985" t="str">
            <v>351-400</v>
          </cell>
          <cell r="E985">
            <v>67.8</v>
          </cell>
          <cell r="F985">
            <v>16.899999999999999</v>
          </cell>
          <cell r="G985">
            <v>48.4</v>
          </cell>
          <cell r="H985">
            <v>55.9</v>
          </cell>
          <cell r="I985" t="str">
            <v>-</v>
          </cell>
          <cell r="J985">
            <v>20951</v>
          </cell>
          <cell r="K985">
            <v>25.9</v>
          </cell>
          <cell r="L985">
            <v>0.23</v>
          </cell>
          <cell r="M985">
            <v>2.2819444444444446</v>
          </cell>
          <cell r="N985">
            <v>2013</v>
          </cell>
          <cell r="O985">
            <v>316</v>
          </cell>
          <cell r="P985">
            <v>6</v>
          </cell>
        </row>
        <row r="986">
          <cell r="B986" t="str">
            <v>University of Minho</v>
          </cell>
          <cell r="C986" t="str">
            <v>Portugal</v>
          </cell>
          <cell r="D986" t="str">
            <v>351-400</v>
          </cell>
          <cell r="E986">
            <v>44.1</v>
          </cell>
          <cell r="F986">
            <v>19.7</v>
          </cell>
          <cell r="G986">
            <v>51.2</v>
          </cell>
          <cell r="H986">
            <v>32.200000000000003</v>
          </cell>
          <cell r="I986" t="str">
            <v>-</v>
          </cell>
          <cell r="J986">
            <v>19090</v>
          </cell>
          <cell r="K986">
            <v>18.8</v>
          </cell>
          <cell r="L986">
            <v>0.09</v>
          </cell>
          <cell r="M986">
            <v>2.2000000000000002</v>
          </cell>
          <cell r="N986">
            <v>2013</v>
          </cell>
          <cell r="O986">
            <v>679</v>
          </cell>
          <cell r="P986">
            <v>6</v>
          </cell>
        </row>
        <row r="987">
          <cell r="B987" t="str">
            <v>University of Modena and Reggio Emilia</v>
          </cell>
          <cell r="C987" t="str">
            <v>Italy</v>
          </cell>
          <cell r="D987" t="str">
            <v>351-400</v>
          </cell>
          <cell r="E987">
            <v>30</v>
          </cell>
          <cell r="F987">
            <v>16.600000000000001</v>
          </cell>
          <cell r="G987">
            <v>58.5</v>
          </cell>
          <cell r="H987">
            <v>32.299999999999997</v>
          </cell>
          <cell r="I987" t="str">
            <v>-</v>
          </cell>
          <cell r="J987">
            <v>19693</v>
          </cell>
          <cell r="K987">
            <v>25.3</v>
          </cell>
          <cell r="L987">
            <v>0.06</v>
          </cell>
          <cell r="M987">
            <v>2.2819444444444446</v>
          </cell>
          <cell r="N987">
            <v>2013</v>
          </cell>
          <cell r="O987">
            <v>466</v>
          </cell>
          <cell r="P987">
            <v>24</v>
          </cell>
        </row>
        <row r="988">
          <cell r="B988" t="str">
            <v>University of Oklahoma</v>
          </cell>
          <cell r="C988" t="str">
            <v>United States of America</v>
          </cell>
          <cell r="D988" t="str">
            <v>351-400</v>
          </cell>
          <cell r="E988">
            <v>24.2</v>
          </cell>
          <cell r="F988">
            <v>17.8</v>
          </cell>
          <cell r="G988">
            <v>42.9</v>
          </cell>
          <cell r="H988">
            <v>33.9</v>
          </cell>
          <cell r="I988" t="str">
            <v>-</v>
          </cell>
          <cell r="N988">
            <v>2013</v>
          </cell>
          <cell r="O988" t="e">
            <v>#N/A</v>
          </cell>
          <cell r="P988" t="e">
            <v>#N/A</v>
          </cell>
        </row>
        <row r="989">
          <cell r="B989" t="str">
            <v>University of Porto</v>
          </cell>
          <cell r="C989" t="str">
            <v>Portugal</v>
          </cell>
          <cell r="D989" t="str">
            <v>351-400</v>
          </cell>
          <cell r="E989">
            <v>43.2</v>
          </cell>
          <cell r="F989">
            <v>21.1</v>
          </cell>
          <cell r="G989">
            <v>50.2</v>
          </cell>
          <cell r="H989">
            <v>36.200000000000003</v>
          </cell>
          <cell r="I989" t="str">
            <v>-</v>
          </cell>
          <cell r="J989">
            <v>32720</v>
          </cell>
          <cell r="K989">
            <v>18.8</v>
          </cell>
          <cell r="L989">
            <v>0.09</v>
          </cell>
          <cell r="M989">
            <v>2.2819444444444446</v>
          </cell>
          <cell r="N989">
            <v>2013</v>
          </cell>
          <cell r="O989">
            <v>290</v>
          </cell>
          <cell r="P989">
            <v>2</v>
          </cell>
        </row>
        <row r="990">
          <cell r="B990" t="str">
            <v>University of Salento</v>
          </cell>
          <cell r="C990" t="str">
            <v>Italy</v>
          </cell>
          <cell r="D990" t="str">
            <v>351-400</v>
          </cell>
          <cell r="E990">
            <v>28.4</v>
          </cell>
          <cell r="F990">
            <v>21.3</v>
          </cell>
          <cell r="G990">
            <v>40.6</v>
          </cell>
          <cell r="H990">
            <v>51.3</v>
          </cell>
          <cell r="I990" t="str">
            <v>-</v>
          </cell>
          <cell r="J990">
            <v>19959</v>
          </cell>
          <cell r="K990">
            <v>58.4</v>
          </cell>
          <cell r="L990">
            <v>0.01</v>
          </cell>
          <cell r="M990">
            <v>2.6916666666666669</v>
          </cell>
          <cell r="N990">
            <v>2013</v>
          </cell>
          <cell r="O990">
            <v>785</v>
          </cell>
          <cell r="P990">
            <v>42</v>
          </cell>
        </row>
        <row r="991">
          <cell r="B991" t="str">
            <v>University of Stirling</v>
          </cell>
          <cell r="C991" t="str">
            <v>United Kingdom</v>
          </cell>
          <cell r="D991" t="str">
            <v>351-400</v>
          </cell>
          <cell r="E991">
            <v>63.7</v>
          </cell>
          <cell r="F991">
            <v>23.7</v>
          </cell>
          <cell r="G991">
            <v>50.3</v>
          </cell>
          <cell r="H991">
            <v>29.8</v>
          </cell>
          <cell r="I991" t="str">
            <v>-</v>
          </cell>
          <cell r="J991">
            <v>7828</v>
          </cell>
          <cell r="K991">
            <v>15.9</v>
          </cell>
          <cell r="L991">
            <v>0.22</v>
          </cell>
          <cell r="M991">
            <v>2.5687500000000001</v>
          </cell>
          <cell r="N991">
            <v>2013</v>
          </cell>
          <cell r="O991">
            <v>735</v>
          </cell>
          <cell r="P991">
            <v>57</v>
          </cell>
        </row>
        <row r="992">
          <cell r="B992" t="str">
            <v>University of Strathclyde</v>
          </cell>
          <cell r="C992" t="str">
            <v>United Kingdom</v>
          </cell>
          <cell r="D992" t="str">
            <v>351-400</v>
          </cell>
          <cell r="E992">
            <v>63</v>
          </cell>
          <cell r="F992">
            <v>21.6</v>
          </cell>
          <cell r="G992">
            <v>33</v>
          </cell>
          <cell r="H992">
            <v>35.799999999999997</v>
          </cell>
          <cell r="I992" t="str">
            <v>-</v>
          </cell>
          <cell r="J992">
            <v>15705</v>
          </cell>
          <cell r="K992">
            <v>20.2</v>
          </cell>
          <cell r="L992">
            <v>0.2</v>
          </cell>
          <cell r="M992">
            <v>2.1180555555555554</v>
          </cell>
          <cell r="N992">
            <v>2013</v>
          </cell>
          <cell r="O992">
            <v>472</v>
          </cell>
          <cell r="P992">
            <v>39</v>
          </cell>
        </row>
        <row r="993">
          <cell r="B993" t="str">
            <v>University of Surrey</v>
          </cell>
          <cell r="C993" t="str">
            <v>United Kingdom</v>
          </cell>
          <cell r="D993" t="str">
            <v>351-400</v>
          </cell>
          <cell r="E993">
            <v>80.400000000000006</v>
          </cell>
          <cell r="F993">
            <v>25</v>
          </cell>
          <cell r="G993">
            <v>21.6</v>
          </cell>
          <cell r="H993">
            <v>45.4</v>
          </cell>
          <cell r="I993" t="str">
            <v>-</v>
          </cell>
          <cell r="J993">
            <v>12063</v>
          </cell>
          <cell r="K993">
            <v>16.600000000000001</v>
          </cell>
          <cell r="L993">
            <v>0.38</v>
          </cell>
          <cell r="M993">
            <v>2.3229166666666665</v>
          </cell>
          <cell r="N993">
            <v>2013</v>
          </cell>
          <cell r="O993">
            <v>499</v>
          </cell>
          <cell r="P993">
            <v>41</v>
          </cell>
        </row>
        <row r="994">
          <cell r="B994" t="str">
            <v>University of Tartu</v>
          </cell>
          <cell r="C994" t="str">
            <v>Estonia</v>
          </cell>
          <cell r="D994" t="str">
            <v>351-400</v>
          </cell>
          <cell r="E994">
            <v>42.4</v>
          </cell>
          <cell r="F994">
            <v>27.4</v>
          </cell>
          <cell r="G994">
            <v>52.4</v>
          </cell>
          <cell r="H994">
            <v>30.1</v>
          </cell>
          <cell r="I994" t="str">
            <v>-</v>
          </cell>
          <cell r="J994">
            <v>10269</v>
          </cell>
          <cell r="K994">
            <v>13</v>
          </cell>
          <cell r="L994">
            <v>0.03</v>
          </cell>
          <cell r="M994">
            <v>2.7736111111111112</v>
          </cell>
          <cell r="N994">
            <v>2013</v>
          </cell>
          <cell r="O994">
            <v>556</v>
          </cell>
          <cell r="P994">
            <v>1</v>
          </cell>
        </row>
        <row r="995">
          <cell r="B995" t="str">
            <v>University of Tasmania</v>
          </cell>
          <cell r="C995" t="str">
            <v>Australia</v>
          </cell>
          <cell r="D995" t="str">
            <v>351-400</v>
          </cell>
          <cell r="E995">
            <v>68.400000000000006</v>
          </cell>
          <cell r="F995">
            <v>17.5</v>
          </cell>
          <cell r="G995">
            <v>47.2</v>
          </cell>
          <cell r="H995">
            <v>44.8</v>
          </cell>
          <cell r="I995" t="str">
            <v>-</v>
          </cell>
          <cell r="J995">
            <v>18340</v>
          </cell>
          <cell r="K995">
            <v>23.8</v>
          </cell>
          <cell r="L995">
            <v>0.21</v>
          </cell>
          <cell r="M995">
            <v>2.4048611111111109</v>
          </cell>
          <cell r="N995">
            <v>2013</v>
          </cell>
          <cell r="O995">
            <v>608</v>
          </cell>
          <cell r="P995">
            <v>15</v>
          </cell>
        </row>
        <row r="996">
          <cell r="B996" t="str">
            <v>University of Technology Sydney</v>
          </cell>
          <cell r="C996" t="str">
            <v>Australia</v>
          </cell>
          <cell r="D996" t="str">
            <v>351-400</v>
          </cell>
          <cell r="E996">
            <v>74.7</v>
          </cell>
          <cell r="F996">
            <v>21.5</v>
          </cell>
          <cell r="G996">
            <v>34.700000000000003</v>
          </cell>
          <cell r="H996">
            <v>33.9</v>
          </cell>
          <cell r="I996" t="str">
            <v>-</v>
          </cell>
          <cell r="J996">
            <v>24519</v>
          </cell>
          <cell r="K996">
            <v>44.1</v>
          </cell>
          <cell r="L996">
            <v>0.31</v>
          </cell>
          <cell r="M996">
            <v>2.2409722222222221</v>
          </cell>
          <cell r="N996">
            <v>2013</v>
          </cell>
          <cell r="O996" t="e">
            <v>#N/A</v>
          </cell>
          <cell r="P996" t="e">
            <v>#N/A</v>
          </cell>
        </row>
        <row r="997">
          <cell r="B997" t="str">
            <v>University of Texas at San Antonio</v>
          </cell>
          <cell r="C997" t="str">
            <v>United States of America</v>
          </cell>
          <cell r="D997" t="str">
            <v>351-400</v>
          </cell>
          <cell r="E997">
            <v>28.6</v>
          </cell>
          <cell r="F997">
            <v>17.600000000000001</v>
          </cell>
          <cell r="G997">
            <v>66.2</v>
          </cell>
          <cell r="H997">
            <v>32.200000000000003</v>
          </cell>
          <cell r="I997" t="str">
            <v>-</v>
          </cell>
          <cell r="J997">
            <v>27520</v>
          </cell>
          <cell r="K997">
            <v>26.9</v>
          </cell>
          <cell r="L997">
            <v>0.06</v>
          </cell>
          <cell r="M997">
            <v>2.036111111111111</v>
          </cell>
          <cell r="N997">
            <v>2013</v>
          </cell>
          <cell r="O997">
            <v>256</v>
          </cell>
          <cell r="P997">
            <v>103</v>
          </cell>
        </row>
        <row r="998">
          <cell r="B998" t="str">
            <v>University of the Andes, Colombia</v>
          </cell>
          <cell r="C998" t="str">
            <v>Colombia</v>
          </cell>
          <cell r="D998" t="str">
            <v>351-400</v>
          </cell>
          <cell r="E998">
            <v>53</v>
          </cell>
          <cell r="F998">
            <v>11.4</v>
          </cell>
          <cell r="G998">
            <v>68.2</v>
          </cell>
          <cell r="H998">
            <v>28.4</v>
          </cell>
          <cell r="I998" t="str">
            <v>-</v>
          </cell>
          <cell r="J998">
            <v>15773</v>
          </cell>
          <cell r="K998">
            <v>16.899999999999999</v>
          </cell>
          <cell r="L998">
            <v>0.02</v>
          </cell>
          <cell r="M998">
            <v>1.8722222222222222</v>
          </cell>
          <cell r="N998">
            <v>2013</v>
          </cell>
          <cell r="O998" t="e">
            <v>#N/A</v>
          </cell>
          <cell r="P998" t="e">
            <v>#N/A</v>
          </cell>
        </row>
        <row r="999">
          <cell r="B999" t="str">
            <v>University of Valencia</v>
          </cell>
          <cell r="C999" t="str">
            <v>Spain</v>
          </cell>
          <cell r="D999" t="str">
            <v>351-400</v>
          </cell>
          <cell r="E999">
            <v>40.799999999999997</v>
          </cell>
          <cell r="F999">
            <v>14.5</v>
          </cell>
          <cell r="G999">
            <v>62.8</v>
          </cell>
          <cell r="H999">
            <v>32.5</v>
          </cell>
          <cell r="I999" t="str">
            <v>-</v>
          </cell>
          <cell r="J999">
            <v>58413</v>
          </cell>
          <cell r="K999">
            <v>15.4</v>
          </cell>
          <cell r="L999">
            <v>0.09</v>
          </cell>
          <cell r="M999">
            <v>2.5277777777777777</v>
          </cell>
          <cell r="N999">
            <v>2013</v>
          </cell>
          <cell r="O999">
            <v>301</v>
          </cell>
          <cell r="P999">
            <v>4</v>
          </cell>
        </row>
        <row r="1000">
          <cell r="B1000" t="str">
            <v>University of Vigo</v>
          </cell>
          <cell r="C1000" t="str">
            <v>Spain</v>
          </cell>
          <cell r="D1000" t="str">
            <v>351-400</v>
          </cell>
          <cell r="E1000">
            <v>26.9</v>
          </cell>
          <cell r="F1000">
            <v>9.5</v>
          </cell>
          <cell r="G1000">
            <v>63.7</v>
          </cell>
          <cell r="H1000">
            <v>36.6</v>
          </cell>
          <cell r="I1000" t="str">
            <v>-</v>
          </cell>
          <cell r="J1000">
            <v>22793</v>
          </cell>
          <cell r="K1000">
            <v>19</v>
          </cell>
          <cell r="L1000">
            <v>0.03</v>
          </cell>
          <cell r="M1000">
            <v>2.1590277777777778</v>
          </cell>
          <cell r="N1000">
            <v>2013</v>
          </cell>
          <cell r="O1000">
            <v>692</v>
          </cell>
          <cell r="P1000">
            <v>22</v>
          </cell>
        </row>
        <row r="1001">
          <cell r="B1001" t="str">
            <v>University of Warsaw</v>
          </cell>
          <cell r="C1001" t="str">
            <v>Poland</v>
          </cell>
          <cell r="D1001" t="str">
            <v>351-400</v>
          </cell>
          <cell r="E1001">
            <v>39.799999999999997</v>
          </cell>
          <cell r="F1001">
            <v>18.399999999999999</v>
          </cell>
          <cell r="G1001">
            <v>54</v>
          </cell>
          <cell r="H1001">
            <v>27.9</v>
          </cell>
          <cell r="I1001" t="str">
            <v>-</v>
          </cell>
          <cell r="J1001">
            <v>49292</v>
          </cell>
          <cell r="K1001">
            <v>14.1</v>
          </cell>
          <cell r="L1001">
            <v>7.0000000000000007E-2</v>
          </cell>
          <cell r="M1001">
            <v>2.8145833333333332</v>
          </cell>
          <cell r="N1001">
            <v>2013</v>
          </cell>
          <cell r="O1001">
            <v>419</v>
          </cell>
          <cell r="P1001">
            <v>1</v>
          </cell>
        </row>
        <row r="1002">
          <cell r="B1002" t="str">
            <v>University of Wyoming</v>
          </cell>
          <cell r="C1002" t="str">
            <v>United States of America</v>
          </cell>
          <cell r="D1002" t="str">
            <v>351-400</v>
          </cell>
          <cell r="E1002">
            <v>28.1</v>
          </cell>
          <cell r="F1002">
            <v>24.2</v>
          </cell>
          <cell r="G1002">
            <v>47.5</v>
          </cell>
          <cell r="H1002">
            <v>30.9</v>
          </cell>
          <cell r="I1002" t="str">
            <v>-</v>
          </cell>
          <cell r="N1002">
            <v>2013</v>
          </cell>
          <cell r="O1002">
            <v>485</v>
          </cell>
          <cell r="P1002">
            <v>157</v>
          </cell>
        </row>
        <row r="1003">
          <cell r="B1003" t="str">
            <v>Waseda University</v>
          </cell>
          <cell r="C1003" t="str">
            <v>Japan</v>
          </cell>
          <cell r="D1003" t="str">
            <v>351-400</v>
          </cell>
          <cell r="E1003">
            <v>32.799999999999997</v>
          </cell>
          <cell r="F1003">
            <v>21.3</v>
          </cell>
          <cell r="G1003">
            <v>37.799999999999997</v>
          </cell>
          <cell r="H1003">
            <v>30.8</v>
          </cell>
          <cell r="I1003" t="str">
            <v>-</v>
          </cell>
          <cell r="J1003">
            <v>52316</v>
          </cell>
          <cell r="K1003">
            <v>16.899999999999999</v>
          </cell>
          <cell r="L1003">
            <v>0.08</v>
          </cell>
          <cell r="M1003" t="str">
            <v>35 : 65</v>
          </cell>
          <cell r="N1003">
            <v>2013</v>
          </cell>
          <cell r="O1003">
            <v>40</v>
          </cell>
          <cell r="P1003">
            <v>4</v>
          </cell>
        </row>
        <row r="1004">
          <cell r="B1004" t="str">
            <v>California Institute of Technology</v>
          </cell>
          <cell r="C1004" t="str">
            <v>United States of America</v>
          </cell>
          <cell r="D1004">
            <v>1</v>
          </cell>
          <cell r="E1004">
            <v>65.8</v>
          </cell>
          <cell r="F1004">
            <v>98.2</v>
          </cell>
          <cell r="G1004">
            <v>99.8</v>
          </cell>
          <cell r="H1004">
            <v>91.2</v>
          </cell>
          <cell r="I1004">
            <v>94.9</v>
          </cell>
          <cell r="J1004">
            <v>2243</v>
          </cell>
          <cell r="K1004">
            <v>6.9</v>
          </cell>
          <cell r="L1004">
            <v>0.27</v>
          </cell>
          <cell r="M1004" t="str">
            <v>33 : 67</v>
          </cell>
          <cell r="N1004">
            <v>2014</v>
          </cell>
          <cell r="O1004">
            <v>5</v>
          </cell>
          <cell r="P1004">
            <v>4</v>
          </cell>
        </row>
        <row r="1005">
          <cell r="B1005" t="str">
            <v>Harvard University</v>
          </cell>
          <cell r="C1005" t="str">
            <v>United States of America</v>
          </cell>
          <cell r="D1005">
            <v>2</v>
          </cell>
          <cell r="E1005">
            <v>66.2</v>
          </cell>
          <cell r="F1005">
            <v>98.5</v>
          </cell>
          <cell r="G1005">
            <v>99.1</v>
          </cell>
          <cell r="H1005">
            <v>40.6</v>
          </cell>
          <cell r="I1005">
            <v>93.9</v>
          </cell>
          <cell r="J1005">
            <v>20152</v>
          </cell>
          <cell r="K1005">
            <v>8.9</v>
          </cell>
          <cell r="L1005">
            <v>0.25</v>
          </cell>
          <cell r="N1005">
            <v>2014</v>
          </cell>
          <cell r="O1005">
            <v>1</v>
          </cell>
          <cell r="P1005">
            <v>1</v>
          </cell>
        </row>
        <row r="1006">
          <cell r="B1006" t="str">
            <v>University of Oxford</v>
          </cell>
          <cell r="C1006" t="str">
            <v>United Kingdom</v>
          </cell>
          <cell r="D1006">
            <v>2</v>
          </cell>
          <cell r="E1006">
            <v>90.2</v>
          </cell>
          <cell r="F1006">
            <v>98.5</v>
          </cell>
          <cell r="G1006">
            <v>95.4</v>
          </cell>
          <cell r="H1006">
            <v>90.3</v>
          </cell>
          <cell r="I1006">
            <v>93.9</v>
          </cell>
          <cell r="J1006">
            <v>19919</v>
          </cell>
          <cell r="K1006">
            <v>11.6</v>
          </cell>
          <cell r="L1006">
            <v>0.34</v>
          </cell>
          <cell r="M1006">
            <v>1.9541666666666666</v>
          </cell>
          <cell r="N1006">
            <v>2014</v>
          </cell>
          <cell r="O1006">
            <v>7</v>
          </cell>
          <cell r="P1006">
            <v>2</v>
          </cell>
        </row>
        <row r="1007">
          <cell r="B1007" t="str">
            <v>Stanford University</v>
          </cell>
          <cell r="C1007" t="str">
            <v>United States of America</v>
          </cell>
          <cell r="D1007">
            <v>4</v>
          </cell>
          <cell r="E1007">
            <v>68</v>
          </cell>
          <cell r="F1007">
            <v>96.8</v>
          </cell>
          <cell r="G1007">
            <v>99.1</v>
          </cell>
          <cell r="H1007">
            <v>61.3</v>
          </cell>
          <cell r="I1007">
            <v>93.8</v>
          </cell>
          <cell r="J1007">
            <v>15596</v>
          </cell>
          <cell r="K1007">
            <v>7.8</v>
          </cell>
          <cell r="L1007">
            <v>0.22</v>
          </cell>
          <cell r="M1007">
            <v>1.7902777777777779</v>
          </cell>
          <cell r="N1007">
            <v>2014</v>
          </cell>
          <cell r="O1007">
            <v>3</v>
          </cell>
          <cell r="P1007">
            <v>3</v>
          </cell>
        </row>
        <row r="1008">
          <cell r="B1008" t="str">
            <v>Massachusetts Institute of Technology</v>
          </cell>
          <cell r="C1008" t="str">
            <v>United States of America</v>
          </cell>
          <cell r="D1008">
            <v>5</v>
          </cell>
          <cell r="E1008">
            <v>82</v>
          </cell>
          <cell r="F1008">
            <v>89</v>
          </cell>
          <cell r="G1008">
            <v>100</v>
          </cell>
          <cell r="H1008">
            <v>94.3</v>
          </cell>
          <cell r="I1008">
            <v>93</v>
          </cell>
          <cell r="J1008">
            <v>11074</v>
          </cell>
          <cell r="K1008">
            <v>9</v>
          </cell>
          <cell r="L1008">
            <v>0.33</v>
          </cell>
          <cell r="M1008" t="str">
            <v>37 : 63</v>
          </cell>
          <cell r="N1008">
            <v>2014</v>
          </cell>
          <cell r="O1008">
            <v>2</v>
          </cell>
          <cell r="P1008">
            <v>2</v>
          </cell>
        </row>
        <row r="1009">
          <cell r="B1009" t="str">
            <v>Princeton University</v>
          </cell>
          <cell r="C1009" t="str">
            <v>United States of America</v>
          </cell>
          <cell r="D1009">
            <v>6</v>
          </cell>
          <cell r="E1009">
            <v>59.6</v>
          </cell>
          <cell r="F1009">
            <v>97.6</v>
          </cell>
          <cell r="G1009">
            <v>99.7</v>
          </cell>
          <cell r="H1009">
            <v>80.5</v>
          </cell>
          <cell r="I1009">
            <v>92.7</v>
          </cell>
          <cell r="J1009">
            <v>7929</v>
          </cell>
          <cell r="K1009">
            <v>8.4</v>
          </cell>
          <cell r="L1009">
            <v>0.27</v>
          </cell>
          <cell r="M1009">
            <v>1.9131944444444444</v>
          </cell>
          <cell r="N1009">
            <v>2014</v>
          </cell>
          <cell r="O1009">
            <v>6</v>
          </cell>
          <cell r="P1009">
            <v>5</v>
          </cell>
        </row>
        <row r="1010">
          <cell r="B1010" t="str">
            <v>University of Cambridge</v>
          </cell>
          <cell r="C1010" t="str">
            <v>United Kingdom</v>
          </cell>
          <cell r="D1010">
            <v>7</v>
          </cell>
          <cell r="E1010">
            <v>86.7</v>
          </cell>
          <cell r="F1010">
            <v>95.3</v>
          </cell>
          <cell r="G1010">
            <v>95.7</v>
          </cell>
          <cell r="H1010">
            <v>52.8</v>
          </cell>
          <cell r="I1010">
            <v>92.3</v>
          </cell>
          <cell r="J1010">
            <v>18812</v>
          </cell>
          <cell r="K1010">
            <v>11.8</v>
          </cell>
          <cell r="L1010">
            <v>0.34</v>
          </cell>
          <cell r="M1010">
            <v>1.9541666666666666</v>
          </cell>
          <cell r="N1010">
            <v>2014</v>
          </cell>
          <cell r="O1010">
            <v>4</v>
          </cell>
          <cell r="P1010">
            <v>1</v>
          </cell>
        </row>
        <row r="1011">
          <cell r="B1011" t="str">
            <v>University of California, Berkeley</v>
          </cell>
          <cell r="C1011" t="str">
            <v>United States of America</v>
          </cell>
          <cell r="D1011">
            <v>8</v>
          </cell>
          <cell r="E1011">
            <v>57.3</v>
          </cell>
          <cell r="F1011">
            <v>97.5</v>
          </cell>
          <cell r="G1011">
            <v>99.3</v>
          </cell>
          <cell r="H1011">
            <v>59.5</v>
          </cell>
          <cell r="I1011">
            <v>89.8</v>
          </cell>
          <cell r="J1011">
            <v>36186</v>
          </cell>
          <cell r="K1011">
            <v>16.399999999999999</v>
          </cell>
          <cell r="L1011">
            <v>0.15</v>
          </cell>
          <cell r="M1011">
            <v>2.1180555555555554</v>
          </cell>
          <cell r="N1011">
            <v>2014</v>
          </cell>
          <cell r="O1011">
            <v>10</v>
          </cell>
          <cell r="P1011">
            <v>8</v>
          </cell>
        </row>
        <row r="1012">
          <cell r="B1012" t="str">
            <v>University of Chicago</v>
          </cell>
          <cell r="C1012" t="str">
            <v>United States of America</v>
          </cell>
          <cell r="D1012">
            <v>9</v>
          </cell>
          <cell r="E1012">
            <v>58.6</v>
          </cell>
          <cell r="F1012">
            <v>88.2</v>
          </cell>
          <cell r="G1012">
            <v>98</v>
          </cell>
          <cell r="H1012" t="str">
            <v>-</v>
          </cell>
          <cell r="I1012">
            <v>87.8</v>
          </cell>
          <cell r="J1012">
            <v>14221</v>
          </cell>
          <cell r="K1012">
            <v>6.9</v>
          </cell>
          <cell r="L1012">
            <v>0.21</v>
          </cell>
          <cell r="M1012">
            <v>1.7902777777777779</v>
          </cell>
          <cell r="N1012">
            <v>2014</v>
          </cell>
          <cell r="O1012">
            <v>11</v>
          </cell>
          <cell r="P1012">
            <v>9</v>
          </cell>
        </row>
        <row r="1013">
          <cell r="B1013" t="str">
            <v>Imperial College London</v>
          </cell>
          <cell r="C1013" t="str">
            <v>United Kingdom</v>
          </cell>
          <cell r="D1013">
            <v>10</v>
          </cell>
          <cell r="E1013">
            <v>91.8</v>
          </cell>
          <cell r="F1013">
            <v>88.1</v>
          </cell>
          <cell r="G1013">
            <v>90</v>
          </cell>
          <cell r="H1013">
            <v>72.3</v>
          </cell>
          <cell r="I1013">
            <v>87.5</v>
          </cell>
          <cell r="J1013">
            <v>15060</v>
          </cell>
          <cell r="K1013">
            <v>11.7</v>
          </cell>
          <cell r="L1013">
            <v>0.51</v>
          </cell>
          <cell r="M1013" t="str">
            <v>37 : 63</v>
          </cell>
          <cell r="N1013">
            <v>2014</v>
          </cell>
          <cell r="O1013">
            <v>28</v>
          </cell>
          <cell r="P1013">
            <v>3</v>
          </cell>
        </row>
        <row r="1014">
          <cell r="B1014" t="str">
            <v>Yale University</v>
          </cell>
          <cell r="C1014" t="str">
            <v>United States of America</v>
          </cell>
          <cell r="D1014">
            <v>11</v>
          </cell>
          <cell r="E1014">
            <v>57.6</v>
          </cell>
          <cell r="F1014">
            <v>90.5</v>
          </cell>
          <cell r="G1014">
            <v>93.5</v>
          </cell>
          <cell r="H1014">
            <v>38.700000000000003</v>
          </cell>
          <cell r="I1014">
            <v>87.4</v>
          </cell>
          <cell r="J1014">
            <v>11751</v>
          </cell>
          <cell r="K1014">
            <v>4.4000000000000004</v>
          </cell>
          <cell r="L1014">
            <v>0.2</v>
          </cell>
          <cell r="M1014">
            <v>2.1180555555555554</v>
          </cell>
          <cell r="N1014">
            <v>2014</v>
          </cell>
          <cell r="O1014">
            <v>8</v>
          </cell>
          <cell r="P1014">
            <v>6</v>
          </cell>
        </row>
        <row r="1015">
          <cell r="B1015" t="str">
            <v>University of California, Los Angeles</v>
          </cell>
          <cell r="C1015" t="str">
            <v>United States of America</v>
          </cell>
          <cell r="D1015">
            <v>12</v>
          </cell>
          <cell r="E1015">
            <v>46.4</v>
          </cell>
          <cell r="F1015">
            <v>91</v>
          </cell>
          <cell r="G1015">
            <v>95.6</v>
          </cell>
          <cell r="H1015" t="str">
            <v>-</v>
          </cell>
          <cell r="I1015">
            <v>86.3</v>
          </cell>
          <cell r="J1015">
            <v>38206</v>
          </cell>
          <cell r="K1015">
            <v>10.3</v>
          </cell>
          <cell r="L1015">
            <v>0.15</v>
          </cell>
          <cell r="M1015">
            <v>2.2000000000000002</v>
          </cell>
          <cell r="N1015">
            <v>2014</v>
          </cell>
          <cell r="O1015">
            <v>19</v>
          </cell>
          <cell r="P1015">
            <v>13</v>
          </cell>
        </row>
        <row r="1016">
          <cell r="B1016" t="str">
            <v>Columbia University</v>
          </cell>
          <cell r="C1016" t="str">
            <v>United States of America</v>
          </cell>
          <cell r="D1016">
            <v>13</v>
          </cell>
          <cell r="E1016">
            <v>68</v>
          </cell>
          <cell r="F1016">
            <v>79.099999999999994</v>
          </cell>
          <cell r="G1016">
            <v>95.6</v>
          </cell>
          <cell r="H1016" t="str">
            <v>-</v>
          </cell>
          <cell r="I1016">
            <v>85.2</v>
          </cell>
          <cell r="J1016">
            <v>25055</v>
          </cell>
          <cell r="K1016">
            <v>5.9</v>
          </cell>
          <cell r="L1016">
            <v>0.28000000000000003</v>
          </cell>
          <cell r="N1016">
            <v>2014</v>
          </cell>
          <cell r="O1016">
            <v>9</v>
          </cell>
          <cell r="P1016">
            <v>7</v>
          </cell>
        </row>
        <row r="1017">
          <cell r="B1017" t="str">
            <v>ETH Zurich â€“ Swiss Federal Institute of Technology Zurich</v>
          </cell>
          <cell r="C1017" t="str">
            <v>Switzerland</v>
          </cell>
          <cell r="D1017">
            <v>14</v>
          </cell>
          <cell r="E1017">
            <v>96.7</v>
          </cell>
          <cell r="F1017">
            <v>88.2</v>
          </cell>
          <cell r="G1017">
            <v>85</v>
          </cell>
          <cell r="H1017">
            <v>78.8</v>
          </cell>
          <cell r="I1017">
            <v>84.5</v>
          </cell>
          <cell r="J1017">
            <v>18178</v>
          </cell>
          <cell r="K1017">
            <v>14.7</v>
          </cell>
          <cell r="L1017">
            <v>0.37</v>
          </cell>
          <cell r="M1017" t="str">
            <v>31 : 69</v>
          </cell>
          <cell r="N1017">
            <v>2014</v>
          </cell>
          <cell r="O1017" t="e">
            <v>#N/A</v>
          </cell>
          <cell r="P1017" t="e">
            <v>#N/A</v>
          </cell>
        </row>
        <row r="1018">
          <cell r="B1018" t="str">
            <v>Johns Hopkins University</v>
          </cell>
          <cell r="C1018" t="str">
            <v>United States of America</v>
          </cell>
          <cell r="D1018">
            <v>15</v>
          </cell>
          <cell r="E1018">
            <v>59.3</v>
          </cell>
          <cell r="F1018">
            <v>85.1</v>
          </cell>
          <cell r="G1018">
            <v>95</v>
          </cell>
          <cell r="H1018">
            <v>100</v>
          </cell>
          <cell r="I1018">
            <v>83.7</v>
          </cell>
          <cell r="J1018">
            <v>15128</v>
          </cell>
          <cell r="K1018">
            <v>3.6</v>
          </cell>
          <cell r="L1018">
            <v>0.23</v>
          </cell>
          <cell r="M1018">
            <v>2.1180555555555554</v>
          </cell>
          <cell r="N1018">
            <v>2014</v>
          </cell>
          <cell r="O1018">
            <v>15</v>
          </cell>
          <cell r="P1018">
            <v>12</v>
          </cell>
        </row>
        <row r="1019">
          <cell r="B1019" t="str">
            <v>University of Pennsylvania</v>
          </cell>
          <cell r="C1019" t="str">
            <v>United States of America</v>
          </cell>
          <cell r="D1019">
            <v>16</v>
          </cell>
          <cell r="E1019">
            <v>40.6</v>
          </cell>
          <cell r="F1019">
            <v>81.2</v>
          </cell>
          <cell r="G1019">
            <v>95</v>
          </cell>
          <cell r="H1019">
            <v>45.2</v>
          </cell>
          <cell r="I1019">
            <v>81</v>
          </cell>
          <cell r="J1019">
            <v>20376</v>
          </cell>
          <cell r="K1019">
            <v>6.5</v>
          </cell>
          <cell r="L1019">
            <v>0.2</v>
          </cell>
          <cell r="M1019">
            <v>2.1590277777777778</v>
          </cell>
          <cell r="N1019">
            <v>2014</v>
          </cell>
          <cell r="O1019">
            <v>13</v>
          </cell>
          <cell r="P1019">
            <v>11</v>
          </cell>
        </row>
        <row r="1020">
          <cell r="B1020" t="str">
            <v>Duke University</v>
          </cell>
          <cell r="C1020" t="str">
            <v>United States of America</v>
          </cell>
          <cell r="D1020">
            <v>17</v>
          </cell>
          <cell r="E1020">
            <v>50</v>
          </cell>
          <cell r="F1020">
            <v>73</v>
          </cell>
          <cell r="G1020">
            <v>96.7</v>
          </cell>
          <cell r="H1020">
            <v>100</v>
          </cell>
          <cell r="I1020">
            <v>79.3</v>
          </cell>
          <cell r="J1020">
            <v>15172</v>
          </cell>
          <cell r="K1020">
            <v>4.8</v>
          </cell>
          <cell r="L1020">
            <v>0.17</v>
          </cell>
          <cell r="M1020">
            <v>2.0770833333333334</v>
          </cell>
          <cell r="N1020">
            <v>2014</v>
          </cell>
          <cell r="O1020">
            <v>27</v>
          </cell>
          <cell r="P1020">
            <v>20</v>
          </cell>
        </row>
        <row r="1021">
          <cell r="B1021" t="str">
            <v>University of Michigan</v>
          </cell>
          <cell r="C1021" t="str">
            <v>United States of America</v>
          </cell>
          <cell r="D1021">
            <v>18</v>
          </cell>
          <cell r="E1021">
            <v>49.5</v>
          </cell>
          <cell r="F1021">
            <v>86.2</v>
          </cell>
          <cell r="G1021">
            <v>90.8</v>
          </cell>
          <cell r="H1021">
            <v>53.5</v>
          </cell>
          <cell r="I1021">
            <v>79.2</v>
          </cell>
          <cell r="J1021">
            <v>41786</v>
          </cell>
          <cell r="K1021">
            <v>9</v>
          </cell>
          <cell r="L1021">
            <v>0.16</v>
          </cell>
          <cell r="M1021">
            <v>2.036111111111111</v>
          </cell>
          <cell r="N1021">
            <v>2014</v>
          </cell>
          <cell r="O1021" t="e">
            <v>#N/A</v>
          </cell>
          <cell r="P1021" t="e">
            <v>#N/A</v>
          </cell>
        </row>
        <row r="1022">
          <cell r="B1022" t="str">
            <v>Cornell University</v>
          </cell>
          <cell r="C1022" t="str">
            <v>United States of America</v>
          </cell>
          <cell r="D1022">
            <v>19</v>
          </cell>
          <cell r="E1022">
            <v>55.6</v>
          </cell>
          <cell r="F1022">
            <v>83.8</v>
          </cell>
          <cell r="G1022">
            <v>90.8</v>
          </cell>
          <cell r="H1022">
            <v>35.799999999999997</v>
          </cell>
          <cell r="I1022">
            <v>79.099999999999994</v>
          </cell>
          <cell r="J1022">
            <v>21424</v>
          </cell>
          <cell r="K1022">
            <v>10.199999999999999</v>
          </cell>
          <cell r="L1022">
            <v>0.19</v>
          </cell>
          <cell r="M1022">
            <v>2.036111111111111</v>
          </cell>
          <cell r="N1022">
            <v>2014</v>
          </cell>
          <cell r="O1022">
            <v>12</v>
          </cell>
          <cell r="P1022">
            <v>10</v>
          </cell>
        </row>
        <row r="1023">
          <cell r="B1023" t="str">
            <v>University of Toronto</v>
          </cell>
          <cell r="C1023" t="str">
            <v>Canada</v>
          </cell>
          <cell r="D1023">
            <v>20</v>
          </cell>
          <cell r="E1023">
            <v>70</v>
          </cell>
          <cell r="F1023">
            <v>81.5</v>
          </cell>
          <cell r="G1023">
            <v>84.5</v>
          </cell>
          <cell r="H1023">
            <v>45.8</v>
          </cell>
          <cell r="I1023">
            <v>78.3</v>
          </cell>
          <cell r="J1023">
            <v>66198</v>
          </cell>
          <cell r="K1023">
            <v>19.5</v>
          </cell>
          <cell r="L1023">
            <v>0.15</v>
          </cell>
          <cell r="N1023">
            <v>2014</v>
          </cell>
          <cell r="O1023">
            <v>35</v>
          </cell>
          <cell r="P1023">
            <v>1</v>
          </cell>
        </row>
        <row r="1024">
          <cell r="B1024" t="str">
            <v>University College London</v>
          </cell>
          <cell r="C1024" t="str">
            <v>United Kingdom</v>
          </cell>
          <cell r="D1024">
            <v>21</v>
          </cell>
          <cell r="E1024">
            <v>90.2</v>
          </cell>
          <cell r="F1024">
            <v>77.5</v>
          </cell>
          <cell r="G1024">
            <v>84.1</v>
          </cell>
          <cell r="H1024">
            <v>46.8</v>
          </cell>
          <cell r="I1024">
            <v>77.599999999999994</v>
          </cell>
          <cell r="J1024">
            <v>26607</v>
          </cell>
          <cell r="K1024">
            <v>10.7</v>
          </cell>
          <cell r="L1024">
            <v>0.46</v>
          </cell>
          <cell r="M1024">
            <v>2.3638888888888889</v>
          </cell>
          <cell r="N1024">
            <v>2014</v>
          </cell>
          <cell r="O1024">
            <v>31</v>
          </cell>
          <cell r="P1024">
            <v>4</v>
          </cell>
        </row>
        <row r="1025">
          <cell r="B1025" t="str">
            <v>Northwestern University</v>
          </cell>
          <cell r="C1025" t="str">
            <v>United States of America</v>
          </cell>
          <cell r="D1025">
            <v>22</v>
          </cell>
          <cell r="E1025">
            <v>34.4</v>
          </cell>
          <cell r="F1025">
            <v>76</v>
          </cell>
          <cell r="G1025">
            <v>97.1</v>
          </cell>
          <cell r="H1025">
            <v>61.9</v>
          </cell>
          <cell r="I1025">
            <v>77.099999999999994</v>
          </cell>
          <cell r="J1025">
            <v>18334</v>
          </cell>
          <cell r="K1025">
            <v>13.8</v>
          </cell>
          <cell r="L1025">
            <v>0.15</v>
          </cell>
          <cell r="M1025">
            <v>2.036111111111111</v>
          </cell>
          <cell r="N1025">
            <v>2014</v>
          </cell>
          <cell r="O1025">
            <v>33</v>
          </cell>
          <cell r="P1025">
            <v>23</v>
          </cell>
        </row>
        <row r="1026">
          <cell r="B1026" t="str">
            <v>University of Tokyo</v>
          </cell>
          <cell r="C1026" t="str">
            <v>Japan</v>
          </cell>
          <cell r="D1026">
            <v>23</v>
          </cell>
          <cell r="E1026">
            <v>29.6</v>
          </cell>
          <cell r="F1026">
            <v>88</v>
          </cell>
          <cell r="G1026">
            <v>69.8</v>
          </cell>
          <cell r="H1026">
            <v>56.7</v>
          </cell>
          <cell r="I1026">
            <v>76.400000000000006</v>
          </cell>
          <cell r="J1026">
            <v>26199</v>
          </cell>
          <cell r="K1026">
            <v>5.7</v>
          </cell>
          <cell r="L1026">
            <v>0.1</v>
          </cell>
          <cell r="N1026">
            <v>2014</v>
          </cell>
          <cell r="O1026">
            <v>14</v>
          </cell>
          <cell r="P1026">
            <v>1</v>
          </cell>
        </row>
        <row r="1027">
          <cell r="B1027" t="str">
            <v>Carnegie Mellon University</v>
          </cell>
          <cell r="C1027" t="str">
            <v>United States of America</v>
          </cell>
          <cell r="D1027">
            <v>24</v>
          </cell>
          <cell r="E1027">
            <v>58.1</v>
          </cell>
          <cell r="F1027">
            <v>77.400000000000006</v>
          </cell>
          <cell r="G1027">
            <v>93.9</v>
          </cell>
          <cell r="H1027">
            <v>52.5</v>
          </cell>
          <cell r="I1027">
            <v>76</v>
          </cell>
          <cell r="J1027">
            <v>11885</v>
          </cell>
          <cell r="K1027">
            <v>13.1</v>
          </cell>
          <cell r="L1027">
            <v>0.35</v>
          </cell>
          <cell r="M1027" t="str">
            <v>39 : 61</v>
          </cell>
          <cell r="N1027">
            <v>2014</v>
          </cell>
          <cell r="O1027">
            <v>43</v>
          </cell>
          <cell r="P1027">
            <v>31</v>
          </cell>
        </row>
        <row r="1028">
          <cell r="B1028" t="str">
            <v>University of Washington</v>
          </cell>
          <cell r="C1028" t="str">
            <v>United States of America</v>
          </cell>
          <cell r="D1028">
            <v>25</v>
          </cell>
          <cell r="E1028">
            <v>43.2</v>
          </cell>
          <cell r="F1028">
            <v>69.2</v>
          </cell>
          <cell r="G1028">
            <v>95.6</v>
          </cell>
          <cell r="H1028">
            <v>43.1</v>
          </cell>
          <cell r="I1028">
            <v>73.400000000000006</v>
          </cell>
          <cell r="J1028">
            <v>44020</v>
          </cell>
          <cell r="K1028">
            <v>11.8</v>
          </cell>
          <cell r="L1028">
            <v>0.13</v>
          </cell>
          <cell r="M1028">
            <v>2.2409722222222221</v>
          </cell>
          <cell r="N1028">
            <v>2014</v>
          </cell>
          <cell r="O1028" t="e">
            <v>#N/A</v>
          </cell>
          <cell r="P1028" t="e">
            <v>#N/A</v>
          </cell>
        </row>
        <row r="1029">
          <cell r="B1029" t="str">
            <v>National University of Singapore</v>
          </cell>
          <cell r="C1029" t="str">
            <v>Singapore</v>
          </cell>
          <cell r="D1029">
            <v>26</v>
          </cell>
          <cell r="E1029">
            <v>94.3</v>
          </cell>
          <cell r="F1029">
            <v>77.8</v>
          </cell>
          <cell r="G1029">
            <v>66.400000000000006</v>
          </cell>
          <cell r="H1029">
            <v>64.3</v>
          </cell>
          <cell r="I1029">
            <v>72.400000000000006</v>
          </cell>
          <cell r="J1029">
            <v>31592</v>
          </cell>
          <cell r="K1029">
            <v>15.5</v>
          </cell>
          <cell r="L1029">
            <v>0.34</v>
          </cell>
          <cell r="M1029">
            <v>2.0770833333333334</v>
          </cell>
          <cell r="N1029">
            <v>2014</v>
          </cell>
          <cell r="O1029">
            <v>87</v>
          </cell>
          <cell r="P1029">
            <v>1</v>
          </cell>
        </row>
        <row r="1030">
          <cell r="B1030" t="str">
            <v>University of Texas at Austin</v>
          </cell>
          <cell r="C1030" t="str">
            <v>United States of America</v>
          </cell>
          <cell r="D1030">
            <v>27</v>
          </cell>
          <cell r="E1030">
            <v>42.4</v>
          </cell>
          <cell r="F1030">
            <v>69</v>
          </cell>
          <cell r="G1030">
            <v>91.3</v>
          </cell>
          <cell r="H1030">
            <v>59.6</v>
          </cell>
          <cell r="I1030">
            <v>72.2</v>
          </cell>
          <cell r="J1030">
            <v>49427</v>
          </cell>
          <cell r="K1030">
            <v>17.399999999999999</v>
          </cell>
          <cell r="L1030">
            <v>0.09</v>
          </cell>
          <cell r="M1030">
            <v>2.1590277777777778</v>
          </cell>
          <cell r="N1030">
            <v>2014</v>
          </cell>
          <cell r="O1030">
            <v>30</v>
          </cell>
          <cell r="P1030">
            <v>22</v>
          </cell>
        </row>
        <row r="1031">
          <cell r="B1031" t="str">
            <v>Georgia Institute of Technology</v>
          </cell>
          <cell r="C1031" t="str">
            <v>United States of America</v>
          </cell>
          <cell r="D1031">
            <v>28</v>
          </cell>
          <cell r="E1031">
            <v>67.8</v>
          </cell>
          <cell r="F1031">
            <v>68.599999999999994</v>
          </cell>
          <cell r="G1031">
            <v>87.9</v>
          </cell>
          <cell r="H1031">
            <v>71.3</v>
          </cell>
          <cell r="I1031">
            <v>71.599999999999994</v>
          </cell>
          <cell r="J1031">
            <v>19967</v>
          </cell>
          <cell r="K1031">
            <v>20.100000000000001</v>
          </cell>
          <cell r="L1031">
            <v>0.26</v>
          </cell>
          <cell r="M1031" t="str">
            <v>31 : 69</v>
          </cell>
          <cell r="N1031">
            <v>2014</v>
          </cell>
          <cell r="O1031">
            <v>87</v>
          </cell>
          <cell r="P1031">
            <v>56</v>
          </cell>
        </row>
        <row r="1032">
          <cell r="B1032" t="str">
            <v>University of Illinois at Urbana-Champaign</v>
          </cell>
          <cell r="C1032" t="str">
            <v>United States of America</v>
          </cell>
          <cell r="D1032">
            <v>29</v>
          </cell>
          <cell r="E1032">
            <v>41.1</v>
          </cell>
          <cell r="F1032">
            <v>78.900000000000006</v>
          </cell>
          <cell r="G1032">
            <v>79.400000000000006</v>
          </cell>
          <cell r="H1032" t="str">
            <v>-</v>
          </cell>
          <cell r="I1032">
            <v>71.400000000000006</v>
          </cell>
          <cell r="J1032">
            <v>42727</v>
          </cell>
          <cell r="K1032">
            <v>18.7</v>
          </cell>
          <cell r="L1032">
            <v>0.2</v>
          </cell>
          <cell r="M1032">
            <v>1.9951388888888888</v>
          </cell>
          <cell r="N1032">
            <v>2014</v>
          </cell>
          <cell r="O1032" t="e">
            <v>#N/A</v>
          </cell>
          <cell r="P1032" t="e">
            <v>#N/A</v>
          </cell>
        </row>
        <row r="1033">
          <cell r="B1033" t="str">
            <v>University of Wisconsin-Madison</v>
          </cell>
          <cell r="C1033" t="str">
            <v>United States of America</v>
          </cell>
          <cell r="D1033">
            <v>30</v>
          </cell>
          <cell r="E1033">
            <v>32.299999999999997</v>
          </cell>
          <cell r="F1033">
            <v>67.7</v>
          </cell>
          <cell r="G1033">
            <v>87.2</v>
          </cell>
          <cell r="H1033">
            <v>51.2</v>
          </cell>
          <cell r="I1033">
            <v>71.099999999999994</v>
          </cell>
          <cell r="J1033">
            <v>39655</v>
          </cell>
          <cell r="K1033">
            <v>10.8</v>
          </cell>
          <cell r="L1033">
            <v>0.11</v>
          </cell>
          <cell r="M1033">
            <v>2.1590277777777778</v>
          </cell>
          <cell r="N1033">
            <v>2014</v>
          </cell>
          <cell r="O1033" t="e">
            <v>#N/A</v>
          </cell>
          <cell r="P1033" t="e">
            <v>#N/A</v>
          </cell>
        </row>
        <row r="1034">
          <cell r="B1034" t="str">
            <v>University of British Columbia</v>
          </cell>
          <cell r="C1034" t="str">
            <v>Canada</v>
          </cell>
          <cell r="D1034">
            <v>31</v>
          </cell>
          <cell r="E1034">
            <v>84.2</v>
          </cell>
          <cell r="F1034">
            <v>67.900000000000006</v>
          </cell>
          <cell r="G1034">
            <v>83.7</v>
          </cell>
          <cell r="H1034">
            <v>43.1</v>
          </cell>
          <cell r="I1034">
            <v>70.8</v>
          </cell>
          <cell r="J1034">
            <v>50152</v>
          </cell>
          <cell r="K1034">
            <v>17.600000000000001</v>
          </cell>
          <cell r="L1034">
            <v>0.25</v>
          </cell>
          <cell r="M1034">
            <v>2.2819444444444446</v>
          </cell>
          <cell r="N1034">
            <v>2014</v>
          </cell>
          <cell r="O1034">
            <v>67</v>
          </cell>
          <cell r="P1034">
            <v>3</v>
          </cell>
        </row>
        <row r="1035">
          <cell r="B1035" t="str">
            <v>London School of Economics and Political Science</v>
          </cell>
          <cell r="C1035" t="str">
            <v>United Kingdom</v>
          </cell>
          <cell r="D1035">
            <v>32</v>
          </cell>
          <cell r="E1035">
            <v>81.7</v>
          </cell>
          <cell r="F1035">
            <v>74.2</v>
          </cell>
          <cell r="G1035">
            <v>69.2</v>
          </cell>
          <cell r="H1035">
            <v>43.6</v>
          </cell>
          <cell r="I1035">
            <v>69.8</v>
          </cell>
          <cell r="N1035">
            <v>2014</v>
          </cell>
          <cell r="O1035" t="e">
            <v>#N/A</v>
          </cell>
          <cell r="P1035" t="e">
            <v>#N/A</v>
          </cell>
        </row>
        <row r="1036">
          <cell r="B1036" t="str">
            <v>University of California, Santa Barbara</v>
          </cell>
          <cell r="C1036" t="str">
            <v>United States of America</v>
          </cell>
          <cell r="D1036">
            <v>33</v>
          </cell>
          <cell r="E1036">
            <v>61.8</v>
          </cell>
          <cell r="F1036">
            <v>58.2</v>
          </cell>
          <cell r="G1036">
            <v>99.4</v>
          </cell>
          <cell r="H1036">
            <v>86.7</v>
          </cell>
          <cell r="I1036">
            <v>68.400000000000006</v>
          </cell>
          <cell r="J1036">
            <v>22020</v>
          </cell>
          <cell r="K1036">
            <v>27.3</v>
          </cell>
          <cell r="L1036">
            <v>0.11</v>
          </cell>
          <cell r="M1036">
            <v>2.2000000000000002</v>
          </cell>
          <cell r="N1036">
            <v>2014</v>
          </cell>
          <cell r="O1036">
            <v>40</v>
          </cell>
          <cell r="P1036">
            <v>29</v>
          </cell>
        </row>
        <row r="1037">
          <cell r="B1037" t="str">
            <v>University of Melbourne</v>
          </cell>
          <cell r="C1037" t="str">
            <v>Australia</v>
          </cell>
          <cell r="D1037">
            <v>34</v>
          </cell>
          <cell r="E1037">
            <v>81.3</v>
          </cell>
          <cell r="F1037">
            <v>64.2</v>
          </cell>
          <cell r="G1037">
            <v>80.2</v>
          </cell>
          <cell r="H1037">
            <v>65.099999999999994</v>
          </cell>
          <cell r="I1037">
            <v>68.2</v>
          </cell>
          <cell r="J1037">
            <v>40128</v>
          </cell>
          <cell r="K1037">
            <v>23.7</v>
          </cell>
          <cell r="L1037">
            <v>0.35</v>
          </cell>
          <cell r="M1037">
            <v>2.3229166666666665</v>
          </cell>
          <cell r="N1037">
            <v>2014</v>
          </cell>
          <cell r="O1037">
            <v>97</v>
          </cell>
          <cell r="P1037">
            <v>2</v>
          </cell>
        </row>
        <row r="1038">
          <cell r="B1038" t="str">
            <v>McGill University</v>
          </cell>
          <cell r="C1038" t="str">
            <v>Canada</v>
          </cell>
          <cell r="D1038">
            <v>35</v>
          </cell>
          <cell r="E1038">
            <v>77.8</v>
          </cell>
          <cell r="F1038">
            <v>68.099999999999994</v>
          </cell>
          <cell r="G1038">
            <v>74.5</v>
          </cell>
          <cell r="H1038">
            <v>40.799999999999997</v>
          </cell>
          <cell r="I1038">
            <v>68.099999999999994</v>
          </cell>
          <cell r="J1038">
            <v>31326</v>
          </cell>
          <cell r="K1038">
            <v>13.7</v>
          </cell>
          <cell r="L1038">
            <v>0.23</v>
          </cell>
          <cell r="M1038">
            <v>2.3638888888888889</v>
          </cell>
          <cell r="N1038">
            <v>2014</v>
          </cell>
          <cell r="O1038">
            <v>41</v>
          </cell>
          <cell r="P1038">
            <v>2</v>
          </cell>
        </row>
        <row r="1039">
          <cell r="B1039" t="str">
            <v>Karolinska Institute</v>
          </cell>
          <cell r="C1039" t="str">
            <v>Sweden</v>
          </cell>
          <cell r="D1039">
            <v>36</v>
          </cell>
          <cell r="E1039">
            <v>73.2</v>
          </cell>
          <cell r="F1039">
            <v>67.7</v>
          </cell>
          <cell r="G1039">
            <v>76</v>
          </cell>
          <cell r="H1039">
            <v>68.7</v>
          </cell>
          <cell r="I1039">
            <v>67.8</v>
          </cell>
          <cell r="J1039">
            <v>7774</v>
          </cell>
          <cell r="K1039">
            <v>11.5</v>
          </cell>
          <cell r="L1039">
            <v>0.22</v>
          </cell>
          <cell r="M1039">
            <v>2.9375</v>
          </cell>
          <cell r="N1039">
            <v>2014</v>
          </cell>
          <cell r="O1039">
            <v>70</v>
          </cell>
          <cell r="P1039">
            <v>1</v>
          </cell>
        </row>
        <row r="1040">
          <cell r="B1040" t="str">
            <v>Ã‰cole Polytechnique FÃ©dÃ©rale de Lausanne</v>
          </cell>
          <cell r="C1040" t="str">
            <v>Switzerland</v>
          </cell>
          <cell r="D1040">
            <v>37</v>
          </cell>
          <cell r="E1040">
            <v>98.2</v>
          </cell>
          <cell r="F1040">
            <v>48.3</v>
          </cell>
          <cell r="G1040">
            <v>95.9</v>
          </cell>
          <cell r="H1040">
            <v>49.2</v>
          </cell>
          <cell r="I1040">
            <v>67.7</v>
          </cell>
          <cell r="J1040">
            <v>9666</v>
          </cell>
          <cell r="K1040">
            <v>10.5</v>
          </cell>
          <cell r="L1040">
            <v>0.54</v>
          </cell>
          <cell r="M1040" t="str">
            <v>27 : 73</v>
          </cell>
          <cell r="N1040">
            <v>2014</v>
          </cell>
          <cell r="O1040" t="e">
            <v>#N/A</v>
          </cell>
          <cell r="P1040" t="e">
            <v>#N/A</v>
          </cell>
        </row>
        <row r="1041">
          <cell r="B1041" t="str">
            <v>Kingâ€™s College London</v>
          </cell>
          <cell r="C1041" t="str">
            <v>United Kingdom</v>
          </cell>
          <cell r="D1041">
            <v>38</v>
          </cell>
          <cell r="E1041">
            <v>86</v>
          </cell>
          <cell r="F1041">
            <v>56.8</v>
          </cell>
          <cell r="G1041">
            <v>87.6</v>
          </cell>
          <cell r="H1041">
            <v>38.299999999999997</v>
          </cell>
          <cell r="I1041">
            <v>67.599999999999994</v>
          </cell>
          <cell r="J1041">
            <v>21394</v>
          </cell>
          <cell r="K1041">
            <v>11.4</v>
          </cell>
          <cell r="L1041">
            <v>0.37</v>
          </cell>
          <cell r="M1041">
            <v>2.5687500000000001</v>
          </cell>
          <cell r="N1041">
            <v>2014</v>
          </cell>
          <cell r="O1041" t="e">
            <v>#N/A</v>
          </cell>
          <cell r="P1041" t="e">
            <v>#N/A</v>
          </cell>
        </row>
        <row r="1042">
          <cell r="B1042" t="str">
            <v>University of Edinburgh</v>
          </cell>
          <cell r="C1042" t="str">
            <v>United Kingdom</v>
          </cell>
          <cell r="D1042">
            <v>39</v>
          </cell>
          <cell r="E1042">
            <v>81.5</v>
          </cell>
          <cell r="F1042">
            <v>56.9</v>
          </cell>
          <cell r="G1042">
            <v>87.6</v>
          </cell>
          <cell r="H1042">
            <v>42.5</v>
          </cell>
          <cell r="I1042">
            <v>67.5</v>
          </cell>
          <cell r="J1042">
            <v>25774</v>
          </cell>
          <cell r="K1042">
            <v>14.1</v>
          </cell>
          <cell r="L1042">
            <v>0.36</v>
          </cell>
          <cell r="M1042">
            <v>2.4458333333333333</v>
          </cell>
          <cell r="N1042">
            <v>2014</v>
          </cell>
          <cell r="O1042">
            <v>60</v>
          </cell>
          <cell r="P1042">
            <v>1</v>
          </cell>
        </row>
        <row r="1043">
          <cell r="B1043" t="str">
            <v>New York University</v>
          </cell>
          <cell r="C1043" t="str">
            <v>United States of America</v>
          </cell>
          <cell r="D1043">
            <v>40</v>
          </cell>
          <cell r="E1043">
            <v>41.8</v>
          </cell>
          <cell r="F1043">
            <v>58.4</v>
          </cell>
          <cell r="G1043">
            <v>87.9</v>
          </cell>
          <cell r="H1043">
            <v>29.9</v>
          </cell>
          <cell r="I1043">
            <v>67.400000000000006</v>
          </cell>
          <cell r="J1043">
            <v>42056</v>
          </cell>
          <cell r="K1043">
            <v>6.8</v>
          </cell>
          <cell r="L1043">
            <v>0.19</v>
          </cell>
          <cell r="M1043">
            <v>2.3229166666666665</v>
          </cell>
          <cell r="N1043">
            <v>2014</v>
          </cell>
          <cell r="O1043">
            <v>23</v>
          </cell>
          <cell r="P1043">
            <v>16</v>
          </cell>
        </row>
        <row r="1044">
          <cell r="B1044" t="str">
            <v>University of California, San Diego</v>
          </cell>
          <cell r="C1044" t="str">
            <v>United States of America</v>
          </cell>
          <cell r="D1044">
            <v>40</v>
          </cell>
          <cell r="E1044">
            <v>35.6</v>
          </cell>
          <cell r="F1044">
            <v>63</v>
          </cell>
          <cell r="G1044">
            <v>96.7</v>
          </cell>
          <cell r="H1044">
            <v>48.4</v>
          </cell>
          <cell r="I1044">
            <v>67.400000000000006</v>
          </cell>
          <cell r="J1044">
            <v>27233</v>
          </cell>
          <cell r="K1044">
            <v>6.5</v>
          </cell>
          <cell r="L1044">
            <v>0.11</v>
          </cell>
          <cell r="M1044">
            <v>2.036111111111111</v>
          </cell>
          <cell r="N1044">
            <v>2014</v>
          </cell>
          <cell r="O1044">
            <v>20</v>
          </cell>
          <cell r="P1044">
            <v>14</v>
          </cell>
        </row>
        <row r="1045">
          <cell r="B1045" t="str">
            <v>Washington University in St Louis</v>
          </cell>
          <cell r="C1045" t="str">
            <v>United States of America</v>
          </cell>
          <cell r="D1045">
            <v>42</v>
          </cell>
          <cell r="E1045">
            <v>44.6</v>
          </cell>
          <cell r="F1045">
            <v>52.9</v>
          </cell>
          <cell r="G1045">
            <v>96.4</v>
          </cell>
          <cell r="H1045" t="str">
            <v>-</v>
          </cell>
          <cell r="I1045">
            <v>67.2</v>
          </cell>
          <cell r="J1045">
            <v>12528</v>
          </cell>
          <cell r="K1045">
            <v>5.7</v>
          </cell>
          <cell r="L1045">
            <v>0.17</v>
          </cell>
          <cell r="N1045">
            <v>2014</v>
          </cell>
          <cell r="O1045" t="e">
            <v>#N/A</v>
          </cell>
          <cell r="P1045" t="e">
            <v>#N/A</v>
          </cell>
        </row>
        <row r="1046">
          <cell r="B1046" t="str">
            <v>University of Hong Kong</v>
          </cell>
          <cell r="C1046" t="str">
            <v>Hong Kong</v>
          </cell>
          <cell r="D1046">
            <v>43</v>
          </cell>
          <cell r="E1046">
            <v>80.3</v>
          </cell>
          <cell r="F1046">
            <v>69.900000000000006</v>
          </cell>
          <cell r="G1046">
            <v>61.5</v>
          </cell>
          <cell r="H1046">
            <v>56.9</v>
          </cell>
          <cell r="I1046">
            <v>65.3</v>
          </cell>
          <cell r="J1046">
            <v>19835</v>
          </cell>
          <cell r="K1046">
            <v>17.600000000000001</v>
          </cell>
          <cell r="L1046">
            <v>0.38</v>
          </cell>
          <cell r="M1046">
            <v>2.2409722222222221</v>
          </cell>
          <cell r="N1046">
            <v>2014</v>
          </cell>
          <cell r="O1046">
            <v>155</v>
          </cell>
          <cell r="P1046">
            <v>1</v>
          </cell>
        </row>
        <row r="1047">
          <cell r="B1047" t="str">
            <v>Seoul National University</v>
          </cell>
          <cell r="C1047" t="str">
            <v>South Korea</v>
          </cell>
          <cell r="D1047">
            <v>44</v>
          </cell>
          <cell r="E1047">
            <v>29.4</v>
          </cell>
          <cell r="F1047">
            <v>79.2</v>
          </cell>
          <cell r="G1047">
            <v>47.3</v>
          </cell>
          <cell r="H1047">
            <v>86</v>
          </cell>
          <cell r="I1047">
            <v>65.2</v>
          </cell>
          <cell r="J1047">
            <v>26389</v>
          </cell>
          <cell r="K1047">
            <v>13.9</v>
          </cell>
          <cell r="L1047">
            <v>0.1</v>
          </cell>
          <cell r="N1047">
            <v>2014</v>
          </cell>
          <cell r="O1047">
            <v>75</v>
          </cell>
          <cell r="P1047">
            <v>1</v>
          </cell>
        </row>
        <row r="1048">
          <cell r="B1048" t="str">
            <v>Peking University</v>
          </cell>
          <cell r="C1048" t="str">
            <v>China</v>
          </cell>
          <cell r="D1048">
            <v>45</v>
          </cell>
          <cell r="E1048">
            <v>60.6</v>
          </cell>
          <cell r="F1048">
            <v>58.1</v>
          </cell>
          <cell r="G1048">
            <v>62.8</v>
          </cell>
          <cell r="H1048">
            <v>99.9</v>
          </cell>
          <cell r="I1048">
            <v>65</v>
          </cell>
          <cell r="J1048">
            <v>40148</v>
          </cell>
          <cell r="K1048">
            <v>8.3000000000000007</v>
          </cell>
          <cell r="L1048">
            <v>0.14000000000000001</v>
          </cell>
          <cell r="N1048">
            <v>2014</v>
          </cell>
          <cell r="O1048">
            <v>55</v>
          </cell>
          <cell r="P1048">
            <v>1</v>
          </cell>
        </row>
        <row r="1049">
          <cell r="B1049" t="str">
            <v>University of Minnesota</v>
          </cell>
          <cell r="C1049" t="str">
            <v>United States of America</v>
          </cell>
          <cell r="D1049">
            <v>46</v>
          </cell>
          <cell r="E1049">
            <v>31.7</v>
          </cell>
          <cell r="F1049">
            <v>62.7</v>
          </cell>
          <cell r="G1049">
            <v>81.2</v>
          </cell>
          <cell r="H1049" t="str">
            <v>-</v>
          </cell>
          <cell r="I1049">
            <v>64.900000000000006</v>
          </cell>
          <cell r="J1049">
            <v>46825</v>
          </cell>
          <cell r="K1049">
            <v>18</v>
          </cell>
          <cell r="L1049">
            <v>0.13</v>
          </cell>
          <cell r="M1049">
            <v>2.2000000000000002</v>
          </cell>
          <cell r="N1049">
            <v>2014</v>
          </cell>
          <cell r="O1049" t="e">
            <v>#N/A</v>
          </cell>
          <cell r="P1049" t="e">
            <v>#N/A</v>
          </cell>
        </row>
        <row r="1050">
          <cell r="B1050" t="str">
            <v>University of North Carolina at Chapel Hill</v>
          </cell>
          <cell r="C1050" t="str">
            <v>United States of America</v>
          </cell>
          <cell r="D1050">
            <v>47</v>
          </cell>
          <cell r="E1050">
            <v>35</v>
          </cell>
          <cell r="F1050">
            <v>55.3</v>
          </cell>
          <cell r="G1050">
            <v>90.2</v>
          </cell>
          <cell r="H1050">
            <v>39.1</v>
          </cell>
          <cell r="I1050">
            <v>64.5</v>
          </cell>
          <cell r="J1050">
            <v>26518</v>
          </cell>
          <cell r="K1050">
            <v>7.3</v>
          </cell>
          <cell r="L1050">
            <v>0.08</v>
          </cell>
          <cell r="M1050">
            <v>2.4458333333333333</v>
          </cell>
          <cell r="N1050">
            <v>2014</v>
          </cell>
          <cell r="O1050">
            <v>36</v>
          </cell>
          <cell r="P1050">
            <v>25</v>
          </cell>
        </row>
        <row r="1051">
          <cell r="B1051" t="str">
            <v>Australian National University</v>
          </cell>
          <cell r="C1051" t="str">
            <v>Australia</v>
          </cell>
          <cell r="D1051">
            <v>48</v>
          </cell>
          <cell r="E1051">
            <v>91.4</v>
          </cell>
          <cell r="F1051">
            <v>65.099999999999994</v>
          </cell>
          <cell r="G1051">
            <v>71.2</v>
          </cell>
          <cell r="H1051">
            <v>44.8</v>
          </cell>
          <cell r="I1051">
            <v>64.400000000000006</v>
          </cell>
          <cell r="J1051">
            <v>14604</v>
          </cell>
          <cell r="K1051">
            <v>19.2</v>
          </cell>
          <cell r="L1051">
            <v>0.35</v>
          </cell>
          <cell r="M1051">
            <v>2.2000000000000002</v>
          </cell>
          <cell r="N1051">
            <v>2014</v>
          </cell>
          <cell r="O1051">
            <v>96</v>
          </cell>
          <cell r="P1051">
            <v>2</v>
          </cell>
        </row>
        <row r="1052">
          <cell r="B1052" t="str">
            <v>Pennsylvania State University</v>
          </cell>
          <cell r="C1052" t="str">
            <v>United States of America</v>
          </cell>
          <cell r="D1052">
            <v>49</v>
          </cell>
          <cell r="E1052">
            <v>33.700000000000003</v>
          </cell>
          <cell r="F1052">
            <v>65.900000000000006</v>
          </cell>
          <cell r="G1052">
            <v>79.400000000000006</v>
          </cell>
          <cell r="H1052">
            <v>60</v>
          </cell>
          <cell r="I1052">
            <v>64.2</v>
          </cell>
          <cell r="J1052">
            <v>44501</v>
          </cell>
          <cell r="K1052">
            <v>12.4</v>
          </cell>
          <cell r="L1052">
            <v>0.12</v>
          </cell>
          <cell r="M1052">
            <v>1.9541666666666666</v>
          </cell>
          <cell r="N1052">
            <v>2014</v>
          </cell>
          <cell r="O1052" t="e">
            <v>#N/A</v>
          </cell>
          <cell r="P1052" t="e">
            <v>#N/A</v>
          </cell>
        </row>
        <row r="1053">
          <cell r="B1053" t="str">
            <v>Boston University</v>
          </cell>
          <cell r="C1053" t="str">
            <v>United States of America</v>
          </cell>
          <cell r="D1053">
            <v>50</v>
          </cell>
          <cell r="E1053">
            <v>44.2</v>
          </cell>
          <cell r="F1053">
            <v>46.1</v>
          </cell>
          <cell r="G1053">
            <v>95.3</v>
          </cell>
          <cell r="H1053">
            <v>31.1</v>
          </cell>
          <cell r="I1053">
            <v>63.5</v>
          </cell>
          <cell r="J1053">
            <v>24789</v>
          </cell>
          <cell r="K1053">
            <v>8.6</v>
          </cell>
          <cell r="L1053">
            <v>0.17</v>
          </cell>
          <cell r="M1053">
            <v>2.4458333333333333</v>
          </cell>
          <cell r="N1053">
            <v>2014</v>
          </cell>
          <cell r="O1053">
            <v>62</v>
          </cell>
          <cell r="P1053">
            <v>44</v>
          </cell>
        </row>
        <row r="1054">
          <cell r="B1054" t="str">
            <v>Tsinghua University</v>
          </cell>
          <cell r="C1054" t="str">
            <v>China</v>
          </cell>
          <cell r="D1054">
            <v>50</v>
          </cell>
          <cell r="E1054">
            <v>42.6</v>
          </cell>
          <cell r="F1054">
            <v>65.900000000000006</v>
          </cell>
          <cell r="G1054">
            <v>59.9</v>
          </cell>
          <cell r="H1054">
            <v>99.9</v>
          </cell>
          <cell r="I1054">
            <v>63.5</v>
          </cell>
          <cell r="J1054">
            <v>39763</v>
          </cell>
          <cell r="K1054">
            <v>13.7</v>
          </cell>
          <cell r="L1054">
            <v>0.1</v>
          </cell>
          <cell r="M1054" t="str">
            <v>32 : 68</v>
          </cell>
          <cell r="N1054">
            <v>2014</v>
          </cell>
          <cell r="O1054">
            <v>87</v>
          </cell>
          <cell r="P1054">
            <v>2</v>
          </cell>
        </row>
        <row r="1055">
          <cell r="B1055" t="str">
            <v>Brown University</v>
          </cell>
          <cell r="C1055" t="str">
            <v>United States of America</v>
          </cell>
          <cell r="D1055">
            <v>52</v>
          </cell>
          <cell r="E1055">
            <v>37.700000000000003</v>
          </cell>
          <cell r="F1055">
            <v>52</v>
          </cell>
          <cell r="G1055">
            <v>91.3</v>
          </cell>
          <cell r="H1055">
            <v>33.5</v>
          </cell>
          <cell r="I1055">
            <v>63.2</v>
          </cell>
          <cell r="J1055">
            <v>8653</v>
          </cell>
          <cell r="K1055">
            <v>10.1</v>
          </cell>
          <cell r="L1055">
            <v>0.19</v>
          </cell>
          <cell r="N1055">
            <v>2014</v>
          </cell>
          <cell r="O1055">
            <v>66</v>
          </cell>
          <cell r="P1055">
            <v>46</v>
          </cell>
        </row>
        <row r="1056">
          <cell r="B1056" t="str">
            <v>Kyoto University</v>
          </cell>
          <cell r="C1056" t="str">
            <v>Japan</v>
          </cell>
          <cell r="D1056">
            <v>52</v>
          </cell>
          <cell r="E1056">
            <v>27.5</v>
          </cell>
          <cell r="F1056">
            <v>69.5</v>
          </cell>
          <cell r="G1056">
            <v>58.2</v>
          </cell>
          <cell r="H1056">
            <v>78.7</v>
          </cell>
          <cell r="I1056">
            <v>63.2</v>
          </cell>
          <cell r="J1056">
            <v>22809</v>
          </cell>
          <cell r="K1056">
            <v>5.6</v>
          </cell>
          <cell r="L1056">
            <v>7.0000000000000007E-2</v>
          </cell>
          <cell r="N1056">
            <v>2014</v>
          </cell>
          <cell r="O1056">
            <v>17</v>
          </cell>
          <cell r="P1056">
            <v>2</v>
          </cell>
        </row>
        <row r="1057">
          <cell r="B1057" t="str">
            <v>University of California, Davis</v>
          </cell>
          <cell r="C1057" t="str">
            <v>United States of America</v>
          </cell>
          <cell r="D1057">
            <v>52</v>
          </cell>
          <cell r="E1057">
            <v>53.7</v>
          </cell>
          <cell r="F1057">
            <v>56.4</v>
          </cell>
          <cell r="G1057">
            <v>81.2</v>
          </cell>
          <cell r="H1057">
            <v>51.3</v>
          </cell>
          <cell r="I1057">
            <v>63.2</v>
          </cell>
          <cell r="J1057">
            <v>35364</v>
          </cell>
          <cell r="K1057">
            <v>13.9</v>
          </cell>
          <cell r="L1057">
            <v>0.13</v>
          </cell>
          <cell r="M1057">
            <v>2.2819444444444446</v>
          </cell>
          <cell r="N1057">
            <v>2014</v>
          </cell>
          <cell r="O1057">
            <v>45</v>
          </cell>
          <cell r="P1057">
            <v>33</v>
          </cell>
        </row>
        <row r="1058">
          <cell r="B1058" t="str">
            <v>LMU Munich</v>
          </cell>
          <cell r="C1058" t="str">
            <v>Germany</v>
          </cell>
          <cell r="D1058">
            <v>55</v>
          </cell>
          <cell r="E1058">
            <v>56.3</v>
          </cell>
          <cell r="F1058">
            <v>54.1</v>
          </cell>
          <cell r="G1058">
            <v>83.3</v>
          </cell>
          <cell r="H1058">
            <v>41.4</v>
          </cell>
          <cell r="I1058">
            <v>63.1</v>
          </cell>
          <cell r="J1058">
            <v>35691</v>
          </cell>
          <cell r="K1058">
            <v>15.5</v>
          </cell>
          <cell r="L1058">
            <v>0.13</v>
          </cell>
          <cell r="M1058">
            <v>2.6097222222222221</v>
          </cell>
          <cell r="N1058">
            <v>2014</v>
          </cell>
          <cell r="O1058" t="e">
            <v>#N/A</v>
          </cell>
          <cell r="P1058" t="e">
            <v>#N/A</v>
          </cell>
        </row>
        <row r="1059">
          <cell r="B1059" t="str">
            <v>Korea Advanced Institute of Science and Technology (KAIST)</v>
          </cell>
          <cell r="C1059" t="str">
            <v>South Korea</v>
          </cell>
          <cell r="D1059">
            <v>56</v>
          </cell>
          <cell r="E1059">
            <v>34.299999999999997</v>
          </cell>
          <cell r="F1059">
            <v>60</v>
          </cell>
          <cell r="G1059">
            <v>67</v>
          </cell>
          <cell r="H1059">
            <v>100</v>
          </cell>
          <cell r="I1059">
            <v>62.9</v>
          </cell>
          <cell r="J1059">
            <v>9027</v>
          </cell>
          <cell r="K1059">
            <v>10</v>
          </cell>
          <cell r="L1059">
            <v>0.09</v>
          </cell>
          <cell r="M1059">
            <v>0.88888888888888884</v>
          </cell>
          <cell r="N1059">
            <v>2014</v>
          </cell>
          <cell r="O1059">
            <v>128</v>
          </cell>
          <cell r="P1059">
            <v>3</v>
          </cell>
        </row>
        <row r="1060">
          <cell r="B1060" t="str">
            <v>Hong Kong University of Science and Technology</v>
          </cell>
          <cell r="C1060" t="str">
            <v>Hong Kong</v>
          </cell>
          <cell r="D1060">
            <v>57</v>
          </cell>
          <cell r="E1060">
            <v>77</v>
          </cell>
          <cell r="F1060">
            <v>59.7</v>
          </cell>
          <cell r="G1060">
            <v>72.3</v>
          </cell>
          <cell r="H1060">
            <v>58.5</v>
          </cell>
          <cell r="I1060">
            <v>62.5</v>
          </cell>
          <cell r="J1060">
            <v>11385</v>
          </cell>
          <cell r="K1060">
            <v>23.8</v>
          </cell>
          <cell r="L1060">
            <v>0.36</v>
          </cell>
          <cell r="N1060">
            <v>2014</v>
          </cell>
          <cell r="O1060">
            <v>291</v>
          </cell>
          <cell r="P1060">
            <v>3</v>
          </cell>
        </row>
        <row r="1061">
          <cell r="B1061" t="str">
            <v>University of Manchester</v>
          </cell>
          <cell r="C1061" t="str">
            <v>United Kingdom</v>
          </cell>
          <cell r="D1061">
            <v>58</v>
          </cell>
          <cell r="E1061">
            <v>80.900000000000006</v>
          </cell>
          <cell r="F1061">
            <v>52.2</v>
          </cell>
          <cell r="G1061">
            <v>77.3</v>
          </cell>
          <cell r="H1061">
            <v>40.799999999999997</v>
          </cell>
          <cell r="I1061">
            <v>62.3</v>
          </cell>
          <cell r="J1061">
            <v>34938</v>
          </cell>
          <cell r="K1061">
            <v>15.3</v>
          </cell>
          <cell r="L1061">
            <v>0.34</v>
          </cell>
          <cell r="M1061">
            <v>2.2000000000000002</v>
          </cell>
          <cell r="N1061">
            <v>2014</v>
          </cell>
          <cell r="O1061">
            <v>76</v>
          </cell>
          <cell r="P1061">
            <v>5</v>
          </cell>
        </row>
        <row r="1062">
          <cell r="B1062" t="str">
            <v>Ohio State University</v>
          </cell>
          <cell r="C1062" t="str">
            <v>United States of America</v>
          </cell>
          <cell r="D1062">
            <v>59</v>
          </cell>
          <cell r="E1062">
            <v>48.1</v>
          </cell>
          <cell r="F1062">
            <v>52.9</v>
          </cell>
          <cell r="G1062">
            <v>79.400000000000006</v>
          </cell>
          <cell r="H1062">
            <v>47.7</v>
          </cell>
          <cell r="I1062">
            <v>62</v>
          </cell>
          <cell r="J1062">
            <v>51462</v>
          </cell>
          <cell r="K1062">
            <v>13.4</v>
          </cell>
          <cell r="L1062">
            <v>0.12</v>
          </cell>
          <cell r="M1062">
            <v>2.0770833333333334</v>
          </cell>
          <cell r="N1062">
            <v>2014</v>
          </cell>
          <cell r="O1062" t="e">
            <v>#N/A</v>
          </cell>
          <cell r="P1062" t="e">
            <v>#N/A</v>
          </cell>
        </row>
        <row r="1063">
          <cell r="B1063" t="str">
            <v>Pohang University of Science and Technology</v>
          </cell>
          <cell r="C1063" t="str">
            <v>South Korea</v>
          </cell>
          <cell r="D1063">
            <v>60</v>
          </cell>
          <cell r="E1063">
            <v>33.799999999999997</v>
          </cell>
          <cell r="F1063">
            <v>49</v>
          </cell>
          <cell r="G1063">
            <v>85.7</v>
          </cell>
          <cell r="H1063">
            <v>100</v>
          </cell>
          <cell r="I1063">
            <v>61.7</v>
          </cell>
          <cell r="J1063">
            <v>3055</v>
          </cell>
          <cell r="K1063">
            <v>10.1</v>
          </cell>
          <cell r="L1063">
            <v>0.04</v>
          </cell>
          <cell r="M1063">
            <v>0.88888888888888884</v>
          </cell>
          <cell r="N1063">
            <v>2014</v>
          </cell>
          <cell r="O1063">
            <v>186</v>
          </cell>
          <cell r="P1063">
            <v>6</v>
          </cell>
        </row>
        <row r="1064">
          <cell r="B1064" t="str">
            <v>KU Leuven</v>
          </cell>
          <cell r="C1064" t="str">
            <v>Belgium</v>
          </cell>
          <cell r="D1064">
            <v>61</v>
          </cell>
          <cell r="E1064">
            <v>58.6</v>
          </cell>
          <cell r="F1064">
            <v>59.9</v>
          </cell>
          <cell r="G1064">
            <v>72.900000000000006</v>
          </cell>
          <cell r="H1064">
            <v>99.9</v>
          </cell>
          <cell r="I1064">
            <v>61.3</v>
          </cell>
          <cell r="J1064">
            <v>42503</v>
          </cell>
          <cell r="K1064">
            <v>41.9</v>
          </cell>
          <cell r="L1064">
            <v>0.18</v>
          </cell>
          <cell r="M1064">
            <v>2.2819444444444446</v>
          </cell>
          <cell r="N1064">
            <v>2014</v>
          </cell>
          <cell r="O1064" t="e">
            <v>#N/A</v>
          </cell>
          <cell r="P1064" t="e">
            <v>#N/A</v>
          </cell>
        </row>
        <row r="1065">
          <cell r="B1065" t="str">
            <v>Purdue University</v>
          </cell>
          <cell r="C1065" t="str">
            <v>United States of America</v>
          </cell>
          <cell r="D1065">
            <v>62</v>
          </cell>
          <cell r="E1065">
            <v>60.6</v>
          </cell>
          <cell r="F1065">
            <v>62.5</v>
          </cell>
          <cell r="G1065">
            <v>67</v>
          </cell>
          <cell r="H1065" t="str">
            <v>-</v>
          </cell>
          <cell r="I1065">
            <v>60.7</v>
          </cell>
          <cell r="J1065">
            <v>39256</v>
          </cell>
          <cell r="K1065">
            <v>18.100000000000001</v>
          </cell>
          <cell r="L1065">
            <v>0.22</v>
          </cell>
          <cell r="M1065">
            <v>1.7902777777777779</v>
          </cell>
          <cell r="N1065">
            <v>2014</v>
          </cell>
          <cell r="O1065" t="e">
            <v>#N/A</v>
          </cell>
          <cell r="P1065" t="e">
            <v>#N/A</v>
          </cell>
        </row>
        <row r="1066">
          <cell r="B1066" t="str">
            <v>The University of Queensland</v>
          </cell>
          <cell r="C1066" t="str">
            <v>Australia</v>
          </cell>
          <cell r="D1066">
            <v>63</v>
          </cell>
          <cell r="E1066">
            <v>79.7</v>
          </cell>
          <cell r="F1066">
            <v>58</v>
          </cell>
          <cell r="G1066">
            <v>73.3</v>
          </cell>
          <cell r="H1066">
            <v>61</v>
          </cell>
          <cell r="I1066">
            <v>59.9</v>
          </cell>
          <cell r="J1066">
            <v>34718</v>
          </cell>
          <cell r="K1066">
            <v>32.700000000000003</v>
          </cell>
          <cell r="L1066">
            <v>0.27</v>
          </cell>
          <cell r="M1066">
            <v>2.2409722222222221</v>
          </cell>
          <cell r="N1066">
            <v>2014</v>
          </cell>
          <cell r="O1066" t="e">
            <v>#N/A</v>
          </cell>
          <cell r="P1066" t="e">
            <v>#N/A</v>
          </cell>
        </row>
        <row r="1067">
          <cell r="B1067" t="str">
            <v>University of GÃ¶ttingen</v>
          </cell>
          <cell r="C1067" t="str">
            <v>Germany</v>
          </cell>
          <cell r="D1067">
            <v>63</v>
          </cell>
          <cell r="E1067">
            <v>51.5</v>
          </cell>
          <cell r="F1067">
            <v>48.8</v>
          </cell>
          <cell r="G1067">
            <v>89.6</v>
          </cell>
          <cell r="H1067">
            <v>41.2</v>
          </cell>
          <cell r="I1067">
            <v>59.9</v>
          </cell>
          <cell r="J1067">
            <v>25581</v>
          </cell>
          <cell r="K1067">
            <v>25.6</v>
          </cell>
          <cell r="L1067">
            <v>0.12</v>
          </cell>
          <cell r="M1067">
            <v>2.1590277777777778</v>
          </cell>
          <cell r="N1067">
            <v>2014</v>
          </cell>
          <cell r="O1067">
            <v>169</v>
          </cell>
          <cell r="P1067">
            <v>10</v>
          </cell>
        </row>
        <row r="1068">
          <cell r="B1068" t="str">
            <v>Rice University</v>
          </cell>
          <cell r="C1068" t="str">
            <v>United States of America</v>
          </cell>
          <cell r="D1068">
            <v>65</v>
          </cell>
          <cell r="E1068">
            <v>67.7</v>
          </cell>
          <cell r="F1068">
            <v>35.5</v>
          </cell>
          <cell r="G1068">
            <v>99.9</v>
          </cell>
          <cell r="H1068">
            <v>35.200000000000003</v>
          </cell>
          <cell r="I1068">
            <v>59.8</v>
          </cell>
          <cell r="J1068">
            <v>6333</v>
          </cell>
          <cell r="K1068">
            <v>9</v>
          </cell>
          <cell r="L1068">
            <v>0.26</v>
          </cell>
          <cell r="M1068">
            <v>1.8722222222222222</v>
          </cell>
          <cell r="N1068">
            <v>2014</v>
          </cell>
          <cell r="O1068">
            <v>57</v>
          </cell>
          <cell r="P1068">
            <v>41</v>
          </cell>
        </row>
        <row r="1069">
          <cell r="B1069" t="str">
            <v>Ã‰cole Normale SupÃ©rieure</v>
          </cell>
          <cell r="C1069" t="str">
            <v>France</v>
          </cell>
          <cell r="D1069">
            <v>65</v>
          </cell>
          <cell r="E1069">
            <v>67.099999999999994</v>
          </cell>
          <cell r="F1069">
            <v>37.1</v>
          </cell>
          <cell r="G1069">
            <v>87</v>
          </cell>
          <cell r="H1069">
            <v>44.7</v>
          </cell>
          <cell r="I1069">
            <v>59.8</v>
          </cell>
          <cell r="J1069">
            <v>2400</v>
          </cell>
          <cell r="K1069">
            <v>7.9</v>
          </cell>
          <cell r="L1069">
            <v>0.2</v>
          </cell>
          <cell r="M1069">
            <v>1.9541666666666666</v>
          </cell>
          <cell r="N1069">
            <v>2014</v>
          </cell>
          <cell r="O1069" t="e">
            <v>#N/A</v>
          </cell>
          <cell r="P1069" t="e">
            <v>#N/A</v>
          </cell>
        </row>
        <row r="1070">
          <cell r="B1070" t="str">
            <v>Leiden University</v>
          </cell>
          <cell r="C1070" t="str">
            <v>Netherlands</v>
          </cell>
          <cell r="D1070">
            <v>67</v>
          </cell>
          <cell r="E1070">
            <v>58.5</v>
          </cell>
          <cell r="F1070">
            <v>53.2</v>
          </cell>
          <cell r="G1070">
            <v>84.2</v>
          </cell>
          <cell r="H1070">
            <v>49.8</v>
          </cell>
          <cell r="I1070">
            <v>59.4</v>
          </cell>
          <cell r="J1070">
            <v>21222</v>
          </cell>
          <cell r="K1070">
            <v>17.100000000000001</v>
          </cell>
          <cell r="L1070">
            <v>0.1</v>
          </cell>
          <cell r="M1070">
            <v>2.4868055555555557</v>
          </cell>
          <cell r="N1070">
            <v>2014</v>
          </cell>
          <cell r="O1070">
            <v>85</v>
          </cell>
          <cell r="P1070">
            <v>1</v>
          </cell>
        </row>
        <row r="1071">
          <cell r="B1071" t="str">
            <v>Heidelberg University</v>
          </cell>
          <cell r="C1071" t="str">
            <v>Germany</v>
          </cell>
          <cell r="D1071">
            <v>68</v>
          </cell>
          <cell r="E1071">
            <v>61.3</v>
          </cell>
          <cell r="F1071">
            <v>44.8</v>
          </cell>
          <cell r="G1071">
            <v>76</v>
          </cell>
          <cell r="H1071">
            <v>42.1</v>
          </cell>
          <cell r="I1071">
            <v>59.2</v>
          </cell>
          <cell r="J1071">
            <v>28881</v>
          </cell>
          <cell r="K1071">
            <v>24.5</v>
          </cell>
          <cell r="L1071">
            <v>0.17</v>
          </cell>
          <cell r="M1071">
            <v>2.3229166666666665</v>
          </cell>
          <cell r="N1071">
            <v>2014</v>
          </cell>
          <cell r="O1071" t="e">
            <v>#N/A</v>
          </cell>
          <cell r="P1071" t="e">
            <v>#N/A</v>
          </cell>
        </row>
        <row r="1072">
          <cell r="B1072" t="str">
            <v>Delft University of Technology</v>
          </cell>
          <cell r="C1072" t="str">
            <v>Netherlands</v>
          </cell>
          <cell r="D1072">
            <v>69</v>
          </cell>
          <cell r="E1072">
            <v>74.2</v>
          </cell>
          <cell r="F1072">
            <v>67.3</v>
          </cell>
          <cell r="G1072">
            <v>47.2</v>
          </cell>
          <cell r="H1072">
            <v>100</v>
          </cell>
          <cell r="I1072">
            <v>59.1</v>
          </cell>
          <cell r="J1072">
            <v>15920</v>
          </cell>
          <cell r="K1072">
            <v>19.399999999999999</v>
          </cell>
          <cell r="L1072">
            <v>0.25</v>
          </cell>
          <cell r="M1072" t="str">
            <v>26 : 74</v>
          </cell>
          <cell r="N1072">
            <v>2014</v>
          </cell>
          <cell r="O1072">
            <v>275</v>
          </cell>
          <cell r="P1072">
            <v>9</v>
          </cell>
        </row>
        <row r="1073">
          <cell r="B1073" t="str">
            <v>University of Southern California</v>
          </cell>
          <cell r="C1073" t="str">
            <v>United States of America</v>
          </cell>
          <cell r="D1073">
            <v>70</v>
          </cell>
          <cell r="E1073">
            <v>43.4</v>
          </cell>
          <cell r="F1073">
            <v>43.2</v>
          </cell>
          <cell r="G1073">
            <v>81.2</v>
          </cell>
          <cell r="H1073">
            <v>34.6</v>
          </cell>
          <cell r="I1073">
            <v>59</v>
          </cell>
          <cell r="J1073">
            <v>36534</v>
          </cell>
          <cell r="K1073">
            <v>12.9</v>
          </cell>
          <cell r="L1073">
            <v>0.2</v>
          </cell>
          <cell r="M1073">
            <v>2.2000000000000002</v>
          </cell>
          <cell r="N1073">
            <v>2014</v>
          </cell>
          <cell r="O1073">
            <v>44</v>
          </cell>
          <cell r="P1073">
            <v>32</v>
          </cell>
        </row>
        <row r="1074">
          <cell r="B1074" t="str">
            <v>Ã‰cole Polytechnique</v>
          </cell>
          <cell r="C1074" t="str">
            <v>France</v>
          </cell>
          <cell r="D1074">
            <v>70</v>
          </cell>
          <cell r="E1074">
            <v>86.1</v>
          </cell>
          <cell r="F1074">
            <v>40.5</v>
          </cell>
          <cell r="G1074">
            <v>82.3</v>
          </cell>
          <cell r="H1074">
            <v>74</v>
          </cell>
          <cell r="I1074">
            <v>59</v>
          </cell>
          <cell r="J1074">
            <v>2429</v>
          </cell>
          <cell r="K1074">
            <v>4.8</v>
          </cell>
          <cell r="L1074">
            <v>0.3</v>
          </cell>
          <cell r="M1074">
            <v>0.80694444444444446</v>
          </cell>
          <cell r="N1074">
            <v>2014</v>
          </cell>
          <cell r="O1074">
            <v>61</v>
          </cell>
          <cell r="P1074">
            <v>3</v>
          </cell>
        </row>
        <row r="1075">
          <cell r="B1075" t="str">
            <v>University of Sydney</v>
          </cell>
          <cell r="C1075" t="str">
            <v>Australia</v>
          </cell>
          <cell r="D1075">
            <v>72</v>
          </cell>
          <cell r="E1075">
            <v>84.8</v>
          </cell>
          <cell r="F1075">
            <v>55.4</v>
          </cell>
          <cell r="G1075">
            <v>66.599999999999994</v>
          </cell>
          <cell r="H1075">
            <v>66.3</v>
          </cell>
          <cell r="I1075">
            <v>58.8</v>
          </cell>
          <cell r="J1075">
            <v>41868</v>
          </cell>
          <cell r="K1075">
            <v>20.2</v>
          </cell>
          <cell r="L1075">
            <v>0.28000000000000003</v>
          </cell>
          <cell r="M1075">
            <v>2.4048611111111109</v>
          </cell>
          <cell r="N1075">
            <v>2014</v>
          </cell>
          <cell r="O1075">
            <v>94</v>
          </cell>
          <cell r="P1075">
            <v>2</v>
          </cell>
        </row>
        <row r="1076">
          <cell r="B1076" t="str">
            <v>Erasmus University Rotterdam</v>
          </cell>
          <cell r="C1076" t="str">
            <v>Netherlands</v>
          </cell>
          <cell r="D1076">
            <v>73</v>
          </cell>
          <cell r="E1076">
            <v>66.599999999999994</v>
          </cell>
          <cell r="F1076">
            <v>53.3</v>
          </cell>
          <cell r="G1076">
            <v>81.2</v>
          </cell>
          <cell r="H1076">
            <v>56</v>
          </cell>
          <cell r="I1076">
            <v>58.1</v>
          </cell>
          <cell r="J1076">
            <v>20580</v>
          </cell>
          <cell r="K1076">
            <v>18.899999999999999</v>
          </cell>
          <cell r="L1076">
            <v>0.18</v>
          </cell>
          <cell r="M1076">
            <v>2.036111111111111</v>
          </cell>
          <cell r="N1076">
            <v>2014</v>
          </cell>
          <cell r="O1076">
            <v>101</v>
          </cell>
          <cell r="P1076">
            <v>2</v>
          </cell>
        </row>
        <row r="1077">
          <cell r="B1077" t="str">
            <v>University of Basel</v>
          </cell>
          <cell r="C1077" t="str">
            <v>Switzerland</v>
          </cell>
          <cell r="D1077">
            <v>74</v>
          </cell>
          <cell r="E1077">
            <v>91.1</v>
          </cell>
          <cell r="F1077">
            <v>41</v>
          </cell>
          <cell r="G1077">
            <v>81.400000000000006</v>
          </cell>
          <cell r="H1077">
            <v>98.5</v>
          </cell>
          <cell r="I1077">
            <v>57.7</v>
          </cell>
          <cell r="J1077">
            <v>12551</v>
          </cell>
          <cell r="K1077">
            <v>17.3</v>
          </cell>
          <cell r="L1077">
            <v>0.24</v>
          </cell>
          <cell r="M1077">
            <v>2.2819444444444446</v>
          </cell>
          <cell r="N1077">
            <v>2014</v>
          </cell>
          <cell r="O1077">
            <v>154</v>
          </cell>
          <cell r="P1077">
            <v>5</v>
          </cell>
        </row>
        <row r="1078">
          <cell r="B1078" t="str">
            <v>Utrecht University</v>
          </cell>
          <cell r="C1078" t="str">
            <v>Netherlands</v>
          </cell>
          <cell r="D1078">
            <v>74</v>
          </cell>
          <cell r="E1078">
            <v>49.2</v>
          </cell>
          <cell r="F1078">
            <v>54.7</v>
          </cell>
          <cell r="G1078">
            <v>82</v>
          </cell>
          <cell r="H1078">
            <v>85.6</v>
          </cell>
          <cell r="I1078">
            <v>57.7</v>
          </cell>
          <cell r="J1078">
            <v>30779</v>
          </cell>
          <cell r="K1078">
            <v>15.4</v>
          </cell>
          <cell r="L1078">
            <v>7.0000000000000007E-2</v>
          </cell>
          <cell r="M1078">
            <v>2.4868055555555557</v>
          </cell>
          <cell r="N1078">
            <v>2014</v>
          </cell>
          <cell r="O1078">
            <v>99</v>
          </cell>
          <cell r="P1078">
            <v>2</v>
          </cell>
        </row>
        <row r="1079">
          <cell r="B1079" t="str">
            <v>Nanyang Technological University</v>
          </cell>
          <cell r="C1079" t="str">
            <v>Singapore</v>
          </cell>
          <cell r="D1079">
            <v>76</v>
          </cell>
          <cell r="E1079">
            <v>91</v>
          </cell>
          <cell r="F1079">
            <v>54.3</v>
          </cell>
          <cell r="G1079">
            <v>67.5</v>
          </cell>
          <cell r="H1079">
            <v>100</v>
          </cell>
          <cell r="I1079">
            <v>57.2</v>
          </cell>
          <cell r="J1079">
            <v>25028</v>
          </cell>
          <cell r="K1079">
            <v>16.2</v>
          </cell>
          <cell r="L1079">
            <v>0.33</v>
          </cell>
          <cell r="M1079">
            <v>2.036111111111111</v>
          </cell>
          <cell r="N1079">
            <v>2014</v>
          </cell>
          <cell r="O1079">
            <v>148</v>
          </cell>
          <cell r="P1079">
            <v>2</v>
          </cell>
        </row>
        <row r="1080">
          <cell r="B1080" t="str">
            <v>Wageningen University and Research Center</v>
          </cell>
          <cell r="C1080" t="str">
            <v>Netherlands</v>
          </cell>
          <cell r="D1080">
            <v>77</v>
          </cell>
          <cell r="E1080">
            <v>78.3</v>
          </cell>
          <cell r="F1080">
            <v>44.3</v>
          </cell>
          <cell r="G1080">
            <v>74.099999999999994</v>
          </cell>
          <cell r="H1080">
            <v>100</v>
          </cell>
          <cell r="I1080">
            <v>56.8</v>
          </cell>
          <cell r="J1080">
            <v>9248</v>
          </cell>
          <cell r="K1080">
            <v>17</v>
          </cell>
          <cell r="L1080">
            <v>0.21</v>
          </cell>
          <cell r="M1080">
            <v>2.3638888888888889</v>
          </cell>
          <cell r="N1080">
            <v>2014</v>
          </cell>
          <cell r="O1080" t="e">
            <v>#N/A</v>
          </cell>
          <cell r="P1080" t="e">
            <v>#N/A</v>
          </cell>
        </row>
        <row r="1081">
          <cell r="B1081" t="str">
            <v>University of Pittsburgh</v>
          </cell>
          <cell r="C1081" t="str">
            <v>United States of America</v>
          </cell>
          <cell r="D1081">
            <v>78</v>
          </cell>
          <cell r="E1081">
            <v>29.4</v>
          </cell>
          <cell r="F1081">
            <v>45.4</v>
          </cell>
          <cell r="G1081">
            <v>84.4</v>
          </cell>
          <cell r="H1081">
            <v>39.4</v>
          </cell>
          <cell r="I1081">
            <v>56.7</v>
          </cell>
          <cell r="J1081">
            <v>26485</v>
          </cell>
          <cell r="K1081">
            <v>5.8</v>
          </cell>
          <cell r="L1081">
            <v>0.1</v>
          </cell>
          <cell r="M1081">
            <v>2.1590277777777778</v>
          </cell>
          <cell r="N1081">
            <v>2014</v>
          </cell>
          <cell r="O1081" t="e">
            <v>#N/A</v>
          </cell>
          <cell r="P1081" t="e">
            <v>#N/A</v>
          </cell>
        </row>
        <row r="1082">
          <cell r="B1082" t="str">
            <v>University of Bristol</v>
          </cell>
          <cell r="C1082" t="str">
            <v>United Kingdom</v>
          </cell>
          <cell r="D1082">
            <v>79</v>
          </cell>
          <cell r="E1082">
            <v>75</v>
          </cell>
          <cell r="F1082">
            <v>41.2</v>
          </cell>
          <cell r="G1082">
            <v>84.9</v>
          </cell>
          <cell r="H1082">
            <v>38</v>
          </cell>
          <cell r="I1082">
            <v>56.3</v>
          </cell>
          <cell r="J1082">
            <v>17906</v>
          </cell>
          <cell r="K1082">
            <v>14</v>
          </cell>
          <cell r="L1082">
            <v>0.25</v>
          </cell>
          <cell r="M1082">
            <v>2.2409722222222221</v>
          </cell>
          <cell r="N1082">
            <v>2014</v>
          </cell>
          <cell r="O1082">
            <v>98</v>
          </cell>
          <cell r="P1082">
            <v>7</v>
          </cell>
        </row>
        <row r="1083">
          <cell r="B1083" t="str">
            <v>Durham University</v>
          </cell>
          <cell r="C1083" t="str">
            <v>United Kingdom</v>
          </cell>
          <cell r="D1083">
            <v>80</v>
          </cell>
          <cell r="E1083">
            <v>76.8</v>
          </cell>
          <cell r="F1083">
            <v>38.299999999999997</v>
          </cell>
          <cell r="G1083">
            <v>88.2</v>
          </cell>
          <cell r="H1083">
            <v>35.299999999999997</v>
          </cell>
          <cell r="I1083">
            <v>56.1</v>
          </cell>
          <cell r="J1083">
            <v>15489</v>
          </cell>
          <cell r="K1083">
            <v>15.7</v>
          </cell>
          <cell r="L1083">
            <v>0.24</v>
          </cell>
          <cell r="M1083">
            <v>2.2819444444444446</v>
          </cell>
          <cell r="N1083">
            <v>2014</v>
          </cell>
          <cell r="O1083">
            <v>264</v>
          </cell>
          <cell r="P1083">
            <v>23</v>
          </cell>
        </row>
        <row r="1084">
          <cell r="B1084" t="str">
            <v>Emory University</v>
          </cell>
          <cell r="C1084" t="str">
            <v>United States of America</v>
          </cell>
          <cell r="D1084">
            <v>80</v>
          </cell>
          <cell r="E1084">
            <v>42.4</v>
          </cell>
          <cell r="F1084">
            <v>31.6</v>
          </cell>
          <cell r="G1084">
            <v>90.8</v>
          </cell>
          <cell r="H1084">
            <v>43.2</v>
          </cell>
          <cell r="I1084">
            <v>56.1</v>
          </cell>
          <cell r="J1084">
            <v>12338</v>
          </cell>
          <cell r="K1084">
            <v>4.5</v>
          </cell>
          <cell r="L1084">
            <v>0.18</v>
          </cell>
          <cell r="M1084">
            <v>2.3638888888888889</v>
          </cell>
          <cell r="N1084">
            <v>2014</v>
          </cell>
          <cell r="O1084">
            <v>81</v>
          </cell>
          <cell r="P1084">
            <v>53</v>
          </cell>
        </row>
        <row r="1085">
          <cell r="B1085" t="str">
            <v>Tufts University</v>
          </cell>
          <cell r="C1085" t="str">
            <v>United States of America</v>
          </cell>
          <cell r="D1085">
            <v>80</v>
          </cell>
          <cell r="E1085">
            <v>43.4</v>
          </cell>
          <cell r="F1085">
            <v>32.1</v>
          </cell>
          <cell r="G1085">
            <v>93.9</v>
          </cell>
          <cell r="H1085">
            <v>39.1</v>
          </cell>
          <cell r="I1085">
            <v>56.1</v>
          </cell>
          <cell r="J1085">
            <v>10410</v>
          </cell>
          <cell r="K1085">
            <v>10</v>
          </cell>
          <cell r="L1085">
            <v>0.14000000000000001</v>
          </cell>
          <cell r="M1085">
            <v>2.2819444444444446</v>
          </cell>
          <cell r="N1085">
            <v>2014</v>
          </cell>
          <cell r="O1085">
            <v>86</v>
          </cell>
          <cell r="P1085">
            <v>55</v>
          </cell>
        </row>
        <row r="1086">
          <cell r="B1086" t="str">
            <v>Michigan State University</v>
          </cell>
          <cell r="C1086" t="str">
            <v>United States of America</v>
          </cell>
          <cell r="D1086">
            <v>83</v>
          </cell>
          <cell r="E1086">
            <v>52.6</v>
          </cell>
          <cell r="F1086">
            <v>49.1</v>
          </cell>
          <cell r="G1086">
            <v>71.5</v>
          </cell>
          <cell r="H1086">
            <v>32</v>
          </cell>
          <cell r="I1086">
            <v>55.9</v>
          </cell>
          <cell r="J1086">
            <v>44750</v>
          </cell>
          <cell r="K1086">
            <v>15.7</v>
          </cell>
          <cell r="L1086">
            <v>0.15</v>
          </cell>
          <cell r="M1086">
            <v>2.1590277777777778</v>
          </cell>
          <cell r="N1086">
            <v>2014</v>
          </cell>
          <cell r="O1086">
            <v>112</v>
          </cell>
          <cell r="P1086">
            <v>59</v>
          </cell>
        </row>
        <row r="1087">
          <cell r="B1087" t="str">
            <v>University of Amsterdam</v>
          </cell>
          <cell r="C1087" t="str">
            <v>Netherlands</v>
          </cell>
          <cell r="D1087">
            <v>83</v>
          </cell>
          <cell r="E1087">
            <v>58.3</v>
          </cell>
          <cell r="F1087">
            <v>54.1</v>
          </cell>
          <cell r="G1087">
            <v>75</v>
          </cell>
          <cell r="H1087">
            <v>50.2</v>
          </cell>
          <cell r="I1087">
            <v>55.9</v>
          </cell>
          <cell r="J1087">
            <v>24570</v>
          </cell>
          <cell r="K1087">
            <v>14.4</v>
          </cell>
          <cell r="L1087">
            <v>0.11</v>
          </cell>
          <cell r="M1087">
            <v>2.2409722222222221</v>
          </cell>
          <cell r="N1087">
            <v>2014</v>
          </cell>
          <cell r="O1087">
            <v>122</v>
          </cell>
          <cell r="P1087">
            <v>4</v>
          </cell>
        </row>
        <row r="1088">
          <cell r="B1088" t="str">
            <v>Ghent University</v>
          </cell>
          <cell r="C1088" t="str">
            <v>Belgium</v>
          </cell>
          <cell r="D1088">
            <v>85</v>
          </cell>
          <cell r="E1088">
            <v>49.5</v>
          </cell>
          <cell r="F1088">
            <v>48.9</v>
          </cell>
          <cell r="G1088">
            <v>74.900000000000006</v>
          </cell>
          <cell r="H1088">
            <v>94.6</v>
          </cell>
          <cell r="I1088">
            <v>55.5</v>
          </cell>
          <cell r="J1088">
            <v>32166</v>
          </cell>
          <cell r="K1088">
            <v>34.1</v>
          </cell>
          <cell r="L1088">
            <v>0.09</v>
          </cell>
          <cell r="M1088">
            <v>2.4048611111111109</v>
          </cell>
          <cell r="N1088">
            <v>2014</v>
          </cell>
          <cell r="O1088">
            <v>136</v>
          </cell>
          <cell r="P1088">
            <v>2</v>
          </cell>
        </row>
        <row r="1089">
          <cell r="B1089" t="str">
            <v>Free University of Berlin</v>
          </cell>
          <cell r="C1089" t="str">
            <v>Germany</v>
          </cell>
          <cell r="D1089">
            <v>86</v>
          </cell>
          <cell r="E1089">
            <v>58.7</v>
          </cell>
          <cell r="F1089">
            <v>58</v>
          </cell>
          <cell r="G1089">
            <v>64.8</v>
          </cell>
          <cell r="H1089">
            <v>34.4</v>
          </cell>
          <cell r="I1089">
            <v>55.3</v>
          </cell>
          <cell r="J1089">
            <v>33062</v>
          </cell>
          <cell r="K1089">
            <v>39.299999999999997</v>
          </cell>
          <cell r="L1089">
            <v>0.2</v>
          </cell>
          <cell r="M1089">
            <v>2.4458333333333333</v>
          </cell>
          <cell r="N1089">
            <v>2014</v>
          </cell>
          <cell r="O1089">
            <v>158</v>
          </cell>
          <cell r="P1089">
            <v>7</v>
          </cell>
        </row>
        <row r="1090">
          <cell r="B1090" t="str">
            <v>Technical University of Munich</v>
          </cell>
          <cell r="C1090" t="str">
            <v>Germany</v>
          </cell>
          <cell r="D1090">
            <v>87</v>
          </cell>
          <cell r="E1090">
            <v>63.1</v>
          </cell>
          <cell r="F1090">
            <v>35.200000000000003</v>
          </cell>
          <cell r="G1090">
            <v>80.7</v>
          </cell>
          <cell r="H1090">
            <v>50.1</v>
          </cell>
          <cell r="I1090">
            <v>55.2</v>
          </cell>
          <cell r="J1090">
            <v>35565</v>
          </cell>
          <cell r="K1090">
            <v>31.5</v>
          </cell>
          <cell r="L1090">
            <v>0.2</v>
          </cell>
          <cell r="M1090" t="str">
            <v>33 : 67</v>
          </cell>
          <cell r="N1090">
            <v>2014</v>
          </cell>
          <cell r="O1090">
            <v>90</v>
          </cell>
          <cell r="P1090">
            <v>3</v>
          </cell>
        </row>
        <row r="1091">
          <cell r="B1091" t="str">
            <v>Case Western Reserve University</v>
          </cell>
          <cell r="C1091" t="str">
            <v>United States of America</v>
          </cell>
          <cell r="D1091">
            <v>88</v>
          </cell>
          <cell r="E1091">
            <v>35.4</v>
          </cell>
          <cell r="F1091">
            <v>38.6</v>
          </cell>
          <cell r="G1091">
            <v>82.8</v>
          </cell>
          <cell r="H1091" t="str">
            <v>-</v>
          </cell>
          <cell r="I1091">
            <v>55</v>
          </cell>
          <cell r="J1091">
            <v>9259</v>
          </cell>
          <cell r="K1091">
            <v>6.4</v>
          </cell>
          <cell r="L1091">
            <v>0.17</v>
          </cell>
          <cell r="M1091">
            <v>2.036111111111111</v>
          </cell>
          <cell r="N1091">
            <v>2014</v>
          </cell>
          <cell r="O1091">
            <v>78</v>
          </cell>
          <cell r="P1091">
            <v>51</v>
          </cell>
        </row>
        <row r="1092">
          <cell r="B1092" t="str">
            <v>Vanderbilt University</v>
          </cell>
          <cell r="C1092" t="str">
            <v>United States of America</v>
          </cell>
          <cell r="D1092">
            <v>88</v>
          </cell>
          <cell r="E1092">
            <v>28.6</v>
          </cell>
          <cell r="F1092">
            <v>38.700000000000003</v>
          </cell>
          <cell r="G1092">
            <v>86.5</v>
          </cell>
          <cell r="H1092">
            <v>51</v>
          </cell>
          <cell r="I1092">
            <v>55</v>
          </cell>
          <cell r="J1092">
            <v>12161</v>
          </cell>
          <cell r="K1092">
            <v>3.6</v>
          </cell>
          <cell r="L1092">
            <v>0.1</v>
          </cell>
          <cell r="M1092">
            <v>2.2000000000000002</v>
          </cell>
          <cell r="N1092">
            <v>2014</v>
          </cell>
          <cell r="O1092">
            <v>59</v>
          </cell>
          <cell r="P1092">
            <v>43</v>
          </cell>
        </row>
        <row r="1093">
          <cell r="B1093" t="str">
            <v>University of Notre Dame</v>
          </cell>
          <cell r="C1093" t="str">
            <v>United States of America</v>
          </cell>
          <cell r="D1093">
            <v>90</v>
          </cell>
          <cell r="E1093">
            <v>47.5</v>
          </cell>
          <cell r="F1093">
            <v>34.700000000000003</v>
          </cell>
          <cell r="G1093">
            <v>91.8</v>
          </cell>
          <cell r="H1093">
            <v>31.2</v>
          </cell>
          <cell r="I1093">
            <v>54.7</v>
          </cell>
          <cell r="J1093">
            <v>11829</v>
          </cell>
          <cell r="K1093">
            <v>13.8</v>
          </cell>
          <cell r="L1093">
            <v>0.1</v>
          </cell>
          <cell r="M1093">
            <v>1.8722222222222222</v>
          </cell>
          <cell r="N1093">
            <v>2014</v>
          </cell>
          <cell r="O1093">
            <v>64</v>
          </cell>
          <cell r="P1093">
            <v>42</v>
          </cell>
        </row>
        <row r="1094">
          <cell r="B1094" t="str">
            <v>Monash University</v>
          </cell>
          <cell r="C1094" t="str">
            <v>Australia</v>
          </cell>
          <cell r="D1094">
            <v>91</v>
          </cell>
          <cell r="E1094">
            <v>78.3</v>
          </cell>
          <cell r="F1094">
            <v>48.9</v>
          </cell>
          <cell r="G1094">
            <v>65.400000000000006</v>
          </cell>
          <cell r="H1094">
            <v>67</v>
          </cell>
          <cell r="I1094">
            <v>54.6</v>
          </cell>
          <cell r="J1094">
            <v>50882</v>
          </cell>
          <cell r="K1094">
            <v>40.5</v>
          </cell>
          <cell r="L1094">
            <v>0.36</v>
          </cell>
          <cell r="M1094">
            <v>2.3638888888888889</v>
          </cell>
          <cell r="N1094">
            <v>2014</v>
          </cell>
          <cell r="O1094">
            <v>170</v>
          </cell>
          <cell r="P1094">
            <v>6</v>
          </cell>
        </row>
        <row r="1095">
          <cell r="B1095" t="str">
            <v>McMaster University</v>
          </cell>
          <cell r="C1095" t="str">
            <v>Canada</v>
          </cell>
          <cell r="D1095">
            <v>92</v>
          </cell>
          <cell r="E1095">
            <v>68</v>
          </cell>
          <cell r="F1095">
            <v>42.7</v>
          </cell>
          <cell r="G1095">
            <v>79.400000000000006</v>
          </cell>
          <cell r="H1095">
            <v>86.9</v>
          </cell>
          <cell r="I1095">
            <v>54.5</v>
          </cell>
          <cell r="J1095">
            <v>23823</v>
          </cell>
          <cell r="K1095">
            <v>19.3</v>
          </cell>
          <cell r="L1095">
            <v>0.15</v>
          </cell>
          <cell r="M1095">
            <v>2.2409722222222221</v>
          </cell>
          <cell r="N1095">
            <v>2014</v>
          </cell>
          <cell r="O1095">
            <v>141</v>
          </cell>
          <cell r="P1095">
            <v>6</v>
          </cell>
        </row>
        <row r="1096">
          <cell r="B1096" t="str">
            <v>University of California, Irvine</v>
          </cell>
          <cell r="C1096" t="str">
            <v>United States of America</v>
          </cell>
          <cell r="D1096">
            <v>93</v>
          </cell>
          <cell r="E1096">
            <v>36.4</v>
          </cell>
          <cell r="F1096">
            <v>40.799999999999997</v>
          </cell>
          <cell r="G1096">
            <v>89.7</v>
          </cell>
          <cell r="H1096">
            <v>44.9</v>
          </cell>
          <cell r="I1096">
            <v>54.1</v>
          </cell>
          <cell r="J1096">
            <v>26614</v>
          </cell>
          <cell r="K1096">
            <v>16.100000000000001</v>
          </cell>
          <cell r="L1096">
            <v>0.16</v>
          </cell>
          <cell r="M1096">
            <v>2.2000000000000002</v>
          </cell>
          <cell r="N1096">
            <v>2014</v>
          </cell>
          <cell r="O1096">
            <v>47</v>
          </cell>
          <cell r="P1096">
            <v>35</v>
          </cell>
        </row>
        <row r="1097">
          <cell r="B1097" t="str">
            <v>Humboldt University of Berlin</v>
          </cell>
          <cell r="C1097" t="str">
            <v>Germany</v>
          </cell>
          <cell r="D1097">
            <v>94</v>
          </cell>
          <cell r="E1097">
            <v>54.4</v>
          </cell>
          <cell r="F1097">
            <v>48.7</v>
          </cell>
          <cell r="G1097">
            <v>68.400000000000006</v>
          </cell>
          <cell r="H1097" t="str">
            <v>-</v>
          </cell>
          <cell r="I1097">
            <v>53.8</v>
          </cell>
          <cell r="J1097">
            <v>29987</v>
          </cell>
          <cell r="K1097">
            <v>52.5</v>
          </cell>
          <cell r="L1097">
            <v>0.16</v>
          </cell>
          <cell r="N1097">
            <v>2014</v>
          </cell>
          <cell r="O1097">
            <v>157</v>
          </cell>
          <cell r="P1097">
            <v>6</v>
          </cell>
        </row>
        <row r="1098">
          <cell r="B1098" t="str">
            <v>University of Rochester</v>
          </cell>
          <cell r="C1098" t="str">
            <v>United States of America</v>
          </cell>
          <cell r="D1098">
            <v>95</v>
          </cell>
          <cell r="E1098">
            <v>50.7</v>
          </cell>
          <cell r="F1098">
            <v>29.9</v>
          </cell>
          <cell r="G1098">
            <v>89.7</v>
          </cell>
          <cell r="H1098">
            <v>41.4</v>
          </cell>
          <cell r="I1098">
            <v>53.6</v>
          </cell>
          <cell r="J1098">
            <v>9390</v>
          </cell>
          <cell r="K1098">
            <v>4.5</v>
          </cell>
          <cell r="L1098">
            <v>0.26</v>
          </cell>
          <cell r="M1098">
            <v>2.0770833333333334</v>
          </cell>
          <cell r="N1098">
            <v>2014</v>
          </cell>
          <cell r="O1098">
            <v>53</v>
          </cell>
          <cell r="P1098">
            <v>39</v>
          </cell>
        </row>
        <row r="1099">
          <cell r="B1099" t="str">
            <v>Pierre and Marie Curie University</v>
          </cell>
          <cell r="C1099" t="str">
            <v>France</v>
          </cell>
          <cell r="D1099">
            <v>96</v>
          </cell>
          <cell r="E1099">
            <v>65.5</v>
          </cell>
          <cell r="F1099">
            <v>26.7</v>
          </cell>
          <cell r="G1099">
            <v>82.3</v>
          </cell>
          <cell r="H1099">
            <v>34.4</v>
          </cell>
          <cell r="I1099">
            <v>53.5</v>
          </cell>
          <cell r="J1099">
            <v>27862</v>
          </cell>
          <cell r="K1099">
            <v>8.6999999999999993</v>
          </cell>
          <cell r="L1099">
            <v>0.18</v>
          </cell>
          <cell r="M1099">
            <v>2.036111111111111</v>
          </cell>
          <cell r="N1099">
            <v>2014</v>
          </cell>
          <cell r="O1099" t="e">
            <v>#N/A</v>
          </cell>
          <cell r="P1099" t="e">
            <v>#N/A</v>
          </cell>
        </row>
        <row r="1100">
          <cell r="B1100" t="str">
            <v>University of Colorado Boulder</v>
          </cell>
          <cell r="C1100" t="str">
            <v>United States of America</v>
          </cell>
          <cell r="D1100">
            <v>97</v>
          </cell>
          <cell r="E1100">
            <v>40.5</v>
          </cell>
          <cell r="F1100">
            <v>33.299999999999997</v>
          </cell>
          <cell r="G1100">
            <v>97.3</v>
          </cell>
          <cell r="H1100" t="str">
            <v>-</v>
          </cell>
          <cell r="I1100">
            <v>53.4</v>
          </cell>
          <cell r="J1100">
            <v>29325</v>
          </cell>
          <cell r="K1100">
            <v>16.100000000000001</v>
          </cell>
          <cell r="L1100">
            <v>0.08</v>
          </cell>
          <cell r="M1100">
            <v>1.9131944444444444</v>
          </cell>
          <cell r="N1100">
            <v>2014</v>
          </cell>
          <cell r="O1100">
            <v>46</v>
          </cell>
          <cell r="P1100">
            <v>34</v>
          </cell>
        </row>
        <row r="1101">
          <cell r="B1101" t="str">
            <v>Maastricht University</v>
          </cell>
          <cell r="C1101" t="str">
            <v>Netherlands</v>
          </cell>
          <cell r="D1101">
            <v>98</v>
          </cell>
          <cell r="E1101">
            <v>89.1</v>
          </cell>
          <cell r="F1101">
            <v>47.1</v>
          </cell>
          <cell r="G1101">
            <v>65.8</v>
          </cell>
          <cell r="H1101">
            <v>98.2</v>
          </cell>
          <cell r="I1101">
            <v>52.9</v>
          </cell>
          <cell r="J1101">
            <v>15626</v>
          </cell>
          <cell r="K1101">
            <v>18.899999999999999</v>
          </cell>
          <cell r="L1101">
            <v>0.48</v>
          </cell>
          <cell r="M1101">
            <v>2.3638888888888889</v>
          </cell>
          <cell r="N1101">
            <v>2014</v>
          </cell>
          <cell r="O1101">
            <v>250</v>
          </cell>
          <cell r="P1101">
            <v>8</v>
          </cell>
        </row>
        <row r="1102">
          <cell r="B1102" t="str">
            <v>University of Groningen</v>
          </cell>
          <cell r="C1102" t="str">
            <v>Netherlands</v>
          </cell>
          <cell r="D1102">
            <v>98</v>
          </cell>
          <cell r="E1102">
            <v>53</v>
          </cell>
          <cell r="F1102">
            <v>48.6</v>
          </cell>
          <cell r="G1102">
            <v>71.099999999999994</v>
          </cell>
          <cell r="H1102">
            <v>87.6</v>
          </cell>
          <cell r="I1102">
            <v>52.9</v>
          </cell>
          <cell r="J1102">
            <v>24556</v>
          </cell>
          <cell r="K1102">
            <v>25.6</v>
          </cell>
          <cell r="L1102">
            <v>0.12</v>
          </cell>
          <cell r="M1102">
            <v>2.2000000000000002</v>
          </cell>
          <cell r="N1102">
            <v>2014</v>
          </cell>
          <cell r="O1102">
            <v>127</v>
          </cell>
          <cell r="P1102">
            <v>5</v>
          </cell>
        </row>
        <row r="1103">
          <cell r="B1103" t="str">
            <v>University of Helsinki</v>
          </cell>
          <cell r="C1103" t="str">
            <v>Finland</v>
          </cell>
          <cell r="D1103">
            <v>100</v>
          </cell>
          <cell r="E1103">
            <v>51.3</v>
          </cell>
          <cell r="F1103">
            <v>46.5</v>
          </cell>
          <cell r="G1103">
            <v>77.8</v>
          </cell>
          <cell r="H1103">
            <v>30.7</v>
          </cell>
          <cell r="I1103">
            <v>52.6</v>
          </cell>
          <cell r="J1103">
            <v>23505</v>
          </cell>
          <cell r="K1103">
            <v>15.1</v>
          </cell>
          <cell r="L1103">
            <v>0.06</v>
          </cell>
          <cell r="M1103">
            <v>2.7736111111111112</v>
          </cell>
          <cell r="N1103">
            <v>2014</v>
          </cell>
          <cell r="O1103">
            <v>89</v>
          </cell>
          <cell r="P1103">
            <v>1</v>
          </cell>
        </row>
        <row r="1104">
          <cell r="B1104" t="str">
            <v>University of York</v>
          </cell>
          <cell r="C1104" t="str">
            <v>United Kingdom</v>
          </cell>
          <cell r="D1104">
            <v>100</v>
          </cell>
          <cell r="E1104">
            <v>73.599999999999994</v>
          </cell>
          <cell r="F1104">
            <v>33.200000000000003</v>
          </cell>
          <cell r="G1104">
            <v>89.4</v>
          </cell>
          <cell r="H1104">
            <v>33.299999999999997</v>
          </cell>
          <cell r="I1104">
            <v>52.6</v>
          </cell>
          <cell r="N1104">
            <v>2014</v>
          </cell>
          <cell r="O1104">
            <v>336</v>
          </cell>
          <cell r="P1104">
            <v>30</v>
          </cell>
        </row>
        <row r="1105">
          <cell r="B1105" t="str">
            <v>Royal Holloway, University of London</v>
          </cell>
          <cell r="C1105" t="str">
            <v>United Kingdom</v>
          </cell>
          <cell r="D1105">
            <v>102</v>
          </cell>
          <cell r="E1105">
            <v>92.6</v>
          </cell>
          <cell r="F1105">
            <v>21.2</v>
          </cell>
          <cell r="G1105">
            <v>97.5</v>
          </cell>
          <cell r="H1105">
            <v>33.1</v>
          </cell>
          <cell r="I1105">
            <v>52.5</v>
          </cell>
          <cell r="J1105">
            <v>8747</v>
          </cell>
          <cell r="K1105">
            <v>15.9</v>
          </cell>
          <cell r="L1105">
            <v>0.37</v>
          </cell>
          <cell r="M1105">
            <v>2.4048611111111109</v>
          </cell>
          <cell r="N1105">
            <v>2014</v>
          </cell>
          <cell r="O1105">
            <v>541</v>
          </cell>
          <cell r="P1105">
            <v>42</v>
          </cell>
        </row>
        <row r="1106">
          <cell r="B1106" t="str">
            <v>Rutgers, the State University of New Jersey</v>
          </cell>
          <cell r="C1106" t="str">
            <v>United States of America</v>
          </cell>
          <cell r="D1106">
            <v>103</v>
          </cell>
          <cell r="E1106">
            <v>31.4</v>
          </cell>
          <cell r="F1106">
            <v>50.1</v>
          </cell>
          <cell r="G1106">
            <v>70.400000000000006</v>
          </cell>
          <cell r="H1106">
            <v>35.4</v>
          </cell>
          <cell r="I1106">
            <v>52.4</v>
          </cell>
          <cell r="J1106">
            <v>37032</v>
          </cell>
          <cell r="K1106">
            <v>17.3</v>
          </cell>
          <cell r="L1106">
            <v>0.08</v>
          </cell>
          <cell r="M1106">
            <v>2.1590277777777778</v>
          </cell>
          <cell r="N1106">
            <v>2014</v>
          </cell>
          <cell r="O1106" t="e">
            <v>#N/A</v>
          </cell>
          <cell r="P1106" t="e">
            <v>#N/A</v>
          </cell>
        </row>
        <row r="1107">
          <cell r="B1107" t="str">
            <v>Stockholm University</v>
          </cell>
          <cell r="C1107" t="str">
            <v>Sweden</v>
          </cell>
          <cell r="D1107">
            <v>103</v>
          </cell>
          <cell r="E1107">
            <v>53.4</v>
          </cell>
          <cell r="F1107">
            <v>41.4</v>
          </cell>
          <cell r="G1107">
            <v>88.7</v>
          </cell>
          <cell r="H1107">
            <v>31.5</v>
          </cell>
          <cell r="I1107">
            <v>52.4</v>
          </cell>
          <cell r="J1107">
            <v>31715</v>
          </cell>
          <cell r="K1107">
            <v>23.7</v>
          </cell>
          <cell r="L1107">
            <v>0.08</v>
          </cell>
          <cell r="M1107">
            <v>2.6097222222222221</v>
          </cell>
          <cell r="N1107">
            <v>2014</v>
          </cell>
          <cell r="O1107">
            <v>187</v>
          </cell>
          <cell r="P1107">
            <v>6</v>
          </cell>
        </row>
        <row r="1108">
          <cell r="B1108" t="str">
            <v>University of Arizona</v>
          </cell>
          <cell r="C1108" t="str">
            <v>United States of America</v>
          </cell>
          <cell r="D1108">
            <v>103</v>
          </cell>
          <cell r="E1108">
            <v>38</v>
          </cell>
          <cell r="F1108">
            <v>44.4</v>
          </cell>
          <cell r="G1108">
            <v>74.599999999999994</v>
          </cell>
          <cell r="H1108">
            <v>82.3</v>
          </cell>
          <cell r="I1108">
            <v>52.4</v>
          </cell>
          <cell r="J1108">
            <v>36429</v>
          </cell>
          <cell r="K1108">
            <v>12.7</v>
          </cell>
          <cell r="L1108">
            <v>0.08</v>
          </cell>
          <cell r="M1108">
            <v>2.2000000000000002</v>
          </cell>
          <cell r="N1108">
            <v>2014</v>
          </cell>
          <cell r="O1108">
            <v>50</v>
          </cell>
          <cell r="P1108">
            <v>37</v>
          </cell>
        </row>
        <row r="1109">
          <cell r="B1109" t="str">
            <v>Eindhoven University of Technology</v>
          </cell>
          <cell r="C1109" t="str">
            <v>Netherlands</v>
          </cell>
          <cell r="D1109">
            <v>106</v>
          </cell>
          <cell r="E1109">
            <v>68.7</v>
          </cell>
          <cell r="F1109">
            <v>47.9</v>
          </cell>
          <cell r="G1109">
            <v>63.6</v>
          </cell>
          <cell r="H1109">
            <v>100</v>
          </cell>
          <cell r="I1109">
            <v>52.3</v>
          </cell>
          <cell r="J1109">
            <v>8176</v>
          </cell>
          <cell r="K1109">
            <v>16</v>
          </cell>
          <cell r="L1109">
            <v>0.14000000000000001</v>
          </cell>
          <cell r="M1109">
            <v>0.84791666666666665</v>
          </cell>
          <cell r="N1109">
            <v>2014</v>
          </cell>
          <cell r="O1109">
            <v>353</v>
          </cell>
          <cell r="P1109">
            <v>11</v>
          </cell>
        </row>
        <row r="1110">
          <cell r="B1110" t="str">
            <v>University of Montreal</v>
          </cell>
          <cell r="C1110" t="str">
            <v>Canada</v>
          </cell>
          <cell r="D1110">
            <v>106</v>
          </cell>
          <cell r="E1110">
            <v>75.599999999999994</v>
          </cell>
          <cell r="F1110">
            <v>42.9</v>
          </cell>
          <cell r="G1110">
            <v>59.3</v>
          </cell>
          <cell r="H1110">
            <v>90.9</v>
          </cell>
          <cell r="I1110">
            <v>52.3</v>
          </cell>
          <cell r="J1110">
            <v>38264</v>
          </cell>
          <cell r="K1110">
            <v>20.3</v>
          </cell>
          <cell r="L1110">
            <v>0.25</v>
          </cell>
          <cell r="M1110">
            <v>2.4048611111111109</v>
          </cell>
          <cell r="N1110">
            <v>2014</v>
          </cell>
          <cell r="O1110">
            <v>134</v>
          </cell>
          <cell r="P1110">
            <v>5</v>
          </cell>
        </row>
        <row r="1111">
          <cell r="B1111" t="str">
            <v>University of Maryland, College Park</v>
          </cell>
          <cell r="C1111" t="str">
            <v>United States of America</v>
          </cell>
          <cell r="D1111">
            <v>108</v>
          </cell>
          <cell r="E1111">
            <v>42.4</v>
          </cell>
          <cell r="F1111">
            <v>37.200000000000003</v>
          </cell>
          <cell r="G1111">
            <v>84.4</v>
          </cell>
          <cell r="H1111">
            <v>32.1</v>
          </cell>
          <cell r="I1111">
            <v>52.2</v>
          </cell>
          <cell r="J1111">
            <v>31331</v>
          </cell>
          <cell r="K1111">
            <v>8.4</v>
          </cell>
          <cell r="L1111">
            <v>0.09</v>
          </cell>
          <cell r="M1111">
            <v>2.036111111111111</v>
          </cell>
          <cell r="N1111">
            <v>2014</v>
          </cell>
          <cell r="O1111">
            <v>68</v>
          </cell>
          <cell r="P1111">
            <v>47</v>
          </cell>
        </row>
        <row r="1112">
          <cell r="B1112" t="str">
            <v>Chinese University of Hong Kong</v>
          </cell>
          <cell r="C1112" t="str">
            <v>Hong Kong</v>
          </cell>
          <cell r="D1112">
            <v>109</v>
          </cell>
          <cell r="E1112">
            <v>66.900000000000006</v>
          </cell>
          <cell r="F1112">
            <v>54.7</v>
          </cell>
          <cell r="G1112">
            <v>52.4</v>
          </cell>
          <cell r="H1112">
            <v>46.4</v>
          </cell>
          <cell r="I1112">
            <v>52</v>
          </cell>
          <cell r="J1112">
            <v>17916</v>
          </cell>
          <cell r="K1112">
            <v>10.199999999999999</v>
          </cell>
          <cell r="L1112">
            <v>0.22</v>
          </cell>
          <cell r="M1112">
            <v>2.2409722222222221</v>
          </cell>
          <cell r="N1112">
            <v>2014</v>
          </cell>
          <cell r="O1112">
            <v>202</v>
          </cell>
          <cell r="P1112">
            <v>2</v>
          </cell>
        </row>
        <row r="1113">
          <cell r="B1113" t="str">
            <v>University of Alberta</v>
          </cell>
          <cell r="C1113" t="str">
            <v>Canada</v>
          </cell>
          <cell r="D1113">
            <v>109</v>
          </cell>
          <cell r="E1113">
            <v>70.099999999999994</v>
          </cell>
          <cell r="F1113">
            <v>47.8</v>
          </cell>
          <cell r="G1113">
            <v>59.3</v>
          </cell>
          <cell r="H1113">
            <v>46.8</v>
          </cell>
          <cell r="I1113">
            <v>52</v>
          </cell>
          <cell r="J1113">
            <v>36299</v>
          </cell>
          <cell r="K1113">
            <v>21.6</v>
          </cell>
          <cell r="L1113">
            <v>0.23</v>
          </cell>
          <cell r="M1113">
            <v>2.3229166666666665</v>
          </cell>
          <cell r="N1113">
            <v>2014</v>
          </cell>
          <cell r="O1113">
            <v>97</v>
          </cell>
          <cell r="P1113">
            <v>4</v>
          </cell>
        </row>
        <row r="1114">
          <cell r="B1114" t="str">
            <v>Uppsala University</v>
          </cell>
          <cell r="C1114" t="str">
            <v>Sweden</v>
          </cell>
          <cell r="D1114">
            <v>111</v>
          </cell>
          <cell r="E1114">
            <v>57.8</v>
          </cell>
          <cell r="F1114">
            <v>49.7</v>
          </cell>
          <cell r="G1114">
            <v>66.400000000000006</v>
          </cell>
          <cell r="H1114">
            <v>40.5</v>
          </cell>
          <cell r="I1114">
            <v>51.9</v>
          </cell>
          <cell r="J1114">
            <v>25266</v>
          </cell>
          <cell r="K1114">
            <v>18.2</v>
          </cell>
          <cell r="L1114">
            <v>0.12</v>
          </cell>
          <cell r="M1114">
            <v>2.4048611111111109</v>
          </cell>
          <cell r="N1114">
            <v>2014</v>
          </cell>
          <cell r="O1114">
            <v>124</v>
          </cell>
          <cell r="P1114">
            <v>4</v>
          </cell>
        </row>
        <row r="1115">
          <cell r="B1115" t="str">
            <v>University of Sheffield</v>
          </cell>
          <cell r="C1115" t="str">
            <v>United Kingdom</v>
          </cell>
          <cell r="D1115">
            <v>112</v>
          </cell>
          <cell r="E1115">
            <v>71.599999999999994</v>
          </cell>
          <cell r="F1115">
            <v>38.1</v>
          </cell>
          <cell r="G1115">
            <v>72.400000000000006</v>
          </cell>
          <cell r="H1115">
            <v>42.7</v>
          </cell>
          <cell r="I1115">
            <v>51.8</v>
          </cell>
          <cell r="J1115">
            <v>23311</v>
          </cell>
          <cell r="K1115">
            <v>15.5</v>
          </cell>
          <cell r="L1115">
            <v>0.31</v>
          </cell>
          <cell r="M1115">
            <v>2.1180555555555554</v>
          </cell>
          <cell r="N1115">
            <v>2014</v>
          </cell>
          <cell r="O1115">
            <v>178</v>
          </cell>
          <cell r="P1115">
            <v>14</v>
          </cell>
        </row>
        <row r="1116">
          <cell r="B1116" t="str">
            <v>University of Virginia</v>
          </cell>
          <cell r="C1116" t="str">
            <v>United States of America</v>
          </cell>
          <cell r="D1116">
            <v>112</v>
          </cell>
          <cell r="E1116">
            <v>30.2</v>
          </cell>
          <cell r="F1116">
            <v>33.9</v>
          </cell>
          <cell r="G1116">
            <v>77.5</v>
          </cell>
          <cell r="H1116">
            <v>49.4</v>
          </cell>
          <cell r="I1116">
            <v>51.8</v>
          </cell>
          <cell r="J1116">
            <v>23845</v>
          </cell>
          <cell r="K1116">
            <v>10.199999999999999</v>
          </cell>
          <cell r="L1116">
            <v>0.12</v>
          </cell>
          <cell r="M1116">
            <v>2.2000000000000002</v>
          </cell>
          <cell r="N1116">
            <v>2014</v>
          </cell>
          <cell r="O1116">
            <v>84</v>
          </cell>
          <cell r="P1116">
            <v>54</v>
          </cell>
        </row>
        <row r="1117">
          <cell r="B1117" t="str">
            <v>Paris-Sud University</v>
          </cell>
          <cell r="C1117" t="str">
            <v>France</v>
          </cell>
          <cell r="D1117">
            <v>114</v>
          </cell>
          <cell r="E1117">
            <v>62</v>
          </cell>
          <cell r="F1117">
            <v>32.1</v>
          </cell>
          <cell r="G1117">
            <v>86.3</v>
          </cell>
          <cell r="H1117">
            <v>28.8</v>
          </cell>
          <cell r="I1117">
            <v>51.7</v>
          </cell>
          <cell r="J1117">
            <v>27603</v>
          </cell>
          <cell r="K1117">
            <v>15</v>
          </cell>
          <cell r="L1117">
            <v>0.17</v>
          </cell>
          <cell r="N1117">
            <v>2014</v>
          </cell>
          <cell r="O1117" t="e">
            <v>#N/A</v>
          </cell>
          <cell r="P1117" t="e">
            <v>#N/A</v>
          </cell>
        </row>
        <row r="1118">
          <cell r="B1118" t="str">
            <v>Queen Mary University of London</v>
          </cell>
          <cell r="C1118" t="str">
            <v>United Kingdom</v>
          </cell>
          <cell r="D1118">
            <v>114</v>
          </cell>
          <cell r="E1118">
            <v>88</v>
          </cell>
          <cell r="F1118">
            <v>29.2</v>
          </cell>
          <cell r="G1118">
            <v>87</v>
          </cell>
          <cell r="H1118">
            <v>37.700000000000003</v>
          </cell>
          <cell r="I1118">
            <v>51.7</v>
          </cell>
          <cell r="J1118">
            <v>14260</v>
          </cell>
          <cell r="K1118">
            <v>14</v>
          </cell>
          <cell r="L1118">
            <v>0.4</v>
          </cell>
          <cell r="M1118">
            <v>2.2000000000000002</v>
          </cell>
          <cell r="N1118">
            <v>2014</v>
          </cell>
          <cell r="O1118">
            <v>214</v>
          </cell>
          <cell r="P1118">
            <v>18</v>
          </cell>
        </row>
        <row r="1119">
          <cell r="B1119" t="str">
            <v>University of New South Wales</v>
          </cell>
          <cell r="C1119" t="str">
            <v>Australia</v>
          </cell>
          <cell r="D1119">
            <v>114</v>
          </cell>
          <cell r="E1119">
            <v>83.5</v>
          </cell>
          <cell r="F1119">
            <v>50.1</v>
          </cell>
          <cell r="G1119">
            <v>58</v>
          </cell>
          <cell r="H1119">
            <v>52.6</v>
          </cell>
          <cell r="I1119">
            <v>51.7</v>
          </cell>
          <cell r="J1119">
            <v>38309</v>
          </cell>
          <cell r="K1119">
            <v>25.9</v>
          </cell>
          <cell r="L1119">
            <v>0.33</v>
          </cell>
          <cell r="M1119">
            <v>1.9951388888888888</v>
          </cell>
          <cell r="N1119">
            <v>2014</v>
          </cell>
          <cell r="O1119">
            <v>149</v>
          </cell>
          <cell r="P1119">
            <v>4</v>
          </cell>
        </row>
        <row r="1120">
          <cell r="B1120" t="str">
            <v>KTH Royal Institute of Technology</v>
          </cell>
          <cell r="C1120" t="str">
            <v>Sweden</v>
          </cell>
          <cell r="D1120">
            <v>117</v>
          </cell>
          <cell r="E1120">
            <v>86.2</v>
          </cell>
          <cell r="F1120">
            <v>41.6</v>
          </cell>
          <cell r="G1120">
            <v>55.6</v>
          </cell>
          <cell r="H1120">
            <v>100</v>
          </cell>
          <cell r="I1120">
            <v>51.6</v>
          </cell>
          <cell r="J1120">
            <v>12062</v>
          </cell>
          <cell r="K1120">
            <v>14.6</v>
          </cell>
          <cell r="L1120">
            <v>0.21</v>
          </cell>
          <cell r="M1120" t="str">
            <v>30 : 70</v>
          </cell>
          <cell r="N1120">
            <v>2014</v>
          </cell>
          <cell r="O1120" t="e">
            <v>#N/A</v>
          </cell>
          <cell r="P1120" t="e">
            <v>#N/A</v>
          </cell>
        </row>
        <row r="1121">
          <cell r="B1121" t="str">
            <v>Technical University of Denmark</v>
          </cell>
          <cell r="C1121" t="str">
            <v>Denmark</v>
          </cell>
          <cell r="D1121">
            <v>117</v>
          </cell>
          <cell r="E1121">
            <v>77.400000000000006</v>
          </cell>
          <cell r="F1121">
            <v>26.9</v>
          </cell>
          <cell r="G1121">
            <v>78.7</v>
          </cell>
          <cell r="H1121">
            <v>98.7</v>
          </cell>
          <cell r="I1121">
            <v>51.6</v>
          </cell>
          <cell r="J1121">
            <v>9990</v>
          </cell>
          <cell r="K1121">
            <v>5</v>
          </cell>
          <cell r="L1121">
            <v>0.18</v>
          </cell>
          <cell r="M1121" t="str">
            <v>27 : 73</v>
          </cell>
          <cell r="N1121">
            <v>2014</v>
          </cell>
          <cell r="O1121">
            <v>197</v>
          </cell>
          <cell r="P1121">
            <v>3</v>
          </cell>
        </row>
        <row r="1122">
          <cell r="B1122" t="str">
            <v>University of Glasgow</v>
          </cell>
          <cell r="C1122" t="str">
            <v>United Kingdom</v>
          </cell>
          <cell r="D1122">
            <v>117</v>
          </cell>
          <cell r="E1122">
            <v>73.7</v>
          </cell>
          <cell r="F1122">
            <v>36.6</v>
          </cell>
          <cell r="G1122">
            <v>79.2</v>
          </cell>
          <cell r="H1122">
            <v>40.799999999999997</v>
          </cell>
          <cell r="I1122">
            <v>51.6</v>
          </cell>
          <cell r="J1122">
            <v>22616</v>
          </cell>
          <cell r="K1122">
            <v>16</v>
          </cell>
          <cell r="L1122">
            <v>0.28999999999999998</v>
          </cell>
          <cell r="M1122">
            <v>2.4048611111111109</v>
          </cell>
          <cell r="N1122">
            <v>2014</v>
          </cell>
          <cell r="O1122">
            <v>137</v>
          </cell>
          <cell r="P1122">
            <v>9</v>
          </cell>
        </row>
        <row r="1123">
          <cell r="B1123" t="str">
            <v>University of St Andrews</v>
          </cell>
          <cell r="C1123" t="str">
            <v>United Kingdom</v>
          </cell>
          <cell r="D1123">
            <v>117</v>
          </cell>
          <cell r="E1123">
            <v>88.8</v>
          </cell>
          <cell r="F1123">
            <v>32.200000000000003</v>
          </cell>
          <cell r="G1123">
            <v>77.3</v>
          </cell>
          <cell r="H1123">
            <v>40.299999999999997</v>
          </cell>
          <cell r="I1123">
            <v>51.6</v>
          </cell>
          <cell r="J1123">
            <v>8338</v>
          </cell>
          <cell r="K1123">
            <v>12.7</v>
          </cell>
          <cell r="L1123">
            <v>0.47</v>
          </cell>
          <cell r="M1123">
            <v>2.3638888888888889</v>
          </cell>
          <cell r="N1123">
            <v>2014</v>
          </cell>
          <cell r="O1123">
            <v>323</v>
          </cell>
          <cell r="P1123">
            <v>28</v>
          </cell>
        </row>
        <row r="1124">
          <cell r="B1124" t="str">
            <v>University of Sussex</v>
          </cell>
          <cell r="C1124" t="str">
            <v>United Kingdom</v>
          </cell>
          <cell r="D1124">
            <v>121</v>
          </cell>
          <cell r="E1124">
            <v>80.099999999999994</v>
          </cell>
          <cell r="F1124">
            <v>32.200000000000003</v>
          </cell>
          <cell r="G1124">
            <v>86.3</v>
          </cell>
          <cell r="H1124">
            <v>31.3</v>
          </cell>
          <cell r="I1124">
            <v>51.2</v>
          </cell>
          <cell r="J1124">
            <v>12001</v>
          </cell>
          <cell r="K1124">
            <v>17.399999999999999</v>
          </cell>
          <cell r="L1124">
            <v>0.35</v>
          </cell>
          <cell r="M1124">
            <v>2.2819444444444446</v>
          </cell>
          <cell r="N1124">
            <v>2014</v>
          </cell>
          <cell r="O1124">
            <v>190</v>
          </cell>
          <cell r="P1124">
            <v>15</v>
          </cell>
        </row>
        <row r="1125">
          <cell r="B1125" t="str">
            <v>University of Zurich</v>
          </cell>
          <cell r="C1125" t="str">
            <v>Switzerland</v>
          </cell>
          <cell r="D1125">
            <v>121</v>
          </cell>
          <cell r="E1125">
            <v>85.5</v>
          </cell>
          <cell r="F1125">
            <v>29.8</v>
          </cell>
          <cell r="G1125">
            <v>78.099999999999994</v>
          </cell>
          <cell r="H1125">
            <v>39.200000000000003</v>
          </cell>
          <cell r="I1125">
            <v>51.2</v>
          </cell>
          <cell r="J1125">
            <v>26583</v>
          </cell>
          <cell r="K1125">
            <v>6.5</v>
          </cell>
          <cell r="L1125">
            <v>0.19</v>
          </cell>
          <cell r="M1125">
            <v>2.4048611111111109</v>
          </cell>
          <cell r="N1125">
            <v>2014</v>
          </cell>
          <cell r="O1125">
            <v>88</v>
          </cell>
          <cell r="P1125">
            <v>4</v>
          </cell>
        </row>
        <row r="1126">
          <cell r="B1126" t="str">
            <v>Lund University</v>
          </cell>
          <cell r="C1126" t="str">
            <v>Sweden</v>
          </cell>
          <cell r="D1126">
            <v>123</v>
          </cell>
          <cell r="E1126">
            <v>67.400000000000006</v>
          </cell>
          <cell r="F1126">
            <v>48.6</v>
          </cell>
          <cell r="G1126">
            <v>72</v>
          </cell>
          <cell r="H1126">
            <v>33.5</v>
          </cell>
          <cell r="I1126">
            <v>51.1</v>
          </cell>
          <cell r="J1126">
            <v>28251</v>
          </cell>
          <cell r="K1126">
            <v>11.5</v>
          </cell>
          <cell r="L1126">
            <v>0.15</v>
          </cell>
          <cell r="N1126">
            <v>2014</v>
          </cell>
          <cell r="O1126">
            <v>116</v>
          </cell>
          <cell r="P1126">
            <v>3</v>
          </cell>
        </row>
        <row r="1127">
          <cell r="B1127" t="str">
            <v>University of Geneva</v>
          </cell>
          <cell r="C1127" t="str">
            <v>Switzerland</v>
          </cell>
          <cell r="D1127">
            <v>124</v>
          </cell>
          <cell r="E1127">
            <v>96.7</v>
          </cell>
          <cell r="F1127">
            <v>33.9</v>
          </cell>
          <cell r="G1127">
            <v>77.2</v>
          </cell>
          <cell r="H1127">
            <v>38.299999999999997</v>
          </cell>
          <cell r="I1127">
            <v>51</v>
          </cell>
          <cell r="J1127">
            <v>15668</v>
          </cell>
          <cell r="K1127">
            <v>15</v>
          </cell>
          <cell r="L1127">
            <v>0.39</v>
          </cell>
          <cell r="M1127">
            <v>2.5687500000000001</v>
          </cell>
          <cell r="N1127">
            <v>2014</v>
          </cell>
          <cell r="O1127">
            <v>65</v>
          </cell>
          <cell r="P1127">
            <v>2</v>
          </cell>
        </row>
        <row r="1128">
          <cell r="B1128" t="str">
            <v>Tokyo Institute of Technology</v>
          </cell>
          <cell r="C1128" t="str">
            <v>Japan</v>
          </cell>
          <cell r="D1128">
            <v>125</v>
          </cell>
          <cell r="E1128">
            <v>32.1</v>
          </cell>
          <cell r="F1128">
            <v>51.4</v>
          </cell>
          <cell r="G1128">
            <v>52</v>
          </cell>
          <cell r="H1128">
            <v>67.5</v>
          </cell>
          <cell r="I1128">
            <v>50.8</v>
          </cell>
          <cell r="J1128">
            <v>9586</v>
          </cell>
          <cell r="K1128">
            <v>7.3</v>
          </cell>
          <cell r="L1128">
            <v>0.13</v>
          </cell>
          <cell r="M1128">
            <v>0.6020833333333333</v>
          </cell>
          <cell r="N1128">
            <v>2014</v>
          </cell>
          <cell r="O1128">
            <v>96</v>
          </cell>
          <cell r="P1128">
            <v>8</v>
          </cell>
        </row>
        <row r="1129">
          <cell r="B1129" t="str">
            <v>Dartmouth College</v>
          </cell>
          <cell r="C1129" t="str">
            <v>United States of America</v>
          </cell>
          <cell r="D1129">
            <v>126</v>
          </cell>
          <cell r="E1129">
            <v>32.700000000000003</v>
          </cell>
          <cell r="F1129">
            <v>34.5</v>
          </cell>
          <cell r="G1129">
            <v>83.6</v>
          </cell>
          <cell r="H1129">
            <v>42.3</v>
          </cell>
          <cell r="I1129">
            <v>50.5</v>
          </cell>
          <cell r="J1129">
            <v>6178</v>
          </cell>
          <cell r="K1129">
            <v>6.6</v>
          </cell>
          <cell r="L1129">
            <v>0.16</v>
          </cell>
          <cell r="M1129">
            <v>1.9951388888888888</v>
          </cell>
          <cell r="N1129">
            <v>2014</v>
          </cell>
          <cell r="O1129">
            <v>58</v>
          </cell>
          <cell r="P1129">
            <v>42</v>
          </cell>
        </row>
        <row r="1130">
          <cell r="B1130" t="str">
            <v>University of Cape Town</v>
          </cell>
          <cell r="C1130" t="str">
            <v>South Africa</v>
          </cell>
          <cell r="D1130">
            <v>126</v>
          </cell>
          <cell r="E1130">
            <v>77.2</v>
          </cell>
          <cell r="F1130">
            <v>31</v>
          </cell>
          <cell r="G1130">
            <v>84.6</v>
          </cell>
          <cell r="H1130">
            <v>85.6</v>
          </cell>
          <cell r="I1130">
            <v>50.5</v>
          </cell>
          <cell r="J1130">
            <v>20040</v>
          </cell>
          <cell r="K1130">
            <v>12.1</v>
          </cell>
          <cell r="L1130">
            <v>0.18</v>
          </cell>
          <cell r="M1130">
            <v>2.2409722222222221</v>
          </cell>
          <cell r="N1130">
            <v>2014</v>
          </cell>
          <cell r="O1130">
            <v>267</v>
          </cell>
          <cell r="P1130">
            <v>2</v>
          </cell>
        </row>
        <row r="1131">
          <cell r="B1131" t="str">
            <v>University of Florida</v>
          </cell>
          <cell r="C1131" t="str">
            <v>United States of America</v>
          </cell>
          <cell r="D1131">
            <v>128</v>
          </cell>
          <cell r="E1131">
            <v>30.9</v>
          </cell>
          <cell r="F1131">
            <v>49.9</v>
          </cell>
          <cell r="G1131">
            <v>59.9</v>
          </cell>
          <cell r="H1131" t="str">
            <v>-</v>
          </cell>
          <cell r="I1131">
            <v>50.4</v>
          </cell>
          <cell r="J1131">
            <v>50095</v>
          </cell>
          <cell r="K1131">
            <v>18.7</v>
          </cell>
          <cell r="L1131">
            <v>0.09</v>
          </cell>
          <cell r="M1131">
            <v>2.2819444444444446</v>
          </cell>
          <cell r="N1131">
            <v>2014</v>
          </cell>
          <cell r="O1131">
            <v>55</v>
          </cell>
          <cell r="P1131">
            <v>40</v>
          </cell>
        </row>
        <row r="1132">
          <cell r="B1132" t="str">
            <v>RWTH Aachen University</v>
          </cell>
          <cell r="C1132" t="str">
            <v>Germany</v>
          </cell>
          <cell r="D1132">
            <v>129</v>
          </cell>
          <cell r="E1132">
            <v>55.5</v>
          </cell>
          <cell r="F1132">
            <v>31.3</v>
          </cell>
          <cell r="G1132">
            <v>76</v>
          </cell>
          <cell r="H1132">
            <v>73.900000000000006</v>
          </cell>
          <cell r="I1132">
            <v>50.3</v>
          </cell>
          <cell r="J1132">
            <v>37917</v>
          </cell>
          <cell r="K1132">
            <v>27.6</v>
          </cell>
          <cell r="L1132">
            <v>0.16</v>
          </cell>
          <cell r="M1132" t="str">
            <v>31 : 69</v>
          </cell>
          <cell r="N1132">
            <v>2014</v>
          </cell>
          <cell r="O1132">
            <v>238</v>
          </cell>
          <cell r="P1132">
            <v>19</v>
          </cell>
        </row>
        <row r="1133">
          <cell r="B1133" t="str">
            <v>Trinity College Dublin</v>
          </cell>
          <cell r="C1133" t="str">
            <v>Republic of Ireland</v>
          </cell>
          <cell r="D1133">
            <v>129</v>
          </cell>
          <cell r="E1133">
            <v>85.9</v>
          </cell>
          <cell r="F1133">
            <v>25.2</v>
          </cell>
          <cell r="G1133">
            <v>85.4</v>
          </cell>
          <cell r="H1133">
            <v>30.8</v>
          </cell>
          <cell r="I1133">
            <v>50.3</v>
          </cell>
          <cell r="J1133">
            <v>15521</v>
          </cell>
          <cell r="K1133">
            <v>18</v>
          </cell>
          <cell r="L1133">
            <v>0.25</v>
          </cell>
          <cell r="M1133">
            <v>2.4048611111111109</v>
          </cell>
          <cell r="N1133">
            <v>2014</v>
          </cell>
          <cell r="O1133" t="e">
            <v>#N/A</v>
          </cell>
          <cell r="P1133" t="e">
            <v>#N/A</v>
          </cell>
        </row>
        <row r="1134">
          <cell r="B1134" t="str">
            <v>Radboud University Nijmegen</v>
          </cell>
          <cell r="C1134" t="str">
            <v>Netherlands</v>
          </cell>
          <cell r="D1134">
            <v>131</v>
          </cell>
          <cell r="E1134">
            <v>58.6</v>
          </cell>
          <cell r="F1134">
            <v>46.1</v>
          </cell>
          <cell r="G1134">
            <v>73.099999999999994</v>
          </cell>
          <cell r="H1134">
            <v>42.5</v>
          </cell>
          <cell r="I1134">
            <v>50.2</v>
          </cell>
          <cell r="J1134">
            <v>17713</v>
          </cell>
          <cell r="K1134">
            <v>13</v>
          </cell>
          <cell r="L1134">
            <v>0.1</v>
          </cell>
          <cell r="M1134">
            <v>2.4458333333333333</v>
          </cell>
          <cell r="N1134">
            <v>2014</v>
          </cell>
          <cell r="O1134">
            <v>129</v>
          </cell>
          <cell r="P1134">
            <v>6</v>
          </cell>
        </row>
        <row r="1135">
          <cell r="B1135" t="str">
            <v>Indiana University</v>
          </cell>
          <cell r="C1135" t="str">
            <v>United States of America</v>
          </cell>
          <cell r="D1135">
            <v>132</v>
          </cell>
          <cell r="E1135">
            <v>38.299999999999997</v>
          </cell>
          <cell r="F1135">
            <v>37</v>
          </cell>
          <cell r="G1135">
            <v>71.5</v>
          </cell>
          <cell r="H1135" t="str">
            <v>-</v>
          </cell>
          <cell r="I1135">
            <v>50.1</v>
          </cell>
          <cell r="J1135">
            <v>62468</v>
          </cell>
          <cell r="K1135">
            <v>13.6</v>
          </cell>
          <cell r="L1135">
            <v>0.13</v>
          </cell>
          <cell r="M1135">
            <v>2.2409722222222221</v>
          </cell>
          <cell r="N1135">
            <v>2014</v>
          </cell>
          <cell r="O1135" t="e">
            <v>#N/A</v>
          </cell>
          <cell r="P1135" t="e">
            <v>#N/A</v>
          </cell>
        </row>
        <row r="1136">
          <cell r="B1136" t="str">
            <v>University of Lausanne</v>
          </cell>
          <cell r="C1136" t="str">
            <v>Switzerland</v>
          </cell>
          <cell r="D1136">
            <v>132</v>
          </cell>
          <cell r="E1136">
            <v>84.5</v>
          </cell>
          <cell r="F1136">
            <v>39.700000000000003</v>
          </cell>
          <cell r="G1136">
            <v>74.5</v>
          </cell>
          <cell r="H1136">
            <v>52.7</v>
          </cell>
          <cell r="I1136">
            <v>50.1</v>
          </cell>
          <cell r="J1136">
            <v>11964</v>
          </cell>
          <cell r="K1136">
            <v>13.1</v>
          </cell>
          <cell r="L1136">
            <v>0.22</v>
          </cell>
          <cell r="N1136">
            <v>2014</v>
          </cell>
          <cell r="O1136">
            <v>194</v>
          </cell>
          <cell r="P1136">
            <v>6</v>
          </cell>
        </row>
        <row r="1137">
          <cell r="B1137" t="str">
            <v>University of Massachusetts</v>
          </cell>
          <cell r="C1137" t="str">
            <v>United States of America</v>
          </cell>
          <cell r="D1137">
            <v>132</v>
          </cell>
          <cell r="E1137">
            <v>33.1</v>
          </cell>
          <cell r="F1137">
            <v>38.9</v>
          </cell>
          <cell r="G1137">
            <v>74.599999999999994</v>
          </cell>
          <cell r="H1137">
            <v>52</v>
          </cell>
          <cell r="I1137">
            <v>50.1</v>
          </cell>
          <cell r="J1137">
            <v>56959</v>
          </cell>
          <cell r="K1137">
            <v>13</v>
          </cell>
          <cell r="L1137">
            <v>0.11</v>
          </cell>
          <cell r="M1137">
            <v>2.0770833333333334</v>
          </cell>
          <cell r="N1137">
            <v>2014</v>
          </cell>
          <cell r="O1137" t="e">
            <v>#N/A</v>
          </cell>
          <cell r="P1137" t="e">
            <v>#N/A</v>
          </cell>
        </row>
        <row r="1138">
          <cell r="B1138" t="str">
            <v>Boston College</v>
          </cell>
          <cell r="C1138" t="str">
            <v>United States of America</v>
          </cell>
          <cell r="D1138">
            <v>135</v>
          </cell>
          <cell r="E1138">
            <v>54.4</v>
          </cell>
          <cell r="F1138">
            <v>26.4</v>
          </cell>
          <cell r="G1138">
            <v>96.2</v>
          </cell>
          <cell r="H1138">
            <v>49.4</v>
          </cell>
          <cell r="I1138">
            <v>50</v>
          </cell>
          <cell r="J1138">
            <v>13216</v>
          </cell>
          <cell r="K1138">
            <v>17.399999999999999</v>
          </cell>
          <cell r="L1138">
            <v>0.19</v>
          </cell>
          <cell r="M1138">
            <v>2.2819444444444446</v>
          </cell>
          <cell r="N1138">
            <v>2014</v>
          </cell>
          <cell r="O1138">
            <v>332</v>
          </cell>
          <cell r="P1138">
            <v>124</v>
          </cell>
        </row>
        <row r="1139">
          <cell r="B1139" t="str">
            <v>University of California, Santa Cruz</v>
          </cell>
          <cell r="C1139" t="str">
            <v>United States of America</v>
          </cell>
          <cell r="D1139">
            <v>136</v>
          </cell>
          <cell r="E1139">
            <v>39.4</v>
          </cell>
          <cell r="F1139">
            <v>29.1</v>
          </cell>
          <cell r="G1139">
            <v>99.9</v>
          </cell>
          <cell r="H1139" t="str">
            <v>-</v>
          </cell>
          <cell r="I1139">
            <v>49.9</v>
          </cell>
          <cell r="J1139">
            <v>17404</v>
          </cell>
          <cell r="K1139">
            <v>22.7</v>
          </cell>
          <cell r="L1139">
            <v>0.01</v>
          </cell>
          <cell r="M1139">
            <v>2.2409722222222221</v>
          </cell>
          <cell r="N1139">
            <v>2014</v>
          </cell>
          <cell r="O1139">
            <v>163</v>
          </cell>
          <cell r="P1139">
            <v>71</v>
          </cell>
        </row>
        <row r="1140">
          <cell r="B1140" t="str">
            <v>Lancaster University</v>
          </cell>
          <cell r="C1140" t="str">
            <v>United Kingdom</v>
          </cell>
          <cell r="D1140">
            <v>137</v>
          </cell>
          <cell r="E1140">
            <v>81.2</v>
          </cell>
          <cell r="F1140">
            <v>32.6</v>
          </cell>
          <cell r="G1140">
            <v>75.400000000000006</v>
          </cell>
          <cell r="H1140">
            <v>32.200000000000003</v>
          </cell>
          <cell r="I1140">
            <v>49.7</v>
          </cell>
          <cell r="J1140">
            <v>11512</v>
          </cell>
          <cell r="K1140">
            <v>14.9</v>
          </cell>
          <cell r="L1140">
            <v>0.33</v>
          </cell>
          <cell r="M1140">
            <v>2.2000000000000002</v>
          </cell>
          <cell r="N1140">
            <v>2014</v>
          </cell>
          <cell r="O1140">
            <v>449</v>
          </cell>
          <cell r="P1140">
            <v>38</v>
          </cell>
        </row>
        <row r="1141">
          <cell r="B1141" t="str">
            <v>Aarhus University</v>
          </cell>
          <cell r="C1141" t="str">
            <v>Denmark</v>
          </cell>
          <cell r="D1141">
            <v>138</v>
          </cell>
          <cell r="E1141">
            <v>67.2</v>
          </cell>
          <cell r="F1141">
            <v>46.4</v>
          </cell>
          <cell r="G1141">
            <v>65.8</v>
          </cell>
          <cell r="H1141">
            <v>67.5</v>
          </cell>
          <cell r="I1141">
            <v>49.6</v>
          </cell>
          <cell r="J1141">
            <v>23895</v>
          </cell>
          <cell r="K1141">
            <v>13.6</v>
          </cell>
          <cell r="L1141">
            <v>0.14000000000000001</v>
          </cell>
          <cell r="M1141">
            <v>2.2819444444444446</v>
          </cell>
          <cell r="N1141">
            <v>2014</v>
          </cell>
          <cell r="O1141">
            <v>119</v>
          </cell>
          <cell r="P1141">
            <v>2</v>
          </cell>
        </row>
        <row r="1142">
          <cell r="B1142" t="str">
            <v>Colorado School of Mines</v>
          </cell>
          <cell r="C1142" t="str">
            <v>United States of America</v>
          </cell>
          <cell r="D1142">
            <v>139</v>
          </cell>
          <cell r="E1142">
            <v>47.3</v>
          </cell>
          <cell r="F1142">
            <v>27.2</v>
          </cell>
          <cell r="G1142">
            <v>97.1</v>
          </cell>
          <cell r="H1142">
            <v>74.8</v>
          </cell>
          <cell r="I1142">
            <v>49.5</v>
          </cell>
          <cell r="J1142">
            <v>5287</v>
          </cell>
          <cell r="K1142">
            <v>18.2</v>
          </cell>
          <cell r="L1142">
            <v>0.12</v>
          </cell>
          <cell r="M1142" t="str">
            <v>26 : 74</v>
          </cell>
          <cell r="N1142">
            <v>2014</v>
          </cell>
          <cell r="O1142">
            <v>364</v>
          </cell>
          <cell r="P1142">
            <v>131</v>
          </cell>
        </row>
        <row r="1143">
          <cell r="B1143" t="str">
            <v>University of Leeds</v>
          </cell>
          <cell r="C1143" t="str">
            <v>United Kingdom</v>
          </cell>
          <cell r="D1143">
            <v>139</v>
          </cell>
          <cell r="E1143">
            <v>68.5</v>
          </cell>
          <cell r="F1143">
            <v>38.200000000000003</v>
          </cell>
          <cell r="G1143">
            <v>71.3</v>
          </cell>
          <cell r="H1143">
            <v>42.1</v>
          </cell>
          <cell r="I1143">
            <v>49.5</v>
          </cell>
          <cell r="J1143">
            <v>27703</v>
          </cell>
          <cell r="K1143">
            <v>14.7</v>
          </cell>
          <cell r="L1143">
            <v>0.21</v>
          </cell>
          <cell r="M1143">
            <v>2.4458333333333333</v>
          </cell>
          <cell r="N1143">
            <v>2014</v>
          </cell>
          <cell r="O1143">
            <v>151</v>
          </cell>
          <cell r="P1143">
            <v>13</v>
          </cell>
        </row>
        <row r="1144">
          <cell r="B1144" t="str">
            <v>University of Warwick</v>
          </cell>
          <cell r="C1144" t="str">
            <v>United Kingdom</v>
          </cell>
          <cell r="D1144">
            <v>141</v>
          </cell>
          <cell r="E1144">
            <v>82.9</v>
          </cell>
          <cell r="F1144">
            <v>42.4</v>
          </cell>
          <cell r="G1144">
            <v>58.7</v>
          </cell>
          <cell r="H1144">
            <v>34.6</v>
          </cell>
          <cell r="I1144">
            <v>49.4</v>
          </cell>
          <cell r="J1144">
            <v>18529</v>
          </cell>
          <cell r="K1144">
            <v>16.600000000000001</v>
          </cell>
          <cell r="L1144">
            <v>0.37</v>
          </cell>
          <cell r="M1144">
            <v>2.036111111111111</v>
          </cell>
          <cell r="N1144">
            <v>2014</v>
          </cell>
          <cell r="O1144">
            <v>324</v>
          </cell>
          <cell r="P1144">
            <v>29</v>
          </cell>
        </row>
        <row r="1145">
          <cell r="B1145" t="str">
            <v>National Taiwan University</v>
          </cell>
          <cell r="C1145" t="str">
            <v>Taiwan</v>
          </cell>
          <cell r="D1145">
            <v>142</v>
          </cell>
          <cell r="E1145">
            <v>27.3</v>
          </cell>
          <cell r="F1145">
            <v>58.3</v>
          </cell>
          <cell r="G1145">
            <v>47.8</v>
          </cell>
          <cell r="H1145">
            <v>47.1</v>
          </cell>
          <cell r="I1145">
            <v>49.2</v>
          </cell>
          <cell r="J1145">
            <v>31891</v>
          </cell>
          <cell r="K1145">
            <v>11.9</v>
          </cell>
          <cell r="L1145">
            <v>7.0000000000000007E-2</v>
          </cell>
          <cell r="M1145" t="str">
            <v>39 : 61</v>
          </cell>
          <cell r="N1145">
            <v>2014</v>
          </cell>
          <cell r="O1145">
            <v>65</v>
          </cell>
          <cell r="P1145">
            <v>1</v>
          </cell>
        </row>
        <row r="1146">
          <cell r="B1146" t="str">
            <v>University of Utah</v>
          </cell>
          <cell r="C1146" t="str">
            <v>United States of America</v>
          </cell>
          <cell r="D1146">
            <v>143</v>
          </cell>
          <cell r="E1146">
            <v>25.5</v>
          </cell>
          <cell r="F1146">
            <v>36.1</v>
          </cell>
          <cell r="G1146">
            <v>76.599999999999994</v>
          </cell>
          <cell r="H1146">
            <v>61.3</v>
          </cell>
          <cell r="I1146">
            <v>49.1</v>
          </cell>
          <cell r="J1146">
            <v>25674</v>
          </cell>
          <cell r="K1146">
            <v>16.899999999999999</v>
          </cell>
          <cell r="L1146">
            <v>0.09</v>
          </cell>
          <cell r="M1146">
            <v>1.9131944444444444</v>
          </cell>
          <cell r="N1146">
            <v>2014</v>
          </cell>
          <cell r="O1146">
            <v>38</v>
          </cell>
          <cell r="P1146">
            <v>27</v>
          </cell>
        </row>
        <row r="1147">
          <cell r="B1147" t="str">
            <v>Osaka University</v>
          </cell>
          <cell r="C1147" t="str">
            <v>Japan</v>
          </cell>
          <cell r="D1147">
            <v>144</v>
          </cell>
          <cell r="E1147">
            <v>27.6</v>
          </cell>
          <cell r="F1147">
            <v>47.6</v>
          </cell>
          <cell r="G1147">
            <v>50.4</v>
          </cell>
          <cell r="H1147">
            <v>71.2</v>
          </cell>
          <cell r="I1147">
            <v>49</v>
          </cell>
          <cell r="J1147">
            <v>23144</v>
          </cell>
          <cell r="K1147">
            <v>7.8</v>
          </cell>
          <cell r="L1147">
            <v>0.09</v>
          </cell>
          <cell r="M1147" t="str">
            <v>31 : 69</v>
          </cell>
          <cell r="N1147">
            <v>2014</v>
          </cell>
          <cell r="O1147">
            <v>32</v>
          </cell>
          <cell r="P1147">
            <v>3</v>
          </cell>
        </row>
        <row r="1148">
          <cell r="B1148" t="str">
            <v>VU University Amsterdam</v>
          </cell>
          <cell r="C1148" t="str">
            <v>Netherlands</v>
          </cell>
          <cell r="D1148">
            <v>144</v>
          </cell>
          <cell r="E1148">
            <v>49.2</v>
          </cell>
          <cell r="F1148">
            <v>38.799999999999997</v>
          </cell>
          <cell r="G1148">
            <v>74.099999999999994</v>
          </cell>
          <cell r="H1148">
            <v>59.8</v>
          </cell>
          <cell r="I1148">
            <v>49</v>
          </cell>
          <cell r="J1148">
            <v>23280</v>
          </cell>
          <cell r="K1148">
            <v>16.3</v>
          </cell>
          <cell r="L1148">
            <v>0.06</v>
          </cell>
          <cell r="M1148">
            <v>2.3638888888888889</v>
          </cell>
          <cell r="N1148">
            <v>2014</v>
          </cell>
          <cell r="O1148">
            <v>144</v>
          </cell>
          <cell r="P1148">
            <v>7</v>
          </cell>
        </row>
        <row r="1149">
          <cell r="B1149" t="str">
            <v>Arizona State University</v>
          </cell>
          <cell r="C1149" t="str">
            <v>United States of America</v>
          </cell>
          <cell r="D1149">
            <v>146</v>
          </cell>
          <cell r="E1149">
            <v>28.6</v>
          </cell>
          <cell r="F1149">
            <v>35.9</v>
          </cell>
          <cell r="G1149">
            <v>83.6</v>
          </cell>
          <cell r="H1149">
            <v>31.4</v>
          </cell>
          <cell r="I1149">
            <v>48.9</v>
          </cell>
          <cell r="J1149">
            <v>83236</v>
          </cell>
          <cell r="K1149">
            <v>29.9</v>
          </cell>
          <cell r="L1149">
            <v>0.09</v>
          </cell>
          <cell r="M1149">
            <v>2.1180555555555554</v>
          </cell>
          <cell r="N1149">
            <v>2014</v>
          </cell>
          <cell r="O1149">
            <v>80</v>
          </cell>
          <cell r="P1149">
            <v>52</v>
          </cell>
        </row>
        <row r="1150">
          <cell r="B1150" t="str">
            <v>University of Southampton</v>
          </cell>
          <cell r="C1150" t="str">
            <v>United Kingdom</v>
          </cell>
          <cell r="D1150">
            <v>146</v>
          </cell>
          <cell r="E1150">
            <v>79.099999999999994</v>
          </cell>
          <cell r="F1150">
            <v>31.4</v>
          </cell>
          <cell r="G1150">
            <v>75.400000000000006</v>
          </cell>
          <cell r="H1150">
            <v>38.6</v>
          </cell>
          <cell r="I1150">
            <v>48.9</v>
          </cell>
          <cell r="J1150">
            <v>20925</v>
          </cell>
          <cell r="K1150">
            <v>13.5</v>
          </cell>
          <cell r="L1150">
            <v>0.28999999999999998</v>
          </cell>
          <cell r="M1150">
            <v>2.2409722222222221</v>
          </cell>
          <cell r="N1150">
            <v>2014</v>
          </cell>
          <cell r="O1150">
            <v>146</v>
          </cell>
          <cell r="P1150">
            <v>11</v>
          </cell>
        </row>
        <row r="1151">
          <cell r="B1151" t="str">
            <v>University of California, Riverside</v>
          </cell>
          <cell r="C1151" t="str">
            <v>United States of America</v>
          </cell>
          <cell r="D1151">
            <v>148</v>
          </cell>
          <cell r="E1151">
            <v>62.2</v>
          </cell>
          <cell r="F1151">
            <v>25.8</v>
          </cell>
          <cell r="G1151">
            <v>91.8</v>
          </cell>
          <cell r="H1151">
            <v>37.6</v>
          </cell>
          <cell r="I1151">
            <v>48.7</v>
          </cell>
          <cell r="J1151">
            <v>20626</v>
          </cell>
          <cell r="K1151">
            <v>22</v>
          </cell>
          <cell r="L1151">
            <v>0.12</v>
          </cell>
          <cell r="M1151">
            <v>2.1590277777777778</v>
          </cell>
          <cell r="N1151">
            <v>2014</v>
          </cell>
          <cell r="O1151">
            <v>222</v>
          </cell>
          <cell r="P1151">
            <v>91</v>
          </cell>
        </row>
        <row r="1152">
          <cell r="B1152" t="str">
            <v>University of Exeter</v>
          </cell>
          <cell r="C1152" t="str">
            <v>United Kingdom</v>
          </cell>
          <cell r="D1152">
            <v>148</v>
          </cell>
          <cell r="E1152">
            <v>76.7</v>
          </cell>
          <cell r="F1152">
            <v>32.799999999999997</v>
          </cell>
          <cell r="G1152">
            <v>78.3</v>
          </cell>
          <cell r="H1152">
            <v>37.200000000000003</v>
          </cell>
          <cell r="I1152">
            <v>48.7</v>
          </cell>
          <cell r="J1152">
            <v>17755</v>
          </cell>
          <cell r="K1152">
            <v>18.8</v>
          </cell>
          <cell r="L1152">
            <v>0.28000000000000003</v>
          </cell>
          <cell r="M1152">
            <v>2.2819444444444446</v>
          </cell>
          <cell r="N1152">
            <v>2014</v>
          </cell>
          <cell r="O1152">
            <v>357</v>
          </cell>
          <cell r="P1152">
            <v>34</v>
          </cell>
        </row>
        <row r="1153">
          <cell r="B1153" t="str">
            <v>Tohoku University</v>
          </cell>
          <cell r="C1153" t="str">
            <v>Japan</v>
          </cell>
          <cell r="D1153">
            <v>150</v>
          </cell>
          <cell r="E1153">
            <v>29.3</v>
          </cell>
          <cell r="F1153">
            <v>48.1</v>
          </cell>
          <cell r="G1153">
            <v>47.3</v>
          </cell>
          <cell r="H1153">
            <v>85.9</v>
          </cell>
          <cell r="I1153">
            <v>48.5</v>
          </cell>
          <cell r="J1153">
            <v>17200</v>
          </cell>
          <cell r="K1153">
            <v>5</v>
          </cell>
          <cell r="L1153">
            <v>7.0000000000000007E-2</v>
          </cell>
          <cell r="M1153" t="str">
            <v>25 : 75</v>
          </cell>
          <cell r="N1153">
            <v>2014</v>
          </cell>
          <cell r="O1153">
            <v>79</v>
          </cell>
          <cell r="P1153">
            <v>5</v>
          </cell>
        </row>
        <row r="1154">
          <cell r="B1154" t="str">
            <v>University of Copenhagen</v>
          </cell>
          <cell r="C1154" t="str">
            <v>Denmark</v>
          </cell>
          <cell r="D1154">
            <v>150</v>
          </cell>
          <cell r="E1154">
            <v>76</v>
          </cell>
          <cell r="F1154">
            <v>32</v>
          </cell>
          <cell r="G1154">
            <v>73.099999999999994</v>
          </cell>
          <cell r="H1154">
            <v>43</v>
          </cell>
          <cell r="I1154">
            <v>48.5</v>
          </cell>
          <cell r="J1154">
            <v>27545</v>
          </cell>
          <cell r="K1154">
            <v>4.0999999999999996</v>
          </cell>
          <cell r="L1154">
            <v>0.19</v>
          </cell>
          <cell r="M1154">
            <v>2.8145833333333332</v>
          </cell>
          <cell r="N1154">
            <v>2014</v>
          </cell>
          <cell r="O1154">
            <v>93</v>
          </cell>
          <cell r="P1154">
            <v>1</v>
          </cell>
        </row>
        <row r="1155">
          <cell r="B1155" t="str">
            <v>University of Freiburg</v>
          </cell>
          <cell r="C1155" t="str">
            <v>Germany</v>
          </cell>
          <cell r="D1155">
            <v>152</v>
          </cell>
          <cell r="E1155">
            <v>55.9</v>
          </cell>
          <cell r="F1155">
            <v>28.4</v>
          </cell>
          <cell r="G1155">
            <v>71.8</v>
          </cell>
          <cell r="H1155">
            <v>86.6</v>
          </cell>
          <cell r="I1155">
            <v>48.4</v>
          </cell>
          <cell r="J1155">
            <v>26467</v>
          </cell>
          <cell r="K1155">
            <v>31.2</v>
          </cell>
          <cell r="L1155">
            <v>0.16</v>
          </cell>
          <cell r="M1155">
            <v>2.2000000000000002</v>
          </cell>
          <cell r="N1155">
            <v>2014</v>
          </cell>
          <cell r="O1155" t="e">
            <v>#N/A</v>
          </cell>
          <cell r="P1155" t="e">
            <v>#N/A</v>
          </cell>
        </row>
        <row r="1156">
          <cell r="B1156" t="str">
            <v>University of Birmingham</v>
          </cell>
          <cell r="C1156" t="str">
            <v>United Kingdom</v>
          </cell>
          <cell r="D1156">
            <v>153</v>
          </cell>
          <cell r="E1156">
            <v>72.2</v>
          </cell>
          <cell r="F1156">
            <v>39.6</v>
          </cell>
          <cell r="G1156">
            <v>57.5</v>
          </cell>
          <cell r="H1156">
            <v>36.700000000000003</v>
          </cell>
          <cell r="I1156">
            <v>48.3</v>
          </cell>
          <cell r="J1156">
            <v>25295</v>
          </cell>
          <cell r="K1156">
            <v>16.399999999999999</v>
          </cell>
          <cell r="L1156">
            <v>0.23</v>
          </cell>
          <cell r="M1156">
            <v>2.2819444444444446</v>
          </cell>
          <cell r="N1156">
            <v>2014</v>
          </cell>
          <cell r="O1156">
            <v>142</v>
          </cell>
          <cell r="P1156">
            <v>10</v>
          </cell>
        </row>
        <row r="1157">
          <cell r="B1157" t="str">
            <v>Karlsruhe Institute of Technology</v>
          </cell>
          <cell r="C1157" t="str">
            <v>Germany</v>
          </cell>
          <cell r="D1157">
            <v>154</v>
          </cell>
          <cell r="E1157">
            <v>61.9</v>
          </cell>
          <cell r="F1157">
            <v>33.6</v>
          </cell>
          <cell r="G1157">
            <v>64.8</v>
          </cell>
          <cell r="H1157">
            <v>83</v>
          </cell>
          <cell r="I1157">
            <v>48</v>
          </cell>
          <cell r="J1157">
            <v>25294</v>
          </cell>
          <cell r="K1157">
            <v>24.6</v>
          </cell>
          <cell r="L1157">
            <v>0.16</v>
          </cell>
          <cell r="M1157" t="str">
            <v>26 : 74</v>
          </cell>
          <cell r="N1157">
            <v>2014</v>
          </cell>
          <cell r="O1157">
            <v>215</v>
          </cell>
          <cell r="P1157">
            <v>15</v>
          </cell>
        </row>
        <row r="1158">
          <cell r="B1158" t="str">
            <v>Joseph Fourier University</v>
          </cell>
          <cell r="C1158" t="str">
            <v>France</v>
          </cell>
          <cell r="D1158">
            <v>155</v>
          </cell>
          <cell r="E1158">
            <v>57.1</v>
          </cell>
          <cell r="F1158">
            <v>27.6</v>
          </cell>
          <cell r="G1158">
            <v>75.599999999999994</v>
          </cell>
          <cell r="H1158">
            <v>36.1</v>
          </cell>
          <cell r="I1158">
            <v>47.8</v>
          </cell>
          <cell r="J1158">
            <v>16130</v>
          </cell>
          <cell r="K1158">
            <v>12.1</v>
          </cell>
          <cell r="L1158">
            <v>0.13</v>
          </cell>
          <cell r="N1158">
            <v>2014</v>
          </cell>
          <cell r="O1158">
            <v>221</v>
          </cell>
          <cell r="P1158">
            <v>8</v>
          </cell>
        </row>
        <row r="1159">
          <cell r="B1159" t="str">
            <v>Ã‰cole Normale SupÃ©rieure de Lyon</v>
          </cell>
          <cell r="C1159" t="str">
            <v>France</v>
          </cell>
          <cell r="D1159">
            <v>156</v>
          </cell>
          <cell r="E1159">
            <v>63.3</v>
          </cell>
          <cell r="F1159">
            <v>35.200000000000003</v>
          </cell>
          <cell r="G1159">
            <v>67.7</v>
          </cell>
          <cell r="H1159">
            <v>30</v>
          </cell>
          <cell r="I1159">
            <v>47.5</v>
          </cell>
          <cell r="J1159">
            <v>2218</v>
          </cell>
          <cell r="K1159">
            <v>8</v>
          </cell>
          <cell r="L1159">
            <v>0.14000000000000001</v>
          </cell>
          <cell r="M1159">
            <v>2.0770833333333334</v>
          </cell>
          <cell r="N1159">
            <v>2014</v>
          </cell>
          <cell r="O1159">
            <v>462</v>
          </cell>
          <cell r="P1159">
            <v>18</v>
          </cell>
        </row>
        <row r="1160">
          <cell r="B1160" t="str">
            <v>University of Bern</v>
          </cell>
          <cell r="C1160" t="str">
            <v>Switzerland</v>
          </cell>
          <cell r="D1160">
            <v>157</v>
          </cell>
          <cell r="E1160">
            <v>78.5</v>
          </cell>
          <cell r="F1160">
            <v>31.4</v>
          </cell>
          <cell r="G1160">
            <v>64.3</v>
          </cell>
          <cell r="H1160">
            <v>45.1</v>
          </cell>
          <cell r="I1160">
            <v>47.4</v>
          </cell>
          <cell r="J1160">
            <v>14708</v>
          </cell>
          <cell r="K1160">
            <v>22.5</v>
          </cell>
          <cell r="L1160">
            <v>0.14000000000000001</v>
          </cell>
          <cell r="M1160">
            <v>2.2819444444444446</v>
          </cell>
          <cell r="N1160">
            <v>2014</v>
          </cell>
          <cell r="O1160">
            <v>201</v>
          </cell>
          <cell r="P1160">
            <v>7</v>
          </cell>
        </row>
        <row r="1161">
          <cell r="B1161" t="str">
            <v>University of Nottingham</v>
          </cell>
          <cell r="C1161" t="str">
            <v>United Kingdom</v>
          </cell>
          <cell r="D1161">
            <v>157</v>
          </cell>
          <cell r="E1161">
            <v>70.3</v>
          </cell>
          <cell r="F1161">
            <v>36.299999999999997</v>
          </cell>
          <cell r="G1161">
            <v>62.3</v>
          </cell>
          <cell r="H1161">
            <v>39.200000000000003</v>
          </cell>
          <cell r="I1161">
            <v>47.4</v>
          </cell>
          <cell r="J1161">
            <v>30144</v>
          </cell>
          <cell r="K1161">
            <v>15</v>
          </cell>
          <cell r="L1161">
            <v>0.27</v>
          </cell>
          <cell r="M1161">
            <v>2.2819444444444446</v>
          </cell>
          <cell r="N1161">
            <v>2014</v>
          </cell>
          <cell r="O1161">
            <v>97</v>
          </cell>
          <cell r="P1161">
            <v>6</v>
          </cell>
        </row>
        <row r="1162">
          <cell r="B1162" t="str">
            <v>Texas A&amp;M University</v>
          </cell>
          <cell r="C1162" t="str">
            <v>United States of America</v>
          </cell>
          <cell r="D1162">
            <v>159</v>
          </cell>
          <cell r="E1162">
            <v>46.8</v>
          </cell>
          <cell r="F1162">
            <v>50.2</v>
          </cell>
          <cell r="G1162">
            <v>48.6</v>
          </cell>
          <cell r="H1162">
            <v>47.5</v>
          </cell>
          <cell r="I1162">
            <v>47.2</v>
          </cell>
          <cell r="J1162">
            <v>50657</v>
          </cell>
          <cell r="K1162">
            <v>21.4</v>
          </cell>
          <cell r="L1162">
            <v>0.09</v>
          </cell>
          <cell r="M1162">
            <v>1.9951388888888888</v>
          </cell>
          <cell r="N1162">
            <v>2014</v>
          </cell>
          <cell r="O1162" t="e">
            <v>#N/A</v>
          </cell>
          <cell r="P1162" t="e">
            <v>#N/A</v>
          </cell>
        </row>
        <row r="1163">
          <cell r="B1163" t="str">
            <v>Georgetown University</v>
          </cell>
          <cell r="C1163" t="str">
            <v>United States of America</v>
          </cell>
          <cell r="D1163">
            <v>160</v>
          </cell>
          <cell r="E1163">
            <v>43.6</v>
          </cell>
          <cell r="F1163">
            <v>25.6</v>
          </cell>
          <cell r="G1163">
            <v>62.3</v>
          </cell>
          <cell r="H1163">
            <v>71.900000000000006</v>
          </cell>
          <cell r="I1163">
            <v>47</v>
          </cell>
          <cell r="J1163">
            <v>15408</v>
          </cell>
          <cell r="K1163">
            <v>8.5</v>
          </cell>
          <cell r="L1163">
            <v>0.14000000000000001</v>
          </cell>
          <cell r="M1163">
            <v>2.2409722222222221</v>
          </cell>
          <cell r="N1163">
            <v>2014</v>
          </cell>
          <cell r="O1163">
            <v>118</v>
          </cell>
          <cell r="P1163">
            <v>61</v>
          </cell>
        </row>
        <row r="1164">
          <cell r="B1164" t="str">
            <v>University College Dublin</v>
          </cell>
          <cell r="C1164" t="str">
            <v>Republic of Ireland</v>
          </cell>
          <cell r="D1164">
            <v>161</v>
          </cell>
          <cell r="E1164">
            <v>79.599999999999994</v>
          </cell>
          <cell r="F1164">
            <v>29</v>
          </cell>
          <cell r="G1164">
            <v>77</v>
          </cell>
          <cell r="H1164">
            <v>33.1</v>
          </cell>
          <cell r="I1164">
            <v>46.7</v>
          </cell>
          <cell r="J1164">
            <v>22193</v>
          </cell>
          <cell r="K1164">
            <v>24.5</v>
          </cell>
          <cell r="L1164">
            <v>0.23</v>
          </cell>
          <cell r="N1164">
            <v>2014</v>
          </cell>
          <cell r="O1164">
            <v>269</v>
          </cell>
          <cell r="P1164">
            <v>2</v>
          </cell>
        </row>
        <row r="1165">
          <cell r="B1165" t="str">
            <v>University of Iowa</v>
          </cell>
          <cell r="C1165" t="str">
            <v>United States of America</v>
          </cell>
          <cell r="D1165">
            <v>161</v>
          </cell>
          <cell r="E1165">
            <v>29.3</v>
          </cell>
          <cell r="F1165">
            <v>31.6</v>
          </cell>
          <cell r="G1165">
            <v>70.400000000000006</v>
          </cell>
          <cell r="H1165" t="str">
            <v>-</v>
          </cell>
          <cell r="I1165">
            <v>46.7</v>
          </cell>
          <cell r="J1165">
            <v>27526</v>
          </cell>
          <cell r="K1165">
            <v>11.6</v>
          </cell>
          <cell r="L1165">
            <v>0.11</v>
          </cell>
          <cell r="M1165">
            <v>2.2000000000000002</v>
          </cell>
          <cell r="N1165">
            <v>2014</v>
          </cell>
          <cell r="O1165">
            <v>125</v>
          </cell>
          <cell r="P1165">
            <v>63</v>
          </cell>
        </row>
        <row r="1166">
          <cell r="B1166" t="str">
            <v>University of Leicester</v>
          </cell>
          <cell r="C1166" t="str">
            <v>United Kingdom</v>
          </cell>
          <cell r="D1166">
            <v>161</v>
          </cell>
          <cell r="E1166">
            <v>81.599999999999994</v>
          </cell>
          <cell r="F1166">
            <v>32.9</v>
          </cell>
          <cell r="G1166">
            <v>66.900000000000006</v>
          </cell>
          <cell r="H1166">
            <v>33.700000000000003</v>
          </cell>
          <cell r="I1166">
            <v>46.7</v>
          </cell>
          <cell r="J1166">
            <v>14541</v>
          </cell>
          <cell r="K1166">
            <v>13.4</v>
          </cell>
          <cell r="L1166">
            <v>0.35</v>
          </cell>
          <cell r="M1166">
            <v>2.2819444444444446</v>
          </cell>
          <cell r="N1166">
            <v>2014</v>
          </cell>
          <cell r="O1166">
            <v>263</v>
          </cell>
          <cell r="P1166">
            <v>22</v>
          </cell>
        </row>
        <row r="1167">
          <cell r="B1167" t="str">
            <v>Brandeis University</v>
          </cell>
          <cell r="C1167" t="str">
            <v>United States of America</v>
          </cell>
          <cell r="D1167">
            <v>164</v>
          </cell>
          <cell r="E1167">
            <v>50.6</v>
          </cell>
          <cell r="F1167">
            <v>24.3</v>
          </cell>
          <cell r="G1167">
            <v>86.5</v>
          </cell>
          <cell r="H1167">
            <v>36.799999999999997</v>
          </cell>
          <cell r="I1167">
            <v>46.6</v>
          </cell>
          <cell r="J1167">
            <v>5495</v>
          </cell>
          <cell r="K1167">
            <v>12.6</v>
          </cell>
          <cell r="L1167">
            <v>0.22</v>
          </cell>
          <cell r="M1167">
            <v>2.3229166666666665</v>
          </cell>
          <cell r="N1167">
            <v>2014</v>
          </cell>
          <cell r="O1167">
            <v>236</v>
          </cell>
          <cell r="P1167">
            <v>97</v>
          </cell>
        </row>
        <row r="1168">
          <cell r="B1168" t="str">
            <v>Pompeu Fabra University</v>
          </cell>
          <cell r="C1168" t="str">
            <v>Spain</v>
          </cell>
          <cell r="D1168">
            <v>164</v>
          </cell>
          <cell r="E1168">
            <v>51.7</v>
          </cell>
          <cell r="F1168">
            <v>27.1</v>
          </cell>
          <cell r="G1168">
            <v>85.2</v>
          </cell>
          <cell r="H1168">
            <v>37.299999999999997</v>
          </cell>
          <cell r="I1168">
            <v>46.6</v>
          </cell>
          <cell r="J1168">
            <v>10901</v>
          </cell>
          <cell r="K1168">
            <v>18.3</v>
          </cell>
          <cell r="L1168">
            <v>0.13</v>
          </cell>
          <cell r="M1168">
            <v>2.4868055555555557</v>
          </cell>
          <cell r="N1168">
            <v>2014</v>
          </cell>
          <cell r="O1168">
            <v>426</v>
          </cell>
          <cell r="P1168">
            <v>11</v>
          </cell>
        </row>
        <row r="1169">
          <cell r="B1169" t="str">
            <v>University of Antwerp</v>
          </cell>
          <cell r="C1169" t="str">
            <v>Belgium</v>
          </cell>
          <cell r="D1169">
            <v>164</v>
          </cell>
          <cell r="E1169">
            <v>61.1</v>
          </cell>
          <cell r="F1169">
            <v>33.200000000000003</v>
          </cell>
          <cell r="G1169">
            <v>64.099999999999994</v>
          </cell>
          <cell r="H1169">
            <v>100</v>
          </cell>
          <cell r="I1169">
            <v>46.6</v>
          </cell>
          <cell r="J1169">
            <v>12346</v>
          </cell>
          <cell r="K1169">
            <v>30.3</v>
          </cell>
          <cell r="L1169">
            <v>0.16</v>
          </cell>
          <cell r="M1169">
            <v>2.3638888888888889</v>
          </cell>
          <cell r="N1169">
            <v>2014</v>
          </cell>
          <cell r="O1169">
            <v>330</v>
          </cell>
          <cell r="P1169">
            <v>7</v>
          </cell>
        </row>
        <row r="1170">
          <cell r="B1170" t="str">
            <v>University of Auckland</v>
          </cell>
          <cell r="C1170" t="str">
            <v>New Zealand</v>
          </cell>
          <cell r="D1170">
            <v>164</v>
          </cell>
          <cell r="E1170">
            <v>88</v>
          </cell>
          <cell r="F1170">
            <v>33.5</v>
          </cell>
          <cell r="G1170">
            <v>67</v>
          </cell>
          <cell r="H1170">
            <v>74.5</v>
          </cell>
          <cell r="I1170">
            <v>46.6</v>
          </cell>
          <cell r="J1170">
            <v>29787</v>
          </cell>
          <cell r="K1170">
            <v>18.899999999999999</v>
          </cell>
          <cell r="L1170">
            <v>0.28000000000000003</v>
          </cell>
          <cell r="M1170">
            <v>2.2819444444444446</v>
          </cell>
          <cell r="N1170">
            <v>2014</v>
          </cell>
          <cell r="O1170">
            <v>273</v>
          </cell>
          <cell r="P1170">
            <v>1</v>
          </cell>
        </row>
        <row r="1171">
          <cell r="B1171" t="str">
            <v>University of Western Australia</v>
          </cell>
          <cell r="C1171" t="str">
            <v>Australia</v>
          </cell>
          <cell r="D1171">
            <v>168</v>
          </cell>
          <cell r="E1171">
            <v>88.6</v>
          </cell>
          <cell r="F1171">
            <v>34.700000000000003</v>
          </cell>
          <cell r="G1171">
            <v>58</v>
          </cell>
          <cell r="H1171">
            <v>63.3</v>
          </cell>
          <cell r="I1171">
            <v>46.4</v>
          </cell>
          <cell r="J1171">
            <v>20851</v>
          </cell>
          <cell r="K1171">
            <v>20.7</v>
          </cell>
          <cell r="L1171">
            <v>0.27</v>
          </cell>
          <cell r="M1171">
            <v>2.1180555555555554</v>
          </cell>
          <cell r="N1171">
            <v>2014</v>
          </cell>
          <cell r="O1171">
            <v>225</v>
          </cell>
          <cell r="P1171">
            <v>7</v>
          </cell>
        </row>
        <row r="1172">
          <cell r="B1172" t="str">
            <v>University of Liverpool</v>
          </cell>
          <cell r="C1172" t="str">
            <v>United Kingdom</v>
          </cell>
          <cell r="D1172">
            <v>169</v>
          </cell>
          <cell r="E1172">
            <v>75</v>
          </cell>
          <cell r="F1172">
            <v>31.2</v>
          </cell>
          <cell r="G1172">
            <v>70.3</v>
          </cell>
          <cell r="H1172">
            <v>37.700000000000003</v>
          </cell>
          <cell r="I1172">
            <v>46.3</v>
          </cell>
          <cell r="J1172">
            <v>18815</v>
          </cell>
          <cell r="K1172">
            <v>13.6</v>
          </cell>
          <cell r="L1172">
            <v>0.3</v>
          </cell>
          <cell r="M1172">
            <v>2.2000000000000002</v>
          </cell>
          <cell r="N1172">
            <v>2014</v>
          </cell>
          <cell r="O1172">
            <v>211</v>
          </cell>
          <cell r="P1172">
            <v>17</v>
          </cell>
        </row>
        <row r="1173">
          <cell r="B1173" t="str">
            <v>University of Twente</v>
          </cell>
          <cell r="C1173" t="str">
            <v>Netherlands</v>
          </cell>
          <cell r="D1173">
            <v>170</v>
          </cell>
          <cell r="E1173">
            <v>65.5</v>
          </cell>
          <cell r="F1173">
            <v>43.8</v>
          </cell>
          <cell r="G1173">
            <v>54.3</v>
          </cell>
          <cell r="H1173">
            <v>81.8</v>
          </cell>
          <cell r="I1173">
            <v>46.2</v>
          </cell>
          <cell r="J1173">
            <v>6631</v>
          </cell>
          <cell r="K1173">
            <v>12</v>
          </cell>
          <cell r="L1173">
            <v>0.26</v>
          </cell>
          <cell r="M1173" t="str">
            <v>37 : 63</v>
          </cell>
          <cell r="N1173">
            <v>2014</v>
          </cell>
          <cell r="O1173">
            <v>445</v>
          </cell>
          <cell r="P1173">
            <v>12</v>
          </cell>
        </row>
        <row r="1174">
          <cell r="B1174" t="str">
            <v>University of Vienna</v>
          </cell>
          <cell r="C1174" t="str">
            <v>Austria</v>
          </cell>
          <cell r="D1174">
            <v>170</v>
          </cell>
          <cell r="E1174">
            <v>89.5</v>
          </cell>
          <cell r="F1174">
            <v>36.1</v>
          </cell>
          <cell r="G1174">
            <v>57.4</v>
          </cell>
          <cell r="H1174">
            <v>29.3</v>
          </cell>
          <cell r="I1174">
            <v>46.2</v>
          </cell>
          <cell r="J1174">
            <v>34651</v>
          </cell>
          <cell r="K1174">
            <v>20.5</v>
          </cell>
          <cell r="L1174">
            <v>0.25</v>
          </cell>
          <cell r="M1174">
            <v>2.8145833333333332</v>
          </cell>
          <cell r="N1174">
            <v>2014</v>
          </cell>
          <cell r="O1174">
            <v>205</v>
          </cell>
          <cell r="P1174">
            <v>1</v>
          </cell>
        </row>
        <row r="1175">
          <cell r="B1175" t="str">
            <v>UniversitÃ© Catholique de Louvain</v>
          </cell>
          <cell r="C1175" t="str">
            <v>Belgium</v>
          </cell>
          <cell r="D1175">
            <v>172</v>
          </cell>
          <cell r="E1175">
            <v>63.4</v>
          </cell>
          <cell r="F1175">
            <v>35.299999999999997</v>
          </cell>
          <cell r="G1175">
            <v>67.5</v>
          </cell>
          <cell r="H1175">
            <v>57.8</v>
          </cell>
          <cell r="I1175">
            <v>46.1</v>
          </cell>
          <cell r="J1175">
            <v>28856</v>
          </cell>
          <cell r="K1175">
            <v>42</v>
          </cell>
          <cell r="L1175">
            <v>0.19</v>
          </cell>
          <cell r="M1175">
            <v>2.2819444444444446</v>
          </cell>
          <cell r="N1175">
            <v>2014</v>
          </cell>
          <cell r="O1175">
            <v>191</v>
          </cell>
          <cell r="P1175">
            <v>4</v>
          </cell>
        </row>
        <row r="1176">
          <cell r="B1176" t="str">
            <v>Yeshiva University</v>
          </cell>
          <cell r="C1176" t="str">
            <v>United States of America</v>
          </cell>
          <cell r="D1176">
            <v>172</v>
          </cell>
          <cell r="E1176">
            <v>25.6</v>
          </cell>
          <cell r="F1176">
            <v>20.6</v>
          </cell>
          <cell r="G1176">
            <v>77.5</v>
          </cell>
          <cell r="H1176" t="str">
            <v>-</v>
          </cell>
          <cell r="I1176">
            <v>46.1</v>
          </cell>
          <cell r="J1176">
            <v>6753</v>
          </cell>
          <cell r="K1176">
            <v>5.5</v>
          </cell>
          <cell r="L1176">
            <v>7.0000000000000007E-2</v>
          </cell>
          <cell r="M1176">
            <v>2.2409722222222221</v>
          </cell>
          <cell r="N1176">
            <v>2014</v>
          </cell>
          <cell r="O1176">
            <v>172</v>
          </cell>
          <cell r="P1176">
            <v>75</v>
          </cell>
        </row>
        <row r="1177">
          <cell r="B1177" t="str">
            <v>University of Delaware</v>
          </cell>
          <cell r="C1177" t="str">
            <v>United States of America</v>
          </cell>
          <cell r="D1177">
            <v>174</v>
          </cell>
          <cell r="E1177">
            <v>37.1</v>
          </cell>
          <cell r="F1177">
            <v>35.5</v>
          </cell>
          <cell r="G1177">
            <v>73.599999999999994</v>
          </cell>
          <cell r="H1177">
            <v>98.1</v>
          </cell>
          <cell r="I1177">
            <v>46</v>
          </cell>
          <cell r="J1177">
            <v>19262</v>
          </cell>
          <cell r="K1177">
            <v>15.9</v>
          </cell>
          <cell r="L1177">
            <v>0.1</v>
          </cell>
          <cell r="M1177">
            <v>2.3638888888888889</v>
          </cell>
          <cell r="N1177">
            <v>2014</v>
          </cell>
          <cell r="O1177">
            <v>247</v>
          </cell>
          <cell r="P1177">
            <v>101</v>
          </cell>
        </row>
        <row r="1178">
          <cell r="B1178" t="str">
            <v>University of East Anglia</v>
          </cell>
          <cell r="C1178" t="str">
            <v>United Kingdom</v>
          </cell>
          <cell r="D1178">
            <v>174</v>
          </cell>
          <cell r="E1178">
            <v>72.3</v>
          </cell>
          <cell r="F1178">
            <v>24</v>
          </cell>
          <cell r="G1178">
            <v>81.7</v>
          </cell>
          <cell r="H1178">
            <v>29.5</v>
          </cell>
          <cell r="I1178">
            <v>46</v>
          </cell>
          <cell r="J1178">
            <v>14992</v>
          </cell>
          <cell r="K1178">
            <v>14.7</v>
          </cell>
          <cell r="L1178">
            <v>0.28000000000000003</v>
          </cell>
          <cell r="M1178">
            <v>2.4458333333333333</v>
          </cell>
          <cell r="N1178">
            <v>2014</v>
          </cell>
          <cell r="O1178">
            <v>350</v>
          </cell>
          <cell r="P1178">
            <v>33</v>
          </cell>
        </row>
        <row r="1179">
          <cell r="B1179" t="str">
            <v>University at Buffalo</v>
          </cell>
          <cell r="C1179" t="str">
            <v>United States of America</v>
          </cell>
          <cell r="D1179">
            <v>176</v>
          </cell>
          <cell r="E1179">
            <v>55.4</v>
          </cell>
          <cell r="F1179">
            <v>39.299999999999997</v>
          </cell>
          <cell r="G1179">
            <v>56.2</v>
          </cell>
          <cell r="H1179">
            <v>39.4</v>
          </cell>
          <cell r="I1179">
            <v>45.9</v>
          </cell>
          <cell r="J1179">
            <v>25668</v>
          </cell>
          <cell r="K1179">
            <v>19</v>
          </cell>
          <cell r="L1179">
            <v>0.19</v>
          </cell>
          <cell r="M1179">
            <v>1.9951388888888888</v>
          </cell>
          <cell r="N1179">
            <v>2014</v>
          </cell>
          <cell r="O1179" t="e">
            <v>#N/A</v>
          </cell>
          <cell r="P1179" t="e">
            <v>#N/A</v>
          </cell>
        </row>
        <row r="1180">
          <cell r="B1180" t="str">
            <v>UniversitÃ© Libre de Bruxelles</v>
          </cell>
          <cell r="C1180" t="str">
            <v>Belgium</v>
          </cell>
          <cell r="D1180">
            <v>176</v>
          </cell>
          <cell r="E1180">
            <v>77.5</v>
          </cell>
          <cell r="F1180">
            <v>30.4</v>
          </cell>
          <cell r="G1180">
            <v>77.8</v>
          </cell>
          <cell r="H1180" t="str">
            <v>-</v>
          </cell>
          <cell r="I1180">
            <v>45.9</v>
          </cell>
          <cell r="J1180">
            <v>23819</v>
          </cell>
          <cell r="K1180">
            <v>26.1</v>
          </cell>
          <cell r="L1180">
            <v>0.32</v>
          </cell>
          <cell r="M1180">
            <v>2.2819444444444446</v>
          </cell>
          <cell r="N1180">
            <v>2014</v>
          </cell>
          <cell r="O1180">
            <v>139</v>
          </cell>
          <cell r="P1180">
            <v>3</v>
          </cell>
        </row>
        <row r="1181">
          <cell r="B1181" t="str">
            <v>Paris Diderot University â€“ Paris 7</v>
          </cell>
          <cell r="C1181" t="str">
            <v>France</v>
          </cell>
          <cell r="D1181">
            <v>178</v>
          </cell>
          <cell r="E1181">
            <v>67</v>
          </cell>
          <cell r="F1181">
            <v>19.100000000000001</v>
          </cell>
          <cell r="G1181">
            <v>90.2</v>
          </cell>
          <cell r="H1181">
            <v>29.1</v>
          </cell>
          <cell r="I1181">
            <v>45.8</v>
          </cell>
          <cell r="J1181">
            <v>27756</v>
          </cell>
          <cell r="K1181">
            <v>14.8</v>
          </cell>
          <cell r="L1181">
            <v>0.17</v>
          </cell>
          <cell r="M1181">
            <v>2.6506944444444445</v>
          </cell>
          <cell r="N1181">
            <v>2014</v>
          </cell>
          <cell r="O1181" t="e">
            <v>#N/A</v>
          </cell>
          <cell r="P1181" t="e">
            <v>#N/A</v>
          </cell>
        </row>
        <row r="1182">
          <cell r="B1182" t="str">
            <v>Stony Brook University</v>
          </cell>
          <cell r="C1182" t="str">
            <v>United States of America</v>
          </cell>
          <cell r="D1182">
            <v>178</v>
          </cell>
          <cell r="E1182">
            <v>57.8</v>
          </cell>
          <cell r="F1182">
            <v>22.9</v>
          </cell>
          <cell r="G1182">
            <v>80.3</v>
          </cell>
          <cell r="H1182">
            <v>32.299999999999997</v>
          </cell>
          <cell r="I1182">
            <v>45.8</v>
          </cell>
          <cell r="J1182">
            <v>21908</v>
          </cell>
          <cell r="K1182">
            <v>10.9</v>
          </cell>
          <cell r="L1182">
            <v>0.24</v>
          </cell>
          <cell r="M1182">
            <v>2.1180555555555554</v>
          </cell>
          <cell r="N1182">
            <v>2014</v>
          </cell>
          <cell r="O1182">
            <v>89</v>
          </cell>
          <cell r="P1182">
            <v>54</v>
          </cell>
        </row>
        <row r="1183">
          <cell r="B1183" t="str">
            <v>Wake Forest University</v>
          </cell>
          <cell r="C1183" t="str">
            <v>United States of America</v>
          </cell>
          <cell r="D1183">
            <v>180</v>
          </cell>
          <cell r="E1183">
            <v>23.7</v>
          </cell>
          <cell r="F1183">
            <v>21.8</v>
          </cell>
          <cell r="G1183">
            <v>85.1</v>
          </cell>
          <cell r="H1183">
            <v>38.799999999999997</v>
          </cell>
          <cell r="I1183">
            <v>45.7</v>
          </cell>
          <cell r="J1183">
            <v>7326</v>
          </cell>
          <cell r="K1183">
            <v>4.5999999999999996</v>
          </cell>
          <cell r="L1183">
            <v>0.05</v>
          </cell>
          <cell r="M1183">
            <v>2.1590277777777778</v>
          </cell>
          <cell r="N1183">
            <v>2014</v>
          </cell>
          <cell r="O1183">
            <v>145</v>
          </cell>
          <cell r="P1183">
            <v>68</v>
          </cell>
        </row>
        <row r="1184">
          <cell r="B1184" t="str">
            <v>Rensselaer Polytechnic Institute</v>
          </cell>
          <cell r="C1184" t="str">
            <v>United States of America</v>
          </cell>
          <cell r="D1184">
            <v>181</v>
          </cell>
          <cell r="E1184">
            <v>35.6</v>
          </cell>
          <cell r="F1184">
            <v>35.5</v>
          </cell>
          <cell r="G1184">
            <v>71.5</v>
          </cell>
          <cell r="H1184">
            <v>65.599999999999994</v>
          </cell>
          <cell r="I1184">
            <v>45.6</v>
          </cell>
          <cell r="J1184">
            <v>6671</v>
          </cell>
          <cell r="K1184">
            <v>15</v>
          </cell>
          <cell r="L1184">
            <v>0.16</v>
          </cell>
          <cell r="M1184" t="str">
            <v>30 : 70</v>
          </cell>
          <cell r="N1184">
            <v>2014</v>
          </cell>
          <cell r="O1184">
            <v>243</v>
          </cell>
          <cell r="P1184">
            <v>100</v>
          </cell>
        </row>
        <row r="1185">
          <cell r="B1185" t="str">
            <v>University of Bonn</v>
          </cell>
          <cell r="C1185" t="str">
            <v>Germany</v>
          </cell>
          <cell r="D1185">
            <v>181</v>
          </cell>
          <cell r="E1185">
            <v>54.2</v>
          </cell>
          <cell r="F1185">
            <v>20.399999999999999</v>
          </cell>
          <cell r="G1185">
            <v>80.7</v>
          </cell>
          <cell r="H1185" t="str">
            <v>-</v>
          </cell>
          <cell r="I1185">
            <v>45.6</v>
          </cell>
          <cell r="J1185">
            <v>32474</v>
          </cell>
          <cell r="K1185">
            <v>70.400000000000006</v>
          </cell>
          <cell r="L1185">
            <v>0.13</v>
          </cell>
          <cell r="M1185">
            <v>2.3229166666666665</v>
          </cell>
          <cell r="N1185">
            <v>2014</v>
          </cell>
          <cell r="O1185">
            <v>98</v>
          </cell>
          <cell r="P1185">
            <v>3</v>
          </cell>
        </row>
        <row r="1186">
          <cell r="B1186" t="str">
            <v>Iowa State University</v>
          </cell>
          <cell r="C1186" t="str">
            <v>United States of America</v>
          </cell>
          <cell r="D1186">
            <v>183</v>
          </cell>
          <cell r="E1186">
            <v>38.799999999999997</v>
          </cell>
          <cell r="F1186">
            <v>32.4</v>
          </cell>
          <cell r="G1186">
            <v>71.5</v>
          </cell>
          <cell r="H1186">
            <v>28.2</v>
          </cell>
          <cell r="I1186">
            <v>45.5</v>
          </cell>
          <cell r="J1186">
            <v>29991</v>
          </cell>
          <cell r="K1186">
            <v>17.399999999999999</v>
          </cell>
          <cell r="L1186">
            <v>0.11</v>
          </cell>
          <cell r="M1186">
            <v>1.8722222222222222</v>
          </cell>
          <cell r="N1186">
            <v>2014</v>
          </cell>
          <cell r="O1186">
            <v>182</v>
          </cell>
          <cell r="P1186">
            <v>80</v>
          </cell>
        </row>
        <row r="1187">
          <cell r="B1187" t="str">
            <v>Northeastern University</v>
          </cell>
          <cell r="C1187" t="str">
            <v>United States of America</v>
          </cell>
          <cell r="D1187">
            <v>184</v>
          </cell>
          <cell r="E1187">
            <v>48.5</v>
          </cell>
          <cell r="F1187">
            <v>19.8</v>
          </cell>
          <cell r="G1187">
            <v>82</v>
          </cell>
          <cell r="H1187">
            <v>34.5</v>
          </cell>
          <cell r="I1187">
            <v>45.4</v>
          </cell>
          <cell r="J1187">
            <v>18539</v>
          </cell>
          <cell r="K1187">
            <v>15.1</v>
          </cell>
          <cell r="L1187">
            <v>0.26</v>
          </cell>
          <cell r="M1187">
            <v>2.1180555555555554</v>
          </cell>
          <cell r="N1187">
            <v>2014</v>
          </cell>
          <cell r="O1187">
            <v>318</v>
          </cell>
          <cell r="P1187">
            <v>119</v>
          </cell>
        </row>
        <row r="1188">
          <cell r="B1188" t="str">
            <v>University of Miami</v>
          </cell>
          <cell r="C1188" t="str">
            <v>United States of America</v>
          </cell>
          <cell r="D1188">
            <v>185</v>
          </cell>
          <cell r="E1188">
            <v>32.9</v>
          </cell>
          <cell r="F1188">
            <v>25.8</v>
          </cell>
          <cell r="G1188">
            <v>71.5</v>
          </cell>
          <cell r="H1188" t="str">
            <v>-</v>
          </cell>
          <cell r="I1188">
            <v>45.3</v>
          </cell>
          <cell r="J1188">
            <v>15286</v>
          </cell>
          <cell r="K1188">
            <v>5.7</v>
          </cell>
          <cell r="L1188">
            <v>0.14000000000000001</v>
          </cell>
          <cell r="M1188">
            <v>2.1180555555555554</v>
          </cell>
          <cell r="N1188">
            <v>2014</v>
          </cell>
          <cell r="O1188">
            <v>138</v>
          </cell>
          <cell r="P1188">
            <v>66</v>
          </cell>
        </row>
        <row r="1189">
          <cell r="B1189" t="str">
            <v>University of Oslo</v>
          </cell>
          <cell r="C1189" t="str">
            <v>Norway</v>
          </cell>
          <cell r="D1189">
            <v>185</v>
          </cell>
          <cell r="E1189">
            <v>70.3</v>
          </cell>
          <cell r="F1189">
            <v>33</v>
          </cell>
          <cell r="G1189">
            <v>65.400000000000006</v>
          </cell>
          <cell r="H1189">
            <v>32.5</v>
          </cell>
          <cell r="I1189">
            <v>45.3</v>
          </cell>
          <cell r="J1189">
            <v>27139</v>
          </cell>
          <cell r="K1189">
            <v>18.8</v>
          </cell>
          <cell r="L1189">
            <v>0.18</v>
          </cell>
          <cell r="N1189">
            <v>2014</v>
          </cell>
          <cell r="O1189">
            <v>91</v>
          </cell>
          <cell r="P1189">
            <v>1</v>
          </cell>
        </row>
        <row r="1190">
          <cell r="B1190" t="str">
            <v>University of Ottawa</v>
          </cell>
          <cell r="C1190" t="str">
            <v>Canada</v>
          </cell>
          <cell r="D1190">
            <v>185</v>
          </cell>
          <cell r="E1190">
            <v>62.4</v>
          </cell>
          <cell r="F1190">
            <v>34.799999999999997</v>
          </cell>
          <cell r="G1190">
            <v>60.6</v>
          </cell>
          <cell r="H1190">
            <v>41.6</v>
          </cell>
          <cell r="I1190">
            <v>45.3</v>
          </cell>
          <cell r="J1190">
            <v>36733</v>
          </cell>
          <cell r="K1190">
            <v>26.3</v>
          </cell>
          <cell r="L1190">
            <v>0.15</v>
          </cell>
          <cell r="M1190">
            <v>2.5277777777777777</v>
          </cell>
          <cell r="N1190">
            <v>2014</v>
          </cell>
          <cell r="O1190">
            <v>212</v>
          </cell>
          <cell r="P1190">
            <v>9</v>
          </cell>
        </row>
        <row r="1191">
          <cell r="B1191" t="str">
            <v>University of Aberdeen</v>
          </cell>
          <cell r="C1191" t="str">
            <v>United Kingdom</v>
          </cell>
          <cell r="D1191">
            <v>188</v>
          </cell>
          <cell r="E1191">
            <v>83.6</v>
          </cell>
          <cell r="F1191">
            <v>26.8</v>
          </cell>
          <cell r="G1191">
            <v>71.3</v>
          </cell>
          <cell r="H1191">
            <v>45.1</v>
          </cell>
          <cell r="I1191">
            <v>45.2</v>
          </cell>
          <cell r="J1191">
            <v>12938</v>
          </cell>
          <cell r="K1191">
            <v>15.8</v>
          </cell>
          <cell r="L1191">
            <v>0.33</v>
          </cell>
          <cell r="M1191">
            <v>2.2819444444444446</v>
          </cell>
          <cell r="N1191">
            <v>2014</v>
          </cell>
          <cell r="O1191">
            <v>276</v>
          </cell>
          <cell r="P1191">
            <v>24</v>
          </cell>
        </row>
        <row r="1192">
          <cell r="B1192" t="str">
            <v>University of Texas at Dallas</v>
          </cell>
          <cell r="C1192" t="str">
            <v>United States of America</v>
          </cell>
          <cell r="D1192">
            <v>188</v>
          </cell>
          <cell r="E1192">
            <v>46.8</v>
          </cell>
          <cell r="F1192">
            <v>28.6</v>
          </cell>
          <cell r="G1192">
            <v>81.2</v>
          </cell>
          <cell r="H1192">
            <v>44.4</v>
          </cell>
          <cell r="I1192">
            <v>45.2</v>
          </cell>
          <cell r="J1192">
            <v>16306</v>
          </cell>
          <cell r="K1192">
            <v>22.8</v>
          </cell>
          <cell r="L1192">
            <v>0.23</v>
          </cell>
          <cell r="M1192">
            <v>1.8722222222222222</v>
          </cell>
          <cell r="N1192">
            <v>2014</v>
          </cell>
          <cell r="O1192">
            <v>143</v>
          </cell>
          <cell r="P1192">
            <v>67</v>
          </cell>
        </row>
        <row r="1193">
          <cell r="B1193" t="str">
            <v>Yonsei University</v>
          </cell>
          <cell r="C1193" t="str">
            <v>South Korea</v>
          </cell>
          <cell r="D1193">
            <v>190</v>
          </cell>
          <cell r="E1193">
            <v>35</v>
          </cell>
          <cell r="F1193">
            <v>47</v>
          </cell>
          <cell r="G1193">
            <v>44.2</v>
          </cell>
          <cell r="H1193">
            <v>70.099999999999994</v>
          </cell>
          <cell r="I1193">
            <v>45.1</v>
          </cell>
          <cell r="J1193">
            <v>24774</v>
          </cell>
          <cell r="K1193">
            <v>11.6</v>
          </cell>
          <cell r="L1193">
            <v>0.14000000000000001</v>
          </cell>
          <cell r="N1193">
            <v>2014</v>
          </cell>
          <cell r="O1193">
            <v>107</v>
          </cell>
          <cell r="P1193">
            <v>2</v>
          </cell>
        </row>
        <row r="1194">
          <cell r="B1194" t="str">
            <v>Hebrew University of Jerusalem</v>
          </cell>
          <cell r="C1194" t="str">
            <v>Israel</v>
          </cell>
          <cell r="D1194">
            <v>191</v>
          </cell>
          <cell r="E1194">
            <v>52.9</v>
          </cell>
          <cell r="F1194">
            <v>37</v>
          </cell>
          <cell r="G1194">
            <v>54.3</v>
          </cell>
          <cell r="H1194">
            <v>33.299999999999997</v>
          </cell>
          <cell r="I1194">
            <v>45</v>
          </cell>
          <cell r="J1194">
            <v>17612</v>
          </cell>
          <cell r="K1194">
            <v>10.7</v>
          </cell>
          <cell r="L1194">
            <v>0.05</v>
          </cell>
          <cell r="M1194">
            <v>2.3229166666666665</v>
          </cell>
          <cell r="N1194">
            <v>2014</v>
          </cell>
          <cell r="O1194">
            <v>22</v>
          </cell>
          <cell r="P1194">
            <v>2</v>
          </cell>
        </row>
        <row r="1195">
          <cell r="B1195" t="str">
            <v>University of Illinois at Chicago</v>
          </cell>
          <cell r="C1195" t="str">
            <v>United States of America</v>
          </cell>
          <cell r="D1195">
            <v>191</v>
          </cell>
          <cell r="E1195">
            <v>43.3</v>
          </cell>
          <cell r="F1195">
            <v>34.9</v>
          </cell>
          <cell r="G1195">
            <v>56.2</v>
          </cell>
          <cell r="H1195">
            <v>31.1</v>
          </cell>
          <cell r="I1195">
            <v>45</v>
          </cell>
          <cell r="J1195">
            <v>24313</v>
          </cell>
          <cell r="K1195">
            <v>9.1999999999999993</v>
          </cell>
          <cell r="L1195">
            <v>0.17</v>
          </cell>
          <cell r="M1195">
            <v>2.2409722222222221</v>
          </cell>
          <cell r="N1195">
            <v>2014</v>
          </cell>
          <cell r="O1195">
            <v>218</v>
          </cell>
          <cell r="P1195">
            <v>90</v>
          </cell>
        </row>
        <row r="1196">
          <cell r="B1196" t="str">
            <v>Mines ParisTech</v>
          </cell>
          <cell r="C1196" t="str">
            <v>France</v>
          </cell>
          <cell r="D1196">
            <v>193</v>
          </cell>
          <cell r="E1196">
            <v>58.7</v>
          </cell>
          <cell r="F1196">
            <v>22.5</v>
          </cell>
          <cell r="G1196">
            <v>62.7</v>
          </cell>
          <cell r="H1196">
            <v>99.1</v>
          </cell>
          <cell r="I1196">
            <v>44.9</v>
          </cell>
          <cell r="J1196">
            <v>1283</v>
          </cell>
          <cell r="K1196">
            <v>5.6</v>
          </cell>
          <cell r="L1196">
            <v>0.22</v>
          </cell>
          <cell r="M1196" t="str">
            <v>28 : 72</v>
          </cell>
          <cell r="N1196">
            <v>2014</v>
          </cell>
          <cell r="O1196">
            <v>100</v>
          </cell>
          <cell r="P1196">
            <v>5</v>
          </cell>
        </row>
        <row r="1197">
          <cell r="B1197" t="str">
            <v>George Washington University</v>
          </cell>
          <cell r="C1197" t="str">
            <v>United States of America</v>
          </cell>
          <cell r="D1197">
            <v>194</v>
          </cell>
          <cell r="E1197">
            <v>36</v>
          </cell>
          <cell r="F1197">
            <v>26.3</v>
          </cell>
          <cell r="G1197">
            <v>65.900000000000006</v>
          </cell>
          <cell r="H1197">
            <v>30</v>
          </cell>
          <cell r="I1197">
            <v>44.8</v>
          </cell>
          <cell r="J1197">
            <v>20541</v>
          </cell>
          <cell r="K1197">
            <v>12</v>
          </cell>
          <cell r="L1197">
            <v>0.16</v>
          </cell>
          <cell r="M1197">
            <v>2.3638888888888889</v>
          </cell>
          <cell r="N1197">
            <v>2014</v>
          </cell>
          <cell r="O1197">
            <v>180</v>
          </cell>
          <cell r="P1197">
            <v>79</v>
          </cell>
        </row>
        <row r="1198">
          <cell r="B1198" t="str">
            <v>University of Reading</v>
          </cell>
          <cell r="C1198" t="str">
            <v>United Kingdom</v>
          </cell>
          <cell r="D1198">
            <v>194</v>
          </cell>
          <cell r="E1198">
            <v>70.599999999999994</v>
          </cell>
          <cell r="F1198">
            <v>34.1</v>
          </cell>
          <cell r="G1198">
            <v>58.7</v>
          </cell>
          <cell r="H1198">
            <v>34.4</v>
          </cell>
          <cell r="I1198">
            <v>44.8</v>
          </cell>
          <cell r="J1198">
            <v>12050</v>
          </cell>
          <cell r="K1198">
            <v>14.8</v>
          </cell>
          <cell r="L1198">
            <v>0.28000000000000003</v>
          </cell>
          <cell r="M1198">
            <v>2.3229166666666665</v>
          </cell>
          <cell r="N1198">
            <v>2014</v>
          </cell>
          <cell r="O1198">
            <v>287</v>
          </cell>
          <cell r="P1198">
            <v>25</v>
          </cell>
        </row>
        <row r="1199">
          <cell r="B1199" t="str">
            <v>University of Dundee</v>
          </cell>
          <cell r="C1199" t="str">
            <v>United Kingdom</v>
          </cell>
          <cell r="D1199">
            <v>196</v>
          </cell>
          <cell r="E1199">
            <v>65.7</v>
          </cell>
          <cell r="F1199">
            <v>21.4</v>
          </cell>
          <cell r="G1199">
            <v>84.9</v>
          </cell>
          <cell r="H1199">
            <v>46.5</v>
          </cell>
          <cell r="I1199">
            <v>44.7</v>
          </cell>
          <cell r="J1199">
            <v>11628</v>
          </cell>
          <cell r="K1199">
            <v>15.3</v>
          </cell>
          <cell r="L1199">
            <v>0.25</v>
          </cell>
          <cell r="M1199">
            <v>2.5277777777777777</v>
          </cell>
          <cell r="N1199">
            <v>2014</v>
          </cell>
          <cell r="O1199">
            <v>252</v>
          </cell>
          <cell r="P1199">
            <v>20</v>
          </cell>
        </row>
        <row r="1200">
          <cell r="B1200" t="str">
            <v>Florida Institute of Technology</v>
          </cell>
          <cell r="C1200" t="str">
            <v>United States of America</v>
          </cell>
          <cell r="D1200">
            <v>197</v>
          </cell>
          <cell r="E1200">
            <v>61.5</v>
          </cell>
          <cell r="F1200">
            <v>14.5</v>
          </cell>
          <cell r="G1200">
            <v>99</v>
          </cell>
          <cell r="H1200">
            <v>44.7</v>
          </cell>
          <cell r="I1200">
            <v>44.6</v>
          </cell>
          <cell r="J1200">
            <v>4408</v>
          </cell>
          <cell r="K1200">
            <v>13.7</v>
          </cell>
          <cell r="L1200">
            <v>0.26</v>
          </cell>
          <cell r="M1200" t="str">
            <v>34 : 66</v>
          </cell>
          <cell r="N1200">
            <v>2014</v>
          </cell>
          <cell r="O1200">
            <v>853</v>
          </cell>
          <cell r="P1200">
            <v>222</v>
          </cell>
        </row>
        <row r="1201">
          <cell r="B1201" t="str">
            <v>Newcastle University</v>
          </cell>
          <cell r="C1201" t="str">
            <v>United Kingdom</v>
          </cell>
          <cell r="D1201">
            <v>198</v>
          </cell>
          <cell r="E1201">
            <v>76.3</v>
          </cell>
          <cell r="F1201">
            <v>28.3</v>
          </cell>
          <cell r="G1201">
            <v>68.099999999999994</v>
          </cell>
          <cell r="H1201">
            <v>36.9</v>
          </cell>
          <cell r="I1201">
            <v>44.5</v>
          </cell>
          <cell r="J1201">
            <v>20174</v>
          </cell>
          <cell r="K1201">
            <v>15.2</v>
          </cell>
          <cell r="L1201">
            <v>0.28999999999999998</v>
          </cell>
          <cell r="M1201">
            <v>2.1180555555555554</v>
          </cell>
          <cell r="N1201">
            <v>2014</v>
          </cell>
          <cell r="O1201">
            <v>229</v>
          </cell>
          <cell r="P1201">
            <v>19</v>
          </cell>
        </row>
        <row r="1202">
          <cell r="B1202" t="str">
            <v>BoÄŸaziÃ§i University</v>
          </cell>
          <cell r="C1202" t="str">
            <v>Turkey</v>
          </cell>
          <cell r="D1202">
            <v>199</v>
          </cell>
          <cell r="E1202">
            <v>49.8</v>
          </cell>
          <cell r="F1202">
            <v>22.8</v>
          </cell>
          <cell r="G1202">
            <v>88.2</v>
          </cell>
          <cell r="H1202">
            <v>45.9</v>
          </cell>
          <cell r="I1202">
            <v>44.3</v>
          </cell>
          <cell r="J1202">
            <v>11506</v>
          </cell>
          <cell r="K1202">
            <v>25</v>
          </cell>
          <cell r="L1202">
            <v>7.0000000000000007E-2</v>
          </cell>
          <cell r="M1202">
            <v>2.1180555555555554</v>
          </cell>
          <cell r="N1202">
            <v>2014</v>
          </cell>
          <cell r="O1202">
            <v>903</v>
          </cell>
          <cell r="P1202">
            <v>9</v>
          </cell>
        </row>
        <row r="1203">
          <cell r="B1203" t="str">
            <v>Tel Aviv University</v>
          </cell>
          <cell r="C1203" t="str">
            <v>Israel</v>
          </cell>
          <cell r="D1203">
            <v>199</v>
          </cell>
          <cell r="E1203">
            <v>43.3</v>
          </cell>
          <cell r="F1203">
            <v>48.3</v>
          </cell>
          <cell r="G1203">
            <v>44.8</v>
          </cell>
          <cell r="H1203">
            <v>44.7</v>
          </cell>
          <cell r="I1203">
            <v>44.3</v>
          </cell>
          <cell r="J1203">
            <v>23977</v>
          </cell>
          <cell r="K1203">
            <v>24.4</v>
          </cell>
          <cell r="L1203">
            <v>0.04</v>
          </cell>
          <cell r="N1203">
            <v>2014</v>
          </cell>
          <cell r="O1203">
            <v>56</v>
          </cell>
          <cell r="P1203">
            <v>4</v>
          </cell>
        </row>
        <row r="1204">
          <cell r="B1204" t="str">
            <v>Birkbeck, University of London</v>
          </cell>
          <cell r="C1204" t="str">
            <v>United Kingdom</v>
          </cell>
          <cell r="D1204" t="str">
            <v>201-225</v>
          </cell>
          <cell r="E1204">
            <v>83.5</v>
          </cell>
          <cell r="F1204">
            <v>27.4</v>
          </cell>
          <cell r="G1204">
            <v>59.9</v>
          </cell>
          <cell r="H1204">
            <v>29</v>
          </cell>
          <cell r="I1204" t="str">
            <v>-</v>
          </cell>
          <cell r="J1204">
            <v>9454</v>
          </cell>
          <cell r="K1204">
            <v>17.2</v>
          </cell>
          <cell r="L1204">
            <v>0.38</v>
          </cell>
          <cell r="M1204">
            <v>2.3229166666666665</v>
          </cell>
          <cell r="N1204">
            <v>2014</v>
          </cell>
          <cell r="O1204">
            <v>624</v>
          </cell>
          <cell r="P1204">
            <v>46</v>
          </cell>
        </row>
        <row r="1205">
          <cell r="B1205" t="str">
            <v>Cardiff University</v>
          </cell>
          <cell r="C1205" t="str">
            <v>United Kingdom</v>
          </cell>
          <cell r="D1205" t="str">
            <v>201-225</v>
          </cell>
          <cell r="E1205">
            <v>70.599999999999994</v>
          </cell>
          <cell r="F1205">
            <v>30.9</v>
          </cell>
          <cell r="G1205">
            <v>64.599999999999994</v>
          </cell>
          <cell r="H1205">
            <v>34.4</v>
          </cell>
          <cell r="I1205" t="str">
            <v>-</v>
          </cell>
          <cell r="J1205">
            <v>23347</v>
          </cell>
          <cell r="K1205">
            <v>13.1</v>
          </cell>
          <cell r="L1205">
            <v>0.23</v>
          </cell>
          <cell r="M1205">
            <v>2.4048611111111109</v>
          </cell>
          <cell r="N1205">
            <v>2014</v>
          </cell>
          <cell r="O1205">
            <v>209</v>
          </cell>
          <cell r="P1205">
            <v>16</v>
          </cell>
        </row>
        <row r="1206">
          <cell r="B1206" t="str">
            <v>City University of Hong Kong</v>
          </cell>
          <cell r="C1206" t="str">
            <v>Hong Kong</v>
          </cell>
          <cell r="D1206" t="str">
            <v>201-225</v>
          </cell>
          <cell r="E1206">
            <v>65.900000000000006</v>
          </cell>
          <cell r="F1206">
            <v>33.5</v>
          </cell>
          <cell r="G1206">
            <v>60.2</v>
          </cell>
          <cell r="H1206">
            <v>55.7</v>
          </cell>
          <cell r="I1206" t="str">
            <v>-</v>
          </cell>
          <cell r="J1206">
            <v>10015</v>
          </cell>
          <cell r="K1206">
            <v>7.1</v>
          </cell>
          <cell r="L1206">
            <v>0.28000000000000003</v>
          </cell>
          <cell r="M1206">
            <v>2.1590277777777778</v>
          </cell>
          <cell r="N1206">
            <v>2014</v>
          </cell>
          <cell r="O1206">
            <v>375</v>
          </cell>
          <cell r="P1206">
            <v>4</v>
          </cell>
        </row>
        <row r="1207">
          <cell r="B1207" t="str">
            <v>Fudan University</v>
          </cell>
          <cell r="C1207" t="str">
            <v>China</v>
          </cell>
          <cell r="D1207" t="str">
            <v>201-225</v>
          </cell>
          <cell r="E1207">
            <v>37.9</v>
          </cell>
          <cell r="F1207">
            <v>31.9</v>
          </cell>
          <cell r="G1207">
            <v>54.1</v>
          </cell>
          <cell r="H1207">
            <v>46.7</v>
          </cell>
          <cell r="I1207" t="str">
            <v>-</v>
          </cell>
          <cell r="J1207">
            <v>32175</v>
          </cell>
          <cell r="K1207">
            <v>12.2</v>
          </cell>
          <cell r="L1207">
            <v>0.11</v>
          </cell>
          <cell r="M1207">
            <v>2.1180555555555554</v>
          </cell>
          <cell r="N1207">
            <v>2014</v>
          </cell>
          <cell r="O1207">
            <v>189</v>
          </cell>
          <cell r="P1207">
            <v>3</v>
          </cell>
        </row>
        <row r="1208">
          <cell r="B1208" t="str">
            <v>Goethe University Frankfurt</v>
          </cell>
          <cell r="C1208" t="str">
            <v>Germany</v>
          </cell>
          <cell r="D1208" t="str">
            <v>201-225</v>
          </cell>
          <cell r="E1208">
            <v>56.4</v>
          </cell>
          <cell r="F1208">
            <v>20.399999999999999</v>
          </cell>
          <cell r="G1208">
            <v>80.7</v>
          </cell>
          <cell r="H1208">
            <v>39.799999999999997</v>
          </cell>
          <cell r="I1208" t="str">
            <v>-</v>
          </cell>
          <cell r="J1208">
            <v>31861</v>
          </cell>
          <cell r="K1208">
            <v>9.3000000000000007</v>
          </cell>
          <cell r="L1208">
            <v>0.15</v>
          </cell>
          <cell r="M1208">
            <v>2.5277777777777777</v>
          </cell>
          <cell r="N1208">
            <v>2014</v>
          </cell>
          <cell r="O1208">
            <v>161</v>
          </cell>
          <cell r="P1208">
            <v>9</v>
          </cell>
        </row>
        <row r="1209">
          <cell r="B1209" t="str">
            <v>Istanbul Technical University</v>
          </cell>
          <cell r="C1209" t="str">
            <v>Turkey</v>
          </cell>
          <cell r="D1209" t="str">
            <v>201-225</v>
          </cell>
          <cell r="E1209">
            <v>35.700000000000003</v>
          </cell>
          <cell r="F1209">
            <v>19.2</v>
          </cell>
          <cell r="G1209">
            <v>82.3</v>
          </cell>
          <cell r="H1209">
            <v>68.2</v>
          </cell>
          <cell r="I1209" t="str">
            <v>-</v>
          </cell>
          <cell r="J1209">
            <v>34550</v>
          </cell>
          <cell r="K1209">
            <v>16</v>
          </cell>
          <cell r="L1209">
            <v>0.05</v>
          </cell>
          <cell r="M1209" t="str">
            <v>34 : 66</v>
          </cell>
          <cell r="N1209">
            <v>2014</v>
          </cell>
          <cell r="O1209">
            <v>773</v>
          </cell>
          <cell r="P1209">
            <v>4</v>
          </cell>
        </row>
        <row r="1210">
          <cell r="B1210" t="str">
            <v>Korea University</v>
          </cell>
          <cell r="C1210" t="str">
            <v>South Korea</v>
          </cell>
          <cell r="D1210" t="str">
            <v>201-225</v>
          </cell>
          <cell r="E1210">
            <v>35.5</v>
          </cell>
          <cell r="F1210">
            <v>42.2</v>
          </cell>
          <cell r="G1210">
            <v>41.1</v>
          </cell>
          <cell r="H1210">
            <v>70.3</v>
          </cell>
          <cell r="I1210" t="str">
            <v>-</v>
          </cell>
          <cell r="J1210">
            <v>24043</v>
          </cell>
          <cell r="K1210">
            <v>15.8</v>
          </cell>
          <cell r="L1210">
            <v>0.14000000000000001</v>
          </cell>
          <cell r="N1210">
            <v>2014</v>
          </cell>
          <cell r="O1210">
            <v>130</v>
          </cell>
          <cell r="P1210">
            <v>4</v>
          </cell>
        </row>
        <row r="1211">
          <cell r="B1211" t="str">
            <v>Laval University</v>
          </cell>
          <cell r="C1211" t="str">
            <v>Canada</v>
          </cell>
          <cell r="D1211" t="str">
            <v>201-225</v>
          </cell>
          <cell r="E1211">
            <v>54</v>
          </cell>
          <cell r="F1211">
            <v>29.1</v>
          </cell>
          <cell r="G1211">
            <v>59.3</v>
          </cell>
          <cell r="H1211">
            <v>68.5</v>
          </cell>
          <cell r="I1211" t="str">
            <v>-</v>
          </cell>
          <cell r="J1211">
            <v>27227</v>
          </cell>
          <cell r="K1211">
            <v>16.2</v>
          </cell>
          <cell r="L1211">
            <v>0.12</v>
          </cell>
          <cell r="N1211">
            <v>2014</v>
          </cell>
          <cell r="O1211">
            <v>226</v>
          </cell>
          <cell r="P1211">
            <v>11</v>
          </cell>
        </row>
        <row r="1212">
          <cell r="B1212" t="str">
            <v>Middle East Technical University</v>
          </cell>
          <cell r="C1212" t="str">
            <v>Turkey</v>
          </cell>
          <cell r="D1212" t="str">
            <v>201-225</v>
          </cell>
          <cell r="E1212">
            <v>31.2</v>
          </cell>
          <cell r="F1212">
            <v>30</v>
          </cell>
          <cell r="G1212">
            <v>56.4</v>
          </cell>
          <cell r="H1212">
            <v>57</v>
          </cell>
          <cell r="I1212" t="str">
            <v>-</v>
          </cell>
          <cell r="J1212">
            <v>25779</v>
          </cell>
          <cell r="K1212">
            <v>22.2</v>
          </cell>
          <cell r="L1212">
            <v>7.0000000000000007E-2</v>
          </cell>
          <cell r="M1212">
            <v>1.8722222222222222</v>
          </cell>
          <cell r="N1212">
            <v>2014</v>
          </cell>
          <cell r="O1212">
            <v>396</v>
          </cell>
          <cell r="P1212">
            <v>1</v>
          </cell>
        </row>
        <row r="1213">
          <cell r="B1213" t="str">
            <v>Nagoya University</v>
          </cell>
          <cell r="C1213" t="str">
            <v>Japan</v>
          </cell>
          <cell r="D1213" t="str">
            <v>201-225</v>
          </cell>
          <cell r="E1213">
            <v>28</v>
          </cell>
          <cell r="F1213">
            <v>32.1</v>
          </cell>
          <cell r="G1213">
            <v>55.1</v>
          </cell>
          <cell r="H1213">
            <v>80.599999999999994</v>
          </cell>
          <cell r="I1213" t="str">
            <v>-</v>
          </cell>
          <cell r="J1213">
            <v>15529</v>
          </cell>
          <cell r="K1213">
            <v>7.9</v>
          </cell>
          <cell r="L1213">
            <v>0.1</v>
          </cell>
          <cell r="M1213" t="str">
            <v>29 : 71</v>
          </cell>
          <cell r="N1213">
            <v>2014</v>
          </cell>
          <cell r="O1213">
            <v>74</v>
          </cell>
          <cell r="P1213">
            <v>4</v>
          </cell>
        </row>
        <row r="1214">
          <cell r="B1214" t="str">
            <v>St Georgeâ€™s, University of London</v>
          </cell>
          <cell r="C1214" t="str">
            <v>United Kingdom</v>
          </cell>
          <cell r="D1214" t="str">
            <v>201-225</v>
          </cell>
          <cell r="E1214">
            <v>57.3</v>
          </cell>
          <cell r="F1214">
            <v>22.9</v>
          </cell>
          <cell r="G1214">
            <v>84.1</v>
          </cell>
          <cell r="H1214">
            <v>30.6</v>
          </cell>
          <cell r="I1214" t="str">
            <v>-</v>
          </cell>
          <cell r="J1214">
            <v>2958</v>
          </cell>
          <cell r="K1214">
            <v>13.4</v>
          </cell>
          <cell r="L1214">
            <v>0.17</v>
          </cell>
          <cell r="M1214">
            <v>2.5687500000000001</v>
          </cell>
          <cell r="N1214">
            <v>2014</v>
          </cell>
          <cell r="O1214" t="e">
            <v>#N/A</v>
          </cell>
          <cell r="P1214" t="e">
            <v>#N/A</v>
          </cell>
        </row>
        <row r="1215">
          <cell r="B1215" t="str">
            <v>Sungkyunkwan University (SKKU)</v>
          </cell>
          <cell r="C1215" t="str">
            <v>South Korea</v>
          </cell>
          <cell r="D1215" t="str">
            <v>201-225</v>
          </cell>
          <cell r="E1215">
            <v>33.700000000000003</v>
          </cell>
          <cell r="F1215">
            <v>38.799999999999997</v>
          </cell>
          <cell r="G1215">
            <v>45.8</v>
          </cell>
          <cell r="H1215">
            <v>98.6</v>
          </cell>
          <cell r="I1215" t="str">
            <v>-</v>
          </cell>
          <cell r="J1215">
            <v>24365</v>
          </cell>
          <cell r="K1215">
            <v>20.3</v>
          </cell>
          <cell r="L1215">
            <v>0.09</v>
          </cell>
          <cell r="M1215" t="str">
            <v>39 : 61</v>
          </cell>
          <cell r="N1215">
            <v>2014</v>
          </cell>
          <cell r="O1215" t="e">
            <v>#N/A</v>
          </cell>
          <cell r="P1215" t="e">
            <v>#N/A</v>
          </cell>
        </row>
        <row r="1216">
          <cell r="B1216" t="str">
            <v>Technion Israel Institute of Technology</v>
          </cell>
          <cell r="C1216" t="str">
            <v>Israel</v>
          </cell>
          <cell r="D1216" t="str">
            <v>201-225</v>
          </cell>
          <cell r="E1216">
            <v>59.7</v>
          </cell>
          <cell r="F1216">
            <v>37.200000000000003</v>
          </cell>
          <cell r="G1216">
            <v>48.9</v>
          </cell>
          <cell r="H1216">
            <v>36.200000000000003</v>
          </cell>
          <cell r="I1216" t="str">
            <v>-</v>
          </cell>
          <cell r="J1216">
            <v>13855</v>
          </cell>
          <cell r="K1216">
            <v>19.399999999999999</v>
          </cell>
          <cell r="L1216">
            <v>0.04</v>
          </cell>
          <cell r="M1216" t="str">
            <v>35 : 65</v>
          </cell>
          <cell r="N1216">
            <v>2014</v>
          </cell>
          <cell r="O1216" t="e">
            <v>#N/A</v>
          </cell>
          <cell r="P1216" t="e">
            <v>#N/A</v>
          </cell>
        </row>
        <row r="1217">
          <cell r="B1217" t="str">
            <v>Tokyo Metropolitan University</v>
          </cell>
          <cell r="C1217" t="str">
            <v>Japan</v>
          </cell>
          <cell r="D1217" t="str">
            <v>201-225</v>
          </cell>
          <cell r="E1217">
            <v>29.4</v>
          </cell>
          <cell r="F1217">
            <v>9.6</v>
          </cell>
          <cell r="G1217">
            <v>100</v>
          </cell>
          <cell r="H1217">
            <v>31</v>
          </cell>
          <cell r="I1217" t="str">
            <v>-</v>
          </cell>
          <cell r="J1217">
            <v>9303</v>
          </cell>
          <cell r="K1217">
            <v>9.9</v>
          </cell>
          <cell r="L1217">
            <v>0.04</v>
          </cell>
          <cell r="M1217" t="str">
            <v>35 : 65</v>
          </cell>
          <cell r="N1217">
            <v>2014</v>
          </cell>
          <cell r="O1217">
            <v>502</v>
          </cell>
          <cell r="P1217">
            <v>28</v>
          </cell>
        </row>
        <row r="1218">
          <cell r="B1218" t="str">
            <v>Ulm University</v>
          </cell>
          <cell r="C1218" t="str">
            <v>Germany</v>
          </cell>
          <cell r="D1218" t="str">
            <v>201-225</v>
          </cell>
          <cell r="E1218">
            <v>54.6</v>
          </cell>
          <cell r="F1218">
            <v>20.6</v>
          </cell>
          <cell r="G1218">
            <v>68.400000000000006</v>
          </cell>
          <cell r="H1218">
            <v>51.1</v>
          </cell>
          <cell r="I1218" t="str">
            <v>-</v>
          </cell>
          <cell r="J1218">
            <v>9187</v>
          </cell>
          <cell r="K1218">
            <v>11.2</v>
          </cell>
          <cell r="L1218">
            <v>0.1</v>
          </cell>
          <cell r="M1218">
            <v>1.9951388888888888</v>
          </cell>
          <cell r="N1218">
            <v>2014</v>
          </cell>
          <cell r="O1218" t="e">
            <v>#N/A</v>
          </cell>
          <cell r="P1218" t="e">
            <v>#N/A</v>
          </cell>
        </row>
        <row r="1219">
          <cell r="B1219" t="str">
            <v>University of Adelaide</v>
          </cell>
          <cell r="C1219" t="str">
            <v>Australia</v>
          </cell>
          <cell r="D1219" t="str">
            <v>201-225</v>
          </cell>
          <cell r="E1219">
            <v>78.2</v>
          </cell>
          <cell r="F1219">
            <v>34.299999999999997</v>
          </cell>
          <cell r="G1219">
            <v>56.8</v>
          </cell>
          <cell r="H1219">
            <v>54.1</v>
          </cell>
          <cell r="I1219" t="str">
            <v>-</v>
          </cell>
          <cell r="J1219">
            <v>20771</v>
          </cell>
          <cell r="K1219">
            <v>30.1</v>
          </cell>
          <cell r="L1219">
            <v>0.26</v>
          </cell>
          <cell r="M1219">
            <v>2.036111111111111</v>
          </cell>
          <cell r="N1219">
            <v>2014</v>
          </cell>
          <cell r="O1219">
            <v>340</v>
          </cell>
          <cell r="P1219">
            <v>8</v>
          </cell>
        </row>
        <row r="1220">
          <cell r="B1220" t="str">
            <v>University of Bergen</v>
          </cell>
          <cell r="C1220" t="str">
            <v>Norway</v>
          </cell>
          <cell r="D1220" t="str">
            <v>201-225</v>
          </cell>
          <cell r="E1220">
            <v>62.9</v>
          </cell>
          <cell r="F1220">
            <v>28.2</v>
          </cell>
          <cell r="G1220">
            <v>66.599999999999994</v>
          </cell>
          <cell r="H1220">
            <v>34.700000000000003</v>
          </cell>
          <cell r="I1220" t="str">
            <v>-</v>
          </cell>
          <cell r="J1220">
            <v>11623</v>
          </cell>
          <cell r="K1220">
            <v>11.1</v>
          </cell>
          <cell r="L1220">
            <v>0.12</v>
          </cell>
          <cell r="M1220">
            <v>2.5277777777777777</v>
          </cell>
          <cell r="N1220">
            <v>2014</v>
          </cell>
          <cell r="O1220">
            <v>305</v>
          </cell>
          <cell r="P1220">
            <v>3</v>
          </cell>
        </row>
        <row r="1221">
          <cell r="B1221" t="str">
            <v>University of Calgary</v>
          </cell>
          <cell r="C1221" t="str">
            <v>Canada</v>
          </cell>
          <cell r="D1221" t="str">
            <v>201-225</v>
          </cell>
          <cell r="E1221">
            <v>62.9</v>
          </cell>
          <cell r="F1221">
            <v>30.2</v>
          </cell>
          <cell r="G1221">
            <v>56.8</v>
          </cell>
          <cell r="H1221">
            <v>45.4</v>
          </cell>
          <cell r="I1221" t="str">
            <v>-</v>
          </cell>
          <cell r="J1221">
            <v>28341</v>
          </cell>
          <cell r="K1221">
            <v>16.5</v>
          </cell>
          <cell r="L1221">
            <v>0.17</v>
          </cell>
          <cell r="M1221">
            <v>2.2409722222222221</v>
          </cell>
          <cell r="N1221">
            <v>2014</v>
          </cell>
          <cell r="O1221">
            <v>166</v>
          </cell>
          <cell r="P1221">
            <v>8</v>
          </cell>
        </row>
        <row r="1222">
          <cell r="B1222" t="str">
            <v>University of Gothenburg</v>
          </cell>
          <cell r="C1222" t="str">
            <v>Sweden</v>
          </cell>
          <cell r="D1222" t="str">
            <v>201-225</v>
          </cell>
          <cell r="E1222">
            <v>47.1</v>
          </cell>
          <cell r="F1222">
            <v>35.799999999999997</v>
          </cell>
          <cell r="G1222">
            <v>64.099999999999994</v>
          </cell>
          <cell r="H1222">
            <v>38</v>
          </cell>
          <cell r="I1222" t="str">
            <v>-</v>
          </cell>
          <cell r="J1222">
            <v>26420</v>
          </cell>
          <cell r="K1222">
            <v>16.399999999999999</v>
          </cell>
          <cell r="L1222">
            <v>0.12</v>
          </cell>
          <cell r="N1222">
            <v>2014</v>
          </cell>
          <cell r="O1222">
            <v>168</v>
          </cell>
          <cell r="P1222">
            <v>5</v>
          </cell>
        </row>
        <row r="1223">
          <cell r="B1223" t="str">
            <v>University of Innsbruck</v>
          </cell>
          <cell r="C1223" t="str">
            <v>Austria</v>
          </cell>
          <cell r="D1223" t="str">
            <v>201-225</v>
          </cell>
          <cell r="E1223">
            <v>91.4</v>
          </cell>
          <cell r="F1223">
            <v>17.2</v>
          </cell>
          <cell r="G1223">
            <v>70.599999999999994</v>
          </cell>
          <cell r="H1223">
            <v>40.200000000000003</v>
          </cell>
          <cell r="I1223" t="str">
            <v>-</v>
          </cell>
          <cell r="J1223">
            <v>18209</v>
          </cell>
          <cell r="K1223">
            <v>16.899999999999999</v>
          </cell>
          <cell r="L1223">
            <v>0.39</v>
          </cell>
          <cell r="M1223">
            <v>2.2819444444444446</v>
          </cell>
          <cell r="N1223">
            <v>2014</v>
          </cell>
          <cell r="O1223">
            <v>326</v>
          </cell>
          <cell r="P1223">
            <v>3</v>
          </cell>
        </row>
        <row r="1224">
          <cell r="B1224" t="str">
            <v>University of Science and Technology of China</v>
          </cell>
          <cell r="C1224" t="str">
            <v>China</v>
          </cell>
          <cell r="D1224" t="str">
            <v>201-225</v>
          </cell>
          <cell r="E1224">
            <v>25.8</v>
          </cell>
          <cell r="F1224">
            <v>26.1</v>
          </cell>
          <cell r="G1224">
            <v>69.599999999999994</v>
          </cell>
          <cell r="H1224">
            <v>69.400000000000006</v>
          </cell>
          <cell r="I1224" t="str">
            <v>-</v>
          </cell>
          <cell r="J1224">
            <v>14290</v>
          </cell>
          <cell r="K1224">
            <v>7.9</v>
          </cell>
          <cell r="L1224">
            <v>0.02</v>
          </cell>
          <cell r="N1224">
            <v>2014</v>
          </cell>
          <cell r="O1224">
            <v>270</v>
          </cell>
          <cell r="P1224">
            <v>8</v>
          </cell>
        </row>
        <row r="1225">
          <cell r="B1225" t="str">
            <v>University of Strasbourg</v>
          </cell>
          <cell r="C1225" t="str">
            <v>France</v>
          </cell>
          <cell r="D1225" t="str">
            <v>201-225</v>
          </cell>
          <cell r="E1225">
            <v>69.2</v>
          </cell>
          <cell r="F1225">
            <v>21.1</v>
          </cell>
          <cell r="G1225">
            <v>76.599999999999994</v>
          </cell>
          <cell r="H1225">
            <v>32</v>
          </cell>
          <cell r="I1225" t="str">
            <v>-</v>
          </cell>
          <cell r="J1225">
            <v>46208</v>
          </cell>
          <cell r="K1225">
            <v>17.8</v>
          </cell>
          <cell r="L1225">
            <v>0.21</v>
          </cell>
          <cell r="M1225">
            <v>2.4458333333333333</v>
          </cell>
          <cell r="N1225">
            <v>2014</v>
          </cell>
          <cell r="O1225">
            <v>176</v>
          </cell>
          <cell r="P1225">
            <v>7</v>
          </cell>
        </row>
        <row r="1226">
          <cell r="B1226" t="str">
            <v>University of Trento</v>
          </cell>
          <cell r="C1226" t="str">
            <v>Italy</v>
          </cell>
          <cell r="D1226" t="str">
            <v>201-225</v>
          </cell>
          <cell r="E1226">
            <v>54.7</v>
          </cell>
          <cell r="F1226">
            <v>22.9</v>
          </cell>
          <cell r="G1226">
            <v>71.5</v>
          </cell>
          <cell r="H1226">
            <v>42.8</v>
          </cell>
          <cell r="I1226" t="str">
            <v>-</v>
          </cell>
          <cell r="J1226">
            <v>16841</v>
          </cell>
          <cell r="K1226">
            <v>43.2</v>
          </cell>
          <cell r="L1226">
            <v>0.08</v>
          </cell>
          <cell r="M1226">
            <v>2.1590277777777778</v>
          </cell>
          <cell r="N1226">
            <v>2014</v>
          </cell>
          <cell r="O1226">
            <v>597</v>
          </cell>
          <cell r="P1226">
            <v>33</v>
          </cell>
        </row>
        <row r="1227">
          <cell r="B1227" t="str">
            <v>University of TÃ¼bingen</v>
          </cell>
          <cell r="C1227" t="str">
            <v>Germany</v>
          </cell>
          <cell r="D1227" t="str">
            <v>201-225</v>
          </cell>
          <cell r="E1227">
            <v>56.6</v>
          </cell>
          <cell r="F1227">
            <v>21.6</v>
          </cell>
          <cell r="G1227">
            <v>71.8</v>
          </cell>
          <cell r="H1227">
            <v>32.299999999999997</v>
          </cell>
          <cell r="I1227" t="str">
            <v>-</v>
          </cell>
          <cell r="J1227">
            <v>28327</v>
          </cell>
          <cell r="K1227">
            <v>38.9</v>
          </cell>
          <cell r="L1227">
            <v>0.12</v>
          </cell>
          <cell r="M1227">
            <v>2.4458333333333333</v>
          </cell>
          <cell r="N1227">
            <v>2014</v>
          </cell>
          <cell r="O1227">
            <v>159</v>
          </cell>
          <cell r="P1227">
            <v>8</v>
          </cell>
        </row>
        <row r="1228">
          <cell r="B1228" t="str">
            <v>University of Victoria</v>
          </cell>
          <cell r="C1228" t="str">
            <v>Canada</v>
          </cell>
          <cell r="D1228" t="str">
            <v>201-225</v>
          </cell>
          <cell r="E1228">
            <v>67</v>
          </cell>
          <cell r="F1228">
            <v>28.5</v>
          </cell>
          <cell r="G1228">
            <v>75.5</v>
          </cell>
          <cell r="H1228">
            <v>30.1</v>
          </cell>
          <cell r="I1228" t="str">
            <v>-</v>
          </cell>
          <cell r="J1228">
            <v>17581</v>
          </cell>
          <cell r="K1228">
            <v>21.5</v>
          </cell>
          <cell r="L1228">
            <v>0.11</v>
          </cell>
          <cell r="M1228">
            <v>2.3638888888888889</v>
          </cell>
          <cell r="N1228">
            <v>2014</v>
          </cell>
          <cell r="O1228">
            <v>377</v>
          </cell>
          <cell r="P1228">
            <v>16</v>
          </cell>
        </row>
        <row r="1229">
          <cell r="B1229" t="str">
            <v>William &amp; Mary</v>
          </cell>
          <cell r="C1229" t="str">
            <v>United States of America</v>
          </cell>
          <cell r="D1229" t="str">
            <v>201-225</v>
          </cell>
          <cell r="E1229">
            <v>26</v>
          </cell>
          <cell r="F1229">
            <v>18.5</v>
          </cell>
          <cell r="G1229">
            <v>73.599999999999994</v>
          </cell>
          <cell r="H1229">
            <v>31.9</v>
          </cell>
          <cell r="I1229" t="str">
            <v>-</v>
          </cell>
          <cell r="J1229">
            <v>7867</v>
          </cell>
          <cell r="K1229">
            <v>11.8</v>
          </cell>
          <cell r="L1229">
            <v>7.0000000000000007E-2</v>
          </cell>
          <cell r="M1229">
            <v>2.2819444444444446</v>
          </cell>
          <cell r="N1229">
            <v>2014</v>
          </cell>
          <cell r="O1229" t="e">
            <v>#N/A</v>
          </cell>
          <cell r="P1229" t="e">
            <v>#N/A</v>
          </cell>
        </row>
        <row r="1230">
          <cell r="B1230" t="str">
            <v>Autonomous University of Barcelona</v>
          </cell>
          <cell r="C1230" t="str">
            <v>Spain</v>
          </cell>
          <cell r="D1230" t="str">
            <v>226-250</v>
          </cell>
          <cell r="E1230">
            <v>48.3</v>
          </cell>
          <cell r="F1230">
            <v>28</v>
          </cell>
          <cell r="G1230">
            <v>64.2</v>
          </cell>
          <cell r="H1230">
            <v>39.1</v>
          </cell>
          <cell r="I1230" t="str">
            <v>-</v>
          </cell>
          <cell r="J1230">
            <v>30538</v>
          </cell>
          <cell r="K1230">
            <v>12.3</v>
          </cell>
          <cell r="L1230">
            <v>0.1</v>
          </cell>
          <cell r="M1230">
            <v>2.4868055555555557</v>
          </cell>
          <cell r="N1230">
            <v>2014</v>
          </cell>
          <cell r="O1230">
            <v>254</v>
          </cell>
          <cell r="P1230">
            <v>3</v>
          </cell>
        </row>
        <row r="1231">
          <cell r="B1231" t="str">
            <v>Bilkent University</v>
          </cell>
          <cell r="C1231" t="str">
            <v>Turkey</v>
          </cell>
          <cell r="D1231" t="str">
            <v>226-250</v>
          </cell>
          <cell r="E1231">
            <v>43.7</v>
          </cell>
          <cell r="F1231">
            <v>26</v>
          </cell>
          <cell r="G1231">
            <v>69.2</v>
          </cell>
          <cell r="H1231">
            <v>46.6</v>
          </cell>
          <cell r="I1231" t="str">
            <v>-</v>
          </cell>
          <cell r="N1231">
            <v>2014</v>
          </cell>
          <cell r="O1231">
            <v>856</v>
          </cell>
          <cell r="P1231">
            <v>7</v>
          </cell>
        </row>
        <row r="1232">
          <cell r="B1232" t="str">
            <v>Georgia Health Sciences University</v>
          </cell>
          <cell r="C1232" t="str">
            <v>United States of America</v>
          </cell>
          <cell r="D1232" t="str">
            <v>226-250</v>
          </cell>
          <cell r="E1232">
            <v>30.8</v>
          </cell>
          <cell r="F1232">
            <v>12.1</v>
          </cell>
          <cell r="G1232">
            <v>63.5</v>
          </cell>
          <cell r="H1232" t="str">
            <v>-</v>
          </cell>
          <cell r="I1232" t="str">
            <v>-</v>
          </cell>
          <cell r="N1232">
            <v>2014</v>
          </cell>
          <cell r="O1232" t="e">
            <v>#N/A</v>
          </cell>
          <cell r="P1232" t="e">
            <v>#N/A</v>
          </cell>
        </row>
        <row r="1233">
          <cell r="B1233" t="str">
            <v>Lomonosov Moscow State University</v>
          </cell>
          <cell r="C1233" t="str">
            <v>Russian Federation</v>
          </cell>
          <cell r="D1233" t="str">
            <v>226-250</v>
          </cell>
          <cell r="E1233">
            <v>55.7</v>
          </cell>
          <cell r="F1233">
            <v>36.6</v>
          </cell>
          <cell r="G1233">
            <v>27</v>
          </cell>
          <cell r="H1233">
            <v>72.2</v>
          </cell>
          <cell r="I1233" t="str">
            <v>-</v>
          </cell>
          <cell r="J1233">
            <v>30822</v>
          </cell>
          <cell r="K1233">
            <v>7.7</v>
          </cell>
          <cell r="L1233">
            <v>0.2</v>
          </cell>
          <cell r="M1233">
            <v>1.83125</v>
          </cell>
          <cell r="N1233">
            <v>2014</v>
          </cell>
          <cell r="O1233">
            <v>90</v>
          </cell>
          <cell r="P1233">
            <v>1</v>
          </cell>
        </row>
        <row r="1234">
          <cell r="B1234" t="str">
            <v>Panjab University</v>
          </cell>
          <cell r="C1234" t="str">
            <v>India</v>
          </cell>
          <cell r="D1234" t="str">
            <v>226-250</v>
          </cell>
          <cell r="E1234">
            <v>29.3</v>
          </cell>
          <cell r="F1234">
            <v>14</v>
          </cell>
          <cell r="G1234">
            <v>84.7</v>
          </cell>
          <cell r="H1234">
            <v>28.4</v>
          </cell>
          <cell r="I1234" t="str">
            <v>-</v>
          </cell>
          <cell r="J1234">
            <v>16691</v>
          </cell>
          <cell r="K1234">
            <v>23.9</v>
          </cell>
          <cell r="L1234">
            <v>0.01</v>
          </cell>
          <cell r="M1234">
            <v>1.9541666666666666</v>
          </cell>
          <cell r="N1234">
            <v>2014</v>
          </cell>
          <cell r="O1234">
            <v>543</v>
          </cell>
          <cell r="P1234">
            <v>5</v>
          </cell>
        </row>
        <row r="1235">
          <cell r="B1235" t="str">
            <v>Queenâ€™s University</v>
          </cell>
          <cell r="C1235" t="str">
            <v>Canada</v>
          </cell>
          <cell r="D1235" t="str">
            <v>226-250</v>
          </cell>
          <cell r="E1235">
            <v>59.8</v>
          </cell>
          <cell r="F1235">
            <v>29.5</v>
          </cell>
          <cell r="G1235">
            <v>51.6</v>
          </cell>
          <cell r="H1235">
            <v>63.5</v>
          </cell>
          <cell r="I1235" t="str">
            <v>-</v>
          </cell>
          <cell r="J1235">
            <v>20488</v>
          </cell>
          <cell r="K1235">
            <v>22.1</v>
          </cell>
          <cell r="L1235">
            <v>0.1</v>
          </cell>
          <cell r="M1235">
            <v>2.4458333333333333</v>
          </cell>
          <cell r="N1235">
            <v>2014</v>
          </cell>
          <cell r="O1235" t="e">
            <v>#N/A</v>
          </cell>
          <cell r="P1235" t="e">
            <v>#N/A</v>
          </cell>
        </row>
        <row r="1236">
          <cell r="B1236" t="str">
            <v>Renmin University of China</v>
          </cell>
          <cell r="C1236" t="str">
            <v>China</v>
          </cell>
          <cell r="D1236" t="str">
            <v>226-250</v>
          </cell>
          <cell r="E1236">
            <v>48.4</v>
          </cell>
          <cell r="F1236">
            <v>13.4</v>
          </cell>
          <cell r="G1236">
            <v>69.599999999999994</v>
          </cell>
          <cell r="H1236">
            <v>40.4</v>
          </cell>
          <cell r="I1236" t="str">
            <v>-</v>
          </cell>
          <cell r="J1236">
            <v>24954</v>
          </cell>
          <cell r="K1236">
            <v>12.7</v>
          </cell>
          <cell r="L1236">
            <v>0.06</v>
          </cell>
          <cell r="N1236">
            <v>2014</v>
          </cell>
          <cell r="O1236">
            <v>496</v>
          </cell>
          <cell r="P1236">
            <v>27</v>
          </cell>
        </row>
        <row r="1237">
          <cell r="B1237" t="str">
            <v>Simon Fraser University</v>
          </cell>
          <cell r="C1237" t="str">
            <v>Canada</v>
          </cell>
          <cell r="D1237" t="str">
            <v>226-250</v>
          </cell>
          <cell r="E1237">
            <v>58.4</v>
          </cell>
          <cell r="F1237">
            <v>27.9</v>
          </cell>
          <cell r="G1237">
            <v>66.7</v>
          </cell>
          <cell r="H1237">
            <v>41.8</v>
          </cell>
          <cell r="I1237" t="str">
            <v>-</v>
          </cell>
          <cell r="J1237">
            <v>26640</v>
          </cell>
          <cell r="K1237">
            <v>28.3</v>
          </cell>
          <cell r="L1237">
            <v>0.19</v>
          </cell>
          <cell r="M1237">
            <v>2.3229166666666665</v>
          </cell>
          <cell r="N1237">
            <v>2014</v>
          </cell>
          <cell r="O1237">
            <v>393</v>
          </cell>
          <cell r="P1237">
            <v>17</v>
          </cell>
        </row>
        <row r="1238">
          <cell r="B1238" t="str">
            <v>Technical University of Darmstadt</v>
          </cell>
          <cell r="C1238" t="str">
            <v>Germany</v>
          </cell>
          <cell r="D1238" t="str">
            <v>226-250</v>
          </cell>
          <cell r="E1238">
            <v>66.3</v>
          </cell>
          <cell r="F1238">
            <v>30.7</v>
          </cell>
          <cell r="G1238">
            <v>43.3</v>
          </cell>
          <cell r="H1238">
            <v>88</v>
          </cell>
          <cell r="I1238" t="str">
            <v>-</v>
          </cell>
          <cell r="J1238">
            <v>20300</v>
          </cell>
          <cell r="K1238">
            <v>53.6</v>
          </cell>
          <cell r="L1238">
            <v>0.18</v>
          </cell>
          <cell r="M1238" t="str">
            <v>28 : 72</v>
          </cell>
          <cell r="N1238">
            <v>2014</v>
          </cell>
          <cell r="O1238" t="e">
            <v>#N/A</v>
          </cell>
          <cell r="P1238" t="e">
            <v>#N/A</v>
          </cell>
        </row>
        <row r="1239">
          <cell r="B1239" t="str">
            <v>Tilburg University</v>
          </cell>
          <cell r="C1239" t="str">
            <v>Netherlands</v>
          </cell>
          <cell r="D1239" t="str">
            <v>226-250</v>
          </cell>
          <cell r="E1239">
            <v>57.6</v>
          </cell>
          <cell r="F1239">
            <v>45.7</v>
          </cell>
          <cell r="G1239">
            <v>39</v>
          </cell>
          <cell r="H1239">
            <v>55.5</v>
          </cell>
          <cell r="I1239" t="str">
            <v>-</v>
          </cell>
          <cell r="J1239">
            <v>7576</v>
          </cell>
          <cell r="K1239">
            <v>22.4</v>
          </cell>
          <cell r="L1239">
            <v>0.1</v>
          </cell>
          <cell r="M1239">
            <v>2.0770833333333334</v>
          </cell>
          <cell r="N1239">
            <v>2014</v>
          </cell>
          <cell r="O1239">
            <v>614</v>
          </cell>
          <cell r="P1239">
            <v>13</v>
          </cell>
        </row>
        <row r="1240">
          <cell r="B1240" t="str">
            <v>Tulane University</v>
          </cell>
          <cell r="C1240" t="str">
            <v>United States of America</v>
          </cell>
          <cell r="D1240" t="str">
            <v>226-250</v>
          </cell>
          <cell r="E1240">
            <v>29</v>
          </cell>
          <cell r="F1240">
            <v>20.6</v>
          </cell>
          <cell r="G1240">
            <v>61.1</v>
          </cell>
          <cell r="H1240" t="str">
            <v>-</v>
          </cell>
          <cell r="I1240" t="str">
            <v>-</v>
          </cell>
          <cell r="J1240">
            <v>11381</v>
          </cell>
          <cell r="K1240">
            <v>8.4</v>
          </cell>
          <cell r="L1240">
            <v>0.08</v>
          </cell>
          <cell r="M1240">
            <v>2.3638888888888889</v>
          </cell>
          <cell r="N1240">
            <v>2014</v>
          </cell>
          <cell r="O1240">
            <v>234</v>
          </cell>
          <cell r="P1240">
            <v>95</v>
          </cell>
        </row>
        <row r="1241">
          <cell r="B1241" t="str">
            <v>University of Barcelona</v>
          </cell>
          <cell r="C1241" t="str">
            <v>Spain</v>
          </cell>
          <cell r="D1241" t="str">
            <v>226-250</v>
          </cell>
          <cell r="E1241">
            <v>45</v>
          </cell>
          <cell r="F1241">
            <v>24.7</v>
          </cell>
          <cell r="G1241">
            <v>74.900000000000006</v>
          </cell>
          <cell r="H1241">
            <v>30.3</v>
          </cell>
          <cell r="I1241" t="str">
            <v>-</v>
          </cell>
          <cell r="J1241">
            <v>47491</v>
          </cell>
          <cell r="K1241">
            <v>12.2</v>
          </cell>
          <cell r="L1241">
            <v>0.1</v>
          </cell>
          <cell r="M1241">
            <v>2.6097222222222221</v>
          </cell>
          <cell r="N1241">
            <v>2014</v>
          </cell>
          <cell r="O1241">
            <v>120</v>
          </cell>
          <cell r="P1241">
            <v>1</v>
          </cell>
        </row>
        <row r="1242">
          <cell r="B1242" t="str">
            <v>University of Cincinnati</v>
          </cell>
          <cell r="C1242" t="str">
            <v>United States of America</v>
          </cell>
          <cell r="D1242" t="str">
            <v>226-250</v>
          </cell>
          <cell r="E1242">
            <v>25.4</v>
          </cell>
          <cell r="F1242">
            <v>22.3</v>
          </cell>
          <cell r="G1242">
            <v>69.3</v>
          </cell>
          <cell r="H1242">
            <v>36.5</v>
          </cell>
          <cell r="I1242" t="str">
            <v>-</v>
          </cell>
          <cell r="J1242">
            <v>36108</v>
          </cell>
          <cell r="K1242">
            <v>15.7</v>
          </cell>
          <cell r="L1242">
            <v>0.06</v>
          </cell>
          <cell r="M1242">
            <v>2.2819444444444446</v>
          </cell>
          <cell r="N1242">
            <v>2014</v>
          </cell>
          <cell r="O1242">
            <v>177</v>
          </cell>
          <cell r="P1242">
            <v>78</v>
          </cell>
        </row>
        <row r="1243">
          <cell r="B1243" t="str">
            <v>University of Erlangen-Nuremberg</v>
          </cell>
          <cell r="C1243" t="str">
            <v>Germany</v>
          </cell>
          <cell r="D1243" t="str">
            <v>226-250</v>
          </cell>
          <cell r="E1243">
            <v>49.6</v>
          </cell>
          <cell r="F1243">
            <v>16.5</v>
          </cell>
          <cell r="G1243">
            <v>71.8</v>
          </cell>
          <cell r="H1243">
            <v>47.5</v>
          </cell>
          <cell r="I1243" t="str">
            <v>-</v>
          </cell>
          <cell r="J1243">
            <v>36146</v>
          </cell>
          <cell r="K1243">
            <v>53.9</v>
          </cell>
          <cell r="L1243">
            <v>0.09</v>
          </cell>
          <cell r="M1243">
            <v>2.0770833333333334</v>
          </cell>
          <cell r="N1243">
            <v>2014</v>
          </cell>
          <cell r="O1243">
            <v>213</v>
          </cell>
          <cell r="P1243">
            <v>14</v>
          </cell>
        </row>
        <row r="1244">
          <cell r="B1244" t="str">
            <v>University of Kiel</v>
          </cell>
          <cell r="C1244" t="str">
            <v>Germany</v>
          </cell>
          <cell r="D1244" t="str">
            <v>226-250</v>
          </cell>
          <cell r="E1244">
            <v>44.2</v>
          </cell>
          <cell r="F1244">
            <v>22.7</v>
          </cell>
          <cell r="G1244">
            <v>69.5</v>
          </cell>
          <cell r="H1244">
            <v>39.799999999999997</v>
          </cell>
          <cell r="I1244" t="str">
            <v>-</v>
          </cell>
          <cell r="J1244">
            <v>24444</v>
          </cell>
          <cell r="K1244">
            <v>23.8</v>
          </cell>
          <cell r="L1244">
            <v>0.08</v>
          </cell>
          <cell r="M1244">
            <v>2.2409722222222221</v>
          </cell>
          <cell r="N1244">
            <v>2014</v>
          </cell>
          <cell r="O1244">
            <v>232</v>
          </cell>
          <cell r="P1244">
            <v>17</v>
          </cell>
        </row>
        <row r="1245">
          <cell r="B1245" t="str">
            <v>University of Konstanz</v>
          </cell>
          <cell r="C1245" t="str">
            <v>Germany</v>
          </cell>
          <cell r="D1245" t="str">
            <v>226-250</v>
          </cell>
          <cell r="E1245">
            <v>58.9</v>
          </cell>
          <cell r="F1245">
            <v>30.7</v>
          </cell>
          <cell r="G1245">
            <v>59.9</v>
          </cell>
          <cell r="H1245">
            <v>59.5</v>
          </cell>
          <cell r="I1245" t="str">
            <v>-</v>
          </cell>
          <cell r="J1245">
            <v>10930</v>
          </cell>
          <cell r="K1245">
            <v>59.1</v>
          </cell>
          <cell r="L1245">
            <v>0.12</v>
          </cell>
          <cell r="M1245">
            <v>2.2819444444444446</v>
          </cell>
          <cell r="N1245">
            <v>2014</v>
          </cell>
          <cell r="O1245">
            <v>468</v>
          </cell>
          <cell r="P1245">
            <v>36</v>
          </cell>
        </row>
        <row r="1246">
          <cell r="B1246" t="str">
            <v>University of Milan-Bicocca</v>
          </cell>
          <cell r="C1246" t="str">
            <v>Italy</v>
          </cell>
          <cell r="D1246" t="str">
            <v>226-250</v>
          </cell>
          <cell r="E1246">
            <v>42.8</v>
          </cell>
          <cell r="F1246">
            <v>23.3</v>
          </cell>
          <cell r="G1246">
            <v>76</v>
          </cell>
          <cell r="H1246">
            <v>35.299999999999997</v>
          </cell>
          <cell r="I1246" t="str">
            <v>-</v>
          </cell>
          <cell r="J1246">
            <v>33370</v>
          </cell>
          <cell r="K1246">
            <v>72.5</v>
          </cell>
          <cell r="L1246">
            <v>0.05</v>
          </cell>
          <cell r="M1246">
            <v>2.5277777777777777</v>
          </cell>
          <cell r="N1246">
            <v>2014</v>
          </cell>
          <cell r="O1246" t="e">
            <v>#N/A</v>
          </cell>
          <cell r="P1246" t="e">
            <v>#N/A</v>
          </cell>
        </row>
        <row r="1247">
          <cell r="B1247" t="str">
            <v>University of MÃ¼nster</v>
          </cell>
          <cell r="C1247" t="str">
            <v>Germany</v>
          </cell>
          <cell r="D1247" t="str">
            <v>226-250</v>
          </cell>
          <cell r="E1247">
            <v>45.1</v>
          </cell>
          <cell r="F1247">
            <v>18.2</v>
          </cell>
          <cell r="G1247">
            <v>70.7</v>
          </cell>
          <cell r="H1247">
            <v>39.5</v>
          </cell>
          <cell r="I1247" t="str">
            <v>-</v>
          </cell>
          <cell r="J1247">
            <v>39838</v>
          </cell>
          <cell r="K1247">
            <v>46.1</v>
          </cell>
          <cell r="L1247">
            <v>0.08</v>
          </cell>
          <cell r="M1247">
            <v>2.2409722222222221</v>
          </cell>
          <cell r="N1247">
            <v>2014</v>
          </cell>
          <cell r="O1247">
            <v>210</v>
          </cell>
          <cell r="P1247">
            <v>13</v>
          </cell>
        </row>
        <row r="1248">
          <cell r="B1248" t="str">
            <v>University of Otago</v>
          </cell>
          <cell r="C1248" t="str">
            <v>New Zealand</v>
          </cell>
          <cell r="D1248" t="str">
            <v>226-250</v>
          </cell>
          <cell r="E1248">
            <v>84.8</v>
          </cell>
          <cell r="F1248">
            <v>26.9</v>
          </cell>
          <cell r="G1248">
            <v>56.9</v>
          </cell>
          <cell r="H1248">
            <v>37.6</v>
          </cell>
          <cell r="I1248" t="str">
            <v>-</v>
          </cell>
          <cell r="J1248">
            <v>18600</v>
          </cell>
          <cell r="K1248">
            <v>20.3</v>
          </cell>
          <cell r="L1248">
            <v>0.21</v>
          </cell>
          <cell r="M1248">
            <v>2.4048611111111109</v>
          </cell>
          <cell r="N1248">
            <v>2014</v>
          </cell>
          <cell r="O1248">
            <v>355</v>
          </cell>
          <cell r="P1248">
            <v>2</v>
          </cell>
        </row>
        <row r="1249">
          <cell r="B1249" t="str">
            <v>University of SÃ£o Paulo</v>
          </cell>
          <cell r="C1249" t="str">
            <v>Brazil</v>
          </cell>
          <cell r="D1249" t="str">
            <v>226-250</v>
          </cell>
          <cell r="E1249">
            <v>24.9</v>
          </cell>
          <cell r="F1249">
            <v>50.8</v>
          </cell>
          <cell r="G1249">
            <v>29.4</v>
          </cell>
          <cell r="H1249">
            <v>40.1</v>
          </cell>
          <cell r="I1249" t="str">
            <v>-</v>
          </cell>
          <cell r="J1249">
            <v>81402</v>
          </cell>
          <cell r="K1249">
            <v>14.6</v>
          </cell>
          <cell r="L1249">
            <v>0.04</v>
          </cell>
          <cell r="M1249">
            <v>2.036111111111111</v>
          </cell>
          <cell r="N1249">
            <v>2014</v>
          </cell>
          <cell r="O1249">
            <v>131</v>
          </cell>
          <cell r="P1249">
            <v>1</v>
          </cell>
        </row>
        <row r="1250">
          <cell r="B1250" t="str">
            <v>University of the Witwatersrand</v>
          </cell>
          <cell r="C1250" t="str">
            <v>South Africa</v>
          </cell>
          <cell r="D1250" t="str">
            <v>226-250</v>
          </cell>
          <cell r="E1250">
            <v>68.2</v>
          </cell>
          <cell r="F1250">
            <v>29.3</v>
          </cell>
          <cell r="G1250">
            <v>55.8</v>
          </cell>
          <cell r="H1250">
            <v>99</v>
          </cell>
          <cell r="I1250" t="str">
            <v>-</v>
          </cell>
          <cell r="J1250">
            <v>23321</v>
          </cell>
          <cell r="K1250">
            <v>18.600000000000001</v>
          </cell>
          <cell r="L1250">
            <v>0.09</v>
          </cell>
          <cell r="M1250">
            <v>2.3638888888888889</v>
          </cell>
          <cell r="N1250">
            <v>2014</v>
          </cell>
          <cell r="O1250">
            <v>114</v>
          </cell>
          <cell r="P1250">
            <v>1</v>
          </cell>
        </row>
        <row r="1251">
          <cell r="B1251" t="str">
            <v>University of Trieste</v>
          </cell>
          <cell r="C1251" t="str">
            <v>Italy</v>
          </cell>
          <cell r="D1251" t="str">
            <v>226-250</v>
          </cell>
          <cell r="E1251">
            <v>49.8</v>
          </cell>
          <cell r="F1251">
            <v>15</v>
          </cell>
          <cell r="G1251">
            <v>86.7</v>
          </cell>
          <cell r="H1251">
            <v>32.9</v>
          </cell>
          <cell r="I1251" t="str">
            <v>-</v>
          </cell>
          <cell r="J1251">
            <v>18135</v>
          </cell>
          <cell r="K1251">
            <v>25.8</v>
          </cell>
          <cell r="L1251">
            <v>0.09</v>
          </cell>
          <cell r="M1251">
            <v>2.3638888888888889</v>
          </cell>
          <cell r="N1251">
            <v>2014</v>
          </cell>
          <cell r="O1251">
            <v>367</v>
          </cell>
          <cell r="P1251">
            <v>14</v>
          </cell>
        </row>
        <row r="1252">
          <cell r="B1252" t="str">
            <v>University of Turin</v>
          </cell>
          <cell r="C1252" t="str">
            <v>Italy</v>
          </cell>
          <cell r="D1252" t="str">
            <v>226-250</v>
          </cell>
          <cell r="E1252">
            <v>39.700000000000003</v>
          </cell>
          <cell r="F1252">
            <v>20.9</v>
          </cell>
          <cell r="G1252">
            <v>72.7</v>
          </cell>
          <cell r="H1252">
            <v>41.9</v>
          </cell>
          <cell r="I1252" t="str">
            <v>-</v>
          </cell>
          <cell r="J1252">
            <v>67552</v>
          </cell>
          <cell r="K1252">
            <v>66</v>
          </cell>
          <cell r="L1252">
            <v>0.06</v>
          </cell>
          <cell r="M1252">
            <v>2.6097222222222221</v>
          </cell>
          <cell r="N1252">
            <v>2014</v>
          </cell>
          <cell r="O1252">
            <v>231</v>
          </cell>
          <cell r="P1252">
            <v>5</v>
          </cell>
        </row>
        <row r="1253">
          <cell r="B1253" t="str">
            <v>University of Waterloo</v>
          </cell>
          <cell r="C1253" t="str">
            <v>Canada</v>
          </cell>
          <cell r="D1253" t="str">
            <v>226-250</v>
          </cell>
          <cell r="E1253">
            <v>62</v>
          </cell>
          <cell r="F1253">
            <v>37.4</v>
          </cell>
          <cell r="G1253">
            <v>47.7</v>
          </cell>
          <cell r="H1253">
            <v>38.5</v>
          </cell>
          <cell r="I1253" t="str">
            <v>-</v>
          </cell>
          <cell r="J1253">
            <v>30726</v>
          </cell>
          <cell r="K1253">
            <v>24.2</v>
          </cell>
          <cell r="L1253">
            <v>0.14000000000000001</v>
          </cell>
          <cell r="M1253">
            <v>1.9131944444444444</v>
          </cell>
          <cell r="N1253">
            <v>2014</v>
          </cell>
          <cell r="O1253">
            <v>280</v>
          </cell>
          <cell r="P1253">
            <v>13</v>
          </cell>
        </row>
        <row r="1254">
          <cell r="B1254" t="str">
            <v>University of Western Ontario</v>
          </cell>
          <cell r="C1254" t="str">
            <v>Canada</v>
          </cell>
          <cell r="D1254" t="str">
            <v>226-250</v>
          </cell>
          <cell r="E1254">
            <v>62.7</v>
          </cell>
          <cell r="F1254">
            <v>33.700000000000003</v>
          </cell>
          <cell r="G1254">
            <v>45.1</v>
          </cell>
          <cell r="H1254">
            <v>52.3</v>
          </cell>
          <cell r="I1254" t="str">
            <v>-</v>
          </cell>
          <cell r="J1254">
            <v>27387</v>
          </cell>
          <cell r="K1254">
            <v>20.7</v>
          </cell>
          <cell r="L1254">
            <v>0.16</v>
          </cell>
          <cell r="M1254">
            <v>2.2819444444444446</v>
          </cell>
          <cell r="N1254">
            <v>2014</v>
          </cell>
          <cell r="O1254" t="e">
            <v>#N/A</v>
          </cell>
          <cell r="P1254" t="e">
            <v>#N/A</v>
          </cell>
        </row>
        <row r="1255">
          <cell r="B1255" t="str">
            <v>University of WÃ¼rzburg</v>
          </cell>
          <cell r="C1255" t="str">
            <v>Germany</v>
          </cell>
          <cell r="D1255" t="str">
            <v>226-250</v>
          </cell>
          <cell r="E1255">
            <v>47.4</v>
          </cell>
          <cell r="F1255">
            <v>16</v>
          </cell>
          <cell r="G1255">
            <v>77</v>
          </cell>
          <cell r="H1255">
            <v>30.4</v>
          </cell>
          <cell r="I1255" t="str">
            <v>-</v>
          </cell>
          <cell r="J1255">
            <v>26576</v>
          </cell>
          <cell r="K1255">
            <v>38.4</v>
          </cell>
          <cell r="L1255">
            <v>0.08</v>
          </cell>
          <cell r="M1255">
            <v>2.4048611111111109</v>
          </cell>
          <cell r="N1255">
            <v>2014</v>
          </cell>
          <cell r="O1255" t="e">
            <v>#N/A</v>
          </cell>
          <cell r="P1255" t="e">
            <v>#N/A</v>
          </cell>
        </row>
        <row r="1256">
          <cell r="B1256" t="str">
            <v>Vienna University of Technology</v>
          </cell>
          <cell r="C1256" t="str">
            <v>Austria</v>
          </cell>
          <cell r="D1256" t="str">
            <v>226-250</v>
          </cell>
          <cell r="E1256">
            <v>72.400000000000006</v>
          </cell>
          <cell r="F1256">
            <v>30.8</v>
          </cell>
          <cell r="G1256">
            <v>40.9</v>
          </cell>
          <cell r="H1256">
            <v>66.599999999999994</v>
          </cell>
          <cell r="I1256" t="str">
            <v>-</v>
          </cell>
          <cell r="J1256">
            <v>26419</v>
          </cell>
          <cell r="K1256">
            <v>52</v>
          </cell>
          <cell r="L1256">
            <v>0.27</v>
          </cell>
          <cell r="M1256" t="str">
            <v>27 : 73</v>
          </cell>
          <cell r="N1256">
            <v>2014</v>
          </cell>
          <cell r="O1256">
            <v>427</v>
          </cell>
          <cell r="P1256">
            <v>4</v>
          </cell>
        </row>
        <row r="1257">
          <cell r="B1257" t="str">
            <v>Brunel University London</v>
          </cell>
          <cell r="C1257" t="str">
            <v>United Kingdom</v>
          </cell>
          <cell r="D1257" t="str">
            <v>251-275</v>
          </cell>
          <cell r="E1257">
            <v>89.1</v>
          </cell>
          <cell r="F1257">
            <v>19.100000000000001</v>
          </cell>
          <cell r="G1257">
            <v>64.599999999999994</v>
          </cell>
          <cell r="H1257">
            <v>34.1</v>
          </cell>
          <cell r="I1257" t="str">
            <v>-</v>
          </cell>
          <cell r="J1257">
            <v>12613</v>
          </cell>
          <cell r="K1257">
            <v>17.600000000000001</v>
          </cell>
          <cell r="L1257">
            <v>0.38</v>
          </cell>
          <cell r="M1257">
            <v>1.9541666666666666</v>
          </cell>
          <cell r="N1257">
            <v>2014</v>
          </cell>
          <cell r="O1257" t="e">
            <v>#N/A</v>
          </cell>
          <cell r="P1257" t="e">
            <v>#N/A</v>
          </cell>
        </row>
        <row r="1258">
          <cell r="B1258" t="str">
            <v>Dalhousie University</v>
          </cell>
          <cell r="C1258" t="str">
            <v>Canada</v>
          </cell>
          <cell r="D1258" t="str">
            <v>251-275</v>
          </cell>
          <cell r="E1258">
            <v>59.1</v>
          </cell>
          <cell r="F1258">
            <v>28.8</v>
          </cell>
          <cell r="G1258">
            <v>50.3</v>
          </cell>
          <cell r="H1258">
            <v>67.099999999999994</v>
          </cell>
          <cell r="I1258" t="str">
            <v>-</v>
          </cell>
          <cell r="J1258">
            <v>15064</v>
          </cell>
          <cell r="K1258">
            <v>14.4</v>
          </cell>
          <cell r="L1258">
            <v>0.18</v>
          </cell>
          <cell r="M1258">
            <v>2.3229166666666665</v>
          </cell>
          <cell r="N1258">
            <v>2014</v>
          </cell>
          <cell r="O1258">
            <v>284</v>
          </cell>
          <cell r="P1258">
            <v>14</v>
          </cell>
        </row>
        <row r="1259">
          <cell r="B1259" t="str">
            <v>Hong Kong Polytechnic University</v>
          </cell>
          <cell r="C1259" t="str">
            <v>Hong Kong</v>
          </cell>
          <cell r="D1259" t="str">
            <v>251-275</v>
          </cell>
          <cell r="E1259">
            <v>62.6</v>
          </cell>
          <cell r="F1259">
            <v>35.700000000000003</v>
          </cell>
          <cell r="G1259">
            <v>48.4</v>
          </cell>
          <cell r="H1259">
            <v>40.299999999999997</v>
          </cell>
          <cell r="I1259" t="str">
            <v>-</v>
          </cell>
          <cell r="J1259">
            <v>22064</v>
          </cell>
          <cell r="K1259">
            <v>25.9</v>
          </cell>
          <cell r="L1259">
            <v>0.26</v>
          </cell>
          <cell r="M1259">
            <v>2.1590277777777778</v>
          </cell>
          <cell r="N1259">
            <v>2014</v>
          </cell>
          <cell r="O1259">
            <v>381</v>
          </cell>
          <cell r="P1259">
            <v>5</v>
          </cell>
        </row>
        <row r="1260">
          <cell r="B1260" t="str">
            <v>Medical University of Vienna</v>
          </cell>
          <cell r="C1260" t="str">
            <v>Austria</v>
          </cell>
          <cell r="D1260" t="str">
            <v>251-275</v>
          </cell>
          <cell r="E1260">
            <v>69.400000000000006</v>
          </cell>
          <cell r="F1260">
            <v>15.9</v>
          </cell>
          <cell r="G1260">
            <v>68.3</v>
          </cell>
          <cell r="H1260">
            <v>33.700000000000003</v>
          </cell>
          <cell r="I1260" t="str">
            <v>-</v>
          </cell>
          <cell r="J1260">
            <v>7426</v>
          </cell>
          <cell r="K1260">
            <v>2.9</v>
          </cell>
          <cell r="L1260">
            <v>0.28000000000000003</v>
          </cell>
          <cell r="M1260">
            <v>2.1180555555555554</v>
          </cell>
          <cell r="N1260">
            <v>2014</v>
          </cell>
          <cell r="O1260">
            <v>310</v>
          </cell>
          <cell r="P1260">
            <v>2</v>
          </cell>
        </row>
        <row r="1261">
          <cell r="B1261" t="str">
            <v>Montpellier University</v>
          </cell>
          <cell r="C1261" t="str">
            <v>France</v>
          </cell>
          <cell r="D1261" t="str">
            <v>251-275</v>
          </cell>
          <cell r="E1261">
            <v>54.2</v>
          </cell>
          <cell r="F1261">
            <v>24.7</v>
          </cell>
          <cell r="G1261">
            <v>67.7</v>
          </cell>
          <cell r="H1261">
            <v>33.4</v>
          </cell>
          <cell r="I1261" t="str">
            <v>-</v>
          </cell>
          <cell r="J1261">
            <v>36731</v>
          </cell>
          <cell r="K1261">
            <v>18.399999999999999</v>
          </cell>
          <cell r="L1261">
            <v>0.14000000000000001</v>
          </cell>
          <cell r="M1261">
            <v>2.1590277777777778</v>
          </cell>
          <cell r="N1261">
            <v>2014</v>
          </cell>
          <cell r="O1261" t="e">
            <v>#N/A</v>
          </cell>
          <cell r="P1261" t="e">
            <v>#N/A</v>
          </cell>
        </row>
        <row r="1262">
          <cell r="B1262" t="str">
            <v>Nanjing University</v>
          </cell>
          <cell r="C1262" t="str">
            <v>China</v>
          </cell>
          <cell r="D1262" t="str">
            <v>251-275</v>
          </cell>
          <cell r="E1262">
            <v>50.8</v>
          </cell>
          <cell r="F1262">
            <v>23.2</v>
          </cell>
          <cell r="G1262">
            <v>52.6</v>
          </cell>
          <cell r="H1262">
            <v>51.8</v>
          </cell>
          <cell r="I1262" t="str">
            <v>-</v>
          </cell>
          <cell r="J1262">
            <v>29743</v>
          </cell>
          <cell r="K1262">
            <v>13.3</v>
          </cell>
          <cell r="L1262">
            <v>0.1</v>
          </cell>
          <cell r="M1262">
            <v>1.9541666666666666</v>
          </cell>
          <cell r="N1262">
            <v>2014</v>
          </cell>
          <cell r="O1262">
            <v>217</v>
          </cell>
          <cell r="P1262">
            <v>6</v>
          </cell>
        </row>
        <row r="1263">
          <cell r="B1263" t="str">
            <v>National Chiao Tung University</v>
          </cell>
          <cell r="C1263" t="str">
            <v>Taiwan</v>
          </cell>
          <cell r="D1263" t="str">
            <v>251-275</v>
          </cell>
          <cell r="E1263">
            <v>28.9</v>
          </cell>
          <cell r="F1263">
            <v>42.1</v>
          </cell>
          <cell r="G1263">
            <v>37.299999999999997</v>
          </cell>
          <cell r="H1263">
            <v>99.5</v>
          </cell>
          <cell r="I1263" t="str">
            <v>-</v>
          </cell>
          <cell r="J1263">
            <v>12646</v>
          </cell>
          <cell r="K1263">
            <v>16.600000000000001</v>
          </cell>
          <cell r="L1263">
            <v>0.05</v>
          </cell>
          <cell r="M1263" t="str">
            <v>27 : 73</v>
          </cell>
          <cell r="N1263">
            <v>2014</v>
          </cell>
          <cell r="O1263">
            <v>411</v>
          </cell>
          <cell r="P1263">
            <v>3</v>
          </cell>
        </row>
        <row r="1264">
          <cell r="B1264" t="str">
            <v>National Tsing Hua University</v>
          </cell>
          <cell r="C1264" t="str">
            <v>Taiwan</v>
          </cell>
          <cell r="D1264" t="str">
            <v>251-275</v>
          </cell>
          <cell r="E1264">
            <v>21.5</v>
          </cell>
          <cell r="F1264">
            <v>35.4</v>
          </cell>
          <cell r="G1264">
            <v>44.7</v>
          </cell>
          <cell r="H1264">
            <v>43.4</v>
          </cell>
          <cell r="I1264" t="str">
            <v>-</v>
          </cell>
          <cell r="J1264">
            <v>10221</v>
          </cell>
          <cell r="K1264">
            <v>13.5</v>
          </cell>
          <cell r="L1264">
            <v>0.05</v>
          </cell>
          <cell r="M1264" t="str">
            <v>33 : 67</v>
          </cell>
          <cell r="N1264">
            <v>2014</v>
          </cell>
          <cell r="O1264">
            <v>418</v>
          </cell>
          <cell r="P1264">
            <v>4</v>
          </cell>
        </row>
        <row r="1265">
          <cell r="B1265" t="str">
            <v>Norwegian University of Science and Technology</v>
          </cell>
          <cell r="C1265" t="str">
            <v>Norway</v>
          </cell>
          <cell r="D1265" t="str">
            <v>251-275</v>
          </cell>
          <cell r="E1265">
            <v>54.2</v>
          </cell>
          <cell r="F1265">
            <v>26.7</v>
          </cell>
          <cell r="G1265">
            <v>52.9</v>
          </cell>
          <cell r="H1265">
            <v>46.2</v>
          </cell>
          <cell r="I1265" t="str">
            <v>-</v>
          </cell>
          <cell r="J1265">
            <v>17381</v>
          </cell>
          <cell r="K1265">
            <v>13.9</v>
          </cell>
          <cell r="L1265">
            <v>0.09</v>
          </cell>
          <cell r="M1265">
            <v>1.9541666666666666</v>
          </cell>
          <cell r="N1265">
            <v>2014</v>
          </cell>
          <cell r="O1265">
            <v>286</v>
          </cell>
          <cell r="P1265">
            <v>2</v>
          </cell>
        </row>
        <row r="1266">
          <cell r="B1266" t="str">
            <v>Queenâ€™s University Belfast</v>
          </cell>
          <cell r="C1266" t="str">
            <v>United Kingdom</v>
          </cell>
          <cell r="D1266" t="str">
            <v>251-275</v>
          </cell>
          <cell r="E1266">
            <v>87.5</v>
          </cell>
          <cell r="F1266">
            <v>22.8</v>
          </cell>
          <cell r="G1266">
            <v>53.8</v>
          </cell>
          <cell r="H1266">
            <v>48.5</v>
          </cell>
          <cell r="I1266" t="str">
            <v>-</v>
          </cell>
          <cell r="J1266">
            <v>17940</v>
          </cell>
          <cell r="K1266">
            <v>17.899999999999999</v>
          </cell>
          <cell r="L1266">
            <v>0.3</v>
          </cell>
          <cell r="M1266">
            <v>2.2819444444444446</v>
          </cell>
          <cell r="N1266">
            <v>2014</v>
          </cell>
          <cell r="O1266" t="e">
            <v>#N/A</v>
          </cell>
          <cell r="P1266" t="e">
            <v>#N/A</v>
          </cell>
        </row>
        <row r="1267">
          <cell r="B1267" t="str">
            <v>Sharif University of Technology</v>
          </cell>
          <cell r="C1267" t="str">
            <v>Iran</v>
          </cell>
          <cell r="D1267" t="str">
            <v>251-275</v>
          </cell>
          <cell r="E1267">
            <v>20.7</v>
          </cell>
          <cell r="F1267">
            <v>37.200000000000003</v>
          </cell>
          <cell r="G1267">
            <v>49</v>
          </cell>
          <cell r="H1267">
            <v>98.3</v>
          </cell>
          <cell r="I1267" t="str">
            <v>-</v>
          </cell>
          <cell r="J1267">
            <v>10977</v>
          </cell>
          <cell r="K1267">
            <v>18.7</v>
          </cell>
          <cell r="L1267">
            <v>0</v>
          </cell>
          <cell r="M1267" t="str">
            <v>27 : 73</v>
          </cell>
          <cell r="N1267">
            <v>2014</v>
          </cell>
          <cell r="O1267">
            <v>833</v>
          </cell>
          <cell r="P1267">
            <v>2</v>
          </cell>
        </row>
        <row r="1268">
          <cell r="B1268" t="str">
            <v>Swedish University of Agricultural Sciences</v>
          </cell>
          <cell r="C1268" t="str">
            <v>Sweden</v>
          </cell>
          <cell r="D1268" t="str">
            <v>251-275</v>
          </cell>
          <cell r="E1268">
            <v>45.2</v>
          </cell>
          <cell r="F1268">
            <v>23.9</v>
          </cell>
          <cell r="G1268">
            <v>59.3</v>
          </cell>
          <cell r="H1268">
            <v>99.8</v>
          </cell>
          <cell r="I1268" t="str">
            <v>-</v>
          </cell>
          <cell r="J1268">
            <v>3879</v>
          </cell>
          <cell r="K1268">
            <v>4.5999999999999996</v>
          </cell>
          <cell r="M1268">
            <v>2.8145833333333332</v>
          </cell>
          <cell r="N1268">
            <v>2014</v>
          </cell>
          <cell r="O1268">
            <v>433</v>
          </cell>
          <cell r="P1268">
            <v>10</v>
          </cell>
        </row>
        <row r="1269">
          <cell r="B1269" t="str">
            <v>TU Dresden</v>
          </cell>
          <cell r="C1269" t="str">
            <v>Germany</v>
          </cell>
          <cell r="D1269" t="str">
            <v>251-275</v>
          </cell>
          <cell r="E1269">
            <v>49.5</v>
          </cell>
          <cell r="F1269">
            <v>15</v>
          </cell>
          <cell r="G1269">
            <v>71.8</v>
          </cell>
          <cell r="H1269">
            <v>38.4</v>
          </cell>
          <cell r="I1269" t="str">
            <v>-</v>
          </cell>
          <cell r="J1269">
            <v>35487</v>
          </cell>
          <cell r="K1269">
            <v>37.4</v>
          </cell>
          <cell r="L1269">
            <v>0.12</v>
          </cell>
          <cell r="M1269">
            <v>1.7902777777777779</v>
          </cell>
          <cell r="N1269">
            <v>2014</v>
          </cell>
          <cell r="O1269" t="e">
            <v>#N/A</v>
          </cell>
          <cell r="P1269" t="e">
            <v>#N/A</v>
          </cell>
        </row>
        <row r="1270">
          <cell r="B1270" t="str">
            <v>University of Cologne</v>
          </cell>
          <cell r="C1270" t="str">
            <v>Germany</v>
          </cell>
          <cell r="D1270" t="str">
            <v>251-275</v>
          </cell>
          <cell r="E1270">
            <v>53.4</v>
          </cell>
          <cell r="F1270">
            <v>18.7</v>
          </cell>
          <cell r="G1270">
            <v>63.6</v>
          </cell>
          <cell r="H1270" t="str">
            <v>-</v>
          </cell>
          <cell r="I1270" t="str">
            <v>-</v>
          </cell>
          <cell r="J1270">
            <v>43280</v>
          </cell>
          <cell r="K1270">
            <v>43.4</v>
          </cell>
          <cell r="L1270">
            <v>0.11</v>
          </cell>
          <cell r="M1270">
            <v>2.5277777777777777</v>
          </cell>
          <cell r="N1270">
            <v>2014</v>
          </cell>
          <cell r="O1270">
            <v>199</v>
          </cell>
          <cell r="P1270">
            <v>12</v>
          </cell>
        </row>
        <row r="1271">
          <cell r="B1271" t="str">
            <v>University of Essex</v>
          </cell>
          <cell r="C1271" t="str">
            <v>United Kingdom</v>
          </cell>
          <cell r="D1271" t="str">
            <v>251-275</v>
          </cell>
          <cell r="E1271">
            <v>82.4</v>
          </cell>
          <cell r="F1271">
            <v>30.5</v>
          </cell>
          <cell r="G1271">
            <v>47.6</v>
          </cell>
          <cell r="H1271">
            <v>32.700000000000003</v>
          </cell>
          <cell r="I1271" t="str">
            <v>-</v>
          </cell>
          <cell r="J1271">
            <v>12695</v>
          </cell>
          <cell r="K1271">
            <v>19.8</v>
          </cell>
          <cell r="L1271">
            <v>0.39</v>
          </cell>
          <cell r="M1271">
            <v>2.3229166666666665</v>
          </cell>
          <cell r="N1271">
            <v>2014</v>
          </cell>
          <cell r="O1271">
            <v>563</v>
          </cell>
          <cell r="P1271">
            <v>44</v>
          </cell>
        </row>
        <row r="1272">
          <cell r="B1272" t="str">
            <v>University of Iceland</v>
          </cell>
          <cell r="C1272" t="str">
            <v>Iceland</v>
          </cell>
          <cell r="D1272" t="str">
            <v>251-275</v>
          </cell>
          <cell r="E1272">
            <v>59.9</v>
          </cell>
          <cell r="F1272">
            <v>24.3</v>
          </cell>
          <cell r="G1272">
            <v>71.099999999999994</v>
          </cell>
          <cell r="H1272">
            <v>78.5</v>
          </cell>
          <cell r="I1272" t="str">
            <v>-</v>
          </cell>
          <cell r="J1272">
            <v>13960</v>
          </cell>
          <cell r="K1272">
            <v>25.9</v>
          </cell>
          <cell r="L1272">
            <v>0.08</v>
          </cell>
          <cell r="M1272">
            <v>2.7736111111111112</v>
          </cell>
          <cell r="N1272">
            <v>2014</v>
          </cell>
          <cell r="O1272">
            <v>516</v>
          </cell>
          <cell r="P1272">
            <v>1</v>
          </cell>
        </row>
        <row r="1273">
          <cell r="B1273" t="str">
            <v>University of Nebraska-Lincoln</v>
          </cell>
          <cell r="C1273" t="str">
            <v>United States of America</v>
          </cell>
          <cell r="D1273" t="str">
            <v>251-275</v>
          </cell>
          <cell r="E1273">
            <v>42</v>
          </cell>
          <cell r="F1273">
            <v>30</v>
          </cell>
          <cell r="G1273">
            <v>52.4</v>
          </cell>
          <cell r="H1273">
            <v>34.200000000000003</v>
          </cell>
          <cell r="I1273" t="str">
            <v>-</v>
          </cell>
          <cell r="J1273">
            <v>21789</v>
          </cell>
          <cell r="K1273">
            <v>16.399999999999999</v>
          </cell>
          <cell r="L1273">
            <v>0.09</v>
          </cell>
          <cell r="M1273">
            <v>1.9541666666666666</v>
          </cell>
          <cell r="N1273">
            <v>2014</v>
          </cell>
          <cell r="O1273" t="e">
            <v>#N/A</v>
          </cell>
          <cell r="P1273" t="e">
            <v>#N/A</v>
          </cell>
        </row>
        <row r="1274">
          <cell r="B1274" t="str">
            <v>University of Newcastle</v>
          </cell>
          <cell r="C1274" t="str">
            <v>Australia</v>
          </cell>
          <cell r="D1274" t="str">
            <v>251-275</v>
          </cell>
          <cell r="E1274">
            <v>70.5</v>
          </cell>
          <cell r="F1274">
            <v>28.2</v>
          </cell>
          <cell r="G1274">
            <v>58</v>
          </cell>
          <cell r="H1274">
            <v>74.2</v>
          </cell>
          <cell r="I1274" t="str">
            <v>-</v>
          </cell>
          <cell r="J1274">
            <v>23508</v>
          </cell>
          <cell r="K1274">
            <v>21.9</v>
          </cell>
          <cell r="L1274">
            <v>0.18</v>
          </cell>
          <cell r="M1274">
            <v>2.3638888888888889</v>
          </cell>
          <cell r="N1274">
            <v>2014</v>
          </cell>
          <cell r="O1274">
            <v>546</v>
          </cell>
          <cell r="P1274">
            <v>12</v>
          </cell>
        </row>
        <row r="1275">
          <cell r="B1275" t="str">
            <v>University of Pavia</v>
          </cell>
          <cell r="C1275" t="str">
            <v>Italy</v>
          </cell>
          <cell r="D1275" t="str">
            <v>251-275</v>
          </cell>
          <cell r="E1275">
            <v>40.5</v>
          </cell>
          <cell r="F1275">
            <v>20</v>
          </cell>
          <cell r="G1275">
            <v>66.7</v>
          </cell>
          <cell r="H1275">
            <v>63.3</v>
          </cell>
          <cell r="I1275" t="str">
            <v>-</v>
          </cell>
          <cell r="J1275">
            <v>22958</v>
          </cell>
          <cell r="K1275">
            <v>40.6</v>
          </cell>
          <cell r="L1275">
            <v>0.06</v>
          </cell>
          <cell r="M1275">
            <v>2.3638888888888889</v>
          </cell>
          <cell r="N1275">
            <v>2014</v>
          </cell>
          <cell r="O1275">
            <v>344</v>
          </cell>
          <cell r="P1275">
            <v>12</v>
          </cell>
        </row>
        <row r="1276">
          <cell r="B1276" t="str">
            <v>University of South Carolina</v>
          </cell>
          <cell r="C1276" t="str">
            <v>United States of America</v>
          </cell>
          <cell r="D1276" t="str">
            <v>251-275</v>
          </cell>
          <cell r="E1276">
            <v>34.4</v>
          </cell>
          <cell r="F1276">
            <v>27.9</v>
          </cell>
          <cell r="G1276">
            <v>56.2</v>
          </cell>
          <cell r="H1276">
            <v>31.5</v>
          </cell>
          <cell r="I1276" t="str">
            <v>-</v>
          </cell>
          <cell r="J1276">
            <v>29336</v>
          </cell>
          <cell r="K1276">
            <v>16.3</v>
          </cell>
          <cell r="L1276">
            <v>0.01</v>
          </cell>
          <cell r="M1276">
            <v>2.3229166666666665</v>
          </cell>
          <cell r="N1276">
            <v>2014</v>
          </cell>
          <cell r="O1276" t="e">
            <v>#N/A</v>
          </cell>
          <cell r="P1276" t="e">
            <v>#N/A</v>
          </cell>
        </row>
        <row r="1277">
          <cell r="B1277" t="str">
            <v>University of the Andes, Colombia</v>
          </cell>
          <cell r="C1277" t="str">
            <v>Colombia</v>
          </cell>
          <cell r="D1277" t="str">
            <v>251-275</v>
          </cell>
          <cell r="E1277">
            <v>55.7</v>
          </cell>
          <cell r="F1277">
            <v>10.5</v>
          </cell>
          <cell r="G1277">
            <v>89.3</v>
          </cell>
          <cell r="H1277">
            <v>30.6</v>
          </cell>
          <cell r="I1277" t="str">
            <v>-</v>
          </cell>
          <cell r="J1277">
            <v>15773</v>
          </cell>
          <cell r="K1277">
            <v>16.899999999999999</v>
          </cell>
          <cell r="L1277">
            <v>0.02</v>
          </cell>
          <cell r="M1277">
            <v>1.8722222222222222</v>
          </cell>
          <cell r="N1277">
            <v>2014</v>
          </cell>
          <cell r="O1277" t="e">
            <v>#N/A</v>
          </cell>
          <cell r="P1277" t="e">
            <v>#N/A</v>
          </cell>
        </row>
        <row r="1278">
          <cell r="B1278" t="str">
            <v>Vrije Universiteit Brussel</v>
          </cell>
          <cell r="C1278" t="str">
            <v>Belgium</v>
          </cell>
          <cell r="D1278" t="str">
            <v>251-275</v>
          </cell>
          <cell r="E1278">
            <v>54.4</v>
          </cell>
          <cell r="F1278">
            <v>24.9</v>
          </cell>
          <cell r="G1278">
            <v>59.3</v>
          </cell>
          <cell r="H1278">
            <v>44.7</v>
          </cell>
          <cell r="I1278" t="str">
            <v>-</v>
          </cell>
          <cell r="J1278">
            <v>9020</v>
          </cell>
          <cell r="K1278">
            <v>17.100000000000001</v>
          </cell>
          <cell r="L1278">
            <v>0.16</v>
          </cell>
          <cell r="M1278">
            <v>2.3229166666666665</v>
          </cell>
          <cell r="N1278">
            <v>2014</v>
          </cell>
          <cell r="O1278">
            <v>248</v>
          </cell>
          <cell r="P1278">
            <v>5</v>
          </cell>
        </row>
        <row r="1279">
          <cell r="B1279" t="str">
            <v>Carleton University</v>
          </cell>
          <cell r="C1279" t="str">
            <v>Canada</v>
          </cell>
          <cell r="D1279" t="str">
            <v>276-300</v>
          </cell>
          <cell r="E1279">
            <v>57.5</v>
          </cell>
          <cell r="F1279">
            <v>24.1</v>
          </cell>
          <cell r="G1279">
            <v>66.7</v>
          </cell>
          <cell r="H1279" t="str">
            <v>-</v>
          </cell>
          <cell r="I1279" t="str">
            <v>-</v>
          </cell>
          <cell r="J1279">
            <v>25036</v>
          </cell>
          <cell r="K1279">
            <v>29.8</v>
          </cell>
          <cell r="L1279">
            <v>0.18</v>
          </cell>
          <cell r="M1279">
            <v>1.9951388888888888</v>
          </cell>
          <cell r="N1279">
            <v>2014</v>
          </cell>
          <cell r="O1279">
            <v>627</v>
          </cell>
          <cell r="P1279">
            <v>22</v>
          </cell>
        </row>
        <row r="1280">
          <cell r="B1280" t="str">
            <v>Chalmers University of Technology</v>
          </cell>
          <cell r="C1280" t="str">
            <v>Sweden</v>
          </cell>
          <cell r="D1280" t="str">
            <v>276-300</v>
          </cell>
          <cell r="E1280">
            <v>61.5</v>
          </cell>
          <cell r="F1280">
            <v>34.799999999999997</v>
          </cell>
          <cell r="G1280">
            <v>44.3</v>
          </cell>
          <cell r="H1280">
            <v>77.3</v>
          </cell>
          <cell r="I1280" t="str">
            <v>-</v>
          </cell>
          <cell r="J1280">
            <v>8605</v>
          </cell>
          <cell r="K1280">
            <v>11.6</v>
          </cell>
          <cell r="L1280">
            <v>0.15</v>
          </cell>
          <cell r="M1280" t="str">
            <v>30 : 70</v>
          </cell>
          <cell r="N1280">
            <v>2014</v>
          </cell>
          <cell r="O1280">
            <v>395</v>
          </cell>
          <cell r="P1280">
            <v>9</v>
          </cell>
        </row>
        <row r="1281">
          <cell r="B1281" t="str">
            <v>Colorado State University</v>
          </cell>
          <cell r="C1281" t="str">
            <v>United States of America</v>
          </cell>
          <cell r="D1281" t="str">
            <v>276-300</v>
          </cell>
          <cell r="E1281">
            <v>31.4</v>
          </cell>
          <cell r="F1281">
            <v>29.8</v>
          </cell>
          <cell r="G1281">
            <v>57.4</v>
          </cell>
          <cell r="H1281">
            <v>38.5</v>
          </cell>
          <cell r="I1281" t="str">
            <v>-</v>
          </cell>
          <cell r="J1281">
            <v>26769</v>
          </cell>
          <cell r="K1281">
            <v>19</v>
          </cell>
          <cell r="L1281">
            <v>0.05</v>
          </cell>
          <cell r="M1281">
            <v>2.2000000000000002</v>
          </cell>
          <cell r="N1281">
            <v>2014</v>
          </cell>
          <cell r="O1281" t="e">
            <v>#N/A</v>
          </cell>
          <cell r="P1281" t="e">
            <v>#N/A</v>
          </cell>
        </row>
        <row r="1282">
          <cell r="B1282" t="str">
            <v>Creighton University</v>
          </cell>
          <cell r="C1282" t="str">
            <v>United States of America</v>
          </cell>
          <cell r="D1282" t="str">
            <v>276-300</v>
          </cell>
          <cell r="E1282">
            <v>21.7</v>
          </cell>
          <cell r="F1282">
            <v>10.9</v>
          </cell>
          <cell r="G1282">
            <v>68.2</v>
          </cell>
          <cell r="H1282" t="str">
            <v>-</v>
          </cell>
          <cell r="I1282" t="str">
            <v>-</v>
          </cell>
          <cell r="J1282">
            <v>7086</v>
          </cell>
          <cell r="K1282">
            <v>8.3000000000000007</v>
          </cell>
          <cell r="L1282">
            <v>0.02</v>
          </cell>
          <cell r="M1282">
            <v>2.4048611111111109</v>
          </cell>
          <cell r="N1282">
            <v>2014</v>
          </cell>
          <cell r="O1282">
            <v>490</v>
          </cell>
          <cell r="P1282">
            <v>160</v>
          </cell>
        </row>
        <row r="1283">
          <cell r="B1283" t="str">
            <v>KoÃ§ University</v>
          </cell>
          <cell r="C1283" t="str">
            <v>Turkey</v>
          </cell>
          <cell r="D1283" t="str">
            <v>276-300</v>
          </cell>
          <cell r="E1283">
            <v>57.8</v>
          </cell>
          <cell r="F1283">
            <v>17.100000000000001</v>
          </cell>
          <cell r="G1283">
            <v>72.099999999999994</v>
          </cell>
          <cell r="H1283">
            <v>41.1</v>
          </cell>
          <cell r="I1283" t="str">
            <v>-</v>
          </cell>
          <cell r="J1283">
            <v>4488</v>
          </cell>
          <cell r="K1283">
            <v>14.6</v>
          </cell>
          <cell r="L1283">
            <v>0.08</v>
          </cell>
          <cell r="M1283">
            <v>2.2000000000000002</v>
          </cell>
          <cell r="N1283">
            <v>2014</v>
          </cell>
          <cell r="O1283" t="e">
            <v>#N/A</v>
          </cell>
          <cell r="P1283" t="e">
            <v>#N/A</v>
          </cell>
        </row>
        <row r="1284">
          <cell r="B1284" t="str">
            <v>Macquarie University</v>
          </cell>
          <cell r="C1284" t="str">
            <v>Australia</v>
          </cell>
          <cell r="D1284" t="str">
            <v>276-300</v>
          </cell>
          <cell r="E1284">
            <v>91.1</v>
          </cell>
          <cell r="F1284">
            <v>23.8</v>
          </cell>
          <cell r="G1284">
            <v>54.2</v>
          </cell>
          <cell r="H1284">
            <v>37.9</v>
          </cell>
          <cell r="I1284" t="str">
            <v>-</v>
          </cell>
          <cell r="J1284">
            <v>27930</v>
          </cell>
          <cell r="K1284">
            <v>20</v>
          </cell>
          <cell r="L1284">
            <v>0.44</v>
          </cell>
          <cell r="M1284">
            <v>2.3229166666666665</v>
          </cell>
          <cell r="N1284">
            <v>2014</v>
          </cell>
          <cell r="O1284">
            <v>486</v>
          </cell>
          <cell r="P1284">
            <v>9</v>
          </cell>
        </row>
        <row r="1285">
          <cell r="B1285" t="str">
            <v>Plymouth University</v>
          </cell>
          <cell r="C1285" t="str">
            <v>United Kingdom</v>
          </cell>
          <cell r="D1285" t="str">
            <v>276-300</v>
          </cell>
          <cell r="E1285">
            <v>48.3</v>
          </cell>
          <cell r="F1285">
            <v>16</v>
          </cell>
          <cell r="G1285">
            <v>75.400000000000006</v>
          </cell>
          <cell r="H1285">
            <v>28.9</v>
          </cell>
          <cell r="I1285" t="str">
            <v>-</v>
          </cell>
          <cell r="J1285">
            <v>24121</v>
          </cell>
          <cell r="K1285">
            <v>25.9</v>
          </cell>
          <cell r="L1285">
            <v>0.13</v>
          </cell>
          <cell r="M1285">
            <v>2.2000000000000002</v>
          </cell>
          <cell r="N1285">
            <v>2014</v>
          </cell>
          <cell r="O1285">
            <v>577</v>
          </cell>
          <cell r="P1285">
            <v>45</v>
          </cell>
        </row>
        <row r="1286">
          <cell r="B1286" t="str">
            <v>Polytechnic University of Milan</v>
          </cell>
          <cell r="C1286" t="str">
            <v>Italy</v>
          </cell>
          <cell r="D1286" t="str">
            <v>276-300</v>
          </cell>
          <cell r="E1286">
            <v>36.4</v>
          </cell>
          <cell r="F1286">
            <v>25</v>
          </cell>
          <cell r="G1286">
            <v>56.3</v>
          </cell>
          <cell r="H1286">
            <v>75.900000000000006</v>
          </cell>
          <cell r="I1286" t="str">
            <v>-</v>
          </cell>
          <cell r="J1286">
            <v>30025</v>
          </cell>
          <cell r="K1286">
            <v>22.2</v>
          </cell>
          <cell r="L1286">
            <v>0.12</v>
          </cell>
          <cell r="M1286" t="str">
            <v>34 : 66</v>
          </cell>
          <cell r="N1286">
            <v>2014</v>
          </cell>
          <cell r="O1286">
            <v>389</v>
          </cell>
          <cell r="P1286">
            <v>19</v>
          </cell>
        </row>
        <row r="1287">
          <cell r="B1287" t="str">
            <v>Queensland University of Technology</v>
          </cell>
          <cell r="C1287" t="str">
            <v>Australia</v>
          </cell>
          <cell r="D1287" t="str">
            <v>276-300</v>
          </cell>
          <cell r="E1287">
            <v>67.900000000000006</v>
          </cell>
          <cell r="F1287">
            <v>32.299999999999997</v>
          </cell>
          <cell r="G1287">
            <v>44</v>
          </cell>
          <cell r="H1287">
            <v>65.3</v>
          </cell>
          <cell r="I1287" t="str">
            <v>-</v>
          </cell>
          <cell r="J1287">
            <v>33391</v>
          </cell>
          <cell r="K1287">
            <v>35.799999999999997</v>
          </cell>
          <cell r="L1287">
            <v>0.17</v>
          </cell>
          <cell r="M1287">
            <v>2.2819444444444446</v>
          </cell>
          <cell r="N1287">
            <v>2014</v>
          </cell>
          <cell r="O1287">
            <v>605</v>
          </cell>
          <cell r="P1287">
            <v>14</v>
          </cell>
        </row>
        <row r="1288">
          <cell r="B1288" t="str">
            <v>Tokyo Medical and Dental University (TMDU)</v>
          </cell>
          <cell r="C1288" t="str">
            <v>Japan</v>
          </cell>
          <cell r="D1288" t="str">
            <v>276-300</v>
          </cell>
          <cell r="E1288">
            <v>22</v>
          </cell>
          <cell r="F1288">
            <v>21.1</v>
          </cell>
          <cell r="G1288">
            <v>52</v>
          </cell>
          <cell r="H1288">
            <v>46.6</v>
          </cell>
          <cell r="I1288" t="str">
            <v>-</v>
          </cell>
          <cell r="J1288">
            <v>2872</v>
          </cell>
          <cell r="K1288">
            <v>3.3</v>
          </cell>
          <cell r="L1288">
            <v>7.0000000000000007E-2</v>
          </cell>
          <cell r="M1288">
            <v>2.1590277777777778</v>
          </cell>
          <cell r="N1288">
            <v>2014</v>
          </cell>
          <cell r="O1288" t="e">
            <v>#N/A</v>
          </cell>
          <cell r="P1288" t="e">
            <v>#N/A</v>
          </cell>
        </row>
        <row r="1289">
          <cell r="B1289" t="str">
            <v>University College Cork</v>
          </cell>
          <cell r="C1289" t="str">
            <v>Republic of Ireland</v>
          </cell>
          <cell r="D1289" t="str">
            <v>276-300</v>
          </cell>
          <cell r="E1289">
            <v>67.099999999999994</v>
          </cell>
          <cell r="F1289">
            <v>20.100000000000001</v>
          </cell>
          <cell r="G1289">
            <v>56.8</v>
          </cell>
          <cell r="H1289">
            <v>50</v>
          </cell>
          <cell r="I1289" t="str">
            <v>-</v>
          </cell>
          <cell r="J1289">
            <v>15805</v>
          </cell>
          <cell r="K1289">
            <v>22.3</v>
          </cell>
          <cell r="L1289">
            <v>0.15</v>
          </cell>
          <cell r="M1289">
            <v>2.3229166666666665</v>
          </cell>
          <cell r="N1289">
            <v>2014</v>
          </cell>
          <cell r="O1289">
            <v>463</v>
          </cell>
          <cell r="P1289">
            <v>3</v>
          </cell>
        </row>
        <row r="1290">
          <cell r="B1290" t="str">
            <v>University of Alaska Fairbanks</v>
          </cell>
          <cell r="C1290" t="str">
            <v>United States of America</v>
          </cell>
          <cell r="D1290" t="str">
            <v>276-300</v>
          </cell>
          <cell r="E1290">
            <v>38.200000000000003</v>
          </cell>
          <cell r="F1290">
            <v>25.5</v>
          </cell>
          <cell r="G1290">
            <v>57.4</v>
          </cell>
          <cell r="H1290">
            <v>52.5</v>
          </cell>
          <cell r="I1290" t="str">
            <v>-</v>
          </cell>
          <cell r="J1290">
            <v>3837</v>
          </cell>
          <cell r="K1290">
            <v>8.1999999999999993</v>
          </cell>
          <cell r="L1290">
            <v>7.0000000000000007E-2</v>
          </cell>
          <cell r="M1290">
            <v>2.2409722222222221</v>
          </cell>
          <cell r="N1290">
            <v>2014</v>
          </cell>
          <cell r="O1290">
            <v>621</v>
          </cell>
          <cell r="P1290">
            <v>180</v>
          </cell>
        </row>
        <row r="1291">
          <cell r="B1291" t="str">
            <v>University of Bath</v>
          </cell>
          <cell r="C1291" t="str">
            <v>United Kingdom</v>
          </cell>
          <cell r="D1291" t="str">
            <v>276-300</v>
          </cell>
          <cell r="E1291">
            <v>77.400000000000006</v>
          </cell>
          <cell r="F1291">
            <v>25.2</v>
          </cell>
          <cell r="G1291">
            <v>50.1</v>
          </cell>
          <cell r="H1291">
            <v>35</v>
          </cell>
          <cell r="I1291" t="str">
            <v>-</v>
          </cell>
          <cell r="J1291">
            <v>12830</v>
          </cell>
          <cell r="K1291">
            <v>18.8</v>
          </cell>
          <cell r="L1291">
            <v>0.3</v>
          </cell>
          <cell r="M1291">
            <v>1.9541666666666666</v>
          </cell>
          <cell r="N1291">
            <v>2014</v>
          </cell>
          <cell r="O1291">
            <v>421</v>
          </cell>
          <cell r="P1291">
            <v>37</v>
          </cell>
        </row>
        <row r="1292">
          <cell r="B1292" t="str">
            <v>University of Bologna</v>
          </cell>
          <cell r="C1292" t="str">
            <v>Italy</v>
          </cell>
          <cell r="D1292" t="str">
            <v>276-300</v>
          </cell>
          <cell r="E1292">
            <v>40.700000000000003</v>
          </cell>
          <cell r="F1292">
            <v>18.600000000000001</v>
          </cell>
          <cell r="G1292">
            <v>64.2</v>
          </cell>
          <cell r="H1292">
            <v>33.5</v>
          </cell>
          <cell r="I1292" t="str">
            <v>-</v>
          </cell>
          <cell r="J1292">
            <v>85532</v>
          </cell>
          <cell r="K1292">
            <v>22.9</v>
          </cell>
          <cell r="L1292">
            <v>7.0000000000000007E-2</v>
          </cell>
          <cell r="M1292">
            <v>2.3638888888888889</v>
          </cell>
          <cell r="N1292">
            <v>2014</v>
          </cell>
          <cell r="O1292">
            <v>219</v>
          </cell>
          <cell r="P1292">
            <v>4</v>
          </cell>
        </row>
        <row r="1293">
          <cell r="B1293" t="str">
            <v>University of Fribourg</v>
          </cell>
          <cell r="C1293" t="str">
            <v>Switzerland</v>
          </cell>
          <cell r="D1293" t="str">
            <v>276-300</v>
          </cell>
          <cell r="E1293">
            <v>84.5</v>
          </cell>
          <cell r="F1293">
            <v>16.3</v>
          </cell>
          <cell r="G1293">
            <v>57.6</v>
          </cell>
          <cell r="H1293">
            <v>30.6</v>
          </cell>
          <cell r="I1293" t="str">
            <v>-</v>
          </cell>
          <cell r="J1293">
            <v>10416</v>
          </cell>
          <cell r="K1293">
            <v>46.9</v>
          </cell>
          <cell r="L1293">
            <v>0.19</v>
          </cell>
          <cell r="M1293">
            <v>2.4458333333333333</v>
          </cell>
          <cell r="N1293">
            <v>2014</v>
          </cell>
          <cell r="O1293">
            <v>514</v>
          </cell>
          <cell r="P1293">
            <v>8</v>
          </cell>
        </row>
        <row r="1294">
          <cell r="B1294" t="str">
            <v>University of Georgia</v>
          </cell>
          <cell r="C1294" t="str">
            <v>United States of America</v>
          </cell>
          <cell r="D1294" t="str">
            <v>276-300</v>
          </cell>
          <cell r="E1294">
            <v>35</v>
          </cell>
          <cell r="F1294">
            <v>28.9</v>
          </cell>
          <cell r="G1294">
            <v>46.1</v>
          </cell>
          <cell r="H1294">
            <v>30.7</v>
          </cell>
          <cell r="I1294" t="str">
            <v>-</v>
          </cell>
          <cell r="J1294">
            <v>33119</v>
          </cell>
          <cell r="K1294">
            <v>19.899999999999999</v>
          </cell>
          <cell r="L1294">
            <v>7.0000000000000007E-2</v>
          </cell>
          <cell r="M1294">
            <v>2.4048611111111109</v>
          </cell>
          <cell r="N1294">
            <v>2014</v>
          </cell>
          <cell r="O1294">
            <v>207</v>
          </cell>
          <cell r="P1294">
            <v>87</v>
          </cell>
        </row>
        <row r="1295">
          <cell r="B1295" t="str">
            <v>University of Kansas</v>
          </cell>
          <cell r="C1295" t="str">
            <v>United States of America</v>
          </cell>
          <cell r="D1295" t="str">
            <v>276-300</v>
          </cell>
          <cell r="E1295">
            <v>33.6</v>
          </cell>
          <cell r="F1295">
            <v>19.8</v>
          </cell>
          <cell r="G1295">
            <v>59.9</v>
          </cell>
          <cell r="H1295">
            <v>35.9</v>
          </cell>
          <cell r="I1295" t="str">
            <v>-</v>
          </cell>
          <cell r="N1295">
            <v>2014</v>
          </cell>
          <cell r="O1295">
            <v>203</v>
          </cell>
          <cell r="P1295">
            <v>86</v>
          </cell>
        </row>
        <row r="1296">
          <cell r="B1296" t="str">
            <v>University of Milan</v>
          </cell>
          <cell r="C1296" t="str">
            <v>Italy</v>
          </cell>
          <cell r="D1296" t="str">
            <v>276-300</v>
          </cell>
          <cell r="E1296">
            <v>35.6</v>
          </cell>
          <cell r="F1296">
            <v>19.8</v>
          </cell>
          <cell r="G1296">
            <v>65.5</v>
          </cell>
          <cell r="H1296">
            <v>39</v>
          </cell>
          <cell r="I1296" t="str">
            <v>-</v>
          </cell>
          <cell r="J1296">
            <v>58618</v>
          </cell>
          <cell r="K1296">
            <v>24.3</v>
          </cell>
          <cell r="L1296">
            <v>0.05</v>
          </cell>
          <cell r="M1296">
            <v>2.5277777777777777</v>
          </cell>
          <cell r="N1296">
            <v>2014</v>
          </cell>
          <cell r="O1296">
            <v>181</v>
          </cell>
          <cell r="P1296">
            <v>2</v>
          </cell>
        </row>
        <row r="1297">
          <cell r="B1297" t="str">
            <v>University of Montana</v>
          </cell>
          <cell r="C1297" t="str">
            <v>United States of America</v>
          </cell>
          <cell r="D1297" t="str">
            <v>276-300</v>
          </cell>
          <cell r="E1297">
            <v>22.6</v>
          </cell>
          <cell r="F1297">
            <v>15</v>
          </cell>
          <cell r="G1297">
            <v>74.599999999999994</v>
          </cell>
          <cell r="H1297">
            <v>34.5</v>
          </cell>
          <cell r="I1297" t="str">
            <v>-</v>
          </cell>
          <cell r="J1297">
            <v>12470</v>
          </cell>
          <cell r="K1297">
            <v>15.2</v>
          </cell>
          <cell r="L1297">
            <v>0.03</v>
          </cell>
          <cell r="M1297">
            <v>2.2819444444444446</v>
          </cell>
          <cell r="N1297">
            <v>2014</v>
          </cell>
          <cell r="O1297" t="e">
            <v>#N/A</v>
          </cell>
          <cell r="P1297" t="e">
            <v>#N/A</v>
          </cell>
        </row>
        <row r="1298">
          <cell r="B1298" t="str">
            <v>University of South Florida</v>
          </cell>
          <cell r="C1298" t="str">
            <v>United States of America</v>
          </cell>
          <cell r="D1298" t="str">
            <v>276-300</v>
          </cell>
          <cell r="E1298">
            <v>38.5</v>
          </cell>
          <cell r="F1298">
            <v>31.1</v>
          </cell>
          <cell r="G1298">
            <v>52.4</v>
          </cell>
          <cell r="H1298">
            <v>95</v>
          </cell>
          <cell r="I1298" t="str">
            <v>-</v>
          </cell>
          <cell r="J1298">
            <v>31424</v>
          </cell>
          <cell r="K1298">
            <v>21.5</v>
          </cell>
          <cell r="L1298">
            <v>0.1</v>
          </cell>
          <cell r="N1298">
            <v>2014</v>
          </cell>
          <cell r="O1298" t="e">
            <v>#N/A</v>
          </cell>
          <cell r="P1298" t="e">
            <v>#N/A</v>
          </cell>
        </row>
        <row r="1299">
          <cell r="B1299" t="str">
            <v>University of Southern Denmark</v>
          </cell>
          <cell r="C1299" t="str">
            <v>Denmark</v>
          </cell>
          <cell r="D1299" t="str">
            <v>276-300</v>
          </cell>
          <cell r="E1299">
            <v>66.400000000000006</v>
          </cell>
          <cell r="F1299">
            <v>18.3</v>
          </cell>
          <cell r="G1299">
            <v>64.7</v>
          </cell>
          <cell r="H1299">
            <v>70.900000000000006</v>
          </cell>
          <cell r="I1299" t="str">
            <v>-</v>
          </cell>
          <cell r="J1299">
            <v>22210</v>
          </cell>
          <cell r="K1299">
            <v>12.7</v>
          </cell>
          <cell r="L1299">
            <v>0.16</v>
          </cell>
          <cell r="M1299">
            <v>2.2000000000000002</v>
          </cell>
          <cell r="N1299">
            <v>2014</v>
          </cell>
          <cell r="O1299">
            <v>352</v>
          </cell>
          <cell r="P1299">
            <v>4</v>
          </cell>
        </row>
        <row r="1300">
          <cell r="B1300" t="str">
            <v>University of Wollongong</v>
          </cell>
          <cell r="C1300" t="str">
            <v>Australia</v>
          </cell>
          <cell r="D1300" t="str">
            <v>276-300</v>
          </cell>
          <cell r="E1300">
            <v>83.9</v>
          </cell>
          <cell r="F1300">
            <v>25.2</v>
          </cell>
          <cell r="G1300">
            <v>49.1</v>
          </cell>
          <cell r="H1300">
            <v>59.6</v>
          </cell>
          <cell r="I1300" t="str">
            <v>-</v>
          </cell>
          <cell r="J1300">
            <v>16489</v>
          </cell>
          <cell r="K1300">
            <v>25.4</v>
          </cell>
          <cell r="L1300">
            <v>0.24</v>
          </cell>
          <cell r="M1300">
            <v>2.1180555555555554</v>
          </cell>
          <cell r="N1300">
            <v>2014</v>
          </cell>
          <cell r="O1300">
            <v>506</v>
          </cell>
          <cell r="P1300">
            <v>10</v>
          </cell>
        </row>
        <row r="1301">
          <cell r="B1301" t="str">
            <v>Victoria University of Wellington</v>
          </cell>
          <cell r="C1301" t="str">
            <v>New Zealand</v>
          </cell>
          <cell r="D1301" t="str">
            <v>276-300</v>
          </cell>
          <cell r="E1301">
            <v>82.9</v>
          </cell>
          <cell r="F1301">
            <v>27.7</v>
          </cell>
          <cell r="G1301">
            <v>52.9</v>
          </cell>
          <cell r="H1301">
            <v>46.4</v>
          </cell>
          <cell r="I1301" t="str">
            <v>-</v>
          </cell>
          <cell r="J1301">
            <v>17142</v>
          </cell>
          <cell r="K1301">
            <v>21.1</v>
          </cell>
          <cell r="L1301">
            <v>0.21</v>
          </cell>
          <cell r="M1301">
            <v>2.3229166666666665</v>
          </cell>
          <cell r="N1301">
            <v>2014</v>
          </cell>
          <cell r="O1301">
            <v>527</v>
          </cell>
          <cell r="P1301">
            <v>4</v>
          </cell>
        </row>
        <row r="1302">
          <cell r="B1302" t="str">
            <v>Virginia Polytechnic Institute and State University</v>
          </cell>
          <cell r="C1302" t="str">
            <v>United States of America</v>
          </cell>
          <cell r="D1302" t="str">
            <v>276-300</v>
          </cell>
          <cell r="E1302">
            <v>27.5</v>
          </cell>
          <cell r="F1302">
            <v>40.4</v>
          </cell>
          <cell r="G1302">
            <v>38.700000000000003</v>
          </cell>
          <cell r="H1302">
            <v>42</v>
          </cell>
          <cell r="I1302" t="str">
            <v>-</v>
          </cell>
          <cell r="J1302">
            <v>30850</v>
          </cell>
          <cell r="K1302">
            <v>18.600000000000001</v>
          </cell>
          <cell r="L1302">
            <v>0.1</v>
          </cell>
          <cell r="M1302">
            <v>1.7902777777777779</v>
          </cell>
          <cell r="N1302">
            <v>2014</v>
          </cell>
          <cell r="O1302">
            <v>271</v>
          </cell>
          <cell r="P1302">
            <v>111</v>
          </cell>
        </row>
        <row r="1303">
          <cell r="B1303" t="str">
            <v>York University</v>
          </cell>
          <cell r="C1303" t="str">
            <v>Canada</v>
          </cell>
          <cell r="D1303" t="str">
            <v>276-300</v>
          </cell>
          <cell r="E1303">
            <v>55.3</v>
          </cell>
          <cell r="F1303">
            <v>28.1</v>
          </cell>
          <cell r="G1303">
            <v>55.5</v>
          </cell>
          <cell r="H1303">
            <v>36.200000000000003</v>
          </cell>
          <cell r="I1303" t="str">
            <v>-</v>
          </cell>
          <cell r="J1303">
            <v>48007</v>
          </cell>
          <cell r="K1303">
            <v>39.4</v>
          </cell>
          <cell r="L1303">
            <v>0.09</v>
          </cell>
          <cell r="M1303">
            <v>2.4868055555555557</v>
          </cell>
          <cell r="N1303">
            <v>2014</v>
          </cell>
          <cell r="O1303">
            <v>398</v>
          </cell>
          <cell r="P1303">
            <v>18</v>
          </cell>
        </row>
        <row r="1304">
          <cell r="B1304" t="str">
            <v>Aalborg University</v>
          </cell>
          <cell r="C1304" t="str">
            <v>Denmark</v>
          </cell>
          <cell r="D1304" t="str">
            <v>301-350</v>
          </cell>
          <cell r="E1304">
            <v>70.8</v>
          </cell>
          <cell r="F1304">
            <v>24.5</v>
          </cell>
          <cell r="G1304">
            <v>46</v>
          </cell>
          <cell r="H1304">
            <v>39.799999999999997</v>
          </cell>
          <cell r="I1304" t="str">
            <v>-</v>
          </cell>
          <cell r="J1304">
            <v>17422</v>
          </cell>
          <cell r="K1304">
            <v>15.9</v>
          </cell>
          <cell r="L1304">
            <v>0.15</v>
          </cell>
          <cell r="M1304">
            <v>2.036111111111111</v>
          </cell>
          <cell r="N1304">
            <v>2014</v>
          </cell>
          <cell r="O1304">
            <v>593</v>
          </cell>
          <cell r="P1304">
            <v>5</v>
          </cell>
        </row>
        <row r="1305">
          <cell r="B1305" t="str">
            <v>Aalto University</v>
          </cell>
          <cell r="C1305" t="str">
            <v>Finland</v>
          </cell>
          <cell r="D1305" t="str">
            <v>301-350</v>
          </cell>
          <cell r="E1305">
            <v>64.3</v>
          </cell>
          <cell r="F1305">
            <v>17</v>
          </cell>
          <cell r="G1305">
            <v>57.4</v>
          </cell>
          <cell r="H1305">
            <v>39.4</v>
          </cell>
          <cell r="I1305" t="str">
            <v>-</v>
          </cell>
          <cell r="J1305">
            <v>16099</v>
          </cell>
          <cell r="K1305">
            <v>24.2</v>
          </cell>
          <cell r="L1305">
            <v>0.17</v>
          </cell>
          <cell r="M1305" t="str">
            <v>32 : 68</v>
          </cell>
          <cell r="N1305">
            <v>2014</v>
          </cell>
          <cell r="O1305">
            <v>392</v>
          </cell>
          <cell r="P1305">
            <v>4</v>
          </cell>
        </row>
        <row r="1306">
          <cell r="B1306" t="str">
            <v>Aberystwyth University</v>
          </cell>
          <cell r="C1306" t="str">
            <v>United Kingdom</v>
          </cell>
          <cell r="D1306" t="str">
            <v>301-350</v>
          </cell>
          <cell r="E1306">
            <v>65.5</v>
          </cell>
          <cell r="F1306">
            <v>17.600000000000001</v>
          </cell>
          <cell r="G1306">
            <v>57.5</v>
          </cell>
          <cell r="H1306">
            <v>32.799999999999997</v>
          </cell>
          <cell r="I1306" t="str">
            <v>-</v>
          </cell>
          <cell r="J1306">
            <v>9252</v>
          </cell>
          <cell r="K1306">
            <v>19.2</v>
          </cell>
          <cell r="L1306">
            <v>0.18</v>
          </cell>
          <cell r="M1306">
            <v>2.036111111111111</v>
          </cell>
          <cell r="N1306">
            <v>2014</v>
          </cell>
          <cell r="O1306">
            <v>800</v>
          </cell>
          <cell r="P1306">
            <v>59</v>
          </cell>
        </row>
        <row r="1307">
          <cell r="B1307" t="str">
            <v>Autonomous University of Madrid</v>
          </cell>
          <cell r="C1307" t="str">
            <v>Spain</v>
          </cell>
          <cell r="D1307" t="str">
            <v>301-350</v>
          </cell>
          <cell r="E1307">
            <v>46</v>
          </cell>
          <cell r="F1307">
            <v>19.399999999999999</v>
          </cell>
          <cell r="G1307">
            <v>55</v>
          </cell>
          <cell r="H1307">
            <v>33.4</v>
          </cell>
          <cell r="I1307" t="str">
            <v>-</v>
          </cell>
          <cell r="J1307">
            <v>28296</v>
          </cell>
          <cell r="K1307">
            <v>13</v>
          </cell>
          <cell r="L1307">
            <v>0.15</v>
          </cell>
          <cell r="M1307">
            <v>2.3638888888888889</v>
          </cell>
          <cell r="N1307">
            <v>2014</v>
          </cell>
          <cell r="O1307">
            <v>309</v>
          </cell>
          <cell r="P1307">
            <v>5</v>
          </cell>
        </row>
        <row r="1308">
          <cell r="B1308" t="str">
            <v>Bangor University</v>
          </cell>
          <cell r="C1308" t="str">
            <v>United Kingdom</v>
          </cell>
          <cell r="D1308" t="str">
            <v>301-350</v>
          </cell>
          <cell r="E1308">
            <v>68.8</v>
          </cell>
          <cell r="F1308">
            <v>23.2</v>
          </cell>
          <cell r="G1308">
            <v>50.1</v>
          </cell>
          <cell r="H1308">
            <v>30.7</v>
          </cell>
          <cell r="I1308" t="str">
            <v>-</v>
          </cell>
          <cell r="J1308">
            <v>9567</v>
          </cell>
          <cell r="K1308">
            <v>19.5</v>
          </cell>
          <cell r="L1308">
            <v>0.22</v>
          </cell>
          <cell r="M1308">
            <v>2.3229166666666665</v>
          </cell>
          <cell r="N1308">
            <v>2014</v>
          </cell>
          <cell r="O1308">
            <v>552</v>
          </cell>
          <cell r="P1308">
            <v>43</v>
          </cell>
        </row>
        <row r="1309">
          <cell r="B1309" t="str">
            <v>Bayreuth University</v>
          </cell>
          <cell r="C1309" t="str">
            <v>Germany</v>
          </cell>
          <cell r="D1309" t="str">
            <v>301-350</v>
          </cell>
          <cell r="E1309">
            <v>54.1</v>
          </cell>
          <cell r="F1309">
            <v>12.7</v>
          </cell>
          <cell r="G1309">
            <v>66</v>
          </cell>
          <cell r="H1309" t="str">
            <v>-</v>
          </cell>
          <cell r="I1309" t="str">
            <v>-</v>
          </cell>
          <cell r="J1309">
            <v>12520</v>
          </cell>
          <cell r="K1309">
            <v>35.5</v>
          </cell>
          <cell r="L1309">
            <v>0.08</v>
          </cell>
          <cell r="M1309">
            <v>1.9541666666666666</v>
          </cell>
          <cell r="N1309">
            <v>2014</v>
          </cell>
          <cell r="O1309" t="e">
            <v>#N/A</v>
          </cell>
          <cell r="P1309" t="e">
            <v>#N/A</v>
          </cell>
        </row>
        <row r="1310">
          <cell r="B1310" t="str">
            <v>Bielefeld University</v>
          </cell>
          <cell r="C1310" t="str">
            <v>Germany</v>
          </cell>
          <cell r="D1310" t="str">
            <v>301-350</v>
          </cell>
          <cell r="E1310">
            <v>46.9</v>
          </cell>
          <cell r="F1310">
            <v>17.899999999999999</v>
          </cell>
          <cell r="G1310">
            <v>59.9</v>
          </cell>
          <cell r="H1310">
            <v>35.799999999999997</v>
          </cell>
          <cell r="I1310" t="str">
            <v>-</v>
          </cell>
          <cell r="J1310">
            <v>21428</v>
          </cell>
          <cell r="K1310">
            <v>67.8</v>
          </cell>
          <cell r="L1310">
            <v>0.08</v>
          </cell>
          <cell r="M1310">
            <v>2.4048611111111109</v>
          </cell>
          <cell r="N1310">
            <v>2014</v>
          </cell>
          <cell r="O1310">
            <v>491</v>
          </cell>
          <cell r="P1310">
            <v>38</v>
          </cell>
        </row>
        <row r="1311">
          <cell r="B1311" t="str">
            <v>Claude Bernard University Lyon 1</v>
          </cell>
          <cell r="C1311" t="str">
            <v>France</v>
          </cell>
          <cell r="D1311" t="str">
            <v>301-350</v>
          </cell>
          <cell r="E1311">
            <v>50.6</v>
          </cell>
          <cell r="F1311">
            <v>16.3</v>
          </cell>
          <cell r="G1311">
            <v>61.4</v>
          </cell>
          <cell r="H1311">
            <v>33.299999999999997</v>
          </cell>
          <cell r="I1311" t="str">
            <v>-</v>
          </cell>
          <cell r="J1311">
            <v>35308</v>
          </cell>
          <cell r="K1311">
            <v>16.100000000000001</v>
          </cell>
          <cell r="L1311">
            <v>0.11</v>
          </cell>
          <cell r="M1311">
            <v>2.1180555555555554</v>
          </cell>
          <cell r="N1311">
            <v>2014</v>
          </cell>
          <cell r="O1311">
            <v>230</v>
          </cell>
          <cell r="P1311">
            <v>10</v>
          </cell>
        </row>
        <row r="1312">
          <cell r="B1312" t="str">
            <v>Deakin University</v>
          </cell>
          <cell r="C1312" t="str">
            <v>Australia</v>
          </cell>
          <cell r="D1312" t="str">
            <v>301-350</v>
          </cell>
          <cell r="E1312">
            <v>73.400000000000006</v>
          </cell>
          <cell r="F1312">
            <v>18.7</v>
          </cell>
          <cell r="G1312">
            <v>54.2</v>
          </cell>
          <cell r="H1312">
            <v>31.1</v>
          </cell>
          <cell r="I1312" t="str">
            <v>-</v>
          </cell>
          <cell r="J1312">
            <v>32713</v>
          </cell>
          <cell r="K1312">
            <v>30.4</v>
          </cell>
          <cell r="L1312">
            <v>0.17</v>
          </cell>
          <cell r="M1312">
            <v>2.5277777777777777</v>
          </cell>
          <cell r="N1312">
            <v>2014</v>
          </cell>
          <cell r="O1312">
            <v>613</v>
          </cell>
          <cell r="P1312">
            <v>17</v>
          </cell>
        </row>
        <row r="1313">
          <cell r="B1313" t="str">
            <v>Drexel University</v>
          </cell>
          <cell r="C1313" t="str">
            <v>United States of America</v>
          </cell>
          <cell r="D1313" t="str">
            <v>301-350</v>
          </cell>
          <cell r="E1313">
            <v>38.200000000000003</v>
          </cell>
          <cell r="F1313">
            <v>15</v>
          </cell>
          <cell r="G1313">
            <v>56.2</v>
          </cell>
          <cell r="H1313">
            <v>32.5</v>
          </cell>
          <cell r="I1313" t="str">
            <v>-</v>
          </cell>
          <cell r="J1313">
            <v>20713</v>
          </cell>
          <cell r="K1313">
            <v>10.8</v>
          </cell>
          <cell r="L1313">
            <v>0.18</v>
          </cell>
          <cell r="M1313">
            <v>2.036111111111111</v>
          </cell>
          <cell r="N1313">
            <v>2014</v>
          </cell>
          <cell r="O1313">
            <v>261</v>
          </cell>
          <cell r="P1313">
            <v>107</v>
          </cell>
        </row>
        <row r="1314">
          <cell r="B1314" t="str">
            <v>Heriot-Watt University</v>
          </cell>
          <cell r="C1314" t="str">
            <v>United Kingdom</v>
          </cell>
          <cell r="D1314" t="str">
            <v>301-350</v>
          </cell>
          <cell r="E1314">
            <v>87.8</v>
          </cell>
          <cell r="F1314">
            <v>20.8</v>
          </cell>
          <cell r="G1314">
            <v>39</v>
          </cell>
          <cell r="H1314">
            <v>44.3</v>
          </cell>
          <cell r="I1314" t="str">
            <v>-</v>
          </cell>
          <cell r="J1314">
            <v>8773</v>
          </cell>
          <cell r="K1314">
            <v>17.8</v>
          </cell>
          <cell r="L1314">
            <v>0.43</v>
          </cell>
          <cell r="M1314">
            <v>1.7493055555555554</v>
          </cell>
          <cell r="N1314">
            <v>2014</v>
          </cell>
          <cell r="O1314">
            <v>703</v>
          </cell>
          <cell r="P1314">
            <v>53</v>
          </cell>
        </row>
        <row r="1315">
          <cell r="B1315" t="str">
            <v>Hokkaido University</v>
          </cell>
          <cell r="C1315" t="str">
            <v>Japan</v>
          </cell>
          <cell r="D1315" t="str">
            <v>301-350</v>
          </cell>
          <cell r="E1315">
            <v>24.6</v>
          </cell>
          <cell r="F1315">
            <v>28.3</v>
          </cell>
          <cell r="G1315">
            <v>32.299999999999997</v>
          </cell>
          <cell r="H1315">
            <v>44.2</v>
          </cell>
          <cell r="I1315" t="str">
            <v>-</v>
          </cell>
          <cell r="J1315">
            <v>18162</v>
          </cell>
          <cell r="K1315">
            <v>8.1999999999999993</v>
          </cell>
          <cell r="L1315">
            <v>0.09</v>
          </cell>
          <cell r="M1315" t="str">
            <v>29 : 71</v>
          </cell>
          <cell r="N1315">
            <v>2014</v>
          </cell>
          <cell r="O1315">
            <v>188</v>
          </cell>
          <cell r="P1315">
            <v>12</v>
          </cell>
        </row>
        <row r="1316">
          <cell r="B1316" t="str">
            <v>Hong Kong Baptist University</v>
          </cell>
          <cell r="C1316" t="str">
            <v>Hong Kong</v>
          </cell>
          <cell r="D1316" t="str">
            <v>301-350</v>
          </cell>
          <cell r="E1316">
            <v>59.5</v>
          </cell>
          <cell r="F1316">
            <v>13.9</v>
          </cell>
          <cell r="G1316">
            <v>65.3</v>
          </cell>
          <cell r="H1316">
            <v>30.2</v>
          </cell>
          <cell r="I1316" t="str">
            <v>-</v>
          </cell>
          <cell r="J1316">
            <v>10441</v>
          </cell>
          <cell r="K1316">
            <v>11</v>
          </cell>
          <cell r="L1316">
            <v>0.25</v>
          </cell>
          <cell r="M1316">
            <v>2.5687500000000001</v>
          </cell>
          <cell r="N1316">
            <v>2014</v>
          </cell>
          <cell r="O1316">
            <v>678</v>
          </cell>
          <cell r="P1316">
            <v>6</v>
          </cell>
        </row>
        <row r="1317">
          <cell r="B1317" t="str">
            <v>Kansas State University</v>
          </cell>
          <cell r="C1317" t="str">
            <v>United States of America</v>
          </cell>
          <cell r="D1317" t="str">
            <v>301-350</v>
          </cell>
          <cell r="E1317">
            <v>34.1</v>
          </cell>
          <cell r="F1317">
            <v>15.5</v>
          </cell>
          <cell r="G1317">
            <v>57.4</v>
          </cell>
          <cell r="H1317">
            <v>38.700000000000003</v>
          </cell>
          <cell r="I1317" t="str">
            <v>-</v>
          </cell>
          <cell r="J1317">
            <v>21379</v>
          </cell>
          <cell r="K1317">
            <v>15.1</v>
          </cell>
          <cell r="L1317">
            <v>0.1</v>
          </cell>
          <cell r="M1317">
            <v>2.1180555555555554</v>
          </cell>
          <cell r="N1317">
            <v>2014</v>
          </cell>
          <cell r="O1317">
            <v>319</v>
          </cell>
          <cell r="P1317">
            <v>120</v>
          </cell>
        </row>
        <row r="1318">
          <cell r="B1318" t="str">
            <v>Keele University</v>
          </cell>
          <cell r="C1318" t="str">
            <v>United Kingdom</v>
          </cell>
          <cell r="D1318" t="str">
            <v>301-350</v>
          </cell>
          <cell r="E1318">
            <v>71.2</v>
          </cell>
          <cell r="F1318">
            <v>19.399999999999999</v>
          </cell>
          <cell r="G1318">
            <v>58.7</v>
          </cell>
          <cell r="H1318">
            <v>30.4</v>
          </cell>
          <cell r="I1318" t="str">
            <v>-</v>
          </cell>
          <cell r="J1318">
            <v>8397</v>
          </cell>
          <cell r="K1318">
            <v>15.7</v>
          </cell>
          <cell r="L1318">
            <v>0.2</v>
          </cell>
          <cell r="M1318">
            <v>2.3229166666666665</v>
          </cell>
          <cell r="N1318">
            <v>2014</v>
          </cell>
          <cell r="O1318">
            <v>663</v>
          </cell>
          <cell r="P1318">
            <v>50</v>
          </cell>
        </row>
        <row r="1319">
          <cell r="B1319" t="str">
            <v>King Mongkutâ€™s University of Technology Thonburi</v>
          </cell>
          <cell r="C1319" t="str">
            <v>Thailand</v>
          </cell>
          <cell r="D1319" t="str">
            <v>301-350</v>
          </cell>
          <cell r="E1319">
            <v>24.4</v>
          </cell>
          <cell r="F1319">
            <v>10.5</v>
          </cell>
          <cell r="G1319">
            <v>75.400000000000006</v>
          </cell>
          <cell r="H1319">
            <v>62.2</v>
          </cell>
          <cell r="I1319" t="str">
            <v>-</v>
          </cell>
          <cell r="J1319">
            <v>17791</v>
          </cell>
          <cell r="K1319">
            <v>23.7</v>
          </cell>
          <cell r="L1319">
            <v>0.01</v>
          </cell>
          <cell r="M1319">
            <v>1.7902777777777779</v>
          </cell>
          <cell r="N1319">
            <v>2014</v>
          </cell>
          <cell r="O1319" t="e">
            <v>#N/A</v>
          </cell>
          <cell r="P1319" t="e">
            <v>#N/A</v>
          </cell>
        </row>
        <row r="1320">
          <cell r="B1320" t="str">
            <v>Kyushu University</v>
          </cell>
          <cell r="C1320" t="str">
            <v>Japan</v>
          </cell>
          <cell r="D1320" t="str">
            <v>301-350</v>
          </cell>
          <cell r="E1320">
            <v>24.5</v>
          </cell>
          <cell r="F1320">
            <v>28</v>
          </cell>
          <cell r="G1320">
            <v>30.9</v>
          </cell>
          <cell r="H1320">
            <v>75</v>
          </cell>
          <cell r="I1320" t="str">
            <v>-</v>
          </cell>
          <cell r="J1320">
            <v>18925</v>
          </cell>
          <cell r="K1320">
            <v>6.7</v>
          </cell>
          <cell r="L1320">
            <v>0.08</v>
          </cell>
          <cell r="M1320" t="str">
            <v>28 : 72</v>
          </cell>
          <cell r="N1320">
            <v>2014</v>
          </cell>
          <cell r="O1320">
            <v>92</v>
          </cell>
          <cell r="P1320">
            <v>7</v>
          </cell>
        </row>
        <row r="1321">
          <cell r="B1321" t="str">
            <v>Lehigh University</v>
          </cell>
          <cell r="C1321" t="str">
            <v>United States of America</v>
          </cell>
          <cell r="D1321" t="str">
            <v>301-350</v>
          </cell>
          <cell r="E1321">
            <v>35.700000000000003</v>
          </cell>
          <cell r="F1321">
            <v>16</v>
          </cell>
          <cell r="G1321">
            <v>53.7</v>
          </cell>
          <cell r="H1321">
            <v>39.700000000000003</v>
          </cell>
          <cell r="I1321" t="str">
            <v>-</v>
          </cell>
          <cell r="J1321">
            <v>6300</v>
          </cell>
          <cell r="K1321">
            <v>11.3</v>
          </cell>
          <cell r="L1321">
            <v>0.15</v>
          </cell>
          <cell r="M1321">
            <v>1.8722222222222222</v>
          </cell>
          <cell r="N1321">
            <v>2014</v>
          </cell>
          <cell r="O1321">
            <v>258</v>
          </cell>
          <cell r="P1321">
            <v>104</v>
          </cell>
        </row>
        <row r="1322">
          <cell r="B1322" t="str">
            <v>LinkÃ¶ping University</v>
          </cell>
          <cell r="C1322" t="str">
            <v>Sweden</v>
          </cell>
          <cell r="D1322" t="str">
            <v>301-350</v>
          </cell>
          <cell r="E1322">
            <v>50.2</v>
          </cell>
          <cell r="F1322">
            <v>26</v>
          </cell>
          <cell r="G1322">
            <v>55.6</v>
          </cell>
          <cell r="H1322" t="str">
            <v>-</v>
          </cell>
          <cell r="I1322" t="str">
            <v>-</v>
          </cell>
          <cell r="J1322">
            <v>17866</v>
          </cell>
          <cell r="K1322">
            <v>7.7</v>
          </cell>
          <cell r="L1322">
            <v>0.1</v>
          </cell>
          <cell r="M1322">
            <v>2.2000000000000002</v>
          </cell>
          <cell r="N1322">
            <v>2014</v>
          </cell>
          <cell r="O1322">
            <v>302</v>
          </cell>
          <cell r="P1322">
            <v>8</v>
          </cell>
        </row>
        <row r="1323">
          <cell r="B1323" t="str">
            <v>Murdoch University</v>
          </cell>
          <cell r="C1323" t="str">
            <v>Australia</v>
          </cell>
          <cell r="D1323" t="str">
            <v>301-350</v>
          </cell>
          <cell r="E1323">
            <v>86.4</v>
          </cell>
          <cell r="F1323">
            <v>16</v>
          </cell>
          <cell r="G1323">
            <v>51.7</v>
          </cell>
          <cell r="H1323">
            <v>49.9</v>
          </cell>
          <cell r="I1323" t="str">
            <v>-</v>
          </cell>
          <cell r="J1323">
            <v>16606</v>
          </cell>
          <cell r="K1323">
            <v>32.799999999999997</v>
          </cell>
          <cell r="L1323">
            <v>0.43</v>
          </cell>
          <cell r="M1323">
            <v>2.4868055555555557</v>
          </cell>
          <cell r="N1323">
            <v>2014</v>
          </cell>
          <cell r="O1323">
            <v>836</v>
          </cell>
          <cell r="P1323">
            <v>22</v>
          </cell>
        </row>
        <row r="1324">
          <cell r="B1324" t="str">
            <v>National Cheng Kung University</v>
          </cell>
          <cell r="C1324" t="str">
            <v>Taiwan</v>
          </cell>
          <cell r="D1324" t="str">
            <v>301-350</v>
          </cell>
          <cell r="E1324">
            <v>24.9</v>
          </cell>
          <cell r="F1324">
            <v>40.700000000000003</v>
          </cell>
          <cell r="G1324">
            <v>27.6</v>
          </cell>
          <cell r="H1324">
            <v>100</v>
          </cell>
          <cell r="I1324" t="str">
            <v>-</v>
          </cell>
          <cell r="J1324">
            <v>21234</v>
          </cell>
          <cell r="K1324">
            <v>14.4</v>
          </cell>
          <cell r="L1324">
            <v>0.11</v>
          </cell>
          <cell r="M1324" t="str">
            <v>36 : 64</v>
          </cell>
          <cell r="N1324">
            <v>2014</v>
          </cell>
          <cell r="O1324">
            <v>246</v>
          </cell>
          <cell r="P1324">
            <v>2</v>
          </cell>
        </row>
        <row r="1325">
          <cell r="B1325" t="str">
            <v>National Sun Yat-Sen University</v>
          </cell>
          <cell r="C1325" t="str">
            <v>Taiwan</v>
          </cell>
          <cell r="D1325" t="str">
            <v>301-350</v>
          </cell>
          <cell r="E1325">
            <v>22.1</v>
          </cell>
          <cell r="F1325">
            <v>32.6</v>
          </cell>
          <cell r="G1325">
            <v>43.2</v>
          </cell>
          <cell r="H1325">
            <v>45</v>
          </cell>
          <cell r="I1325" t="str">
            <v>-</v>
          </cell>
          <cell r="J1325">
            <v>9336</v>
          </cell>
          <cell r="K1325">
            <v>19.600000000000001</v>
          </cell>
          <cell r="L1325">
            <v>0.04</v>
          </cell>
          <cell r="M1325" t="str">
            <v>37 : 63</v>
          </cell>
          <cell r="N1325">
            <v>2014</v>
          </cell>
          <cell r="O1325">
            <v>791</v>
          </cell>
          <cell r="P1325">
            <v>11</v>
          </cell>
        </row>
        <row r="1326">
          <cell r="B1326" t="str">
            <v>National University of Ireland, Galway</v>
          </cell>
          <cell r="C1326" t="str">
            <v>Republic of Ireland</v>
          </cell>
          <cell r="D1326" t="str">
            <v>301-350</v>
          </cell>
          <cell r="E1326">
            <v>69.5</v>
          </cell>
          <cell r="F1326">
            <v>21</v>
          </cell>
          <cell r="G1326">
            <v>50.6</v>
          </cell>
          <cell r="H1326">
            <v>45.7</v>
          </cell>
          <cell r="I1326" t="str">
            <v>-</v>
          </cell>
          <cell r="J1326">
            <v>14067</v>
          </cell>
          <cell r="K1326">
            <v>26.8</v>
          </cell>
          <cell r="L1326">
            <v>0.14000000000000001</v>
          </cell>
          <cell r="M1326">
            <v>2.3638888888888889</v>
          </cell>
          <cell r="N1326">
            <v>2014</v>
          </cell>
          <cell r="O1326">
            <v>600</v>
          </cell>
          <cell r="P1326">
            <v>4</v>
          </cell>
        </row>
        <row r="1327">
          <cell r="B1327" t="str">
            <v>Oregon State University</v>
          </cell>
          <cell r="C1327" t="str">
            <v>United States of America</v>
          </cell>
          <cell r="D1327" t="str">
            <v>301-350</v>
          </cell>
          <cell r="E1327">
            <v>35.4</v>
          </cell>
          <cell r="F1327">
            <v>19.7</v>
          </cell>
          <cell r="G1327">
            <v>63.5</v>
          </cell>
          <cell r="H1327">
            <v>31.6</v>
          </cell>
          <cell r="I1327" t="str">
            <v>-</v>
          </cell>
          <cell r="J1327">
            <v>22578</v>
          </cell>
          <cell r="K1327">
            <v>16.8</v>
          </cell>
          <cell r="L1327">
            <v>0.09</v>
          </cell>
          <cell r="M1327">
            <v>1.9951388888888888</v>
          </cell>
          <cell r="N1327">
            <v>2014</v>
          </cell>
          <cell r="O1327">
            <v>265</v>
          </cell>
          <cell r="P1327">
            <v>109</v>
          </cell>
        </row>
        <row r="1328">
          <cell r="B1328" t="str">
            <v>Sapienza University of Rome</v>
          </cell>
          <cell r="C1328" t="str">
            <v>Italy</v>
          </cell>
          <cell r="D1328" t="str">
            <v>301-350</v>
          </cell>
          <cell r="E1328">
            <v>36.299999999999997</v>
          </cell>
          <cell r="F1328">
            <v>25.2</v>
          </cell>
          <cell r="G1328">
            <v>48.2</v>
          </cell>
          <cell r="H1328">
            <v>36.299999999999997</v>
          </cell>
          <cell r="I1328" t="str">
            <v>-</v>
          </cell>
          <cell r="J1328">
            <v>120986</v>
          </cell>
          <cell r="K1328">
            <v>32.299999999999997</v>
          </cell>
          <cell r="L1328">
            <v>7.0000000000000007E-2</v>
          </cell>
          <cell r="M1328">
            <v>2.4868055555555557</v>
          </cell>
          <cell r="N1328">
            <v>2014</v>
          </cell>
          <cell r="O1328">
            <v>77</v>
          </cell>
          <cell r="P1328">
            <v>1</v>
          </cell>
        </row>
        <row r="1329">
          <cell r="B1329" t="str">
            <v>Shanghai Jiao Tong University</v>
          </cell>
          <cell r="C1329" t="str">
            <v>China</v>
          </cell>
          <cell r="D1329" t="str">
            <v>301-350</v>
          </cell>
          <cell r="E1329">
            <v>22.8</v>
          </cell>
          <cell r="F1329">
            <v>31.8</v>
          </cell>
          <cell r="G1329">
            <v>32.299999999999997</v>
          </cell>
          <cell r="H1329">
            <v>79.2</v>
          </cell>
          <cell r="I1329" t="str">
            <v>-</v>
          </cell>
          <cell r="J1329">
            <v>38191</v>
          </cell>
          <cell r="K1329">
            <v>12.8</v>
          </cell>
          <cell r="L1329">
            <v>0.06</v>
          </cell>
          <cell r="M1329" t="str">
            <v>37 : 63</v>
          </cell>
          <cell r="N1329">
            <v>2014</v>
          </cell>
          <cell r="O1329">
            <v>195</v>
          </cell>
          <cell r="P1329">
            <v>4</v>
          </cell>
        </row>
        <row r="1330">
          <cell r="B1330" t="str">
            <v>State University of Campinas</v>
          </cell>
          <cell r="C1330" t="str">
            <v>Brazil</v>
          </cell>
          <cell r="D1330" t="str">
            <v>301-350</v>
          </cell>
          <cell r="E1330">
            <v>19</v>
          </cell>
          <cell r="F1330">
            <v>37.5</v>
          </cell>
          <cell r="G1330">
            <v>27.9</v>
          </cell>
          <cell r="H1330">
            <v>49</v>
          </cell>
          <cell r="I1330" t="str">
            <v>-</v>
          </cell>
          <cell r="J1330">
            <v>27095</v>
          </cell>
          <cell r="K1330">
            <v>15.3</v>
          </cell>
          <cell r="L1330">
            <v>0.03</v>
          </cell>
          <cell r="M1330">
            <v>2.036111111111111</v>
          </cell>
          <cell r="N1330">
            <v>2014</v>
          </cell>
          <cell r="O1330" t="e">
            <v>#N/A</v>
          </cell>
          <cell r="P1330" t="e">
            <v>#N/A</v>
          </cell>
        </row>
        <row r="1331">
          <cell r="B1331" t="str">
            <v>State University of New York Albany</v>
          </cell>
          <cell r="C1331" t="str">
            <v>United States of America</v>
          </cell>
          <cell r="D1331" t="str">
            <v>301-350</v>
          </cell>
          <cell r="E1331">
            <v>33.9</v>
          </cell>
          <cell r="F1331">
            <v>26.2</v>
          </cell>
          <cell r="G1331">
            <v>58.7</v>
          </cell>
          <cell r="H1331" t="str">
            <v>-</v>
          </cell>
          <cell r="I1331" t="str">
            <v>-</v>
          </cell>
          <cell r="J1331">
            <v>15387</v>
          </cell>
          <cell r="K1331">
            <v>18.5</v>
          </cell>
          <cell r="L1331">
            <v>0.08</v>
          </cell>
          <cell r="M1331">
            <v>2.1590277777777778</v>
          </cell>
          <cell r="N1331">
            <v>2014</v>
          </cell>
          <cell r="O1331" t="e">
            <v>#N/A</v>
          </cell>
          <cell r="P1331" t="e">
            <v>#N/A</v>
          </cell>
        </row>
        <row r="1332">
          <cell r="B1332" t="str">
            <v>Stellenbosch University</v>
          </cell>
          <cell r="C1332" t="str">
            <v>South Africa</v>
          </cell>
          <cell r="D1332" t="str">
            <v>301-350</v>
          </cell>
          <cell r="E1332">
            <v>46.7</v>
          </cell>
          <cell r="F1332">
            <v>29.3</v>
          </cell>
          <cell r="G1332">
            <v>47.1</v>
          </cell>
          <cell r="H1332">
            <v>95.9</v>
          </cell>
          <cell r="I1332" t="str">
            <v>-</v>
          </cell>
          <cell r="J1332">
            <v>21849</v>
          </cell>
          <cell r="K1332">
            <v>23</v>
          </cell>
          <cell r="L1332">
            <v>0.08</v>
          </cell>
          <cell r="M1332">
            <v>2.2409722222222221</v>
          </cell>
          <cell r="N1332">
            <v>2014</v>
          </cell>
          <cell r="O1332">
            <v>311</v>
          </cell>
          <cell r="P1332">
            <v>3</v>
          </cell>
        </row>
        <row r="1333">
          <cell r="B1333" t="str">
            <v>UmeÃ¥ University</v>
          </cell>
          <cell r="C1333" t="str">
            <v>Sweden</v>
          </cell>
          <cell r="D1333" t="str">
            <v>301-350</v>
          </cell>
          <cell r="E1333">
            <v>50.1</v>
          </cell>
          <cell r="F1333">
            <v>29.6</v>
          </cell>
          <cell r="G1333">
            <v>53.1</v>
          </cell>
          <cell r="H1333">
            <v>30.5</v>
          </cell>
          <cell r="I1333" t="str">
            <v>-</v>
          </cell>
          <cell r="J1333">
            <v>16667</v>
          </cell>
          <cell r="K1333">
            <v>11.9</v>
          </cell>
          <cell r="L1333">
            <v>7.0000000000000007E-2</v>
          </cell>
          <cell r="M1333">
            <v>2.5277777777777777</v>
          </cell>
          <cell r="N1333">
            <v>2014</v>
          </cell>
          <cell r="O1333">
            <v>289</v>
          </cell>
          <cell r="P1333">
            <v>7</v>
          </cell>
        </row>
        <row r="1334">
          <cell r="B1334" t="str">
            <v>University of Canterbury</v>
          </cell>
          <cell r="C1334" t="str">
            <v>New Zealand</v>
          </cell>
          <cell r="D1334" t="str">
            <v>301-350</v>
          </cell>
          <cell r="E1334">
            <v>88</v>
          </cell>
          <cell r="F1334">
            <v>24.4</v>
          </cell>
          <cell r="G1334">
            <v>51.6</v>
          </cell>
          <cell r="H1334">
            <v>52.3</v>
          </cell>
          <cell r="I1334" t="str">
            <v>-</v>
          </cell>
          <cell r="J1334">
            <v>12187</v>
          </cell>
          <cell r="K1334">
            <v>16.5</v>
          </cell>
          <cell r="L1334">
            <v>0.2</v>
          </cell>
          <cell r="M1334">
            <v>2.1590277777777778</v>
          </cell>
          <cell r="N1334">
            <v>2014</v>
          </cell>
          <cell r="O1334">
            <v>487</v>
          </cell>
          <cell r="P1334">
            <v>3</v>
          </cell>
        </row>
        <row r="1335">
          <cell r="B1335" t="str">
            <v>University of Connecticut</v>
          </cell>
          <cell r="C1335" t="str">
            <v>United States of America</v>
          </cell>
          <cell r="D1335" t="str">
            <v>301-350</v>
          </cell>
          <cell r="E1335">
            <v>38.700000000000003</v>
          </cell>
          <cell r="F1335">
            <v>22.8</v>
          </cell>
          <cell r="G1335">
            <v>49.9</v>
          </cell>
          <cell r="H1335">
            <v>31.7</v>
          </cell>
          <cell r="I1335" t="str">
            <v>-</v>
          </cell>
          <cell r="J1335">
            <v>25742</v>
          </cell>
          <cell r="K1335">
            <v>13</v>
          </cell>
          <cell r="L1335">
            <v>0.11</v>
          </cell>
          <cell r="M1335">
            <v>2.1590277777777778</v>
          </cell>
          <cell r="N1335">
            <v>2014</v>
          </cell>
          <cell r="O1335">
            <v>233</v>
          </cell>
          <cell r="P1335">
            <v>94</v>
          </cell>
        </row>
        <row r="1336">
          <cell r="B1336" t="str">
            <v>University of Crete</v>
          </cell>
          <cell r="C1336" t="str">
            <v>Greece</v>
          </cell>
          <cell r="D1336" t="str">
            <v>301-350</v>
          </cell>
          <cell r="E1336">
            <v>47.1</v>
          </cell>
          <cell r="F1336">
            <v>16.600000000000001</v>
          </cell>
          <cell r="G1336">
            <v>65.599999999999994</v>
          </cell>
          <cell r="H1336">
            <v>35</v>
          </cell>
          <cell r="I1336" t="str">
            <v>-</v>
          </cell>
          <cell r="J1336">
            <v>14650</v>
          </cell>
          <cell r="K1336">
            <v>26.9</v>
          </cell>
          <cell r="L1336">
            <v>0.05</v>
          </cell>
          <cell r="M1336">
            <v>2.6506944444444445</v>
          </cell>
          <cell r="N1336">
            <v>2014</v>
          </cell>
          <cell r="O1336">
            <v>551</v>
          </cell>
          <cell r="P1336">
            <v>3</v>
          </cell>
        </row>
        <row r="1337">
          <cell r="B1337" t="str">
            <v>University of Eastern Finland</v>
          </cell>
          <cell r="C1337" t="str">
            <v>Finland</v>
          </cell>
          <cell r="D1337" t="str">
            <v>301-350</v>
          </cell>
          <cell r="E1337">
            <v>39.700000000000003</v>
          </cell>
          <cell r="F1337">
            <v>18.600000000000001</v>
          </cell>
          <cell r="G1337">
            <v>56.1</v>
          </cell>
          <cell r="H1337">
            <v>33.4</v>
          </cell>
          <cell r="I1337" t="str">
            <v>-</v>
          </cell>
          <cell r="J1337">
            <v>10798</v>
          </cell>
          <cell r="K1337">
            <v>17.3</v>
          </cell>
          <cell r="L1337">
            <v>0.06</v>
          </cell>
          <cell r="M1337">
            <v>2.6916666666666669</v>
          </cell>
          <cell r="N1337">
            <v>2014</v>
          </cell>
          <cell r="O1337">
            <v>373</v>
          </cell>
          <cell r="P1337">
            <v>2</v>
          </cell>
        </row>
        <row r="1338">
          <cell r="B1338" t="str">
            <v>University of Hertfordshire</v>
          </cell>
          <cell r="C1338" t="str">
            <v>United Kingdom</v>
          </cell>
          <cell r="D1338" t="str">
            <v>301-350</v>
          </cell>
          <cell r="E1338">
            <v>81.099999999999994</v>
          </cell>
          <cell r="F1338">
            <v>10.199999999999999</v>
          </cell>
          <cell r="G1338">
            <v>66.900000000000006</v>
          </cell>
          <cell r="H1338">
            <v>30.3</v>
          </cell>
          <cell r="I1338" t="str">
            <v>-</v>
          </cell>
          <cell r="J1338">
            <v>19665</v>
          </cell>
          <cell r="K1338">
            <v>19.399999999999999</v>
          </cell>
          <cell r="L1338">
            <v>0.27</v>
          </cell>
          <cell r="M1338">
            <v>2.2819444444444446</v>
          </cell>
          <cell r="N1338">
            <v>2014</v>
          </cell>
          <cell r="O1338">
            <v>645</v>
          </cell>
          <cell r="P1338">
            <v>49</v>
          </cell>
        </row>
        <row r="1339">
          <cell r="B1339" t="str">
            <v>University of Houston</v>
          </cell>
          <cell r="C1339" t="str">
            <v>United States of America</v>
          </cell>
          <cell r="D1339" t="str">
            <v>301-350</v>
          </cell>
          <cell r="E1339">
            <v>31.5</v>
          </cell>
          <cell r="F1339">
            <v>23.8</v>
          </cell>
          <cell r="G1339">
            <v>42.4</v>
          </cell>
          <cell r="H1339">
            <v>36.9</v>
          </cell>
          <cell r="I1339" t="str">
            <v>-</v>
          </cell>
          <cell r="J1339">
            <v>40325</v>
          </cell>
          <cell r="K1339">
            <v>43.7</v>
          </cell>
          <cell r="L1339">
            <v>0.09</v>
          </cell>
          <cell r="M1339">
            <v>2.1180555555555554</v>
          </cell>
          <cell r="N1339">
            <v>2014</v>
          </cell>
          <cell r="O1339">
            <v>162</v>
          </cell>
          <cell r="P1339">
            <v>70</v>
          </cell>
        </row>
        <row r="1340">
          <cell r="B1340" t="str">
            <v>University of LiÃ¨ge</v>
          </cell>
          <cell r="C1340" t="str">
            <v>Belgium</v>
          </cell>
          <cell r="D1340" t="str">
            <v>301-350</v>
          </cell>
          <cell r="E1340">
            <v>67.099999999999994</v>
          </cell>
          <cell r="F1340">
            <v>16.399999999999999</v>
          </cell>
          <cell r="G1340">
            <v>47</v>
          </cell>
          <cell r="H1340">
            <v>60.7</v>
          </cell>
          <cell r="I1340" t="str">
            <v>-</v>
          </cell>
          <cell r="J1340">
            <v>20951</v>
          </cell>
          <cell r="K1340">
            <v>25.9</v>
          </cell>
          <cell r="L1340">
            <v>0.23</v>
          </cell>
          <cell r="M1340">
            <v>2.2819444444444446</v>
          </cell>
          <cell r="N1340">
            <v>2014</v>
          </cell>
          <cell r="O1340">
            <v>316</v>
          </cell>
          <cell r="P1340">
            <v>6</v>
          </cell>
        </row>
        <row r="1341">
          <cell r="B1341" t="str">
            <v>University of Manitoba</v>
          </cell>
          <cell r="C1341" t="str">
            <v>Canada</v>
          </cell>
          <cell r="D1341" t="str">
            <v>301-350</v>
          </cell>
          <cell r="E1341">
            <v>40</v>
          </cell>
          <cell r="F1341">
            <v>29.3</v>
          </cell>
          <cell r="G1341">
            <v>45.1</v>
          </cell>
          <cell r="H1341">
            <v>52.8</v>
          </cell>
          <cell r="I1341" t="str">
            <v>-</v>
          </cell>
          <cell r="J1341">
            <v>28576</v>
          </cell>
          <cell r="K1341">
            <v>27.8</v>
          </cell>
          <cell r="L1341">
            <v>0.11</v>
          </cell>
          <cell r="M1341">
            <v>2.3229166666666665</v>
          </cell>
          <cell r="N1341">
            <v>2014</v>
          </cell>
          <cell r="O1341">
            <v>220</v>
          </cell>
          <cell r="P1341">
            <v>10</v>
          </cell>
        </row>
        <row r="1342">
          <cell r="B1342" t="str">
            <v>University of Missouri</v>
          </cell>
          <cell r="C1342" t="str">
            <v>United States of America</v>
          </cell>
          <cell r="D1342" t="str">
            <v>301-350</v>
          </cell>
          <cell r="E1342">
            <v>28.9</v>
          </cell>
          <cell r="F1342">
            <v>31.4</v>
          </cell>
          <cell r="G1342">
            <v>44.9</v>
          </cell>
          <cell r="H1342">
            <v>31.1</v>
          </cell>
          <cell r="I1342" t="str">
            <v>-</v>
          </cell>
          <cell r="J1342">
            <v>29885</v>
          </cell>
          <cell r="K1342">
            <v>14.1</v>
          </cell>
          <cell r="L1342">
            <v>0.05</v>
          </cell>
          <cell r="M1342">
            <v>2.2409722222222221</v>
          </cell>
          <cell r="N1342">
            <v>2014</v>
          </cell>
          <cell r="O1342" t="e">
            <v>#N/A</v>
          </cell>
          <cell r="P1342" t="e">
            <v>#N/A</v>
          </cell>
        </row>
        <row r="1343">
          <cell r="B1343" t="str">
            <v>University of Padua</v>
          </cell>
          <cell r="C1343" t="str">
            <v>Italy</v>
          </cell>
          <cell r="D1343" t="str">
            <v>301-350</v>
          </cell>
          <cell r="E1343">
            <v>38.9</v>
          </cell>
          <cell r="F1343">
            <v>17.3</v>
          </cell>
          <cell r="G1343">
            <v>70.400000000000006</v>
          </cell>
          <cell r="H1343">
            <v>32</v>
          </cell>
          <cell r="I1343" t="str">
            <v>-</v>
          </cell>
          <cell r="J1343">
            <v>62577</v>
          </cell>
          <cell r="K1343">
            <v>18.3</v>
          </cell>
          <cell r="L1343">
            <v>0.04</v>
          </cell>
          <cell r="M1343">
            <v>2.3638888888888889</v>
          </cell>
          <cell r="N1343">
            <v>2014</v>
          </cell>
          <cell r="O1343">
            <v>184</v>
          </cell>
          <cell r="P1343">
            <v>3</v>
          </cell>
        </row>
        <row r="1344">
          <cell r="B1344" t="str">
            <v>University of Pisa</v>
          </cell>
          <cell r="C1344" t="str">
            <v>Italy</v>
          </cell>
          <cell r="D1344" t="str">
            <v>301-350</v>
          </cell>
          <cell r="E1344">
            <v>35</v>
          </cell>
          <cell r="F1344">
            <v>18.100000000000001</v>
          </cell>
          <cell r="G1344">
            <v>64.2</v>
          </cell>
          <cell r="H1344">
            <v>41.7</v>
          </cell>
          <cell r="I1344" t="str">
            <v>-</v>
          </cell>
          <cell r="J1344">
            <v>47247</v>
          </cell>
          <cell r="K1344">
            <v>18</v>
          </cell>
          <cell r="L1344">
            <v>0.04</v>
          </cell>
          <cell r="M1344">
            <v>2.2000000000000002</v>
          </cell>
          <cell r="N1344">
            <v>2014</v>
          </cell>
          <cell r="O1344">
            <v>308</v>
          </cell>
          <cell r="P1344">
            <v>8</v>
          </cell>
        </row>
        <row r="1345">
          <cell r="B1345" t="str">
            <v>University of Salento</v>
          </cell>
          <cell r="C1345" t="str">
            <v>Italy</v>
          </cell>
          <cell r="D1345" t="str">
            <v>301-350</v>
          </cell>
          <cell r="E1345">
            <v>37.4</v>
          </cell>
          <cell r="F1345">
            <v>20.399999999999999</v>
          </cell>
          <cell r="G1345">
            <v>48.2</v>
          </cell>
          <cell r="H1345">
            <v>51.2</v>
          </cell>
          <cell r="I1345" t="str">
            <v>-</v>
          </cell>
          <cell r="J1345">
            <v>19959</v>
          </cell>
          <cell r="K1345">
            <v>58.4</v>
          </cell>
          <cell r="L1345">
            <v>0.01</v>
          </cell>
          <cell r="M1345">
            <v>2.6916666666666669</v>
          </cell>
          <cell r="N1345">
            <v>2014</v>
          </cell>
          <cell r="O1345">
            <v>785</v>
          </cell>
          <cell r="P1345">
            <v>42</v>
          </cell>
        </row>
        <row r="1346">
          <cell r="B1346" t="str">
            <v>University of South Australia</v>
          </cell>
          <cell r="C1346" t="str">
            <v>Australia</v>
          </cell>
          <cell r="D1346" t="str">
            <v>301-350</v>
          </cell>
          <cell r="E1346">
            <v>80</v>
          </cell>
          <cell r="F1346">
            <v>21.8</v>
          </cell>
          <cell r="G1346">
            <v>40.200000000000003</v>
          </cell>
          <cell r="H1346">
            <v>83.2</v>
          </cell>
          <cell r="I1346" t="str">
            <v>-</v>
          </cell>
          <cell r="J1346">
            <v>18971</v>
          </cell>
          <cell r="K1346">
            <v>26.2</v>
          </cell>
          <cell r="L1346">
            <v>0.32</v>
          </cell>
          <cell r="M1346">
            <v>2.4868055555555557</v>
          </cell>
          <cell r="N1346">
            <v>2014</v>
          </cell>
          <cell r="O1346">
            <v>723</v>
          </cell>
          <cell r="P1346">
            <v>20</v>
          </cell>
        </row>
        <row r="1347">
          <cell r="B1347" t="str">
            <v>University of Tampere</v>
          </cell>
          <cell r="C1347" t="str">
            <v>Finland</v>
          </cell>
          <cell r="D1347" t="str">
            <v>301-350</v>
          </cell>
          <cell r="E1347">
            <v>33.9</v>
          </cell>
          <cell r="F1347">
            <v>22.2</v>
          </cell>
          <cell r="G1347">
            <v>52.3</v>
          </cell>
          <cell r="H1347">
            <v>45.6</v>
          </cell>
          <cell r="I1347" t="str">
            <v>-</v>
          </cell>
          <cell r="J1347">
            <v>10045</v>
          </cell>
          <cell r="K1347">
            <v>9.5</v>
          </cell>
          <cell r="L1347">
            <v>0.04</v>
          </cell>
          <cell r="M1347">
            <v>2.7736111111111112</v>
          </cell>
          <cell r="N1347">
            <v>2014</v>
          </cell>
          <cell r="O1347">
            <v>430</v>
          </cell>
          <cell r="P1347">
            <v>6</v>
          </cell>
        </row>
        <row r="1348">
          <cell r="B1348" t="str">
            <v>University of Technology Sydney</v>
          </cell>
          <cell r="C1348" t="str">
            <v>Australia</v>
          </cell>
          <cell r="D1348" t="str">
            <v>301-350</v>
          </cell>
          <cell r="E1348">
            <v>87.3</v>
          </cell>
          <cell r="F1348">
            <v>22</v>
          </cell>
          <cell r="G1348">
            <v>47.8</v>
          </cell>
          <cell r="H1348">
            <v>36.4</v>
          </cell>
          <cell r="I1348" t="str">
            <v>-</v>
          </cell>
          <cell r="J1348">
            <v>24519</v>
          </cell>
          <cell r="K1348">
            <v>44.1</v>
          </cell>
          <cell r="L1348">
            <v>0.31</v>
          </cell>
          <cell r="M1348">
            <v>2.2409722222222221</v>
          </cell>
          <cell r="N1348">
            <v>2014</v>
          </cell>
          <cell r="O1348" t="e">
            <v>#N/A</v>
          </cell>
          <cell r="P1348" t="e">
            <v>#N/A</v>
          </cell>
        </row>
        <row r="1349">
          <cell r="B1349" t="str">
            <v>University of Tsukuba</v>
          </cell>
          <cell r="C1349" t="str">
            <v>Japan</v>
          </cell>
          <cell r="D1349" t="str">
            <v>301-350</v>
          </cell>
          <cell r="E1349">
            <v>32.6</v>
          </cell>
          <cell r="F1349">
            <v>20.9</v>
          </cell>
          <cell r="G1349">
            <v>48.9</v>
          </cell>
          <cell r="H1349">
            <v>35.299999999999997</v>
          </cell>
          <cell r="I1349" t="str">
            <v>-</v>
          </cell>
          <cell r="J1349">
            <v>15930</v>
          </cell>
          <cell r="K1349">
            <v>12.6</v>
          </cell>
          <cell r="L1349">
            <v>0.16</v>
          </cell>
          <cell r="M1349" t="str">
            <v>38 : 62</v>
          </cell>
          <cell r="N1349">
            <v>2014</v>
          </cell>
          <cell r="O1349">
            <v>253</v>
          </cell>
          <cell r="P1349">
            <v>13</v>
          </cell>
        </row>
        <row r="1350">
          <cell r="B1350" t="str">
            <v>University of Vermont</v>
          </cell>
          <cell r="C1350" t="str">
            <v>United States of America</v>
          </cell>
          <cell r="D1350" t="str">
            <v>301-350</v>
          </cell>
          <cell r="E1350">
            <v>21</v>
          </cell>
          <cell r="F1350">
            <v>19.3</v>
          </cell>
          <cell r="G1350">
            <v>57.4</v>
          </cell>
          <cell r="H1350" t="str">
            <v>-</v>
          </cell>
          <cell r="I1350" t="str">
            <v>-</v>
          </cell>
          <cell r="N1350">
            <v>2014</v>
          </cell>
          <cell r="O1350">
            <v>320</v>
          </cell>
          <cell r="P1350">
            <v>121</v>
          </cell>
        </row>
        <row r="1351">
          <cell r="B1351" t="str">
            <v>University of Waikato</v>
          </cell>
          <cell r="C1351" t="str">
            <v>New Zealand</v>
          </cell>
          <cell r="D1351" t="str">
            <v>301-350</v>
          </cell>
          <cell r="E1351">
            <v>82.4</v>
          </cell>
          <cell r="F1351">
            <v>18.100000000000001</v>
          </cell>
          <cell r="G1351">
            <v>56.9</v>
          </cell>
          <cell r="H1351">
            <v>46.3</v>
          </cell>
          <cell r="I1351" t="str">
            <v>-</v>
          </cell>
          <cell r="J1351">
            <v>10159</v>
          </cell>
          <cell r="K1351">
            <v>17</v>
          </cell>
          <cell r="L1351">
            <v>0.25</v>
          </cell>
          <cell r="M1351">
            <v>2.4048611111111109</v>
          </cell>
          <cell r="N1351">
            <v>2014</v>
          </cell>
          <cell r="O1351">
            <v>879</v>
          </cell>
          <cell r="P1351">
            <v>6</v>
          </cell>
        </row>
        <row r="1352">
          <cell r="B1352" t="str">
            <v>University of Warsaw</v>
          </cell>
          <cell r="C1352" t="str">
            <v>Poland</v>
          </cell>
          <cell r="D1352" t="str">
            <v>301-350</v>
          </cell>
          <cell r="E1352">
            <v>42.8</v>
          </cell>
          <cell r="F1352">
            <v>14.3</v>
          </cell>
          <cell r="G1352">
            <v>71.099999999999994</v>
          </cell>
          <cell r="H1352">
            <v>28.3</v>
          </cell>
          <cell r="I1352" t="str">
            <v>-</v>
          </cell>
          <cell r="J1352">
            <v>49292</v>
          </cell>
          <cell r="K1352">
            <v>14.1</v>
          </cell>
          <cell r="L1352">
            <v>7.0000000000000007E-2</v>
          </cell>
          <cell r="M1352">
            <v>2.8145833333333332</v>
          </cell>
          <cell r="N1352">
            <v>2014</v>
          </cell>
          <cell r="O1352">
            <v>419</v>
          </cell>
          <cell r="P1352">
            <v>1</v>
          </cell>
        </row>
        <row r="1353">
          <cell r="B1353" t="str">
            <v>Washington State University</v>
          </cell>
          <cell r="C1353" t="str">
            <v>United States of America</v>
          </cell>
          <cell r="D1353" t="str">
            <v>301-350</v>
          </cell>
          <cell r="E1353">
            <v>35.200000000000003</v>
          </cell>
          <cell r="F1353">
            <v>26.5</v>
          </cell>
          <cell r="G1353">
            <v>46.1</v>
          </cell>
          <cell r="H1353">
            <v>55.6</v>
          </cell>
          <cell r="I1353" t="str">
            <v>-</v>
          </cell>
          <cell r="J1353">
            <v>24550</v>
          </cell>
          <cell r="K1353">
            <v>18.3</v>
          </cell>
          <cell r="L1353">
            <v>7.0000000000000007E-2</v>
          </cell>
          <cell r="M1353">
            <v>2.1180555555555554</v>
          </cell>
          <cell r="N1353">
            <v>2014</v>
          </cell>
          <cell r="O1353" t="e">
            <v>#N/A</v>
          </cell>
          <cell r="P1353" t="e">
            <v>#N/A</v>
          </cell>
        </row>
        <row r="1354">
          <cell r="B1354" t="str">
            <v>Wayne State University</v>
          </cell>
          <cell r="C1354" t="str">
            <v>United States of America</v>
          </cell>
          <cell r="D1354" t="str">
            <v>301-350</v>
          </cell>
          <cell r="E1354">
            <v>28.2</v>
          </cell>
          <cell r="F1354">
            <v>15.7</v>
          </cell>
          <cell r="G1354">
            <v>59.9</v>
          </cell>
          <cell r="H1354" t="str">
            <v>-</v>
          </cell>
          <cell r="I1354" t="str">
            <v>-</v>
          </cell>
          <cell r="J1354">
            <v>23065</v>
          </cell>
          <cell r="K1354">
            <v>10.7</v>
          </cell>
          <cell r="L1354">
            <v>7.0000000000000007E-2</v>
          </cell>
          <cell r="M1354">
            <v>2.4048611111111109</v>
          </cell>
          <cell r="N1354">
            <v>2014</v>
          </cell>
          <cell r="O1354">
            <v>192</v>
          </cell>
          <cell r="P1354">
            <v>83</v>
          </cell>
        </row>
        <row r="1355">
          <cell r="B1355" t="str">
            <v>Wuhan University of Technology</v>
          </cell>
          <cell r="C1355" t="str">
            <v>China</v>
          </cell>
          <cell r="D1355" t="str">
            <v>301-350</v>
          </cell>
          <cell r="E1355">
            <v>18.899999999999999</v>
          </cell>
          <cell r="F1355">
            <v>7.8</v>
          </cell>
          <cell r="G1355">
            <v>78.099999999999994</v>
          </cell>
          <cell r="H1355">
            <v>58.7</v>
          </cell>
          <cell r="I1355" t="str">
            <v>-</v>
          </cell>
          <cell r="J1355">
            <v>50260</v>
          </cell>
          <cell r="K1355">
            <v>14.9</v>
          </cell>
          <cell r="L1355">
            <v>0.02</v>
          </cell>
          <cell r="M1355" t="str">
            <v>31 : 69</v>
          </cell>
          <cell r="N1355">
            <v>2014</v>
          </cell>
          <cell r="O1355">
            <v>751</v>
          </cell>
          <cell r="P1355">
            <v>40</v>
          </cell>
        </row>
        <row r="1356">
          <cell r="B1356" t="str">
            <v>Zhejiang University</v>
          </cell>
          <cell r="C1356" t="str">
            <v>China</v>
          </cell>
          <cell r="D1356" t="str">
            <v>301-350</v>
          </cell>
          <cell r="E1356">
            <v>21</v>
          </cell>
          <cell r="F1356">
            <v>32.1</v>
          </cell>
          <cell r="G1356">
            <v>36.5</v>
          </cell>
          <cell r="H1356">
            <v>94.5</v>
          </cell>
          <cell r="I1356" t="str">
            <v>-</v>
          </cell>
          <cell r="J1356">
            <v>47508</v>
          </cell>
          <cell r="K1356">
            <v>15.9</v>
          </cell>
          <cell r="L1356">
            <v>0.05</v>
          </cell>
          <cell r="M1356">
            <v>1.7493055555555554</v>
          </cell>
          <cell r="N1356">
            <v>2014</v>
          </cell>
          <cell r="O1356">
            <v>206</v>
          </cell>
          <cell r="P1356">
            <v>5</v>
          </cell>
        </row>
        <row r="1357">
          <cell r="B1357" t="str">
            <v>Charles Darwin University</v>
          </cell>
          <cell r="C1357" t="str">
            <v>Australia</v>
          </cell>
          <cell r="D1357" t="str">
            <v>351-400</v>
          </cell>
          <cell r="E1357">
            <v>58.9</v>
          </cell>
          <cell r="F1357">
            <v>18.600000000000001</v>
          </cell>
          <cell r="G1357">
            <v>49.1</v>
          </cell>
          <cell r="H1357">
            <v>35.5</v>
          </cell>
          <cell r="I1357" t="str">
            <v>-</v>
          </cell>
          <cell r="J1357">
            <v>5570</v>
          </cell>
          <cell r="K1357">
            <v>25.4</v>
          </cell>
          <cell r="L1357">
            <v>0.15</v>
          </cell>
          <cell r="M1357">
            <v>2.8145833333333332</v>
          </cell>
          <cell r="N1357">
            <v>2014</v>
          </cell>
          <cell r="O1357">
            <v>910</v>
          </cell>
          <cell r="P1357">
            <v>26</v>
          </cell>
        </row>
        <row r="1358">
          <cell r="B1358" t="str">
            <v>Charles University in Prague</v>
          </cell>
          <cell r="C1358" t="str">
            <v>Czech Republic</v>
          </cell>
          <cell r="D1358" t="str">
            <v>351-400</v>
          </cell>
          <cell r="E1358">
            <v>53.2</v>
          </cell>
          <cell r="F1358">
            <v>19.899999999999999</v>
          </cell>
          <cell r="G1358">
            <v>43.6</v>
          </cell>
          <cell r="H1358">
            <v>29</v>
          </cell>
          <cell r="I1358" t="str">
            <v>-</v>
          </cell>
          <cell r="J1358">
            <v>51438</v>
          </cell>
          <cell r="K1358">
            <v>13</v>
          </cell>
          <cell r="L1358">
            <v>0.15</v>
          </cell>
          <cell r="M1358">
            <v>2.6097222222222221</v>
          </cell>
          <cell r="N1358">
            <v>2014</v>
          </cell>
          <cell r="O1358">
            <v>313</v>
          </cell>
          <cell r="P1358">
            <v>1</v>
          </cell>
        </row>
        <row r="1359">
          <cell r="B1359" t="str">
            <v>China Medical University, Taiwan</v>
          </cell>
          <cell r="C1359" t="str">
            <v>Taiwan</v>
          </cell>
          <cell r="D1359" t="str">
            <v>351-400</v>
          </cell>
          <cell r="E1359">
            <v>20.5</v>
          </cell>
          <cell r="F1359">
            <v>28.1</v>
          </cell>
          <cell r="G1359">
            <v>46.2</v>
          </cell>
          <cell r="H1359">
            <v>60.8</v>
          </cell>
          <cell r="I1359" t="str">
            <v>-</v>
          </cell>
          <cell r="J1359">
            <v>7983</v>
          </cell>
          <cell r="K1359">
            <v>15.4</v>
          </cell>
          <cell r="L1359">
            <v>0.08</v>
          </cell>
          <cell r="M1359">
            <v>2.2409722222222221</v>
          </cell>
          <cell r="N1359">
            <v>2014</v>
          </cell>
          <cell r="O1359" t="e">
            <v>#N/A</v>
          </cell>
          <cell r="P1359" t="e">
            <v>#N/A</v>
          </cell>
        </row>
        <row r="1360">
          <cell r="B1360" t="str">
            <v>George Mason University</v>
          </cell>
          <cell r="C1360" t="str">
            <v>United States of America</v>
          </cell>
          <cell r="D1360" t="str">
            <v>351-400</v>
          </cell>
          <cell r="E1360">
            <v>37.299999999999997</v>
          </cell>
          <cell r="F1360">
            <v>18</v>
          </cell>
          <cell r="G1360">
            <v>54.9</v>
          </cell>
          <cell r="H1360">
            <v>28.8</v>
          </cell>
          <cell r="I1360" t="str">
            <v>-</v>
          </cell>
          <cell r="J1360">
            <v>26622</v>
          </cell>
          <cell r="K1360">
            <v>17</v>
          </cell>
          <cell r="L1360">
            <v>7.0000000000000007E-2</v>
          </cell>
          <cell r="M1360">
            <v>2.2819444444444446</v>
          </cell>
          <cell r="N1360">
            <v>2014</v>
          </cell>
          <cell r="O1360">
            <v>434</v>
          </cell>
          <cell r="P1360">
            <v>141</v>
          </cell>
        </row>
        <row r="1361">
          <cell r="B1361" t="str">
            <v>Hanyang University</v>
          </cell>
          <cell r="C1361" t="str">
            <v>South Korea</v>
          </cell>
          <cell r="D1361" t="str">
            <v>351-400</v>
          </cell>
          <cell r="E1361">
            <v>42.9</v>
          </cell>
          <cell r="F1361">
            <v>27.7</v>
          </cell>
          <cell r="G1361">
            <v>26.9</v>
          </cell>
          <cell r="H1361">
            <v>55.3</v>
          </cell>
          <cell r="I1361" t="str">
            <v>-</v>
          </cell>
          <cell r="J1361">
            <v>16729</v>
          </cell>
          <cell r="K1361">
            <v>10.4</v>
          </cell>
          <cell r="L1361">
            <v>0.19</v>
          </cell>
          <cell r="N1361">
            <v>2014</v>
          </cell>
          <cell r="O1361">
            <v>174</v>
          </cell>
          <cell r="P1361">
            <v>5</v>
          </cell>
        </row>
        <row r="1362">
          <cell r="B1362" t="str">
            <v>Indian Institute of Technology Delhi</v>
          </cell>
          <cell r="C1362" t="str">
            <v>India</v>
          </cell>
          <cell r="D1362" t="str">
            <v>351-400</v>
          </cell>
          <cell r="E1362">
            <v>15.3</v>
          </cell>
          <cell r="F1362">
            <v>23</v>
          </cell>
          <cell r="G1362">
            <v>38.5</v>
          </cell>
          <cell r="H1362" t="str">
            <v>-</v>
          </cell>
          <cell r="I1362" t="str">
            <v>-</v>
          </cell>
          <cell r="J1362">
            <v>8371</v>
          </cell>
          <cell r="K1362">
            <v>17.3</v>
          </cell>
          <cell r="L1362">
            <v>0.01</v>
          </cell>
          <cell r="M1362">
            <v>0.80694444444444446</v>
          </cell>
          <cell r="N1362">
            <v>2014</v>
          </cell>
          <cell r="O1362">
            <v>328</v>
          </cell>
          <cell r="P1362">
            <v>1</v>
          </cell>
        </row>
        <row r="1363">
          <cell r="B1363" t="str">
            <v>Indian Institute of Technology Kanpur</v>
          </cell>
          <cell r="C1363" t="str">
            <v>India</v>
          </cell>
          <cell r="D1363" t="str">
            <v>351-400</v>
          </cell>
          <cell r="E1363">
            <v>17.3</v>
          </cell>
          <cell r="F1363">
            <v>25.2</v>
          </cell>
          <cell r="G1363">
            <v>41.8</v>
          </cell>
          <cell r="H1363">
            <v>42.4</v>
          </cell>
          <cell r="I1363" t="str">
            <v>-</v>
          </cell>
          <cell r="J1363">
            <v>6167</v>
          </cell>
          <cell r="K1363">
            <v>12.2</v>
          </cell>
          <cell r="L1363">
            <v>0</v>
          </cell>
          <cell r="M1363">
            <v>0.6020833333333333</v>
          </cell>
          <cell r="N1363">
            <v>2014</v>
          </cell>
          <cell r="O1363">
            <v>569</v>
          </cell>
          <cell r="P1363">
            <v>6</v>
          </cell>
        </row>
        <row r="1364">
          <cell r="B1364" t="str">
            <v>Indian Institute of Technology Kharagpur</v>
          </cell>
          <cell r="C1364" t="str">
            <v>India</v>
          </cell>
          <cell r="D1364" t="str">
            <v>351-400</v>
          </cell>
          <cell r="E1364">
            <v>14.7</v>
          </cell>
          <cell r="F1364">
            <v>30</v>
          </cell>
          <cell r="G1364">
            <v>35.299999999999997</v>
          </cell>
          <cell r="H1364" t="str">
            <v>-</v>
          </cell>
          <cell r="I1364" t="str">
            <v>-</v>
          </cell>
          <cell r="J1364">
            <v>9928</v>
          </cell>
          <cell r="K1364">
            <v>17.5</v>
          </cell>
          <cell r="L1364">
            <v>0</v>
          </cell>
          <cell r="M1364">
            <v>0.68402777777777779</v>
          </cell>
          <cell r="N1364">
            <v>2014</v>
          </cell>
          <cell r="O1364">
            <v>574</v>
          </cell>
          <cell r="P1364">
            <v>7</v>
          </cell>
        </row>
        <row r="1365">
          <cell r="B1365" t="str">
            <v>Indian Institute of Technology Roorkee</v>
          </cell>
          <cell r="C1365" t="str">
            <v>India</v>
          </cell>
          <cell r="D1365" t="str">
            <v>351-400</v>
          </cell>
          <cell r="E1365">
            <v>15.6</v>
          </cell>
          <cell r="F1365">
            <v>12.3</v>
          </cell>
          <cell r="G1365">
            <v>53.6</v>
          </cell>
          <cell r="H1365">
            <v>64.8</v>
          </cell>
          <cell r="I1365" t="str">
            <v>-</v>
          </cell>
          <cell r="J1365">
            <v>8061</v>
          </cell>
          <cell r="K1365">
            <v>18.7</v>
          </cell>
          <cell r="L1365">
            <v>0.01</v>
          </cell>
          <cell r="M1365">
            <v>0.76597222222222228</v>
          </cell>
          <cell r="N1365">
            <v>2014</v>
          </cell>
          <cell r="O1365">
            <v>611</v>
          </cell>
          <cell r="P1365">
            <v>10</v>
          </cell>
        </row>
        <row r="1366">
          <cell r="B1366" t="str">
            <v>Johannes Kepler University of Linz</v>
          </cell>
          <cell r="C1366" t="str">
            <v>Austria</v>
          </cell>
          <cell r="D1366" t="str">
            <v>351-400</v>
          </cell>
          <cell r="E1366">
            <v>57.7</v>
          </cell>
          <cell r="F1366">
            <v>15.3</v>
          </cell>
          <cell r="G1366">
            <v>51</v>
          </cell>
          <cell r="H1366">
            <v>41.9</v>
          </cell>
          <cell r="I1366" t="str">
            <v>-</v>
          </cell>
          <cell r="J1366">
            <v>19646</v>
          </cell>
          <cell r="K1366">
            <v>29.1</v>
          </cell>
          <cell r="L1366">
            <v>0.1</v>
          </cell>
          <cell r="M1366">
            <v>2.036111111111111</v>
          </cell>
          <cell r="N1366">
            <v>2014</v>
          </cell>
          <cell r="O1366">
            <v>687</v>
          </cell>
          <cell r="P1366">
            <v>8</v>
          </cell>
        </row>
        <row r="1367">
          <cell r="B1367" t="str">
            <v>King Abdulaziz University</v>
          </cell>
          <cell r="C1367" t="str">
            <v>Saudi Arabia</v>
          </cell>
          <cell r="D1367" t="str">
            <v>351-400</v>
          </cell>
          <cell r="E1367">
            <v>74.3</v>
          </cell>
          <cell r="F1367">
            <v>9.4</v>
          </cell>
          <cell r="G1367">
            <v>58.2</v>
          </cell>
          <cell r="H1367">
            <v>39.700000000000003</v>
          </cell>
          <cell r="I1367" t="str">
            <v>-</v>
          </cell>
          <cell r="J1367">
            <v>35889</v>
          </cell>
          <cell r="K1367">
            <v>8.4</v>
          </cell>
          <cell r="L1367">
            <v>0.21</v>
          </cell>
          <cell r="M1367">
            <v>2.4048611111111109</v>
          </cell>
          <cell r="N1367">
            <v>2014</v>
          </cell>
          <cell r="O1367">
            <v>992</v>
          </cell>
          <cell r="P1367">
            <v>4</v>
          </cell>
        </row>
        <row r="1368">
          <cell r="B1368" t="str">
            <v>King Saud University</v>
          </cell>
          <cell r="C1368" t="str">
            <v>Saudi Arabia</v>
          </cell>
          <cell r="D1368" t="str">
            <v>351-400</v>
          </cell>
          <cell r="E1368">
            <v>72.2</v>
          </cell>
          <cell r="F1368">
            <v>21.1</v>
          </cell>
          <cell r="G1368">
            <v>32.299999999999997</v>
          </cell>
          <cell r="H1368">
            <v>93.9</v>
          </cell>
          <cell r="I1368" t="str">
            <v>-</v>
          </cell>
          <cell r="J1368">
            <v>40666</v>
          </cell>
          <cell r="K1368">
            <v>13.4</v>
          </cell>
          <cell r="L1368">
            <v>7.0000000000000007E-2</v>
          </cell>
          <cell r="N1368">
            <v>2014</v>
          </cell>
          <cell r="O1368">
            <v>420</v>
          </cell>
          <cell r="P1368">
            <v>1</v>
          </cell>
        </row>
        <row r="1369">
          <cell r="B1369" t="str">
            <v>Leibniz University of Hanover</v>
          </cell>
          <cell r="C1369" t="str">
            <v>Germany</v>
          </cell>
          <cell r="D1369" t="str">
            <v>351-400</v>
          </cell>
          <cell r="E1369">
            <v>47.2</v>
          </cell>
          <cell r="F1369">
            <v>15.4</v>
          </cell>
          <cell r="G1369">
            <v>39.5</v>
          </cell>
          <cell r="H1369">
            <v>42.7</v>
          </cell>
          <cell r="I1369" t="str">
            <v>-</v>
          </cell>
          <cell r="J1369">
            <v>22401</v>
          </cell>
          <cell r="K1369">
            <v>62.7</v>
          </cell>
          <cell r="L1369">
            <v>0.12</v>
          </cell>
          <cell r="M1369">
            <v>1.7493055555555554</v>
          </cell>
          <cell r="N1369">
            <v>2014</v>
          </cell>
          <cell r="O1369" t="e">
            <v>#N/A</v>
          </cell>
          <cell r="P1369" t="e">
            <v>#N/A</v>
          </cell>
        </row>
        <row r="1370">
          <cell r="B1370" t="str">
            <v>Liverpool John Moores University</v>
          </cell>
          <cell r="C1370" t="str">
            <v>United Kingdom</v>
          </cell>
          <cell r="D1370" t="str">
            <v>351-400</v>
          </cell>
          <cell r="E1370">
            <v>58.1</v>
          </cell>
          <cell r="F1370">
            <v>12.5</v>
          </cell>
          <cell r="G1370">
            <v>57.5</v>
          </cell>
          <cell r="H1370">
            <v>28.8</v>
          </cell>
          <cell r="I1370" t="str">
            <v>-</v>
          </cell>
          <cell r="J1370">
            <v>18513</v>
          </cell>
          <cell r="K1370">
            <v>19.8</v>
          </cell>
          <cell r="L1370">
            <v>0.13</v>
          </cell>
          <cell r="M1370">
            <v>2.2000000000000002</v>
          </cell>
          <cell r="N1370">
            <v>2014</v>
          </cell>
          <cell r="O1370">
            <v>724</v>
          </cell>
          <cell r="P1370">
            <v>56</v>
          </cell>
        </row>
        <row r="1371">
          <cell r="B1371" t="str">
            <v>Loughborough University</v>
          </cell>
          <cell r="C1371" t="str">
            <v>United Kingdom</v>
          </cell>
          <cell r="D1371" t="str">
            <v>351-400</v>
          </cell>
          <cell r="E1371">
            <v>65.400000000000006</v>
          </cell>
          <cell r="F1371">
            <v>27.9</v>
          </cell>
          <cell r="G1371">
            <v>22.8</v>
          </cell>
          <cell r="H1371">
            <v>42.6</v>
          </cell>
          <cell r="I1371" t="str">
            <v>-</v>
          </cell>
          <cell r="J1371">
            <v>13951</v>
          </cell>
          <cell r="K1371">
            <v>15.9</v>
          </cell>
          <cell r="L1371">
            <v>0.22</v>
          </cell>
          <cell r="M1371" t="str">
            <v>38 : 62</v>
          </cell>
          <cell r="N1371">
            <v>2014</v>
          </cell>
          <cell r="O1371">
            <v>705</v>
          </cell>
          <cell r="P1371">
            <v>54</v>
          </cell>
        </row>
        <row r="1372">
          <cell r="B1372" t="str">
            <v>National Central University</v>
          </cell>
          <cell r="C1372" t="str">
            <v>Taiwan</v>
          </cell>
          <cell r="D1372" t="str">
            <v>351-400</v>
          </cell>
          <cell r="E1372">
            <v>34.5</v>
          </cell>
          <cell r="F1372">
            <v>22.1</v>
          </cell>
          <cell r="G1372">
            <v>46.2</v>
          </cell>
          <cell r="H1372">
            <v>83.9</v>
          </cell>
          <cell r="I1372" t="str">
            <v>-</v>
          </cell>
          <cell r="J1372">
            <v>10915</v>
          </cell>
          <cell r="K1372">
            <v>9.8000000000000007</v>
          </cell>
          <cell r="L1372">
            <v>0.06</v>
          </cell>
          <cell r="M1372" t="str">
            <v>31 : 69</v>
          </cell>
          <cell r="N1372">
            <v>2014</v>
          </cell>
          <cell r="O1372">
            <v>565</v>
          </cell>
          <cell r="P1372">
            <v>6</v>
          </cell>
        </row>
        <row r="1373">
          <cell r="B1373" t="str">
            <v>National Taiwan University of Science and Technology (Taiwan Tech)</v>
          </cell>
          <cell r="C1373" t="str">
            <v>Taiwan</v>
          </cell>
          <cell r="D1373" t="str">
            <v>351-400</v>
          </cell>
          <cell r="E1373">
            <v>21.6</v>
          </cell>
          <cell r="F1373">
            <v>40.4</v>
          </cell>
          <cell r="G1373">
            <v>33</v>
          </cell>
          <cell r="H1373">
            <v>47.9</v>
          </cell>
          <cell r="I1373" t="str">
            <v>-</v>
          </cell>
          <cell r="J1373">
            <v>7446</v>
          </cell>
          <cell r="K1373">
            <v>17.399999999999999</v>
          </cell>
          <cell r="L1373">
            <v>0.11</v>
          </cell>
          <cell r="M1373" t="str">
            <v>34 : 66</v>
          </cell>
          <cell r="N1373">
            <v>2014</v>
          </cell>
          <cell r="O1373" t="e">
            <v>#N/A</v>
          </cell>
          <cell r="P1373" t="e">
            <v>#N/A</v>
          </cell>
        </row>
        <row r="1374">
          <cell r="B1374" t="str">
            <v>National University of Ireland, Maynooth</v>
          </cell>
          <cell r="C1374" t="str">
            <v>Republic of Ireland</v>
          </cell>
          <cell r="D1374" t="str">
            <v>351-400</v>
          </cell>
          <cell r="E1374">
            <v>70.3</v>
          </cell>
          <cell r="F1374">
            <v>20.9</v>
          </cell>
          <cell r="G1374">
            <v>34.6</v>
          </cell>
          <cell r="H1374">
            <v>33</v>
          </cell>
          <cell r="I1374" t="str">
            <v>-</v>
          </cell>
          <cell r="J1374">
            <v>7653</v>
          </cell>
          <cell r="K1374">
            <v>28</v>
          </cell>
          <cell r="L1374">
            <v>0.11</v>
          </cell>
          <cell r="M1374">
            <v>2.3229166666666665</v>
          </cell>
          <cell r="N1374">
            <v>2014</v>
          </cell>
          <cell r="O1374">
            <v>820</v>
          </cell>
          <cell r="P1374">
            <v>7</v>
          </cell>
        </row>
        <row r="1375">
          <cell r="B1375" t="str">
            <v>Old Dominion University</v>
          </cell>
          <cell r="C1375" t="str">
            <v>United States of America</v>
          </cell>
          <cell r="D1375" t="str">
            <v>351-400</v>
          </cell>
          <cell r="E1375">
            <v>30.2</v>
          </cell>
          <cell r="F1375">
            <v>14.3</v>
          </cell>
          <cell r="G1375">
            <v>58.7</v>
          </cell>
          <cell r="H1375" t="str">
            <v>-</v>
          </cell>
          <cell r="I1375" t="str">
            <v>-</v>
          </cell>
          <cell r="N1375">
            <v>2014</v>
          </cell>
          <cell r="O1375">
            <v>675</v>
          </cell>
          <cell r="P1375">
            <v>194</v>
          </cell>
        </row>
        <row r="1376">
          <cell r="B1376" t="str">
            <v>Polytechnic University of Valencia</v>
          </cell>
          <cell r="C1376" t="str">
            <v>Spain</v>
          </cell>
          <cell r="D1376" t="str">
            <v>351-400</v>
          </cell>
          <cell r="E1376">
            <v>28.2</v>
          </cell>
          <cell r="F1376">
            <v>13.1</v>
          </cell>
          <cell r="G1376">
            <v>59</v>
          </cell>
          <cell r="H1376">
            <v>39.799999999999997</v>
          </cell>
          <cell r="I1376" t="str">
            <v>-</v>
          </cell>
          <cell r="J1376">
            <v>33172</v>
          </cell>
          <cell r="K1376">
            <v>13.6</v>
          </cell>
          <cell r="L1376">
            <v>7.0000000000000007E-2</v>
          </cell>
          <cell r="M1376" t="str">
            <v>36 : 64</v>
          </cell>
          <cell r="N1376">
            <v>2014</v>
          </cell>
          <cell r="O1376">
            <v>474</v>
          </cell>
          <cell r="P1376">
            <v>13</v>
          </cell>
        </row>
        <row r="1377">
          <cell r="B1377" t="str">
            <v>Ruhr University Bochum</v>
          </cell>
          <cell r="C1377" t="str">
            <v>Germany</v>
          </cell>
          <cell r="D1377" t="str">
            <v>351-400</v>
          </cell>
          <cell r="E1377">
            <v>50.9</v>
          </cell>
          <cell r="F1377">
            <v>20.9</v>
          </cell>
          <cell r="G1377">
            <v>42</v>
          </cell>
          <cell r="H1377">
            <v>45.2</v>
          </cell>
          <cell r="I1377" t="str">
            <v>-</v>
          </cell>
          <cell r="J1377">
            <v>38675</v>
          </cell>
          <cell r="K1377">
            <v>46.3</v>
          </cell>
          <cell r="L1377">
            <v>0.13</v>
          </cell>
          <cell r="M1377">
            <v>2.036111111111111</v>
          </cell>
          <cell r="N1377">
            <v>2014</v>
          </cell>
          <cell r="O1377">
            <v>304</v>
          </cell>
          <cell r="P1377">
            <v>28</v>
          </cell>
        </row>
        <row r="1378">
          <cell r="B1378" t="str">
            <v>San Diego State University</v>
          </cell>
          <cell r="C1378" t="str">
            <v>United States of America</v>
          </cell>
          <cell r="D1378" t="str">
            <v>351-400</v>
          </cell>
          <cell r="E1378">
            <v>22.2</v>
          </cell>
          <cell r="F1378">
            <v>23.1</v>
          </cell>
          <cell r="G1378">
            <v>61.1</v>
          </cell>
          <cell r="H1378">
            <v>29.2</v>
          </cell>
          <cell r="I1378" t="str">
            <v>-</v>
          </cell>
          <cell r="J1378">
            <v>27420</v>
          </cell>
          <cell r="K1378">
            <v>31.7</v>
          </cell>
          <cell r="L1378">
            <v>0.05</v>
          </cell>
          <cell r="M1378">
            <v>2.4048611111111109</v>
          </cell>
          <cell r="N1378">
            <v>2014</v>
          </cell>
          <cell r="O1378">
            <v>348</v>
          </cell>
          <cell r="P1378">
            <v>127</v>
          </cell>
        </row>
        <row r="1379">
          <cell r="B1379" t="str">
            <v>Sun Yat-sen University</v>
          </cell>
          <cell r="C1379" t="str">
            <v>China</v>
          </cell>
          <cell r="D1379" t="str">
            <v>351-400</v>
          </cell>
          <cell r="E1379">
            <v>25.5</v>
          </cell>
          <cell r="F1379">
            <v>18.2</v>
          </cell>
          <cell r="G1379">
            <v>48.1</v>
          </cell>
          <cell r="H1379">
            <v>43.4</v>
          </cell>
          <cell r="I1379" t="str">
            <v>-</v>
          </cell>
          <cell r="J1379">
            <v>51351</v>
          </cell>
          <cell r="K1379">
            <v>16.600000000000001</v>
          </cell>
          <cell r="L1379">
            <v>0.08</v>
          </cell>
          <cell r="M1379">
            <v>2.1590277777777778</v>
          </cell>
          <cell r="N1379">
            <v>2014</v>
          </cell>
          <cell r="O1379">
            <v>292</v>
          </cell>
          <cell r="P1379">
            <v>9</v>
          </cell>
        </row>
        <row r="1380">
          <cell r="B1380" t="str">
            <v>Swinburne University of Technology</v>
          </cell>
          <cell r="C1380" t="str">
            <v>Australia</v>
          </cell>
          <cell r="D1380" t="str">
            <v>351-400</v>
          </cell>
          <cell r="E1380">
            <v>68.5</v>
          </cell>
          <cell r="F1380">
            <v>19.399999999999999</v>
          </cell>
          <cell r="G1380">
            <v>49.1</v>
          </cell>
          <cell r="H1380">
            <v>46.7</v>
          </cell>
          <cell r="I1380" t="str">
            <v>-</v>
          </cell>
          <cell r="J1380">
            <v>20314</v>
          </cell>
          <cell r="K1380">
            <v>36.5</v>
          </cell>
          <cell r="L1380">
            <v>0.33</v>
          </cell>
          <cell r="M1380">
            <v>1.8722222222222222</v>
          </cell>
          <cell r="N1380">
            <v>2014</v>
          </cell>
          <cell r="O1380">
            <v>737</v>
          </cell>
          <cell r="P1380">
            <v>21</v>
          </cell>
        </row>
        <row r="1381">
          <cell r="B1381" t="str">
            <v>Temple University</v>
          </cell>
          <cell r="C1381" t="str">
            <v>United States of America</v>
          </cell>
          <cell r="D1381" t="str">
            <v>351-400</v>
          </cell>
          <cell r="E1381">
            <v>22.4</v>
          </cell>
          <cell r="F1381">
            <v>15</v>
          </cell>
          <cell r="G1381">
            <v>42.4</v>
          </cell>
          <cell r="H1381" t="str">
            <v>-</v>
          </cell>
          <cell r="I1381" t="str">
            <v>-</v>
          </cell>
          <cell r="J1381">
            <v>33268</v>
          </cell>
          <cell r="K1381">
            <v>13.3</v>
          </cell>
          <cell r="L1381">
            <v>0.05</v>
          </cell>
          <cell r="M1381">
            <v>2.1590277777777778</v>
          </cell>
          <cell r="N1381">
            <v>2014</v>
          </cell>
          <cell r="O1381">
            <v>390</v>
          </cell>
          <cell r="P1381">
            <v>136</v>
          </cell>
        </row>
        <row r="1382">
          <cell r="B1382" t="str">
            <v>UiT The Arctic University of Norway</v>
          </cell>
          <cell r="C1382" t="str">
            <v>Norway</v>
          </cell>
          <cell r="D1382" t="str">
            <v>351-400</v>
          </cell>
          <cell r="E1382">
            <v>59.6</v>
          </cell>
          <cell r="F1382">
            <v>15.8</v>
          </cell>
          <cell r="G1382">
            <v>54.2</v>
          </cell>
          <cell r="H1382">
            <v>39.200000000000003</v>
          </cell>
          <cell r="I1382" t="str">
            <v>-</v>
          </cell>
          <cell r="J1382">
            <v>10398</v>
          </cell>
          <cell r="K1382">
            <v>12.2</v>
          </cell>
          <cell r="L1382">
            <v>0.1</v>
          </cell>
          <cell r="M1382">
            <v>2.5277777777777777</v>
          </cell>
          <cell r="N1382">
            <v>2014</v>
          </cell>
          <cell r="O1382" t="e">
            <v>#N/A</v>
          </cell>
          <cell r="P1382" t="e">
            <v>#N/A</v>
          </cell>
        </row>
        <row r="1383">
          <cell r="B1383" t="str">
            <v>University of Bari Aldo Moro</v>
          </cell>
          <cell r="C1383" t="str">
            <v>Italy</v>
          </cell>
          <cell r="D1383" t="str">
            <v>351-400</v>
          </cell>
          <cell r="E1383">
            <v>34.700000000000003</v>
          </cell>
          <cell r="F1383">
            <v>21.1</v>
          </cell>
          <cell r="G1383">
            <v>48.2</v>
          </cell>
          <cell r="H1383">
            <v>34.9</v>
          </cell>
          <cell r="I1383" t="str">
            <v>-</v>
          </cell>
          <cell r="J1383">
            <v>51560</v>
          </cell>
          <cell r="K1383">
            <v>65.099999999999994</v>
          </cell>
          <cell r="L1383">
            <v>0.02</v>
          </cell>
          <cell r="M1383">
            <v>2.7326388888888888</v>
          </cell>
          <cell r="N1383">
            <v>2014</v>
          </cell>
          <cell r="O1383">
            <v>388</v>
          </cell>
          <cell r="P1383">
            <v>18</v>
          </cell>
        </row>
        <row r="1384">
          <cell r="B1384" t="str">
            <v>University of Duisburg-Essen</v>
          </cell>
          <cell r="C1384" t="str">
            <v>Germany</v>
          </cell>
          <cell r="D1384" t="str">
            <v>351-400</v>
          </cell>
          <cell r="E1384">
            <v>47.7</v>
          </cell>
          <cell r="F1384">
            <v>12</v>
          </cell>
          <cell r="G1384">
            <v>59.9</v>
          </cell>
          <cell r="H1384">
            <v>41.7</v>
          </cell>
          <cell r="I1384" t="str">
            <v>-</v>
          </cell>
          <cell r="J1384">
            <v>36051</v>
          </cell>
          <cell r="K1384">
            <v>46.6</v>
          </cell>
          <cell r="L1384">
            <v>0.11</v>
          </cell>
          <cell r="M1384">
            <v>2.0770833333333334</v>
          </cell>
          <cell r="N1384">
            <v>2014</v>
          </cell>
          <cell r="O1384">
            <v>303</v>
          </cell>
          <cell r="P1384">
            <v>27</v>
          </cell>
        </row>
        <row r="1385">
          <cell r="B1385" t="str">
            <v>University of Ferrara</v>
          </cell>
          <cell r="C1385" t="str">
            <v>Italy</v>
          </cell>
          <cell r="D1385" t="str">
            <v>351-400</v>
          </cell>
          <cell r="E1385">
            <v>38.6</v>
          </cell>
          <cell r="F1385">
            <v>14.4</v>
          </cell>
          <cell r="G1385">
            <v>64.2</v>
          </cell>
          <cell r="H1385">
            <v>38.5</v>
          </cell>
          <cell r="I1385" t="str">
            <v>-</v>
          </cell>
          <cell r="J1385">
            <v>18882</v>
          </cell>
          <cell r="K1385">
            <v>30.2</v>
          </cell>
          <cell r="L1385">
            <v>7.0000000000000007E-2</v>
          </cell>
          <cell r="M1385">
            <v>2.3638888888888889</v>
          </cell>
          <cell r="N1385">
            <v>2014</v>
          </cell>
          <cell r="O1385">
            <v>387</v>
          </cell>
          <cell r="P1385">
            <v>17</v>
          </cell>
        </row>
        <row r="1386">
          <cell r="B1386" t="str">
            <v>University of Florence</v>
          </cell>
          <cell r="C1386" t="str">
            <v>Italy</v>
          </cell>
          <cell r="D1386" t="str">
            <v>351-400</v>
          </cell>
          <cell r="E1386">
            <v>37.299999999999997</v>
          </cell>
          <cell r="F1386">
            <v>13.2</v>
          </cell>
          <cell r="G1386">
            <v>57.7</v>
          </cell>
          <cell r="H1386">
            <v>34.200000000000003</v>
          </cell>
          <cell r="I1386" t="str">
            <v>-</v>
          </cell>
          <cell r="J1386">
            <v>54290</v>
          </cell>
          <cell r="K1386">
            <v>17.2</v>
          </cell>
          <cell r="L1386">
            <v>7.0000000000000007E-2</v>
          </cell>
          <cell r="M1386">
            <v>2.4868055555555557</v>
          </cell>
          <cell r="N1386">
            <v>2014</v>
          </cell>
          <cell r="O1386">
            <v>266</v>
          </cell>
          <cell r="P1386">
            <v>6</v>
          </cell>
        </row>
        <row r="1387">
          <cell r="B1387" t="str">
            <v>University of Graz</v>
          </cell>
          <cell r="C1387" t="str">
            <v>Austria</v>
          </cell>
          <cell r="D1387" t="str">
            <v>351-400</v>
          </cell>
          <cell r="E1387">
            <v>59.9</v>
          </cell>
          <cell r="F1387">
            <v>14.4</v>
          </cell>
          <cell r="G1387">
            <v>51</v>
          </cell>
          <cell r="H1387">
            <v>29.5</v>
          </cell>
          <cell r="I1387" t="str">
            <v>-</v>
          </cell>
          <cell r="J1387">
            <v>20584</v>
          </cell>
          <cell r="K1387">
            <v>26.8</v>
          </cell>
          <cell r="L1387">
            <v>0.12</v>
          </cell>
          <cell r="M1387">
            <v>2.7326388888888888</v>
          </cell>
          <cell r="N1387">
            <v>2014</v>
          </cell>
          <cell r="O1387">
            <v>518</v>
          </cell>
          <cell r="P1387">
            <v>6</v>
          </cell>
        </row>
        <row r="1388">
          <cell r="B1388" t="str">
            <v>University of Guelph</v>
          </cell>
          <cell r="C1388" t="str">
            <v>Canada</v>
          </cell>
          <cell r="D1388" t="str">
            <v>351-400</v>
          </cell>
          <cell r="E1388">
            <v>39.1</v>
          </cell>
          <cell r="F1388">
            <v>22.6</v>
          </cell>
          <cell r="G1388">
            <v>45.1</v>
          </cell>
          <cell r="H1388">
            <v>47.8</v>
          </cell>
          <cell r="I1388" t="str">
            <v>-</v>
          </cell>
          <cell r="J1388">
            <v>21643</v>
          </cell>
          <cell r="K1388">
            <v>28.3</v>
          </cell>
          <cell r="L1388">
            <v>0.04</v>
          </cell>
          <cell r="M1388">
            <v>2.5277777777777777</v>
          </cell>
          <cell r="N1388">
            <v>2014</v>
          </cell>
          <cell r="O1388">
            <v>366</v>
          </cell>
          <cell r="P1388">
            <v>15</v>
          </cell>
        </row>
        <row r="1389">
          <cell r="B1389" t="str">
            <v>University of JyvÃ¤skylÃ¤</v>
          </cell>
          <cell r="C1389" t="str">
            <v>Finland</v>
          </cell>
          <cell r="D1389" t="str">
            <v>351-400</v>
          </cell>
          <cell r="E1389">
            <v>42.8</v>
          </cell>
          <cell r="F1389">
            <v>16.3</v>
          </cell>
          <cell r="G1389">
            <v>47.2</v>
          </cell>
          <cell r="H1389" t="str">
            <v>-</v>
          </cell>
          <cell r="I1389" t="str">
            <v>-</v>
          </cell>
          <cell r="J1389">
            <v>9703</v>
          </cell>
          <cell r="K1389">
            <v>15.2</v>
          </cell>
          <cell r="L1389">
            <v>0.05</v>
          </cell>
          <cell r="M1389">
            <v>2.6097222222222221</v>
          </cell>
          <cell r="N1389">
            <v>2014</v>
          </cell>
          <cell r="O1389">
            <v>664</v>
          </cell>
          <cell r="P1389">
            <v>8</v>
          </cell>
        </row>
        <row r="1390">
          <cell r="B1390" t="str">
            <v>University of Maryland, Baltimore County</v>
          </cell>
          <cell r="C1390" t="str">
            <v>United States of America</v>
          </cell>
          <cell r="D1390" t="str">
            <v>351-400</v>
          </cell>
          <cell r="E1390">
            <v>34.4</v>
          </cell>
          <cell r="F1390">
            <v>15</v>
          </cell>
          <cell r="G1390">
            <v>65.900000000000006</v>
          </cell>
          <cell r="H1390">
            <v>32.6</v>
          </cell>
          <cell r="I1390" t="str">
            <v>-</v>
          </cell>
          <cell r="J1390">
            <v>13908</v>
          </cell>
          <cell r="K1390">
            <v>18.100000000000001</v>
          </cell>
          <cell r="L1390">
            <v>7.0000000000000007E-2</v>
          </cell>
          <cell r="M1390">
            <v>1.9541666666666666</v>
          </cell>
          <cell r="N1390">
            <v>2014</v>
          </cell>
          <cell r="O1390">
            <v>505</v>
          </cell>
          <cell r="P1390">
            <v>162</v>
          </cell>
        </row>
        <row r="1391">
          <cell r="B1391" t="str">
            <v>University of Minho</v>
          </cell>
          <cell r="C1391" t="str">
            <v>Portugal</v>
          </cell>
          <cell r="D1391" t="str">
            <v>351-400</v>
          </cell>
          <cell r="E1391">
            <v>46.9</v>
          </cell>
          <cell r="F1391">
            <v>18.600000000000001</v>
          </cell>
          <cell r="G1391">
            <v>50.3</v>
          </cell>
          <cell r="H1391">
            <v>37.4</v>
          </cell>
          <cell r="I1391" t="str">
            <v>-</v>
          </cell>
          <cell r="J1391">
            <v>19090</v>
          </cell>
          <cell r="K1391">
            <v>18.8</v>
          </cell>
          <cell r="L1391">
            <v>0.09</v>
          </cell>
          <cell r="M1391">
            <v>2.2000000000000002</v>
          </cell>
          <cell r="N1391">
            <v>2014</v>
          </cell>
          <cell r="O1391">
            <v>679</v>
          </cell>
          <cell r="P1391">
            <v>6</v>
          </cell>
        </row>
        <row r="1392">
          <cell r="B1392" t="str">
            <v>University of Navarra</v>
          </cell>
          <cell r="C1392" t="str">
            <v>Spain</v>
          </cell>
          <cell r="D1392" t="str">
            <v>351-400</v>
          </cell>
          <cell r="E1392">
            <v>45.7</v>
          </cell>
          <cell r="F1392">
            <v>23.4</v>
          </cell>
          <cell r="G1392">
            <v>33.700000000000003</v>
          </cell>
          <cell r="H1392">
            <v>86.2</v>
          </cell>
          <cell r="I1392" t="str">
            <v>-</v>
          </cell>
          <cell r="J1392">
            <v>11259</v>
          </cell>
          <cell r="K1392">
            <v>10.6</v>
          </cell>
          <cell r="L1392">
            <v>0.16</v>
          </cell>
          <cell r="M1392">
            <v>2.2000000000000002</v>
          </cell>
          <cell r="N1392">
            <v>2014</v>
          </cell>
          <cell r="O1392">
            <v>347</v>
          </cell>
          <cell r="P1392">
            <v>6</v>
          </cell>
        </row>
        <row r="1393">
          <cell r="B1393" t="str">
            <v>University of Oklahoma</v>
          </cell>
          <cell r="C1393" t="str">
            <v>United States of America</v>
          </cell>
          <cell r="D1393" t="str">
            <v>351-400</v>
          </cell>
          <cell r="E1393">
            <v>26.7</v>
          </cell>
          <cell r="F1393">
            <v>14.7</v>
          </cell>
          <cell r="G1393">
            <v>46.1</v>
          </cell>
          <cell r="H1393">
            <v>35.200000000000003</v>
          </cell>
          <cell r="I1393" t="str">
            <v>-</v>
          </cell>
          <cell r="N1393">
            <v>2014</v>
          </cell>
          <cell r="O1393" t="e">
            <v>#N/A</v>
          </cell>
          <cell r="P1393" t="e">
            <v>#N/A</v>
          </cell>
        </row>
        <row r="1394">
          <cell r="B1394" t="str">
            <v>University of Porto</v>
          </cell>
          <cell r="C1394" t="str">
            <v>Portugal</v>
          </cell>
          <cell r="D1394" t="str">
            <v>351-400</v>
          </cell>
          <cell r="E1394">
            <v>43.9</v>
          </cell>
          <cell r="F1394">
            <v>17.8</v>
          </cell>
          <cell r="G1394">
            <v>47.6</v>
          </cell>
          <cell r="H1394">
            <v>36.700000000000003</v>
          </cell>
          <cell r="I1394" t="str">
            <v>-</v>
          </cell>
          <cell r="J1394">
            <v>32720</v>
          </cell>
          <cell r="K1394">
            <v>18.8</v>
          </cell>
          <cell r="L1394">
            <v>0.09</v>
          </cell>
          <cell r="M1394">
            <v>2.2819444444444446</v>
          </cell>
          <cell r="N1394">
            <v>2014</v>
          </cell>
          <cell r="O1394">
            <v>290</v>
          </cell>
          <cell r="P1394">
            <v>2</v>
          </cell>
        </row>
        <row r="1395">
          <cell r="B1395" t="str">
            <v>University of Portsmouth</v>
          </cell>
          <cell r="C1395" t="str">
            <v>United Kingdom</v>
          </cell>
          <cell r="D1395" t="str">
            <v>351-400</v>
          </cell>
          <cell r="E1395">
            <v>73.3</v>
          </cell>
          <cell r="F1395">
            <v>11.8</v>
          </cell>
          <cell r="G1395">
            <v>56.3</v>
          </cell>
          <cell r="H1395">
            <v>29.1</v>
          </cell>
          <cell r="I1395" t="str">
            <v>-</v>
          </cell>
          <cell r="J1395">
            <v>20161</v>
          </cell>
          <cell r="K1395">
            <v>19.100000000000001</v>
          </cell>
          <cell r="L1395">
            <v>0.23</v>
          </cell>
          <cell r="M1395">
            <v>1.9131944444444444</v>
          </cell>
          <cell r="N1395">
            <v>2014</v>
          </cell>
          <cell r="O1395">
            <v>640</v>
          </cell>
          <cell r="P1395">
            <v>48</v>
          </cell>
        </row>
        <row r="1396">
          <cell r="B1396" t="str">
            <v>University of Rovira i Virgili</v>
          </cell>
          <cell r="C1396" t="str">
            <v>Spain</v>
          </cell>
          <cell r="D1396" t="str">
            <v>351-400</v>
          </cell>
          <cell r="E1396">
            <v>34.299999999999997</v>
          </cell>
          <cell r="F1396">
            <v>13.6</v>
          </cell>
          <cell r="G1396">
            <v>64.2</v>
          </cell>
          <cell r="H1396">
            <v>30.6</v>
          </cell>
          <cell r="I1396" t="str">
            <v>-</v>
          </cell>
          <cell r="J1396">
            <v>12533</v>
          </cell>
          <cell r="K1396">
            <v>12.8</v>
          </cell>
          <cell r="L1396">
            <v>0.09</v>
          </cell>
          <cell r="M1396">
            <v>2.5687500000000001</v>
          </cell>
          <cell r="N1396">
            <v>2014</v>
          </cell>
          <cell r="O1396" t="e">
            <v>#N/A</v>
          </cell>
          <cell r="P1396" t="e">
            <v>#N/A</v>
          </cell>
        </row>
        <row r="1397">
          <cell r="B1397" t="str">
            <v>University of Stirling</v>
          </cell>
          <cell r="C1397" t="str">
            <v>United Kingdom</v>
          </cell>
          <cell r="D1397" t="str">
            <v>351-400</v>
          </cell>
          <cell r="E1397">
            <v>62.8</v>
          </cell>
          <cell r="F1397">
            <v>22.6</v>
          </cell>
          <cell r="G1397">
            <v>50.1</v>
          </cell>
          <cell r="H1397">
            <v>30.3</v>
          </cell>
          <cell r="I1397" t="str">
            <v>-</v>
          </cell>
          <cell r="J1397">
            <v>7828</v>
          </cell>
          <cell r="K1397">
            <v>15.9</v>
          </cell>
          <cell r="L1397">
            <v>0.22</v>
          </cell>
          <cell r="M1397">
            <v>2.5687500000000001</v>
          </cell>
          <cell r="N1397">
            <v>2014</v>
          </cell>
          <cell r="O1397">
            <v>735</v>
          </cell>
          <cell r="P1397">
            <v>57</v>
          </cell>
        </row>
        <row r="1398">
          <cell r="B1398" t="str">
            <v>University of Surrey</v>
          </cell>
          <cell r="C1398" t="str">
            <v>United Kingdom</v>
          </cell>
          <cell r="D1398" t="str">
            <v>351-400</v>
          </cell>
          <cell r="E1398">
            <v>83.5</v>
          </cell>
          <cell r="F1398">
            <v>22.7</v>
          </cell>
          <cell r="G1398">
            <v>25.7</v>
          </cell>
          <cell r="H1398">
            <v>40.299999999999997</v>
          </cell>
          <cell r="I1398" t="str">
            <v>-</v>
          </cell>
          <cell r="J1398">
            <v>12063</v>
          </cell>
          <cell r="K1398">
            <v>16.600000000000001</v>
          </cell>
          <cell r="L1398">
            <v>0.38</v>
          </cell>
          <cell r="M1398">
            <v>2.3229166666666665</v>
          </cell>
          <cell r="N1398">
            <v>2014</v>
          </cell>
          <cell r="O1398">
            <v>499</v>
          </cell>
          <cell r="P1398">
            <v>41</v>
          </cell>
        </row>
        <row r="1399">
          <cell r="B1399" t="str">
            <v>University of Tartu</v>
          </cell>
          <cell r="C1399" t="str">
            <v>Estonia</v>
          </cell>
          <cell r="D1399" t="str">
            <v>351-400</v>
          </cell>
          <cell r="E1399">
            <v>43.7</v>
          </cell>
          <cell r="F1399">
            <v>21.2</v>
          </cell>
          <cell r="G1399">
            <v>46.2</v>
          </cell>
          <cell r="H1399">
            <v>30.3</v>
          </cell>
          <cell r="I1399" t="str">
            <v>-</v>
          </cell>
          <cell r="J1399">
            <v>10269</v>
          </cell>
          <cell r="K1399">
            <v>13</v>
          </cell>
          <cell r="L1399">
            <v>0.03</v>
          </cell>
          <cell r="M1399">
            <v>2.7736111111111112</v>
          </cell>
          <cell r="N1399">
            <v>2014</v>
          </cell>
          <cell r="O1399">
            <v>556</v>
          </cell>
          <cell r="P1399">
            <v>1</v>
          </cell>
        </row>
        <row r="1400">
          <cell r="B1400" t="str">
            <v>University of Tasmania</v>
          </cell>
          <cell r="C1400" t="str">
            <v>Australia</v>
          </cell>
          <cell r="D1400" t="str">
            <v>351-400</v>
          </cell>
          <cell r="E1400">
            <v>69.900000000000006</v>
          </cell>
          <cell r="F1400">
            <v>16.7</v>
          </cell>
          <cell r="G1400">
            <v>49.1</v>
          </cell>
          <cell r="H1400">
            <v>36.9</v>
          </cell>
          <cell r="I1400" t="str">
            <v>-</v>
          </cell>
          <cell r="J1400">
            <v>18340</v>
          </cell>
          <cell r="K1400">
            <v>23.8</v>
          </cell>
          <cell r="L1400">
            <v>0.21</v>
          </cell>
          <cell r="M1400">
            <v>2.4048611111111109</v>
          </cell>
          <cell r="N1400">
            <v>2014</v>
          </cell>
          <cell r="O1400">
            <v>608</v>
          </cell>
          <cell r="P1400">
            <v>15</v>
          </cell>
        </row>
        <row r="1401">
          <cell r="B1401" t="str">
            <v>University of Valencia</v>
          </cell>
          <cell r="C1401" t="str">
            <v>Spain</v>
          </cell>
          <cell r="D1401" t="str">
            <v>351-400</v>
          </cell>
          <cell r="E1401">
            <v>39.299999999999997</v>
          </cell>
          <cell r="F1401">
            <v>12.4</v>
          </cell>
          <cell r="G1401">
            <v>59</v>
          </cell>
          <cell r="H1401">
            <v>31.7</v>
          </cell>
          <cell r="I1401" t="str">
            <v>-</v>
          </cell>
          <cell r="J1401">
            <v>58413</v>
          </cell>
          <cell r="K1401">
            <v>15.4</v>
          </cell>
          <cell r="L1401">
            <v>0.09</v>
          </cell>
          <cell r="M1401">
            <v>2.5277777777777777</v>
          </cell>
          <cell r="N1401">
            <v>2014</v>
          </cell>
          <cell r="O1401">
            <v>301</v>
          </cell>
          <cell r="P1401">
            <v>4</v>
          </cell>
        </row>
        <row r="1402">
          <cell r="B1402" t="str">
            <v>University of Vigo</v>
          </cell>
          <cell r="C1402" t="str">
            <v>Spain</v>
          </cell>
          <cell r="D1402" t="str">
            <v>351-400</v>
          </cell>
          <cell r="E1402">
            <v>25.9</v>
          </cell>
          <cell r="F1402">
            <v>10.7</v>
          </cell>
          <cell r="G1402">
            <v>62.9</v>
          </cell>
          <cell r="H1402">
            <v>38.200000000000003</v>
          </cell>
          <cell r="I1402" t="str">
            <v>-</v>
          </cell>
          <cell r="J1402">
            <v>22793</v>
          </cell>
          <cell r="K1402">
            <v>19</v>
          </cell>
          <cell r="L1402">
            <v>0.03</v>
          </cell>
          <cell r="M1402">
            <v>2.1590277777777778</v>
          </cell>
          <cell r="N1402">
            <v>2014</v>
          </cell>
          <cell r="O1402">
            <v>692</v>
          </cell>
          <cell r="P1402">
            <v>22</v>
          </cell>
        </row>
        <row r="1403">
          <cell r="B1403" t="str">
            <v>University of Wyoming</v>
          </cell>
          <cell r="C1403" t="str">
            <v>United States of America</v>
          </cell>
          <cell r="D1403" t="str">
            <v>351-400</v>
          </cell>
          <cell r="E1403">
            <v>29.7</v>
          </cell>
          <cell r="F1403">
            <v>28.6</v>
          </cell>
          <cell r="G1403">
            <v>46.1</v>
          </cell>
          <cell r="H1403">
            <v>29.6</v>
          </cell>
          <cell r="I1403" t="str">
            <v>-</v>
          </cell>
          <cell r="N1403">
            <v>2014</v>
          </cell>
          <cell r="O1403">
            <v>485</v>
          </cell>
          <cell r="P1403">
            <v>157</v>
          </cell>
        </row>
        <row r="1404">
          <cell r="B1404" t="str">
            <v>California Institute of Technology</v>
          </cell>
          <cell r="C1404" t="str">
            <v>United States of America</v>
          </cell>
          <cell r="D1404">
            <v>1</v>
          </cell>
          <cell r="E1404">
            <v>67</v>
          </cell>
          <cell r="F1404">
            <v>98.1</v>
          </cell>
          <cell r="G1404">
            <v>99.7</v>
          </cell>
          <cell r="H1404">
            <v>89.1</v>
          </cell>
          <cell r="I1404">
            <v>94.3</v>
          </cell>
          <cell r="J1404">
            <v>2243</v>
          </cell>
          <cell r="K1404">
            <v>6.9</v>
          </cell>
          <cell r="L1404">
            <v>0.27</v>
          </cell>
          <cell r="M1404" t="str">
            <v>33 : 67</v>
          </cell>
          <cell r="N1404">
            <v>2015</v>
          </cell>
          <cell r="O1404">
            <v>5</v>
          </cell>
          <cell r="P1404">
            <v>4</v>
          </cell>
        </row>
        <row r="1405">
          <cell r="B1405" t="str">
            <v>Harvard University</v>
          </cell>
          <cell r="C1405" t="str">
            <v>United States of America</v>
          </cell>
          <cell r="D1405">
            <v>2</v>
          </cell>
          <cell r="E1405">
            <v>67.599999999999994</v>
          </cell>
          <cell r="F1405">
            <v>98.6</v>
          </cell>
          <cell r="G1405">
            <v>98.9</v>
          </cell>
          <cell r="H1405">
            <v>44</v>
          </cell>
          <cell r="I1405">
            <v>93.3</v>
          </cell>
          <cell r="J1405">
            <v>20152</v>
          </cell>
          <cell r="K1405">
            <v>8.9</v>
          </cell>
          <cell r="L1405">
            <v>0.25</v>
          </cell>
          <cell r="N1405">
            <v>2015</v>
          </cell>
          <cell r="O1405">
            <v>1</v>
          </cell>
          <cell r="P1405">
            <v>1</v>
          </cell>
        </row>
        <row r="1406">
          <cell r="B1406" t="str">
            <v>University of Oxford</v>
          </cell>
          <cell r="C1406" t="str">
            <v>United Kingdom</v>
          </cell>
          <cell r="D1406">
            <v>3</v>
          </cell>
          <cell r="E1406">
            <v>90.7</v>
          </cell>
          <cell r="F1406">
            <v>97.7</v>
          </cell>
          <cell r="G1406">
            <v>95.5</v>
          </cell>
          <cell r="H1406">
            <v>72.900000000000006</v>
          </cell>
          <cell r="I1406">
            <v>93.2</v>
          </cell>
          <cell r="J1406">
            <v>19919</v>
          </cell>
          <cell r="K1406">
            <v>11.6</v>
          </cell>
          <cell r="L1406">
            <v>0.34</v>
          </cell>
          <cell r="M1406">
            <v>1.9541666666666666</v>
          </cell>
          <cell r="N1406">
            <v>2015</v>
          </cell>
          <cell r="O1406">
            <v>7</v>
          </cell>
          <cell r="P1406">
            <v>2</v>
          </cell>
        </row>
        <row r="1407">
          <cell r="B1407" t="str">
            <v>Stanford University</v>
          </cell>
          <cell r="C1407" t="str">
            <v>United States of America</v>
          </cell>
          <cell r="D1407">
            <v>4</v>
          </cell>
          <cell r="E1407">
            <v>69</v>
          </cell>
          <cell r="F1407">
            <v>96.7</v>
          </cell>
          <cell r="G1407">
            <v>99.1</v>
          </cell>
          <cell r="H1407">
            <v>63.1</v>
          </cell>
          <cell r="I1407">
            <v>92.9</v>
          </cell>
          <cell r="J1407">
            <v>15596</v>
          </cell>
          <cell r="K1407">
            <v>7.8</v>
          </cell>
          <cell r="L1407">
            <v>0.22</v>
          </cell>
          <cell r="M1407">
            <v>1.7902777777777779</v>
          </cell>
          <cell r="N1407">
            <v>2015</v>
          </cell>
          <cell r="O1407">
            <v>3</v>
          </cell>
          <cell r="P1407">
            <v>3</v>
          </cell>
        </row>
        <row r="1408">
          <cell r="B1408" t="str">
            <v>University of Cambridge</v>
          </cell>
          <cell r="C1408" t="str">
            <v>United Kingdom</v>
          </cell>
          <cell r="D1408">
            <v>5</v>
          </cell>
          <cell r="E1408">
            <v>87.8</v>
          </cell>
          <cell r="F1408">
            <v>95.6</v>
          </cell>
          <cell r="G1408">
            <v>95.2</v>
          </cell>
          <cell r="H1408">
            <v>51.1</v>
          </cell>
          <cell r="I1408">
            <v>92</v>
          </cell>
          <cell r="J1408">
            <v>18812</v>
          </cell>
          <cell r="K1408">
            <v>11.8</v>
          </cell>
          <cell r="L1408">
            <v>0.34</v>
          </cell>
          <cell r="M1408">
            <v>1.9541666666666666</v>
          </cell>
          <cell r="N1408">
            <v>2015</v>
          </cell>
          <cell r="O1408">
            <v>4</v>
          </cell>
          <cell r="P1408">
            <v>1</v>
          </cell>
        </row>
        <row r="1409">
          <cell r="B1409" t="str">
            <v>Massachusetts Institute of Technology</v>
          </cell>
          <cell r="C1409" t="str">
            <v>United States of America</v>
          </cell>
          <cell r="D1409">
            <v>6</v>
          </cell>
          <cell r="E1409">
            <v>84.3</v>
          </cell>
          <cell r="F1409">
            <v>88.2</v>
          </cell>
          <cell r="G1409">
            <v>100</v>
          </cell>
          <cell r="H1409">
            <v>95.7</v>
          </cell>
          <cell r="I1409">
            <v>91.9</v>
          </cell>
          <cell r="J1409">
            <v>11074</v>
          </cell>
          <cell r="K1409">
            <v>9</v>
          </cell>
          <cell r="L1409">
            <v>0.33</v>
          </cell>
          <cell r="M1409" t="str">
            <v>37 : 63</v>
          </cell>
          <cell r="N1409">
            <v>2015</v>
          </cell>
          <cell r="O1409">
            <v>2</v>
          </cell>
          <cell r="P1409">
            <v>2</v>
          </cell>
        </row>
        <row r="1410">
          <cell r="B1410" t="str">
            <v>Princeton University</v>
          </cell>
          <cell r="C1410" t="str">
            <v>United States of America</v>
          </cell>
          <cell r="D1410">
            <v>7</v>
          </cell>
          <cell r="E1410">
            <v>61.2</v>
          </cell>
          <cell r="F1410">
            <v>94.7</v>
          </cell>
          <cell r="G1410">
            <v>99.6</v>
          </cell>
          <cell r="H1410">
            <v>82.7</v>
          </cell>
          <cell r="I1410">
            <v>90.9</v>
          </cell>
          <cell r="J1410">
            <v>7929</v>
          </cell>
          <cell r="K1410">
            <v>8.4</v>
          </cell>
          <cell r="L1410">
            <v>0.27</v>
          </cell>
          <cell r="M1410">
            <v>1.9131944444444444</v>
          </cell>
          <cell r="N1410">
            <v>2015</v>
          </cell>
          <cell r="O1410">
            <v>6</v>
          </cell>
          <cell r="P1410">
            <v>5</v>
          </cell>
        </row>
        <row r="1411">
          <cell r="B1411" t="str">
            <v>University of California, Berkeley</v>
          </cell>
          <cell r="C1411" t="str">
            <v>United States of America</v>
          </cell>
          <cell r="D1411">
            <v>8</v>
          </cell>
          <cell r="E1411">
            <v>58.5</v>
          </cell>
          <cell r="F1411">
            <v>96.7</v>
          </cell>
          <cell r="G1411">
            <v>99.1</v>
          </cell>
          <cell r="H1411">
            <v>44.8</v>
          </cell>
          <cell r="I1411">
            <v>89.5</v>
          </cell>
          <cell r="J1411">
            <v>36186</v>
          </cell>
          <cell r="K1411">
            <v>16.399999999999999</v>
          </cell>
          <cell r="L1411">
            <v>0.15</v>
          </cell>
          <cell r="M1411">
            <v>2.1180555555555554</v>
          </cell>
          <cell r="N1411">
            <v>2015</v>
          </cell>
          <cell r="O1411">
            <v>10</v>
          </cell>
          <cell r="P1411">
            <v>8</v>
          </cell>
        </row>
        <row r="1412">
          <cell r="B1412" t="str">
            <v>Imperial College London</v>
          </cell>
          <cell r="C1412" t="str">
            <v>United Kingdom</v>
          </cell>
          <cell r="D1412">
            <v>9</v>
          </cell>
          <cell r="E1412">
            <v>92.7</v>
          </cell>
          <cell r="F1412">
            <v>88.3</v>
          </cell>
          <cell r="G1412">
            <v>89.4</v>
          </cell>
          <cell r="H1412">
            <v>72.7</v>
          </cell>
          <cell r="I1412">
            <v>87.5</v>
          </cell>
          <cell r="J1412">
            <v>15060</v>
          </cell>
          <cell r="K1412">
            <v>11.7</v>
          </cell>
          <cell r="L1412">
            <v>0.51</v>
          </cell>
          <cell r="M1412" t="str">
            <v>37 : 63</v>
          </cell>
          <cell r="N1412">
            <v>2015</v>
          </cell>
          <cell r="O1412">
            <v>28</v>
          </cell>
          <cell r="P1412">
            <v>3</v>
          </cell>
        </row>
        <row r="1413">
          <cell r="B1413" t="str">
            <v>Yale University</v>
          </cell>
          <cell r="C1413" t="str">
            <v>United States of America</v>
          </cell>
          <cell r="D1413">
            <v>9</v>
          </cell>
          <cell r="E1413">
            <v>59.8</v>
          </cell>
          <cell r="F1413">
            <v>90.8</v>
          </cell>
          <cell r="G1413">
            <v>94</v>
          </cell>
          <cell r="H1413">
            <v>42</v>
          </cell>
          <cell r="I1413">
            <v>87.5</v>
          </cell>
          <cell r="J1413">
            <v>11751</v>
          </cell>
          <cell r="K1413">
            <v>4.4000000000000004</v>
          </cell>
          <cell r="L1413">
            <v>0.2</v>
          </cell>
          <cell r="M1413">
            <v>2.1180555555555554</v>
          </cell>
          <cell r="N1413">
            <v>2015</v>
          </cell>
          <cell r="O1413">
            <v>8</v>
          </cell>
          <cell r="P1413">
            <v>6</v>
          </cell>
        </row>
        <row r="1414">
          <cell r="B1414" t="str">
            <v>University of Chicago</v>
          </cell>
          <cell r="C1414" t="str">
            <v>United States of America</v>
          </cell>
          <cell r="D1414">
            <v>11</v>
          </cell>
          <cell r="E1414">
            <v>65.2</v>
          </cell>
          <cell r="F1414">
            <v>89.9</v>
          </cell>
          <cell r="G1414">
            <v>97.3</v>
          </cell>
          <cell r="H1414">
            <v>36.799999999999997</v>
          </cell>
          <cell r="I1414">
            <v>87.1</v>
          </cell>
          <cell r="J1414">
            <v>14221</v>
          </cell>
          <cell r="K1414">
            <v>6.9</v>
          </cell>
          <cell r="L1414">
            <v>0.21</v>
          </cell>
          <cell r="M1414">
            <v>1.7902777777777779</v>
          </cell>
          <cell r="N1414">
            <v>2015</v>
          </cell>
          <cell r="O1414">
            <v>11</v>
          </cell>
          <cell r="P1414">
            <v>9</v>
          </cell>
        </row>
        <row r="1415">
          <cell r="B1415" t="str">
            <v>University of California, Los Angeles</v>
          </cell>
          <cell r="C1415" t="str">
            <v>United States of America</v>
          </cell>
          <cell r="D1415">
            <v>12</v>
          </cell>
          <cell r="E1415">
            <v>49.2</v>
          </cell>
          <cell r="F1415">
            <v>90.5</v>
          </cell>
          <cell r="G1415">
            <v>95.3</v>
          </cell>
          <cell r="H1415" t="str">
            <v>-</v>
          </cell>
          <cell r="I1415">
            <v>85.5</v>
          </cell>
          <cell r="J1415">
            <v>38206</v>
          </cell>
          <cell r="K1415">
            <v>10.3</v>
          </cell>
          <cell r="L1415">
            <v>0.15</v>
          </cell>
          <cell r="M1415">
            <v>2.2000000000000002</v>
          </cell>
          <cell r="N1415">
            <v>2015</v>
          </cell>
          <cell r="O1415">
            <v>19</v>
          </cell>
          <cell r="P1415">
            <v>13</v>
          </cell>
        </row>
        <row r="1416">
          <cell r="B1416" t="str">
            <v>ETH Zurich â€“ Swiss Federal Institute of Technology Zurich</v>
          </cell>
          <cell r="C1416" t="str">
            <v>Switzerland</v>
          </cell>
          <cell r="D1416">
            <v>13</v>
          </cell>
          <cell r="E1416">
            <v>96.6</v>
          </cell>
          <cell r="F1416">
            <v>90.2</v>
          </cell>
          <cell r="G1416">
            <v>83.5</v>
          </cell>
          <cell r="H1416">
            <v>73.2</v>
          </cell>
          <cell r="I1416">
            <v>84.6</v>
          </cell>
          <cell r="J1416">
            <v>18178</v>
          </cell>
          <cell r="K1416">
            <v>14.7</v>
          </cell>
          <cell r="L1416">
            <v>0.37</v>
          </cell>
          <cell r="M1416" t="str">
            <v>31 : 69</v>
          </cell>
          <cell r="N1416">
            <v>2015</v>
          </cell>
          <cell r="O1416" t="e">
            <v>#N/A</v>
          </cell>
          <cell r="P1416" t="e">
            <v>#N/A</v>
          </cell>
        </row>
        <row r="1417">
          <cell r="B1417" t="str">
            <v>Columbia University</v>
          </cell>
          <cell r="C1417" t="str">
            <v>United States of America</v>
          </cell>
          <cell r="D1417">
            <v>14</v>
          </cell>
          <cell r="E1417">
            <v>68.3</v>
          </cell>
          <cell r="F1417">
            <v>79.400000000000006</v>
          </cell>
          <cell r="G1417">
            <v>95.3</v>
          </cell>
          <cell r="H1417" t="str">
            <v>-</v>
          </cell>
          <cell r="I1417">
            <v>84.4</v>
          </cell>
          <cell r="J1417">
            <v>25055</v>
          </cell>
          <cell r="K1417">
            <v>5.9</v>
          </cell>
          <cell r="L1417">
            <v>0.28000000000000003</v>
          </cell>
          <cell r="N1417">
            <v>2015</v>
          </cell>
          <cell r="O1417">
            <v>9</v>
          </cell>
          <cell r="P1417">
            <v>7</v>
          </cell>
        </row>
        <row r="1418">
          <cell r="B1418" t="str">
            <v>Johns Hopkins University</v>
          </cell>
          <cell r="C1418" t="str">
            <v>United States of America</v>
          </cell>
          <cell r="D1418">
            <v>15</v>
          </cell>
          <cell r="E1418">
            <v>59.7</v>
          </cell>
          <cell r="F1418">
            <v>84.2</v>
          </cell>
          <cell r="G1418">
            <v>93.6</v>
          </cell>
          <cell r="H1418">
            <v>100</v>
          </cell>
          <cell r="I1418">
            <v>83</v>
          </cell>
          <cell r="J1418">
            <v>15128</v>
          </cell>
          <cell r="K1418">
            <v>3.6</v>
          </cell>
          <cell r="L1418">
            <v>0.23</v>
          </cell>
          <cell r="M1418">
            <v>2.1180555555555554</v>
          </cell>
          <cell r="N1418">
            <v>2015</v>
          </cell>
          <cell r="O1418">
            <v>15</v>
          </cell>
          <cell r="P1418">
            <v>12</v>
          </cell>
        </row>
        <row r="1419">
          <cell r="B1419" t="str">
            <v>University of Pennsylvania</v>
          </cell>
          <cell r="C1419" t="str">
            <v>United States of America</v>
          </cell>
          <cell r="D1419">
            <v>16</v>
          </cell>
          <cell r="E1419">
            <v>43.8</v>
          </cell>
          <cell r="F1419">
            <v>82</v>
          </cell>
          <cell r="G1419">
            <v>94.4</v>
          </cell>
          <cell r="H1419">
            <v>43</v>
          </cell>
          <cell r="I1419">
            <v>81</v>
          </cell>
          <cell r="J1419">
            <v>20376</v>
          </cell>
          <cell r="K1419">
            <v>6.5</v>
          </cell>
          <cell r="L1419">
            <v>0.2</v>
          </cell>
          <cell r="M1419">
            <v>2.1590277777777778</v>
          </cell>
          <cell r="N1419">
            <v>2015</v>
          </cell>
          <cell r="O1419">
            <v>13</v>
          </cell>
          <cell r="P1419">
            <v>11</v>
          </cell>
        </row>
        <row r="1420">
          <cell r="B1420" t="str">
            <v>University of Michigan</v>
          </cell>
          <cell r="C1420" t="str">
            <v>United States of America</v>
          </cell>
          <cell r="D1420">
            <v>17</v>
          </cell>
          <cell r="E1420">
            <v>49.8</v>
          </cell>
          <cell r="F1420">
            <v>86.5</v>
          </cell>
          <cell r="G1420">
            <v>88.9</v>
          </cell>
          <cell r="H1420">
            <v>55.7</v>
          </cell>
          <cell r="I1420">
            <v>80.900000000000006</v>
          </cell>
          <cell r="J1420">
            <v>41786</v>
          </cell>
          <cell r="K1420">
            <v>9</v>
          </cell>
          <cell r="L1420">
            <v>0.16</v>
          </cell>
          <cell r="M1420">
            <v>2.036111111111111</v>
          </cell>
          <cell r="N1420">
            <v>2015</v>
          </cell>
          <cell r="O1420" t="e">
            <v>#N/A</v>
          </cell>
          <cell r="P1420" t="e">
            <v>#N/A</v>
          </cell>
        </row>
        <row r="1421">
          <cell r="B1421" t="str">
            <v>Duke University</v>
          </cell>
          <cell r="C1421" t="str">
            <v>United States of America</v>
          </cell>
          <cell r="D1421">
            <v>18</v>
          </cell>
          <cell r="E1421">
            <v>50.5</v>
          </cell>
          <cell r="F1421">
            <v>75.2</v>
          </cell>
          <cell r="G1421">
            <v>96.6</v>
          </cell>
          <cell r="H1421">
            <v>100</v>
          </cell>
          <cell r="I1421">
            <v>79.900000000000006</v>
          </cell>
          <cell r="J1421">
            <v>15172</v>
          </cell>
          <cell r="K1421">
            <v>4.8</v>
          </cell>
          <cell r="L1421">
            <v>0.17</v>
          </cell>
          <cell r="M1421">
            <v>2.0770833333333334</v>
          </cell>
          <cell r="N1421">
            <v>2015</v>
          </cell>
          <cell r="O1421">
            <v>27</v>
          </cell>
          <cell r="P1421">
            <v>20</v>
          </cell>
        </row>
        <row r="1422">
          <cell r="B1422" t="str">
            <v>Cornell University</v>
          </cell>
          <cell r="C1422" t="str">
            <v>United States of America</v>
          </cell>
          <cell r="D1422">
            <v>19</v>
          </cell>
          <cell r="E1422">
            <v>59</v>
          </cell>
          <cell r="F1422">
            <v>83.8</v>
          </cell>
          <cell r="G1422">
            <v>91.5</v>
          </cell>
          <cell r="H1422">
            <v>33.700000000000003</v>
          </cell>
          <cell r="I1422">
            <v>79.400000000000006</v>
          </cell>
          <cell r="J1422">
            <v>21424</v>
          </cell>
          <cell r="K1422">
            <v>10.199999999999999</v>
          </cell>
          <cell r="L1422">
            <v>0.19</v>
          </cell>
          <cell r="M1422">
            <v>2.036111111111111</v>
          </cell>
          <cell r="N1422">
            <v>2015</v>
          </cell>
          <cell r="O1422">
            <v>12</v>
          </cell>
          <cell r="P1422">
            <v>10</v>
          </cell>
        </row>
        <row r="1423">
          <cell r="B1423" t="str">
            <v>University of Toronto</v>
          </cell>
          <cell r="C1423" t="str">
            <v>Canada</v>
          </cell>
          <cell r="D1423">
            <v>20</v>
          </cell>
          <cell r="E1423">
            <v>71.2</v>
          </cell>
          <cell r="F1423">
            <v>85.1</v>
          </cell>
          <cell r="G1423">
            <v>83</v>
          </cell>
          <cell r="H1423">
            <v>46.1</v>
          </cell>
          <cell r="I1423">
            <v>79.3</v>
          </cell>
          <cell r="J1423">
            <v>66198</v>
          </cell>
          <cell r="K1423">
            <v>19.5</v>
          </cell>
          <cell r="L1423">
            <v>0.15</v>
          </cell>
          <cell r="N1423">
            <v>2015</v>
          </cell>
          <cell r="O1423">
            <v>35</v>
          </cell>
          <cell r="P1423">
            <v>1</v>
          </cell>
        </row>
        <row r="1424">
          <cell r="B1424" t="str">
            <v>Northwestern University</v>
          </cell>
          <cell r="C1424" t="str">
            <v>United States of America</v>
          </cell>
          <cell r="D1424">
            <v>21</v>
          </cell>
          <cell r="E1424">
            <v>36.700000000000003</v>
          </cell>
          <cell r="F1424">
            <v>78.900000000000006</v>
          </cell>
          <cell r="G1424">
            <v>96.9</v>
          </cell>
          <cell r="H1424">
            <v>77</v>
          </cell>
          <cell r="I1424">
            <v>79.2</v>
          </cell>
          <cell r="J1424">
            <v>18334</v>
          </cell>
          <cell r="K1424">
            <v>13.8</v>
          </cell>
          <cell r="L1424">
            <v>0.15</v>
          </cell>
          <cell r="M1424">
            <v>2.036111111111111</v>
          </cell>
          <cell r="N1424">
            <v>2015</v>
          </cell>
          <cell r="O1424">
            <v>33</v>
          </cell>
          <cell r="P1424">
            <v>23</v>
          </cell>
        </row>
        <row r="1425">
          <cell r="B1425" t="str">
            <v>University College London</v>
          </cell>
          <cell r="C1425" t="str">
            <v>United Kingdom</v>
          </cell>
          <cell r="D1425">
            <v>22</v>
          </cell>
          <cell r="E1425">
            <v>90.6</v>
          </cell>
          <cell r="F1425">
            <v>80.400000000000006</v>
          </cell>
          <cell r="G1425">
            <v>85.1</v>
          </cell>
          <cell r="H1425">
            <v>46.2</v>
          </cell>
          <cell r="I1425">
            <v>78.7</v>
          </cell>
          <cell r="J1425">
            <v>26607</v>
          </cell>
          <cell r="K1425">
            <v>10.7</v>
          </cell>
          <cell r="L1425">
            <v>0.46</v>
          </cell>
          <cell r="M1425">
            <v>2.3638888888888889</v>
          </cell>
          <cell r="N1425">
            <v>2015</v>
          </cell>
          <cell r="O1425">
            <v>31</v>
          </cell>
          <cell r="P1425">
            <v>4</v>
          </cell>
        </row>
        <row r="1426">
          <cell r="B1426" t="str">
            <v>University of Tokyo</v>
          </cell>
          <cell r="C1426" t="str">
            <v>Japan</v>
          </cell>
          <cell r="D1426">
            <v>23</v>
          </cell>
          <cell r="E1426">
            <v>32.4</v>
          </cell>
          <cell r="F1426">
            <v>85.1</v>
          </cell>
          <cell r="G1426">
            <v>74.7</v>
          </cell>
          <cell r="H1426">
            <v>51.2</v>
          </cell>
          <cell r="I1426">
            <v>76.099999999999994</v>
          </cell>
          <cell r="J1426">
            <v>26199</v>
          </cell>
          <cell r="K1426">
            <v>5.7</v>
          </cell>
          <cell r="L1426">
            <v>0.1</v>
          </cell>
          <cell r="N1426">
            <v>2015</v>
          </cell>
          <cell r="O1426">
            <v>14</v>
          </cell>
          <cell r="P1426">
            <v>1</v>
          </cell>
        </row>
        <row r="1427">
          <cell r="B1427" t="str">
            <v>Carnegie Mellon University</v>
          </cell>
          <cell r="C1427" t="str">
            <v>United States of America</v>
          </cell>
          <cell r="D1427">
            <v>24</v>
          </cell>
          <cell r="E1427">
            <v>59.3</v>
          </cell>
          <cell r="F1427">
            <v>74.900000000000006</v>
          </cell>
          <cell r="G1427">
            <v>92</v>
          </cell>
          <cell r="H1427">
            <v>53</v>
          </cell>
          <cell r="I1427">
            <v>74.3</v>
          </cell>
          <cell r="J1427">
            <v>11885</v>
          </cell>
          <cell r="K1427">
            <v>13.1</v>
          </cell>
          <cell r="L1427">
            <v>0.35</v>
          </cell>
          <cell r="M1427" t="str">
            <v>39 : 61</v>
          </cell>
          <cell r="N1427">
            <v>2015</v>
          </cell>
          <cell r="O1427">
            <v>43</v>
          </cell>
          <cell r="P1427">
            <v>31</v>
          </cell>
        </row>
        <row r="1428">
          <cell r="B1428" t="str">
            <v>National University of Singapore</v>
          </cell>
          <cell r="C1428" t="str">
            <v>Singapore</v>
          </cell>
          <cell r="D1428">
            <v>25</v>
          </cell>
          <cell r="E1428">
            <v>94.9</v>
          </cell>
          <cell r="F1428">
            <v>78.099999999999994</v>
          </cell>
          <cell r="G1428">
            <v>66</v>
          </cell>
          <cell r="H1428">
            <v>53.4</v>
          </cell>
          <cell r="I1428">
            <v>73.3</v>
          </cell>
          <cell r="J1428">
            <v>31592</v>
          </cell>
          <cell r="K1428">
            <v>15.5</v>
          </cell>
          <cell r="L1428">
            <v>0.34</v>
          </cell>
          <cell r="M1428">
            <v>2.0770833333333334</v>
          </cell>
          <cell r="N1428">
            <v>2015</v>
          </cell>
          <cell r="O1428">
            <v>87</v>
          </cell>
          <cell r="P1428">
            <v>1</v>
          </cell>
        </row>
        <row r="1429">
          <cell r="B1429" t="str">
            <v>University of Washington</v>
          </cell>
          <cell r="C1429" t="str">
            <v>United States of America</v>
          </cell>
          <cell r="D1429">
            <v>26</v>
          </cell>
          <cell r="E1429">
            <v>47.9</v>
          </cell>
          <cell r="F1429">
            <v>68.900000000000006</v>
          </cell>
          <cell r="G1429">
            <v>95</v>
          </cell>
          <cell r="H1429">
            <v>44.7</v>
          </cell>
          <cell r="I1429">
            <v>73.2</v>
          </cell>
          <cell r="J1429">
            <v>44020</v>
          </cell>
          <cell r="K1429">
            <v>11.8</v>
          </cell>
          <cell r="L1429">
            <v>0.13</v>
          </cell>
          <cell r="M1429">
            <v>2.2409722222222221</v>
          </cell>
          <cell r="N1429">
            <v>2015</v>
          </cell>
          <cell r="O1429" t="e">
            <v>#N/A</v>
          </cell>
          <cell r="P1429" t="e">
            <v>#N/A</v>
          </cell>
        </row>
        <row r="1430">
          <cell r="B1430" t="str">
            <v>Georgia Institute of Technology</v>
          </cell>
          <cell r="C1430" t="str">
            <v>United States of America</v>
          </cell>
          <cell r="D1430">
            <v>27</v>
          </cell>
          <cell r="E1430">
            <v>68.900000000000006</v>
          </cell>
          <cell r="F1430">
            <v>71.2</v>
          </cell>
          <cell r="G1430">
            <v>85.8</v>
          </cell>
          <cell r="H1430">
            <v>72.3</v>
          </cell>
          <cell r="I1430">
            <v>72.8</v>
          </cell>
          <cell r="J1430">
            <v>19967</v>
          </cell>
          <cell r="K1430">
            <v>20.100000000000001</v>
          </cell>
          <cell r="L1430">
            <v>0.26</v>
          </cell>
          <cell r="M1430" t="str">
            <v>31 : 69</v>
          </cell>
          <cell r="N1430">
            <v>2015</v>
          </cell>
          <cell r="O1430">
            <v>87</v>
          </cell>
          <cell r="P1430">
            <v>56</v>
          </cell>
        </row>
        <row r="1431">
          <cell r="B1431" t="str">
            <v>University of Texas at Austin</v>
          </cell>
          <cell r="C1431" t="str">
            <v>United States of America</v>
          </cell>
          <cell r="D1431">
            <v>28</v>
          </cell>
          <cell r="E1431">
            <v>33.1</v>
          </cell>
          <cell r="F1431">
            <v>72</v>
          </cell>
          <cell r="G1431">
            <v>91.5</v>
          </cell>
          <cell r="H1431">
            <v>58.1</v>
          </cell>
          <cell r="I1431">
            <v>72.3</v>
          </cell>
          <cell r="J1431">
            <v>49427</v>
          </cell>
          <cell r="K1431">
            <v>17.399999999999999</v>
          </cell>
          <cell r="L1431">
            <v>0.09</v>
          </cell>
          <cell r="M1431">
            <v>2.1590277777777778</v>
          </cell>
          <cell r="N1431">
            <v>2015</v>
          </cell>
          <cell r="O1431">
            <v>30</v>
          </cell>
          <cell r="P1431">
            <v>22</v>
          </cell>
        </row>
        <row r="1432">
          <cell r="B1432" t="str">
            <v>LMU Munich</v>
          </cell>
          <cell r="C1432" t="str">
            <v>Germany</v>
          </cell>
          <cell r="D1432">
            <v>29</v>
          </cell>
          <cell r="E1432">
            <v>56.4</v>
          </cell>
          <cell r="F1432">
            <v>69.099999999999994</v>
          </cell>
          <cell r="G1432">
            <v>83</v>
          </cell>
          <cell r="H1432">
            <v>100</v>
          </cell>
          <cell r="I1432">
            <v>71.900000000000006</v>
          </cell>
          <cell r="J1432">
            <v>35691</v>
          </cell>
          <cell r="K1432">
            <v>15.5</v>
          </cell>
          <cell r="L1432">
            <v>0.13</v>
          </cell>
          <cell r="M1432">
            <v>2.6097222222222221</v>
          </cell>
          <cell r="N1432">
            <v>2015</v>
          </cell>
          <cell r="O1432" t="e">
            <v>#N/A</v>
          </cell>
          <cell r="P1432" t="e">
            <v>#N/A</v>
          </cell>
        </row>
        <row r="1433">
          <cell r="B1433" t="str">
            <v>University of Illinois at Urbana-Champaign</v>
          </cell>
          <cell r="C1433" t="str">
            <v>United States of America</v>
          </cell>
          <cell r="D1433">
            <v>29</v>
          </cell>
          <cell r="E1433">
            <v>43.9</v>
          </cell>
          <cell r="F1433">
            <v>79</v>
          </cell>
          <cell r="G1433">
            <v>77.8</v>
          </cell>
          <cell r="H1433">
            <v>51.7</v>
          </cell>
          <cell r="I1433">
            <v>71.900000000000006</v>
          </cell>
          <cell r="J1433">
            <v>42727</v>
          </cell>
          <cell r="K1433">
            <v>18.7</v>
          </cell>
          <cell r="L1433">
            <v>0.2</v>
          </cell>
          <cell r="M1433">
            <v>1.9951388888888888</v>
          </cell>
          <cell r="N1433">
            <v>2015</v>
          </cell>
          <cell r="O1433" t="e">
            <v>#N/A</v>
          </cell>
          <cell r="P1433" t="e">
            <v>#N/A</v>
          </cell>
        </row>
        <row r="1434">
          <cell r="B1434" t="str">
            <v>University of Wisconsin-Madison</v>
          </cell>
          <cell r="C1434" t="str">
            <v>United States of America</v>
          </cell>
          <cell r="D1434">
            <v>29</v>
          </cell>
          <cell r="E1434">
            <v>33.6</v>
          </cell>
          <cell r="F1434">
            <v>71.3</v>
          </cell>
          <cell r="G1434">
            <v>87.7</v>
          </cell>
          <cell r="H1434">
            <v>53.3</v>
          </cell>
          <cell r="I1434">
            <v>71.900000000000006</v>
          </cell>
          <cell r="J1434">
            <v>39655</v>
          </cell>
          <cell r="K1434">
            <v>10.8</v>
          </cell>
          <cell r="L1434">
            <v>0.11</v>
          </cell>
          <cell r="M1434">
            <v>2.1590277777777778</v>
          </cell>
          <cell r="N1434">
            <v>2015</v>
          </cell>
          <cell r="O1434" t="e">
            <v>#N/A</v>
          </cell>
          <cell r="P1434" t="e">
            <v>#N/A</v>
          </cell>
        </row>
        <row r="1435">
          <cell r="B1435" t="str">
            <v>University of British Columbia</v>
          </cell>
          <cell r="C1435" t="str">
            <v>Canada</v>
          </cell>
          <cell r="D1435">
            <v>32</v>
          </cell>
          <cell r="E1435">
            <v>84.8</v>
          </cell>
          <cell r="F1435">
            <v>69</v>
          </cell>
          <cell r="G1435">
            <v>85.3</v>
          </cell>
          <cell r="H1435">
            <v>40.1</v>
          </cell>
          <cell r="I1435">
            <v>71.8</v>
          </cell>
          <cell r="J1435">
            <v>50152</v>
          </cell>
          <cell r="K1435">
            <v>17.600000000000001</v>
          </cell>
          <cell r="L1435">
            <v>0.25</v>
          </cell>
          <cell r="M1435">
            <v>2.2819444444444446</v>
          </cell>
          <cell r="N1435">
            <v>2015</v>
          </cell>
          <cell r="O1435">
            <v>67</v>
          </cell>
          <cell r="P1435">
            <v>3</v>
          </cell>
        </row>
        <row r="1436">
          <cell r="B1436" t="str">
            <v>University of Melbourne</v>
          </cell>
          <cell r="C1436" t="str">
            <v>Australia</v>
          </cell>
          <cell r="D1436">
            <v>33</v>
          </cell>
          <cell r="E1436">
            <v>81.3</v>
          </cell>
          <cell r="F1436">
            <v>70.900000000000006</v>
          </cell>
          <cell r="G1436">
            <v>80.599999999999994</v>
          </cell>
          <cell r="H1436">
            <v>61.2</v>
          </cell>
          <cell r="I1436">
            <v>71.2</v>
          </cell>
          <cell r="J1436">
            <v>40128</v>
          </cell>
          <cell r="K1436">
            <v>23.7</v>
          </cell>
          <cell r="L1436">
            <v>0.35</v>
          </cell>
          <cell r="M1436">
            <v>2.3229166666666665</v>
          </cell>
          <cell r="N1436">
            <v>2015</v>
          </cell>
          <cell r="O1436">
            <v>97</v>
          </cell>
          <cell r="P1436">
            <v>2</v>
          </cell>
        </row>
        <row r="1437">
          <cell r="B1437" t="str">
            <v>London School of Economics and Political Science</v>
          </cell>
          <cell r="C1437" t="str">
            <v>United Kingdom</v>
          </cell>
          <cell r="D1437">
            <v>34</v>
          </cell>
          <cell r="E1437">
            <v>87.4</v>
          </cell>
          <cell r="F1437">
            <v>74.2</v>
          </cell>
          <cell r="G1437">
            <v>71.3</v>
          </cell>
          <cell r="H1437">
            <v>40.6</v>
          </cell>
          <cell r="I1437">
            <v>70.900000000000006</v>
          </cell>
          <cell r="N1437">
            <v>2015</v>
          </cell>
          <cell r="O1437" t="e">
            <v>#N/A</v>
          </cell>
          <cell r="P1437" t="e">
            <v>#N/A</v>
          </cell>
        </row>
        <row r="1438">
          <cell r="B1438" t="str">
            <v>Ã‰cole Polytechnique FÃ©dÃ©rale de Lausanne</v>
          </cell>
          <cell r="C1438" t="str">
            <v>Switzerland</v>
          </cell>
          <cell r="D1438">
            <v>34</v>
          </cell>
          <cell r="E1438">
            <v>98.8</v>
          </cell>
          <cell r="F1438">
            <v>56.9</v>
          </cell>
          <cell r="G1438">
            <v>95</v>
          </cell>
          <cell r="H1438">
            <v>61.9</v>
          </cell>
          <cell r="I1438">
            <v>70.900000000000006</v>
          </cell>
          <cell r="J1438">
            <v>9666</v>
          </cell>
          <cell r="K1438">
            <v>10.5</v>
          </cell>
          <cell r="L1438">
            <v>0.54</v>
          </cell>
          <cell r="M1438" t="str">
            <v>27 : 73</v>
          </cell>
          <cell r="N1438">
            <v>2015</v>
          </cell>
          <cell r="O1438" t="e">
            <v>#N/A</v>
          </cell>
          <cell r="P1438" t="e">
            <v>#N/A</v>
          </cell>
        </row>
        <row r="1439">
          <cell r="B1439" t="str">
            <v>University of Edinburgh</v>
          </cell>
          <cell r="C1439" t="str">
            <v>United Kingdom</v>
          </cell>
          <cell r="D1439">
            <v>36</v>
          </cell>
          <cell r="E1439">
            <v>84.3</v>
          </cell>
          <cell r="F1439">
            <v>62.9</v>
          </cell>
          <cell r="G1439">
            <v>88.3</v>
          </cell>
          <cell r="H1439">
            <v>41.2</v>
          </cell>
          <cell r="I1439">
            <v>70.400000000000006</v>
          </cell>
          <cell r="J1439">
            <v>25774</v>
          </cell>
          <cell r="K1439">
            <v>14.1</v>
          </cell>
          <cell r="L1439">
            <v>0.36</v>
          </cell>
          <cell r="M1439">
            <v>2.4458333333333333</v>
          </cell>
          <cell r="N1439">
            <v>2015</v>
          </cell>
          <cell r="O1439">
            <v>60</v>
          </cell>
          <cell r="P1439">
            <v>1</v>
          </cell>
        </row>
        <row r="1440">
          <cell r="B1440" t="str">
            <v>University of California, Santa Barbara</v>
          </cell>
          <cell r="C1440" t="str">
            <v>United States of America</v>
          </cell>
          <cell r="D1440">
            <v>37</v>
          </cell>
          <cell r="E1440">
            <v>64.3</v>
          </cell>
          <cell r="F1440">
            <v>61.4</v>
          </cell>
          <cell r="G1440">
            <v>99.2</v>
          </cell>
          <cell r="H1440">
            <v>87.1</v>
          </cell>
          <cell r="I1440">
            <v>70</v>
          </cell>
          <cell r="J1440">
            <v>22020</v>
          </cell>
          <cell r="K1440">
            <v>27.3</v>
          </cell>
          <cell r="L1440">
            <v>0.11</v>
          </cell>
          <cell r="M1440">
            <v>2.2000000000000002</v>
          </cell>
          <cell r="N1440">
            <v>2015</v>
          </cell>
          <cell r="O1440">
            <v>40</v>
          </cell>
          <cell r="P1440">
            <v>29</v>
          </cell>
        </row>
        <row r="1441">
          <cell r="B1441" t="str">
            <v>New York University</v>
          </cell>
          <cell r="C1441" t="str">
            <v>United States of America</v>
          </cell>
          <cell r="D1441">
            <v>38</v>
          </cell>
          <cell r="E1441">
            <v>41.2</v>
          </cell>
          <cell r="F1441">
            <v>62.4</v>
          </cell>
          <cell r="G1441">
            <v>89.5</v>
          </cell>
          <cell r="H1441">
            <v>30.2</v>
          </cell>
          <cell r="I1441">
            <v>69.900000000000006</v>
          </cell>
          <cell r="J1441">
            <v>42056</v>
          </cell>
          <cell r="K1441">
            <v>6.8</v>
          </cell>
          <cell r="L1441">
            <v>0.19</v>
          </cell>
          <cell r="M1441">
            <v>2.3229166666666665</v>
          </cell>
          <cell r="N1441">
            <v>2015</v>
          </cell>
          <cell r="O1441">
            <v>23</v>
          </cell>
          <cell r="P1441">
            <v>16</v>
          </cell>
        </row>
        <row r="1442">
          <cell r="B1442" t="str">
            <v>McGill University</v>
          </cell>
          <cell r="C1442" t="str">
            <v>Canada</v>
          </cell>
          <cell r="D1442">
            <v>39</v>
          </cell>
          <cell r="E1442">
            <v>79</v>
          </cell>
          <cell r="F1442">
            <v>69.900000000000006</v>
          </cell>
          <cell r="G1442">
            <v>76</v>
          </cell>
          <cell r="H1442">
            <v>38.6</v>
          </cell>
          <cell r="I1442">
            <v>69.599999999999994</v>
          </cell>
          <cell r="J1442">
            <v>31326</v>
          </cell>
          <cell r="K1442">
            <v>13.7</v>
          </cell>
          <cell r="L1442">
            <v>0.23</v>
          </cell>
          <cell r="M1442">
            <v>2.3638888888888889</v>
          </cell>
          <cell r="N1442">
            <v>2015</v>
          </cell>
          <cell r="O1442">
            <v>41</v>
          </cell>
          <cell r="P1442">
            <v>2</v>
          </cell>
        </row>
        <row r="1443">
          <cell r="B1443" t="str">
            <v>Kingâ€™s College London</v>
          </cell>
          <cell r="C1443" t="str">
            <v>United Kingdom</v>
          </cell>
          <cell r="D1443">
            <v>40</v>
          </cell>
          <cell r="E1443">
            <v>87</v>
          </cell>
          <cell r="F1443">
            <v>62.3</v>
          </cell>
          <cell r="G1443">
            <v>88.3</v>
          </cell>
          <cell r="H1443">
            <v>39</v>
          </cell>
          <cell r="I1443">
            <v>69.400000000000006</v>
          </cell>
          <cell r="J1443">
            <v>21394</v>
          </cell>
          <cell r="K1443">
            <v>11.4</v>
          </cell>
          <cell r="L1443">
            <v>0.37</v>
          </cell>
          <cell r="M1443">
            <v>2.5687500000000001</v>
          </cell>
          <cell r="N1443">
            <v>2015</v>
          </cell>
          <cell r="O1443" t="e">
            <v>#N/A</v>
          </cell>
          <cell r="P1443" t="e">
            <v>#N/A</v>
          </cell>
        </row>
        <row r="1444">
          <cell r="B1444" t="str">
            <v>University of California, San Diego</v>
          </cell>
          <cell r="C1444" t="str">
            <v>United States of America</v>
          </cell>
          <cell r="D1444">
            <v>41</v>
          </cell>
          <cell r="E1444">
            <v>37</v>
          </cell>
          <cell r="F1444">
            <v>66.599999999999994</v>
          </cell>
          <cell r="G1444">
            <v>96.4</v>
          </cell>
          <cell r="H1444">
            <v>54.2</v>
          </cell>
          <cell r="I1444">
            <v>68.599999999999994</v>
          </cell>
          <cell r="J1444">
            <v>27233</v>
          </cell>
          <cell r="K1444">
            <v>6.5</v>
          </cell>
          <cell r="L1444">
            <v>0.11</v>
          </cell>
          <cell r="M1444">
            <v>2.036111111111111</v>
          </cell>
          <cell r="N1444">
            <v>2015</v>
          </cell>
          <cell r="O1444">
            <v>20</v>
          </cell>
          <cell r="P1444">
            <v>14</v>
          </cell>
        </row>
        <row r="1445">
          <cell r="B1445" t="str">
            <v>Washington University in St Louis</v>
          </cell>
          <cell r="C1445" t="str">
            <v>United States of America</v>
          </cell>
          <cell r="D1445">
            <v>42</v>
          </cell>
          <cell r="E1445">
            <v>46.5</v>
          </cell>
          <cell r="F1445">
            <v>55.2</v>
          </cell>
          <cell r="G1445">
            <v>97.1</v>
          </cell>
          <cell r="H1445" t="str">
            <v>-</v>
          </cell>
          <cell r="I1445">
            <v>67.8</v>
          </cell>
          <cell r="J1445">
            <v>12528</v>
          </cell>
          <cell r="K1445">
            <v>5.7</v>
          </cell>
          <cell r="L1445">
            <v>0.17</v>
          </cell>
          <cell r="N1445">
            <v>2015</v>
          </cell>
          <cell r="O1445" t="e">
            <v>#N/A</v>
          </cell>
          <cell r="P1445" t="e">
            <v>#N/A</v>
          </cell>
        </row>
        <row r="1446">
          <cell r="B1446" t="str">
            <v>University of Hong Kong</v>
          </cell>
          <cell r="C1446" t="str">
            <v>Hong Kong</v>
          </cell>
          <cell r="D1446">
            <v>43</v>
          </cell>
          <cell r="E1446">
            <v>81.900000000000006</v>
          </cell>
          <cell r="F1446">
            <v>72.599999999999994</v>
          </cell>
          <cell r="G1446">
            <v>65.099999999999994</v>
          </cell>
          <cell r="H1446">
            <v>56</v>
          </cell>
          <cell r="I1446">
            <v>67.5</v>
          </cell>
          <cell r="J1446">
            <v>19835</v>
          </cell>
          <cell r="K1446">
            <v>17.600000000000001</v>
          </cell>
          <cell r="L1446">
            <v>0.38</v>
          </cell>
          <cell r="M1446">
            <v>2.2409722222222221</v>
          </cell>
          <cell r="N1446">
            <v>2015</v>
          </cell>
          <cell r="O1446">
            <v>155</v>
          </cell>
          <cell r="P1446">
            <v>1</v>
          </cell>
        </row>
        <row r="1447">
          <cell r="B1447" t="str">
            <v>Karolinska Institute</v>
          </cell>
          <cell r="C1447" t="str">
            <v>Sweden</v>
          </cell>
          <cell r="D1447">
            <v>44</v>
          </cell>
          <cell r="E1447">
            <v>60.6</v>
          </cell>
          <cell r="F1447">
            <v>68</v>
          </cell>
          <cell r="G1447">
            <v>76.8</v>
          </cell>
          <cell r="H1447">
            <v>65.5</v>
          </cell>
          <cell r="I1447">
            <v>66.8</v>
          </cell>
          <cell r="J1447">
            <v>7774</v>
          </cell>
          <cell r="K1447">
            <v>11.5</v>
          </cell>
          <cell r="L1447">
            <v>0.22</v>
          </cell>
          <cell r="M1447">
            <v>2.9375</v>
          </cell>
          <cell r="N1447">
            <v>2015</v>
          </cell>
          <cell r="O1447">
            <v>70</v>
          </cell>
          <cell r="P1447">
            <v>1</v>
          </cell>
        </row>
        <row r="1448">
          <cell r="B1448" t="str">
            <v>Australian National University</v>
          </cell>
          <cell r="C1448" t="str">
            <v>Australia</v>
          </cell>
          <cell r="D1448">
            <v>45</v>
          </cell>
          <cell r="E1448">
            <v>91.3</v>
          </cell>
          <cell r="F1448">
            <v>70.900000000000006</v>
          </cell>
          <cell r="G1448">
            <v>71.099999999999994</v>
          </cell>
          <cell r="H1448">
            <v>38.9</v>
          </cell>
          <cell r="I1448">
            <v>66.5</v>
          </cell>
          <cell r="J1448">
            <v>14604</v>
          </cell>
          <cell r="K1448">
            <v>19.2</v>
          </cell>
          <cell r="L1448">
            <v>0.35</v>
          </cell>
          <cell r="M1448">
            <v>2.2000000000000002</v>
          </cell>
          <cell r="N1448">
            <v>2015</v>
          </cell>
          <cell r="O1448">
            <v>96</v>
          </cell>
          <cell r="P1448">
            <v>2</v>
          </cell>
        </row>
        <row r="1449">
          <cell r="B1449" t="str">
            <v>University of Minnesota</v>
          </cell>
          <cell r="C1449" t="str">
            <v>United States of America</v>
          </cell>
          <cell r="D1449">
            <v>46</v>
          </cell>
          <cell r="E1449">
            <v>33.799999999999997</v>
          </cell>
          <cell r="F1449">
            <v>64.7</v>
          </cell>
          <cell r="G1449">
            <v>82.9</v>
          </cell>
          <cell r="H1449" t="str">
            <v>-</v>
          </cell>
          <cell r="I1449">
            <v>65.900000000000006</v>
          </cell>
          <cell r="J1449">
            <v>46825</v>
          </cell>
          <cell r="K1449">
            <v>18</v>
          </cell>
          <cell r="L1449">
            <v>0.13</v>
          </cell>
          <cell r="M1449">
            <v>2.2000000000000002</v>
          </cell>
          <cell r="N1449">
            <v>2015</v>
          </cell>
          <cell r="O1449" t="e">
            <v>#N/A</v>
          </cell>
          <cell r="P1449" t="e">
            <v>#N/A</v>
          </cell>
        </row>
        <row r="1450">
          <cell r="B1450" t="str">
            <v>University of North Carolina at Chapel Hill</v>
          </cell>
          <cell r="C1450" t="str">
            <v>United States of America</v>
          </cell>
          <cell r="D1450">
            <v>46</v>
          </cell>
          <cell r="E1450">
            <v>35.299999999999997</v>
          </cell>
          <cell r="F1450">
            <v>58.6</v>
          </cell>
          <cell r="G1450">
            <v>91</v>
          </cell>
          <cell r="H1450">
            <v>40.5</v>
          </cell>
          <cell r="I1450">
            <v>65.900000000000006</v>
          </cell>
          <cell r="J1450">
            <v>26518</v>
          </cell>
          <cell r="K1450">
            <v>7.3</v>
          </cell>
          <cell r="L1450">
            <v>0.08</v>
          </cell>
          <cell r="M1450">
            <v>2.4458333333333333</v>
          </cell>
          <cell r="N1450">
            <v>2015</v>
          </cell>
          <cell r="O1450">
            <v>36</v>
          </cell>
          <cell r="P1450">
            <v>25</v>
          </cell>
        </row>
        <row r="1451">
          <cell r="B1451" t="str">
            <v>Peking University</v>
          </cell>
          <cell r="C1451" t="str">
            <v>China</v>
          </cell>
          <cell r="D1451">
            <v>48</v>
          </cell>
          <cell r="E1451">
            <v>53.7</v>
          </cell>
          <cell r="F1451">
            <v>61.9</v>
          </cell>
          <cell r="G1451">
            <v>63.7</v>
          </cell>
          <cell r="H1451">
            <v>100</v>
          </cell>
          <cell r="I1451">
            <v>65.2</v>
          </cell>
          <cell r="J1451">
            <v>40148</v>
          </cell>
          <cell r="K1451">
            <v>8.3000000000000007</v>
          </cell>
          <cell r="L1451">
            <v>0.14000000000000001</v>
          </cell>
          <cell r="N1451">
            <v>2015</v>
          </cell>
          <cell r="O1451">
            <v>55</v>
          </cell>
          <cell r="P1451">
            <v>1</v>
          </cell>
        </row>
        <row r="1452">
          <cell r="B1452" t="str">
            <v>Tsinghua University</v>
          </cell>
          <cell r="C1452" t="str">
            <v>China</v>
          </cell>
          <cell r="D1452">
            <v>49</v>
          </cell>
          <cell r="E1452">
            <v>44.6</v>
          </cell>
          <cell r="F1452">
            <v>68.3</v>
          </cell>
          <cell r="G1452">
            <v>65</v>
          </cell>
          <cell r="H1452">
            <v>99.7</v>
          </cell>
          <cell r="I1452">
            <v>65.099999999999994</v>
          </cell>
          <cell r="J1452">
            <v>39763</v>
          </cell>
          <cell r="K1452">
            <v>13.7</v>
          </cell>
          <cell r="L1452">
            <v>0.1</v>
          </cell>
          <cell r="M1452" t="str">
            <v>32 : 68</v>
          </cell>
          <cell r="N1452">
            <v>2015</v>
          </cell>
          <cell r="O1452">
            <v>87</v>
          </cell>
          <cell r="P1452">
            <v>2</v>
          </cell>
        </row>
        <row r="1453">
          <cell r="B1453" t="str">
            <v>Seoul National University</v>
          </cell>
          <cell r="C1453" t="str">
            <v>South Korea</v>
          </cell>
          <cell r="D1453">
            <v>50</v>
          </cell>
          <cell r="E1453">
            <v>30.3</v>
          </cell>
          <cell r="F1453">
            <v>77.099999999999994</v>
          </cell>
          <cell r="G1453">
            <v>48.7</v>
          </cell>
          <cell r="H1453">
            <v>86.3</v>
          </cell>
          <cell r="I1453">
            <v>64.8</v>
          </cell>
          <cell r="J1453">
            <v>26389</v>
          </cell>
          <cell r="K1453">
            <v>13.9</v>
          </cell>
          <cell r="L1453">
            <v>0.1</v>
          </cell>
          <cell r="N1453">
            <v>2015</v>
          </cell>
          <cell r="O1453">
            <v>75</v>
          </cell>
          <cell r="P1453">
            <v>1</v>
          </cell>
        </row>
        <row r="1454">
          <cell r="B1454" t="str">
            <v>Hong Kong University of Science and Technology</v>
          </cell>
          <cell r="C1454" t="str">
            <v>Hong Kong</v>
          </cell>
          <cell r="D1454">
            <v>51</v>
          </cell>
          <cell r="E1454">
            <v>77.8</v>
          </cell>
          <cell r="F1454">
            <v>66.8</v>
          </cell>
          <cell r="G1454">
            <v>72.900000000000006</v>
          </cell>
          <cell r="H1454">
            <v>57.6</v>
          </cell>
          <cell r="I1454">
            <v>64.7</v>
          </cell>
          <cell r="J1454">
            <v>11385</v>
          </cell>
          <cell r="K1454">
            <v>23.8</v>
          </cell>
          <cell r="L1454">
            <v>0.36</v>
          </cell>
          <cell r="N1454">
            <v>2015</v>
          </cell>
          <cell r="O1454">
            <v>291</v>
          </cell>
          <cell r="P1454">
            <v>3</v>
          </cell>
        </row>
        <row r="1455">
          <cell r="B1455" t="str">
            <v>Korea Advanced Institute of Science and Technology (KAIST)</v>
          </cell>
          <cell r="C1455" t="str">
            <v>South Korea</v>
          </cell>
          <cell r="D1455">
            <v>52</v>
          </cell>
          <cell r="E1455">
            <v>34.9</v>
          </cell>
          <cell r="F1455">
            <v>63.2</v>
          </cell>
          <cell r="G1455">
            <v>71.400000000000006</v>
          </cell>
          <cell r="H1455">
            <v>100</v>
          </cell>
          <cell r="I1455">
            <v>64.5</v>
          </cell>
          <cell r="J1455">
            <v>9027</v>
          </cell>
          <cell r="K1455">
            <v>10</v>
          </cell>
          <cell r="L1455">
            <v>0.09</v>
          </cell>
          <cell r="M1455">
            <v>0.88888888888888884</v>
          </cell>
          <cell r="N1455">
            <v>2015</v>
          </cell>
          <cell r="O1455">
            <v>128</v>
          </cell>
          <cell r="P1455">
            <v>3</v>
          </cell>
        </row>
        <row r="1456">
          <cell r="B1456" t="str">
            <v>University of Manchester</v>
          </cell>
          <cell r="C1456" t="str">
            <v>United Kingdom</v>
          </cell>
          <cell r="D1456">
            <v>52</v>
          </cell>
          <cell r="E1456">
            <v>82</v>
          </cell>
          <cell r="F1456">
            <v>58.7</v>
          </cell>
          <cell r="G1456">
            <v>74.3</v>
          </cell>
          <cell r="H1456">
            <v>39.4</v>
          </cell>
          <cell r="I1456">
            <v>64.5</v>
          </cell>
          <cell r="J1456">
            <v>34938</v>
          </cell>
          <cell r="K1456">
            <v>15.3</v>
          </cell>
          <cell r="L1456">
            <v>0.34</v>
          </cell>
          <cell r="M1456">
            <v>2.2000000000000002</v>
          </cell>
          <cell r="N1456">
            <v>2015</v>
          </cell>
          <cell r="O1456">
            <v>76</v>
          </cell>
          <cell r="P1456">
            <v>5</v>
          </cell>
        </row>
        <row r="1457">
          <cell r="B1457" t="str">
            <v>Brown University</v>
          </cell>
          <cell r="C1457" t="str">
            <v>United States of America</v>
          </cell>
          <cell r="D1457">
            <v>54</v>
          </cell>
          <cell r="E1457">
            <v>37</v>
          </cell>
          <cell r="F1457">
            <v>54.2</v>
          </cell>
          <cell r="G1457">
            <v>92</v>
          </cell>
          <cell r="H1457">
            <v>32.700000000000003</v>
          </cell>
          <cell r="I1457">
            <v>64.099999999999994</v>
          </cell>
          <cell r="J1457">
            <v>8653</v>
          </cell>
          <cell r="K1457">
            <v>10.1</v>
          </cell>
          <cell r="L1457">
            <v>0.19</v>
          </cell>
          <cell r="N1457">
            <v>2015</v>
          </cell>
          <cell r="O1457">
            <v>66</v>
          </cell>
          <cell r="P1457">
            <v>46</v>
          </cell>
        </row>
        <row r="1458">
          <cell r="B1458" t="str">
            <v>KU Leuven</v>
          </cell>
          <cell r="C1458" t="str">
            <v>Belgium</v>
          </cell>
          <cell r="D1458">
            <v>55</v>
          </cell>
          <cell r="E1458">
            <v>62.3</v>
          </cell>
          <cell r="F1458">
            <v>63.6</v>
          </cell>
          <cell r="G1458">
            <v>71.8</v>
          </cell>
          <cell r="H1458">
            <v>99.9</v>
          </cell>
          <cell r="I1458">
            <v>63.7</v>
          </cell>
          <cell r="J1458">
            <v>42503</v>
          </cell>
          <cell r="K1458">
            <v>41.9</v>
          </cell>
          <cell r="L1458">
            <v>0.18</v>
          </cell>
          <cell r="M1458">
            <v>2.2819444444444446</v>
          </cell>
          <cell r="N1458">
            <v>2015</v>
          </cell>
          <cell r="O1458" t="e">
            <v>#N/A</v>
          </cell>
          <cell r="P1458" t="e">
            <v>#N/A</v>
          </cell>
        </row>
        <row r="1459">
          <cell r="B1459" t="str">
            <v>University of California, Davis</v>
          </cell>
          <cell r="C1459" t="str">
            <v>United States of America</v>
          </cell>
          <cell r="D1459">
            <v>55</v>
          </cell>
          <cell r="E1459">
            <v>52.9</v>
          </cell>
          <cell r="F1459">
            <v>59.7</v>
          </cell>
          <cell r="G1459">
            <v>80.400000000000006</v>
          </cell>
          <cell r="H1459">
            <v>55.4</v>
          </cell>
          <cell r="I1459">
            <v>63.7</v>
          </cell>
          <cell r="J1459">
            <v>35364</v>
          </cell>
          <cell r="K1459">
            <v>13.9</v>
          </cell>
          <cell r="L1459">
            <v>0.13</v>
          </cell>
          <cell r="M1459">
            <v>2.2819444444444446</v>
          </cell>
          <cell r="N1459">
            <v>2015</v>
          </cell>
          <cell r="O1459">
            <v>45</v>
          </cell>
          <cell r="P1459">
            <v>33</v>
          </cell>
        </row>
        <row r="1460">
          <cell r="B1460" t="str">
            <v>Boston University</v>
          </cell>
          <cell r="C1460" t="str">
            <v>United States of America</v>
          </cell>
          <cell r="D1460">
            <v>57</v>
          </cell>
          <cell r="E1460">
            <v>47.8</v>
          </cell>
          <cell r="F1460">
            <v>46.7</v>
          </cell>
          <cell r="G1460">
            <v>94.4</v>
          </cell>
          <cell r="H1460">
            <v>30.3</v>
          </cell>
          <cell r="I1460">
            <v>63.6</v>
          </cell>
          <cell r="J1460">
            <v>24789</v>
          </cell>
          <cell r="K1460">
            <v>8.6</v>
          </cell>
          <cell r="L1460">
            <v>0.17</v>
          </cell>
          <cell r="M1460">
            <v>2.4458333333333333</v>
          </cell>
          <cell r="N1460">
            <v>2015</v>
          </cell>
          <cell r="O1460">
            <v>62</v>
          </cell>
          <cell r="P1460">
            <v>44</v>
          </cell>
        </row>
        <row r="1461">
          <cell r="B1461" t="str">
            <v>Pennsylvania State University</v>
          </cell>
          <cell r="C1461" t="str">
            <v>United States of America</v>
          </cell>
          <cell r="D1461">
            <v>58</v>
          </cell>
          <cell r="E1461">
            <v>37.4</v>
          </cell>
          <cell r="F1461">
            <v>64.8</v>
          </cell>
          <cell r="G1461">
            <v>76</v>
          </cell>
          <cell r="H1461">
            <v>60.4</v>
          </cell>
          <cell r="I1461">
            <v>62.9</v>
          </cell>
          <cell r="J1461">
            <v>44501</v>
          </cell>
          <cell r="K1461">
            <v>12.4</v>
          </cell>
          <cell r="L1461">
            <v>0.12</v>
          </cell>
          <cell r="M1461">
            <v>1.9541666666666666</v>
          </cell>
          <cell r="N1461">
            <v>2015</v>
          </cell>
          <cell r="O1461" t="e">
            <v>#N/A</v>
          </cell>
          <cell r="P1461" t="e">
            <v>#N/A</v>
          </cell>
        </row>
        <row r="1462">
          <cell r="B1462" t="str">
            <v>Kyoto University</v>
          </cell>
          <cell r="C1462" t="str">
            <v>Japan</v>
          </cell>
          <cell r="D1462">
            <v>59</v>
          </cell>
          <cell r="E1462">
            <v>29</v>
          </cell>
          <cell r="F1462">
            <v>68.400000000000006</v>
          </cell>
          <cell r="G1462">
            <v>57</v>
          </cell>
          <cell r="H1462">
            <v>73.3</v>
          </cell>
          <cell r="I1462">
            <v>62.8</v>
          </cell>
          <cell r="J1462">
            <v>22809</v>
          </cell>
          <cell r="K1462">
            <v>5.6</v>
          </cell>
          <cell r="L1462">
            <v>7.0000000000000007E-2</v>
          </cell>
          <cell r="N1462">
            <v>2015</v>
          </cell>
          <cell r="O1462">
            <v>17</v>
          </cell>
          <cell r="P1462">
            <v>2</v>
          </cell>
        </row>
        <row r="1463">
          <cell r="B1463" t="str">
            <v>University of Sydney</v>
          </cell>
          <cell r="C1463" t="str">
            <v>Australia</v>
          </cell>
          <cell r="D1463">
            <v>60</v>
          </cell>
          <cell r="E1463">
            <v>83.6</v>
          </cell>
          <cell r="F1463">
            <v>60.8</v>
          </cell>
          <cell r="G1463">
            <v>69</v>
          </cell>
          <cell r="H1463">
            <v>67.3</v>
          </cell>
          <cell r="I1463">
            <v>62.7</v>
          </cell>
          <cell r="J1463">
            <v>41868</v>
          </cell>
          <cell r="K1463">
            <v>20.2</v>
          </cell>
          <cell r="L1463">
            <v>0.28000000000000003</v>
          </cell>
          <cell r="M1463">
            <v>2.4048611111111109</v>
          </cell>
          <cell r="N1463">
            <v>2015</v>
          </cell>
          <cell r="O1463">
            <v>94</v>
          </cell>
          <cell r="P1463">
            <v>2</v>
          </cell>
        </row>
        <row r="1464">
          <cell r="B1464" t="str">
            <v>Nanyang Technological University</v>
          </cell>
          <cell r="C1464" t="str">
            <v>Singapore</v>
          </cell>
          <cell r="D1464">
            <v>61</v>
          </cell>
          <cell r="E1464">
            <v>92.5</v>
          </cell>
          <cell r="F1464">
            <v>55.9</v>
          </cell>
          <cell r="G1464">
            <v>75.900000000000006</v>
          </cell>
          <cell r="H1464">
            <v>100</v>
          </cell>
          <cell r="I1464">
            <v>62.2</v>
          </cell>
          <cell r="J1464">
            <v>25028</v>
          </cell>
          <cell r="K1464">
            <v>16.2</v>
          </cell>
          <cell r="L1464">
            <v>0.33</v>
          </cell>
          <cell r="M1464">
            <v>2.036111111111111</v>
          </cell>
          <cell r="N1464">
            <v>2015</v>
          </cell>
          <cell r="O1464">
            <v>148</v>
          </cell>
          <cell r="P1464">
            <v>2</v>
          </cell>
        </row>
        <row r="1465">
          <cell r="B1465" t="str">
            <v>Ã‰cole Polytechnique</v>
          </cell>
          <cell r="C1465" t="str">
            <v>France</v>
          </cell>
          <cell r="D1465">
            <v>61</v>
          </cell>
          <cell r="E1465">
            <v>94.5</v>
          </cell>
          <cell r="F1465">
            <v>47.1</v>
          </cell>
          <cell r="G1465">
            <v>79.900000000000006</v>
          </cell>
          <cell r="H1465">
            <v>76.8</v>
          </cell>
          <cell r="I1465">
            <v>62.2</v>
          </cell>
          <cell r="J1465">
            <v>2429</v>
          </cell>
          <cell r="K1465">
            <v>4.8</v>
          </cell>
          <cell r="L1465">
            <v>0.3</v>
          </cell>
          <cell r="M1465">
            <v>0.80694444444444446</v>
          </cell>
          <cell r="N1465">
            <v>2015</v>
          </cell>
          <cell r="O1465">
            <v>61</v>
          </cell>
          <cell r="P1465">
            <v>3</v>
          </cell>
        </row>
        <row r="1466">
          <cell r="B1466" t="str">
            <v>Scuola Normale Superiore di Pisa</v>
          </cell>
          <cell r="C1466" t="str">
            <v>Italy</v>
          </cell>
          <cell r="D1466">
            <v>63</v>
          </cell>
          <cell r="E1466">
            <v>50.1</v>
          </cell>
          <cell r="F1466">
            <v>46</v>
          </cell>
          <cell r="G1466">
            <v>96.4</v>
          </cell>
          <cell r="H1466">
            <v>40.1</v>
          </cell>
          <cell r="I1466">
            <v>61.9</v>
          </cell>
          <cell r="J1466">
            <v>462</v>
          </cell>
          <cell r="K1466">
            <v>16.5</v>
          </cell>
          <cell r="L1466">
            <v>0.05</v>
          </cell>
          <cell r="M1466" t="str">
            <v>28 : 72</v>
          </cell>
          <cell r="N1466">
            <v>2015</v>
          </cell>
          <cell r="O1466">
            <v>383</v>
          </cell>
          <cell r="P1466">
            <v>16</v>
          </cell>
        </row>
        <row r="1467">
          <cell r="B1467" t="str">
            <v>Leiden University</v>
          </cell>
          <cell r="C1467" t="str">
            <v>Netherlands</v>
          </cell>
          <cell r="D1467">
            <v>64</v>
          </cell>
          <cell r="E1467">
            <v>59.5</v>
          </cell>
          <cell r="F1467">
            <v>58.2</v>
          </cell>
          <cell r="G1467">
            <v>82.3</v>
          </cell>
          <cell r="H1467">
            <v>47.3</v>
          </cell>
          <cell r="I1467">
            <v>61.3</v>
          </cell>
          <cell r="J1467">
            <v>21222</v>
          </cell>
          <cell r="K1467">
            <v>17.100000000000001</v>
          </cell>
          <cell r="L1467">
            <v>0.1</v>
          </cell>
          <cell r="M1467">
            <v>2.4868055555555557</v>
          </cell>
          <cell r="N1467">
            <v>2015</v>
          </cell>
          <cell r="O1467">
            <v>85</v>
          </cell>
          <cell r="P1467">
            <v>1</v>
          </cell>
        </row>
        <row r="1468">
          <cell r="B1468" t="str">
            <v>The University of Queensland</v>
          </cell>
          <cell r="C1468" t="str">
            <v>Australia</v>
          </cell>
          <cell r="D1468">
            <v>65</v>
          </cell>
          <cell r="E1468">
            <v>80.400000000000006</v>
          </cell>
          <cell r="F1468">
            <v>58.4</v>
          </cell>
          <cell r="G1468">
            <v>74.2</v>
          </cell>
          <cell r="H1468">
            <v>66.2</v>
          </cell>
          <cell r="I1468">
            <v>61.2</v>
          </cell>
          <cell r="J1468">
            <v>34718</v>
          </cell>
          <cell r="K1468">
            <v>32.700000000000003</v>
          </cell>
          <cell r="L1468">
            <v>0.27</v>
          </cell>
          <cell r="M1468">
            <v>2.2409722222222221</v>
          </cell>
          <cell r="N1468">
            <v>2015</v>
          </cell>
          <cell r="O1468" t="e">
            <v>#N/A</v>
          </cell>
          <cell r="P1468" t="e">
            <v>#N/A</v>
          </cell>
        </row>
        <row r="1469">
          <cell r="B1469" t="str">
            <v>Pohang University of Science and Technology</v>
          </cell>
          <cell r="C1469" t="str">
            <v>South Korea</v>
          </cell>
          <cell r="D1469">
            <v>66</v>
          </cell>
          <cell r="E1469">
            <v>36</v>
          </cell>
          <cell r="F1469">
            <v>49.3</v>
          </cell>
          <cell r="G1469">
            <v>84.4</v>
          </cell>
          <cell r="H1469">
            <v>100</v>
          </cell>
          <cell r="I1469">
            <v>61.1</v>
          </cell>
          <cell r="J1469">
            <v>3055</v>
          </cell>
          <cell r="K1469">
            <v>10.1</v>
          </cell>
          <cell r="L1469">
            <v>0.04</v>
          </cell>
          <cell r="M1469">
            <v>0.88888888888888884</v>
          </cell>
          <cell r="N1469">
            <v>2015</v>
          </cell>
          <cell r="O1469">
            <v>186</v>
          </cell>
          <cell r="P1469">
            <v>6</v>
          </cell>
        </row>
        <row r="1470">
          <cell r="B1470" t="str">
            <v>University of GÃ¶ttingen</v>
          </cell>
          <cell r="C1470" t="str">
            <v>Germany</v>
          </cell>
          <cell r="D1470">
            <v>67</v>
          </cell>
          <cell r="E1470">
            <v>53.9</v>
          </cell>
          <cell r="F1470">
            <v>48</v>
          </cell>
          <cell r="G1470">
            <v>92.3</v>
          </cell>
          <cell r="H1470">
            <v>32.799999999999997</v>
          </cell>
          <cell r="I1470">
            <v>61</v>
          </cell>
          <cell r="J1470">
            <v>25581</v>
          </cell>
          <cell r="K1470">
            <v>25.6</v>
          </cell>
          <cell r="L1470">
            <v>0.12</v>
          </cell>
          <cell r="M1470">
            <v>2.1590277777777778</v>
          </cell>
          <cell r="N1470">
            <v>2015</v>
          </cell>
          <cell r="O1470">
            <v>169</v>
          </cell>
          <cell r="P1470">
            <v>10</v>
          </cell>
        </row>
        <row r="1471">
          <cell r="B1471" t="str">
            <v>Ohio State University</v>
          </cell>
          <cell r="C1471" t="str">
            <v>United States of America</v>
          </cell>
          <cell r="D1471">
            <v>68</v>
          </cell>
          <cell r="E1471">
            <v>51.5</v>
          </cell>
          <cell r="F1471">
            <v>51.1</v>
          </cell>
          <cell r="G1471">
            <v>80.400000000000006</v>
          </cell>
          <cell r="H1471">
            <v>46.8</v>
          </cell>
          <cell r="I1471">
            <v>60.7</v>
          </cell>
          <cell r="J1471">
            <v>51462</v>
          </cell>
          <cell r="K1471">
            <v>13.4</v>
          </cell>
          <cell r="L1471">
            <v>0.12</v>
          </cell>
          <cell r="M1471">
            <v>2.0770833333333334</v>
          </cell>
          <cell r="N1471">
            <v>2015</v>
          </cell>
          <cell r="O1471" t="e">
            <v>#N/A</v>
          </cell>
          <cell r="P1471" t="e">
            <v>#N/A</v>
          </cell>
        </row>
        <row r="1472">
          <cell r="B1472" t="str">
            <v>Rice University</v>
          </cell>
          <cell r="C1472" t="str">
            <v>United States of America</v>
          </cell>
          <cell r="D1472">
            <v>69</v>
          </cell>
          <cell r="E1472">
            <v>70.8</v>
          </cell>
          <cell r="F1472">
            <v>37.1</v>
          </cell>
          <cell r="G1472">
            <v>99.9</v>
          </cell>
          <cell r="H1472">
            <v>34.6</v>
          </cell>
          <cell r="I1472">
            <v>59.8</v>
          </cell>
          <cell r="J1472">
            <v>6333</v>
          </cell>
          <cell r="K1472">
            <v>9</v>
          </cell>
          <cell r="L1472">
            <v>0.26</v>
          </cell>
          <cell r="M1472">
            <v>1.8722222222222222</v>
          </cell>
          <cell r="N1472">
            <v>2015</v>
          </cell>
          <cell r="O1472">
            <v>57</v>
          </cell>
          <cell r="P1472">
            <v>41</v>
          </cell>
        </row>
        <row r="1473">
          <cell r="B1473" t="str">
            <v>Heidelberg University</v>
          </cell>
          <cell r="C1473" t="str">
            <v>Germany</v>
          </cell>
          <cell r="D1473">
            <v>70</v>
          </cell>
          <cell r="E1473">
            <v>63.1</v>
          </cell>
          <cell r="F1473">
            <v>45.4</v>
          </cell>
          <cell r="G1473">
            <v>81.400000000000006</v>
          </cell>
          <cell r="H1473">
            <v>41.6</v>
          </cell>
          <cell r="I1473">
            <v>59.6</v>
          </cell>
          <cell r="J1473">
            <v>28881</v>
          </cell>
          <cell r="K1473">
            <v>24.5</v>
          </cell>
          <cell r="L1473">
            <v>0.17</v>
          </cell>
          <cell r="M1473">
            <v>2.3229166666666665</v>
          </cell>
          <cell r="N1473">
            <v>2015</v>
          </cell>
          <cell r="O1473" t="e">
            <v>#N/A</v>
          </cell>
          <cell r="P1473" t="e">
            <v>#N/A</v>
          </cell>
        </row>
        <row r="1474">
          <cell r="B1474" t="str">
            <v>Delft University of Technology</v>
          </cell>
          <cell r="C1474" t="str">
            <v>Netherlands</v>
          </cell>
          <cell r="D1474">
            <v>71</v>
          </cell>
          <cell r="E1474">
            <v>77.900000000000006</v>
          </cell>
          <cell r="F1474">
            <v>71.400000000000006</v>
          </cell>
          <cell r="G1474">
            <v>42.6</v>
          </cell>
          <cell r="H1474">
            <v>100</v>
          </cell>
          <cell r="I1474">
            <v>59.2</v>
          </cell>
          <cell r="J1474">
            <v>15920</v>
          </cell>
          <cell r="K1474">
            <v>19.399999999999999</v>
          </cell>
          <cell r="L1474">
            <v>0.25</v>
          </cell>
          <cell r="M1474" t="str">
            <v>26 : 74</v>
          </cell>
          <cell r="N1474">
            <v>2015</v>
          </cell>
          <cell r="O1474">
            <v>275</v>
          </cell>
          <cell r="P1474">
            <v>9</v>
          </cell>
        </row>
        <row r="1475">
          <cell r="B1475" t="str">
            <v>Erasmus University Rotterdam</v>
          </cell>
          <cell r="C1475" t="str">
            <v>Netherlands</v>
          </cell>
          <cell r="D1475">
            <v>72</v>
          </cell>
          <cell r="E1475">
            <v>66.2</v>
          </cell>
          <cell r="F1475">
            <v>53.7</v>
          </cell>
          <cell r="G1475">
            <v>82.3</v>
          </cell>
          <cell r="H1475">
            <v>54.4</v>
          </cell>
          <cell r="I1475">
            <v>59.1</v>
          </cell>
          <cell r="J1475">
            <v>20580</v>
          </cell>
          <cell r="K1475">
            <v>18.899999999999999</v>
          </cell>
          <cell r="L1475">
            <v>0.18</v>
          </cell>
          <cell r="M1475">
            <v>2.036111111111111</v>
          </cell>
          <cell r="N1475">
            <v>2015</v>
          </cell>
          <cell r="O1475">
            <v>101</v>
          </cell>
          <cell r="P1475">
            <v>2</v>
          </cell>
        </row>
        <row r="1476">
          <cell r="B1476" t="str">
            <v>Wageningen University and Research Center</v>
          </cell>
          <cell r="C1476" t="str">
            <v>Netherlands</v>
          </cell>
          <cell r="D1476">
            <v>73</v>
          </cell>
          <cell r="E1476">
            <v>78.7</v>
          </cell>
          <cell r="F1476">
            <v>46.8</v>
          </cell>
          <cell r="G1476">
            <v>77.5</v>
          </cell>
          <cell r="H1476">
            <v>100</v>
          </cell>
          <cell r="I1476">
            <v>59</v>
          </cell>
          <cell r="J1476">
            <v>9248</v>
          </cell>
          <cell r="K1476">
            <v>17</v>
          </cell>
          <cell r="L1476">
            <v>0.21</v>
          </cell>
          <cell r="M1476">
            <v>2.3638888888888889</v>
          </cell>
          <cell r="N1476">
            <v>2015</v>
          </cell>
          <cell r="O1476" t="e">
            <v>#N/A</v>
          </cell>
          <cell r="P1476" t="e">
            <v>#N/A</v>
          </cell>
        </row>
        <row r="1477">
          <cell r="B1477" t="str">
            <v>University of Bristol</v>
          </cell>
          <cell r="C1477" t="str">
            <v>United Kingdom</v>
          </cell>
          <cell r="D1477">
            <v>74</v>
          </cell>
          <cell r="E1477">
            <v>76.599999999999994</v>
          </cell>
          <cell r="F1477">
            <v>44.7</v>
          </cell>
          <cell r="G1477">
            <v>85.1</v>
          </cell>
          <cell r="H1477">
            <v>42.1</v>
          </cell>
          <cell r="I1477">
            <v>58.9</v>
          </cell>
          <cell r="J1477">
            <v>17906</v>
          </cell>
          <cell r="K1477">
            <v>14</v>
          </cell>
          <cell r="L1477">
            <v>0.25</v>
          </cell>
          <cell r="M1477">
            <v>2.2409722222222221</v>
          </cell>
          <cell r="N1477">
            <v>2015</v>
          </cell>
          <cell r="O1477">
            <v>98</v>
          </cell>
          <cell r="P1477">
            <v>7</v>
          </cell>
        </row>
        <row r="1478">
          <cell r="B1478" t="str">
            <v>University of Basel</v>
          </cell>
          <cell r="C1478" t="str">
            <v>Switzerland</v>
          </cell>
          <cell r="D1478">
            <v>75</v>
          </cell>
          <cell r="E1478">
            <v>91.2</v>
          </cell>
          <cell r="F1478">
            <v>41.1</v>
          </cell>
          <cell r="G1478">
            <v>81.400000000000006</v>
          </cell>
          <cell r="H1478">
            <v>97.7</v>
          </cell>
          <cell r="I1478">
            <v>58.4</v>
          </cell>
          <cell r="J1478">
            <v>12551</v>
          </cell>
          <cell r="K1478">
            <v>17.3</v>
          </cell>
          <cell r="L1478">
            <v>0.24</v>
          </cell>
          <cell r="M1478">
            <v>2.2819444444444446</v>
          </cell>
          <cell r="N1478">
            <v>2015</v>
          </cell>
          <cell r="O1478">
            <v>154</v>
          </cell>
          <cell r="P1478">
            <v>5</v>
          </cell>
        </row>
        <row r="1479">
          <cell r="B1479" t="str">
            <v>University of Southern California</v>
          </cell>
          <cell r="C1479" t="str">
            <v>United States of America</v>
          </cell>
          <cell r="D1479">
            <v>75</v>
          </cell>
          <cell r="E1479">
            <v>42.7</v>
          </cell>
          <cell r="F1479">
            <v>44.6</v>
          </cell>
          <cell r="G1479">
            <v>81.3</v>
          </cell>
          <cell r="H1479">
            <v>34.4</v>
          </cell>
          <cell r="I1479">
            <v>58.4</v>
          </cell>
          <cell r="J1479">
            <v>36534</v>
          </cell>
          <cell r="K1479">
            <v>12.9</v>
          </cell>
          <cell r="L1479">
            <v>0.2</v>
          </cell>
          <cell r="M1479">
            <v>2.2000000000000002</v>
          </cell>
          <cell r="N1479">
            <v>2015</v>
          </cell>
          <cell r="O1479">
            <v>44</v>
          </cell>
          <cell r="P1479">
            <v>32</v>
          </cell>
        </row>
        <row r="1480">
          <cell r="B1480" t="str">
            <v>University of Amsterdam</v>
          </cell>
          <cell r="C1480" t="str">
            <v>Netherlands</v>
          </cell>
          <cell r="D1480">
            <v>77</v>
          </cell>
          <cell r="E1480">
            <v>60.5</v>
          </cell>
          <cell r="F1480">
            <v>55.4</v>
          </cell>
          <cell r="G1480">
            <v>76.599999999999994</v>
          </cell>
          <cell r="H1480">
            <v>56.7</v>
          </cell>
          <cell r="I1480">
            <v>58.2</v>
          </cell>
          <cell r="J1480">
            <v>24570</v>
          </cell>
          <cell r="K1480">
            <v>14.4</v>
          </cell>
          <cell r="L1480">
            <v>0.11</v>
          </cell>
          <cell r="M1480">
            <v>2.2409722222222221</v>
          </cell>
          <cell r="N1480">
            <v>2015</v>
          </cell>
          <cell r="O1480">
            <v>122</v>
          </cell>
          <cell r="P1480">
            <v>4</v>
          </cell>
        </row>
        <row r="1481">
          <cell r="B1481" t="str">
            <v>Ã‰cole Normale SupÃ©rieure</v>
          </cell>
          <cell r="C1481" t="str">
            <v>France</v>
          </cell>
          <cell r="D1481">
            <v>78</v>
          </cell>
          <cell r="E1481">
            <v>81.900000000000006</v>
          </cell>
          <cell r="F1481">
            <v>36.200000000000003</v>
          </cell>
          <cell r="G1481">
            <v>84.8</v>
          </cell>
          <cell r="H1481">
            <v>39.4</v>
          </cell>
          <cell r="I1481">
            <v>58.1</v>
          </cell>
          <cell r="J1481">
            <v>2400</v>
          </cell>
          <cell r="K1481">
            <v>7.9</v>
          </cell>
          <cell r="L1481">
            <v>0.2</v>
          </cell>
          <cell r="M1481">
            <v>1.9541666666666666</v>
          </cell>
          <cell r="N1481">
            <v>2015</v>
          </cell>
          <cell r="O1481" t="e">
            <v>#N/A</v>
          </cell>
          <cell r="P1481" t="e">
            <v>#N/A</v>
          </cell>
        </row>
        <row r="1482">
          <cell r="B1482" t="str">
            <v>Utrecht University</v>
          </cell>
          <cell r="C1482" t="str">
            <v>Netherlands</v>
          </cell>
          <cell r="D1482">
            <v>79</v>
          </cell>
          <cell r="E1482">
            <v>52.9</v>
          </cell>
          <cell r="F1482">
            <v>54.8</v>
          </cell>
          <cell r="G1482">
            <v>80</v>
          </cell>
          <cell r="H1482">
            <v>84.1</v>
          </cell>
          <cell r="I1482">
            <v>58</v>
          </cell>
          <cell r="J1482">
            <v>30779</v>
          </cell>
          <cell r="K1482">
            <v>15.4</v>
          </cell>
          <cell r="L1482">
            <v>7.0000000000000007E-2</v>
          </cell>
          <cell r="M1482">
            <v>2.4868055555555557</v>
          </cell>
          <cell r="N1482">
            <v>2015</v>
          </cell>
          <cell r="O1482">
            <v>99</v>
          </cell>
          <cell r="P1482">
            <v>2</v>
          </cell>
        </row>
        <row r="1483">
          <cell r="B1483" t="str">
            <v>Humboldt University of Berlin</v>
          </cell>
          <cell r="C1483" t="str">
            <v>Germany</v>
          </cell>
          <cell r="D1483">
            <v>80</v>
          </cell>
          <cell r="E1483">
            <v>55.7</v>
          </cell>
          <cell r="F1483">
            <v>52.6</v>
          </cell>
          <cell r="G1483">
            <v>71.900000000000006</v>
          </cell>
          <cell r="H1483">
            <v>31.9</v>
          </cell>
          <cell r="I1483">
            <v>57.9</v>
          </cell>
          <cell r="J1483">
            <v>29987</v>
          </cell>
          <cell r="K1483">
            <v>52.5</v>
          </cell>
          <cell r="L1483">
            <v>0.16</v>
          </cell>
          <cell r="N1483">
            <v>2015</v>
          </cell>
          <cell r="O1483">
            <v>157</v>
          </cell>
          <cell r="P1483">
            <v>6</v>
          </cell>
        </row>
        <row r="1484">
          <cell r="B1484" t="str">
            <v>Free University of Berlin</v>
          </cell>
          <cell r="C1484" t="str">
            <v>Germany</v>
          </cell>
          <cell r="D1484">
            <v>81</v>
          </cell>
          <cell r="E1484">
            <v>56.6</v>
          </cell>
          <cell r="F1484">
            <v>58</v>
          </cell>
          <cell r="G1484">
            <v>67.599999999999994</v>
          </cell>
          <cell r="H1484">
            <v>33.5</v>
          </cell>
          <cell r="I1484">
            <v>57.6</v>
          </cell>
          <cell r="J1484">
            <v>33062</v>
          </cell>
          <cell r="K1484">
            <v>39.299999999999997</v>
          </cell>
          <cell r="L1484">
            <v>0.2</v>
          </cell>
          <cell r="M1484">
            <v>2.4458333333333333</v>
          </cell>
          <cell r="N1484">
            <v>2015</v>
          </cell>
          <cell r="O1484">
            <v>158</v>
          </cell>
          <cell r="P1484">
            <v>7</v>
          </cell>
        </row>
        <row r="1485">
          <cell r="B1485" t="str">
            <v>Michigan State University</v>
          </cell>
          <cell r="C1485" t="str">
            <v>United States of America</v>
          </cell>
          <cell r="D1485">
            <v>82</v>
          </cell>
          <cell r="E1485">
            <v>55</v>
          </cell>
          <cell r="F1485">
            <v>49.4</v>
          </cell>
          <cell r="G1485">
            <v>74</v>
          </cell>
          <cell r="H1485">
            <v>31.7</v>
          </cell>
          <cell r="I1485">
            <v>57.3</v>
          </cell>
          <cell r="J1485">
            <v>44750</v>
          </cell>
          <cell r="K1485">
            <v>15.7</v>
          </cell>
          <cell r="L1485">
            <v>0.15</v>
          </cell>
          <cell r="M1485">
            <v>2.1590277777777778</v>
          </cell>
          <cell r="N1485">
            <v>2015</v>
          </cell>
          <cell r="O1485">
            <v>112</v>
          </cell>
          <cell r="P1485">
            <v>59</v>
          </cell>
        </row>
        <row r="1486">
          <cell r="B1486" t="str">
            <v>Durham University</v>
          </cell>
          <cell r="C1486" t="str">
            <v>United Kingdom</v>
          </cell>
          <cell r="D1486">
            <v>83</v>
          </cell>
          <cell r="E1486">
            <v>80.400000000000006</v>
          </cell>
          <cell r="F1486">
            <v>40.700000000000003</v>
          </cell>
          <cell r="G1486">
            <v>88.9</v>
          </cell>
          <cell r="H1486">
            <v>34.799999999999997</v>
          </cell>
          <cell r="I1486">
            <v>56.9</v>
          </cell>
          <cell r="J1486">
            <v>15489</v>
          </cell>
          <cell r="K1486">
            <v>15.7</v>
          </cell>
          <cell r="L1486">
            <v>0.24</v>
          </cell>
          <cell r="M1486">
            <v>2.2819444444444446</v>
          </cell>
          <cell r="N1486">
            <v>2015</v>
          </cell>
          <cell r="O1486">
            <v>264</v>
          </cell>
          <cell r="P1486">
            <v>23</v>
          </cell>
        </row>
        <row r="1487">
          <cell r="B1487" t="str">
            <v>Monash University</v>
          </cell>
          <cell r="C1487" t="str">
            <v>Australia</v>
          </cell>
          <cell r="D1487">
            <v>83</v>
          </cell>
          <cell r="E1487">
            <v>79.599999999999994</v>
          </cell>
          <cell r="F1487">
            <v>54.4</v>
          </cell>
          <cell r="G1487">
            <v>65.7</v>
          </cell>
          <cell r="H1487">
            <v>73.400000000000006</v>
          </cell>
          <cell r="I1487">
            <v>56.9</v>
          </cell>
          <cell r="J1487">
            <v>50882</v>
          </cell>
          <cell r="K1487">
            <v>40.5</v>
          </cell>
          <cell r="L1487">
            <v>0.36</v>
          </cell>
          <cell r="M1487">
            <v>2.3638888888888889</v>
          </cell>
          <cell r="N1487">
            <v>2015</v>
          </cell>
          <cell r="O1487">
            <v>170</v>
          </cell>
          <cell r="P1487">
            <v>6</v>
          </cell>
        </row>
        <row r="1488">
          <cell r="B1488" t="str">
            <v>Middle East Technical University</v>
          </cell>
          <cell r="C1488" t="str">
            <v>Turkey</v>
          </cell>
          <cell r="D1488">
            <v>85</v>
          </cell>
          <cell r="E1488">
            <v>38.700000000000003</v>
          </cell>
          <cell r="F1488">
            <v>36.9</v>
          </cell>
          <cell r="G1488">
            <v>92</v>
          </cell>
          <cell r="H1488">
            <v>55.2</v>
          </cell>
          <cell r="I1488">
            <v>56.6</v>
          </cell>
          <cell r="J1488">
            <v>25779</v>
          </cell>
          <cell r="K1488">
            <v>22.2</v>
          </cell>
          <cell r="L1488">
            <v>7.0000000000000007E-2</v>
          </cell>
          <cell r="M1488">
            <v>1.8722222222222222</v>
          </cell>
          <cell r="N1488">
            <v>2015</v>
          </cell>
          <cell r="O1488">
            <v>396</v>
          </cell>
          <cell r="P1488">
            <v>1</v>
          </cell>
        </row>
        <row r="1489">
          <cell r="B1489" t="str">
            <v>University of Arizona</v>
          </cell>
          <cell r="C1489" t="str">
            <v>United States of America</v>
          </cell>
          <cell r="D1489">
            <v>86</v>
          </cell>
          <cell r="E1489">
            <v>38.799999999999997</v>
          </cell>
          <cell r="F1489">
            <v>51.4</v>
          </cell>
          <cell r="G1489">
            <v>74</v>
          </cell>
          <cell r="H1489">
            <v>99.6</v>
          </cell>
          <cell r="I1489">
            <v>56.5</v>
          </cell>
          <cell r="J1489">
            <v>36429</v>
          </cell>
          <cell r="K1489">
            <v>12.7</v>
          </cell>
          <cell r="L1489">
            <v>0.08</v>
          </cell>
          <cell r="M1489">
            <v>2.2000000000000002</v>
          </cell>
          <cell r="N1489">
            <v>2015</v>
          </cell>
          <cell r="O1489">
            <v>50</v>
          </cell>
          <cell r="P1489">
            <v>37</v>
          </cell>
        </row>
        <row r="1490">
          <cell r="B1490" t="str">
            <v>University of Notre Dame</v>
          </cell>
          <cell r="C1490" t="str">
            <v>United States of America</v>
          </cell>
          <cell r="D1490">
            <v>86</v>
          </cell>
          <cell r="E1490">
            <v>51.4</v>
          </cell>
          <cell r="F1490">
            <v>38.5</v>
          </cell>
          <cell r="G1490">
            <v>90</v>
          </cell>
          <cell r="H1490" t="str">
            <v>-</v>
          </cell>
          <cell r="I1490">
            <v>56.5</v>
          </cell>
          <cell r="J1490">
            <v>11829</v>
          </cell>
          <cell r="K1490">
            <v>13.8</v>
          </cell>
          <cell r="L1490">
            <v>0.1</v>
          </cell>
          <cell r="M1490">
            <v>1.8722222222222222</v>
          </cell>
          <cell r="N1490">
            <v>2015</v>
          </cell>
          <cell r="O1490">
            <v>64</v>
          </cell>
          <cell r="P1490">
            <v>42</v>
          </cell>
        </row>
        <row r="1491">
          <cell r="B1491" t="str">
            <v>Tufts University</v>
          </cell>
          <cell r="C1491" t="str">
            <v>United States of America</v>
          </cell>
          <cell r="D1491">
            <v>88</v>
          </cell>
          <cell r="E1491">
            <v>51.1</v>
          </cell>
          <cell r="F1491">
            <v>33.9</v>
          </cell>
          <cell r="G1491">
            <v>92.9</v>
          </cell>
          <cell r="H1491">
            <v>58.7</v>
          </cell>
          <cell r="I1491">
            <v>56.4</v>
          </cell>
          <cell r="J1491">
            <v>10410</v>
          </cell>
          <cell r="K1491">
            <v>10</v>
          </cell>
          <cell r="L1491">
            <v>0.14000000000000001</v>
          </cell>
          <cell r="M1491">
            <v>2.2819444444444446</v>
          </cell>
          <cell r="N1491">
            <v>2015</v>
          </cell>
          <cell r="O1491">
            <v>86</v>
          </cell>
          <cell r="P1491">
            <v>55</v>
          </cell>
        </row>
        <row r="1492">
          <cell r="B1492" t="str">
            <v>University of California, Irvine</v>
          </cell>
          <cell r="C1492" t="str">
            <v>United States of America</v>
          </cell>
          <cell r="D1492">
            <v>88</v>
          </cell>
          <cell r="E1492">
            <v>56.1</v>
          </cell>
          <cell r="F1492">
            <v>41.7</v>
          </cell>
          <cell r="G1492">
            <v>89.5</v>
          </cell>
          <cell r="H1492">
            <v>40</v>
          </cell>
          <cell r="I1492">
            <v>56.4</v>
          </cell>
          <cell r="J1492">
            <v>26614</v>
          </cell>
          <cell r="K1492">
            <v>16.100000000000001</v>
          </cell>
          <cell r="L1492">
            <v>0.16</v>
          </cell>
          <cell r="M1492">
            <v>2.2000000000000002</v>
          </cell>
          <cell r="N1492">
            <v>2015</v>
          </cell>
          <cell r="O1492">
            <v>47</v>
          </cell>
          <cell r="P1492">
            <v>35</v>
          </cell>
        </row>
        <row r="1493">
          <cell r="B1493" t="str">
            <v>Ghent University</v>
          </cell>
          <cell r="C1493" t="str">
            <v>Belgium</v>
          </cell>
          <cell r="D1493">
            <v>90</v>
          </cell>
          <cell r="E1493">
            <v>49.1</v>
          </cell>
          <cell r="F1493">
            <v>51.6</v>
          </cell>
          <cell r="G1493">
            <v>73.8</v>
          </cell>
          <cell r="H1493">
            <v>85.3</v>
          </cell>
          <cell r="I1493">
            <v>56.2</v>
          </cell>
          <cell r="J1493">
            <v>32166</v>
          </cell>
          <cell r="K1493">
            <v>34.1</v>
          </cell>
          <cell r="L1493">
            <v>0.09</v>
          </cell>
          <cell r="M1493">
            <v>2.4048611111111109</v>
          </cell>
          <cell r="N1493">
            <v>2015</v>
          </cell>
          <cell r="O1493">
            <v>136</v>
          </cell>
          <cell r="P1493">
            <v>2</v>
          </cell>
        </row>
        <row r="1494">
          <cell r="B1494" t="str">
            <v>University of Massachusetts</v>
          </cell>
          <cell r="C1494" t="str">
            <v>United States of America</v>
          </cell>
          <cell r="D1494">
            <v>91</v>
          </cell>
          <cell r="E1494">
            <v>40.299999999999997</v>
          </cell>
          <cell r="F1494">
            <v>49.1</v>
          </cell>
          <cell r="G1494">
            <v>78.7</v>
          </cell>
          <cell r="H1494">
            <v>52.8</v>
          </cell>
          <cell r="I1494">
            <v>56.1</v>
          </cell>
          <cell r="J1494">
            <v>56959</v>
          </cell>
          <cell r="K1494">
            <v>13</v>
          </cell>
          <cell r="L1494">
            <v>0.11</v>
          </cell>
          <cell r="M1494">
            <v>2.0770833333333334</v>
          </cell>
          <cell r="N1494">
            <v>2015</v>
          </cell>
          <cell r="O1494" t="e">
            <v>#N/A</v>
          </cell>
          <cell r="P1494" t="e">
            <v>#N/A</v>
          </cell>
        </row>
        <row r="1495">
          <cell r="B1495" t="str">
            <v>University of Pittsburgh</v>
          </cell>
          <cell r="C1495" t="str">
            <v>United States of America</v>
          </cell>
          <cell r="D1495">
            <v>91</v>
          </cell>
          <cell r="E1495">
            <v>32.200000000000003</v>
          </cell>
          <cell r="F1495">
            <v>46.3</v>
          </cell>
          <cell r="G1495">
            <v>84.4</v>
          </cell>
          <cell r="H1495">
            <v>38.5</v>
          </cell>
          <cell r="I1495">
            <v>56.1</v>
          </cell>
          <cell r="J1495">
            <v>26485</v>
          </cell>
          <cell r="K1495">
            <v>5.8</v>
          </cell>
          <cell r="L1495">
            <v>0.1</v>
          </cell>
          <cell r="M1495">
            <v>2.1590277777777778</v>
          </cell>
          <cell r="N1495">
            <v>2015</v>
          </cell>
          <cell r="O1495" t="e">
            <v>#N/A</v>
          </cell>
          <cell r="P1495" t="e">
            <v>#N/A</v>
          </cell>
        </row>
        <row r="1496">
          <cell r="B1496" t="str">
            <v>Emory University</v>
          </cell>
          <cell r="C1496" t="str">
            <v>United States of America</v>
          </cell>
          <cell r="D1496">
            <v>93</v>
          </cell>
          <cell r="E1496">
            <v>42.9</v>
          </cell>
          <cell r="F1496">
            <v>32.4</v>
          </cell>
          <cell r="G1496">
            <v>89.5</v>
          </cell>
          <cell r="H1496">
            <v>42.3</v>
          </cell>
          <cell r="I1496">
            <v>55.5</v>
          </cell>
          <cell r="J1496">
            <v>12338</v>
          </cell>
          <cell r="K1496">
            <v>4.5</v>
          </cell>
          <cell r="L1496">
            <v>0.18</v>
          </cell>
          <cell r="M1496">
            <v>2.3638888888888889</v>
          </cell>
          <cell r="N1496">
            <v>2015</v>
          </cell>
          <cell r="O1496">
            <v>81</v>
          </cell>
          <cell r="P1496">
            <v>53</v>
          </cell>
        </row>
        <row r="1497">
          <cell r="B1497" t="str">
            <v>McMaster University</v>
          </cell>
          <cell r="C1497" t="str">
            <v>Canada</v>
          </cell>
          <cell r="D1497">
            <v>94</v>
          </cell>
          <cell r="E1497">
            <v>69.400000000000006</v>
          </cell>
          <cell r="F1497">
            <v>43.2</v>
          </cell>
          <cell r="G1497">
            <v>78.8</v>
          </cell>
          <cell r="H1497">
            <v>85</v>
          </cell>
          <cell r="I1497">
            <v>55.3</v>
          </cell>
          <cell r="J1497">
            <v>23823</v>
          </cell>
          <cell r="K1497">
            <v>19.3</v>
          </cell>
          <cell r="L1497">
            <v>0.15</v>
          </cell>
          <cell r="M1497">
            <v>2.2409722222222221</v>
          </cell>
          <cell r="N1497">
            <v>2015</v>
          </cell>
          <cell r="O1497">
            <v>141</v>
          </cell>
          <cell r="P1497">
            <v>6</v>
          </cell>
        </row>
        <row r="1498">
          <cell r="B1498" t="str">
            <v>University of Glasgow</v>
          </cell>
          <cell r="C1498" t="str">
            <v>United Kingdom</v>
          </cell>
          <cell r="D1498">
            <v>94</v>
          </cell>
          <cell r="E1498">
            <v>78.8</v>
          </cell>
          <cell r="F1498">
            <v>40.5</v>
          </cell>
          <cell r="G1498">
            <v>83.7</v>
          </cell>
          <cell r="H1498">
            <v>39.9</v>
          </cell>
          <cell r="I1498">
            <v>55.3</v>
          </cell>
          <cell r="J1498">
            <v>22616</v>
          </cell>
          <cell r="K1498">
            <v>16</v>
          </cell>
          <cell r="L1498">
            <v>0.28999999999999998</v>
          </cell>
          <cell r="M1498">
            <v>2.4048611111111109</v>
          </cell>
          <cell r="N1498">
            <v>2015</v>
          </cell>
          <cell r="O1498">
            <v>137</v>
          </cell>
          <cell r="P1498">
            <v>9</v>
          </cell>
        </row>
        <row r="1499">
          <cell r="B1499" t="str">
            <v>Vanderbilt University</v>
          </cell>
          <cell r="C1499" t="str">
            <v>United States of America</v>
          </cell>
          <cell r="D1499">
            <v>96</v>
          </cell>
          <cell r="E1499">
            <v>28.3</v>
          </cell>
          <cell r="F1499">
            <v>38.200000000000003</v>
          </cell>
          <cell r="G1499">
            <v>87.7</v>
          </cell>
          <cell r="H1499">
            <v>59.4</v>
          </cell>
          <cell r="I1499">
            <v>55.2</v>
          </cell>
          <cell r="J1499">
            <v>12161</v>
          </cell>
          <cell r="K1499">
            <v>3.6</v>
          </cell>
          <cell r="L1499">
            <v>0.1</v>
          </cell>
          <cell r="M1499">
            <v>2.2000000000000002</v>
          </cell>
          <cell r="N1499">
            <v>2015</v>
          </cell>
          <cell r="O1499">
            <v>59</v>
          </cell>
          <cell r="P1499">
            <v>43</v>
          </cell>
        </row>
        <row r="1500">
          <cell r="B1500" t="str">
            <v>University of Colorado Boulder</v>
          </cell>
          <cell r="C1500" t="str">
            <v>United States of America</v>
          </cell>
          <cell r="D1500">
            <v>97</v>
          </cell>
          <cell r="E1500">
            <v>39.1</v>
          </cell>
          <cell r="F1500">
            <v>38.299999999999997</v>
          </cell>
          <cell r="G1500">
            <v>97.4</v>
          </cell>
          <cell r="H1500" t="str">
            <v>-</v>
          </cell>
          <cell r="I1500">
            <v>55.1</v>
          </cell>
          <cell r="J1500">
            <v>29325</v>
          </cell>
          <cell r="K1500">
            <v>16.100000000000001</v>
          </cell>
          <cell r="L1500">
            <v>0.08</v>
          </cell>
          <cell r="M1500">
            <v>1.9131944444444444</v>
          </cell>
          <cell r="N1500">
            <v>2015</v>
          </cell>
          <cell r="O1500">
            <v>46</v>
          </cell>
          <cell r="P1500">
            <v>34</v>
          </cell>
        </row>
        <row r="1501">
          <cell r="B1501" t="str">
            <v>Stockholm University</v>
          </cell>
          <cell r="C1501" t="str">
            <v>Sweden</v>
          </cell>
          <cell r="D1501">
            <v>98</v>
          </cell>
          <cell r="E1501">
            <v>53.2</v>
          </cell>
          <cell r="F1501">
            <v>45</v>
          </cell>
          <cell r="G1501">
            <v>90.9</v>
          </cell>
          <cell r="H1501">
            <v>32.4</v>
          </cell>
          <cell r="I1501">
            <v>54.6</v>
          </cell>
          <cell r="J1501">
            <v>31715</v>
          </cell>
          <cell r="K1501">
            <v>23.7</v>
          </cell>
          <cell r="L1501">
            <v>0.08</v>
          </cell>
          <cell r="M1501">
            <v>2.6097222222222221</v>
          </cell>
          <cell r="N1501">
            <v>2015</v>
          </cell>
          <cell r="O1501">
            <v>187</v>
          </cell>
          <cell r="P1501">
            <v>6</v>
          </cell>
        </row>
        <row r="1502">
          <cell r="B1502" t="str">
            <v>Technical University of Munich</v>
          </cell>
          <cell r="C1502" t="str">
            <v>Germany</v>
          </cell>
          <cell r="D1502">
            <v>98</v>
          </cell>
          <cell r="E1502">
            <v>64</v>
          </cell>
          <cell r="F1502">
            <v>37.4</v>
          </cell>
          <cell r="G1502">
            <v>78.8</v>
          </cell>
          <cell r="H1502">
            <v>49</v>
          </cell>
          <cell r="I1502">
            <v>54.6</v>
          </cell>
          <cell r="J1502">
            <v>35565</v>
          </cell>
          <cell r="K1502">
            <v>31.5</v>
          </cell>
          <cell r="L1502">
            <v>0.2</v>
          </cell>
          <cell r="M1502" t="str">
            <v>33 : 67</v>
          </cell>
          <cell r="N1502">
            <v>2015</v>
          </cell>
          <cell r="O1502">
            <v>90</v>
          </cell>
          <cell r="P1502">
            <v>3</v>
          </cell>
        </row>
        <row r="1503">
          <cell r="B1503" t="str">
            <v>Uppsala University</v>
          </cell>
          <cell r="C1503" t="str">
            <v>Sweden</v>
          </cell>
          <cell r="D1503">
            <v>98</v>
          </cell>
          <cell r="E1503">
            <v>57.5</v>
          </cell>
          <cell r="F1503">
            <v>53</v>
          </cell>
          <cell r="G1503">
            <v>70.900000000000006</v>
          </cell>
          <cell r="H1503">
            <v>39.6</v>
          </cell>
          <cell r="I1503">
            <v>54.6</v>
          </cell>
          <cell r="J1503">
            <v>25266</v>
          </cell>
          <cell r="K1503">
            <v>18.2</v>
          </cell>
          <cell r="L1503">
            <v>0.12</v>
          </cell>
          <cell r="M1503">
            <v>2.4048611111111109</v>
          </cell>
          <cell r="N1503">
            <v>2015</v>
          </cell>
          <cell r="O1503">
            <v>124</v>
          </cell>
          <cell r="P1503">
            <v>4</v>
          </cell>
        </row>
        <row r="1504">
          <cell r="B1504" t="str">
            <v>Maastricht University</v>
          </cell>
          <cell r="C1504" t="str">
            <v>Netherlands</v>
          </cell>
          <cell r="D1504">
            <v>101</v>
          </cell>
          <cell r="E1504">
            <v>89.7</v>
          </cell>
          <cell r="F1504">
            <v>48.1</v>
          </cell>
          <cell r="G1504">
            <v>70.099999999999994</v>
          </cell>
          <cell r="H1504">
            <v>96.1</v>
          </cell>
          <cell r="I1504">
            <v>54.3</v>
          </cell>
          <cell r="J1504">
            <v>15626</v>
          </cell>
          <cell r="K1504">
            <v>18.899999999999999</v>
          </cell>
          <cell r="L1504">
            <v>0.48</v>
          </cell>
          <cell r="M1504">
            <v>2.3638888888888889</v>
          </cell>
          <cell r="N1504">
            <v>2015</v>
          </cell>
          <cell r="O1504">
            <v>250</v>
          </cell>
          <cell r="P1504">
            <v>8</v>
          </cell>
        </row>
        <row r="1505">
          <cell r="B1505" t="str">
            <v>Purdue University</v>
          </cell>
          <cell r="C1505" t="str">
            <v>United States of America</v>
          </cell>
          <cell r="D1505">
            <v>102</v>
          </cell>
          <cell r="E1505">
            <v>64.3</v>
          </cell>
          <cell r="F1505">
            <v>50.5</v>
          </cell>
          <cell r="G1505">
            <v>62.2</v>
          </cell>
          <cell r="H1505" t="str">
            <v>-</v>
          </cell>
          <cell r="I1505">
            <v>54</v>
          </cell>
          <cell r="J1505">
            <v>39256</v>
          </cell>
          <cell r="K1505">
            <v>18.100000000000001</v>
          </cell>
          <cell r="L1505">
            <v>0.22</v>
          </cell>
          <cell r="M1505">
            <v>1.7902777777777779</v>
          </cell>
          <cell r="N1505">
            <v>2015</v>
          </cell>
          <cell r="O1505" t="e">
            <v>#N/A</v>
          </cell>
          <cell r="P1505" t="e">
            <v>#N/A</v>
          </cell>
        </row>
        <row r="1506">
          <cell r="B1506" t="str">
            <v>Pierre and Marie Curie University</v>
          </cell>
          <cell r="C1506" t="str">
            <v>France</v>
          </cell>
          <cell r="D1506">
            <v>103</v>
          </cell>
          <cell r="E1506">
            <v>64.7</v>
          </cell>
          <cell r="F1506">
            <v>30</v>
          </cell>
          <cell r="G1506">
            <v>83.3</v>
          </cell>
          <cell r="H1506">
            <v>33.4</v>
          </cell>
          <cell r="I1506">
            <v>53.9</v>
          </cell>
          <cell r="J1506">
            <v>27862</v>
          </cell>
          <cell r="K1506">
            <v>8.6999999999999993</v>
          </cell>
          <cell r="L1506">
            <v>0.18</v>
          </cell>
          <cell r="M1506">
            <v>2.036111111111111</v>
          </cell>
          <cell r="N1506">
            <v>2015</v>
          </cell>
          <cell r="O1506" t="e">
            <v>#N/A</v>
          </cell>
          <cell r="P1506" t="e">
            <v>#N/A</v>
          </cell>
        </row>
        <row r="1507">
          <cell r="B1507" t="str">
            <v>University of Helsinki</v>
          </cell>
          <cell r="C1507" t="str">
            <v>Finland</v>
          </cell>
          <cell r="D1507">
            <v>103</v>
          </cell>
          <cell r="E1507">
            <v>49.7</v>
          </cell>
          <cell r="F1507">
            <v>48.1</v>
          </cell>
          <cell r="G1507">
            <v>79</v>
          </cell>
          <cell r="H1507">
            <v>31.5</v>
          </cell>
          <cell r="I1507">
            <v>53.9</v>
          </cell>
          <cell r="J1507">
            <v>23505</v>
          </cell>
          <cell r="K1507">
            <v>15.1</v>
          </cell>
          <cell r="L1507">
            <v>0.06</v>
          </cell>
          <cell r="M1507">
            <v>2.7736111111111112</v>
          </cell>
          <cell r="N1507">
            <v>2015</v>
          </cell>
          <cell r="O1507">
            <v>89</v>
          </cell>
          <cell r="P1507">
            <v>1</v>
          </cell>
        </row>
        <row r="1508">
          <cell r="B1508" t="str">
            <v>University of Warwick</v>
          </cell>
          <cell r="C1508" t="str">
            <v>United Kingdom</v>
          </cell>
          <cell r="D1508">
            <v>103</v>
          </cell>
          <cell r="E1508">
            <v>85.7</v>
          </cell>
          <cell r="F1508">
            <v>45.8</v>
          </cell>
          <cell r="G1508">
            <v>68.2</v>
          </cell>
          <cell r="H1508">
            <v>35.6</v>
          </cell>
          <cell r="I1508">
            <v>53.9</v>
          </cell>
          <cell r="J1508">
            <v>18529</v>
          </cell>
          <cell r="K1508">
            <v>16.600000000000001</v>
          </cell>
          <cell r="L1508">
            <v>0.37</v>
          </cell>
          <cell r="M1508">
            <v>2.036111111111111</v>
          </cell>
          <cell r="N1508">
            <v>2015</v>
          </cell>
          <cell r="O1508">
            <v>324</v>
          </cell>
          <cell r="P1508">
            <v>29</v>
          </cell>
        </row>
        <row r="1509">
          <cell r="B1509" t="str">
            <v>University of Zurich</v>
          </cell>
          <cell r="C1509" t="str">
            <v>Switzerland</v>
          </cell>
          <cell r="D1509">
            <v>103</v>
          </cell>
          <cell r="E1509">
            <v>86.9</v>
          </cell>
          <cell r="F1509">
            <v>33.1</v>
          </cell>
          <cell r="G1509">
            <v>81.400000000000006</v>
          </cell>
          <cell r="H1509">
            <v>40.1</v>
          </cell>
          <cell r="I1509">
            <v>53.9</v>
          </cell>
          <cell r="J1509">
            <v>26583</v>
          </cell>
          <cell r="K1509">
            <v>6.5</v>
          </cell>
          <cell r="L1509">
            <v>0.19</v>
          </cell>
          <cell r="M1509">
            <v>2.4048611111111109</v>
          </cell>
          <cell r="N1509">
            <v>2015</v>
          </cell>
          <cell r="O1509">
            <v>88</v>
          </cell>
          <cell r="P1509">
            <v>4</v>
          </cell>
        </row>
        <row r="1510">
          <cell r="B1510" t="str">
            <v>Queen Mary University of London</v>
          </cell>
          <cell r="C1510" t="str">
            <v>United Kingdom</v>
          </cell>
          <cell r="D1510">
            <v>107</v>
          </cell>
          <cell r="E1510">
            <v>88.6</v>
          </cell>
          <cell r="F1510">
            <v>32.9</v>
          </cell>
          <cell r="G1510">
            <v>88.9</v>
          </cell>
          <cell r="H1510">
            <v>37.1</v>
          </cell>
          <cell r="I1510">
            <v>53.8</v>
          </cell>
          <cell r="J1510">
            <v>14260</v>
          </cell>
          <cell r="K1510">
            <v>14</v>
          </cell>
          <cell r="L1510">
            <v>0.4</v>
          </cell>
          <cell r="M1510">
            <v>2.2000000000000002</v>
          </cell>
          <cell r="N1510">
            <v>2015</v>
          </cell>
          <cell r="O1510">
            <v>214</v>
          </cell>
          <cell r="P1510">
            <v>18</v>
          </cell>
        </row>
        <row r="1511">
          <cell r="B1511" t="str">
            <v>University of Geneva</v>
          </cell>
          <cell r="C1511" t="str">
            <v>Switzerland</v>
          </cell>
          <cell r="D1511">
            <v>107</v>
          </cell>
          <cell r="E1511">
            <v>96.8</v>
          </cell>
          <cell r="F1511">
            <v>37.200000000000003</v>
          </cell>
          <cell r="G1511">
            <v>78.2</v>
          </cell>
          <cell r="H1511">
            <v>65.099999999999994</v>
          </cell>
          <cell r="I1511">
            <v>53.8</v>
          </cell>
          <cell r="J1511">
            <v>15668</v>
          </cell>
          <cell r="K1511">
            <v>15</v>
          </cell>
          <cell r="L1511">
            <v>0.39</v>
          </cell>
          <cell r="M1511">
            <v>2.5687500000000001</v>
          </cell>
          <cell r="N1511">
            <v>2015</v>
          </cell>
          <cell r="O1511">
            <v>65</v>
          </cell>
          <cell r="P1511">
            <v>2</v>
          </cell>
        </row>
        <row r="1512">
          <cell r="B1512" t="str">
            <v>University of California, Santa Cruz</v>
          </cell>
          <cell r="C1512" t="str">
            <v>United States of America</v>
          </cell>
          <cell r="D1512">
            <v>109</v>
          </cell>
          <cell r="E1512">
            <v>54.6</v>
          </cell>
          <cell r="F1512">
            <v>31.9</v>
          </cell>
          <cell r="G1512">
            <v>100</v>
          </cell>
          <cell r="H1512">
            <v>33.799999999999997</v>
          </cell>
          <cell r="I1512">
            <v>53.7</v>
          </cell>
          <cell r="J1512">
            <v>17404</v>
          </cell>
          <cell r="K1512">
            <v>22.7</v>
          </cell>
          <cell r="L1512">
            <v>0.01</v>
          </cell>
          <cell r="M1512">
            <v>2.2409722222222221</v>
          </cell>
          <cell r="N1512">
            <v>2015</v>
          </cell>
          <cell r="O1512">
            <v>163</v>
          </cell>
          <cell r="P1512">
            <v>71</v>
          </cell>
        </row>
        <row r="1513">
          <cell r="B1513" t="str">
            <v>University of New South Wales</v>
          </cell>
          <cell r="C1513" t="str">
            <v>Australia</v>
          </cell>
          <cell r="D1513">
            <v>109</v>
          </cell>
          <cell r="E1513">
            <v>83.5</v>
          </cell>
          <cell r="F1513">
            <v>51.9</v>
          </cell>
          <cell r="G1513">
            <v>61.1</v>
          </cell>
          <cell r="H1513">
            <v>47.8</v>
          </cell>
          <cell r="I1513">
            <v>53.7</v>
          </cell>
          <cell r="J1513">
            <v>38309</v>
          </cell>
          <cell r="K1513">
            <v>25.9</v>
          </cell>
          <cell r="L1513">
            <v>0.33</v>
          </cell>
          <cell r="M1513">
            <v>1.9951388888888888</v>
          </cell>
          <cell r="N1513">
            <v>2015</v>
          </cell>
          <cell r="O1513">
            <v>149</v>
          </cell>
          <cell r="P1513">
            <v>4</v>
          </cell>
        </row>
        <row r="1514">
          <cell r="B1514" t="str">
            <v>University of St Andrews</v>
          </cell>
          <cell r="C1514" t="str">
            <v>United Kingdom</v>
          </cell>
          <cell r="D1514">
            <v>111</v>
          </cell>
          <cell r="E1514">
            <v>90.5</v>
          </cell>
          <cell r="F1514">
            <v>35.9</v>
          </cell>
          <cell r="G1514">
            <v>81.400000000000006</v>
          </cell>
          <cell r="H1514">
            <v>39.799999999999997</v>
          </cell>
          <cell r="I1514">
            <v>53.6</v>
          </cell>
          <cell r="J1514">
            <v>8338</v>
          </cell>
          <cell r="K1514">
            <v>12.7</v>
          </cell>
          <cell r="L1514">
            <v>0.47</v>
          </cell>
          <cell r="M1514">
            <v>2.3638888888888889</v>
          </cell>
          <cell r="N1514">
            <v>2015</v>
          </cell>
          <cell r="O1514">
            <v>323</v>
          </cell>
          <cell r="P1514">
            <v>28</v>
          </cell>
        </row>
        <row r="1515">
          <cell r="B1515" t="str">
            <v>University of Sussex</v>
          </cell>
          <cell r="C1515" t="str">
            <v>United Kingdom</v>
          </cell>
          <cell r="D1515">
            <v>111</v>
          </cell>
          <cell r="E1515">
            <v>83.6</v>
          </cell>
          <cell r="F1515">
            <v>30.4</v>
          </cell>
          <cell r="G1515">
            <v>92.8</v>
          </cell>
          <cell r="H1515">
            <v>31.2</v>
          </cell>
          <cell r="I1515">
            <v>53.6</v>
          </cell>
          <cell r="J1515">
            <v>12001</v>
          </cell>
          <cell r="K1515">
            <v>17.399999999999999</v>
          </cell>
          <cell r="L1515">
            <v>0.35</v>
          </cell>
          <cell r="M1515">
            <v>2.2819444444444446</v>
          </cell>
          <cell r="N1515">
            <v>2015</v>
          </cell>
          <cell r="O1515">
            <v>190</v>
          </cell>
          <cell r="P1515">
            <v>15</v>
          </cell>
        </row>
        <row r="1516">
          <cell r="B1516" t="str">
            <v>University of Montreal</v>
          </cell>
          <cell r="C1516" t="str">
            <v>Canada</v>
          </cell>
          <cell r="D1516">
            <v>113</v>
          </cell>
          <cell r="E1516">
            <v>76.7</v>
          </cell>
          <cell r="F1516">
            <v>44.4</v>
          </cell>
          <cell r="G1516">
            <v>62.9</v>
          </cell>
          <cell r="H1516">
            <v>91.8</v>
          </cell>
          <cell r="I1516">
            <v>53.4</v>
          </cell>
          <cell r="J1516">
            <v>38264</v>
          </cell>
          <cell r="K1516">
            <v>20.3</v>
          </cell>
          <cell r="L1516">
            <v>0.25</v>
          </cell>
          <cell r="M1516">
            <v>2.4048611111111109</v>
          </cell>
          <cell r="N1516">
            <v>2015</v>
          </cell>
          <cell r="O1516">
            <v>134</v>
          </cell>
          <cell r="P1516">
            <v>5</v>
          </cell>
        </row>
        <row r="1517">
          <cell r="B1517" t="str">
            <v>University of TÃ¼bingen</v>
          </cell>
          <cell r="C1517" t="str">
            <v>Germany</v>
          </cell>
          <cell r="D1517">
            <v>113</v>
          </cell>
          <cell r="E1517">
            <v>53</v>
          </cell>
          <cell r="F1517">
            <v>44.7</v>
          </cell>
          <cell r="G1517">
            <v>74</v>
          </cell>
          <cell r="H1517">
            <v>54.7</v>
          </cell>
          <cell r="I1517">
            <v>53.4</v>
          </cell>
          <cell r="J1517">
            <v>28327</v>
          </cell>
          <cell r="K1517">
            <v>38.9</v>
          </cell>
          <cell r="L1517">
            <v>0.12</v>
          </cell>
          <cell r="M1517">
            <v>2.4458333333333333</v>
          </cell>
          <cell r="N1517">
            <v>2015</v>
          </cell>
          <cell r="O1517">
            <v>159</v>
          </cell>
          <cell r="P1517">
            <v>8</v>
          </cell>
        </row>
        <row r="1518">
          <cell r="B1518" t="str">
            <v>University of York</v>
          </cell>
          <cell r="C1518" t="str">
            <v>United Kingdom</v>
          </cell>
          <cell r="D1518">
            <v>113</v>
          </cell>
          <cell r="E1518">
            <v>75</v>
          </cell>
          <cell r="F1518">
            <v>33.799999999999997</v>
          </cell>
          <cell r="G1518">
            <v>90.5</v>
          </cell>
          <cell r="H1518">
            <v>32.200000000000003</v>
          </cell>
          <cell r="I1518">
            <v>53.4</v>
          </cell>
          <cell r="N1518">
            <v>2015</v>
          </cell>
          <cell r="O1518">
            <v>336</v>
          </cell>
          <cell r="P1518">
            <v>30</v>
          </cell>
        </row>
        <row r="1519">
          <cell r="B1519" t="str">
            <v>Case Western Reserve University</v>
          </cell>
          <cell r="C1519" t="str">
            <v>United States of America</v>
          </cell>
          <cell r="D1519">
            <v>116</v>
          </cell>
          <cell r="E1519">
            <v>34.4</v>
          </cell>
          <cell r="F1519">
            <v>37.4</v>
          </cell>
          <cell r="G1519">
            <v>82.9</v>
          </cell>
          <cell r="H1519" t="str">
            <v>-</v>
          </cell>
          <cell r="I1519">
            <v>53.2</v>
          </cell>
          <cell r="J1519">
            <v>9259</v>
          </cell>
          <cell r="K1519">
            <v>6.4</v>
          </cell>
          <cell r="L1519">
            <v>0.17</v>
          </cell>
          <cell r="M1519">
            <v>2.036111111111111</v>
          </cell>
          <cell r="N1519">
            <v>2015</v>
          </cell>
          <cell r="O1519">
            <v>78</v>
          </cell>
          <cell r="P1519">
            <v>51</v>
          </cell>
        </row>
        <row r="1520">
          <cell r="B1520" t="str">
            <v>University of Groningen</v>
          </cell>
          <cell r="C1520" t="str">
            <v>Netherlands</v>
          </cell>
          <cell r="D1520">
            <v>117</v>
          </cell>
          <cell r="E1520">
            <v>56.1</v>
          </cell>
          <cell r="F1520">
            <v>50.8</v>
          </cell>
          <cell r="G1520">
            <v>68.099999999999994</v>
          </cell>
          <cell r="H1520">
            <v>88.9</v>
          </cell>
          <cell r="I1520">
            <v>53.1</v>
          </cell>
          <cell r="J1520">
            <v>24556</v>
          </cell>
          <cell r="K1520">
            <v>25.6</v>
          </cell>
          <cell r="L1520">
            <v>0.12</v>
          </cell>
          <cell r="M1520">
            <v>2.2000000000000002</v>
          </cell>
          <cell r="N1520">
            <v>2015</v>
          </cell>
          <cell r="O1520">
            <v>127</v>
          </cell>
          <cell r="P1520">
            <v>5</v>
          </cell>
        </row>
        <row r="1521">
          <cell r="B1521" t="str">
            <v>Royal Holloway, University of London</v>
          </cell>
          <cell r="C1521" t="str">
            <v>United Kingdom</v>
          </cell>
          <cell r="D1521">
            <v>118</v>
          </cell>
          <cell r="E1521">
            <v>94.4</v>
          </cell>
          <cell r="F1521">
            <v>22.4</v>
          </cell>
          <cell r="G1521">
            <v>98.9</v>
          </cell>
          <cell r="H1521">
            <v>32.799999999999997</v>
          </cell>
          <cell r="I1521">
            <v>53</v>
          </cell>
          <cell r="J1521">
            <v>8747</v>
          </cell>
          <cell r="K1521">
            <v>15.9</v>
          </cell>
          <cell r="L1521">
            <v>0.37</v>
          </cell>
          <cell r="M1521">
            <v>2.4048611111111109</v>
          </cell>
          <cell r="N1521">
            <v>2015</v>
          </cell>
          <cell r="O1521">
            <v>541</v>
          </cell>
          <cell r="P1521">
            <v>42</v>
          </cell>
        </row>
        <row r="1522">
          <cell r="B1522" t="str">
            <v>Lund University</v>
          </cell>
          <cell r="C1522" t="str">
            <v>Sweden</v>
          </cell>
          <cell r="D1522">
            <v>119</v>
          </cell>
          <cell r="E1522">
            <v>70.099999999999994</v>
          </cell>
          <cell r="F1522">
            <v>48.5</v>
          </cell>
          <cell r="G1522">
            <v>74.900000000000006</v>
          </cell>
          <cell r="H1522">
            <v>32.6</v>
          </cell>
          <cell r="I1522">
            <v>52.9</v>
          </cell>
          <cell r="J1522">
            <v>28251</v>
          </cell>
          <cell r="K1522">
            <v>11.5</v>
          </cell>
          <cell r="L1522">
            <v>0.15</v>
          </cell>
          <cell r="N1522">
            <v>2015</v>
          </cell>
          <cell r="O1522">
            <v>116</v>
          </cell>
          <cell r="P1522">
            <v>3</v>
          </cell>
        </row>
        <row r="1523">
          <cell r="B1523" t="str">
            <v>Paris-Sud University</v>
          </cell>
          <cell r="C1523" t="str">
            <v>France</v>
          </cell>
          <cell r="D1523">
            <v>120</v>
          </cell>
          <cell r="E1523">
            <v>62.7</v>
          </cell>
          <cell r="F1523">
            <v>33.1</v>
          </cell>
          <cell r="G1523">
            <v>87.7</v>
          </cell>
          <cell r="H1523">
            <v>28.9</v>
          </cell>
          <cell r="I1523">
            <v>52.8</v>
          </cell>
          <cell r="J1523">
            <v>27603</v>
          </cell>
          <cell r="K1523">
            <v>15</v>
          </cell>
          <cell r="L1523">
            <v>0.17</v>
          </cell>
          <cell r="N1523">
            <v>2015</v>
          </cell>
          <cell r="O1523" t="e">
            <v>#N/A</v>
          </cell>
          <cell r="P1523" t="e">
            <v>#N/A</v>
          </cell>
        </row>
        <row r="1524">
          <cell r="B1524" t="str">
            <v>Technical University of Denmark</v>
          </cell>
          <cell r="C1524" t="str">
            <v>Denmark</v>
          </cell>
          <cell r="D1524">
            <v>121</v>
          </cell>
          <cell r="E1524">
            <v>79.7</v>
          </cell>
          <cell r="F1524">
            <v>28.2</v>
          </cell>
          <cell r="G1524">
            <v>79.599999999999994</v>
          </cell>
          <cell r="H1524">
            <v>98.6</v>
          </cell>
          <cell r="I1524">
            <v>52.7</v>
          </cell>
          <cell r="J1524">
            <v>9990</v>
          </cell>
          <cell r="K1524">
            <v>5</v>
          </cell>
          <cell r="L1524">
            <v>0.18</v>
          </cell>
          <cell r="M1524" t="str">
            <v>27 : 73</v>
          </cell>
          <cell r="N1524">
            <v>2015</v>
          </cell>
          <cell r="O1524">
            <v>197</v>
          </cell>
          <cell r="P1524">
            <v>3</v>
          </cell>
        </row>
        <row r="1525">
          <cell r="B1525" t="str">
            <v>University of Rochester</v>
          </cell>
          <cell r="C1525" t="str">
            <v>United States of America</v>
          </cell>
          <cell r="D1525">
            <v>121</v>
          </cell>
          <cell r="E1525">
            <v>55.5</v>
          </cell>
          <cell r="F1525">
            <v>29.2</v>
          </cell>
          <cell r="G1525">
            <v>87.7</v>
          </cell>
          <cell r="H1525">
            <v>36.4</v>
          </cell>
          <cell r="I1525">
            <v>52.7</v>
          </cell>
          <cell r="J1525">
            <v>9390</v>
          </cell>
          <cell r="K1525">
            <v>4.5</v>
          </cell>
          <cell r="L1525">
            <v>0.26</v>
          </cell>
          <cell r="M1525">
            <v>2.0770833333333334</v>
          </cell>
          <cell r="N1525">
            <v>2015</v>
          </cell>
          <cell r="O1525">
            <v>53</v>
          </cell>
          <cell r="P1525">
            <v>39</v>
          </cell>
        </row>
        <row r="1526">
          <cell r="B1526" t="str">
            <v>University of Sheffield</v>
          </cell>
          <cell r="C1526" t="str">
            <v>United Kingdom</v>
          </cell>
          <cell r="D1526">
            <v>121</v>
          </cell>
          <cell r="E1526">
            <v>74.8</v>
          </cell>
          <cell r="F1526">
            <v>39.1</v>
          </cell>
          <cell r="G1526">
            <v>74.3</v>
          </cell>
          <cell r="H1526">
            <v>43.8</v>
          </cell>
          <cell r="I1526">
            <v>52.7</v>
          </cell>
          <cell r="J1526">
            <v>23311</v>
          </cell>
          <cell r="K1526">
            <v>15.5</v>
          </cell>
          <cell r="L1526">
            <v>0.31</v>
          </cell>
          <cell r="M1526">
            <v>2.1180555555555554</v>
          </cell>
          <cell r="N1526">
            <v>2015</v>
          </cell>
          <cell r="O1526">
            <v>178</v>
          </cell>
          <cell r="P1526">
            <v>14</v>
          </cell>
        </row>
        <row r="1527">
          <cell r="B1527" t="str">
            <v>University of Alberta</v>
          </cell>
          <cell r="C1527" t="str">
            <v>Canada</v>
          </cell>
          <cell r="D1527">
            <v>124</v>
          </cell>
          <cell r="E1527">
            <v>73.400000000000006</v>
          </cell>
          <cell r="F1527">
            <v>47.1</v>
          </cell>
          <cell r="G1527">
            <v>61.8</v>
          </cell>
          <cell r="H1527">
            <v>51.8</v>
          </cell>
          <cell r="I1527">
            <v>52.6</v>
          </cell>
          <cell r="J1527">
            <v>36299</v>
          </cell>
          <cell r="K1527">
            <v>21.6</v>
          </cell>
          <cell r="L1527">
            <v>0.23</v>
          </cell>
          <cell r="M1527">
            <v>2.3229166666666665</v>
          </cell>
          <cell r="N1527">
            <v>2015</v>
          </cell>
          <cell r="O1527">
            <v>97</v>
          </cell>
          <cell r="P1527">
            <v>4</v>
          </cell>
        </row>
        <row r="1528">
          <cell r="B1528" t="str">
            <v>University of Cape Town</v>
          </cell>
          <cell r="C1528" t="str">
            <v>South Africa</v>
          </cell>
          <cell r="D1528">
            <v>124</v>
          </cell>
          <cell r="E1528">
            <v>76.7</v>
          </cell>
          <cell r="F1528">
            <v>35.299999999999997</v>
          </cell>
          <cell r="G1528">
            <v>86.6</v>
          </cell>
          <cell r="H1528">
            <v>88</v>
          </cell>
          <cell r="I1528">
            <v>52.6</v>
          </cell>
          <cell r="J1528">
            <v>20040</v>
          </cell>
          <cell r="K1528">
            <v>12.1</v>
          </cell>
          <cell r="L1528">
            <v>0.18</v>
          </cell>
          <cell r="M1528">
            <v>2.2409722222222221</v>
          </cell>
          <cell r="N1528">
            <v>2015</v>
          </cell>
          <cell r="O1528">
            <v>267</v>
          </cell>
          <cell r="P1528">
            <v>2</v>
          </cell>
        </row>
        <row r="1529">
          <cell r="B1529" t="str">
            <v>Boston College</v>
          </cell>
          <cell r="C1529" t="str">
            <v>United States of America</v>
          </cell>
          <cell r="D1529">
            <v>126</v>
          </cell>
          <cell r="E1529">
            <v>54.6</v>
          </cell>
          <cell r="F1529">
            <v>29.1</v>
          </cell>
          <cell r="G1529">
            <v>95.9</v>
          </cell>
          <cell r="H1529">
            <v>46.5</v>
          </cell>
          <cell r="I1529">
            <v>52.5</v>
          </cell>
          <cell r="J1529">
            <v>13216</v>
          </cell>
          <cell r="K1529">
            <v>17.399999999999999</v>
          </cell>
          <cell r="L1529">
            <v>0.19</v>
          </cell>
          <cell r="M1529">
            <v>2.2819444444444446</v>
          </cell>
          <cell r="N1529">
            <v>2015</v>
          </cell>
          <cell r="O1529">
            <v>332</v>
          </cell>
          <cell r="P1529">
            <v>124</v>
          </cell>
        </row>
        <row r="1530">
          <cell r="B1530" t="str">
            <v>KTH Royal Institute of Technology</v>
          </cell>
          <cell r="C1530" t="str">
            <v>Sweden</v>
          </cell>
          <cell r="D1530">
            <v>126</v>
          </cell>
          <cell r="E1530">
            <v>84</v>
          </cell>
          <cell r="F1530">
            <v>44.8</v>
          </cell>
          <cell r="G1530">
            <v>55.1</v>
          </cell>
          <cell r="H1530">
            <v>100</v>
          </cell>
          <cell r="I1530">
            <v>52.5</v>
          </cell>
          <cell r="J1530">
            <v>12062</v>
          </cell>
          <cell r="K1530">
            <v>14.6</v>
          </cell>
          <cell r="L1530">
            <v>0.21</v>
          </cell>
          <cell r="M1530" t="str">
            <v>30 : 70</v>
          </cell>
          <cell r="N1530">
            <v>2015</v>
          </cell>
          <cell r="O1530" t="e">
            <v>#N/A</v>
          </cell>
          <cell r="P1530" t="e">
            <v>#N/A</v>
          </cell>
        </row>
        <row r="1531">
          <cell r="B1531" t="str">
            <v>University of Florida</v>
          </cell>
          <cell r="C1531" t="str">
            <v>United States of America</v>
          </cell>
          <cell r="D1531">
            <v>126</v>
          </cell>
          <cell r="E1531">
            <v>32.200000000000003</v>
          </cell>
          <cell r="F1531">
            <v>52.1</v>
          </cell>
          <cell r="G1531">
            <v>62.2</v>
          </cell>
          <cell r="H1531" t="str">
            <v>-</v>
          </cell>
          <cell r="I1531">
            <v>52.5</v>
          </cell>
          <cell r="J1531">
            <v>50095</v>
          </cell>
          <cell r="K1531">
            <v>18.7</v>
          </cell>
          <cell r="L1531">
            <v>0.09</v>
          </cell>
          <cell r="M1531">
            <v>2.2819444444444446</v>
          </cell>
          <cell r="N1531">
            <v>2015</v>
          </cell>
          <cell r="O1531">
            <v>55</v>
          </cell>
          <cell r="P1531">
            <v>40</v>
          </cell>
        </row>
        <row r="1532">
          <cell r="B1532" t="str">
            <v>Chinese University of Hong Kong</v>
          </cell>
          <cell r="C1532" t="str">
            <v>Hong Kong</v>
          </cell>
          <cell r="D1532">
            <v>129</v>
          </cell>
          <cell r="E1532">
            <v>64</v>
          </cell>
          <cell r="F1532">
            <v>53.5</v>
          </cell>
          <cell r="G1532">
            <v>57.8</v>
          </cell>
          <cell r="H1532">
            <v>42.8</v>
          </cell>
          <cell r="I1532">
            <v>52.4</v>
          </cell>
          <cell r="J1532">
            <v>17916</v>
          </cell>
          <cell r="K1532">
            <v>10.199999999999999</v>
          </cell>
          <cell r="L1532">
            <v>0.22</v>
          </cell>
          <cell r="M1532">
            <v>2.2409722222222221</v>
          </cell>
          <cell r="N1532">
            <v>2015</v>
          </cell>
          <cell r="O1532">
            <v>202</v>
          </cell>
          <cell r="P1532">
            <v>2</v>
          </cell>
        </row>
        <row r="1533">
          <cell r="B1533" t="str">
            <v>University of Virginia</v>
          </cell>
          <cell r="C1533" t="str">
            <v>United States of America</v>
          </cell>
          <cell r="D1533">
            <v>130</v>
          </cell>
          <cell r="E1533">
            <v>31.8</v>
          </cell>
          <cell r="F1533">
            <v>35.9</v>
          </cell>
          <cell r="G1533">
            <v>76.900000000000006</v>
          </cell>
          <cell r="H1533">
            <v>49.8</v>
          </cell>
          <cell r="I1533">
            <v>52.1</v>
          </cell>
          <cell r="J1533">
            <v>23845</v>
          </cell>
          <cell r="K1533">
            <v>10.199999999999999</v>
          </cell>
          <cell r="L1533">
            <v>0.12</v>
          </cell>
          <cell r="M1533">
            <v>2.2000000000000002</v>
          </cell>
          <cell r="N1533">
            <v>2015</v>
          </cell>
          <cell r="O1533">
            <v>84</v>
          </cell>
          <cell r="P1533">
            <v>54</v>
          </cell>
        </row>
        <row r="1534">
          <cell r="B1534" t="str">
            <v>Lancaster University</v>
          </cell>
          <cell r="C1534" t="str">
            <v>United Kingdom</v>
          </cell>
          <cell r="D1534">
            <v>131</v>
          </cell>
          <cell r="E1534">
            <v>84.7</v>
          </cell>
          <cell r="F1534">
            <v>36.1</v>
          </cell>
          <cell r="G1534">
            <v>78</v>
          </cell>
          <cell r="H1534">
            <v>34.1</v>
          </cell>
          <cell r="I1534">
            <v>52</v>
          </cell>
          <cell r="J1534">
            <v>11512</v>
          </cell>
          <cell r="K1534">
            <v>14.9</v>
          </cell>
          <cell r="L1534">
            <v>0.33</v>
          </cell>
          <cell r="M1534">
            <v>2.2000000000000002</v>
          </cell>
          <cell r="N1534">
            <v>2015</v>
          </cell>
          <cell r="O1534">
            <v>449</v>
          </cell>
          <cell r="P1534">
            <v>38</v>
          </cell>
        </row>
        <row r="1535">
          <cell r="B1535" t="str">
            <v>University of Bern</v>
          </cell>
          <cell r="C1535" t="str">
            <v>Switzerland</v>
          </cell>
          <cell r="D1535">
            <v>132</v>
          </cell>
          <cell r="E1535">
            <v>80.7</v>
          </cell>
          <cell r="F1535">
            <v>36.9</v>
          </cell>
          <cell r="G1535">
            <v>70.099999999999994</v>
          </cell>
          <cell r="H1535">
            <v>47.4</v>
          </cell>
          <cell r="I1535">
            <v>51.9</v>
          </cell>
          <cell r="J1535">
            <v>14708</v>
          </cell>
          <cell r="K1535">
            <v>22.5</v>
          </cell>
          <cell r="L1535">
            <v>0.14000000000000001</v>
          </cell>
          <cell r="M1535">
            <v>2.2819444444444446</v>
          </cell>
          <cell r="N1535">
            <v>2015</v>
          </cell>
          <cell r="O1535">
            <v>201</v>
          </cell>
          <cell r="P1535">
            <v>7</v>
          </cell>
        </row>
        <row r="1536">
          <cell r="B1536" t="str">
            <v>University of Maryland, College Park</v>
          </cell>
          <cell r="C1536" t="str">
            <v>United States of America</v>
          </cell>
          <cell r="D1536">
            <v>132</v>
          </cell>
          <cell r="E1536">
            <v>44.8</v>
          </cell>
          <cell r="F1536">
            <v>39.1</v>
          </cell>
          <cell r="G1536">
            <v>83.6</v>
          </cell>
          <cell r="H1536">
            <v>33.200000000000003</v>
          </cell>
          <cell r="I1536">
            <v>51.9</v>
          </cell>
          <cell r="J1536">
            <v>31331</v>
          </cell>
          <cell r="K1536">
            <v>8.4</v>
          </cell>
          <cell r="L1536">
            <v>0.09</v>
          </cell>
          <cell r="M1536">
            <v>2.036111111111111</v>
          </cell>
          <cell r="N1536">
            <v>2015</v>
          </cell>
          <cell r="O1536">
            <v>68</v>
          </cell>
          <cell r="P1536">
            <v>47</v>
          </cell>
        </row>
        <row r="1537">
          <cell r="B1537" t="str">
            <v>University of Southampton</v>
          </cell>
          <cell r="C1537" t="str">
            <v>United Kingdom</v>
          </cell>
          <cell r="D1537">
            <v>132</v>
          </cell>
          <cell r="E1537">
            <v>82.4</v>
          </cell>
          <cell r="F1537">
            <v>34.1</v>
          </cell>
          <cell r="G1537">
            <v>79.7</v>
          </cell>
          <cell r="H1537">
            <v>38.9</v>
          </cell>
          <cell r="I1537">
            <v>51.9</v>
          </cell>
          <cell r="J1537">
            <v>20925</v>
          </cell>
          <cell r="K1537">
            <v>13.5</v>
          </cell>
          <cell r="L1537">
            <v>0.28999999999999998</v>
          </cell>
          <cell r="M1537">
            <v>2.2409722222222221</v>
          </cell>
          <cell r="N1537">
            <v>2015</v>
          </cell>
          <cell r="O1537">
            <v>146</v>
          </cell>
          <cell r="P1537">
            <v>11</v>
          </cell>
        </row>
        <row r="1538">
          <cell r="B1538" t="str">
            <v>TU Dresden</v>
          </cell>
          <cell r="C1538" t="str">
            <v>Germany</v>
          </cell>
          <cell r="D1538">
            <v>135</v>
          </cell>
          <cell r="E1538">
            <v>44.7</v>
          </cell>
          <cell r="F1538">
            <v>42</v>
          </cell>
          <cell r="G1538">
            <v>70.8</v>
          </cell>
          <cell r="H1538">
            <v>99.5</v>
          </cell>
          <cell r="I1538">
            <v>51.6</v>
          </cell>
          <cell r="J1538">
            <v>35487</v>
          </cell>
          <cell r="K1538">
            <v>37.4</v>
          </cell>
          <cell r="L1538">
            <v>0.12</v>
          </cell>
          <cell r="M1538">
            <v>1.7902777777777779</v>
          </cell>
          <cell r="N1538">
            <v>2015</v>
          </cell>
          <cell r="O1538" t="e">
            <v>#N/A</v>
          </cell>
          <cell r="P1538" t="e">
            <v>#N/A</v>
          </cell>
        </row>
        <row r="1539">
          <cell r="B1539" t="str">
            <v>University of Lausanne</v>
          </cell>
          <cell r="C1539" t="str">
            <v>Switzerland</v>
          </cell>
          <cell r="D1539">
            <v>136</v>
          </cell>
          <cell r="E1539">
            <v>85.1</v>
          </cell>
          <cell r="F1539">
            <v>39.9</v>
          </cell>
          <cell r="G1539">
            <v>76.5</v>
          </cell>
          <cell r="H1539">
            <v>50.9</v>
          </cell>
          <cell r="I1539">
            <v>51.4</v>
          </cell>
          <cell r="J1539">
            <v>11964</v>
          </cell>
          <cell r="K1539">
            <v>13.1</v>
          </cell>
          <cell r="L1539">
            <v>0.22</v>
          </cell>
          <cell r="N1539">
            <v>2015</v>
          </cell>
          <cell r="O1539">
            <v>194</v>
          </cell>
          <cell r="P1539">
            <v>6</v>
          </cell>
        </row>
        <row r="1540">
          <cell r="B1540" t="str">
            <v>VU University Amsterdam</v>
          </cell>
          <cell r="C1540" t="str">
            <v>Netherlands</v>
          </cell>
          <cell r="D1540">
            <v>136</v>
          </cell>
          <cell r="E1540">
            <v>50.6</v>
          </cell>
          <cell r="F1540">
            <v>43.2</v>
          </cell>
          <cell r="G1540">
            <v>74.900000000000006</v>
          </cell>
          <cell r="H1540">
            <v>60</v>
          </cell>
          <cell r="I1540">
            <v>51.4</v>
          </cell>
          <cell r="J1540">
            <v>23280</v>
          </cell>
          <cell r="K1540">
            <v>16.3</v>
          </cell>
          <cell r="L1540">
            <v>0.06</v>
          </cell>
          <cell r="M1540">
            <v>2.3638888888888889</v>
          </cell>
          <cell r="N1540">
            <v>2015</v>
          </cell>
          <cell r="O1540">
            <v>144</v>
          </cell>
          <cell r="P1540">
            <v>7</v>
          </cell>
        </row>
        <row r="1541">
          <cell r="B1541" t="str">
            <v>Trinity College Dublin</v>
          </cell>
          <cell r="C1541" t="str">
            <v>Republic of Ireland</v>
          </cell>
          <cell r="D1541">
            <v>138</v>
          </cell>
          <cell r="E1541">
            <v>83.9</v>
          </cell>
          <cell r="F1541">
            <v>30.3</v>
          </cell>
          <cell r="G1541">
            <v>77.599999999999994</v>
          </cell>
          <cell r="H1541">
            <v>30.6</v>
          </cell>
          <cell r="I1541">
            <v>51.2</v>
          </cell>
          <cell r="J1541">
            <v>15521</v>
          </cell>
          <cell r="K1541">
            <v>18</v>
          </cell>
          <cell r="L1541">
            <v>0.25</v>
          </cell>
          <cell r="M1541">
            <v>2.4048611111111109</v>
          </cell>
          <cell r="N1541">
            <v>2015</v>
          </cell>
          <cell r="O1541" t="e">
            <v>#N/A</v>
          </cell>
          <cell r="P1541" t="e">
            <v>#N/A</v>
          </cell>
        </row>
        <row r="1542">
          <cell r="B1542" t="str">
            <v>BoÄŸaziÃ§i University</v>
          </cell>
          <cell r="C1542" t="str">
            <v>Turkey</v>
          </cell>
          <cell r="D1542">
            <v>139</v>
          </cell>
          <cell r="E1542">
            <v>54.1</v>
          </cell>
          <cell r="F1542">
            <v>27.6</v>
          </cell>
          <cell r="G1542">
            <v>96.8</v>
          </cell>
          <cell r="H1542">
            <v>47.7</v>
          </cell>
          <cell r="I1542">
            <v>51.1</v>
          </cell>
          <cell r="J1542">
            <v>11506</v>
          </cell>
          <cell r="K1542">
            <v>25</v>
          </cell>
          <cell r="L1542">
            <v>7.0000000000000007E-2</v>
          </cell>
          <cell r="M1542">
            <v>2.1180555555555554</v>
          </cell>
          <cell r="N1542">
            <v>2015</v>
          </cell>
          <cell r="O1542">
            <v>903</v>
          </cell>
          <cell r="P1542">
            <v>9</v>
          </cell>
        </row>
        <row r="1543">
          <cell r="B1543" t="str">
            <v>Radboud University Nijmegen</v>
          </cell>
          <cell r="C1543" t="str">
            <v>Netherlands</v>
          </cell>
          <cell r="D1543">
            <v>140</v>
          </cell>
          <cell r="E1543">
            <v>61.6</v>
          </cell>
          <cell r="F1543">
            <v>46.7</v>
          </cell>
          <cell r="G1543">
            <v>73.900000000000006</v>
          </cell>
          <cell r="H1543">
            <v>42.8</v>
          </cell>
          <cell r="I1543">
            <v>51</v>
          </cell>
          <cell r="J1543">
            <v>17713</v>
          </cell>
          <cell r="K1543">
            <v>13</v>
          </cell>
          <cell r="L1543">
            <v>0.1</v>
          </cell>
          <cell r="M1543">
            <v>2.4458333333333333</v>
          </cell>
          <cell r="N1543">
            <v>2015</v>
          </cell>
          <cell r="O1543">
            <v>129</v>
          </cell>
          <cell r="P1543">
            <v>6</v>
          </cell>
        </row>
        <row r="1544">
          <cell r="B1544" t="str">
            <v>Colorado School of Mines</v>
          </cell>
          <cell r="C1544" t="str">
            <v>United States of America</v>
          </cell>
          <cell r="D1544">
            <v>141</v>
          </cell>
          <cell r="E1544">
            <v>52.6</v>
          </cell>
          <cell r="F1544">
            <v>26.7</v>
          </cell>
          <cell r="G1544">
            <v>97.1</v>
          </cell>
          <cell r="H1544">
            <v>79.400000000000006</v>
          </cell>
          <cell r="I1544">
            <v>50.9</v>
          </cell>
          <cell r="J1544">
            <v>5287</v>
          </cell>
          <cell r="K1544">
            <v>18.2</v>
          </cell>
          <cell r="L1544">
            <v>0.12</v>
          </cell>
          <cell r="M1544" t="str">
            <v>26 : 74</v>
          </cell>
          <cell r="N1544">
            <v>2015</v>
          </cell>
          <cell r="O1544">
            <v>364</v>
          </cell>
          <cell r="P1544">
            <v>131</v>
          </cell>
        </row>
        <row r="1545">
          <cell r="B1545" t="str">
            <v>Texas A&amp;M University</v>
          </cell>
          <cell r="C1545" t="str">
            <v>United States of America</v>
          </cell>
          <cell r="D1545">
            <v>141</v>
          </cell>
          <cell r="E1545">
            <v>49.1</v>
          </cell>
          <cell r="F1545">
            <v>51.9</v>
          </cell>
          <cell r="G1545">
            <v>55.1</v>
          </cell>
          <cell r="H1545">
            <v>49.6</v>
          </cell>
          <cell r="I1545">
            <v>50.9</v>
          </cell>
          <cell r="J1545">
            <v>50657</v>
          </cell>
          <cell r="K1545">
            <v>21.4</v>
          </cell>
          <cell r="L1545">
            <v>0.09</v>
          </cell>
          <cell r="M1545">
            <v>1.9951388888888888</v>
          </cell>
          <cell r="N1545">
            <v>2015</v>
          </cell>
          <cell r="O1545" t="e">
            <v>#N/A</v>
          </cell>
          <cell r="P1545" t="e">
            <v>#N/A</v>
          </cell>
        </row>
        <row r="1546">
          <cell r="B1546" t="str">
            <v>Tokyo Institute of Technology</v>
          </cell>
          <cell r="C1546" t="str">
            <v>Japan</v>
          </cell>
          <cell r="D1546">
            <v>141</v>
          </cell>
          <cell r="E1546">
            <v>37</v>
          </cell>
          <cell r="F1546">
            <v>52.9</v>
          </cell>
          <cell r="G1546">
            <v>48.1</v>
          </cell>
          <cell r="H1546">
            <v>69.400000000000006</v>
          </cell>
          <cell r="I1546">
            <v>50.9</v>
          </cell>
          <cell r="J1546">
            <v>9586</v>
          </cell>
          <cell r="K1546">
            <v>7.3</v>
          </cell>
          <cell r="L1546">
            <v>0.13</v>
          </cell>
          <cell r="M1546">
            <v>0.6020833333333333</v>
          </cell>
          <cell r="N1546">
            <v>2015</v>
          </cell>
          <cell r="O1546">
            <v>96</v>
          </cell>
          <cell r="P1546">
            <v>8</v>
          </cell>
        </row>
        <row r="1547">
          <cell r="B1547" t="str">
            <v>Eindhoven University of Technology</v>
          </cell>
          <cell r="C1547" t="str">
            <v>Netherlands</v>
          </cell>
          <cell r="D1547">
            <v>144</v>
          </cell>
          <cell r="E1547">
            <v>69</v>
          </cell>
          <cell r="F1547">
            <v>47.1</v>
          </cell>
          <cell r="G1547">
            <v>57.3</v>
          </cell>
          <cell r="H1547">
            <v>99.9</v>
          </cell>
          <cell r="I1547">
            <v>50.5</v>
          </cell>
          <cell r="J1547">
            <v>8176</v>
          </cell>
          <cell r="K1547">
            <v>16</v>
          </cell>
          <cell r="L1547">
            <v>0.14000000000000001</v>
          </cell>
          <cell r="M1547">
            <v>0.84791666666666665</v>
          </cell>
          <cell r="N1547">
            <v>2015</v>
          </cell>
          <cell r="O1547">
            <v>353</v>
          </cell>
          <cell r="P1547">
            <v>11</v>
          </cell>
        </row>
        <row r="1548">
          <cell r="B1548" t="str">
            <v>Rutgers, the State University of New Jersey</v>
          </cell>
          <cell r="C1548" t="str">
            <v>United States of America</v>
          </cell>
          <cell r="D1548">
            <v>144</v>
          </cell>
          <cell r="E1548">
            <v>34.299999999999997</v>
          </cell>
          <cell r="F1548">
            <v>45.3</v>
          </cell>
          <cell r="G1548">
            <v>71</v>
          </cell>
          <cell r="H1548">
            <v>35.200000000000003</v>
          </cell>
          <cell r="I1548">
            <v>50.5</v>
          </cell>
          <cell r="J1548">
            <v>37032</v>
          </cell>
          <cell r="K1548">
            <v>17.3</v>
          </cell>
          <cell r="L1548">
            <v>0.08</v>
          </cell>
          <cell r="M1548">
            <v>2.1590277777777778</v>
          </cell>
          <cell r="N1548">
            <v>2015</v>
          </cell>
          <cell r="O1548" t="e">
            <v>#N/A</v>
          </cell>
          <cell r="P1548" t="e">
            <v>#N/A</v>
          </cell>
        </row>
        <row r="1549">
          <cell r="B1549" t="str">
            <v>University of Leeds</v>
          </cell>
          <cell r="C1549" t="str">
            <v>United Kingdom</v>
          </cell>
          <cell r="D1549">
            <v>146</v>
          </cell>
          <cell r="E1549">
            <v>67.599999999999994</v>
          </cell>
          <cell r="F1549">
            <v>39.1</v>
          </cell>
          <cell r="G1549">
            <v>69.3</v>
          </cell>
          <cell r="H1549">
            <v>39.4</v>
          </cell>
          <cell r="I1549">
            <v>50.4</v>
          </cell>
          <cell r="J1549">
            <v>27703</v>
          </cell>
          <cell r="K1549">
            <v>14.7</v>
          </cell>
          <cell r="L1549">
            <v>0.21</v>
          </cell>
          <cell r="M1549">
            <v>2.4458333333333333</v>
          </cell>
          <cell r="N1549">
            <v>2015</v>
          </cell>
          <cell r="O1549">
            <v>151</v>
          </cell>
          <cell r="P1549">
            <v>13</v>
          </cell>
        </row>
        <row r="1550">
          <cell r="B1550" t="str">
            <v>Brandeis University</v>
          </cell>
          <cell r="C1550" t="str">
            <v>United States of America</v>
          </cell>
          <cell r="D1550">
            <v>147</v>
          </cell>
          <cell r="E1550">
            <v>54.7</v>
          </cell>
          <cell r="F1550">
            <v>29.1</v>
          </cell>
          <cell r="G1550">
            <v>95.3</v>
          </cell>
          <cell r="H1550">
            <v>43.9</v>
          </cell>
          <cell r="I1550">
            <v>50.3</v>
          </cell>
          <cell r="J1550">
            <v>5495</v>
          </cell>
          <cell r="K1550">
            <v>12.6</v>
          </cell>
          <cell r="L1550">
            <v>0.22</v>
          </cell>
          <cell r="M1550">
            <v>2.3229166666666665</v>
          </cell>
          <cell r="N1550">
            <v>2015</v>
          </cell>
          <cell r="O1550">
            <v>236</v>
          </cell>
          <cell r="P1550">
            <v>97</v>
          </cell>
        </row>
        <row r="1551">
          <cell r="B1551" t="str">
            <v>Sungkyunkwan University (SKKU)</v>
          </cell>
          <cell r="C1551" t="str">
            <v>South Korea</v>
          </cell>
          <cell r="D1551">
            <v>148</v>
          </cell>
          <cell r="E1551">
            <v>35.799999999999997</v>
          </cell>
          <cell r="F1551">
            <v>50.2</v>
          </cell>
          <cell r="G1551">
            <v>51.7</v>
          </cell>
          <cell r="H1551">
            <v>98.5</v>
          </cell>
          <cell r="I1551">
            <v>50.2</v>
          </cell>
          <cell r="J1551">
            <v>24365</v>
          </cell>
          <cell r="K1551">
            <v>20.3</v>
          </cell>
          <cell r="L1551">
            <v>0.09</v>
          </cell>
          <cell r="M1551" t="str">
            <v>39 : 61</v>
          </cell>
          <cell r="N1551">
            <v>2015</v>
          </cell>
          <cell r="O1551" t="e">
            <v>#N/A</v>
          </cell>
          <cell r="P1551" t="e">
            <v>#N/A</v>
          </cell>
        </row>
        <row r="1552">
          <cell r="B1552" t="str">
            <v>University of Birmingham</v>
          </cell>
          <cell r="C1552" t="str">
            <v>United Kingdom</v>
          </cell>
          <cell r="D1552">
            <v>148</v>
          </cell>
          <cell r="E1552">
            <v>75.8</v>
          </cell>
          <cell r="F1552">
            <v>39.799999999999997</v>
          </cell>
          <cell r="G1552">
            <v>62.7</v>
          </cell>
          <cell r="H1552">
            <v>36</v>
          </cell>
          <cell r="I1552">
            <v>50.2</v>
          </cell>
          <cell r="J1552">
            <v>25295</v>
          </cell>
          <cell r="K1552">
            <v>16.399999999999999</v>
          </cell>
          <cell r="L1552">
            <v>0.23</v>
          </cell>
          <cell r="M1552">
            <v>2.2819444444444446</v>
          </cell>
          <cell r="N1552">
            <v>2015</v>
          </cell>
          <cell r="O1552">
            <v>142</v>
          </cell>
          <cell r="P1552">
            <v>10</v>
          </cell>
        </row>
        <row r="1553">
          <cell r="B1553" t="str">
            <v>Indiana University</v>
          </cell>
          <cell r="C1553" t="str">
            <v>United States of America</v>
          </cell>
          <cell r="D1553">
            <v>150</v>
          </cell>
          <cell r="E1553">
            <v>37.1</v>
          </cell>
          <cell r="F1553">
            <v>35.1</v>
          </cell>
          <cell r="G1553">
            <v>73.099999999999994</v>
          </cell>
          <cell r="H1553" t="str">
            <v>-</v>
          </cell>
          <cell r="I1553">
            <v>50.1</v>
          </cell>
          <cell r="J1553">
            <v>62468</v>
          </cell>
          <cell r="K1553">
            <v>13.6</v>
          </cell>
          <cell r="L1553">
            <v>0.13</v>
          </cell>
          <cell r="M1553">
            <v>2.2409722222222221</v>
          </cell>
          <cell r="N1553">
            <v>2015</v>
          </cell>
          <cell r="O1553" t="e">
            <v>#N/A</v>
          </cell>
          <cell r="P1553" t="e">
            <v>#N/A</v>
          </cell>
        </row>
        <row r="1554">
          <cell r="B1554" t="str">
            <v>University of California, Riverside</v>
          </cell>
          <cell r="C1554" t="str">
            <v>United States of America</v>
          </cell>
          <cell r="D1554">
            <v>150</v>
          </cell>
          <cell r="E1554">
            <v>61.6</v>
          </cell>
          <cell r="F1554">
            <v>27.5</v>
          </cell>
          <cell r="G1554">
            <v>91.5</v>
          </cell>
          <cell r="H1554">
            <v>39.5</v>
          </cell>
          <cell r="I1554">
            <v>50.1</v>
          </cell>
          <cell r="J1554">
            <v>20626</v>
          </cell>
          <cell r="K1554">
            <v>22</v>
          </cell>
          <cell r="L1554">
            <v>0.12</v>
          </cell>
          <cell r="M1554">
            <v>2.1590277777777778</v>
          </cell>
          <cell r="N1554">
            <v>2015</v>
          </cell>
          <cell r="O1554">
            <v>222</v>
          </cell>
          <cell r="P1554">
            <v>91</v>
          </cell>
        </row>
        <row r="1555">
          <cell r="B1555" t="str">
            <v>Dartmouth College</v>
          </cell>
          <cell r="C1555" t="str">
            <v>United States of America</v>
          </cell>
          <cell r="D1555">
            <v>152</v>
          </cell>
          <cell r="E1555">
            <v>33.1</v>
          </cell>
          <cell r="F1555">
            <v>35.4</v>
          </cell>
          <cell r="G1555">
            <v>80.400000000000006</v>
          </cell>
          <cell r="H1555">
            <v>49.1</v>
          </cell>
          <cell r="I1555">
            <v>50</v>
          </cell>
          <cell r="J1555">
            <v>6178</v>
          </cell>
          <cell r="K1555">
            <v>6.6</v>
          </cell>
          <cell r="L1555">
            <v>0.16</v>
          </cell>
          <cell r="M1555">
            <v>1.9951388888888888</v>
          </cell>
          <cell r="N1555">
            <v>2015</v>
          </cell>
          <cell r="O1555">
            <v>58</v>
          </cell>
          <cell r="P1555">
            <v>42</v>
          </cell>
        </row>
        <row r="1556">
          <cell r="B1556" t="str">
            <v>Aarhus University</v>
          </cell>
          <cell r="C1556" t="str">
            <v>Denmark</v>
          </cell>
          <cell r="D1556">
            <v>153</v>
          </cell>
          <cell r="E1556">
            <v>66.3</v>
          </cell>
          <cell r="F1556">
            <v>47.5</v>
          </cell>
          <cell r="G1556">
            <v>66.5</v>
          </cell>
          <cell r="H1556">
            <v>59.8</v>
          </cell>
          <cell r="I1556">
            <v>49.9</v>
          </cell>
          <cell r="J1556">
            <v>23895</v>
          </cell>
          <cell r="K1556">
            <v>13.6</v>
          </cell>
          <cell r="L1556">
            <v>0.14000000000000001</v>
          </cell>
          <cell r="M1556">
            <v>2.2819444444444446</v>
          </cell>
          <cell r="N1556">
            <v>2015</v>
          </cell>
          <cell r="O1556">
            <v>119</v>
          </cell>
          <cell r="P1556">
            <v>2</v>
          </cell>
        </row>
        <row r="1557">
          <cell r="B1557" t="str">
            <v>University of Exeter</v>
          </cell>
          <cell r="C1557" t="str">
            <v>United Kingdom</v>
          </cell>
          <cell r="D1557">
            <v>154</v>
          </cell>
          <cell r="E1557">
            <v>79.8</v>
          </cell>
          <cell r="F1557">
            <v>32.700000000000003</v>
          </cell>
          <cell r="G1557">
            <v>78</v>
          </cell>
          <cell r="H1557">
            <v>35.799999999999997</v>
          </cell>
          <cell r="I1557">
            <v>49.7</v>
          </cell>
          <cell r="J1557">
            <v>17755</v>
          </cell>
          <cell r="K1557">
            <v>18.8</v>
          </cell>
          <cell r="L1557">
            <v>0.28000000000000003</v>
          </cell>
          <cell r="M1557">
            <v>2.2819444444444446</v>
          </cell>
          <cell r="N1557">
            <v>2015</v>
          </cell>
          <cell r="O1557">
            <v>357</v>
          </cell>
          <cell r="P1557">
            <v>34</v>
          </cell>
        </row>
        <row r="1558">
          <cell r="B1558" t="str">
            <v>National Taiwan University</v>
          </cell>
          <cell r="C1558" t="str">
            <v>Taiwan</v>
          </cell>
          <cell r="D1558">
            <v>155</v>
          </cell>
          <cell r="E1558">
            <v>27.5</v>
          </cell>
          <cell r="F1558">
            <v>57.3</v>
          </cell>
          <cell r="G1558">
            <v>47.7</v>
          </cell>
          <cell r="H1558">
            <v>43.8</v>
          </cell>
          <cell r="I1558">
            <v>49.3</v>
          </cell>
          <cell r="J1558">
            <v>31891</v>
          </cell>
          <cell r="K1558">
            <v>11.9</v>
          </cell>
          <cell r="L1558">
            <v>7.0000000000000007E-2</v>
          </cell>
          <cell r="M1558" t="str">
            <v>39 : 61</v>
          </cell>
          <cell r="N1558">
            <v>2015</v>
          </cell>
          <cell r="O1558">
            <v>65</v>
          </cell>
          <cell r="P1558">
            <v>1</v>
          </cell>
        </row>
        <row r="1559">
          <cell r="B1559" t="str">
            <v>RWTH Aachen University</v>
          </cell>
          <cell r="C1559" t="str">
            <v>Germany</v>
          </cell>
          <cell r="D1559">
            <v>156</v>
          </cell>
          <cell r="E1559">
            <v>56.8</v>
          </cell>
          <cell r="F1559">
            <v>29.9</v>
          </cell>
          <cell r="G1559">
            <v>75</v>
          </cell>
          <cell r="H1559">
            <v>69.8</v>
          </cell>
          <cell r="I1559">
            <v>49.2</v>
          </cell>
          <cell r="J1559">
            <v>37917</v>
          </cell>
          <cell r="K1559">
            <v>27.6</v>
          </cell>
          <cell r="L1559">
            <v>0.16</v>
          </cell>
          <cell r="M1559" t="str">
            <v>31 : 69</v>
          </cell>
          <cell r="N1559">
            <v>2015</v>
          </cell>
          <cell r="O1559">
            <v>238</v>
          </cell>
          <cell r="P1559">
            <v>19</v>
          </cell>
        </row>
        <row r="1560">
          <cell r="B1560" t="str">
            <v>Osaka University</v>
          </cell>
          <cell r="C1560" t="str">
            <v>Japan</v>
          </cell>
          <cell r="D1560">
            <v>157</v>
          </cell>
          <cell r="E1560">
            <v>29.1</v>
          </cell>
          <cell r="F1560">
            <v>48</v>
          </cell>
          <cell r="G1560">
            <v>51.1</v>
          </cell>
          <cell r="H1560">
            <v>73.599999999999994</v>
          </cell>
          <cell r="I1560">
            <v>49.1</v>
          </cell>
          <cell r="J1560">
            <v>23144</v>
          </cell>
          <cell r="K1560">
            <v>7.8</v>
          </cell>
          <cell r="L1560">
            <v>0.09</v>
          </cell>
          <cell r="M1560" t="str">
            <v>31 : 69</v>
          </cell>
          <cell r="N1560">
            <v>2015</v>
          </cell>
          <cell r="O1560">
            <v>32</v>
          </cell>
          <cell r="P1560">
            <v>3</v>
          </cell>
        </row>
        <row r="1561">
          <cell r="B1561" t="str">
            <v>University of Liverpool</v>
          </cell>
          <cell r="C1561" t="str">
            <v>United Kingdom</v>
          </cell>
          <cell r="D1561">
            <v>157</v>
          </cell>
          <cell r="E1561">
            <v>79.5</v>
          </cell>
          <cell r="F1561">
            <v>33.200000000000003</v>
          </cell>
          <cell r="G1561">
            <v>76.2</v>
          </cell>
          <cell r="H1561">
            <v>40</v>
          </cell>
          <cell r="I1561">
            <v>49.1</v>
          </cell>
          <cell r="J1561">
            <v>18815</v>
          </cell>
          <cell r="K1561">
            <v>13.6</v>
          </cell>
          <cell r="L1561">
            <v>0.3</v>
          </cell>
          <cell r="M1561">
            <v>2.2000000000000002</v>
          </cell>
          <cell r="N1561">
            <v>2015</v>
          </cell>
          <cell r="O1561">
            <v>211</v>
          </cell>
          <cell r="P1561">
            <v>17</v>
          </cell>
        </row>
        <row r="1562">
          <cell r="B1562" t="str">
            <v>University of Western Australia</v>
          </cell>
          <cell r="C1562" t="str">
            <v>Australia</v>
          </cell>
          <cell r="D1562">
            <v>157</v>
          </cell>
          <cell r="E1562">
            <v>87.3</v>
          </cell>
          <cell r="F1562">
            <v>38.1</v>
          </cell>
          <cell r="G1562">
            <v>62.2</v>
          </cell>
          <cell r="H1562">
            <v>63.3</v>
          </cell>
          <cell r="I1562">
            <v>49.1</v>
          </cell>
          <cell r="J1562">
            <v>20851</v>
          </cell>
          <cell r="K1562">
            <v>20.7</v>
          </cell>
          <cell r="L1562">
            <v>0.27</v>
          </cell>
          <cell r="M1562">
            <v>2.1180555555555554</v>
          </cell>
          <cell r="N1562">
            <v>2015</v>
          </cell>
          <cell r="O1562">
            <v>225</v>
          </cell>
          <cell r="P1562">
            <v>7</v>
          </cell>
        </row>
        <row r="1563">
          <cell r="B1563" t="str">
            <v>University of Copenhagen</v>
          </cell>
          <cell r="C1563" t="str">
            <v>Denmark</v>
          </cell>
          <cell r="D1563">
            <v>160</v>
          </cell>
          <cell r="E1563">
            <v>71.8</v>
          </cell>
          <cell r="F1563">
            <v>34.4</v>
          </cell>
          <cell r="G1563">
            <v>73.5</v>
          </cell>
          <cell r="H1563">
            <v>44.4</v>
          </cell>
          <cell r="I1563">
            <v>49</v>
          </cell>
          <cell r="J1563">
            <v>27545</v>
          </cell>
          <cell r="K1563">
            <v>4.0999999999999996</v>
          </cell>
          <cell r="L1563">
            <v>0.19</v>
          </cell>
          <cell r="M1563">
            <v>2.8145833333333332</v>
          </cell>
          <cell r="N1563">
            <v>2015</v>
          </cell>
          <cell r="O1563">
            <v>93</v>
          </cell>
          <cell r="P1563">
            <v>1</v>
          </cell>
        </row>
        <row r="1564">
          <cell r="B1564" t="str">
            <v>Ã‰cole Normale SupÃ©rieure de Lyon</v>
          </cell>
          <cell r="C1564" t="str">
            <v>France</v>
          </cell>
          <cell r="D1564">
            <v>160</v>
          </cell>
          <cell r="E1564">
            <v>64.400000000000006</v>
          </cell>
          <cell r="F1564">
            <v>33.799999999999997</v>
          </cell>
          <cell r="G1564">
            <v>73</v>
          </cell>
          <cell r="H1564">
            <v>29.3</v>
          </cell>
          <cell r="I1564">
            <v>49</v>
          </cell>
          <cell r="J1564">
            <v>2218</v>
          </cell>
          <cell r="K1564">
            <v>8</v>
          </cell>
          <cell r="L1564">
            <v>0.14000000000000001</v>
          </cell>
          <cell r="M1564">
            <v>2.0770833333333334</v>
          </cell>
          <cell r="N1564">
            <v>2015</v>
          </cell>
          <cell r="O1564">
            <v>462</v>
          </cell>
          <cell r="P1564">
            <v>18</v>
          </cell>
        </row>
        <row r="1565">
          <cell r="B1565" t="str">
            <v>University of Utah</v>
          </cell>
          <cell r="C1565" t="str">
            <v>United States of America</v>
          </cell>
          <cell r="D1565">
            <v>162</v>
          </cell>
          <cell r="E1565">
            <v>27.5</v>
          </cell>
          <cell r="F1565">
            <v>36.5</v>
          </cell>
          <cell r="G1565">
            <v>75</v>
          </cell>
          <cell r="H1565">
            <v>58.1</v>
          </cell>
          <cell r="I1565">
            <v>48.6</v>
          </cell>
          <cell r="J1565">
            <v>25674</v>
          </cell>
          <cell r="K1565">
            <v>16.899999999999999</v>
          </cell>
          <cell r="L1565">
            <v>0.09</v>
          </cell>
          <cell r="M1565">
            <v>1.9131944444444444</v>
          </cell>
          <cell r="N1565">
            <v>2015</v>
          </cell>
          <cell r="O1565">
            <v>38</v>
          </cell>
          <cell r="P1565">
            <v>27</v>
          </cell>
        </row>
        <row r="1566">
          <cell r="B1566" t="str">
            <v>University of Freiburg</v>
          </cell>
          <cell r="C1566" t="str">
            <v>Germany</v>
          </cell>
          <cell r="D1566">
            <v>163</v>
          </cell>
          <cell r="E1566">
            <v>56.7</v>
          </cell>
          <cell r="F1566">
            <v>28.1</v>
          </cell>
          <cell r="G1566">
            <v>74</v>
          </cell>
          <cell r="H1566">
            <v>81.400000000000006</v>
          </cell>
          <cell r="I1566">
            <v>48.3</v>
          </cell>
          <cell r="J1566">
            <v>26467</v>
          </cell>
          <cell r="K1566">
            <v>31.2</v>
          </cell>
          <cell r="L1566">
            <v>0.16</v>
          </cell>
          <cell r="M1566">
            <v>2.2000000000000002</v>
          </cell>
          <cell r="N1566">
            <v>2015</v>
          </cell>
          <cell r="O1566" t="e">
            <v>#N/A</v>
          </cell>
          <cell r="P1566" t="e">
            <v>#N/A</v>
          </cell>
        </row>
        <row r="1567">
          <cell r="B1567" t="str">
            <v>University of Adelaide</v>
          </cell>
          <cell r="C1567" t="str">
            <v>Australia</v>
          </cell>
          <cell r="D1567">
            <v>164</v>
          </cell>
          <cell r="E1567">
            <v>79.3</v>
          </cell>
          <cell r="F1567">
            <v>40.4</v>
          </cell>
          <cell r="G1567">
            <v>61.1</v>
          </cell>
          <cell r="H1567">
            <v>65.3</v>
          </cell>
          <cell r="I1567">
            <v>48.2</v>
          </cell>
          <cell r="J1567">
            <v>20771</v>
          </cell>
          <cell r="K1567">
            <v>30.1</v>
          </cell>
          <cell r="L1567">
            <v>0.26</v>
          </cell>
          <cell r="M1567">
            <v>2.036111111111111</v>
          </cell>
          <cell r="N1567">
            <v>2015</v>
          </cell>
          <cell r="O1567">
            <v>340</v>
          </cell>
          <cell r="P1567">
            <v>8</v>
          </cell>
        </row>
        <row r="1568">
          <cell r="B1568" t="str">
            <v>Istanbul Technical University</v>
          </cell>
          <cell r="C1568" t="str">
            <v>Turkey</v>
          </cell>
          <cell r="D1568">
            <v>165</v>
          </cell>
          <cell r="E1568">
            <v>37.299999999999997</v>
          </cell>
          <cell r="F1568">
            <v>36.9</v>
          </cell>
          <cell r="G1568">
            <v>79.7</v>
          </cell>
          <cell r="H1568">
            <v>51.1</v>
          </cell>
          <cell r="I1568">
            <v>48.1</v>
          </cell>
          <cell r="J1568">
            <v>34550</v>
          </cell>
          <cell r="K1568">
            <v>16</v>
          </cell>
          <cell r="L1568">
            <v>0.05</v>
          </cell>
          <cell r="M1568" t="str">
            <v>34 : 66</v>
          </cell>
          <cell r="N1568">
            <v>2015</v>
          </cell>
          <cell r="O1568">
            <v>773</v>
          </cell>
          <cell r="P1568">
            <v>4</v>
          </cell>
        </row>
        <row r="1569">
          <cell r="B1569" t="str">
            <v>Karlsruhe Institute of Technology</v>
          </cell>
          <cell r="C1569" t="str">
            <v>Germany</v>
          </cell>
          <cell r="D1569">
            <v>165</v>
          </cell>
          <cell r="E1569">
            <v>60.1</v>
          </cell>
          <cell r="F1569">
            <v>34.9</v>
          </cell>
          <cell r="G1569">
            <v>62.9</v>
          </cell>
          <cell r="H1569">
            <v>82.7</v>
          </cell>
          <cell r="I1569">
            <v>48.1</v>
          </cell>
          <cell r="J1569">
            <v>25294</v>
          </cell>
          <cell r="K1569">
            <v>24.6</v>
          </cell>
          <cell r="L1569">
            <v>0.16</v>
          </cell>
          <cell r="M1569" t="str">
            <v>26 : 74</v>
          </cell>
          <cell r="N1569">
            <v>2015</v>
          </cell>
          <cell r="O1569">
            <v>215</v>
          </cell>
          <cell r="P1569">
            <v>15</v>
          </cell>
        </row>
        <row r="1570">
          <cell r="B1570" t="str">
            <v>Pompeu Fabra University</v>
          </cell>
          <cell r="C1570" t="str">
            <v>Spain</v>
          </cell>
          <cell r="D1570">
            <v>165</v>
          </cell>
          <cell r="E1570">
            <v>63.2</v>
          </cell>
          <cell r="F1570">
            <v>28.3</v>
          </cell>
          <cell r="G1570">
            <v>88.3</v>
          </cell>
          <cell r="H1570">
            <v>35.9</v>
          </cell>
          <cell r="I1570">
            <v>48.1</v>
          </cell>
          <cell r="J1570">
            <v>10901</v>
          </cell>
          <cell r="K1570">
            <v>18.3</v>
          </cell>
          <cell r="L1570">
            <v>0.13</v>
          </cell>
          <cell r="M1570">
            <v>2.4868055555555557</v>
          </cell>
          <cell r="N1570">
            <v>2015</v>
          </cell>
          <cell r="O1570">
            <v>426</v>
          </cell>
          <cell r="P1570">
            <v>11</v>
          </cell>
        </row>
        <row r="1571">
          <cell r="B1571" t="str">
            <v>Tohoku University</v>
          </cell>
          <cell r="C1571" t="str">
            <v>Japan</v>
          </cell>
          <cell r="D1571">
            <v>165</v>
          </cell>
          <cell r="E1571">
            <v>29.7</v>
          </cell>
          <cell r="F1571">
            <v>47.3</v>
          </cell>
          <cell r="G1571">
            <v>49.6</v>
          </cell>
          <cell r="H1571">
            <v>76.8</v>
          </cell>
          <cell r="I1571">
            <v>48.1</v>
          </cell>
          <cell r="J1571">
            <v>17200</v>
          </cell>
          <cell r="K1571">
            <v>5</v>
          </cell>
          <cell r="L1571">
            <v>7.0000000000000007E-2</v>
          </cell>
          <cell r="M1571" t="str">
            <v>25 : 75</v>
          </cell>
          <cell r="N1571">
            <v>2015</v>
          </cell>
          <cell r="O1571">
            <v>79</v>
          </cell>
          <cell r="P1571">
            <v>5</v>
          </cell>
        </row>
        <row r="1572">
          <cell r="B1572" t="str">
            <v>University of Miami</v>
          </cell>
          <cell r="C1572" t="str">
            <v>United States of America</v>
          </cell>
          <cell r="D1572">
            <v>169</v>
          </cell>
          <cell r="E1572">
            <v>56.7</v>
          </cell>
          <cell r="F1572">
            <v>27.2</v>
          </cell>
          <cell r="G1572">
            <v>73.099999999999994</v>
          </cell>
          <cell r="H1572" t="str">
            <v>-</v>
          </cell>
          <cell r="I1572">
            <v>48</v>
          </cell>
          <cell r="J1572">
            <v>15286</v>
          </cell>
          <cell r="K1572">
            <v>5.7</v>
          </cell>
          <cell r="L1572">
            <v>0.14000000000000001</v>
          </cell>
          <cell r="M1572">
            <v>2.1180555555555554</v>
          </cell>
          <cell r="N1572">
            <v>2015</v>
          </cell>
          <cell r="O1572">
            <v>138</v>
          </cell>
          <cell r="P1572">
            <v>66</v>
          </cell>
        </row>
        <row r="1573">
          <cell r="B1573" t="str">
            <v>University of Antwerp</v>
          </cell>
          <cell r="C1573" t="str">
            <v>Belgium</v>
          </cell>
          <cell r="D1573">
            <v>170</v>
          </cell>
          <cell r="E1573">
            <v>61</v>
          </cell>
          <cell r="F1573">
            <v>33.6</v>
          </cell>
          <cell r="G1573">
            <v>67.7</v>
          </cell>
          <cell r="H1573">
            <v>100</v>
          </cell>
          <cell r="I1573">
            <v>47.9</v>
          </cell>
          <cell r="J1573">
            <v>12346</v>
          </cell>
          <cell r="K1573">
            <v>30.3</v>
          </cell>
          <cell r="L1573">
            <v>0.16</v>
          </cell>
          <cell r="M1573">
            <v>2.3638888888888889</v>
          </cell>
          <cell r="N1573">
            <v>2015</v>
          </cell>
          <cell r="O1573">
            <v>330</v>
          </cell>
          <cell r="P1573">
            <v>7</v>
          </cell>
        </row>
        <row r="1574">
          <cell r="B1574" t="str">
            <v>University of Nottingham</v>
          </cell>
          <cell r="C1574" t="str">
            <v>United Kingdom</v>
          </cell>
          <cell r="D1574">
            <v>171</v>
          </cell>
          <cell r="E1574">
            <v>70.599999999999994</v>
          </cell>
          <cell r="F1574">
            <v>35.799999999999997</v>
          </cell>
          <cell r="G1574">
            <v>62.7</v>
          </cell>
          <cell r="H1574">
            <v>39.6</v>
          </cell>
          <cell r="I1574">
            <v>47.8</v>
          </cell>
          <cell r="J1574">
            <v>30144</v>
          </cell>
          <cell r="K1574">
            <v>15</v>
          </cell>
          <cell r="L1574">
            <v>0.27</v>
          </cell>
          <cell r="M1574">
            <v>2.2819444444444446</v>
          </cell>
          <cell r="N1574">
            <v>2015</v>
          </cell>
          <cell r="O1574">
            <v>97</v>
          </cell>
          <cell r="P1574">
            <v>6</v>
          </cell>
        </row>
        <row r="1575">
          <cell r="B1575" t="str">
            <v>UniversitÃ© Catholique de Louvain</v>
          </cell>
          <cell r="C1575" t="str">
            <v>Belgium</v>
          </cell>
          <cell r="D1575">
            <v>171</v>
          </cell>
          <cell r="E1575">
            <v>59.7</v>
          </cell>
          <cell r="F1575">
            <v>34.9</v>
          </cell>
          <cell r="G1575">
            <v>67.7</v>
          </cell>
          <cell r="H1575">
            <v>46.1</v>
          </cell>
          <cell r="I1575">
            <v>47.8</v>
          </cell>
          <cell r="J1575">
            <v>28856</v>
          </cell>
          <cell r="K1575">
            <v>42</v>
          </cell>
          <cell r="L1575">
            <v>0.19</v>
          </cell>
          <cell r="M1575">
            <v>2.2819444444444446</v>
          </cell>
          <cell r="N1575">
            <v>2015</v>
          </cell>
          <cell r="O1575">
            <v>191</v>
          </cell>
          <cell r="P1575">
            <v>4</v>
          </cell>
        </row>
        <row r="1576">
          <cell r="B1576" t="str">
            <v>Georgetown University</v>
          </cell>
          <cell r="C1576" t="str">
            <v>United States of America</v>
          </cell>
          <cell r="D1576">
            <v>173</v>
          </cell>
          <cell r="E1576">
            <v>43.3</v>
          </cell>
          <cell r="F1576">
            <v>28.2</v>
          </cell>
          <cell r="G1576">
            <v>62.2</v>
          </cell>
          <cell r="H1576">
            <v>80</v>
          </cell>
          <cell r="I1576">
            <v>47.7</v>
          </cell>
          <cell r="J1576">
            <v>15408</v>
          </cell>
          <cell r="K1576">
            <v>8.5</v>
          </cell>
          <cell r="L1576">
            <v>0.14000000000000001</v>
          </cell>
          <cell r="M1576">
            <v>2.2409722222222221</v>
          </cell>
          <cell r="N1576">
            <v>2015</v>
          </cell>
          <cell r="O1576">
            <v>118</v>
          </cell>
          <cell r="P1576">
            <v>61</v>
          </cell>
        </row>
        <row r="1577">
          <cell r="B1577" t="str">
            <v>University of Victoria</v>
          </cell>
          <cell r="C1577" t="str">
            <v>Canada</v>
          </cell>
          <cell r="D1577">
            <v>173</v>
          </cell>
          <cell r="E1577">
            <v>70.099999999999994</v>
          </cell>
          <cell r="F1577">
            <v>30.6</v>
          </cell>
          <cell r="G1577">
            <v>86.7</v>
          </cell>
          <cell r="H1577">
            <v>31.6</v>
          </cell>
          <cell r="I1577">
            <v>47.7</v>
          </cell>
          <cell r="J1577">
            <v>17581</v>
          </cell>
          <cell r="K1577">
            <v>21.5</v>
          </cell>
          <cell r="L1577">
            <v>0.11</v>
          </cell>
          <cell r="M1577">
            <v>2.3638888888888889</v>
          </cell>
          <cell r="N1577">
            <v>2015</v>
          </cell>
          <cell r="O1577">
            <v>377</v>
          </cell>
          <cell r="P1577">
            <v>16</v>
          </cell>
        </row>
        <row r="1578">
          <cell r="B1578" t="str">
            <v>University of Auckland</v>
          </cell>
          <cell r="C1578" t="str">
            <v>New Zealand</v>
          </cell>
          <cell r="D1578">
            <v>175</v>
          </cell>
          <cell r="E1578">
            <v>87.3</v>
          </cell>
          <cell r="F1578">
            <v>33.4</v>
          </cell>
          <cell r="G1578">
            <v>68.400000000000006</v>
          </cell>
          <cell r="H1578">
            <v>74.2</v>
          </cell>
          <cell r="I1578">
            <v>47.5</v>
          </cell>
          <cell r="J1578">
            <v>29787</v>
          </cell>
          <cell r="K1578">
            <v>18.899999999999999</v>
          </cell>
          <cell r="L1578">
            <v>0.28000000000000003</v>
          </cell>
          <cell r="M1578">
            <v>2.2819444444444446</v>
          </cell>
          <cell r="N1578">
            <v>2015</v>
          </cell>
          <cell r="O1578">
            <v>273</v>
          </cell>
          <cell r="P1578">
            <v>1</v>
          </cell>
        </row>
        <row r="1579">
          <cell r="B1579" t="str">
            <v>University of Iowa</v>
          </cell>
          <cell r="C1579" t="str">
            <v>United States of America</v>
          </cell>
          <cell r="D1579">
            <v>175</v>
          </cell>
          <cell r="E1579">
            <v>31.7</v>
          </cell>
          <cell r="F1579">
            <v>33.5</v>
          </cell>
          <cell r="G1579">
            <v>71</v>
          </cell>
          <cell r="H1579">
            <v>49.3</v>
          </cell>
          <cell r="I1579">
            <v>47.5</v>
          </cell>
          <cell r="J1579">
            <v>27526</v>
          </cell>
          <cell r="K1579">
            <v>11.6</v>
          </cell>
          <cell r="L1579">
            <v>0.11</v>
          </cell>
          <cell r="M1579">
            <v>2.2000000000000002</v>
          </cell>
          <cell r="N1579">
            <v>2015</v>
          </cell>
          <cell r="O1579">
            <v>125</v>
          </cell>
          <cell r="P1579">
            <v>63</v>
          </cell>
        </row>
        <row r="1580">
          <cell r="B1580" t="str">
            <v>Syracuse University</v>
          </cell>
          <cell r="C1580" t="str">
            <v>United States of America</v>
          </cell>
          <cell r="D1580">
            <v>177</v>
          </cell>
          <cell r="E1580">
            <v>41.2</v>
          </cell>
          <cell r="F1580">
            <v>24.4</v>
          </cell>
          <cell r="G1580">
            <v>87.1</v>
          </cell>
          <cell r="H1580">
            <v>40.6</v>
          </cell>
          <cell r="I1580">
            <v>47.3</v>
          </cell>
          <cell r="J1580">
            <v>19660</v>
          </cell>
          <cell r="K1580">
            <v>15.9</v>
          </cell>
          <cell r="L1580">
            <v>0.15</v>
          </cell>
          <cell r="M1580">
            <v>2.3229166666666665</v>
          </cell>
          <cell r="N1580">
            <v>2015</v>
          </cell>
          <cell r="O1580">
            <v>448</v>
          </cell>
          <cell r="P1580">
            <v>147</v>
          </cell>
        </row>
        <row r="1581">
          <cell r="B1581" t="str">
            <v>Joseph Fourier University</v>
          </cell>
          <cell r="C1581" t="str">
            <v>France</v>
          </cell>
          <cell r="D1581">
            <v>178</v>
          </cell>
          <cell r="E1581">
            <v>57.3</v>
          </cell>
          <cell r="F1581">
            <v>29.3</v>
          </cell>
          <cell r="G1581">
            <v>73</v>
          </cell>
          <cell r="H1581">
            <v>31.3</v>
          </cell>
          <cell r="I1581">
            <v>47.1</v>
          </cell>
          <cell r="J1581">
            <v>16130</v>
          </cell>
          <cell r="K1581">
            <v>12.1</v>
          </cell>
          <cell r="L1581">
            <v>0.13</v>
          </cell>
          <cell r="N1581">
            <v>2015</v>
          </cell>
          <cell r="O1581">
            <v>221</v>
          </cell>
          <cell r="P1581">
            <v>8</v>
          </cell>
        </row>
        <row r="1582">
          <cell r="B1582" t="str">
            <v>University of Aberdeen</v>
          </cell>
          <cell r="C1582" t="str">
            <v>United Kingdom</v>
          </cell>
          <cell r="D1582">
            <v>178</v>
          </cell>
          <cell r="E1582">
            <v>84.1</v>
          </cell>
          <cell r="F1582">
            <v>30.2</v>
          </cell>
          <cell r="G1582">
            <v>74.3</v>
          </cell>
          <cell r="H1582">
            <v>42.1</v>
          </cell>
          <cell r="I1582">
            <v>47.1</v>
          </cell>
          <cell r="J1582">
            <v>12938</v>
          </cell>
          <cell r="K1582">
            <v>15.8</v>
          </cell>
          <cell r="L1582">
            <v>0.33</v>
          </cell>
          <cell r="M1582">
            <v>2.2819444444444446</v>
          </cell>
          <cell r="N1582">
            <v>2015</v>
          </cell>
          <cell r="O1582">
            <v>276</v>
          </cell>
          <cell r="P1582">
            <v>24</v>
          </cell>
        </row>
        <row r="1583">
          <cell r="B1583" t="str">
            <v>Paris Diderot University â€“ Paris 7</v>
          </cell>
          <cell r="C1583" t="str">
            <v>France</v>
          </cell>
          <cell r="D1583">
            <v>180</v>
          </cell>
          <cell r="E1583">
            <v>67.400000000000006</v>
          </cell>
          <cell r="F1583">
            <v>19.7</v>
          </cell>
          <cell r="G1583">
            <v>92.2</v>
          </cell>
          <cell r="H1583">
            <v>29.1</v>
          </cell>
          <cell r="I1583">
            <v>47</v>
          </cell>
          <cell r="J1583">
            <v>27756</v>
          </cell>
          <cell r="K1583">
            <v>14.8</v>
          </cell>
          <cell r="L1583">
            <v>0.17</v>
          </cell>
          <cell r="M1583">
            <v>2.6506944444444445</v>
          </cell>
          <cell r="N1583">
            <v>2015</v>
          </cell>
          <cell r="O1583" t="e">
            <v>#N/A</v>
          </cell>
          <cell r="P1583" t="e">
            <v>#N/A</v>
          </cell>
        </row>
        <row r="1584">
          <cell r="B1584" t="str">
            <v>University of Delaware</v>
          </cell>
          <cell r="C1584" t="str">
            <v>United States of America</v>
          </cell>
          <cell r="D1584">
            <v>180</v>
          </cell>
          <cell r="E1584">
            <v>40.6</v>
          </cell>
          <cell r="F1584">
            <v>36.299999999999997</v>
          </cell>
          <cell r="G1584">
            <v>73.099999999999994</v>
          </cell>
          <cell r="H1584">
            <v>99.3</v>
          </cell>
          <cell r="I1584">
            <v>47</v>
          </cell>
          <cell r="J1584">
            <v>19262</v>
          </cell>
          <cell r="K1584">
            <v>15.9</v>
          </cell>
          <cell r="L1584">
            <v>0.1</v>
          </cell>
          <cell r="M1584">
            <v>2.3638888888888889</v>
          </cell>
          <cell r="N1584">
            <v>2015</v>
          </cell>
          <cell r="O1584">
            <v>247</v>
          </cell>
          <cell r="P1584">
            <v>101</v>
          </cell>
        </row>
        <row r="1585">
          <cell r="B1585" t="str">
            <v>Arizona State University</v>
          </cell>
          <cell r="C1585" t="str">
            <v>United States of America</v>
          </cell>
          <cell r="D1585">
            <v>182</v>
          </cell>
          <cell r="E1585">
            <v>29.5</v>
          </cell>
          <cell r="F1585">
            <v>37.5</v>
          </cell>
          <cell r="G1585">
            <v>73.099999999999994</v>
          </cell>
          <cell r="H1585">
            <v>32.6</v>
          </cell>
          <cell r="I1585">
            <v>46.9</v>
          </cell>
          <cell r="J1585">
            <v>83236</v>
          </cell>
          <cell r="K1585">
            <v>29.9</v>
          </cell>
          <cell r="L1585">
            <v>0.09</v>
          </cell>
          <cell r="M1585">
            <v>2.1180555555555554</v>
          </cell>
          <cell r="N1585">
            <v>2015</v>
          </cell>
          <cell r="O1585">
            <v>80</v>
          </cell>
          <cell r="P1585">
            <v>52</v>
          </cell>
        </row>
        <row r="1586">
          <cell r="B1586" t="str">
            <v>SabancÄ± University</v>
          </cell>
          <cell r="C1586" t="str">
            <v>Turkey</v>
          </cell>
          <cell r="D1586">
            <v>182</v>
          </cell>
          <cell r="E1586">
            <v>44.6</v>
          </cell>
          <cell r="F1586">
            <v>27.1</v>
          </cell>
          <cell r="G1586">
            <v>88.5</v>
          </cell>
          <cell r="H1586">
            <v>42.9</v>
          </cell>
          <cell r="I1586">
            <v>46.9</v>
          </cell>
          <cell r="J1586">
            <v>2739</v>
          </cell>
          <cell r="K1586">
            <v>15.9</v>
          </cell>
          <cell r="L1586">
            <v>0.06</v>
          </cell>
          <cell r="M1586" t="str">
            <v>39 : 61</v>
          </cell>
          <cell r="N1586">
            <v>2015</v>
          </cell>
          <cell r="O1586" t="e">
            <v>#N/A</v>
          </cell>
          <cell r="P1586" t="e">
            <v>#N/A</v>
          </cell>
        </row>
        <row r="1587">
          <cell r="B1587" t="str">
            <v>University of Vienna</v>
          </cell>
          <cell r="C1587" t="str">
            <v>Austria</v>
          </cell>
          <cell r="D1587">
            <v>182</v>
          </cell>
          <cell r="E1587">
            <v>91</v>
          </cell>
          <cell r="F1587">
            <v>39.700000000000003</v>
          </cell>
          <cell r="G1587">
            <v>56.3</v>
          </cell>
          <cell r="H1587">
            <v>29.4</v>
          </cell>
          <cell r="I1587">
            <v>46.9</v>
          </cell>
          <cell r="J1587">
            <v>34651</v>
          </cell>
          <cell r="K1587">
            <v>20.5</v>
          </cell>
          <cell r="L1587">
            <v>0.25</v>
          </cell>
          <cell r="M1587">
            <v>2.8145833333333332</v>
          </cell>
          <cell r="N1587">
            <v>2015</v>
          </cell>
          <cell r="O1587">
            <v>205</v>
          </cell>
          <cell r="P1587">
            <v>1</v>
          </cell>
        </row>
        <row r="1588">
          <cell r="B1588" t="str">
            <v>Northeastern University</v>
          </cell>
          <cell r="C1588" t="str">
            <v>United States of America</v>
          </cell>
          <cell r="D1588">
            <v>185</v>
          </cell>
          <cell r="E1588">
            <v>54.7</v>
          </cell>
          <cell r="F1588">
            <v>21.9</v>
          </cell>
          <cell r="G1588">
            <v>81.3</v>
          </cell>
          <cell r="H1588">
            <v>34</v>
          </cell>
          <cell r="I1588">
            <v>46.8</v>
          </cell>
          <cell r="J1588">
            <v>18539</v>
          </cell>
          <cell r="K1588">
            <v>15.1</v>
          </cell>
          <cell r="L1588">
            <v>0.26</v>
          </cell>
          <cell r="M1588">
            <v>2.1180555555555554</v>
          </cell>
          <cell r="N1588">
            <v>2015</v>
          </cell>
          <cell r="O1588">
            <v>318</v>
          </cell>
          <cell r="P1588">
            <v>119</v>
          </cell>
        </row>
        <row r="1589">
          <cell r="B1589" t="str">
            <v>University of Oslo</v>
          </cell>
          <cell r="C1589" t="str">
            <v>Norway</v>
          </cell>
          <cell r="D1589">
            <v>186</v>
          </cell>
          <cell r="E1589">
            <v>60.3</v>
          </cell>
          <cell r="F1589">
            <v>35.200000000000003</v>
          </cell>
          <cell r="G1589">
            <v>66.3</v>
          </cell>
          <cell r="H1589">
            <v>36.6</v>
          </cell>
          <cell r="I1589">
            <v>46.7</v>
          </cell>
          <cell r="J1589">
            <v>27139</v>
          </cell>
          <cell r="K1589">
            <v>18.8</v>
          </cell>
          <cell r="L1589">
            <v>0.18</v>
          </cell>
          <cell r="N1589">
            <v>2015</v>
          </cell>
          <cell r="O1589">
            <v>91</v>
          </cell>
          <cell r="P1589">
            <v>1</v>
          </cell>
        </row>
        <row r="1590">
          <cell r="B1590" t="str">
            <v>Yeshiva University</v>
          </cell>
          <cell r="C1590" t="str">
            <v>United States of America</v>
          </cell>
          <cell r="D1590">
            <v>186</v>
          </cell>
          <cell r="E1590">
            <v>27.6</v>
          </cell>
          <cell r="F1590">
            <v>23.9</v>
          </cell>
          <cell r="G1590">
            <v>77.8</v>
          </cell>
          <cell r="H1590" t="str">
            <v>-</v>
          </cell>
          <cell r="I1590">
            <v>46.7</v>
          </cell>
          <cell r="J1590">
            <v>6753</v>
          </cell>
          <cell r="K1590">
            <v>5.5</v>
          </cell>
          <cell r="L1590">
            <v>7.0000000000000007E-2</v>
          </cell>
          <cell r="M1590">
            <v>2.2409722222222221</v>
          </cell>
          <cell r="N1590">
            <v>2015</v>
          </cell>
          <cell r="O1590">
            <v>172</v>
          </cell>
          <cell r="P1590">
            <v>75</v>
          </cell>
        </row>
        <row r="1591">
          <cell r="B1591" t="str">
            <v>Stony Brook University</v>
          </cell>
          <cell r="C1591" t="str">
            <v>United States of America</v>
          </cell>
          <cell r="D1591">
            <v>188</v>
          </cell>
          <cell r="E1591">
            <v>60.5</v>
          </cell>
          <cell r="F1591">
            <v>24.4</v>
          </cell>
          <cell r="G1591">
            <v>80.400000000000006</v>
          </cell>
          <cell r="H1591">
            <v>31.3</v>
          </cell>
          <cell r="I1591">
            <v>46.6</v>
          </cell>
          <cell r="J1591">
            <v>21908</v>
          </cell>
          <cell r="K1591">
            <v>10.9</v>
          </cell>
          <cell r="L1591">
            <v>0.24</v>
          </cell>
          <cell r="M1591">
            <v>2.1180555555555554</v>
          </cell>
          <cell r="N1591">
            <v>2015</v>
          </cell>
          <cell r="O1591">
            <v>89</v>
          </cell>
          <cell r="P1591">
            <v>54</v>
          </cell>
        </row>
        <row r="1592">
          <cell r="B1592" t="str">
            <v>Tel Aviv University</v>
          </cell>
          <cell r="C1592" t="str">
            <v>Israel</v>
          </cell>
          <cell r="D1592">
            <v>188</v>
          </cell>
          <cell r="E1592">
            <v>46.1</v>
          </cell>
          <cell r="F1592">
            <v>51.1</v>
          </cell>
          <cell r="G1592">
            <v>45.5</v>
          </cell>
          <cell r="H1592">
            <v>42.6</v>
          </cell>
          <cell r="I1592">
            <v>46.6</v>
          </cell>
          <cell r="J1592">
            <v>23977</v>
          </cell>
          <cell r="K1592">
            <v>24.4</v>
          </cell>
          <cell r="L1592">
            <v>0.04</v>
          </cell>
          <cell r="N1592">
            <v>2015</v>
          </cell>
          <cell r="O1592">
            <v>56</v>
          </cell>
          <cell r="P1592">
            <v>4</v>
          </cell>
        </row>
        <row r="1593">
          <cell r="B1593" t="str">
            <v>University of Ottawa</v>
          </cell>
          <cell r="C1593" t="str">
            <v>Canada</v>
          </cell>
          <cell r="D1593">
            <v>188</v>
          </cell>
          <cell r="E1593">
            <v>63.2</v>
          </cell>
          <cell r="F1593">
            <v>34.700000000000003</v>
          </cell>
          <cell r="G1593">
            <v>62.9</v>
          </cell>
          <cell r="H1593">
            <v>45.9</v>
          </cell>
          <cell r="I1593">
            <v>46.6</v>
          </cell>
          <cell r="J1593">
            <v>36733</v>
          </cell>
          <cell r="K1593">
            <v>26.3</v>
          </cell>
          <cell r="L1593">
            <v>0.15</v>
          </cell>
          <cell r="M1593">
            <v>2.5277777777777777</v>
          </cell>
          <cell r="N1593">
            <v>2015</v>
          </cell>
          <cell r="O1593">
            <v>212</v>
          </cell>
          <cell r="P1593">
            <v>9</v>
          </cell>
        </row>
        <row r="1594">
          <cell r="B1594" t="str">
            <v>University at Buffalo</v>
          </cell>
          <cell r="C1594" t="str">
            <v>United States of America</v>
          </cell>
          <cell r="D1594">
            <v>191</v>
          </cell>
          <cell r="E1594">
            <v>57</v>
          </cell>
          <cell r="F1594">
            <v>39.799999999999997</v>
          </cell>
          <cell r="G1594">
            <v>57.5</v>
          </cell>
          <cell r="H1594">
            <v>39.6</v>
          </cell>
          <cell r="I1594">
            <v>46.5</v>
          </cell>
          <cell r="J1594">
            <v>25668</v>
          </cell>
          <cell r="K1594">
            <v>19</v>
          </cell>
          <cell r="L1594">
            <v>0.19</v>
          </cell>
          <cell r="M1594">
            <v>1.9951388888888888</v>
          </cell>
          <cell r="N1594">
            <v>2015</v>
          </cell>
          <cell r="O1594" t="e">
            <v>#N/A</v>
          </cell>
          <cell r="P1594" t="e">
            <v>#N/A</v>
          </cell>
        </row>
        <row r="1595">
          <cell r="B1595" t="str">
            <v>City University of Hong Kong</v>
          </cell>
          <cell r="C1595" t="str">
            <v>Hong Kong</v>
          </cell>
          <cell r="D1595">
            <v>192</v>
          </cell>
          <cell r="E1595">
            <v>71.3</v>
          </cell>
          <cell r="F1595">
            <v>32.9</v>
          </cell>
          <cell r="G1595">
            <v>68.599999999999994</v>
          </cell>
          <cell r="H1595">
            <v>49.8</v>
          </cell>
          <cell r="I1595">
            <v>46.3</v>
          </cell>
          <cell r="J1595">
            <v>10015</v>
          </cell>
          <cell r="K1595">
            <v>7.1</v>
          </cell>
          <cell r="L1595">
            <v>0.28000000000000003</v>
          </cell>
          <cell r="M1595">
            <v>2.1590277777777778</v>
          </cell>
          <cell r="N1595">
            <v>2015</v>
          </cell>
          <cell r="O1595">
            <v>375</v>
          </cell>
          <cell r="P1595">
            <v>4</v>
          </cell>
        </row>
        <row r="1596">
          <cell r="B1596" t="str">
            <v>Fudan University</v>
          </cell>
          <cell r="C1596" t="str">
            <v>China</v>
          </cell>
          <cell r="D1596">
            <v>193</v>
          </cell>
          <cell r="E1596">
            <v>37.4</v>
          </cell>
          <cell r="F1596">
            <v>34</v>
          </cell>
          <cell r="G1596">
            <v>61</v>
          </cell>
          <cell r="H1596">
            <v>49.4</v>
          </cell>
          <cell r="I1596">
            <v>46.2</v>
          </cell>
          <cell r="J1596">
            <v>32175</v>
          </cell>
          <cell r="K1596">
            <v>12.2</v>
          </cell>
          <cell r="L1596">
            <v>0.11</v>
          </cell>
          <cell r="M1596">
            <v>2.1180555555555554</v>
          </cell>
          <cell r="N1596">
            <v>2015</v>
          </cell>
          <cell r="O1596">
            <v>189</v>
          </cell>
          <cell r="P1596">
            <v>3</v>
          </cell>
        </row>
        <row r="1597">
          <cell r="B1597" t="str">
            <v>Iowa State University</v>
          </cell>
          <cell r="C1597" t="str">
            <v>United States of America</v>
          </cell>
          <cell r="D1597">
            <v>193</v>
          </cell>
          <cell r="E1597">
            <v>40.6</v>
          </cell>
          <cell r="F1597">
            <v>30.9</v>
          </cell>
          <cell r="G1597">
            <v>72</v>
          </cell>
          <cell r="H1597">
            <v>54.4</v>
          </cell>
          <cell r="I1597">
            <v>46.2</v>
          </cell>
          <cell r="J1597">
            <v>29991</v>
          </cell>
          <cell r="K1597">
            <v>17.399999999999999</v>
          </cell>
          <cell r="L1597">
            <v>0.11</v>
          </cell>
          <cell r="M1597">
            <v>1.8722222222222222</v>
          </cell>
          <cell r="N1597">
            <v>2015</v>
          </cell>
          <cell r="O1597">
            <v>182</v>
          </cell>
          <cell r="P1597">
            <v>80</v>
          </cell>
        </row>
        <row r="1598">
          <cell r="B1598" t="str">
            <v>University of Bonn</v>
          </cell>
          <cell r="C1598" t="str">
            <v>Germany</v>
          </cell>
          <cell r="D1598">
            <v>195</v>
          </cell>
          <cell r="E1598">
            <v>54.8</v>
          </cell>
          <cell r="F1598">
            <v>22.2</v>
          </cell>
          <cell r="G1598">
            <v>83.8</v>
          </cell>
          <cell r="H1598" t="str">
            <v>-</v>
          </cell>
          <cell r="I1598">
            <v>46.1</v>
          </cell>
          <cell r="J1598">
            <v>32474</v>
          </cell>
          <cell r="K1598">
            <v>70.400000000000006</v>
          </cell>
          <cell r="L1598">
            <v>0.13</v>
          </cell>
          <cell r="M1598">
            <v>2.3229166666666665</v>
          </cell>
          <cell r="N1598">
            <v>2015</v>
          </cell>
          <cell r="O1598">
            <v>98</v>
          </cell>
          <cell r="P1598">
            <v>3</v>
          </cell>
        </row>
        <row r="1599">
          <cell r="B1599" t="str">
            <v>Lomonosov Moscow State University</v>
          </cell>
          <cell r="C1599" t="str">
            <v>Russian Federation</v>
          </cell>
          <cell r="D1599">
            <v>196</v>
          </cell>
          <cell r="E1599">
            <v>60.4</v>
          </cell>
          <cell r="F1599">
            <v>42.1</v>
          </cell>
          <cell r="G1599">
            <v>33.799999999999997</v>
          </cell>
          <cell r="H1599">
            <v>78.5</v>
          </cell>
          <cell r="I1599">
            <v>46</v>
          </cell>
          <cell r="J1599">
            <v>30822</v>
          </cell>
          <cell r="K1599">
            <v>7.7</v>
          </cell>
          <cell r="L1599">
            <v>0.2</v>
          </cell>
          <cell r="M1599">
            <v>1.83125</v>
          </cell>
          <cell r="N1599">
            <v>2015</v>
          </cell>
          <cell r="O1599">
            <v>90</v>
          </cell>
          <cell r="P1599">
            <v>1</v>
          </cell>
        </row>
        <row r="1600">
          <cell r="B1600" t="str">
            <v>St Georgeâ€™s, University of London</v>
          </cell>
          <cell r="C1600" t="str">
            <v>United Kingdom</v>
          </cell>
          <cell r="D1600">
            <v>196</v>
          </cell>
          <cell r="E1600">
            <v>55.8</v>
          </cell>
          <cell r="F1600">
            <v>27.3</v>
          </cell>
          <cell r="G1600">
            <v>86.4</v>
          </cell>
          <cell r="H1600">
            <v>32.4</v>
          </cell>
          <cell r="I1600">
            <v>46</v>
          </cell>
          <cell r="J1600">
            <v>2958</v>
          </cell>
          <cell r="K1600">
            <v>13.4</v>
          </cell>
          <cell r="L1600">
            <v>0.17</v>
          </cell>
          <cell r="M1600">
            <v>2.5687500000000001</v>
          </cell>
          <cell r="N1600">
            <v>2015</v>
          </cell>
          <cell r="O1600" t="e">
            <v>#N/A</v>
          </cell>
          <cell r="P1600" t="e">
            <v>#N/A</v>
          </cell>
        </row>
        <row r="1601">
          <cell r="B1601" t="str">
            <v>University of East Anglia</v>
          </cell>
          <cell r="C1601" t="str">
            <v>United Kingdom</v>
          </cell>
          <cell r="D1601">
            <v>198</v>
          </cell>
          <cell r="E1601">
            <v>76.5</v>
          </cell>
          <cell r="F1601">
            <v>22.6</v>
          </cell>
          <cell r="G1601">
            <v>83.7</v>
          </cell>
          <cell r="H1601">
            <v>29.2</v>
          </cell>
          <cell r="I1601">
            <v>45.9</v>
          </cell>
          <cell r="J1601">
            <v>14992</v>
          </cell>
          <cell r="K1601">
            <v>14.7</v>
          </cell>
          <cell r="L1601">
            <v>0.28000000000000003</v>
          </cell>
          <cell r="M1601">
            <v>2.4458333333333333</v>
          </cell>
          <cell r="N1601">
            <v>2015</v>
          </cell>
          <cell r="O1601">
            <v>350</v>
          </cell>
          <cell r="P1601">
            <v>33</v>
          </cell>
        </row>
        <row r="1602">
          <cell r="B1602" t="str">
            <v>University of Leicester</v>
          </cell>
          <cell r="C1602" t="str">
            <v>United Kingdom</v>
          </cell>
          <cell r="D1602">
            <v>199</v>
          </cell>
          <cell r="E1602">
            <v>83.9</v>
          </cell>
          <cell r="F1602">
            <v>31.6</v>
          </cell>
          <cell r="G1602">
            <v>67.099999999999994</v>
          </cell>
          <cell r="H1602">
            <v>34.799999999999997</v>
          </cell>
          <cell r="I1602">
            <v>45.7</v>
          </cell>
          <cell r="J1602">
            <v>14541</v>
          </cell>
          <cell r="K1602">
            <v>13.4</v>
          </cell>
          <cell r="L1602">
            <v>0.35</v>
          </cell>
          <cell r="M1602">
            <v>2.2819444444444446</v>
          </cell>
          <cell r="N1602">
            <v>2015</v>
          </cell>
          <cell r="O1602">
            <v>263</v>
          </cell>
          <cell r="P1602">
            <v>22</v>
          </cell>
        </row>
        <row r="1603">
          <cell r="B1603" t="str">
            <v>Florida Institute of Technology</v>
          </cell>
          <cell r="C1603" t="str">
            <v>United States of America</v>
          </cell>
          <cell r="D1603">
            <v>200</v>
          </cell>
          <cell r="E1603">
            <v>63</v>
          </cell>
          <cell r="F1603">
            <v>13.1</v>
          </cell>
          <cell r="G1603">
            <v>99.2</v>
          </cell>
          <cell r="H1603">
            <v>53.7</v>
          </cell>
          <cell r="I1603">
            <v>45.6</v>
          </cell>
          <cell r="J1603">
            <v>4408</v>
          </cell>
          <cell r="K1603">
            <v>13.7</v>
          </cell>
          <cell r="L1603">
            <v>0.26</v>
          </cell>
          <cell r="M1603" t="str">
            <v>34 : 66</v>
          </cell>
          <cell r="N1603">
            <v>2015</v>
          </cell>
          <cell r="O1603">
            <v>853</v>
          </cell>
          <cell r="P1603">
            <v>222</v>
          </cell>
        </row>
        <row r="1604">
          <cell r="B1604" t="str">
            <v>George Washington University</v>
          </cell>
          <cell r="C1604" t="str">
            <v>United States of America</v>
          </cell>
          <cell r="D1604">
            <v>200</v>
          </cell>
          <cell r="E1604">
            <v>39.9</v>
          </cell>
          <cell r="F1604">
            <v>25.1</v>
          </cell>
          <cell r="G1604">
            <v>70</v>
          </cell>
          <cell r="H1604">
            <v>29.3</v>
          </cell>
          <cell r="I1604">
            <v>45.6</v>
          </cell>
          <cell r="J1604">
            <v>20541</v>
          </cell>
          <cell r="K1604">
            <v>12</v>
          </cell>
          <cell r="L1604">
            <v>0.16</v>
          </cell>
          <cell r="M1604">
            <v>2.3638888888888889</v>
          </cell>
          <cell r="N1604">
            <v>2015</v>
          </cell>
          <cell r="O1604">
            <v>180</v>
          </cell>
          <cell r="P1604">
            <v>79</v>
          </cell>
        </row>
        <row r="1605">
          <cell r="B1605" t="str">
            <v>Bilkent University</v>
          </cell>
          <cell r="C1605" t="str">
            <v>Turkey</v>
          </cell>
          <cell r="D1605" t="str">
            <v>201-225</v>
          </cell>
          <cell r="E1605">
            <v>44.6</v>
          </cell>
          <cell r="F1605">
            <v>27.7</v>
          </cell>
          <cell r="G1605">
            <v>76</v>
          </cell>
          <cell r="H1605">
            <v>46.4</v>
          </cell>
          <cell r="I1605" t="str">
            <v>-</v>
          </cell>
          <cell r="N1605">
            <v>2015</v>
          </cell>
          <cell r="O1605">
            <v>856</v>
          </cell>
          <cell r="P1605">
            <v>7</v>
          </cell>
        </row>
        <row r="1606">
          <cell r="B1606" t="str">
            <v>Cardiff University</v>
          </cell>
          <cell r="C1606" t="str">
            <v>United Kingdom</v>
          </cell>
          <cell r="D1606" t="str">
            <v>201-225</v>
          </cell>
          <cell r="E1606">
            <v>69.3</v>
          </cell>
          <cell r="F1606">
            <v>30.4</v>
          </cell>
          <cell r="G1606">
            <v>69.3</v>
          </cell>
          <cell r="H1606">
            <v>34.799999999999997</v>
          </cell>
          <cell r="I1606" t="str">
            <v>-</v>
          </cell>
          <cell r="J1606">
            <v>23347</v>
          </cell>
          <cell r="K1606">
            <v>13.1</v>
          </cell>
          <cell r="L1606">
            <v>0.23</v>
          </cell>
          <cell r="M1606">
            <v>2.4048611111111109</v>
          </cell>
          <cell r="N1606">
            <v>2015</v>
          </cell>
          <cell r="O1606">
            <v>209</v>
          </cell>
          <cell r="P1606">
            <v>16</v>
          </cell>
        </row>
        <row r="1607">
          <cell r="B1607" t="str">
            <v>Goethe University Frankfurt</v>
          </cell>
          <cell r="C1607" t="str">
            <v>Germany</v>
          </cell>
          <cell r="D1607" t="str">
            <v>201-225</v>
          </cell>
          <cell r="E1607">
            <v>55.6</v>
          </cell>
          <cell r="F1607">
            <v>22.4</v>
          </cell>
          <cell r="G1607">
            <v>78.8</v>
          </cell>
          <cell r="H1607">
            <v>38.799999999999997</v>
          </cell>
          <cell r="I1607" t="str">
            <v>-</v>
          </cell>
          <cell r="J1607">
            <v>31861</v>
          </cell>
          <cell r="K1607">
            <v>9.3000000000000007</v>
          </cell>
          <cell r="L1607">
            <v>0.15</v>
          </cell>
          <cell r="M1607">
            <v>2.5277777777777777</v>
          </cell>
          <cell r="N1607">
            <v>2015</v>
          </cell>
          <cell r="O1607">
            <v>161</v>
          </cell>
          <cell r="P1607">
            <v>9</v>
          </cell>
        </row>
        <row r="1608">
          <cell r="B1608" t="str">
            <v>Hebrew University of Jerusalem</v>
          </cell>
          <cell r="C1608" t="str">
            <v>Israel</v>
          </cell>
          <cell r="D1608" t="str">
            <v>201-225</v>
          </cell>
          <cell r="E1608">
            <v>53.3</v>
          </cell>
          <cell r="F1608">
            <v>36.299999999999997</v>
          </cell>
          <cell r="G1608">
            <v>57.2</v>
          </cell>
          <cell r="H1608">
            <v>31.5</v>
          </cell>
          <cell r="I1608" t="str">
            <v>-</v>
          </cell>
          <cell r="J1608">
            <v>17612</v>
          </cell>
          <cell r="K1608">
            <v>10.7</v>
          </cell>
          <cell r="L1608">
            <v>0.05</v>
          </cell>
          <cell r="M1608">
            <v>2.3229166666666665</v>
          </cell>
          <cell r="N1608">
            <v>2015</v>
          </cell>
          <cell r="O1608">
            <v>22</v>
          </cell>
          <cell r="P1608">
            <v>2</v>
          </cell>
        </row>
        <row r="1609">
          <cell r="B1609" t="str">
            <v>Hong Kong Polytechnic University</v>
          </cell>
          <cell r="C1609" t="str">
            <v>Hong Kong</v>
          </cell>
          <cell r="D1609" t="str">
            <v>201-225</v>
          </cell>
          <cell r="E1609">
            <v>69.900000000000006</v>
          </cell>
          <cell r="F1609">
            <v>36.5</v>
          </cell>
          <cell r="G1609">
            <v>56.5</v>
          </cell>
          <cell r="H1609">
            <v>42.6</v>
          </cell>
          <cell r="I1609" t="str">
            <v>-</v>
          </cell>
          <cell r="J1609">
            <v>22064</v>
          </cell>
          <cell r="K1609">
            <v>25.9</v>
          </cell>
          <cell r="L1609">
            <v>0.26</v>
          </cell>
          <cell r="M1609">
            <v>2.1590277777777778</v>
          </cell>
          <cell r="N1609">
            <v>2015</v>
          </cell>
          <cell r="O1609">
            <v>381</v>
          </cell>
          <cell r="P1609">
            <v>5</v>
          </cell>
        </row>
        <row r="1610">
          <cell r="B1610" t="str">
            <v>Korea University</v>
          </cell>
          <cell r="C1610" t="str">
            <v>South Korea</v>
          </cell>
          <cell r="D1610" t="str">
            <v>201-225</v>
          </cell>
          <cell r="E1610">
            <v>35.9</v>
          </cell>
          <cell r="F1610">
            <v>44.3</v>
          </cell>
          <cell r="G1610">
            <v>39.9</v>
          </cell>
          <cell r="H1610">
            <v>98.5</v>
          </cell>
          <cell r="I1610" t="str">
            <v>-</v>
          </cell>
          <cell r="J1610">
            <v>24043</v>
          </cell>
          <cell r="K1610">
            <v>15.8</v>
          </cell>
          <cell r="L1610">
            <v>0.14000000000000001</v>
          </cell>
          <cell r="N1610">
            <v>2015</v>
          </cell>
          <cell r="O1610">
            <v>130</v>
          </cell>
          <cell r="P1610">
            <v>4</v>
          </cell>
        </row>
        <row r="1611">
          <cell r="B1611" t="str">
            <v>Newcastle University</v>
          </cell>
          <cell r="C1611" t="str">
            <v>United Kingdom</v>
          </cell>
          <cell r="D1611" t="str">
            <v>201-225</v>
          </cell>
          <cell r="E1611">
            <v>73.8</v>
          </cell>
          <cell r="F1611">
            <v>29.6</v>
          </cell>
          <cell r="G1611">
            <v>70.3</v>
          </cell>
          <cell r="H1611">
            <v>35</v>
          </cell>
          <cell r="I1611" t="str">
            <v>-</v>
          </cell>
          <cell r="J1611">
            <v>20174</v>
          </cell>
          <cell r="K1611">
            <v>15.2</v>
          </cell>
          <cell r="L1611">
            <v>0.28999999999999998</v>
          </cell>
          <cell r="M1611">
            <v>2.1180555555555554</v>
          </cell>
          <cell r="N1611">
            <v>2015</v>
          </cell>
          <cell r="O1611">
            <v>229</v>
          </cell>
          <cell r="P1611">
            <v>19</v>
          </cell>
        </row>
        <row r="1612">
          <cell r="B1612" t="str">
            <v>Technion Israel Institute of Technology</v>
          </cell>
          <cell r="C1612" t="str">
            <v>Israel</v>
          </cell>
          <cell r="D1612" t="str">
            <v>201-225</v>
          </cell>
          <cell r="E1612">
            <v>60.6</v>
          </cell>
          <cell r="F1612">
            <v>37.5</v>
          </cell>
          <cell r="G1612">
            <v>52</v>
          </cell>
          <cell r="H1612">
            <v>36.5</v>
          </cell>
          <cell r="I1612" t="str">
            <v>-</v>
          </cell>
          <cell r="J1612">
            <v>13855</v>
          </cell>
          <cell r="K1612">
            <v>19.399999999999999</v>
          </cell>
          <cell r="L1612">
            <v>0.04</v>
          </cell>
          <cell r="M1612" t="str">
            <v>35 : 65</v>
          </cell>
          <cell r="N1612">
            <v>2015</v>
          </cell>
          <cell r="O1612" t="e">
            <v>#N/A</v>
          </cell>
          <cell r="P1612" t="e">
            <v>#N/A</v>
          </cell>
        </row>
        <row r="1613">
          <cell r="B1613" t="str">
            <v>Ulm University</v>
          </cell>
          <cell r="C1613" t="str">
            <v>Germany</v>
          </cell>
          <cell r="D1613" t="str">
            <v>201-225</v>
          </cell>
          <cell r="E1613">
            <v>54.1</v>
          </cell>
          <cell r="F1613">
            <v>22</v>
          </cell>
          <cell r="G1613">
            <v>73</v>
          </cell>
          <cell r="H1613">
            <v>56.7</v>
          </cell>
          <cell r="I1613" t="str">
            <v>-</v>
          </cell>
          <cell r="J1613">
            <v>9187</v>
          </cell>
          <cell r="K1613">
            <v>11.2</v>
          </cell>
          <cell r="L1613">
            <v>0.1</v>
          </cell>
          <cell r="M1613">
            <v>1.9951388888888888</v>
          </cell>
          <cell r="N1613">
            <v>2015</v>
          </cell>
          <cell r="O1613" t="e">
            <v>#N/A</v>
          </cell>
          <cell r="P1613" t="e">
            <v>#N/A</v>
          </cell>
        </row>
        <row r="1614">
          <cell r="B1614" t="str">
            <v>University of Barcelona</v>
          </cell>
          <cell r="C1614" t="str">
            <v>Spain</v>
          </cell>
          <cell r="D1614" t="str">
            <v>201-225</v>
          </cell>
          <cell r="E1614">
            <v>47.8</v>
          </cell>
          <cell r="F1614">
            <v>28.8</v>
          </cell>
          <cell r="G1614">
            <v>79.7</v>
          </cell>
          <cell r="H1614">
            <v>31</v>
          </cell>
          <cell r="I1614" t="str">
            <v>-</v>
          </cell>
          <cell r="J1614">
            <v>47491</v>
          </cell>
          <cell r="K1614">
            <v>12.2</v>
          </cell>
          <cell r="L1614">
            <v>0.1</v>
          </cell>
          <cell r="M1614">
            <v>2.6097222222222221</v>
          </cell>
          <cell r="N1614">
            <v>2015</v>
          </cell>
          <cell r="O1614">
            <v>120</v>
          </cell>
          <cell r="P1614">
            <v>1</v>
          </cell>
        </row>
        <row r="1615">
          <cell r="B1615" t="str">
            <v>University of Bergen</v>
          </cell>
          <cell r="C1615" t="str">
            <v>Norway</v>
          </cell>
          <cell r="D1615" t="str">
            <v>201-225</v>
          </cell>
          <cell r="E1615">
            <v>65.3</v>
          </cell>
          <cell r="F1615">
            <v>27.9</v>
          </cell>
          <cell r="G1615">
            <v>68.5</v>
          </cell>
          <cell r="H1615">
            <v>34.200000000000003</v>
          </cell>
          <cell r="I1615" t="str">
            <v>-</v>
          </cell>
          <cell r="J1615">
            <v>11623</v>
          </cell>
          <cell r="K1615">
            <v>11.1</v>
          </cell>
          <cell r="L1615">
            <v>0.12</v>
          </cell>
          <cell r="M1615">
            <v>2.5277777777777777</v>
          </cell>
          <cell r="N1615">
            <v>2015</v>
          </cell>
          <cell r="O1615">
            <v>305</v>
          </cell>
          <cell r="P1615">
            <v>3</v>
          </cell>
        </row>
        <row r="1616">
          <cell r="B1616" t="str">
            <v>University of Dundee</v>
          </cell>
          <cell r="C1616" t="str">
            <v>United Kingdom</v>
          </cell>
          <cell r="D1616" t="str">
            <v>201-225</v>
          </cell>
          <cell r="E1616">
            <v>64.5</v>
          </cell>
          <cell r="F1616">
            <v>22.5</v>
          </cell>
          <cell r="G1616">
            <v>84.4</v>
          </cell>
          <cell r="H1616">
            <v>47.7</v>
          </cell>
          <cell r="I1616" t="str">
            <v>-</v>
          </cell>
          <cell r="J1616">
            <v>11628</v>
          </cell>
          <cell r="K1616">
            <v>15.3</v>
          </cell>
          <cell r="L1616">
            <v>0.25</v>
          </cell>
          <cell r="M1616">
            <v>2.5277777777777777</v>
          </cell>
          <cell r="N1616">
            <v>2015</v>
          </cell>
          <cell r="O1616">
            <v>252</v>
          </cell>
          <cell r="P1616">
            <v>20</v>
          </cell>
        </row>
        <row r="1617">
          <cell r="B1617" t="str">
            <v>University of Illinois at Chicago</v>
          </cell>
          <cell r="C1617" t="str">
            <v>United States of America</v>
          </cell>
          <cell r="D1617" t="str">
            <v>201-225</v>
          </cell>
          <cell r="E1617">
            <v>53.4</v>
          </cell>
          <cell r="F1617">
            <v>34.1</v>
          </cell>
          <cell r="G1617">
            <v>55.1</v>
          </cell>
          <cell r="H1617">
            <v>40.700000000000003</v>
          </cell>
          <cell r="I1617" t="str">
            <v>-</v>
          </cell>
          <cell r="J1617">
            <v>24313</v>
          </cell>
          <cell r="K1617">
            <v>9.1999999999999993</v>
          </cell>
          <cell r="L1617">
            <v>0.17</v>
          </cell>
          <cell r="M1617">
            <v>2.2409722222222221</v>
          </cell>
          <cell r="N1617">
            <v>2015</v>
          </cell>
          <cell r="O1617">
            <v>218</v>
          </cell>
          <cell r="P1617">
            <v>90</v>
          </cell>
        </row>
        <row r="1618">
          <cell r="B1618" t="str">
            <v>University of Innsbruck</v>
          </cell>
          <cell r="C1618" t="str">
            <v>Austria</v>
          </cell>
          <cell r="D1618" t="str">
            <v>201-225</v>
          </cell>
          <cell r="E1618">
            <v>93.4</v>
          </cell>
          <cell r="F1618">
            <v>17.100000000000001</v>
          </cell>
          <cell r="G1618">
            <v>77</v>
          </cell>
          <cell r="H1618">
            <v>42</v>
          </cell>
          <cell r="I1618" t="str">
            <v>-</v>
          </cell>
          <cell r="J1618">
            <v>18209</v>
          </cell>
          <cell r="K1618">
            <v>16.899999999999999</v>
          </cell>
          <cell r="L1618">
            <v>0.39</v>
          </cell>
          <cell r="M1618">
            <v>2.2819444444444446</v>
          </cell>
          <cell r="N1618">
            <v>2015</v>
          </cell>
          <cell r="O1618">
            <v>326</v>
          </cell>
          <cell r="P1618">
            <v>3</v>
          </cell>
        </row>
        <row r="1619">
          <cell r="B1619" t="str">
            <v>University of Reading</v>
          </cell>
          <cell r="C1619" t="str">
            <v>United Kingdom</v>
          </cell>
          <cell r="D1619" t="str">
            <v>201-225</v>
          </cell>
          <cell r="E1619">
            <v>75</v>
          </cell>
          <cell r="F1619">
            <v>34</v>
          </cell>
          <cell r="G1619">
            <v>58.1</v>
          </cell>
          <cell r="H1619">
            <v>34.9</v>
          </cell>
          <cell r="I1619" t="str">
            <v>-</v>
          </cell>
          <cell r="J1619">
            <v>12050</v>
          </cell>
          <cell r="K1619">
            <v>14.8</v>
          </cell>
          <cell r="L1619">
            <v>0.28000000000000003</v>
          </cell>
          <cell r="M1619">
            <v>2.3229166666666665</v>
          </cell>
          <cell r="N1619">
            <v>2015</v>
          </cell>
          <cell r="O1619">
            <v>287</v>
          </cell>
          <cell r="P1619">
            <v>25</v>
          </cell>
        </row>
        <row r="1620">
          <cell r="B1620" t="str">
            <v>University of Science and Technology of China</v>
          </cell>
          <cell r="C1620" t="str">
            <v>China</v>
          </cell>
          <cell r="D1620" t="str">
            <v>201-225</v>
          </cell>
          <cell r="E1620">
            <v>26.3</v>
          </cell>
          <cell r="F1620">
            <v>27.3</v>
          </cell>
          <cell r="G1620">
            <v>73.599999999999994</v>
          </cell>
          <cell r="H1620">
            <v>71.599999999999994</v>
          </cell>
          <cell r="I1620" t="str">
            <v>-</v>
          </cell>
          <cell r="J1620">
            <v>14290</v>
          </cell>
          <cell r="K1620">
            <v>7.9</v>
          </cell>
          <cell r="L1620">
            <v>0.02</v>
          </cell>
          <cell r="N1620">
            <v>2015</v>
          </cell>
          <cell r="O1620">
            <v>270</v>
          </cell>
          <cell r="P1620">
            <v>8</v>
          </cell>
        </row>
        <row r="1621">
          <cell r="B1621" t="str">
            <v>University of Strasbourg</v>
          </cell>
          <cell r="C1621" t="str">
            <v>France</v>
          </cell>
          <cell r="D1621" t="str">
            <v>201-225</v>
          </cell>
          <cell r="E1621">
            <v>69.5</v>
          </cell>
          <cell r="F1621">
            <v>23.4</v>
          </cell>
          <cell r="G1621">
            <v>74</v>
          </cell>
          <cell r="H1621">
            <v>32</v>
          </cell>
          <cell r="I1621" t="str">
            <v>-</v>
          </cell>
          <cell r="J1621">
            <v>46208</v>
          </cell>
          <cell r="K1621">
            <v>17.8</v>
          </cell>
          <cell r="L1621">
            <v>0.21</v>
          </cell>
          <cell r="M1621">
            <v>2.4458333333333333</v>
          </cell>
          <cell r="N1621">
            <v>2015</v>
          </cell>
          <cell r="O1621">
            <v>176</v>
          </cell>
          <cell r="P1621">
            <v>7</v>
          </cell>
        </row>
        <row r="1622">
          <cell r="B1622" t="str">
            <v>University of SÃ£o Paulo</v>
          </cell>
          <cell r="C1622" t="str">
            <v>Brazil</v>
          </cell>
          <cell r="D1622" t="str">
            <v>201-225</v>
          </cell>
          <cell r="E1622">
            <v>25.3</v>
          </cell>
          <cell r="F1622">
            <v>51.6</v>
          </cell>
          <cell r="G1622">
            <v>32.299999999999997</v>
          </cell>
          <cell r="H1622">
            <v>40.1</v>
          </cell>
          <cell r="I1622" t="str">
            <v>-</v>
          </cell>
          <cell r="J1622">
            <v>81402</v>
          </cell>
          <cell r="K1622">
            <v>14.6</v>
          </cell>
          <cell r="L1622">
            <v>0.04</v>
          </cell>
          <cell r="M1622">
            <v>2.036111111111111</v>
          </cell>
          <cell r="N1622">
            <v>2015</v>
          </cell>
          <cell r="O1622">
            <v>131</v>
          </cell>
          <cell r="P1622">
            <v>1</v>
          </cell>
        </row>
        <row r="1623">
          <cell r="B1623" t="str">
            <v>University of Texas at Dallas</v>
          </cell>
          <cell r="C1623" t="str">
            <v>United States of America</v>
          </cell>
          <cell r="D1623" t="str">
            <v>201-225</v>
          </cell>
          <cell r="E1623">
            <v>55.4</v>
          </cell>
          <cell r="F1623">
            <v>28.2</v>
          </cell>
          <cell r="G1623">
            <v>77.8</v>
          </cell>
          <cell r="H1623">
            <v>41.6</v>
          </cell>
          <cell r="I1623" t="str">
            <v>-</v>
          </cell>
          <cell r="J1623">
            <v>16306</v>
          </cell>
          <cell r="K1623">
            <v>22.8</v>
          </cell>
          <cell r="L1623">
            <v>0.23</v>
          </cell>
          <cell r="M1623">
            <v>1.8722222222222222</v>
          </cell>
          <cell r="N1623">
            <v>2015</v>
          </cell>
          <cell r="O1623">
            <v>143</v>
          </cell>
          <cell r="P1623">
            <v>67</v>
          </cell>
        </row>
        <row r="1624">
          <cell r="B1624" t="str">
            <v>University of Trieste</v>
          </cell>
          <cell r="C1624" t="str">
            <v>Italy</v>
          </cell>
          <cell r="D1624" t="str">
            <v>201-225</v>
          </cell>
          <cell r="E1624">
            <v>50.7</v>
          </cell>
          <cell r="F1624">
            <v>16</v>
          </cell>
          <cell r="G1624">
            <v>88.1</v>
          </cell>
          <cell r="H1624">
            <v>33.299999999999997</v>
          </cell>
          <cell r="I1624" t="str">
            <v>-</v>
          </cell>
          <cell r="J1624">
            <v>18135</v>
          </cell>
          <cell r="K1624">
            <v>25.8</v>
          </cell>
          <cell r="L1624">
            <v>0.09</v>
          </cell>
          <cell r="M1624">
            <v>2.3638888888888889</v>
          </cell>
          <cell r="N1624">
            <v>2015</v>
          </cell>
          <cell r="O1624">
            <v>367</v>
          </cell>
          <cell r="P1624">
            <v>14</v>
          </cell>
        </row>
        <row r="1625">
          <cell r="B1625" t="str">
            <v>University of Twente</v>
          </cell>
          <cell r="C1625" t="str">
            <v>Netherlands</v>
          </cell>
          <cell r="D1625" t="str">
            <v>201-225</v>
          </cell>
          <cell r="E1625">
            <v>67.2</v>
          </cell>
          <cell r="F1625">
            <v>45.3</v>
          </cell>
          <cell r="G1625">
            <v>49.4</v>
          </cell>
          <cell r="H1625">
            <v>89.2</v>
          </cell>
          <cell r="I1625" t="str">
            <v>-</v>
          </cell>
          <cell r="J1625">
            <v>6631</v>
          </cell>
          <cell r="K1625">
            <v>12</v>
          </cell>
          <cell r="L1625">
            <v>0.26</v>
          </cell>
          <cell r="M1625" t="str">
            <v>37 : 63</v>
          </cell>
          <cell r="N1625">
            <v>2015</v>
          </cell>
          <cell r="O1625">
            <v>445</v>
          </cell>
          <cell r="P1625">
            <v>12</v>
          </cell>
        </row>
        <row r="1626">
          <cell r="B1626" t="str">
            <v>UniversitÃ© Libre de Bruxelles</v>
          </cell>
          <cell r="C1626" t="str">
            <v>Belgium</v>
          </cell>
          <cell r="D1626" t="str">
            <v>201-225</v>
          </cell>
          <cell r="E1626">
            <v>79.400000000000006</v>
          </cell>
          <cell r="F1626">
            <v>36.200000000000003</v>
          </cell>
          <cell r="G1626">
            <v>64.400000000000006</v>
          </cell>
          <cell r="H1626">
            <v>50.7</v>
          </cell>
          <cell r="I1626" t="str">
            <v>-</v>
          </cell>
          <cell r="J1626">
            <v>23819</v>
          </cell>
          <cell r="K1626">
            <v>26.1</v>
          </cell>
          <cell r="L1626">
            <v>0.32</v>
          </cell>
          <cell r="M1626">
            <v>2.2819444444444446</v>
          </cell>
          <cell r="N1626">
            <v>2015</v>
          </cell>
          <cell r="O1626">
            <v>139</v>
          </cell>
          <cell r="P1626">
            <v>3</v>
          </cell>
        </row>
        <row r="1627">
          <cell r="B1627" t="str">
            <v>Wake Forest University</v>
          </cell>
          <cell r="C1627" t="str">
            <v>United States of America</v>
          </cell>
          <cell r="D1627" t="str">
            <v>201-225</v>
          </cell>
          <cell r="E1627">
            <v>26</v>
          </cell>
          <cell r="F1627">
            <v>23.5</v>
          </cell>
          <cell r="G1627">
            <v>81.3</v>
          </cell>
          <cell r="H1627">
            <v>38.200000000000003</v>
          </cell>
          <cell r="I1627" t="str">
            <v>-</v>
          </cell>
          <cell r="J1627">
            <v>7326</v>
          </cell>
          <cell r="K1627">
            <v>4.5999999999999996</v>
          </cell>
          <cell r="L1627">
            <v>0.05</v>
          </cell>
          <cell r="M1627">
            <v>2.1590277777777778</v>
          </cell>
          <cell r="N1627">
            <v>2015</v>
          </cell>
          <cell r="O1627">
            <v>145</v>
          </cell>
          <cell r="P1627">
            <v>68</v>
          </cell>
        </row>
        <row r="1628">
          <cell r="B1628" t="str">
            <v>William &amp; Mary</v>
          </cell>
          <cell r="C1628" t="str">
            <v>United States of America</v>
          </cell>
          <cell r="D1628" t="str">
            <v>201-225</v>
          </cell>
          <cell r="E1628">
            <v>26.5</v>
          </cell>
          <cell r="F1628">
            <v>19.899999999999999</v>
          </cell>
          <cell r="G1628">
            <v>78.7</v>
          </cell>
          <cell r="H1628">
            <v>30</v>
          </cell>
          <cell r="I1628" t="str">
            <v>-</v>
          </cell>
          <cell r="J1628">
            <v>7867</v>
          </cell>
          <cell r="K1628">
            <v>11.8</v>
          </cell>
          <cell r="L1628">
            <v>7.0000000000000007E-2</v>
          </cell>
          <cell r="M1628">
            <v>2.2819444444444446</v>
          </cell>
          <cell r="N1628">
            <v>2015</v>
          </cell>
          <cell r="O1628" t="e">
            <v>#N/A</v>
          </cell>
          <cell r="P1628" t="e">
            <v>#N/A</v>
          </cell>
        </row>
        <row r="1629">
          <cell r="B1629" t="str">
            <v>Yonsei University</v>
          </cell>
          <cell r="C1629" t="str">
            <v>South Korea</v>
          </cell>
          <cell r="D1629" t="str">
            <v>201-225</v>
          </cell>
          <cell r="E1629">
            <v>35.700000000000003</v>
          </cell>
          <cell r="F1629">
            <v>45.8</v>
          </cell>
          <cell r="G1629">
            <v>44.3</v>
          </cell>
          <cell r="H1629">
            <v>69.7</v>
          </cell>
          <cell r="I1629" t="str">
            <v>-</v>
          </cell>
          <cell r="J1629">
            <v>24774</v>
          </cell>
          <cell r="K1629">
            <v>11.6</v>
          </cell>
          <cell r="L1629">
            <v>0.14000000000000001</v>
          </cell>
          <cell r="N1629">
            <v>2015</v>
          </cell>
          <cell r="O1629">
            <v>107</v>
          </cell>
          <cell r="P1629">
            <v>2</v>
          </cell>
        </row>
        <row r="1630">
          <cell r="B1630" t="str">
            <v>Autonomous University of Barcelona</v>
          </cell>
          <cell r="C1630" t="str">
            <v>Spain</v>
          </cell>
          <cell r="D1630" t="str">
            <v>226-250</v>
          </cell>
          <cell r="E1630">
            <v>46.4</v>
          </cell>
          <cell r="F1630">
            <v>29.2</v>
          </cell>
          <cell r="G1630">
            <v>67</v>
          </cell>
          <cell r="H1630">
            <v>34.6</v>
          </cell>
          <cell r="I1630" t="str">
            <v>-</v>
          </cell>
          <cell r="J1630">
            <v>30538</v>
          </cell>
          <cell r="K1630">
            <v>12.3</v>
          </cell>
          <cell r="L1630">
            <v>0.1</v>
          </cell>
          <cell r="M1630">
            <v>2.4868055555555557</v>
          </cell>
          <cell r="N1630">
            <v>2015</v>
          </cell>
          <cell r="O1630">
            <v>254</v>
          </cell>
          <cell r="P1630">
            <v>3</v>
          </cell>
        </row>
        <row r="1631">
          <cell r="B1631" t="str">
            <v>Birkbeck, University of London</v>
          </cell>
          <cell r="C1631" t="str">
            <v>United Kingdom</v>
          </cell>
          <cell r="D1631" t="str">
            <v>226-250</v>
          </cell>
          <cell r="E1631">
            <v>84.4</v>
          </cell>
          <cell r="F1631">
            <v>29.3</v>
          </cell>
          <cell r="G1631">
            <v>60.4</v>
          </cell>
          <cell r="H1631">
            <v>28.7</v>
          </cell>
          <cell r="I1631" t="str">
            <v>-</v>
          </cell>
          <cell r="J1631">
            <v>9454</v>
          </cell>
          <cell r="K1631">
            <v>17.2</v>
          </cell>
          <cell r="L1631">
            <v>0.38</v>
          </cell>
          <cell r="M1631">
            <v>2.3229166666666665</v>
          </cell>
          <cell r="N1631">
            <v>2015</v>
          </cell>
          <cell r="O1631">
            <v>624</v>
          </cell>
          <cell r="P1631">
            <v>46</v>
          </cell>
        </row>
        <row r="1632">
          <cell r="B1632" t="str">
            <v>Brunel University London</v>
          </cell>
          <cell r="C1632" t="str">
            <v>United Kingdom</v>
          </cell>
          <cell r="D1632" t="str">
            <v>226-250</v>
          </cell>
          <cell r="E1632">
            <v>88.8</v>
          </cell>
          <cell r="F1632">
            <v>21.4</v>
          </cell>
          <cell r="G1632">
            <v>75.3</v>
          </cell>
          <cell r="H1632">
            <v>31.9</v>
          </cell>
          <cell r="I1632" t="str">
            <v>-</v>
          </cell>
          <cell r="J1632">
            <v>12613</v>
          </cell>
          <cell r="K1632">
            <v>17.600000000000001</v>
          </cell>
          <cell r="L1632">
            <v>0.38</v>
          </cell>
          <cell r="M1632">
            <v>1.9541666666666666</v>
          </cell>
          <cell r="N1632">
            <v>2015</v>
          </cell>
          <cell r="O1632" t="e">
            <v>#N/A</v>
          </cell>
          <cell r="P1632" t="e">
            <v>#N/A</v>
          </cell>
        </row>
        <row r="1633">
          <cell r="B1633" t="str">
            <v>Carleton University</v>
          </cell>
          <cell r="C1633" t="str">
            <v>Canada</v>
          </cell>
          <cell r="D1633" t="str">
            <v>226-250</v>
          </cell>
          <cell r="E1633">
            <v>61.1</v>
          </cell>
          <cell r="F1633">
            <v>24.5</v>
          </cell>
          <cell r="G1633">
            <v>76.900000000000006</v>
          </cell>
          <cell r="H1633">
            <v>30.7</v>
          </cell>
          <cell r="I1633" t="str">
            <v>-</v>
          </cell>
          <cell r="J1633">
            <v>25036</v>
          </cell>
          <cell r="K1633">
            <v>29.8</v>
          </cell>
          <cell r="L1633">
            <v>0.18</v>
          </cell>
          <cell r="M1633">
            <v>1.9951388888888888</v>
          </cell>
          <cell r="N1633">
            <v>2015</v>
          </cell>
          <cell r="O1633">
            <v>627</v>
          </cell>
          <cell r="P1633">
            <v>22</v>
          </cell>
        </row>
        <row r="1634">
          <cell r="B1634" t="str">
            <v>Dalhousie University</v>
          </cell>
          <cell r="C1634" t="str">
            <v>Canada</v>
          </cell>
          <cell r="D1634" t="str">
            <v>226-250</v>
          </cell>
          <cell r="E1634">
            <v>71.599999999999994</v>
          </cell>
          <cell r="F1634">
            <v>30</v>
          </cell>
          <cell r="G1634">
            <v>54.4</v>
          </cell>
          <cell r="H1634">
            <v>68.900000000000006</v>
          </cell>
          <cell r="I1634" t="str">
            <v>-</v>
          </cell>
          <cell r="J1634">
            <v>15064</v>
          </cell>
          <cell r="K1634">
            <v>14.4</v>
          </cell>
          <cell r="L1634">
            <v>0.18</v>
          </cell>
          <cell r="M1634">
            <v>2.3229166666666665</v>
          </cell>
          <cell r="N1634">
            <v>2015</v>
          </cell>
          <cell r="O1634">
            <v>284</v>
          </cell>
          <cell r="P1634">
            <v>14</v>
          </cell>
        </row>
        <row r="1635">
          <cell r="B1635" t="str">
            <v>Laval University</v>
          </cell>
          <cell r="C1635" t="str">
            <v>Canada</v>
          </cell>
          <cell r="D1635" t="str">
            <v>226-250</v>
          </cell>
          <cell r="E1635">
            <v>55.7</v>
          </cell>
          <cell r="F1635">
            <v>29.9</v>
          </cell>
          <cell r="G1635">
            <v>58.1</v>
          </cell>
          <cell r="H1635">
            <v>62.7</v>
          </cell>
          <cell r="I1635" t="str">
            <v>-</v>
          </cell>
          <cell r="J1635">
            <v>27227</v>
          </cell>
          <cell r="K1635">
            <v>16.2</v>
          </cell>
          <cell r="L1635">
            <v>0.12</v>
          </cell>
          <cell r="N1635">
            <v>2015</v>
          </cell>
          <cell r="O1635">
            <v>226</v>
          </cell>
          <cell r="P1635">
            <v>11</v>
          </cell>
        </row>
        <row r="1636">
          <cell r="B1636" t="str">
            <v>Mines ParisTech</v>
          </cell>
          <cell r="C1636" t="str">
            <v>France</v>
          </cell>
          <cell r="D1636" t="str">
            <v>226-250</v>
          </cell>
          <cell r="E1636">
            <v>58.7</v>
          </cell>
          <cell r="F1636">
            <v>23.2</v>
          </cell>
          <cell r="G1636">
            <v>55.1</v>
          </cell>
          <cell r="H1636">
            <v>99</v>
          </cell>
          <cell r="I1636" t="str">
            <v>-</v>
          </cell>
          <cell r="J1636">
            <v>1283</v>
          </cell>
          <cell r="K1636">
            <v>5.6</v>
          </cell>
          <cell r="L1636">
            <v>0.22</v>
          </cell>
          <cell r="M1636" t="str">
            <v>28 : 72</v>
          </cell>
          <cell r="N1636">
            <v>2015</v>
          </cell>
          <cell r="O1636">
            <v>100</v>
          </cell>
          <cell r="P1636">
            <v>5</v>
          </cell>
        </row>
        <row r="1637">
          <cell r="B1637" t="str">
            <v>Nagoya University</v>
          </cell>
          <cell r="C1637" t="str">
            <v>Japan</v>
          </cell>
          <cell r="D1637" t="str">
            <v>226-250</v>
          </cell>
          <cell r="E1637">
            <v>31.8</v>
          </cell>
          <cell r="F1637">
            <v>31.8</v>
          </cell>
          <cell r="G1637">
            <v>59.9</v>
          </cell>
          <cell r="H1637">
            <v>86.3</v>
          </cell>
          <cell r="I1637" t="str">
            <v>-</v>
          </cell>
          <cell r="J1637">
            <v>15529</v>
          </cell>
          <cell r="K1637">
            <v>7.9</v>
          </cell>
          <cell r="L1637">
            <v>0.1</v>
          </cell>
          <cell r="M1637" t="str">
            <v>29 : 71</v>
          </cell>
          <cell r="N1637">
            <v>2015</v>
          </cell>
          <cell r="O1637">
            <v>74</v>
          </cell>
          <cell r="P1637">
            <v>4</v>
          </cell>
        </row>
        <row r="1638">
          <cell r="B1638" t="str">
            <v>Rensselaer Polytechnic Institute</v>
          </cell>
          <cell r="C1638" t="str">
            <v>United States of America</v>
          </cell>
          <cell r="D1638" t="str">
            <v>226-250</v>
          </cell>
          <cell r="E1638">
            <v>42.8</v>
          </cell>
          <cell r="F1638">
            <v>26.2</v>
          </cell>
          <cell r="G1638">
            <v>67.8</v>
          </cell>
          <cell r="H1638">
            <v>49.9</v>
          </cell>
          <cell r="I1638" t="str">
            <v>-</v>
          </cell>
          <cell r="J1638">
            <v>6671</v>
          </cell>
          <cell r="K1638">
            <v>15</v>
          </cell>
          <cell r="L1638">
            <v>0.16</v>
          </cell>
          <cell r="M1638" t="str">
            <v>30 : 70</v>
          </cell>
          <cell r="N1638">
            <v>2015</v>
          </cell>
          <cell r="O1638">
            <v>243</v>
          </cell>
          <cell r="P1638">
            <v>100</v>
          </cell>
        </row>
        <row r="1639">
          <cell r="B1639" t="str">
            <v>Simon Fraser University</v>
          </cell>
          <cell r="C1639" t="str">
            <v>Canada</v>
          </cell>
          <cell r="D1639" t="str">
            <v>226-250</v>
          </cell>
          <cell r="E1639">
            <v>61.4</v>
          </cell>
          <cell r="F1639">
            <v>29.3</v>
          </cell>
          <cell r="G1639">
            <v>67.599999999999994</v>
          </cell>
          <cell r="H1639">
            <v>41.8</v>
          </cell>
          <cell r="I1639" t="str">
            <v>-</v>
          </cell>
          <cell r="J1639">
            <v>26640</v>
          </cell>
          <cell r="K1639">
            <v>28.3</v>
          </cell>
          <cell r="L1639">
            <v>0.19</v>
          </cell>
          <cell r="M1639">
            <v>2.3229166666666665</v>
          </cell>
          <cell r="N1639">
            <v>2015</v>
          </cell>
          <cell r="O1639">
            <v>393</v>
          </cell>
          <cell r="P1639">
            <v>17</v>
          </cell>
        </row>
        <row r="1640">
          <cell r="B1640" t="str">
            <v>State University of New York Albany</v>
          </cell>
          <cell r="C1640" t="str">
            <v>United States of America</v>
          </cell>
          <cell r="D1640" t="str">
            <v>226-250</v>
          </cell>
          <cell r="E1640">
            <v>39.6</v>
          </cell>
          <cell r="F1640">
            <v>35</v>
          </cell>
          <cell r="G1640">
            <v>68.900000000000006</v>
          </cell>
          <cell r="H1640" t="str">
            <v>-</v>
          </cell>
          <cell r="I1640" t="str">
            <v>-</v>
          </cell>
          <cell r="J1640">
            <v>15387</v>
          </cell>
          <cell r="K1640">
            <v>18.5</v>
          </cell>
          <cell r="L1640">
            <v>0.08</v>
          </cell>
          <cell r="M1640">
            <v>2.1590277777777778</v>
          </cell>
          <cell r="N1640">
            <v>2015</v>
          </cell>
          <cell r="O1640" t="e">
            <v>#N/A</v>
          </cell>
          <cell r="P1640" t="e">
            <v>#N/A</v>
          </cell>
        </row>
        <row r="1641">
          <cell r="B1641" t="str">
            <v>Technical University of Berlin</v>
          </cell>
          <cell r="C1641" t="str">
            <v>Germany</v>
          </cell>
          <cell r="D1641" t="str">
            <v>226-250</v>
          </cell>
          <cell r="E1641">
            <v>70.400000000000006</v>
          </cell>
          <cell r="F1641">
            <v>32.299999999999997</v>
          </cell>
          <cell r="G1641">
            <v>47</v>
          </cell>
          <cell r="H1641">
            <v>63.4</v>
          </cell>
          <cell r="I1641" t="str">
            <v>-</v>
          </cell>
          <cell r="N1641">
            <v>2015</v>
          </cell>
          <cell r="O1641">
            <v>297</v>
          </cell>
          <cell r="P1641">
            <v>24</v>
          </cell>
        </row>
        <row r="1642">
          <cell r="B1642" t="str">
            <v>Tokyo Metropolitan University</v>
          </cell>
          <cell r="C1642" t="str">
            <v>Japan</v>
          </cell>
          <cell r="D1642" t="str">
            <v>226-250</v>
          </cell>
          <cell r="E1642">
            <v>39.5</v>
          </cell>
          <cell r="F1642">
            <v>9.8000000000000007</v>
          </cell>
          <cell r="G1642">
            <v>100</v>
          </cell>
          <cell r="H1642">
            <v>31</v>
          </cell>
          <cell r="I1642" t="str">
            <v>-</v>
          </cell>
          <cell r="J1642">
            <v>9303</v>
          </cell>
          <cell r="K1642">
            <v>9.9</v>
          </cell>
          <cell r="L1642">
            <v>0.04</v>
          </cell>
          <cell r="M1642" t="str">
            <v>35 : 65</v>
          </cell>
          <cell r="N1642">
            <v>2015</v>
          </cell>
          <cell r="O1642">
            <v>502</v>
          </cell>
          <cell r="P1642">
            <v>28</v>
          </cell>
        </row>
        <row r="1643">
          <cell r="B1643" t="str">
            <v>University College Dublin</v>
          </cell>
          <cell r="C1643" t="str">
            <v>Republic of Ireland</v>
          </cell>
          <cell r="D1643" t="str">
            <v>226-250</v>
          </cell>
          <cell r="E1643">
            <v>79.400000000000006</v>
          </cell>
          <cell r="F1643">
            <v>28.1</v>
          </cell>
          <cell r="G1643">
            <v>61.7</v>
          </cell>
          <cell r="H1643">
            <v>33.799999999999997</v>
          </cell>
          <cell r="I1643" t="str">
            <v>-</v>
          </cell>
          <cell r="J1643">
            <v>22193</v>
          </cell>
          <cell r="K1643">
            <v>24.5</v>
          </cell>
          <cell r="L1643">
            <v>0.23</v>
          </cell>
          <cell r="N1643">
            <v>2015</v>
          </cell>
          <cell r="O1643">
            <v>269</v>
          </cell>
          <cell r="P1643">
            <v>2</v>
          </cell>
        </row>
        <row r="1644">
          <cell r="B1644" t="str">
            <v>University of Calgary</v>
          </cell>
          <cell r="C1644" t="str">
            <v>Canada</v>
          </cell>
          <cell r="D1644" t="str">
            <v>226-250</v>
          </cell>
          <cell r="E1644">
            <v>63.1</v>
          </cell>
          <cell r="F1644">
            <v>30.5</v>
          </cell>
          <cell r="G1644">
            <v>59.4</v>
          </cell>
          <cell r="H1644">
            <v>41.5</v>
          </cell>
          <cell r="I1644" t="str">
            <v>-</v>
          </cell>
          <cell r="J1644">
            <v>28341</v>
          </cell>
          <cell r="K1644">
            <v>16.5</v>
          </cell>
          <cell r="L1644">
            <v>0.17</v>
          </cell>
          <cell r="M1644">
            <v>2.2409722222222221</v>
          </cell>
          <cell r="N1644">
            <v>2015</v>
          </cell>
          <cell r="O1644">
            <v>166</v>
          </cell>
          <cell r="P1644">
            <v>8</v>
          </cell>
        </row>
        <row r="1645">
          <cell r="B1645" t="str">
            <v>University of Gothenburg</v>
          </cell>
          <cell r="C1645" t="str">
            <v>Sweden</v>
          </cell>
          <cell r="D1645" t="str">
            <v>226-250</v>
          </cell>
          <cell r="E1645">
            <v>46.8</v>
          </cell>
          <cell r="F1645">
            <v>38.200000000000003</v>
          </cell>
          <cell r="G1645">
            <v>64.400000000000006</v>
          </cell>
          <cell r="H1645">
            <v>37</v>
          </cell>
          <cell r="I1645" t="str">
            <v>-</v>
          </cell>
          <cell r="J1645">
            <v>26420</v>
          </cell>
          <cell r="K1645">
            <v>16.399999999999999</v>
          </cell>
          <cell r="L1645">
            <v>0.12</v>
          </cell>
          <cell r="N1645">
            <v>2015</v>
          </cell>
          <cell r="O1645">
            <v>168</v>
          </cell>
          <cell r="P1645">
            <v>5</v>
          </cell>
        </row>
        <row r="1646">
          <cell r="B1646" t="str">
            <v>University of Kiel</v>
          </cell>
          <cell r="C1646" t="str">
            <v>Germany</v>
          </cell>
          <cell r="D1646" t="str">
            <v>226-250</v>
          </cell>
          <cell r="E1646">
            <v>44.2</v>
          </cell>
          <cell r="F1646">
            <v>24.3</v>
          </cell>
          <cell r="G1646">
            <v>70.8</v>
          </cell>
          <cell r="H1646">
            <v>42</v>
          </cell>
          <cell r="I1646" t="str">
            <v>-</v>
          </cell>
          <cell r="J1646">
            <v>24444</v>
          </cell>
          <cell r="K1646">
            <v>23.8</v>
          </cell>
          <cell r="L1646">
            <v>0.08</v>
          </cell>
          <cell r="M1646">
            <v>2.2409722222222221</v>
          </cell>
          <cell r="N1646">
            <v>2015</v>
          </cell>
          <cell r="O1646">
            <v>232</v>
          </cell>
          <cell r="P1646">
            <v>17</v>
          </cell>
        </row>
        <row r="1647">
          <cell r="B1647" t="str">
            <v>University of Konstanz</v>
          </cell>
          <cell r="C1647" t="str">
            <v>Germany</v>
          </cell>
          <cell r="D1647" t="str">
            <v>226-250</v>
          </cell>
          <cell r="E1647">
            <v>57</v>
          </cell>
          <cell r="F1647">
            <v>33.4</v>
          </cell>
          <cell r="G1647">
            <v>59.4</v>
          </cell>
          <cell r="H1647">
            <v>52.5</v>
          </cell>
          <cell r="I1647" t="str">
            <v>-</v>
          </cell>
          <cell r="J1647">
            <v>10930</v>
          </cell>
          <cell r="K1647">
            <v>59.1</v>
          </cell>
          <cell r="L1647">
            <v>0.12</v>
          </cell>
          <cell r="M1647">
            <v>2.2819444444444446</v>
          </cell>
          <cell r="N1647">
            <v>2015</v>
          </cell>
          <cell r="O1647">
            <v>468</v>
          </cell>
          <cell r="P1647">
            <v>36</v>
          </cell>
        </row>
        <row r="1648">
          <cell r="B1648" t="str">
            <v>University of Milan-Bicocca</v>
          </cell>
          <cell r="C1648" t="str">
            <v>Italy</v>
          </cell>
          <cell r="D1648" t="str">
            <v>226-250</v>
          </cell>
          <cell r="E1648">
            <v>40.6</v>
          </cell>
          <cell r="F1648">
            <v>23</v>
          </cell>
          <cell r="G1648">
            <v>76.599999999999994</v>
          </cell>
          <cell r="H1648">
            <v>45</v>
          </cell>
          <cell r="I1648" t="str">
            <v>-</v>
          </cell>
          <cell r="J1648">
            <v>33370</v>
          </cell>
          <cell r="K1648">
            <v>72.5</v>
          </cell>
          <cell r="L1648">
            <v>0.05</v>
          </cell>
          <cell r="M1648">
            <v>2.5277777777777777</v>
          </cell>
          <cell r="N1648">
            <v>2015</v>
          </cell>
          <cell r="O1648" t="e">
            <v>#N/A</v>
          </cell>
          <cell r="P1648" t="e">
            <v>#N/A</v>
          </cell>
        </row>
        <row r="1649">
          <cell r="B1649" t="str">
            <v>University of Technology Sydney</v>
          </cell>
          <cell r="C1649" t="str">
            <v>Australia</v>
          </cell>
          <cell r="D1649" t="str">
            <v>226-250</v>
          </cell>
          <cell r="E1649">
            <v>86.9</v>
          </cell>
          <cell r="F1649">
            <v>32.5</v>
          </cell>
          <cell r="G1649">
            <v>58.7</v>
          </cell>
          <cell r="H1649">
            <v>40.1</v>
          </cell>
          <cell r="I1649" t="str">
            <v>-</v>
          </cell>
          <cell r="J1649">
            <v>24519</v>
          </cell>
          <cell r="K1649">
            <v>44.1</v>
          </cell>
          <cell r="L1649">
            <v>0.31</v>
          </cell>
          <cell r="M1649">
            <v>2.2409722222222221</v>
          </cell>
          <cell r="N1649">
            <v>2015</v>
          </cell>
          <cell r="O1649" t="e">
            <v>#N/A</v>
          </cell>
          <cell r="P1649" t="e">
            <v>#N/A</v>
          </cell>
        </row>
        <row r="1650">
          <cell r="B1650" t="str">
            <v>University of Western Ontario</v>
          </cell>
          <cell r="C1650" t="str">
            <v>Canada</v>
          </cell>
          <cell r="D1650" t="str">
            <v>226-250</v>
          </cell>
          <cell r="E1650">
            <v>63.7</v>
          </cell>
          <cell r="F1650">
            <v>35.700000000000003</v>
          </cell>
          <cell r="G1650">
            <v>47</v>
          </cell>
          <cell r="H1650">
            <v>50.7</v>
          </cell>
          <cell r="I1650" t="str">
            <v>-</v>
          </cell>
          <cell r="J1650">
            <v>27387</v>
          </cell>
          <cell r="K1650">
            <v>20.7</v>
          </cell>
          <cell r="L1650">
            <v>0.16</v>
          </cell>
          <cell r="M1650">
            <v>2.2819444444444446</v>
          </cell>
          <cell r="N1650">
            <v>2015</v>
          </cell>
          <cell r="O1650" t="e">
            <v>#N/A</v>
          </cell>
          <cell r="P1650" t="e">
            <v>#N/A</v>
          </cell>
        </row>
        <row r="1651">
          <cell r="B1651" t="str">
            <v>University of WÃ¼rzburg</v>
          </cell>
          <cell r="C1651" t="str">
            <v>Germany</v>
          </cell>
          <cell r="D1651" t="str">
            <v>226-250</v>
          </cell>
          <cell r="E1651">
            <v>50.2</v>
          </cell>
          <cell r="F1651">
            <v>17.3</v>
          </cell>
          <cell r="G1651">
            <v>81.400000000000006</v>
          </cell>
          <cell r="H1651">
            <v>30</v>
          </cell>
          <cell r="I1651" t="str">
            <v>-</v>
          </cell>
          <cell r="J1651">
            <v>26576</v>
          </cell>
          <cell r="K1651">
            <v>38.4</v>
          </cell>
          <cell r="L1651">
            <v>0.08</v>
          </cell>
          <cell r="M1651">
            <v>2.4048611111111109</v>
          </cell>
          <cell r="N1651">
            <v>2015</v>
          </cell>
          <cell r="O1651" t="e">
            <v>#N/A</v>
          </cell>
          <cell r="P1651" t="e">
            <v>#N/A</v>
          </cell>
        </row>
        <row r="1652">
          <cell r="B1652" t="str">
            <v>Vienna University of Technology</v>
          </cell>
          <cell r="C1652" t="str">
            <v>Austria</v>
          </cell>
          <cell r="D1652" t="str">
            <v>226-250</v>
          </cell>
          <cell r="E1652">
            <v>75.900000000000006</v>
          </cell>
          <cell r="F1652">
            <v>32.4</v>
          </cell>
          <cell r="G1652">
            <v>41.7</v>
          </cell>
          <cell r="H1652">
            <v>64.099999999999994</v>
          </cell>
          <cell r="I1652" t="str">
            <v>-</v>
          </cell>
          <cell r="J1652">
            <v>26419</v>
          </cell>
          <cell r="K1652">
            <v>52</v>
          </cell>
          <cell r="L1652">
            <v>0.27</v>
          </cell>
          <cell r="M1652" t="str">
            <v>27 : 73</v>
          </cell>
          <cell r="N1652">
            <v>2015</v>
          </cell>
          <cell r="O1652">
            <v>427</v>
          </cell>
          <cell r="P1652">
            <v>4</v>
          </cell>
        </row>
        <row r="1653">
          <cell r="B1653" t="str">
            <v>York University</v>
          </cell>
          <cell r="C1653" t="str">
            <v>Canada</v>
          </cell>
          <cell r="D1653" t="str">
            <v>226-250</v>
          </cell>
          <cell r="E1653">
            <v>59.7</v>
          </cell>
          <cell r="F1653">
            <v>35.299999999999997</v>
          </cell>
          <cell r="G1653">
            <v>62.9</v>
          </cell>
          <cell r="H1653">
            <v>34.1</v>
          </cell>
          <cell r="I1653" t="str">
            <v>-</v>
          </cell>
          <cell r="J1653">
            <v>48007</v>
          </cell>
          <cell r="K1653">
            <v>39.4</v>
          </cell>
          <cell r="L1653">
            <v>0.09</v>
          </cell>
          <cell r="M1653">
            <v>2.4868055555555557</v>
          </cell>
          <cell r="N1653">
            <v>2015</v>
          </cell>
          <cell r="O1653">
            <v>398</v>
          </cell>
          <cell r="P1653">
            <v>18</v>
          </cell>
        </row>
        <row r="1654">
          <cell r="B1654" t="str">
            <v>Aalto University</v>
          </cell>
          <cell r="C1654" t="str">
            <v>Finland</v>
          </cell>
          <cell r="D1654" t="str">
            <v>251-275</v>
          </cell>
          <cell r="E1654">
            <v>59.4</v>
          </cell>
          <cell r="F1654">
            <v>31.3</v>
          </cell>
          <cell r="G1654">
            <v>50.2</v>
          </cell>
          <cell r="H1654">
            <v>64.5</v>
          </cell>
          <cell r="I1654" t="str">
            <v>-</v>
          </cell>
          <cell r="J1654">
            <v>16099</v>
          </cell>
          <cell r="K1654">
            <v>24.2</v>
          </cell>
          <cell r="L1654">
            <v>0.17</v>
          </cell>
          <cell r="M1654" t="str">
            <v>32 : 68</v>
          </cell>
          <cell r="N1654">
            <v>2015</v>
          </cell>
          <cell r="O1654">
            <v>392</v>
          </cell>
          <cell r="P1654">
            <v>4</v>
          </cell>
        </row>
        <row r="1655">
          <cell r="B1655" t="str">
            <v>Federico Santa MarÃ­a Technical University</v>
          </cell>
          <cell r="C1655" t="str">
            <v>Chile</v>
          </cell>
          <cell r="D1655" t="str">
            <v>251-275</v>
          </cell>
          <cell r="E1655">
            <v>48.7</v>
          </cell>
          <cell r="F1655">
            <v>10.1</v>
          </cell>
          <cell r="G1655">
            <v>99.7</v>
          </cell>
          <cell r="H1655">
            <v>28.1</v>
          </cell>
          <cell r="I1655" t="str">
            <v>-</v>
          </cell>
          <cell r="J1655">
            <v>11718</v>
          </cell>
          <cell r="K1655">
            <v>34</v>
          </cell>
          <cell r="L1655">
            <v>0.02</v>
          </cell>
          <cell r="M1655" t="str">
            <v>24 : 76</v>
          </cell>
          <cell r="N1655">
            <v>2015</v>
          </cell>
          <cell r="O1655">
            <v>971</v>
          </cell>
          <cell r="P1655">
            <v>4</v>
          </cell>
        </row>
        <row r="1656">
          <cell r="B1656" t="str">
            <v>Medical University of Vienna</v>
          </cell>
          <cell r="C1656" t="str">
            <v>Austria</v>
          </cell>
          <cell r="D1656" t="str">
            <v>251-275</v>
          </cell>
          <cell r="E1656">
            <v>73.099999999999994</v>
          </cell>
          <cell r="F1656">
            <v>17</v>
          </cell>
          <cell r="G1656">
            <v>71.099999999999994</v>
          </cell>
          <cell r="H1656">
            <v>33.700000000000003</v>
          </cell>
          <cell r="I1656" t="str">
            <v>-</v>
          </cell>
          <cell r="J1656">
            <v>7426</v>
          </cell>
          <cell r="K1656">
            <v>2.9</v>
          </cell>
          <cell r="L1656">
            <v>0.28000000000000003</v>
          </cell>
          <cell r="M1656">
            <v>2.1180555555555554</v>
          </cell>
          <cell r="N1656">
            <v>2015</v>
          </cell>
          <cell r="O1656">
            <v>310</v>
          </cell>
          <cell r="P1656">
            <v>2</v>
          </cell>
        </row>
        <row r="1657">
          <cell r="B1657" t="str">
            <v>Nanjing University</v>
          </cell>
          <cell r="C1657" t="str">
            <v>China</v>
          </cell>
          <cell r="D1657" t="str">
            <v>251-275</v>
          </cell>
          <cell r="E1657">
            <v>50.2</v>
          </cell>
          <cell r="F1657">
            <v>23.3</v>
          </cell>
          <cell r="G1657">
            <v>59.6</v>
          </cell>
          <cell r="H1657">
            <v>51.7</v>
          </cell>
          <cell r="I1657" t="str">
            <v>-</v>
          </cell>
          <cell r="J1657">
            <v>29743</v>
          </cell>
          <cell r="K1657">
            <v>13.3</v>
          </cell>
          <cell r="L1657">
            <v>0.1</v>
          </cell>
          <cell r="M1657">
            <v>1.9541666666666666</v>
          </cell>
          <cell r="N1657">
            <v>2015</v>
          </cell>
          <cell r="O1657">
            <v>217</v>
          </cell>
          <cell r="P1657">
            <v>6</v>
          </cell>
        </row>
        <row r="1658">
          <cell r="B1658" t="str">
            <v>National Tsing Hua University</v>
          </cell>
          <cell r="C1658" t="str">
            <v>Taiwan</v>
          </cell>
          <cell r="D1658" t="str">
            <v>251-275</v>
          </cell>
          <cell r="E1658">
            <v>24.8</v>
          </cell>
          <cell r="F1658">
            <v>40.299999999999997</v>
          </cell>
          <cell r="G1658">
            <v>49.1</v>
          </cell>
          <cell r="H1658">
            <v>49.4</v>
          </cell>
          <cell r="I1658" t="str">
            <v>-</v>
          </cell>
          <cell r="J1658">
            <v>10221</v>
          </cell>
          <cell r="K1658">
            <v>13.5</v>
          </cell>
          <cell r="L1658">
            <v>0.05</v>
          </cell>
          <cell r="M1658" t="str">
            <v>33 : 67</v>
          </cell>
          <cell r="N1658">
            <v>2015</v>
          </cell>
          <cell r="O1658">
            <v>418</v>
          </cell>
          <cell r="P1658">
            <v>4</v>
          </cell>
        </row>
        <row r="1659">
          <cell r="B1659" t="str">
            <v>National University of Ireland, Galway</v>
          </cell>
          <cell r="C1659" t="str">
            <v>Republic of Ireland</v>
          </cell>
          <cell r="D1659" t="str">
            <v>251-275</v>
          </cell>
          <cell r="E1659">
            <v>71.7</v>
          </cell>
          <cell r="F1659">
            <v>24.8</v>
          </cell>
          <cell r="G1659">
            <v>62.8</v>
          </cell>
          <cell r="H1659">
            <v>43.1</v>
          </cell>
          <cell r="I1659" t="str">
            <v>-</v>
          </cell>
          <cell r="J1659">
            <v>14067</v>
          </cell>
          <cell r="K1659">
            <v>26.8</v>
          </cell>
          <cell r="L1659">
            <v>0.14000000000000001</v>
          </cell>
          <cell r="M1659">
            <v>2.3638888888888889</v>
          </cell>
          <cell r="N1659">
            <v>2015</v>
          </cell>
          <cell r="O1659">
            <v>600</v>
          </cell>
          <cell r="P1659">
            <v>4</v>
          </cell>
        </row>
        <row r="1660">
          <cell r="B1660" t="str">
            <v>Queenâ€™s University</v>
          </cell>
          <cell r="C1660" t="str">
            <v>Canada</v>
          </cell>
          <cell r="D1660" t="str">
            <v>251-275</v>
          </cell>
          <cell r="E1660">
            <v>55.4</v>
          </cell>
          <cell r="F1660">
            <v>33.4</v>
          </cell>
          <cell r="G1660">
            <v>48.2</v>
          </cell>
          <cell r="H1660">
            <v>59</v>
          </cell>
          <cell r="I1660" t="str">
            <v>-</v>
          </cell>
          <cell r="J1660">
            <v>20488</v>
          </cell>
          <cell r="K1660">
            <v>22.1</v>
          </cell>
          <cell r="L1660">
            <v>0.1</v>
          </cell>
          <cell r="M1660">
            <v>2.4458333333333333</v>
          </cell>
          <cell r="N1660">
            <v>2015</v>
          </cell>
          <cell r="O1660" t="e">
            <v>#N/A</v>
          </cell>
          <cell r="P1660" t="e">
            <v>#N/A</v>
          </cell>
        </row>
        <row r="1661">
          <cell r="B1661" t="str">
            <v>Queenâ€™s University Belfast</v>
          </cell>
          <cell r="C1661" t="str">
            <v>United Kingdom</v>
          </cell>
          <cell r="D1661" t="str">
            <v>251-275</v>
          </cell>
          <cell r="E1661">
            <v>88.6</v>
          </cell>
          <cell r="F1661">
            <v>25.1</v>
          </cell>
          <cell r="G1661">
            <v>52.2</v>
          </cell>
          <cell r="H1661">
            <v>43.7</v>
          </cell>
          <cell r="I1661" t="str">
            <v>-</v>
          </cell>
          <cell r="J1661">
            <v>17940</v>
          </cell>
          <cell r="K1661">
            <v>17.899999999999999</v>
          </cell>
          <cell r="L1661">
            <v>0.3</v>
          </cell>
          <cell r="M1661">
            <v>2.2819444444444446</v>
          </cell>
          <cell r="N1661">
            <v>2015</v>
          </cell>
          <cell r="O1661" t="e">
            <v>#N/A</v>
          </cell>
          <cell r="P1661" t="e">
            <v>#N/A</v>
          </cell>
        </row>
        <row r="1662">
          <cell r="B1662" t="str">
            <v>Swedish University of Agricultural Sciences</v>
          </cell>
          <cell r="C1662" t="str">
            <v>Sweden</v>
          </cell>
          <cell r="D1662" t="str">
            <v>251-275</v>
          </cell>
          <cell r="E1662">
            <v>49.6</v>
          </cell>
          <cell r="F1662">
            <v>25.2</v>
          </cell>
          <cell r="G1662">
            <v>59.9</v>
          </cell>
          <cell r="H1662">
            <v>99.8</v>
          </cell>
          <cell r="I1662" t="str">
            <v>-</v>
          </cell>
          <cell r="J1662">
            <v>3879</v>
          </cell>
          <cell r="K1662">
            <v>4.5999999999999996</v>
          </cell>
          <cell r="M1662">
            <v>2.8145833333333332</v>
          </cell>
          <cell r="N1662">
            <v>2015</v>
          </cell>
          <cell r="O1662">
            <v>433</v>
          </cell>
          <cell r="P1662">
            <v>10</v>
          </cell>
        </row>
        <row r="1663">
          <cell r="B1663" t="str">
            <v>Technical University of Darmstadt</v>
          </cell>
          <cell r="C1663" t="str">
            <v>Germany</v>
          </cell>
          <cell r="D1663" t="str">
            <v>251-275</v>
          </cell>
          <cell r="E1663">
            <v>59.6</v>
          </cell>
          <cell r="F1663">
            <v>33.700000000000003</v>
          </cell>
          <cell r="G1663">
            <v>42</v>
          </cell>
          <cell r="H1663">
            <v>88.9</v>
          </cell>
          <cell r="I1663" t="str">
            <v>-</v>
          </cell>
          <cell r="J1663">
            <v>20300</v>
          </cell>
          <cell r="K1663">
            <v>53.6</v>
          </cell>
          <cell r="L1663">
            <v>0.18</v>
          </cell>
          <cell r="M1663" t="str">
            <v>28 : 72</v>
          </cell>
          <cell r="N1663">
            <v>2015</v>
          </cell>
          <cell r="O1663" t="e">
            <v>#N/A</v>
          </cell>
          <cell r="P1663" t="e">
            <v>#N/A</v>
          </cell>
        </row>
        <row r="1664">
          <cell r="B1664" t="str">
            <v>University of Bremen</v>
          </cell>
          <cell r="C1664" t="str">
            <v>Germany</v>
          </cell>
          <cell r="D1664" t="str">
            <v>251-275</v>
          </cell>
          <cell r="E1664">
            <v>53</v>
          </cell>
          <cell r="F1664">
            <v>27.6</v>
          </cell>
          <cell r="G1664">
            <v>55.7</v>
          </cell>
          <cell r="H1664">
            <v>46.3</v>
          </cell>
          <cell r="I1664" t="str">
            <v>-</v>
          </cell>
          <cell r="J1664">
            <v>18590</v>
          </cell>
          <cell r="K1664">
            <v>25.6</v>
          </cell>
          <cell r="L1664">
            <v>0.11</v>
          </cell>
          <cell r="M1664">
            <v>2.1180555555555554</v>
          </cell>
          <cell r="N1664">
            <v>2015</v>
          </cell>
          <cell r="O1664">
            <v>549</v>
          </cell>
          <cell r="P1664">
            <v>44</v>
          </cell>
        </row>
        <row r="1665">
          <cell r="B1665" t="str">
            <v>University of Hawaiâ€™i at MÄnoa</v>
          </cell>
          <cell r="C1665" t="str">
            <v>United States of America</v>
          </cell>
          <cell r="D1665" t="str">
            <v>251-275</v>
          </cell>
          <cell r="E1665">
            <v>59.4</v>
          </cell>
          <cell r="F1665">
            <v>30.7</v>
          </cell>
          <cell r="G1665">
            <v>51.5</v>
          </cell>
          <cell r="H1665">
            <v>38.299999999999997</v>
          </cell>
          <cell r="I1665" t="str">
            <v>-</v>
          </cell>
          <cell r="N1665">
            <v>2015</v>
          </cell>
          <cell r="O1665" t="e">
            <v>#N/A</v>
          </cell>
          <cell r="P1665" t="e">
            <v>#N/A</v>
          </cell>
        </row>
        <row r="1666">
          <cell r="B1666" t="str">
            <v>University of Iceland</v>
          </cell>
          <cell r="C1666" t="str">
            <v>Iceland</v>
          </cell>
          <cell r="D1666" t="str">
            <v>251-275</v>
          </cell>
          <cell r="E1666">
            <v>59.1</v>
          </cell>
          <cell r="F1666">
            <v>24.7</v>
          </cell>
          <cell r="G1666">
            <v>74.8</v>
          </cell>
          <cell r="H1666">
            <v>64</v>
          </cell>
          <cell r="I1666" t="str">
            <v>-</v>
          </cell>
          <cell r="J1666">
            <v>13960</v>
          </cell>
          <cell r="K1666">
            <v>25.9</v>
          </cell>
          <cell r="L1666">
            <v>0.08</v>
          </cell>
          <cell r="M1666">
            <v>2.7736111111111112</v>
          </cell>
          <cell r="N1666">
            <v>2015</v>
          </cell>
          <cell r="O1666">
            <v>516</v>
          </cell>
          <cell r="P1666">
            <v>1</v>
          </cell>
        </row>
        <row r="1667">
          <cell r="B1667" t="str">
            <v>University of MÃ¼nster</v>
          </cell>
          <cell r="C1667" t="str">
            <v>Germany</v>
          </cell>
          <cell r="D1667" t="str">
            <v>251-275</v>
          </cell>
          <cell r="E1667">
            <v>48.2</v>
          </cell>
          <cell r="F1667">
            <v>18.100000000000001</v>
          </cell>
          <cell r="G1667">
            <v>73</v>
          </cell>
          <cell r="H1667">
            <v>38.200000000000003</v>
          </cell>
          <cell r="I1667" t="str">
            <v>-</v>
          </cell>
          <cell r="J1667">
            <v>39838</v>
          </cell>
          <cell r="K1667">
            <v>46.1</v>
          </cell>
          <cell r="L1667">
            <v>0.08</v>
          </cell>
          <cell r="M1667">
            <v>2.2409722222222221</v>
          </cell>
          <cell r="N1667">
            <v>2015</v>
          </cell>
          <cell r="O1667">
            <v>210</v>
          </cell>
          <cell r="P1667">
            <v>13</v>
          </cell>
        </row>
        <row r="1668">
          <cell r="B1668" t="str">
            <v>University of New Mexico</v>
          </cell>
          <cell r="C1668" t="str">
            <v>United States of America</v>
          </cell>
          <cell r="D1668" t="str">
            <v>251-275</v>
          </cell>
          <cell r="E1668">
            <v>32.200000000000003</v>
          </cell>
          <cell r="F1668">
            <v>23.4</v>
          </cell>
          <cell r="G1668">
            <v>73.099999999999994</v>
          </cell>
          <cell r="H1668">
            <v>44.5</v>
          </cell>
          <cell r="I1668" t="str">
            <v>-</v>
          </cell>
          <cell r="N1668">
            <v>2015</v>
          </cell>
          <cell r="O1668">
            <v>185</v>
          </cell>
          <cell r="P1668">
            <v>82</v>
          </cell>
        </row>
        <row r="1669">
          <cell r="B1669" t="str">
            <v>University of Newcastle</v>
          </cell>
          <cell r="C1669" t="str">
            <v>Australia</v>
          </cell>
          <cell r="D1669" t="str">
            <v>251-275</v>
          </cell>
          <cell r="E1669">
            <v>70.599999999999994</v>
          </cell>
          <cell r="F1669">
            <v>29.9</v>
          </cell>
          <cell r="G1669">
            <v>57.5</v>
          </cell>
          <cell r="H1669">
            <v>75.599999999999994</v>
          </cell>
          <cell r="I1669" t="str">
            <v>-</v>
          </cell>
          <cell r="J1669">
            <v>23508</v>
          </cell>
          <cell r="K1669">
            <v>21.9</v>
          </cell>
          <cell r="L1669">
            <v>0.18</v>
          </cell>
          <cell r="M1669">
            <v>2.3638888888888889</v>
          </cell>
          <cell r="N1669">
            <v>2015</v>
          </cell>
          <cell r="O1669">
            <v>546</v>
          </cell>
          <cell r="P1669">
            <v>12</v>
          </cell>
        </row>
        <row r="1670">
          <cell r="B1670" t="str">
            <v>University of Otago</v>
          </cell>
          <cell r="C1670" t="str">
            <v>New Zealand</v>
          </cell>
          <cell r="D1670" t="str">
            <v>251-275</v>
          </cell>
          <cell r="E1670">
            <v>81.5</v>
          </cell>
          <cell r="F1670">
            <v>27.7</v>
          </cell>
          <cell r="G1670">
            <v>57.6</v>
          </cell>
          <cell r="H1670">
            <v>31.9</v>
          </cell>
          <cell r="I1670" t="str">
            <v>-</v>
          </cell>
          <cell r="J1670">
            <v>18600</v>
          </cell>
          <cell r="K1670">
            <v>20.3</v>
          </cell>
          <cell r="L1670">
            <v>0.21</v>
          </cell>
          <cell r="M1670">
            <v>2.4048611111111109</v>
          </cell>
          <cell r="N1670">
            <v>2015</v>
          </cell>
          <cell r="O1670">
            <v>355</v>
          </cell>
          <cell r="P1670">
            <v>2</v>
          </cell>
        </row>
        <row r="1671">
          <cell r="B1671" t="str">
            <v>University of Pavia</v>
          </cell>
          <cell r="C1671" t="str">
            <v>Italy</v>
          </cell>
          <cell r="D1671" t="str">
            <v>251-275</v>
          </cell>
          <cell r="E1671">
            <v>43.5</v>
          </cell>
          <cell r="F1671">
            <v>19.2</v>
          </cell>
          <cell r="G1671">
            <v>75.599999999999994</v>
          </cell>
          <cell r="H1671">
            <v>64.400000000000006</v>
          </cell>
          <cell r="I1671" t="str">
            <v>-</v>
          </cell>
          <cell r="J1671">
            <v>22958</v>
          </cell>
          <cell r="K1671">
            <v>40.6</v>
          </cell>
          <cell r="L1671">
            <v>0.06</v>
          </cell>
          <cell r="M1671">
            <v>2.3638888888888889</v>
          </cell>
          <cell r="N1671">
            <v>2015</v>
          </cell>
          <cell r="O1671">
            <v>344</v>
          </cell>
          <cell r="P1671">
            <v>12</v>
          </cell>
        </row>
        <row r="1672">
          <cell r="B1672" t="str">
            <v>University of Salento</v>
          </cell>
          <cell r="C1672" t="str">
            <v>Italy</v>
          </cell>
          <cell r="D1672" t="str">
            <v>251-275</v>
          </cell>
          <cell r="E1672">
            <v>40.299999999999997</v>
          </cell>
          <cell r="F1672">
            <v>25.6</v>
          </cell>
          <cell r="G1672">
            <v>64.5</v>
          </cell>
          <cell r="H1672">
            <v>38.4</v>
          </cell>
          <cell r="I1672" t="str">
            <v>-</v>
          </cell>
          <cell r="J1672">
            <v>19959</v>
          </cell>
          <cell r="K1672">
            <v>58.4</v>
          </cell>
          <cell r="L1672">
            <v>0.01</v>
          </cell>
          <cell r="M1672">
            <v>2.6916666666666669</v>
          </cell>
          <cell r="N1672">
            <v>2015</v>
          </cell>
          <cell r="O1672">
            <v>785</v>
          </cell>
          <cell r="P1672">
            <v>42</v>
          </cell>
        </row>
        <row r="1673">
          <cell r="B1673" t="str">
            <v>University of South Florida</v>
          </cell>
          <cell r="C1673" t="str">
            <v>United States of America</v>
          </cell>
          <cell r="D1673" t="str">
            <v>251-275</v>
          </cell>
          <cell r="E1673">
            <v>41</v>
          </cell>
          <cell r="F1673">
            <v>37.9</v>
          </cell>
          <cell r="G1673">
            <v>55.1</v>
          </cell>
          <cell r="H1673">
            <v>99.8</v>
          </cell>
          <cell r="I1673" t="str">
            <v>-</v>
          </cell>
          <cell r="J1673">
            <v>31424</v>
          </cell>
          <cell r="K1673">
            <v>21.5</v>
          </cell>
          <cell r="L1673">
            <v>0.1</v>
          </cell>
          <cell r="N1673">
            <v>2015</v>
          </cell>
          <cell r="O1673" t="e">
            <v>#N/A</v>
          </cell>
          <cell r="P1673" t="e">
            <v>#N/A</v>
          </cell>
        </row>
        <row r="1674">
          <cell r="B1674" t="str">
            <v>University of the Andes, Colombia</v>
          </cell>
          <cell r="C1674" t="str">
            <v>Colombia</v>
          </cell>
          <cell r="D1674" t="str">
            <v>251-275</v>
          </cell>
          <cell r="E1674">
            <v>54.6</v>
          </cell>
          <cell r="F1674">
            <v>12.1</v>
          </cell>
          <cell r="G1674">
            <v>89.8</v>
          </cell>
          <cell r="H1674">
            <v>36.5</v>
          </cell>
          <cell r="I1674" t="str">
            <v>-</v>
          </cell>
          <cell r="J1674">
            <v>15773</v>
          </cell>
          <cell r="K1674">
            <v>16.899999999999999</v>
          </cell>
          <cell r="L1674">
            <v>0.02</v>
          </cell>
          <cell r="M1674">
            <v>1.8722222222222222</v>
          </cell>
          <cell r="N1674">
            <v>2015</v>
          </cell>
          <cell r="O1674" t="e">
            <v>#N/A</v>
          </cell>
          <cell r="P1674" t="e">
            <v>#N/A</v>
          </cell>
        </row>
        <row r="1675">
          <cell r="B1675" t="str">
            <v>University of the Witwatersrand</v>
          </cell>
          <cell r="C1675" t="str">
            <v>South Africa</v>
          </cell>
          <cell r="D1675" t="str">
            <v>251-275</v>
          </cell>
          <cell r="E1675">
            <v>66.3</v>
          </cell>
          <cell r="F1675">
            <v>21.7</v>
          </cell>
          <cell r="G1675">
            <v>67.3</v>
          </cell>
          <cell r="H1675">
            <v>94.8</v>
          </cell>
          <cell r="I1675" t="str">
            <v>-</v>
          </cell>
          <cell r="J1675">
            <v>23321</v>
          </cell>
          <cell r="K1675">
            <v>18.600000000000001</v>
          </cell>
          <cell r="L1675">
            <v>0.09</v>
          </cell>
          <cell r="M1675">
            <v>2.3638888888888889</v>
          </cell>
          <cell r="N1675">
            <v>2015</v>
          </cell>
          <cell r="O1675">
            <v>114</v>
          </cell>
          <cell r="P1675">
            <v>1</v>
          </cell>
        </row>
        <row r="1676">
          <cell r="B1676" t="str">
            <v>University of Trento</v>
          </cell>
          <cell r="C1676" t="str">
            <v>Italy</v>
          </cell>
          <cell r="D1676" t="str">
            <v>251-275</v>
          </cell>
          <cell r="E1676">
            <v>57.3</v>
          </cell>
          <cell r="F1676">
            <v>20.3</v>
          </cell>
          <cell r="G1676">
            <v>70.3</v>
          </cell>
          <cell r="H1676">
            <v>46</v>
          </cell>
          <cell r="I1676" t="str">
            <v>-</v>
          </cell>
          <cell r="J1676">
            <v>16841</v>
          </cell>
          <cell r="K1676">
            <v>43.2</v>
          </cell>
          <cell r="L1676">
            <v>0.08</v>
          </cell>
          <cell r="M1676">
            <v>2.1590277777777778</v>
          </cell>
          <cell r="N1676">
            <v>2015</v>
          </cell>
          <cell r="O1676">
            <v>597</v>
          </cell>
          <cell r="P1676">
            <v>33</v>
          </cell>
        </row>
        <row r="1677">
          <cell r="B1677" t="str">
            <v>University of Turin</v>
          </cell>
          <cell r="C1677" t="str">
            <v>Italy</v>
          </cell>
          <cell r="D1677" t="str">
            <v>251-275</v>
          </cell>
          <cell r="E1677">
            <v>39.299999999999997</v>
          </cell>
          <cell r="F1677">
            <v>20.3</v>
          </cell>
          <cell r="G1677">
            <v>72.5</v>
          </cell>
          <cell r="H1677">
            <v>40.799999999999997</v>
          </cell>
          <cell r="I1677" t="str">
            <v>-</v>
          </cell>
          <cell r="J1677">
            <v>67552</v>
          </cell>
          <cell r="K1677">
            <v>66</v>
          </cell>
          <cell r="L1677">
            <v>0.06</v>
          </cell>
          <cell r="M1677">
            <v>2.6097222222222221</v>
          </cell>
          <cell r="N1677">
            <v>2015</v>
          </cell>
          <cell r="O1677">
            <v>231</v>
          </cell>
          <cell r="P1677">
            <v>5</v>
          </cell>
        </row>
        <row r="1678">
          <cell r="B1678" t="str">
            <v>University of Waterloo</v>
          </cell>
          <cell r="C1678" t="str">
            <v>Canada</v>
          </cell>
          <cell r="D1678" t="str">
            <v>251-275</v>
          </cell>
          <cell r="E1678">
            <v>63.1</v>
          </cell>
          <cell r="F1678">
            <v>40.4</v>
          </cell>
          <cell r="G1678">
            <v>47</v>
          </cell>
          <cell r="H1678">
            <v>41.7</v>
          </cell>
          <cell r="I1678" t="str">
            <v>-</v>
          </cell>
          <cell r="J1678">
            <v>30726</v>
          </cell>
          <cell r="K1678">
            <v>24.2</v>
          </cell>
          <cell r="L1678">
            <v>0.14000000000000001</v>
          </cell>
          <cell r="M1678">
            <v>1.9131944444444444</v>
          </cell>
          <cell r="N1678">
            <v>2015</v>
          </cell>
          <cell r="O1678">
            <v>280</v>
          </cell>
          <cell r="P1678">
            <v>13</v>
          </cell>
        </row>
        <row r="1679">
          <cell r="B1679" t="str">
            <v>Chalmers University of Technology</v>
          </cell>
          <cell r="C1679" t="str">
            <v>Sweden</v>
          </cell>
          <cell r="D1679" t="str">
            <v>276-300</v>
          </cell>
          <cell r="E1679">
            <v>62.5</v>
          </cell>
          <cell r="F1679">
            <v>32.799999999999997</v>
          </cell>
          <cell r="G1679">
            <v>40.799999999999997</v>
          </cell>
          <cell r="H1679">
            <v>75.8</v>
          </cell>
          <cell r="I1679" t="str">
            <v>-</v>
          </cell>
          <cell r="J1679">
            <v>8605</v>
          </cell>
          <cell r="K1679">
            <v>11.6</v>
          </cell>
          <cell r="L1679">
            <v>0.15</v>
          </cell>
          <cell r="M1679" t="str">
            <v>30 : 70</v>
          </cell>
          <cell r="N1679">
            <v>2015</v>
          </cell>
          <cell r="O1679">
            <v>395</v>
          </cell>
          <cell r="P1679">
            <v>9</v>
          </cell>
        </row>
        <row r="1680">
          <cell r="B1680" t="str">
            <v>Colorado State University</v>
          </cell>
          <cell r="C1680" t="str">
            <v>United States of America</v>
          </cell>
          <cell r="D1680" t="str">
            <v>276-300</v>
          </cell>
          <cell r="E1680">
            <v>30.4</v>
          </cell>
          <cell r="F1680">
            <v>31.3</v>
          </cell>
          <cell r="G1680">
            <v>59.9</v>
          </cell>
          <cell r="H1680">
            <v>38.799999999999997</v>
          </cell>
          <cell r="I1680" t="str">
            <v>-</v>
          </cell>
          <cell r="J1680">
            <v>26769</v>
          </cell>
          <cell r="K1680">
            <v>19</v>
          </cell>
          <cell r="L1680">
            <v>0.05</v>
          </cell>
          <cell r="M1680">
            <v>2.2000000000000002</v>
          </cell>
          <cell r="N1680">
            <v>2015</v>
          </cell>
          <cell r="O1680" t="e">
            <v>#N/A</v>
          </cell>
          <cell r="P1680" t="e">
            <v>#N/A</v>
          </cell>
        </row>
        <row r="1681">
          <cell r="B1681" t="str">
            <v>Indian Institute of Science</v>
          </cell>
          <cell r="C1681" t="str">
            <v>India</v>
          </cell>
          <cell r="D1681" t="str">
            <v>276-300</v>
          </cell>
          <cell r="E1681">
            <v>18.2</v>
          </cell>
          <cell r="F1681">
            <v>39.5</v>
          </cell>
          <cell r="G1681">
            <v>51.6</v>
          </cell>
          <cell r="H1681">
            <v>37.9</v>
          </cell>
          <cell r="I1681" t="str">
            <v>-</v>
          </cell>
          <cell r="J1681">
            <v>3318</v>
          </cell>
          <cell r="K1681">
            <v>8.1999999999999993</v>
          </cell>
          <cell r="L1681">
            <v>0.01</v>
          </cell>
          <cell r="M1681">
            <v>0.84791666666666665</v>
          </cell>
          <cell r="N1681">
            <v>2015</v>
          </cell>
          <cell r="O1681">
            <v>501</v>
          </cell>
          <cell r="P1681">
            <v>3</v>
          </cell>
        </row>
        <row r="1682">
          <cell r="B1682" t="str">
            <v>Lappeenranta University of Technology</v>
          </cell>
          <cell r="C1682" t="str">
            <v>Finland</v>
          </cell>
          <cell r="D1682" t="str">
            <v>276-300</v>
          </cell>
          <cell r="E1682">
            <v>59.1</v>
          </cell>
          <cell r="F1682">
            <v>25.5</v>
          </cell>
          <cell r="G1682">
            <v>59.9</v>
          </cell>
          <cell r="H1682">
            <v>73.8</v>
          </cell>
          <cell r="I1682" t="str">
            <v>-</v>
          </cell>
          <cell r="J1682">
            <v>3486</v>
          </cell>
          <cell r="K1682">
            <v>23.9</v>
          </cell>
          <cell r="L1682">
            <v>0.19</v>
          </cell>
          <cell r="M1682" t="str">
            <v>31 : 69</v>
          </cell>
          <cell r="N1682">
            <v>2015</v>
          </cell>
          <cell r="O1682" t="e">
            <v>#N/A</v>
          </cell>
          <cell r="P1682" t="e">
            <v>#N/A</v>
          </cell>
        </row>
        <row r="1683">
          <cell r="B1683" t="str">
            <v>Montpellier University</v>
          </cell>
          <cell r="C1683" t="str">
            <v>France</v>
          </cell>
          <cell r="D1683" t="str">
            <v>276-300</v>
          </cell>
          <cell r="E1683">
            <v>56.6</v>
          </cell>
          <cell r="F1683">
            <v>22.5</v>
          </cell>
          <cell r="G1683">
            <v>67.400000000000006</v>
          </cell>
          <cell r="H1683">
            <v>33.6</v>
          </cell>
          <cell r="I1683" t="str">
            <v>-</v>
          </cell>
          <cell r="J1683">
            <v>36731</v>
          </cell>
          <cell r="K1683">
            <v>18.399999999999999</v>
          </cell>
          <cell r="L1683">
            <v>0.14000000000000001</v>
          </cell>
          <cell r="M1683">
            <v>2.1590277777777778</v>
          </cell>
          <cell r="N1683">
            <v>2015</v>
          </cell>
          <cell r="O1683" t="e">
            <v>#N/A</v>
          </cell>
          <cell r="P1683" t="e">
            <v>#N/A</v>
          </cell>
        </row>
        <row r="1684">
          <cell r="B1684" t="str">
            <v>National Chiao Tung University</v>
          </cell>
          <cell r="C1684" t="str">
            <v>Taiwan</v>
          </cell>
          <cell r="D1684" t="str">
            <v>276-300</v>
          </cell>
          <cell r="E1684">
            <v>30.7</v>
          </cell>
          <cell r="F1684">
            <v>40.700000000000003</v>
          </cell>
          <cell r="G1684">
            <v>40.4</v>
          </cell>
          <cell r="H1684">
            <v>98.2</v>
          </cell>
          <cell r="I1684" t="str">
            <v>-</v>
          </cell>
          <cell r="J1684">
            <v>12646</v>
          </cell>
          <cell r="K1684">
            <v>16.600000000000001</v>
          </cell>
          <cell r="L1684">
            <v>0.05</v>
          </cell>
          <cell r="M1684" t="str">
            <v>27 : 73</v>
          </cell>
          <cell r="N1684">
            <v>2015</v>
          </cell>
          <cell r="O1684">
            <v>411</v>
          </cell>
          <cell r="P1684">
            <v>3</v>
          </cell>
        </row>
        <row r="1685">
          <cell r="B1685" t="str">
            <v>Norwegian University of Science and Technology</v>
          </cell>
          <cell r="C1685" t="str">
            <v>Norway</v>
          </cell>
          <cell r="D1685" t="str">
            <v>276-300</v>
          </cell>
          <cell r="E1685">
            <v>54.7</v>
          </cell>
          <cell r="F1685">
            <v>29.6</v>
          </cell>
          <cell r="G1685">
            <v>49.6</v>
          </cell>
          <cell r="H1685">
            <v>45</v>
          </cell>
          <cell r="I1685" t="str">
            <v>-</v>
          </cell>
          <cell r="J1685">
            <v>17381</v>
          </cell>
          <cell r="K1685">
            <v>13.9</v>
          </cell>
          <cell r="L1685">
            <v>0.09</v>
          </cell>
          <cell r="M1685">
            <v>1.9541666666666666</v>
          </cell>
          <cell r="N1685">
            <v>2015</v>
          </cell>
          <cell r="O1685">
            <v>286</v>
          </cell>
          <cell r="P1685">
            <v>2</v>
          </cell>
        </row>
        <row r="1686">
          <cell r="B1686" t="str">
            <v>Panjab University</v>
          </cell>
          <cell r="C1686" t="str">
            <v>India</v>
          </cell>
          <cell r="D1686" t="str">
            <v>276-300</v>
          </cell>
          <cell r="E1686">
            <v>29.2</v>
          </cell>
          <cell r="F1686">
            <v>10.5</v>
          </cell>
          <cell r="G1686">
            <v>84.4</v>
          </cell>
          <cell r="H1686">
            <v>28.3</v>
          </cell>
          <cell r="I1686" t="str">
            <v>-</v>
          </cell>
          <cell r="J1686">
            <v>16691</v>
          </cell>
          <cell r="K1686">
            <v>23.9</v>
          </cell>
          <cell r="L1686">
            <v>0.01</v>
          </cell>
          <cell r="M1686">
            <v>1.9541666666666666</v>
          </cell>
          <cell r="N1686">
            <v>2015</v>
          </cell>
          <cell r="O1686">
            <v>543</v>
          </cell>
          <cell r="P1686">
            <v>5</v>
          </cell>
        </row>
        <row r="1687">
          <cell r="B1687" t="str">
            <v>Plymouth University</v>
          </cell>
          <cell r="C1687" t="str">
            <v>United Kingdom</v>
          </cell>
          <cell r="D1687" t="str">
            <v>276-300</v>
          </cell>
          <cell r="E1687">
            <v>51.3</v>
          </cell>
          <cell r="F1687">
            <v>18.100000000000001</v>
          </cell>
          <cell r="G1687">
            <v>80.5</v>
          </cell>
          <cell r="H1687">
            <v>28.8</v>
          </cell>
          <cell r="I1687" t="str">
            <v>-</v>
          </cell>
          <cell r="J1687">
            <v>24121</v>
          </cell>
          <cell r="K1687">
            <v>25.9</v>
          </cell>
          <cell r="L1687">
            <v>0.13</v>
          </cell>
          <cell r="M1687">
            <v>2.2000000000000002</v>
          </cell>
          <cell r="N1687">
            <v>2015</v>
          </cell>
          <cell r="O1687">
            <v>577</v>
          </cell>
          <cell r="P1687">
            <v>45</v>
          </cell>
        </row>
        <row r="1688">
          <cell r="B1688" t="str">
            <v>Queensland University of Technology</v>
          </cell>
          <cell r="C1688" t="str">
            <v>Australia</v>
          </cell>
          <cell r="D1688" t="str">
            <v>276-300</v>
          </cell>
          <cell r="E1688">
            <v>69.8</v>
          </cell>
          <cell r="F1688">
            <v>36</v>
          </cell>
          <cell r="G1688">
            <v>42.9</v>
          </cell>
          <cell r="H1688">
            <v>71.900000000000006</v>
          </cell>
          <cell r="I1688" t="str">
            <v>-</v>
          </cell>
          <cell r="J1688">
            <v>33391</v>
          </cell>
          <cell r="K1688">
            <v>35.799999999999997</v>
          </cell>
          <cell r="L1688">
            <v>0.17</v>
          </cell>
          <cell r="M1688">
            <v>2.2819444444444446</v>
          </cell>
          <cell r="N1688">
            <v>2015</v>
          </cell>
          <cell r="O1688">
            <v>605</v>
          </cell>
          <cell r="P1688">
            <v>14</v>
          </cell>
        </row>
        <row r="1689">
          <cell r="B1689" t="str">
            <v>Shanghai Jiao Tong University</v>
          </cell>
          <cell r="C1689" t="str">
            <v>China</v>
          </cell>
          <cell r="D1689" t="str">
            <v>276-300</v>
          </cell>
          <cell r="E1689">
            <v>23.9</v>
          </cell>
          <cell r="F1689">
            <v>37.9</v>
          </cell>
          <cell r="G1689">
            <v>38.9</v>
          </cell>
          <cell r="H1689">
            <v>88.4</v>
          </cell>
          <cell r="I1689" t="str">
            <v>-</v>
          </cell>
          <cell r="J1689">
            <v>38191</v>
          </cell>
          <cell r="K1689">
            <v>12.8</v>
          </cell>
          <cell r="L1689">
            <v>0.06</v>
          </cell>
          <cell r="M1689" t="str">
            <v>37 : 63</v>
          </cell>
          <cell r="N1689">
            <v>2015</v>
          </cell>
          <cell r="O1689">
            <v>195</v>
          </cell>
          <cell r="P1689">
            <v>4</v>
          </cell>
        </row>
        <row r="1690">
          <cell r="B1690" t="str">
            <v>Stellenbosch University</v>
          </cell>
          <cell r="C1690" t="str">
            <v>South Africa</v>
          </cell>
          <cell r="D1690" t="str">
            <v>276-300</v>
          </cell>
          <cell r="E1690">
            <v>47.8</v>
          </cell>
          <cell r="F1690">
            <v>31.2</v>
          </cell>
          <cell r="G1690">
            <v>45.6</v>
          </cell>
          <cell r="H1690">
            <v>94.7</v>
          </cell>
          <cell r="I1690" t="str">
            <v>-</v>
          </cell>
          <cell r="J1690">
            <v>21849</v>
          </cell>
          <cell r="K1690">
            <v>23</v>
          </cell>
          <cell r="L1690">
            <v>0.08</v>
          </cell>
          <cell r="M1690">
            <v>2.2409722222222221</v>
          </cell>
          <cell r="N1690">
            <v>2015</v>
          </cell>
          <cell r="O1690">
            <v>311</v>
          </cell>
          <cell r="P1690">
            <v>3</v>
          </cell>
        </row>
        <row r="1691">
          <cell r="B1691" t="str">
            <v>Tilburg University</v>
          </cell>
          <cell r="C1691" t="str">
            <v>Netherlands</v>
          </cell>
          <cell r="D1691" t="str">
            <v>276-300</v>
          </cell>
          <cell r="E1691">
            <v>62.2</v>
          </cell>
          <cell r="F1691">
            <v>45.1</v>
          </cell>
          <cell r="G1691">
            <v>34.9</v>
          </cell>
          <cell r="H1691">
            <v>55.1</v>
          </cell>
          <cell r="I1691" t="str">
            <v>-</v>
          </cell>
          <cell r="J1691">
            <v>7576</v>
          </cell>
          <cell r="K1691">
            <v>22.4</v>
          </cell>
          <cell r="L1691">
            <v>0.1</v>
          </cell>
          <cell r="M1691">
            <v>2.0770833333333334</v>
          </cell>
          <cell r="N1691">
            <v>2015</v>
          </cell>
          <cell r="O1691">
            <v>614</v>
          </cell>
          <cell r="P1691">
            <v>13</v>
          </cell>
        </row>
        <row r="1692">
          <cell r="B1692" t="str">
            <v>Tokyo Medical and Dental University (TMDU)</v>
          </cell>
          <cell r="C1692" t="str">
            <v>Japan</v>
          </cell>
          <cell r="D1692" t="str">
            <v>276-300</v>
          </cell>
          <cell r="E1692">
            <v>21.8</v>
          </cell>
          <cell r="F1692">
            <v>22.9</v>
          </cell>
          <cell r="G1692">
            <v>51.1</v>
          </cell>
          <cell r="H1692">
            <v>56.9</v>
          </cell>
          <cell r="I1692" t="str">
            <v>-</v>
          </cell>
          <cell r="J1692">
            <v>2872</v>
          </cell>
          <cell r="K1692">
            <v>3.3</v>
          </cell>
          <cell r="L1692">
            <v>7.0000000000000007E-2</v>
          </cell>
          <cell r="M1692">
            <v>2.1590277777777778</v>
          </cell>
          <cell r="N1692">
            <v>2015</v>
          </cell>
          <cell r="O1692" t="e">
            <v>#N/A</v>
          </cell>
          <cell r="P1692" t="e">
            <v>#N/A</v>
          </cell>
        </row>
        <row r="1693">
          <cell r="B1693" t="str">
            <v>University College Cork</v>
          </cell>
          <cell r="C1693" t="str">
            <v>Republic of Ireland</v>
          </cell>
          <cell r="D1693" t="str">
            <v>276-300</v>
          </cell>
          <cell r="E1693">
            <v>70.8</v>
          </cell>
          <cell r="F1693">
            <v>22.2</v>
          </cell>
          <cell r="G1693">
            <v>56.9</v>
          </cell>
          <cell r="H1693">
            <v>45.9</v>
          </cell>
          <cell r="I1693" t="str">
            <v>-</v>
          </cell>
          <cell r="J1693">
            <v>15805</v>
          </cell>
          <cell r="K1693">
            <v>22.3</v>
          </cell>
          <cell r="L1693">
            <v>0.15</v>
          </cell>
          <cell r="M1693">
            <v>2.3229166666666665</v>
          </cell>
          <cell r="N1693">
            <v>2015</v>
          </cell>
          <cell r="O1693">
            <v>463</v>
          </cell>
          <cell r="P1693">
            <v>3</v>
          </cell>
        </row>
        <row r="1694">
          <cell r="B1694" t="str">
            <v>University of Bologna</v>
          </cell>
          <cell r="C1694" t="str">
            <v>Italy</v>
          </cell>
          <cell r="D1694" t="str">
            <v>276-300</v>
          </cell>
          <cell r="E1694">
            <v>43.1</v>
          </cell>
          <cell r="F1694">
            <v>23.2</v>
          </cell>
          <cell r="G1694">
            <v>64.5</v>
          </cell>
          <cell r="H1694">
            <v>34.9</v>
          </cell>
          <cell r="I1694" t="str">
            <v>-</v>
          </cell>
          <cell r="J1694">
            <v>85532</v>
          </cell>
          <cell r="K1694">
            <v>22.9</v>
          </cell>
          <cell r="L1694">
            <v>7.0000000000000007E-2</v>
          </cell>
          <cell r="M1694">
            <v>2.3638888888888889</v>
          </cell>
          <cell r="N1694">
            <v>2015</v>
          </cell>
          <cell r="O1694">
            <v>219</v>
          </cell>
          <cell r="P1694">
            <v>4</v>
          </cell>
        </row>
        <row r="1695">
          <cell r="B1695" t="str">
            <v>University of Cincinnati</v>
          </cell>
          <cell r="C1695" t="str">
            <v>United States of America</v>
          </cell>
          <cell r="D1695" t="str">
            <v>276-300</v>
          </cell>
          <cell r="E1695">
            <v>26</v>
          </cell>
          <cell r="F1695">
            <v>22.4</v>
          </cell>
          <cell r="G1695">
            <v>67.8</v>
          </cell>
          <cell r="H1695">
            <v>35.6</v>
          </cell>
          <cell r="I1695" t="str">
            <v>-</v>
          </cell>
          <cell r="J1695">
            <v>36108</v>
          </cell>
          <cell r="K1695">
            <v>15.7</v>
          </cell>
          <cell r="L1695">
            <v>0.06</v>
          </cell>
          <cell r="M1695">
            <v>2.2819444444444446</v>
          </cell>
          <cell r="N1695">
            <v>2015</v>
          </cell>
          <cell r="O1695">
            <v>177</v>
          </cell>
          <cell r="P1695">
            <v>78</v>
          </cell>
        </row>
        <row r="1696">
          <cell r="B1696" t="str">
            <v>University of Erlangen-Nuremberg</v>
          </cell>
          <cell r="C1696" t="str">
            <v>Germany</v>
          </cell>
          <cell r="D1696" t="str">
            <v>276-300</v>
          </cell>
          <cell r="E1696">
            <v>49</v>
          </cell>
          <cell r="F1696">
            <v>15.3</v>
          </cell>
          <cell r="G1696">
            <v>68.7</v>
          </cell>
          <cell r="H1696">
            <v>46.8</v>
          </cell>
          <cell r="I1696" t="str">
            <v>-</v>
          </cell>
          <cell r="J1696">
            <v>36146</v>
          </cell>
          <cell r="K1696">
            <v>53.9</v>
          </cell>
          <cell r="L1696">
            <v>0.09</v>
          </cell>
          <cell r="M1696">
            <v>2.0770833333333334</v>
          </cell>
          <cell r="N1696">
            <v>2015</v>
          </cell>
          <cell r="O1696">
            <v>213</v>
          </cell>
          <cell r="P1696">
            <v>14</v>
          </cell>
        </row>
        <row r="1697">
          <cell r="B1697" t="str">
            <v>University of Fribourg</v>
          </cell>
          <cell r="C1697" t="str">
            <v>Switzerland</v>
          </cell>
          <cell r="D1697" t="str">
            <v>276-300</v>
          </cell>
          <cell r="E1697">
            <v>84.4</v>
          </cell>
          <cell r="F1697">
            <v>19.7</v>
          </cell>
          <cell r="G1697">
            <v>58.6</v>
          </cell>
          <cell r="H1697">
            <v>48.2</v>
          </cell>
          <cell r="I1697" t="str">
            <v>-</v>
          </cell>
          <cell r="J1697">
            <v>10416</v>
          </cell>
          <cell r="K1697">
            <v>46.9</v>
          </cell>
          <cell r="L1697">
            <v>0.19</v>
          </cell>
          <cell r="M1697">
            <v>2.4458333333333333</v>
          </cell>
          <cell r="N1697">
            <v>2015</v>
          </cell>
          <cell r="O1697">
            <v>514</v>
          </cell>
          <cell r="P1697">
            <v>8</v>
          </cell>
        </row>
        <row r="1698">
          <cell r="B1698" t="str">
            <v>University of Georgia</v>
          </cell>
          <cell r="C1698" t="str">
            <v>United States of America</v>
          </cell>
          <cell r="D1698" t="str">
            <v>276-300</v>
          </cell>
          <cell r="E1698">
            <v>35.299999999999997</v>
          </cell>
          <cell r="F1698">
            <v>28.9</v>
          </cell>
          <cell r="G1698">
            <v>46.6</v>
          </cell>
          <cell r="H1698">
            <v>31.1</v>
          </cell>
          <cell r="I1698" t="str">
            <v>-</v>
          </cell>
          <cell r="J1698">
            <v>33119</v>
          </cell>
          <cell r="K1698">
            <v>19.899999999999999</v>
          </cell>
          <cell r="L1698">
            <v>7.0000000000000007E-2</v>
          </cell>
          <cell r="M1698">
            <v>2.4048611111111109</v>
          </cell>
          <cell r="N1698">
            <v>2015</v>
          </cell>
          <cell r="O1698">
            <v>207</v>
          </cell>
          <cell r="P1698">
            <v>87</v>
          </cell>
        </row>
        <row r="1699">
          <cell r="B1699" t="str">
            <v>University of Macau</v>
          </cell>
          <cell r="C1699" t="str">
            <v>Macau</v>
          </cell>
          <cell r="D1699" t="str">
            <v>276-300</v>
          </cell>
          <cell r="E1699">
            <v>73.3</v>
          </cell>
          <cell r="F1699">
            <v>20.3</v>
          </cell>
          <cell r="G1699">
            <v>68.099999999999994</v>
          </cell>
          <cell r="H1699">
            <v>33.6</v>
          </cell>
          <cell r="I1699" t="str">
            <v>-</v>
          </cell>
          <cell r="J1699">
            <v>8521</v>
          </cell>
          <cell r="K1699">
            <v>14.9</v>
          </cell>
          <cell r="L1699">
            <v>0.31</v>
          </cell>
          <cell r="M1699">
            <v>2.4458333333333333</v>
          </cell>
          <cell r="N1699">
            <v>2015</v>
          </cell>
          <cell r="O1699" t="e">
            <v>#N/A</v>
          </cell>
          <cell r="P1699" t="e">
            <v>#N/A</v>
          </cell>
        </row>
        <row r="1700">
          <cell r="B1700" t="str">
            <v>University of Milan</v>
          </cell>
          <cell r="C1700" t="str">
            <v>Italy</v>
          </cell>
          <cell r="D1700" t="str">
            <v>276-300</v>
          </cell>
          <cell r="E1700">
            <v>37.4</v>
          </cell>
          <cell r="F1700">
            <v>22.9</v>
          </cell>
          <cell r="G1700">
            <v>66.900000000000006</v>
          </cell>
          <cell r="H1700">
            <v>40.1</v>
          </cell>
          <cell r="I1700" t="str">
            <v>-</v>
          </cell>
          <cell r="J1700">
            <v>58618</v>
          </cell>
          <cell r="K1700">
            <v>24.3</v>
          </cell>
          <cell r="L1700">
            <v>0.05</v>
          </cell>
          <cell r="M1700">
            <v>2.5277777777777777</v>
          </cell>
          <cell r="N1700">
            <v>2015</v>
          </cell>
          <cell r="O1700">
            <v>181</v>
          </cell>
          <cell r="P1700">
            <v>2</v>
          </cell>
        </row>
        <row r="1701">
          <cell r="B1701" t="str">
            <v>University of Nebraska-Lincoln</v>
          </cell>
          <cell r="C1701" t="str">
            <v>United States of America</v>
          </cell>
          <cell r="D1701" t="str">
            <v>276-300</v>
          </cell>
          <cell r="E1701">
            <v>47.8</v>
          </cell>
          <cell r="F1701">
            <v>24.4</v>
          </cell>
          <cell r="G1701">
            <v>57.5</v>
          </cell>
          <cell r="H1701">
            <v>35</v>
          </cell>
          <cell r="I1701" t="str">
            <v>-</v>
          </cell>
          <cell r="J1701">
            <v>21789</v>
          </cell>
          <cell r="K1701">
            <v>16.399999999999999</v>
          </cell>
          <cell r="L1701">
            <v>0.09</v>
          </cell>
          <cell r="M1701">
            <v>1.9541666666666666</v>
          </cell>
          <cell r="N1701">
            <v>2015</v>
          </cell>
          <cell r="O1701" t="e">
            <v>#N/A</v>
          </cell>
          <cell r="P1701" t="e">
            <v>#N/A</v>
          </cell>
        </row>
        <row r="1702">
          <cell r="B1702" t="str">
            <v>University of South Australia</v>
          </cell>
          <cell r="C1702" t="str">
            <v>Australia</v>
          </cell>
          <cell r="D1702" t="str">
            <v>276-300</v>
          </cell>
          <cell r="E1702">
            <v>80.8</v>
          </cell>
          <cell r="F1702">
            <v>24</v>
          </cell>
          <cell r="G1702">
            <v>52.7</v>
          </cell>
          <cell r="H1702">
            <v>83.9</v>
          </cell>
          <cell r="I1702" t="str">
            <v>-</v>
          </cell>
          <cell r="J1702">
            <v>18971</v>
          </cell>
          <cell r="K1702">
            <v>26.2</v>
          </cell>
          <cell r="L1702">
            <v>0.32</v>
          </cell>
          <cell r="M1702">
            <v>2.4868055555555557</v>
          </cell>
          <cell r="N1702">
            <v>2015</v>
          </cell>
          <cell r="O1702">
            <v>723</v>
          </cell>
          <cell r="P1702">
            <v>20</v>
          </cell>
        </row>
        <row r="1703">
          <cell r="B1703" t="str">
            <v>University of South Carolina</v>
          </cell>
          <cell r="C1703" t="str">
            <v>United States of America</v>
          </cell>
          <cell r="D1703" t="str">
            <v>276-300</v>
          </cell>
          <cell r="E1703">
            <v>37.299999999999997</v>
          </cell>
          <cell r="F1703">
            <v>27.5</v>
          </cell>
          <cell r="G1703">
            <v>55.1</v>
          </cell>
          <cell r="H1703">
            <v>31.8</v>
          </cell>
          <cell r="I1703" t="str">
            <v>-</v>
          </cell>
          <cell r="J1703">
            <v>29336</v>
          </cell>
          <cell r="K1703">
            <v>16.3</v>
          </cell>
          <cell r="L1703">
            <v>0.01</v>
          </cell>
          <cell r="M1703">
            <v>2.3229166666666665</v>
          </cell>
          <cell r="N1703">
            <v>2015</v>
          </cell>
          <cell r="O1703" t="e">
            <v>#N/A</v>
          </cell>
          <cell r="P1703" t="e">
            <v>#N/A</v>
          </cell>
        </row>
        <row r="1704">
          <cell r="B1704" t="str">
            <v>University of Wollongong</v>
          </cell>
          <cell r="C1704" t="str">
            <v>Australia</v>
          </cell>
          <cell r="D1704" t="str">
            <v>276-300</v>
          </cell>
          <cell r="E1704">
            <v>80.400000000000006</v>
          </cell>
          <cell r="F1704">
            <v>27.8</v>
          </cell>
          <cell r="G1704">
            <v>55.1</v>
          </cell>
          <cell r="H1704">
            <v>44.7</v>
          </cell>
          <cell r="I1704" t="str">
            <v>-</v>
          </cell>
          <cell r="J1704">
            <v>16489</v>
          </cell>
          <cell r="K1704">
            <v>25.4</v>
          </cell>
          <cell r="L1704">
            <v>0.24</v>
          </cell>
          <cell r="M1704">
            <v>2.1180555555555554</v>
          </cell>
          <cell r="N1704">
            <v>2015</v>
          </cell>
          <cell r="O1704">
            <v>506</v>
          </cell>
          <cell r="P1704">
            <v>10</v>
          </cell>
        </row>
        <row r="1705">
          <cell r="B1705" t="str">
            <v>Victoria University of Wellington</v>
          </cell>
          <cell r="C1705" t="str">
            <v>New Zealand</v>
          </cell>
          <cell r="D1705" t="str">
            <v>276-300</v>
          </cell>
          <cell r="E1705">
            <v>84.2</v>
          </cell>
          <cell r="F1705">
            <v>28.5</v>
          </cell>
          <cell r="G1705">
            <v>53.8</v>
          </cell>
          <cell r="H1705">
            <v>49.7</v>
          </cell>
          <cell r="I1705" t="str">
            <v>-</v>
          </cell>
          <cell r="J1705">
            <v>17142</v>
          </cell>
          <cell r="K1705">
            <v>21.1</v>
          </cell>
          <cell r="L1705">
            <v>0.21</v>
          </cell>
          <cell r="M1705">
            <v>2.3229166666666665</v>
          </cell>
          <cell r="N1705">
            <v>2015</v>
          </cell>
          <cell r="O1705">
            <v>527</v>
          </cell>
          <cell r="P1705">
            <v>4</v>
          </cell>
        </row>
        <row r="1706">
          <cell r="B1706" t="str">
            <v>Virginia Polytechnic Institute and State University</v>
          </cell>
          <cell r="C1706" t="str">
            <v>United States of America</v>
          </cell>
          <cell r="D1706" t="str">
            <v>276-300</v>
          </cell>
          <cell r="E1706">
            <v>28.9</v>
          </cell>
          <cell r="F1706">
            <v>40</v>
          </cell>
          <cell r="G1706">
            <v>40.700000000000003</v>
          </cell>
          <cell r="H1706">
            <v>42.6</v>
          </cell>
          <cell r="I1706" t="str">
            <v>-</v>
          </cell>
          <cell r="J1706">
            <v>30850</v>
          </cell>
          <cell r="K1706">
            <v>18.600000000000001</v>
          </cell>
          <cell r="L1706">
            <v>0.1</v>
          </cell>
          <cell r="M1706">
            <v>1.7902777777777779</v>
          </cell>
          <cell r="N1706">
            <v>2015</v>
          </cell>
          <cell r="O1706">
            <v>271</v>
          </cell>
          <cell r="P1706">
            <v>111</v>
          </cell>
        </row>
        <row r="1707">
          <cell r="B1707" t="str">
            <v>Autonomous University of Madrid</v>
          </cell>
          <cell r="C1707" t="str">
            <v>Spain</v>
          </cell>
          <cell r="D1707" t="str">
            <v>301-350</v>
          </cell>
          <cell r="E1707">
            <v>48.8</v>
          </cell>
          <cell r="F1707">
            <v>19.3</v>
          </cell>
          <cell r="G1707">
            <v>59.7</v>
          </cell>
          <cell r="H1707">
            <v>32.200000000000003</v>
          </cell>
          <cell r="I1707" t="str">
            <v>-</v>
          </cell>
          <cell r="J1707">
            <v>28296</v>
          </cell>
          <cell r="K1707">
            <v>13</v>
          </cell>
          <cell r="L1707">
            <v>0.15</v>
          </cell>
          <cell r="M1707">
            <v>2.3638888888888889</v>
          </cell>
          <cell r="N1707">
            <v>2015</v>
          </cell>
          <cell r="O1707">
            <v>309</v>
          </cell>
          <cell r="P1707">
            <v>5</v>
          </cell>
        </row>
        <row r="1708">
          <cell r="B1708" t="str">
            <v>Bangor University</v>
          </cell>
          <cell r="C1708" t="str">
            <v>United Kingdom</v>
          </cell>
          <cell r="D1708" t="str">
            <v>301-350</v>
          </cell>
          <cell r="E1708">
            <v>73.099999999999994</v>
          </cell>
          <cell r="F1708">
            <v>23</v>
          </cell>
          <cell r="G1708">
            <v>55.8</v>
          </cell>
          <cell r="H1708">
            <v>31.1</v>
          </cell>
          <cell r="I1708" t="str">
            <v>-</v>
          </cell>
          <cell r="J1708">
            <v>9567</v>
          </cell>
          <cell r="K1708">
            <v>19.5</v>
          </cell>
          <cell r="L1708">
            <v>0.22</v>
          </cell>
          <cell r="M1708">
            <v>2.3229166666666665</v>
          </cell>
          <cell r="N1708">
            <v>2015</v>
          </cell>
          <cell r="O1708">
            <v>552</v>
          </cell>
          <cell r="P1708">
            <v>43</v>
          </cell>
        </row>
        <row r="1709">
          <cell r="B1709" t="str">
            <v>Charles Darwin University</v>
          </cell>
          <cell r="C1709" t="str">
            <v>Australia</v>
          </cell>
          <cell r="D1709" t="str">
            <v>301-350</v>
          </cell>
          <cell r="E1709">
            <v>45.5</v>
          </cell>
          <cell r="F1709">
            <v>17.8</v>
          </cell>
          <cell r="G1709">
            <v>64.5</v>
          </cell>
          <cell r="H1709">
            <v>32.700000000000003</v>
          </cell>
          <cell r="I1709" t="str">
            <v>-</v>
          </cell>
          <cell r="J1709">
            <v>5570</v>
          </cell>
          <cell r="K1709">
            <v>25.4</v>
          </cell>
          <cell r="L1709">
            <v>0.15</v>
          </cell>
          <cell r="M1709">
            <v>2.8145833333333332</v>
          </cell>
          <cell r="N1709">
            <v>2015</v>
          </cell>
          <cell r="O1709">
            <v>910</v>
          </cell>
          <cell r="P1709">
            <v>26</v>
          </cell>
        </row>
        <row r="1710">
          <cell r="B1710" t="str">
            <v>Charles University in Prague</v>
          </cell>
          <cell r="C1710" t="str">
            <v>Czech Republic</v>
          </cell>
          <cell r="D1710" t="str">
            <v>301-350</v>
          </cell>
          <cell r="E1710">
            <v>53.9</v>
          </cell>
          <cell r="F1710">
            <v>24.3</v>
          </cell>
          <cell r="G1710">
            <v>50.1</v>
          </cell>
          <cell r="H1710">
            <v>29.4</v>
          </cell>
          <cell r="I1710" t="str">
            <v>-</v>
          </cell>
          <cell r="J1710">
            <v>51438</v>
          </cell>
          <cell r="K1710">
            <v>13</v>
          </cell>
          <cell r="L1710">
            <v>0.15</v>
          </cell>
          <cell r="M1710">
            <v>2.6097222222222221</v>
          </cell>
          <cell r="N1710">
            <v>2015</v>
          </cell>
          <cell r="O1710">
            <v>313</v>
          </cell>
          <cell r="P1710">
            <v>1</v>
          </cell>
        </row>
        <row r="1711">
          <cell r="B1711" t="str">
            <v>Creighton University</v>
          </cell>
          <cell r="C1711" t="str">
            <v>United States of America</v>
          </cell>
          <cell r="D1711" t="str">
            <v>301-350</v>
          </cell>
          <cell r="E1711">
            <v>29.1</v>
          </cell>
          <cell r="F1711">
            <v>10.4</v>
          </cell>
          <cell r="G1711">
            <v>63.3</v>
          </cell>
          <cell r="H1711">
            <v>32.4</v>
          </cell>
          <cell r="I1711" t="str">
            <v>-</v>
          </cell>
          <cell r="J1711">
            <v>7086</v>
          </cell>
          <cell r="K1711">
            <v>8.3000000000000007</v>
          </cell>
          <cell r="L1711">
            <v>0.02</v>
          </cell>
          <cell r="M1711">
            <v>2.4048611111111109</v>
          </cell>
          <cell r="N1711">
            <v>2015</v>
          </cell>
          <cell r="O1711">
            <v>490</v>
          </cell>
          <cell r="P1711">
            <v>160</v>
          </cell>
        </row>
        <row r="1712">
          <cell r="B1712" t="str">
            <v>Deakin University</v>
          </cell>
          <cell r="C1712" t="str">
            <v>Australia</v>
          </cell>
          <cell r="D1712" t="str">
            <v>301-350</v>
          </cell>
          <cell r="E1712">
            <v>71.8</v>
          </cell>
          <cell r="F1712">
            <v>20.6</v>
          </cell>
          <cell r="G1712">
            <v>57.5</v>
          </cell>
          <cell r="H1712">
            <v>30.6</v>
          </cell>
          <cell r="I1712" t="str">
            <v>-</v>
          </cell>
          <cell r="J1712">
            <v>32713</v>
          </cell>
          <cell r="K1712">
            <v>30.4</v>
          </cell>
          <cell r="L1712">
            <v>0.17</v>
          </cell>
          <cell r="M1712">
            <v>2.5277777777777777</v>
          </cell>
          <cell r="N1712">
            <v>2015</v>
          </cell>
          <cell r="O1712">
            <v>613</v>
          </cell>
          <cell r="P1712">
            <v>17</v>
          </cell>
        </row>
        <row r="1713">
          <cell r="B1713" t="str">
            <v>Drexel University</v>
          </cell>
          <cell r="C1713" t="str">
            <v>United States of America</v>
          </cell>
          <cell r="D1713" t="str">
            <v>301-350</v>
          </cell>
          <cell r="E1713">
            <v>42.2</v>
          </cell>
          <cell r="F1713">
            <v>14.3</v>
          </cell>
          <cell r="G1713">
            <v>57.5</v>
          </cell>
          <cell r="H1713">
            <v>34.6</v>
          </cell>
          <cell r="I1713" t="str">
            <v>-</v>
          </cell>
          <cell r="J1713">
            <v>20713</v>
          </cell>
          <cell r="K1713">
            <v>10.8</v>
          </cell>
          <cell r="L1713">
            <v>0.18</v>
          </cell>
          <cell r="M1713">
            <v>2.036111111111111</v>
          </cell>
          <cell r="N1713">
            <v>2015</v>
          </cell>
          <cell r="O1713">
            <v>261</v>
          </cell>
          <cell r="P1713">
            <v>107</v>
          </cell>
        </row>
        <row r="1714">
          <cell r="B1714" t="str">
            <v>Hong Kong Baptist University</v>
          </cell>
          <cell r="C1714" t="str">
            <v>Hong Kong</v>
          </cell>
          <cell r="D1714" t="str">
            <v>301-350</v>
          </cell>
          <cell r="E1714">
            <v>62.3</v>
          </cell>
          <cell r="F1714">
            <v>13.2</v>
          </cell>
          <cell r="G1714">
            <v>70.8</v>
          </cell>
          <cell r="H1714">
            <v>29.1</v>
          </cell>
          <cell r="I1714" t="str">
            <v>-</v>
          </cell>
          <cell r="J1714">
            <v>10441</v>
          </cell>
          <cell r="K1714">
            <v>11</v>
          </cell>
          <cell r="L1714">
            <v>0.25</v>
          </cell>
          <cell r="M1714">
            <v>2.5687500000000001</v>
          </cell>
          <cell r="N1714">
            <v>2015</v>
          </cell>
          <cell r="O1714">
            <v>678</v>
          </cell>
          <cell r="P1714">
            <v>6</v>
          </cell>
        </row>
        <row r="1715">
          <cell r="B1715" t="str">
            <v>Illinois Institute of Technology</v>
          </cell>
          <cell r="C1715" t="str">
            <v>United States of America</v>
          </cell>
          <cell r="D1715" t="str">
            <v>301-350</v>
          </cell>
          <cell r="E1715">
            <v>59.4</v>
          </cell>
          <cell r="F1715">
            <v>17.3</v>
          </cell>
          <cell r="G1715">
            <v>50.3</v>
          </cell>
          <cell r="H1715" t="str">
            <v>-</v>
          </cell>
          <cell r="I1715" t="str">
            <v>-</v>
          </cell>
          <cell r="N1715">
            <v>2015</v>
          </cell>
          <cell r="O1715">
            <v>489</v>
          </cell>
          <cell r="P1715">
            <v>159</v>
          </cell>
        </row>
        <row r="1716">
          <cell r="B1716" t="str">
            <v>Kansas State University</v>
          </cell>
          <cell r="C1716" t="str">
            <v>United States of America</v>
          </cell>
          <cell r="D1716" t="str">
            <v>301-350</v>
          </cell>
          <cell r="E1716">
            <v>41.5</v>
          </cell>
          <cell r="F1716">
            <v>16.5</v>
          </cell>
          <cell r="G1716">
            <v>61</v>
          </cell>
          <cell r="H1716">
            <v>39.200000000000003</v>
          </cell>
          <cell r="I1716" t="str">
            <v>-</v>
          </cell>
          <cell r="J1716">
            <v>21379</v>
          </cell>
          <cell r="K1716">
            <v>15.1</v>
          </cell>
          <cell r="L1716">
            <v>0.1</v>
          </cell>
          <cell r="M1716">
            <v>2.1180555555555554</v>
          </cell>
          <cell r="N1716">
            <v>2015</v>
          </cell>
          <cell r="O1716">
            <v>319</v>
          </cell>
          <cell r="P1716">
            <v>120</v>
          </cell>
        </row>
        <row r="1717">
          <cell r="B1717" t="str">
            <v>KoÃ§ University</v>
          </cell>
          <cell r="C1717" t="str">
            <v>Turkey</v>
          </cell>
          <cell r="D1717" t="str">
            <v>301-350</v>
          </cell>
          <cell r="E1717">
            <v>49.8</v>
          </cell>
          <cell r="F1717">
            <v>24.4</v>
          </cell>
          <cell r="G1717">
            <v>58.5</v>
          </cell>
          <cell r="H1717">
            <v>50.6</v>
          </cell>
          <cell r="I1717" t="str">
            <v>-</v>
          </cell>
          <cell r="J1717">
            <v>4488</v>
          </cell>
          <cell r="K1717">
            <v>14.6</v>
          </cell>
          <cell r="L1717">
            <v>0.08</v>
          </cell>
          <cell r="M1717">
            <v>2.2000000000000002</v>
          </cell>
          <cell r="N1717">
            <v>2015</v>
          </cell>
          <cell r="O1717" t="e">
            <v>#N/A</v>
          </cell>
          <cell r="P1717" t="e">
            <v>#N/A</v>
          </cell>
        </row>
        <row r="1718">
          <cell r="B1718" t="str">
            <v>Macquarie University</v>
          </cell>
          <cell r="C1718" t="str">
            <v>Australia</v>
          </cell>
          <cell r="D1718" t="str">
            <v>301-350</v>
          </cell>
          <cell r="E1718">
            <v>89.2</v>
          </cell>
          <cell r="F1718">
            <v>24.8</v>
          </cell>
          <cell r="G1718">
            <v>50.2</v>
          </cell>
          <cell r="H1718">
            <v>36.200000000000003</v>
          </cell>
          <cell r="I1718" t="str">
            <v>-</v>
          </cell>
          <cell r="J1718">
            <v>27930</v>
          </cell>
          <cell r="K1718">
            <v>20</v>
          </cell>
          <cell r="L1718">
            <v>0.44</v>
          </cell>
          <cell r="M1718">
            <v>2.3229166666666665</v>
          </cell>
          <cell r="N1718">
            <v>2015</v>
          </cell>
          <cell r="O1718">
            <v>486</v>
          </cell>
          <cell r="P1718">
            <v>9</v>
          </cell>
        </row>
        <row r="1719">
          <cell r="B1719" t="str">
            <v>Novosibirsk State University</v>
          </cell>
          <cell r="C1719" t="str">
            <v>Russian Federation</v>
          </cell>
          <cell r="D1719" t="str">
            <v>301-350</v>
          </cell>
          <cell r="E1719">
            <v>43.8</v>
          </cell>
          <cell r="F1719">
            <v>17.2</v>
          </cell>
          <cell r="G1719">
            <v>70.5</v>
          </cell>
          <cell r="H1719">
            <v>33.4</v>
          </cell>
          <cell r="I1719" t="str">
            <v>-</v>
          </cell>
          <cell r="J1719">
            <v>7131</v>
          </cell>
          <cell r="K1719">
            <v>7.1</v>
          </cell>
          <cell r="L1719">
            <v>0.13</v>
          </cell>
          <cell r="M1719">
            <v>2.2000000000000002</v>
          </cell>
          <cell r="N1719">
            <v>2015</v>
          </cell>
          <cell r="O1719">
            <v>916</v>
          </cell>
          <cell r="P1719">
            <v>3</v>
          </cell>
        </row>
        <row r="1720">
          <cell r="B1720" t="str">
            <v>Oregon State University</v>
          </cell>
          <cell r="C1720" t="str">
            <v>United States of America</v>
          </cell>
          <cell r="D1720" t="str">
            <v>301-350</v>
          </cell>
          <cell r="E1720">
            <v>36.700000000000003</v>
          </cell>
          <cell r="F1720">
            <v>21.1</v>
          </cell>
          <cell r="G1720">
            <v>63.3</v>
          </cell>
          <cell r="H1720">
            <v>32</v>
          </cell>
          <cell r="I1720" t="str">
            <v>-</v>
          </cell>
          <cell r="J1720">
            <v>22578</v>
          </cell>
          <cell r="K1720">
            <v>16.8</v>
          </cell>
          <cell r="L1720">
            <v>0.09</v>
          </cell>
          <cell r="M1720">
            <v>1.9951388888888888</v>
          </cell>
          <cell r="N1720">
            <v>2015</v>
          </cell>
          <cell r="O1720">
            <v>265</v>
          </cell>
          <cell r="P1720">
            <v>109</v>
          </cell>
        </row>
        <row r="1721">
          <cell r="B1721" t="str">
            <v>Polytechnic University of Milan</v>
          </cell>
          <cell r="C1721" t="str">
            <v>Italy</v>
          </cell>
          <cell r="D1721" t="str">
            <v>301-350</v>
          </cell>
          <cell r="E1721">
            <v>42.9</v>
          </cell>
          <cell r="F1721">
            <v>26.6</v>
          </cell>
          <cell r="G1721">
            <v>55.8</v>
          </cell>
          <cell r="H1721">
            <v>67.8</v>
          </cell>
          <cell r="I1721" t="str">
            <v>-</v>
          </cell>
          <cell r="J1721">
            <v>30025</v>
          </cell>
          <cell r="K1721">
            <v>22.2</v>
          </cell>
          <cell r="L1721">
            <v>0.12</v>
          </cell>
          <cell r="M1721" t="str">
            <v>34 : 66</v>
          </cell>
          <cell r="N1721">
            <v>2015</v>
          </cell>
          <cell r="O1721">
            <v>389</v>
          </cell>
          <cell r="P1721">
            <v>19</v>
          </cell>
        </row>
        <row r="1722">
          <cell r="B1722" t="str">
            <v>Renmin University of China</v>
          </cell>
          <cell r="C1722" t="str">
            <v>China</v>
          </cell>
          <cell r="D1722" t="str">
            <v>301-350</v>
          </cell>
          <cell r="E1722">
            <v>44.4</v>
          </cell>
          <cell r="F1722">
            <v>14.7</v>
          </cell>
          <cell r="G1722">
            <v>59.6</v>
          </cell>
          <cell r="H1722">
            <v>42.8</v>
          </cell>
          <cell r="I1722" t="str">
            <v>-</v>
          </cell>
          <cell r="J1722">
            <v>24954</v>
          </cell>
          <cell r="K1722">
            <v>12.7</v>
          </cell>
          <cell r="L1722">
            <v>0.06</v>
          </cell>
          <cell r="N1722">
            <v>2015</v>
          </cell>
          <cell r="O1722">
            <v>496</v>
          </cell>
          <cell r="P1722">
            <v>27</v>
          </cell>
        </row>
        <row r="1723">
          <cell r="B1723" t="str">
            <v>San Diego State University</v>
          </cell>
          <cell r="C1723" t="str">
            <v>United States of America</v>
          </cell>
          <cell r="D1723" t="str">
            <v>301-350</v>
          </cell>
          <cell r="E1723">
            <v>26.9</v>
          </cell>
          <cell r="F1723">
            <v>24.8</v>
          </cell>
          <cell r="G1723">
            <v>65.599999999999994</v>
          </cell>
          <cell r="H1723">
            <v>29.2</v>
          </cell>
          <cell r="I1723" t="str">
            <v>-</v>
          </cell>
          <cell r="J1723">
            <v>27420</v>
          </cell>
          <cell r="K1723">
            <v>31.7</v>
          </cell>
          <cell r="L1723">
            <v>0.05</v>
          </cell>
          <cell r="M1723">
            <v>2.4048611111111109</v>
          </cell>
          <cell r="N1723">
            <v>2015</v>
          </cell>
          <cell r="O1723">
            <v>348</v>
          </cell>
          <cell r="P1723">
            <v>127</v>
          </cell>
        </row>
        <row r="1724">
          <cell r="B1724" t="str">
            <v>Sapienza University of Rome</v>
          </cell>
          <cell r="C1724" t="str">
            <v>Italy</v>
          </cell>
          <cell r="D1724" t="str">
            <v>301-350</v>
          </cell>
          <cell r="E1724">
            <v>37.5</v>
          </cell>
          <cell r="F1724">
            <v>28.1</v>
          </cell>
          <cell r="G1724">
            <v>50.7</v>
          </cell>
          <cell r="H1724">
            <v>34.200000000000003</v>
          </cell>
          <cell r="I1724" t="str">
            <v>-</v>
          </cell>
          <cell r="J1724">
            <v>120986</v>
          </cell>
          <cell r="K1724">
            <v>32.299999999999997</v>
          </cell>
          <cell r="L1724">
            <v>7.0000000000000007E-2</v>
          </cell>
          <cell r="M1724">
            <v>2.4868055555555557</v>
          </cell>
          <cell r="N1724">
            <v>2015</v>
          </cell>
          <cell r="O1724">
            <v>77</v>
          </cell>
          <cell r="P1724">
            <v>1</v>
          </cell>
        </row>
        <row r="1725">
          <cell r="B1725" t="str">
            <v>Sharif University of Technology</v>
          </cell>
          <cell r="C1725" t="str">
            <v>Iran</v>
          </cell>
          <cell r="D1725" t="str">
            <v>301-350</v>
          </cell>
          <cell r="E1725">
            <v>19.399999999999999</v>
          </cell>
          <cell r="F1725">
            <v>34.700000000000003</v>
          </cell>
          <cell r="G1725">
            <v>50.4</v>
          </cell>
          <cell r="H1725">
            <v>86.2</v>
          </cell>
          <cell r="I1725" t="str">
            <v>-</v>
          </cell>
          <cell r="J1725">
            <v>10977</v>
          </cell>
          <cell r="K1725">
            <v>18.7</v>
          </cell>
          <cell r="L1725">
            <v>0</v>
          </cell>
          <cell r="M1725" t="str">
            <v>27 : 73</v>
          </cell>
          <cell r="N1725">
            <v>2015</v>
          </cell>
          <cell r="O1725">
            <v>833</v>
          </cell>
          <cell r="P1725">
            <v>2</v>
          </cell>
        </row>
        <row r="1726">
          <cell r="B1726" t="str">
            <v>State University of Campinas</v>
          </cell>
          <cell r="C1726" t="str">
            <v>Brazil</v>
          </cell>
          <cell r="D1726" t="str">
            <v>301-350</v>
          </cell>
          <cell r="E1726">
            <v>20.7</v>
          </cell>
          <cell r="F1726">
            <v>38.799999999999997</v>
          </cell>
          <cell r="G1726">
            <v>28</v>
          </cell>
          <cell r="H1726">
            <v>44.5</v>
          </cell>
          <cell r="I1726" t="str">
            <v>-</v>
          </cell>
          <cell r="J1726">
            <v>27095</v>
          </cell>
          <cell r="K1726">
            <v>15.3</v>
          </cell>
          <cell r="L1726">
            <v>0.03</v>
          </cell>
          <cell r="M1726">
            <v>2.036111111111111</v>
          </cell>
          <cell r="N1726">
            <v>2015</v>
          </cell>
          <cell r="O1726" t="e">
            <v>#N/A</v>
          </cell>
          <cell r="P1726" t="e">
            <v>#N/A</v>
          </cell>
        </row>
        <row r="1727">
          <cell r="B1727" t="str">
            <v>Sun Yat-sen University</v>
          </cell>
          <cell r="C1727" t="str">
            <v>China</v>
          </cell>
          <cell r="D1727" t="str">
            <v>301-350</v>
          </cell>
          <cell r="E1727">
            <v>37</v>
          </cell>
          <cell r="F1727">
            <v>25.2</v>
          </cell>
          <cell r="G1727">
            <v>54.1</v>
          </cell>
          <cell r="H1727">
            <v>58.9</v>
          </cell>
          <cell r="I1727" t="str">
            <v>-</v>
          </cell>
          <cell r="J1727">
            <v>51351</v>
          </cell>
          <cell r="K1727">
            <v>16.600000000000001</v>
          </cell>
          <cell r="L1727">
            <v>0.08</v>
          </cell>
          <cell r="M1727">
            <v>2.1590277777777778</v>
          </cell>
          <cell r="N1727">
            <v>2015</v>
          </cell>
          <cell r="O1727">
            <v>292</v>
          </cell>
          <cell r="P1727">
            <v>9</v>
          </cell>
        </row>
        <row r="1728">
          <cell r="B1728" t="str">
            <v>Tulane University</v>
          </cell>
          <cell r="C1728" t="str">
            <v>United States of America</v>
          </cell>
          <cell r="D1728" t="str">
            <v>301-350</v>
          </cell>
          <cell r="E1728">
            <v>29.7</v>
          </cell>
          <cell r="F1728">
            <v>20.7</v>
          </cell>
          <cell r="G1728">
            <v>53.9</v>
          </cell>
          <cell r="H1728" t="str">
            <v>-</v>
          </cell>
          <cell r="I1728" t="str">
            <v>-</v>
          </cell>
          <cell r="J1728">
            <v>11381</v>
          </cell>
          <cell r="K1728">
            <v>8.4</v>
          </cell>
          <cell r="L1728">
            <v>0.08</v>
          </cell>
          <cell r="M1728">
            <v>2.3638888888888889</v>
          </cell>
          <cell r="N1728">
            <v>2015</v>
          </cell>
          <cell r="O1728">
            <v>234</v>
          </cell>
          <cell r="P1728">
            <v>95</v>
          </cell>
        </row>
        <row r="1729">
          <cell r="B1729" t="str">
            <v>University of Bath</v>
          </cell>
          <cell r="C1729" t="str">
            <v>United Kingdom</v>
          </cell>
          <cell r="D1729" t="str">
            <v>301-350</v>
          </cell>
          <cell r="E1729">
            <v>76.099999999999994</v>
          </cell>
          <cell r="F1729">
            <v>25.1</v>
          </cell>
          <cell r="G1729">
            <v>47.5</v>
          </cell>
          <cell r="H1729">
            <v>36.700000000000003</v>
          </cell>
          <cell r="I1729" t="str">
            <v>-</v>
          </cell>
          <cell r="J1729">
            <v>12830</v>
          </cell>
          <cell r="K1729">
            <v>18.8</v>
          </cell>
          <cell r="L1729">
            <v>0.3</v>
          </cell>
          <cell r="M1729">
            <v>1.9541666666666666</v>
          </cell>
          <cell r="N1729">
            <v>2015</v>
          </cell>
          <cell r="O1729">
            <v>421</v>
          </cell>
          <cell r="P1729">
            <v>37</v>
          </cell>
        </row>
        <row r="1730">
          <cell r="B1730" t="str">
            <v>University of Canterbury</v>
          </cell>
          <cell r="C1730" t="str">
            <v>New Zealand</v>
          </cell>
          <cell r="D1730" t="str">
            <v>301-350</v>
          </cell>
          <cell r="E1730">
            <v>88.2</v>
          </cell>
          <cell r="F1730">
            <v>23.4</v>
          </cell>
          <cell r="G1730">
            <v>53.8</v>
          </cell>
          <cell r="H1730">
            <v>49.5</v>
          </cell>
          <cell r="I1730" t="str">
            <v>-</v>
          </cell>
          <cell r="J1730">
            <v>12187</v>
          </cell>
          <cell r="K1730">
            <v>16.5</v>
          </cell>
          <cell r="L1730">
            <v>0.2</v>
          </cell>
          <cell r="M1730">
            <v>2.1590277777777778</v>
          </cell>
          <cell r="N1730">
            <v>2015</v>
          </cell>
          <cell r="O1730">
            <v>487</v>
          </cell>
          <cell r="P1730">
            <v>3</v>
          </cell>
        </row>
        <row r="1731">
          <cell r="B1731" t="str">
            <v>University of Cologne</v>
          </cell>
          <cell r="C1731" t="str">
            <v>Germany</v>
          </cell>
          <cell r="D1731" t="str">
            <v>301-350</v>
          </cell>
          <cell r="E1731">
            <v>52.1</v>
          </cell>
          <cell r="F1731">
            <v>18.399999999999999</v>
          </cell>
          <cell r="G1731">
            <v>65.3</v>
          </cell>
          <cell r="H1731">
            <v>28.8</v>
          </cell>
          <cell r="I1731" t="str">
            <v>-</v>
          </cell>
          <cell r="J1731">
            <v>43280</v>
          </cell>
          <cell r="K1731">
            <v>43.4</v>
          </cell>
          <cell r="L1731">
            <v>0.11</v>
          </cell>
          <cell r="M1731">
            <v>2.5277777777777777</v>
          </cell>
          <cell r="N1731">
            <v>2015</v>
          </cell>
          <cell r="O1731">
            <v>199</v>
          </cell>
          <cell r="P1731">
            <v>12</v>
          </cell>
        </row>
        <row r="1732">
          <cell r="B1732" t="str">
            <v>University of Connecticut</v>
          </cell>
          <cell r="C1732" t="str">
            <v>United States of America</v>
          </cell>
          <cell r="D1732" t="str">
            <v>301-350</v>
          </cell>
          <cell r="E1732">
            <v>38.799999999999997</v>
          </cell>
          <cell r="F1732">
            <v>27.1</v>
          </cell>
          <cell r="G1732">
            <v>45.4</v>
          </cell>
          <cell r="H1732">
            <v>31.1</v>
          </cell>
          <cell r="I1732" t="str">
            <v>-</v>
          </cell>
          <cell r="J1732">
            <v>25742</v>
          </cell>
          <cell r="K1732">
            <v>13</v>
          </cell>
          <cell r="L1732">
            <v>0.11</v>
          </cell>
          <cell r="M1732">
            <v>2.1590277777777778</v>
          </cell>
          <cell r="N1732">
            <v>2015</v>
          </cell>
          <cell r="O1732">
            <v>233</v>
          </cell>
          <cell r="P1732">
            <v>94</v>
          </cell>
        </row>
        <row r="1733">
          <cell r="B1733" t="str">
            <v>University of Crete</v>
          </cell>
          <cell r="C1733" t="str">
            <v>Greece</v>
          </cell>
          <cell r="D1733" t="str">
            <v>301-350</v>
          </cell>
          <cell r="E1733">
            <v>47</v>
          </cell>
          <cell r="F1733">
            <v>16.8</v>
          </cell>
          <cell r="G1733">
            <v>67</v>
          </cell>
          <cell r="H1733">
            <v>36</v>
          </cell>
          <cell r="I1733" t="str">
            <v>-</v>
          </cell>
          <cell r="J1733">
            <v>14650</v>
          </cell>
          <cell r="K1733">
            <v>26.9</v>
          </cell>
          <cell r="L1733">
            <v>0.05</v>
          </cell>
          <cell r="M1733">
            <v>2.6506944444444445</v>
          </cell>
          <cell r="N1733">
            <v>2015</v>
          </cell>
          <cell r="O1733">
            <v>551</v>
          </cell>
          <cell r="P1733">
            <v>3</v>
          </cell>
        </row>
        <row r="1734">
          <cell r="B1734" t="str">
            <v>University of Duisburg-Essen</v>
          </cell>
          <cell r="C1734" t="str">
            <v>Germany</v>
          </cell>
          <cell r="D1734" t="str">
            <v>301-350</v>
          </cell>
          <cell r="E1734">
            <v>49.2</v>
          </cell>
          <cell r="F1734">
            <v>13.7</v>
          </cell>
          <cell r="G1734">
            <v>64.099999999999994</v>
          </cell>
          <cell r="H1734">
            <v>44.2</v>
          </cell>
          <cell r="I1734" t="str">
            <v>-</v>
          </cell>
          <cell r="J1734">
            <v>36051</v>
          </cell>
          <cell r="K1734">
            <v>46.6</v>
          </cell>
          <cell r="L1734">
            <v>0.11</v>
          </cell>
          <cell r="M1734">
            <v>2.0770833333333334</v>
          </cell>
          <cell r="N1734">
            <v>2015</v>
          </cell>
          <cell r="O1734">
            <v>303</v>
          </cell>
          <cell r="P1734">
            <v>27</v>
          </cell>
        </row>
        <row r="1735">
          <cell r="B1735" t="str">
            <v>University of Essex</v>
          </cell>
          <cell r="C1735" t="str">
            <v>United Kingdom</v>
          </cell>
          <cell r="D1735" t="str">
            <v>301-350</v>
          </cell>
          <cell r="E1735">
            <v>86.7</v>
          </cell>
          <cell r="F1735">
            <v>29</v>
          </cell>
          <cell r="G1735">
            <v>39.299999999999997</v>
          </cell>
          <cell r="H1735">
            <v>29.1</v>
          </cell>
          <cell r="I1735" t="str">
            <v>-</v>
          </cell>
          <cell r="J1735">
            <v>12695</v>
          </cell>
          <cell r="K1735">
            <v>19.8</v>
          </cell>
          <cell r="L1735">
            <v>0.39</v>
          </cell>
          <cell r="M1735">
            <v>2.3229166666666665</v>
          </cell>
          <cell r="N1735">
            <v>2015</v>
          </cell>
          <cell r="O1735">
            <v>563</v>
          </cell>
          <cell r="P1735">
            <v>44</v>
          </cell>
        </row>
        <row r="1736">
          <cell r="B1736" t="str">
            <v>University of Houston</v>
          </cell>
          <cell r="C1736" t="str">
            <v>United States of America</v>
          </cell>
          <cell r="D1736" t="str">
            <v>301-350</v>
          </cell>
          <cell r="E1736">
            <v>33.1</v>
          </cell>
          <cell r="F1736">
            <v>25.8</v>
          </cell>
          <cell r="G1736">
            <v>44.2</v>
          </cell>
          <cell r="H1736">
            <v>43.2</v>
          </cell>
          <cell r="I1736" t="str">
            <v>-</v>
          </cell>
          <cell r="J1736">
            <v>40325</v>
          </cell>
          <cell r="K1736">
            <v>43.7</v>
          </cell>
          <cell r="L1736">
            <v>0.09</v>
          </cell>
          <cell r="M1736">
            <v>2.1180555555555554</v>
          </cell>
          <cell r="N1736">
            <v>2015</v>
          </cell>
          <cell r="O1736">
            <v>162</v>
          </cell>
          <cell r="P1736">
            <v>70</v>
          </cell>
        </row>
        <row r="1737">
          <cell r="B1737" t="str">
            <v>University of JyvÃ¤skylÃ¤</v>
          </cell>
          <cell r="C1737" t="str">
            <v>Finland</v>
          </cell>
          <cell r="D1737" t="str">
            <v>301-350</v>
          </cell>
          <cell r="E1737">
            <v>47.2</v>
          </cell>
          <cell r="F1737">
            <v>24</v>
          </cell>
          <cell r="G1737">
            <v>50.2</v>
          </cell>
          <cell r="H1737" t="str">
            <v>-</v>
          </cell>
          <cell r="I1737" t="str">
            <v>-</v>
          </cell>
          <cell r="J1737">
            <v>9703</v>
          </cell>
          <cell r="K1737">
            <v>15.2</v>
          </cell>
          <cell r="L1737">
            <v>0.05</v>
          </cell>
          <cell r="M1737">
            <v>2.6097222222222221</v>
          </cell>
          <cell r="N1737">
            <v>2015</v>
          </cell>
          <cell r="O1737">
            <v>664</v>
          </cell>
          <cell r="P1737">
            <v>8</v>
          </cell>
        </row>
        <row r="1738">
          <cell r="B1738" t="str">
            <v>University of Kansas</v>
          </cell>
          <cell r="C1738" t="str">
            <v>United States of America</v>
          </cell>
          <cell r="D1738" t="str">
            <v>301-350</v>
          </cell>
          <cell r="E1738">
            <v>32.200000000000003</v>
          </cell>
          <cell r="F1738">
            <v>20.100000000000001</v>
          </cell>
          <cell r="G1738">
            <v>62.2</v>
          </cell>
          <cell r="H1738">
            <v>36.200000000000003</v>
          </cell>
          <cell r="I1738" t="str">
            <v>-</v>
          </cell>
          <cell r="N1738">
            <v>2015</v>
          </cell>
          <cell r="O1738">
            <v>203</v>
          </cell>
          <cell r="P1738">
            <v>86</v>
          </cell>
        </row>
        <row r="1739">
          <cell r="B1739" t="str">
            <v>University of Manitoba</v>
          </cell>
          <cell r="C1739" t="str">
            <v>Canada</v>
          </cell>
          <cell r="D1739" t="str">
            <v>301-350</v>
          </cell>
          <cell r="E1739">
            <v>43.4</v>
          </cell>
          <cell r="F1739">
            <v>29.4</v>
          </cell>
          <cell r="G1739">
            <v>48.2</v>
          </cell>
          <cell r="H1739">
            <v>43.5</v>
          </cell>
          <cell r="I1739" t="str">
            <v>-</v>
          </cell>
          <cell r="J1739">
            <v>28576</v>
          </cell>
          <cell r="K1739">
            <v>27.8</v>
          </cell>
          <cell r="L1739">
            <v>0.11</v>
          </cell>
          <cell r="M1739">
            <v>2.3229166666666665</v>
          </cell>
          <cell r="N1739">
            <v>2015</v>
          </cell>
          <cell r="O1739">
            <v>220</v>
          </cell>
          <cell r="P1739">
            <v>10</v>
          </cell>
        </row>
        <row r="1740">
          <cell r="B1740" t="str">
            <v>University of Marrakech Cadi Ayyad</v>
          </cell>
          <cell r="C1740" t="str">
            <v>Morocco</v>
          </cell>
          <cell r="D1740" t="str">
            <v>301-350</v>
          </cell>
          <cell r="E1740">
            <v>45.1</v>
          </cell>
          <cell r="F1740">
            <v>6.5</v>
          </cell>
          <cell r="G1740">
            <v>83</v>
          </cell>
          <cell r="H1740">
            <v>28.6</v>
          </cell>
          <cell r="I1740" t="str">
            <v>-</v>
          </cell>
          <cell r="J1740">
            <v>56060</v>
          </cell>
          <cell r="K1740">
            <v>38.700000000000003</v>
          </cell>
          <cell r="L1740">
            <v>0.01</v>
          </cell>
          <cell r="M1740">
            <v>1.9541666666666666</v>
          </cell>
          <cell r="N1740">
            <v>2015</v>
          </cell>
          <cell r="O1740" t="e">
            <v>#N/A</v>
          </cell>
          <cell r="P1740" t="e">
            <v>#N/A</v>
          </cell>
        </row>
        <row r="1741">
          <cell r="B1741" t="str">
            <v>University of Montana</v>
          </cell>
          <cell r="C1741" t="str">
            <v>United States of America</v>
          </cell>
          <cell r="D1741" t="str">
            <v>301-350</v>
          </cell>
          <cell r="E1741">
            <v>20.7</v>
          </cell>
          <cell r="F1741">
            <v>13.7</v>
          </cell>
          <cell r="G1741">
            <v>75</v>
          </cell>
          <cell r="H1741">
            <v>34.4</v>
          </cell>
          <cell r="I1741" t="str">
            <v>-</v>
          </cell>
          <cell r="J1741">
            <v>12470</v>
          </cell>
          <cell r="K1741">
            <v>15.2</v>
          </cell>
          <cell r="L1741">
            <v>0.03</v>
          </cell>
          <cell r="M1741">
            <v>2.2819444444444446</v>
          </cell>
          <cell r="N1741">
            <v>2015</v>
          </cell>
          <cell r="O1741" t="e">
            <v>#N/A</v>
          </cell>
          <cell r="P1741" t="e">
            <v>#N/A</v>
          </cell>
        </row>
        <row r="1742">
          <cell r="B1742" t="str">
            <v>University of Nebraska Medical Center</v>
          </cell>
          <cell r="C1742" t="str">
            <v>United States of America</v>
          </cell>
          <cell r="D1742" t="str">
            <v>301-350</v>
          </cell>
          <cell r="E1742">
            <v>34.799999999999997</v>
          </cell>
          <cell r="F1742">
            <v>16.5</v>
          </cell>
          <cell r="G1742">
            <v>51.5</v>
          </cell>
          <cell r="H1742">
            <v>34.5</v>
          </cell>
          <cell r="I1742" t="str">
            <v>-</v>
          </cell>
          <cell r="J1742">
            <v>2857</v>
          </cell>
          <cell r="K1742">
            <v>2.6</v>
          </cell>
          <cell r="L1742">
            <v>0.08</v>
          </cell>
          <cell r="M1742">
            <v>2.8145833333333332</v>
          </cell>
          <cell r="N1742">
            <v>2015</v>
          </cell>
          <cell r="O1742">
            <v>351</v>
          </cell>
          <cell r="P1742">
            <v>128</v>
          </cell>
        </row>
        <row r="1743">
          <cell r="B1743" t="str">
            <v>University of Oklahoma</v>
          </cell>
          <cell r="C1743" t="str">
            <v>United States of America</v>
          </cell>
          <cell r="D1743" t="str">
            <v>301-350</v>
          </cell>
          <cell r="E1743">
            <v>30</v>
          </cell>
          <cell r="F1743">
            <v>15.7</v>
          </cell>
          <cell r="G1743">
            <v>57.5</v>
          </cell>
          <cell r="H1743">
            <v>34.5</v>
          </cell>
          <cell r="I1743" t="str">
            <v>-</v>
          </cell>
          <cell r="N1743">
            <v>2015</v>
          </cell>
          <cell r="O1743" t="e">
            <v>#N/A</v>
          </cell>
          <cell r="P1743" t="e">
            <v>#N/A</v>
          </cell>
        </row>
        <row r="1744">
          <cell r="B1744" t="str">
            <v>University of Padua</v>
          </cell>
          <cell r="C1744" t="str">
            <v>Italy</v>
          </cell>
          <cell r="D1744" t="str">
            <v>301-350</v>
          </cell>
          <cell r="E1744">
            <v>40.4</v>
          </cell>
          <cell r="F1744">
            <v>18.2</v>
          </cell>
          <cell r="G1744">
            <v>68</v>
          </cell>
          <cell r="H1744">
            <v>32.9</v>
          </cell>
          <cell r="I1744" t="str">
            <v>-</v>
          </cell>
          <cell r="J1744">
            <v>62577</v>
          </cell>
          <cell r="K1744">
            <v>18.3</v>
          </cell>
          <cell r="L1744">
            <v>0.04</v>
          </cell>
          <cell r="M1744">
            <v>2.3638888888888889</v>
          </cell>
          <cell r="N1744">
            <v>2015</v>
          </cell>
          <cell r="O1744">
            <v>184</v>
          </cell>
          <cell r="P1744">
            <v>3</v>
          </cell>
        </row>
        <row r="1745">
          <cell r="B1745" t="str">
            <v>University of Pisa</v>
          </cell>
          <cell r="C1745" t="str">
            <v>Italy</v>
          </cell>
          <cell r="D1745" t="str">
            <v>301-350</v>
          </cell>
          <cell r="E1745">
            <v>36.700000000000003</v>
          </cell>
          <cell r="F1745">
            <v>18.8</v>
          </cell>
          <cell r="G1745">
            <v>69.2</v>
          </cell>
          <cell r="H1745">
            <v>37.700000000000003</v>
          </cell>
          <cell r="I1745" t="str">
            <v>-</v>
          </cell>
          <cell r="J1745">
            <v>47247</v>
          </cell>
          <cell r="K1745">
            <v>18</v>
          </cell>
          <cell r="L1745">
            <v>0.04</v>
          </cell>
          <cell r="M1745">
            <v>2.2000000000000002</v>
          </cell>
          <cell r="N1745">
            <v>2015</v>
          </cell>
          <cell r="O1745">
            <v>308</v>
          </cell>
          <cell r="P1745">
            <v>8</v>
          </cell>
        </row>
        <row r="1746">
          <cell r="B1746" t="str">
            <v>University of Southern Denmark</v>
          </cell>
          <cell r="C1746" t="str">
            <v>Denmark</v>
          </cell>
          <cell r="D1746" t="str">
            <v>301-350</v>
          </cell>
          <cell r="E1746">
            <v>67.099999999999994</v>
          </cell>
          <cell r="F1746">
            <v>20.5</v>
          </cell>
          <cell r="G1746">
            <v>61.2</v>
          </cell>
          <cell r="H1746">
            <v>72.599999999999994</v>
          </cell>
          <cell r="I1746" t="str">
            <v>-</v>
          </cell>
          <cell r="J1746">
            <v>22210</v>
          </cell>
          <cell r="K1746">
            <v>12.7</v>
          </cell>
          <cell r="L1746">
            <v>0.16</v>
          </cell>
          <cell r="M1746">
            <v>2.2000000000000002</v>
          </cell>
          <cell r="N1746">
            <v>2015</v>
          </cell>
          <cell r="O1746">
            <v>352</v>
          </cell>
          <cell r="P1746">
            <v>4</v>
          </cell>
        </row>
        <row r="1747">
          <cell r="B1747" t="str">
            <v>University of Stirling</v>
          </cell>
          <cell r="C1747" t="str">
            <v>United Kingdom</v>
          </cell>
          <cell r="D1747" t="str">
            <v>301-350</v>
          </cell>
          <cell r="E1747">
            <v>66.900000000000006</v>
          </cell>
          <cell r="F1747">
            <v>25.1</v>
          </cell>
          <cell r="G1747">
            <v>49.9</v>
          </cell>
          <cell r="H1747">
            <v>30.7</v>
          </cell>
          <cell r="I1747" t="str">
            <v>-</v>
          </cell>
          <cell r="J1747">
            <v>7828</v>
          </cell>
          <cell r="K1747">
            <v>15.9</v>
          </cell>
          <cell r="L1747">
            <v>0.22</v>
          </cell>
          <cell r="M1747">
            <v>2.5687500000000001</v>
          </cell>
          <cell r="N1747">
            <v>2015</v>
          </cell>
          <cell r="O1747">
            <v>735</v>
          </cell>
          <cell r="P1747">
            <v>57</v>
          </cell>
        </row>
        <row r="1748">
          <cell r="B1748" t="str">
            <v>University of Stuttgart</v>
          </cell>
          <cell r="C1748" t="str">
            <v>Germany</v>
          </cell>
          <cell r="D1748" t="str">
            <v>301-350</v>
          </cell>
          <cell r="E1748">
            <v>59.3</v>
          </cell>
          <cell r="F1748">
            <v>17.3</v>
          </cell>
          <cell r="G1748">
            <v>56.9</v>
          </cell>
          <cell r="H1748">
            <v>48.2</v>
          </cell>
          <cell r="I1748" t="str">
            <v>-</v>
          </cell>
          <cell r="J1748">
            <v>24099</v>
          </cell>
          <cell r="K1748">
            <v>45.4</v>
          </cell>
          <cell r="L1748">
            <v>0.2</v>
          </cell>
          <cell r="M1748" t="str">
            <v>31 : 69</v>
          </cell>
          <cell r="N1748">
            <v>2015</v>
          </cell>
          <cell r="O1748">
            <v>300</v>
          </cell>
          <cell r="P1748">
            <v>26</v>
          </cell>
        </row>
        <row r="1749">
          <cell r="B1749" t="str">
            <v>University of Tampere</v>
          </cell>
          <cell r="C1749" t="str">
            <v>Finland</v>
          </cell>
          <cell r="D1749" t="str">
            <v>301-350</v>
          </cell>
          <cell r="E1749">
            <v>45.6</v>
          </cell>
          <cell r="F1749">
            <v>22.2</v>
          </cell>
          <cell r="G1749">
            <v>58.7</v>
          </cell>
          <cell r="H1749">
            <v>42.5</v>
          </cell>
          <cell r="I1749" t="str">
            <v>-</v>
          </cell>
          <cell r="J1749">
            <v>10045</v>
          </cell>
          <cell r="K1749">
            <v>9.5</v>
          </cell>
          <cell r="L1749">
            <v>0.04</v>
          </cell>
          <cell r="M1749">
            <v>2.7736111111111112</v>
          </cell>
          <cell r="N1749">
            <v>2015</v>
          </cell>
          <cell r="O1749">
            <v>430</v>
          </cell>
          <cell r="P1749">
            <v>6</v>
          </cell>
        </row>
        <row r="1750">
          <cell r="B1750" t="str">
            <v>University of Tsukuba</v>
          </cell>
          <cell r="C1750" t="str">
            <v>Japan</v>
          </cell>
          <cell r="D1750" t="str">
            <v>301-350</v>
          </cell>
          <cell r="E1750">
            <v>36.1</v>
          </cell>
          <cell r="F1750">
            <v>21.6</v>
          </cell>
          <cell r="G1750">
            <v>51.1</v>
          </cell>
          <cell r="H1750">
            <v>36.9</v>
          </cell>
          <cell r="I1750" t="str">
            <v>-</v>
          </cell>
          <cell r="J1750">
            <v>15930</v>
          </cell>
          <cell r="K1750">
            <v>12.6</v>
          </cell>
          <cell r="L1750">
            <v>0.16</v>
          </cell>
          <cell r="M1750" t="str">
            <v>38 : 62</v>
          </cell>
          <cell r="N1750">
            <v>2015</v>
          </cell>
          <cell r="O1750">
            <v>253</v>
          </cell>
          <cell r="P1750">
            <v>13</v>
          </cell>
        </row>
        <row r="1751">
          <cell r="B1751" t="str">
            <v>University of Valencia</v>
          </cell>
          <cell r="C1751" t="str">
            <v>Spain</v>
          </cell>
          <cell r="D1751" t="str">
            <v>301-350</v>
          </cell>
          <cell r="E1751">
            <v>43.7</v>
          </cell>
          <cell r="F1751">
            <v>12</v>
          </cell>
          <cell r="G1751">
            <v>72.7</v>
          </cell>
          <cell r="H1751">
            <v>30.8</v>
          </cell>
          <cell r="I1751" t="str">
            <v>-</v>
          </cell>
          <cell r="J1751">
            <v>58413</v>
          </cell>
          <cell r="K1751">
            <v>15.4</v>
          </cell>
          <cell r="L1751">
            <v>0.09</v>
          </cell>
          <cell r="M1751">
            <v>2.5277777777777777</v>
          </cell>
          <cell r="N1751">
            <v>2015</v>
          </cell>
          <cell r="O1751">
            <v>301</v>
          </cell>
          <cell r="P1751">
            <v>4</v>
          </cell>
        </row>
        <row r="1752">
          <cell r="B1752" t="str">
            <v>University of Warsaw</v>
          </cell>
          <cell r="C1752" t="str">
            <v>Poland</v>
          </cell>
          <cell r="D1752" t="str">
            <v>301-350</v>
          </cell>
          <cell r="E1752">
            <v>41.6</v>
          </cell>
          <cell r="F1752">
            <v>13.6</v>
          </cell>
          <cell r="G1752">
            <v>70</v>
          </cell>
          <cell r="H1752">
            <v>28.5</v>
          </cell>
          <cell r="I1752" t="str">
            <v>-</v>
          </cell>
          <cell r="J1752">
            <v>49292</v>
          </cell>
          <cell r="K1752">
            <v>14.1</v>
          </cell>
          <cell r="L1752">
            <v>7.0000000000000007E-2</v>
          </cell>
          <cell r="M1752">
            <v>2.8145833333333332</v>
          </cell>
          <cell r="N1752">
            <v>2015</v>
          </cell>
          <cell r="O1752">
            <v>419</v>
          </cell>
          <cell r="P1752">
            <v>1</v>
          </cell>
        </row>
        <row r="1753">
          <cell r="B1753" t="str">
            <v>Wayne State University</v>
          </cell>
          <cell r="C1753" t="str">
            <v>United States of America</v>
          </cell>
          <cell r="D1753" t="str">
            <v>301-350</v>
          </cell>
          <cell r="E1753">
            <v>30.7</v>
          </cell>
          <cell r="F1753">
            <v>15.2</v>
          </cell>
          <cell r="G1753">
            <v>61</v>
          </cell>
          <cell r="H1753" t="str">
            <v>-</v>
          </cell>
          <cell r="I1753" t="str">
            <v>-</v>
          </cell>
          <cell r="J1753">
            <v>23065</v>
          </cell>
          <cell r="K1753">
            <v>10.7</v>
          </cell>
          <cell r="L1753">
            <v>7.0000000000000007E-2</v>
          </cell>
          <cell r="M1753">
            <v>2.4048611111111109</v>
          </cell>
          <cell r="N1753">
            <v>2015</v>
          </cell>
          <cell r="O1753">
            <v>192</v>
          </cell>
          <cell r="P1753">
            <v>83</v>
          </cell>
        </row>
        <row r="1754">
          <cell r="B1754" t="str">
            <v>Zhejiang University</v>
          </cell>
          <cell r="C1754" t="str">
            <v>China</v>
          </cell>
          <cell r="D1754" t="str">
            <v>301-350</v>
          </cell>
          <cell r="E1754">
            <v>21.5</v>
          </cell>
          <cell r="F1754">
            <v>33.1</v>
          </cell>
          <cell r="G1754">
            <v>40.200000000000003</v>
          </cell>
          <cell r="H1754">
            <v>88.6</v>
          </cell>
          <cell r="I1754" t="str">
            <v>-</v>
          </cell>
          <cell r="J1754">
            <v>47508</v>
          </cell>
          <cell r="K1754">
            <v>15.9</v>
          </cell>
          <cell r="L1754">
            <v>0.05</v>
          </cell>
          <cell r="M1754">
            <v>1.7493055555555554</v>
          </cell>
          <cell r="N1754">
            <v>2015</v>
          </cell>
          <cell r="O1754">
            <v>206</v>
          </cell>
          <cell r="P1754">
            <v>5</v>
          </cell>
        </row>
        <row r="1755">
          <cell r="B1755" t="str">
            <v>Aalborg University</v>
          </cell>
          <cell r="C1755" t="str">
            <v>Denmark</v>
          </cell>
          <cell r="D1755" t="str">
            <v>351-400</v>
          </cell>
          <cell r="E1755">
            <v>65.8</v>
          </cell>
          <cell r="F1755">
            <v>28.5</v>
          </cell>
          <cell r="G1755">
            <v>39.9</v>
          </cell>
          <cell r="H1755">
            <v>43.9</v>
          </cell>
          <cell r="I1755" t="str">
            <v>-</v>
          </cell>
          <cell r="J1755">
            <v>17422</v>
          </cell>
          <cell r="K1755">
            <v>15.9</v>
          </cell>
          <cell r="L1755">
            <v>0.15</v>
          </cell>
          <cell r="M1755">
            <v>2.036111111111111</v>
          </cell>
          <cell r="N1755">
            <v>2015</v>
          </cell>
          <cell r="O1755">
            <v>593</v>
          </cell>
          <cell r="P1755">
            <v>5</v>
          </cell>
        </row>
        <row r="1756">
          <cell r="B1756" t="str">
            <v>Aberystwyth University</v>
          </cell>
          <cell r="C1756" t="str">
            <v>United Kingdom</v>
          </cell>
          <cell r="D1756" t="str">
            <v>351-400</v>
          </cell>
          <cell r="E1756">
            <v>66.5</v>
          </cell>
          <cell r="F1756">
            <v>20.6</v>
          </cell>
          <cell r="G1756">
            <v>52.2</v>
          </cell>
          <cell r="H1756">
            <v>33</v>
          </cell>
          <cell r="I1756" t="str">
            <v>-</v>
          </cell>
          <cell r="J1756">
            <v>9252</v>
          </cell>
          <cell r="K1756">
            <v>19.2</v>
          </cell>
          <cell r="L1756">
            <v>0.18</v>
          </cell>
          <cell r="M1756">
            <v>2.036111111111111</v>
          </cell>
          <cell r="N1756">
            <v>2015</v>
          </cell>
          <cell r="O1756">
            <v>800</v>
          </cell>
          <cell r="P1756">
            <v>59</v>
          </cell>
        </row>
        <row r="1757">
          <cell r="B1757" t="str">
            <v>Aston University</v>
          </cell>
          <cell r="C1757" t="str">
            <v>United Kingdom</v>
          </cell>
          <cell r="D1757" t="str">
            <v>351-400</v>
          </cell>
          <cell r="E1757">
            <v>79.7</v>
          </cell>
          <cell r="F1757">
            <v>21.6</v>
          </cell>
          <cell r="G1757">
            <v>45.1</v>
          </cell>
          <cell r="H1757">
            <v>35.700000000000003</v>
          </cell>
          <cell r="I1757" t="str">
            <v>-</v>
          </cell>
          <cell r="N1757">
            <v>2015</v>
          </cell>
          <cell r="O1757">
            <v>707</v>
          </cell>
          <cell r="P1757">
            <v>55</v>
          </cell>
        </row>
        <row r="1758">
          <cell r="B1758" t="str">
            <v>Bayreuth University</v>
          </cell>
          <cell r="C1758" t="str">
            <v>Germany</v>
          </cell>
          <cell r="D1758" t="str">
            <v>351-400</v>
          </cell>
          <cell r="E1758">
            <v>53.9</v>
          </cell>
          <cell r="F1758">
            <v>12.9</v>
          </cell>
          <cell r="G1758">
            <v>61.8</v>
          </cell>
          <cell r="H1758">
            <v>34.799999999999997</v>
          </cell>
          <cell r="I1758" t="str">
            <v>-</v>
          </cell>
          <cell r="J1758">
            <v>12520</v>
          </cell>
          <cell r="K1758">
            <v>35.5</v>
          </cell>
          <cell r="L1758">
            <v>0.08</v>
          </cell>
          <cell r="M1758">
            <v>1.9541666666666666</v>
          </cell>
          <cell r="N1758">
            <v>2015</v>
          </cell>
          <cell r="O1758" t="e">
            <v>#N/A</v>
          </cell>
          <cell r="P1758" t="e">
            <v>#N/A</v>
          </cell>
        </row>
        <row r="1759">
          <cell r="B1759" t="str">
            <v>Bielefeld University</v>
          </cell>
          <cell r="C1759" t="str">
            <v>Germany</v>
          </cell>
          <cell r="D1759" t="str">
            <v>351-400</v>
          </cell>
          <cell r="E1759">
            <v>48.6</v>
          </cell>
          <cell r="F1759">
            <v>19.100000000000001</v>
          </cell>
          <cell r="G1759">
            <v>52</v>
          </cell>
          <cell r="H1759">
            <v>37.4</v>
          </cell>
          <cell r="I1759" t="str">
            <v>-</v>
          </cell>
          <cell r="J1759">
            <v>21428</v>
          </cell>
          <cell r="K1759">
            <v>67.8</v>
          </cell>
          <cell r="L1759">
            <v>0.08</v>
          </cell>
          <cell r="M1759">
            <v>2.4048611111111109</v>
          </cell>
          <cell r="N1759">
            <v>2015</v>
          </cell>
          <cell r="O1759">
            <v>491</v>
          </cell>
          <cell r="P1759">
            <v>38</v>
          </cell>
        </row>
        <row r="1760">
          <cell r="B1760" t="str">
            <v>Claude Bernard University Lyon 1</v>
          </cell>
          <cell r="C1760" t="str">
            <v>France</v>
          </cell>
          <cell r="D1760" t="str">
            <v>351-400</v>
          </cell>
          <cell r="E1760">
            <v>52.1</v>
          </cell>
          <cell r="F1760">
            <v>17.2</v>
          </cell>
          <cell r="G1760">
            <v>62.6</v>
          </cell>
          <cell r="H1760">
            <v>33.6</v>
          </cell>
          <cell r="I1760" t="str">
            <v>-</v>
          </cell>
          <cell r="J1760">
            <v>35308</v>
          </cell>
          <cell r="K1760">
            <v>16.100000000000001</v>
          </cell>
          <cell r="L1760">
            <v>0.11</v>
          </cell>
          <cell r="M1760">
            <v>2.1180555555555554</v>
          </cell>
          <cell r="N1760">
            <v>2015</v>
          </cell>
          <cell r="O1760">
            <v>230</v>
          </cell>
          <cell r="P1760">
            <v>10</v>
          </cell>
        </row>
        <row r="1761">
          <cell r="B1761" t="str">
            <v>Curtin University</v>
          </cell>
          <cell r="C1761" t="str">
            <v>Australia</v>
          </cell>
          <cell r="D1761" t="str">
            <v>351-400</v>
          </cell>
          <cell r="E1761">
            <v>91.3</v>
          </cell>
          <cell r="F1761">
            <v>17.100000000000001</v>
          </cell>
          <cell r="G1761">
            <v>45.3</v>
          </cell>
          <cell r="H1761">
            <v>36.1</v>
          </cell>
          <cell r="I1761" t="str">
            <v>-</v>
          </cell>
          <cell r="J1761">
            <v>30333</v>
          </cell>
          <cell r="K1761">
            <v>17.100000000000001</v>
          </cell>
          <cell r="L1761">
            <v>0.38</v>
          </cell>
          <cell r="M1761">
            <v>2.2409722222222221</v>
          </cell>
          <cell r="N1761">
            <v>2015</v>
          </cell>
          <cell r="O1761">
            <v>612</v>
          </cell>
          <cell r="P1761">
            <v>16</v>
          </cell>
        </row>
        <row r="1762">
          <cell r="B1762" t="str">
            <v>Ewha Womans University</v>
          </cell>
          <cell r="C1762" t="str">
            <v>South Korea</v>
          </cell>
          <cell r="D1762" t="str">
            <v>351-400</v>
          </cell>
          <cell r="E1762">
            <v>36</v>
          </cell>
          <cell r="F1762">
            <v>18</v>
          </cell>
          <cell r="G1762">
            <v>57.6</v>
          </cell>
          <cell r="H1762">
            <v>61.3</v>
          </cell>
          <cell r="I1762" t="str">
            <v>-</v>
          </cell>
          <cell r="J1762">
            <v>17625</v>
          </cell>
          <cell r="K1762">
            <v>14.4</v>
          </cell>
          <cell r="L1762">
            <v>0.06</v>
          </cell>
          <cell r="M1762">
            <v>4.166666666666667</v>
          </cell>
          <cell r="N1762">
            <v>2015</v>
          </cell>
          <cell r="O1762">
            <v>374</v>
          </cell>
          <cell r="P1762">
            <v>10</v>
          </cell>
        </row>
        <row r="1763">
          <cell r="B1763" t="str">
            <v>George Mason University</v>
          </cell>
          <cell r="C1763" t="str">
            <v>United States of America</v>
          </cell>
          <cell r="D1763" t="str">
            <v>351-400</v>
          </cell>
          <cell r="E1763">
            <v>35.799999999999997</v>
          </cell>
          <cell r="F1763">
            <v>20.3</v>
          </cell>
          <cell r="G1763">
            <v>53.9</v>
          </cell>
          <cell r="H1763">
            <v>28.7</v>
          </cell>
          <cell r="I1763" t="str">
            <v>-</v>
          </cell>
          <cell r="J1763">
            <v>26622</v>
          </cell>
          <cell r="K1763">
            <v>17</v>
          </cell>
          <cell r="L1763">
            <v>7.0000000000000007E-2</v>
          </cell>
          <cell r="M1763">
            <v>2.2819444444444446</v>
          </cell>
          <cell r="N1763">
            <v>2015</v>
          </cell>
          <cell r="O1763">
            <v>434</v>
          </cell>
          <cell r="P1763">
            <v>141</v>
          </cell>
        </row>
        <row r="1764">
          <cell r="B1764" t="str">
            <v>Hanyang University</v>
          </cell>
          <cell r="C1764" t="str">
            <v>South Korea</v>
          </cell>
          <cell r="D1764" t="str">
            <v>351-400</v>
          </cell>
          <cell r="E1764">
            <v>48.4</v>
          </cell>
          <cell r="F1764">
            <v>32.299999999999997</v>
          </cell>
          <cell r="G1764">
            <v>29</v>
          </cell>
          <cell r="H1764">
            <v>88.7</v>
          </cell>
          <cell r="I1764" t="str">
            <v>-</v>
          </cell>
          <cell r="J1764">
            <v>16729</v>
          </cell>
          <cell r="K1764">
            <v>10.4</v>
          </cell>
          <cell r="L1764">
            <v>0.19</v>
          </cell>
          <cell r="N1764">
            <v>2015</v>
          </cell>
          <cell r="O1764">
            <v>174</v>
          </cell>
          <cell r="P1764">
            <v>5</v>
          </cell>
        </row>
        <row r="1765">
          <cell r="B1765" t="str">
            <v>Hokkaido University</v>
          </cell>
          <cell r="C1765" t="str">
            <v>Japan</v>
          </cell>
          <cell r="D1765" t="str">
            <v>351-400</v>
          </cell>
          <cell r="E1765">
            <v>25.2</v>
          </cell>
          <cell r="F1765">
            <v>27.5</v>
          </cell>
          <cell r="G1765">
            <v>32.200000000000003</v>
          </cell>
          <cell r="H1765">
            <v>43.4</v>
          </cell>
          <cell r="I1765" t="str">
            <v>-</v>
          </cell>
          <cell r="J1765">
            <v>18162</v>
          </cell>
          <cell r="K1765">
            <v>8.1999999999999993</v>
          </cell>
          <cell r="L1765">
            <v>0.09</v>
          </cell>
          <cell r="M1765" t="str">
            <v>29 : 71</v>
          </cell>
          <cell r="N1765">
            <v>2015</v>
          </cell>
          <cell r="O1765">
            <v>188</v>
          </cell>
          <cell r="P1765">
            <v>12</v>
          </cell>
        </row>
        <row r="1766">
          <cell r="B1766" t="str">
            <v>Indian Institute of Technology Bombay</v>
          </cell>
          <cell r="C1766" t="str">
            <v>India</v>
          </cell>
          <cell r="D1766" t="str">
            <v>351-400</v>
          </cell>
          <cell r="E1766">
            <v>19.5</v>
          </cell>
          <cell r="F1766">
            <v>24.6</v>
          </cell>
          <cell r="G1766">
            <v>43.5</v>
          </cell>
          <cell r="H1766">
            <v>49.7</v>
          </cell>
          <cell r="I1766" t="str">
            <v>-</v>
          </cell>
          <cell r="J1766">
            <v>8327</v>
          </cell>
          <cell r="K1766">
            <v>14.9</v>
          </cell>
          <cell r="L1766">
            <v>0.01</v>
          </cell>
          <cell r="M1766">
            <v>0.72499999999999998</v>
          </cell>
          <cell r="N1766">
            <v>2015</v>
          </cell>
          <cell r="O1766">
            <v>535</v>
          </cell>
          <cell r="P1766">
            <v>4</v>
          </cell>
        </row>
        <row r="1767">
          <cell r="B1767" t="str">
            <v>Indian Institute of Technology Roorkee</v>
          </cell>
          <cell r="C1767" t="str">
            <v>India</v>
          </cell>
          <cell r="D1767" t="str">
            <v>351-400</v>
          </cell>
          <cell r="E1767">
            <v>16.600000000000001</v>
          </cell>
          <cell r="F1767">
            <v>14.3</v>
          </cell>
          <cell r="G1767">
            <v>62.6</v>
          </cell>
          <cell r="H1767">
            <v>69</v>
          </cell>
          <cell r="I1767" t="str">
            <v>-</v>
          </cell>
          <cell r="J1767">
            <v>8061</v>
          </cell>
          <cell r="K1767">
            <v>18.7</v>
          </cell>
          <cell r="L1767">
            <v>0.01</v>
          </cell>
          <cell r="M1767">
            <v>0.76597222222222228</v>
          </cell>
          <cell r="N1767">
            <v>2015</v>
          </cell>
          <cell r="O1767">
            <v>611</v>
          </cell>
          <cell r="P1767">
            <v>10</v>
          </cell>
        </row>
        <row r="1768">
          <cell r="B1768" t="str">
            <v>Isfahan University of Technology</v>
          </cell>
          <cell r="C1768" t="str">
            <v>Iran</v>
          </cell>
          <cell r="D1768" t="str">
            <v>351-400</v>
          </cell>
          <cell r="E1768">
            <v>20</v>
          </cell>
          <cell r="F1768">
            <v>27.3</v>
          </cell>
          <cell r="G1768">
            <v>48.9</v>
          </cell>
          <cell r="H1768">
            <v>84.1</v>
          </cell>
          <cell r="I1768" t="str">
            <v>-</v>
          </cell>
          <cell r="J1768">
            <v>10964</v>
          </cell>
          <cell r="K1768">
            <v>26.5</v>
          </cell>
          <cell r="L1768">
            <v>0.01</v>
          </cell>
          <cell r="M1768" t="str">
            <v>39 : 61</v>
          </cell>
          <cell r="N1768">
            <v>2015</v>
          </cell>
          <cell r="O1768">
            <v>938</v>
          </cell>
          <cell r="P1768">
            <v>4</v>
          </cell>
        </row>
        <row r="1769">
          <cell r="B1769" t="str">
            <v>King Mongkutâ€™s University of Technology Thonburi</v>
          </cell>
          <cell r="C1769" t="str">
            <v>Thailand</v>
          </cell>
          <cell r="D1769" t="str">
            <v>351-400</v>
          </cell>
          <cell r="E1769">
            <v>22.5</v>
          </cell>
          <cell r="F1769">
            <v>10</v>
          </cell>
          <cell r="G1769">
            <v>75</v>
          </cell>
          <cell r="H1769">
            <v>56.5</v>
          </cell>
          <cell r="I1769" t="str">
            <v>-</v>
          </cell>
          <cell r="J1769">
            <v>17791</v>
          </cell>
          <cell r="K1769">
            <v>23.7</v>
          </cell>
          <cell r="L1769">
            <v>0.01</v>
          </cell>
          <cell r="M1769">
            <v>1.7902777777777779</v>
          </cell>
          <cell r="N1769">
            <v>2015</v>
          </cell>
          <cell r="O1769" t="e">
            <v>#N/A</v>
          </cell>
          <cell r="P1769" t="e">
            <v>#N/A</v>
          </cell>
        </row>
        <row r="1770">
          <cell r="B1770" t="str">
            <v>Kyushu University</v>
          </cell>
          <cell r="C1770" t="str">
            <v>Japan</v>
          </cell>
          <cell r="D1770" t="str">
            <v>351-400</v>
          </cell>
          <cell r="E1770">
            <v>26.1</v>
          </cell>
          <cell r="F1770">
            <v>28.5</v>
          </cell>
          <cell r="G1770">
            <v>33.6</v>
          </cell>
          <cell r="H1770">
            <v>68.7</v>
          </cell>
          <cell r="I1770" t="str">
            <v>-</v>
          </cell>
          <cell r="J1770">
            <v>18925</v>
          </cell>
          <cell r="K1770">
            <v>6.7</v>
          </cell>
          <cell r="L1770">
            <v>0.08</v>
          </cell>
          <cell r="M1770" t="str">
            <v>28 : 72</v>
          </cell>
          <cell r="N1770">
            <v>2015</v>
          </cell>
          <cell r="O1770">
            <v>92</v>
          </cell>
          <cell r="P1770">
            <v>7</v>
          </cell>
        </row>
        <row r="1771">
          <cell r="B1771" t="str">
            <v>Lehigh University</v>
          </cell>
          <cell r="C1771" t="str">
            <v>United States of America</v>
          </cell>
          <cell r="D1771" t="str">
            <v>351-400</v>
          </cell>
          <cell r="E1771">
            <v>34.5</v>
          </cell>
          <cell r="F1771">
            <v>16.600000000000001</v>
          </cell>
          <cell r="G1771">
            <v>56.3</v>
          </cell>
          <cell r="H1771">
            <v>39.200000000000003</v>
          </cell>
          <cell r="I1771" t="str">
            <v>-</v>
          </cell>
          <cell r="J1771">
            <v>6300</v>
          </cell>
          <cell r="K1771">
            <v>11.3</v>
          </cell>
          <cell r="L1771">
            <v>0.15</v>
          </cell>
          <cell r="M1771">
            <v>1.8722222222222222</v>
          </cell>
          <cell r="N1771">
            <v>2015</v>
          </cell>
          <cell r="O1771">
            <v>258</v>
          </cell>
          <cell r="P1771">
            <v>104</v>
          </cell>
        </row>
        <row r="1772">
          <cell r="B1772" t="str">
            <v>LinkÃ¶ping University</v>
          </cell>
          <cell r="C1772" t="str">
            <v>Sweden</v>
          </cell>
          <cell r="D1772" t="str">
            <v>351-400</v>
          </cell>
          <cell r="E1772">
            <v>50.9</v>
          </cell>
          <cell r="F1772">
            <v>27.6</v>
          </cell>
          <cell r="G1772">
            <v>51.5</v>
          </cell>
          <cell r="H1772" t="str">
            <v>-</v>
          </cell>
          <cell r="I1772" t="str">
            <v>-</v>
          </cell>
          <cell r="J1772">
            <v>17866</v>
          </cell>
          <cell r="K1772">
            <v>7.7</v>
          </cell>
          <cell r="L1772">
            <v>0.1</v>
          </cell>
          <cell r="M1772">
            <v>2.2000000000000002</v>
          </cell>
          <cell r="N1772">
            <v>2015</v>
          </cell>
          <cell r="O1772">
            <v>302</v>
          </cell>
          <cell r="P1772">
            <v>8</v>
          </cell>
        </row>
        <row r="1773">
          <cell r="B1773" t="str">
            <v>Murdoch University</v>
          </cell>
          <cell r="C1773" t="str">
            <v>Australia</v>
          </cell>
          <cell r="D1773" t="str">
            <v>351-400</v>
          </cell>
          <cell r="E1773">
            <v>85.3</v>
          </cell>
          <cell r="F1773">
            <v>17.8</v>
          </cell>
          <cell r="G1773">
            <v>46.5</v>
          </cell>
          <cell r="H1773">
            <v>40.5</v>
          </cell>
          <cell r="I1773" t="str">
            <v>-</v>
          </cell>
          <cell r="J1773">
            <v>16606</v>
          </cell>
          <cell r="K1773">
            <v>32.799999999999997</v>
          </cell>
          <cell r="L1773">
            <v>0.43</v>
          </cell>
          <cell r="M1773">
            <v>2.4868055555555557</v>
          </cell>
          <cell r="N1773">
            <v>2015</v>
          </cell>
          <cell r="O1773">
            <v>836</v>
          </cell>
          <cell r="P1773">
            <v>22</v>
          </cell>
        </row>
        <row r="1774">
          <cell r="B1774" t="str">
            <v>National Cheng Kung University</v>
          </cell>
          <cell r="C1774" t="str">
            <v>Taiwan</v>
          </cell>
          <cell r="D1774" t="str">
            <v>351-400</v>
          </cell>
          <cell r="E1774">
            <v>26.7</v>
          </cell>
          <cell r="F1774">
            <v>40.1</v>
          </cell>
          <cell r="G1774">
            <v>28.4</v>
          </cell>
          <cell r="H1774">
            <v>100</v>
          </cell>
          <cell r="I1774" t="str">
            <v>-</v>
          </cell>
          <cell r="J1774">
            <v>21234</v>
          </cell>
          <cell r="K1774">
            <v>14.4</v>
          </cell>
          <cell r="L1774">
            <v>0.11</v>
          </cell>
          <cell r="M1774" t="str">
            <v>36 : 64</v>
          </cell>
          <cell r="N1774">
            <v>2015</v>
          </cell>
          <cell r="O1774">
            <v>246</v>
          </cell>
          <cell r="P1774">
            <v>2</v>
          </cell>
        </row>
        <row r="1775">
          <cell r="B1775" t="str">
            <v>National Sun Yat-Sen University</v>
          </cell>
          <cell r="C1775" t="str">
            <v>Taiwan</v>
          </cell>
          <cell r="D1775" t="str">
            <v>351-400</v>
          </cell>
          <cell r="E1775">
            <v>24.2</v>
          </cell>
          <cell r="F1775">
            <v>32.9</v>
          </cell>
          <cell r="G1775">
            <v>39</v>
          </cell>
          <cell r="H1775">
            <v>47</v>
          </cell>
          <cell r="I1775" t="str">
            <v>-</v>
          </cell>
          <cell r="J1775">
            <v>9336</v>
          </cell>
          <cell r="K1775">
            <v>19.600000000000001</v>
          </cell>
          <cell r="L1775">
            <v>0.04</v>
          </cell>
          <cell r="M1775" t="str">
            <v>37 : 63</v>
          </cell>
          <cell r="N1775">
            <v>2015</v>
          </cell>
          <cell r="O1775">
            <v>791</v>
          </cell>
          <cell r="P1775">
            <v>11</v>
          </cell>
        </row>
        <row r="1776">
          <cell r="B1776" t="str">
            <v>National Taiwan University of Science and Technology (Taiwan Tech)</v>
          </cell>
          <cell r="C1776" t="str">
            <v>Taiwan</v>
          </cell>
          <cell r="D1776" t="str">
            <v>351-400</v>
          </cell>
          <cell r="E1776">
            <v>26.7</v>
          </cell>
          <cell r="F1776">
            <v>42.6</v>
          </cell>
          <cell r="G1776">
            <v>30.9</v>
          </cell>
          <cell r="H1776">
            <v>82</v>
          </cell>
          <cell r="I1776" t="str">
            <v>-</v>
          </cell>
          <cell r="J1776">
            <v>7446</v>
          </cell>
          <cell r="K1776">
            <v>17.399999999999999</v>
          </cell>
          <cell r="L1776">
            <v>0.11</v>
          </cell>
          <cell r="M1776" t="str">
            <v>34 : 66</v>
          </cell>
          <cell r="N1776">
            <v>2015</v>
          </cell>
          <cell r="O1776" t="e">
            <v>#N/A</v>
          </cell>
          <cell r="P1776" t="e">
            <v>#N/A</v>
          </cell>
        </row>
        <row r="1777">
          <cell r="B1777" t="str">
            <v>Royal College of Surgeons in Ireland</v>
          </cell>
          <cell r="C1777" t="str">
            <v>Republic of Ireland</v>
          </cell>
          <cell r="D1777" t="str">
            <v>351-400</v>
          </cell>
          <cell r="E1777">
            <v>82.6</v>
          </cell>
          <cell r="F1777">
            <v>18.899999999999999</v>
          </cell>
          <cell r="G1777">
            <v>43.5</v>
          </cell>
          <cell r="H1777">
            <v>28.4</v>
          </cell>
          <cell r="I1777" t="str">
            <v>-</v>
          </cell>
          <cell r="J1777">
            <v>2473</v>
          </cell>
          <cell r="K1777">
            <v>15.6</v>
          </cell>
          <cell r="L1777">
            <v>0.63</v>
          </cell>
          <cell r="M1777">
            <v>2.3229166666666665</v>
          </cell>
          <cell r="N1777">
            <v>2015</v>
          </cell>
          <cell r="O1777">
            <v>647</v>
          </cell>
          <cell r="P1777">
            <v>5</v>
          </cell>
        </row>
        <row r="1778">
          <cell r="B1778" t="str">
            <v>Ruhr University Bochum</v>
          </cell>
          <cell r="C1778" t="str">
            <v>Germany</v>
          </cell>
          <cell r="D1778" t="str">
            <v>351-400</v>
          </cell>
          <cell r="E1778">
            <v>53.6</v>
          </cell>
          <cell r="F1778">
            <v>22.5</v>
          </cell>
          <cell r="G1778">
            <v>42</v>
          </cell>
          <cell r="H1778">
            <v>47.4</v>
          </cell>
          <cell r="I1778" t="str">
            <v>-</v>
          </cell>
          <cell r="J1778">
            <v>38675</v>
          </cell>
          <cell r="K1778">
            <v>46.3</v>
          </cell>
          <cell r="L1778">
            <v>0.13</v>
          </cell>
          <cell r="M1778">
            <v>2.036111111111111</v>
          </cell>
          <cell r="N1778">
            <v>2015</v>
          </cell>
          <cell r="O1778">
            <v>304</v>
          </cell>
          <cell r="P1778">
            <v>28</v>
          </cell>
        </row>
        <row r="1779">
          <cell r="B1779" t="str">
            <v>Swinburne University of Technology</v>
          </cell>
          <cell r="C1779" t="str">
            <v>Australia</v>
          </cell>
          <cell r="D1779" t="str">
            <v>351-400</v>
          </cell>
          <cell r="E1779">
            <v>86.9</v>
          </cell>
          <cell r="F1779">
            <v>16.3</v>
          </cell>
          <cell r="G1779">
            <v>50.2</v>
          </cell>
          <cell r="H1779">
            <v>38.799999999999997</v>
          </cell>
          <cell r="I1779" t="str">
            <v>-</v>
          </cell>
          <cell r="J1779">
            <v>20314</v>
          </cell>
          <cell r="K1779">
            <v>36.5</v>
          </cell>
          <cell r="L1779">
            <v>0.33</v>
          </cell>
          <cell r="M1779">
            <v>1.8722222222222222</v>
          </cell>
          <cell r="N1779">
            <v>2015</v>
          </cell>
          <cell r="O1779">
            <v>737</v>
          </cell>
          <cell r="P1779">
            <v>21</v>
          </cell>
        </row>
        <row r="1780">
          <cell r="B1780" t="str">
            <v>UiT The Arctic University of Norway</v>
          </cell>
          <cell r="C1780" t="str">
            <v>Norway</v>
          </cell>
          <cell r="D1780" t="str">
            <v>351-400</v>
          </cell>
          <cell r="E1780">
            <v>60</v>
          </cell>
          <cell r="F1780">
            <v>16.899999999999999</v>
          </cell>
          <cell r="G1780">
            <v>53.2</v>
          </cell>
          <cell r="H1780">
            <v>38.799999999999997</v>
          </cell>
          <cell r="I1780" t="str">
            <v>-</v>
          </cell>
          <cell r="J1780">
            <v>10398</v>
          </cell>
          <cell r="K1780">
            <v>12.2</v>
          </cell>
          <cell r="L1780">
            <v>0.1</v>
          </cell>
          <cell r="M1780">
            <v>2.5277777777777777</v>
          </cell>
          <cell r="N1780">
            <v>2015</v>
          </cell>
          <cell r="O1780" t="e">
            <v>#N/A</v>
          </cell>
          <cell r="P1780" t="e">
            <v>#N/A</v>
          </cell>
        </row>
        <row r="1781">
          <cell r="B1781" t="str">
            <v>UmeÃ¥ University</v>
          </cell>
          <cell r="C1781" t="str">
            <v>Sweden</v>
          </cell>
          <cell r="D1781" t="str">
            <v>351-400</v>
          </cell>
          <cell r="E1781">
            <v>50.3</v>
          </cell>
          <cell r="F1781">
            <v>25.7</v>
          </cell>
          <cell r="G1781">
            <v>52.7</v>
          </cell>
          <cell r="H1781">
            <v>31.3</v>
          </cell>
          <cell r="I1781" t="str">
            <v>-</v>
          </cell>
          <cell r="J1781">
            <v>16667</v>
          </cell>
          <cell r="K1781">
            <v>11.9</v>
          </cell>
          <cell r="L1781">
            <v>7.0000000000000007E-2</v>
          </cell>
          <cell r="M1781">
            <v>2.5277777777777777</v>
          </cell>
          <cell r="N1781">
            <v>2015</v>
          </cell>
          <cell r="O1781">
            <v>289</v>
          </cell>
          <cell r="P1781">
            <v>7</v>
          </cell>
        </row>
        <row r="1782">
          <cell r="B1782" t="str">
            <v>University of Bari Aldo Moro</v>
          </cell>
          <cell r="C1782" t="str">
            <v>Italy</v>
          </cell>
          <cell r="D1782" t="str">
            <v>351-400</v>
          </cell>
          <cell r="E1782">
            <v>38.1</v>
          </cell>
          <cell r="F1782">
            <v>18.100000000000001</v>
          </cell>
          <cell r="G1782">
            <v>52</v>
          </cell>
          <cell r="H1782">
            <v>35.200000000000003</v>
          </cell>
          <cell r="I1782" t="str">
            <v>-</v>
          </cell>
          <cell r="J1782">
            <v>51560</v>
          </cell>
          <cell r="K1782">
            <v>65.099999999999994</v>
          </cell>
          <cell r="L1782">
            <v>0.02</v>
          </cell>
          <cell r="M1782">
            <v>2.7326388888888888</v>
          </cell>
          <cell r="N1782">
            <v>2015</v>
          </cell>
          <cell r="O1782">
            <v>388</v>
          </cell>
          <cell r="P1782">
            <v>18</v>
          </cell>
        </row>
        <row r="1783">
          <cell r="B1783" t="str">
            <v>University of Eastern Finland</v>
          </cell>
          <cell r="C1783" t="str">
            <v>Finland</v>
          </cell>
          <cell r="D1783" t="str">
            <v>351-400</v>
          </cell>
          <cell r="E1783">
            <v>44.1</v>
          </cell>
          <cell r="F1783">
            <v>21.6</v>
          </cell>
          <cell r="G1783">
            <v>53.8</v>
          </cell>
          <cell r="H1783">
            <v>32.799999999999997</v>
          </cell>
          <cell r="I1783" t="str">
            <v>-</v>
          </cell>
          <cell r="J1783">
            <v>10798</v>
          </cell>
          <cell r="K1783">
            <v>17.3</v>
          </cell>
          <cell r="L1783">
            <v>0.06</v>
          </cell>
          <cell r="M1783">
            <v>2.6916666666666669</v>
          </cell>
          <cell r="N1783">
            <v>2015</v>
          </cell>
          <cell r="O1783">
            <v>373</v>
          </cell>
          <cell r="P1783">
            <v>2</v>
          </cell>
        </row>
        <row r="1784">
          <cell r="B1784" t="str">
            <v>University of Ferrara</v>
          </cell>
          <cell r="C1784" t="str">
            <v>Italy</v>
          </cell>
          <cell r="D1784" t="str">
            <v>351-400</v>
          </cell>
          <cell r="E1784">
            <v>42.1</v>
          </cell>
          <cell r="F1784">
            <v>15.2</v>
          </cell>
          <cell r="G1784">
            <v>64.5</v>
          </cell>
          <cell r="H1784">
            <v>40.4</v>
          </cell>
          <cell r="I1784" t="str">
            <v>-</v>
          </cell>
          <cell r="J1784">
            <v>18882</v>
          </cell>
          <cell r="K1784">
            <v>30.2</v>
          </cell>
          <cell r="L1784">
            <v>7.0000000000000007E-2</v>
          </cell>
          <cell r="M1784">
            <v>2.3638888888888889</v>
          </cell>
          <cell r="N1784">
            <v>2015</v>
          </cell>
          <cell r="O1784">
            <v>387</v>
          </cell>
          <cell r="P1784">
            <v>17</v>
          </cell>
        </row>
        <row r="1785">
          <cell r="B1785" t="str">
            <v>University of Florence</v>
          </cell>
          <cell r="C1785" t="str">
            <v>Italy</v>
          </cell>
          <cell r="D1785" t="str">
            <v>351-400</v>
          </cell>
          <cell r="E1785">
            <v>37.4</v>
          </cell>
          <cell r="F1785">
            <v>17.3</v>
          </cell>
          <cell r="G1785">
            <v>60.8</v>
          </cell>
          <cell r="H1785">
            <v>35.4</v>
          </cell>
          <cell r="I1785" t="str">
            <v>-</v>
          </cell>
          <cell r="J1785">
            <v>54290</v>
          </cell>
          <cell r="K1785">
            <v>17.2</v>
          </cell>
          <cell r="L1785">
            <v>7.0000000000000007E-2</v>
          </cell>
          <cell r="M1785">
            <v>2.4868055555555557</v>
          </cell>
          <cell r="N1785">
            <v>2015</v>
          </cell>
          <cell r="O1785">
            <v>266</v>
          </cell>
          <cell r="P1785">
            <v>6</v>
          </cell>
        </row>
        <row r="1786">
          <cell r="B1786" t="str">
            <v>University of Graz</v>
          </cell>
          <cell r="C1786" t="str">
            <v>Austria</v>
          </cell>
          <cell r="D1786" t="str">
            <v>351-400</v>
          </cell>
          <cell r="E1786">
            <v>64.8</v>
          </cell>
          <cell r="F1786">
            <v>17.3</v>
          </cell>
          <cell r="G1786">
            <v>55.1</v>
          </cell>
          <cell r="H1786">
            <v>30.2</v>
          </cell>
          <cell r="I1786" t="str">
            <v>-</v>
          </cell>
          <cell r="J1786">
            <v>20584</v>
          </cell>
          <cell r="K1786">
            <v>26.8</v>
          </cell>
          <cell r="L1786">
            <v>0.12</v>
          </cell>
          <cell r="M1786">
            <v>2.7326388888888888</v>
          </cell>
          <cell r="N1786">
            <v>2015</v>
          </cell>
          <cell r="O1786">
            <v>518</v>
          </cell>
          <cell r="P1786">
            <v>6</v>
          </cell>
        </row>
        <row r="1787">
          <cell r="B1787" t="str">
            <v>University of Hertfordshire</v>
          </cell>
          <cell r="C1787" t="str">
            <v>United Kingdom</v>
          </cell>
          <cell r="D1787" t="str">
            <v>351-400</v>
          </cell>
          <cell r="E1787">
            <v>74.900000000000006</v>
          </cell>
          <cell r="F1787">
            <v>10.9</v>
          </cell>
          <cell r="G1787">
            <v>65</v>
          </cell>
          <cell r="H1787">
            <v>29.6</v>
          </cell>
          <cell r="I1787" t="str">
            <v>-</v>
          </cell>
          <cell r="J1787">
            <v>19665</v>
          </cell>
          <cell r="K1787">
            <v>19.399999999999999</v>
          </cell>
          <cell r="L1787">
            <v>0.27</v>
          </cell>
          <cell r="M1787">
            <v>2.2819444444444446</v>
          </cell>
          <cell r="N1787">
            <v>2015</v>
          </cell>
          <cell r="O1787">
            <v>645</v>
          </cell>
          <cell r="P1787">
            <v>49</v>
          </cell>
        </row>
        <row r="1788">
          <cell r="B1788" t="str">
            <v>University of Lisbon</v>
          </cell>
          <cell r="C1788" t="str">
            <v>Portugal</v>
          </cell>
          <cell r="D1788" t="str">
            <v>351-400</v>
          </cell>
          <cell r="E1788">
            <v>46.8</v>
          </cell>
          <cell r="F1788">
            <v>22.8</v>
          </cell>
          <cell r="G1788">
            <v>44.8</v>
          </cell>
          <cell r="H1788">
            <v>33.9</v>
          </cell>
          <cell r="I1788" t="str">
            <v>-</v>
          </cell>
          <cell r="J1788">
            <v>47849</v>
          </cell>
          <cell r="K1788">
            <v>17.5</v>
          </cell>
          <cell r="L1788">
            <v>0.09</v>
          </cell>
          <cell r="M1788">
            <v>2.1590277777777778</v>
          </cell>
          <cell r="N1788">
            <v>2015</v>
          </cell>
          <cell r="O1788">
            <v>278</v>
          </cell>
          <cell r="P1788">
            <v>1</v>
          </cell>
        </row>
        <row r="1789">
          <cell r="B1789" t="str">
            <v>University of LiÃ¨ge</v>
          </cell>
          <cell r="C1789" t="str">
            <v>Belgium</v>
          </cell>
          <cell r="D1789" t="str">
            <v>351-400</v>
          </cell>
          <cell r="E1789">
            <v>69.099999999999994</v>
          </cell>
          <cell r="F1789">
            <v>18.399999999999999</v>
          </cell>
          <cell r="G1789">
            <v>44.6</v>
          </cell>
          <cell r="H1789">
            <v>70.400000000000006</v>
          </cell>
          <cell r="I1789" t="str">
            <v>-</v>
          </cell>
          <cell r="J1789">
            <v>20951</v>
          </cell>
          <cell r="K1789">
            <v>25.9</v>
          </cell>
          <cell r="L1789">
            <v>0.23</v>
          </cell>
          <cell r="M1789">
            <v>2.2819444444444446</v>
          </cell>
          <cell r="N1789">
            <v>2015</v>
          </cell>
          <cell r="O1789">
            <v>316</v>
          </cell>
          <cell r="P1789">
            <v>6</v>
          </cell>
        </row>
        <row r="1790">
          <cell r="B1790" t="str">
            <v>University of Minho</v>
          </cell>
          <cell r="C1790" t="str">
            <v>Portugal</v>
          </cell>
          <cell r="D1790" t="str">
            <v>351-400</v>
          </cell>
          <cell r="E1790">
            <v>49.7</v>
          </cell>
          <cell r="F1790">
            <v>16.2</v>
          </cell>
          <cell r="G1790">
            <v>60.6</v>
          </cell>
          <cell r="H1790">
            <v>44.5</v>
          </cell>
          <cell r="I1790" t="str">
            <v>-</v>
          </cell>
          <cell r="J1790">
            <v>19090</v>
          </cell>
          <cell r="K1790">
            <v>18.8</v>
          </cell>
          <cell r="L1790">
            <v>0.09</v>
          </cell>
          <cell r="M1790">
            <v>2.2000000000000002</v>
          </cell>
          <cell r="N1790">
            <v>2015</v>
          </cell>
          <cell r="O1790">
            <v>679</v>
          </cell>
          <cell r="P1790">
            <v>6</v>
          </cell>
        </row>
        <row r="1791">
          <cell r="B1791" t="str">
            <v>University of Missouri</v>
          </cell>
          <cell r="C1791" t="str">
            <v>United States of America</v>
          </cell>
          <cell r="D1791" t="str">
            <v>351-400</v>
          </cell>
          <cell r="E1791">
            <v>29.6</v>
          </cell>
          <cell r="F1791">
            <v>22</v>
          </cell>
          <cell r="G1791">
            <v>46.6</v>
          </cell>
          <cell r="H1791">
            <v>31.2</v>
          </cell>
          <cell r="I1791" t="str">
            <v>-</v>
          </cell>
          <cell r="J1791">
            <v>29885</v>
          </cell>
          <cell r="K1791">
            <v>14.1</v>
          </cell>
          <cell r="L1791">
            <v>0.05</v>
          </cell>
          <cell r="M1791">
            <v>2.2409722222222221</v>
          </cell>
          <cell r="N1791">
            <v>2015</v>
          </cell>
          <cell r="O1791" t="e">
            <v>#N/A</v>
          </cell>
          <cell r="P1791" t="e">
            <v>#N/A</v>
          </cell>
        </row>
        <row r="1792">
          <cell r="B1792" t="str">
            <v>University of Navarra</v>
          </cell>
          <cell r="C1792" t="str">
            <v>Spain</v>
          </cell>
          <cell r="D1792" t="str">
            <v>351-400</v>
          </cell>
          <cell r="E1792">
            <v>46.2</v>
          </cell>
          <cell r="F1792">
            <v>22.3</v>
          </cell>
          <cell r="G1792">
            <v>41.7</v>
          </cell>
          <cell r="H1792">
            <v>90.2</v>
          </cell>
          <cell r="I1792" t="str">
            <v>-</v>
          </cell>
          <cell r="J1792">
            <v>11259</v>
          </cell>
          <cell r="K1792">
            <v>10.6</v>
          </cell>
          <cell r="L1792">
            <v>0.16</v>
          </cell>
          <cell r="M1792">
            <v>2.2000000000000002</v>
          </cell>
          <cell r="N1792">
            <v>2015</v>
          </cell>
          <cell r="O1792">
            <v>347</v>
          </cell>
          <cell r="P1792">
            <v>6</v>
          </cell>
        </row>
        <row r="1793">
          <cell r="B1793" t="str">
            <v>University of Portsmouth</v>
          </cell>
          <cell r="C1793" t="str">
            <v>United Kingdom</v>
          </cell>
          <cell r="D1793" t="str">
            <v>351-400</v>
          </cell>
          <cell r="E1793">
            <v>73.3</v>
          </cell>
          <cell r="F1793">
            <v>10.6</v>
          </cell>
          <cell r="G1793">
            <v>61.6</v>
          </cell>
          <cell r="H1793">
            <v>29.2</v>
          </cell>
          <cell r="I1793" t="str">
            <v>-</v>
          </cell>
          <cell r="J1793">
            <v>20161</v>
          </cell>
          <cell r="K1793">
            <v>19.100000000000001</v>
          </cell>
          <cell r="L1793">
            <v>0.23</v>
          </cell>
          <cell r="M1793">
            <v>1.9131944444444444</v>
          </cell>
          <cell r="N1793">
            <v>2015</v>
          </cell>
          <cell r="O1793">
            <v>640</v>
          </cell>
          <cell r="P1793">
            <v>48</v>
          </cell>
        </row>
        <row r="1794">
          <cell r="B1794" t="str">
            <v>University of Rome III</v>
          </cell>
          <cell r="C1794" t="str">
            <v>Italy</v>
          </cell>
          <cell r="D1794" t="str">
            <v>351-400</v>
          </cell>
          <cell r="E1794">
            <v>48</v>
          </cell>
          <cell r="F1794">
            <v>11.8</v>
          </cell>
          <cell r="G1794">
            <v>62.1</v>
          </cell>
          <cell r="H1794">
            <v>37.700000000000003</v>
          </cell>
          <cell r="I1794" t="str">
            <v>-</v>
          </cell>
          <cell r="J1794">
            <v>36353</v>
          </cell>
          <cell r="K1794">
            <v>61.2</v>
          </cell>
          <cell r="L1794">
            <v>0.05</v>
          </cell>
          <cell r="M1794">
            <v>2.4868055555555557</v>
          </cell>
          <cell r="N1794">
            <v>2015</v>
          </cell>
          <cell r="O1794" t="e">
            <v>#N/A</v>
          </cell>
          <cell r="P1794" t="e">
            <v>#N/A</v>
          </cell>
        </row>
        <row r="1795">
          <cell r="B1795" t="str">
            <v>University of Seoul</v>
          </cell>
          <cell r="C1795" t="str">
            <v>South Korea</v>
          </cell>
          <cell r="D1795" t="str">
            <v>351-400</v>
          </cell>
          <cell r="E1795">
            <v>34.299999999999997</v>
          </cell>
          <cell r="F1795">
            <v>20.2</v>
          </cell>
          <cell r="G1795">
            <v>63.3</v>
          </cell>
          <cell r="H1795">
            <v>29.1</v>
          </cell>
          <cell r="I1795" t="str">
            <v>-</v>
          </cell>
          <cell r="J1795">
            <v>10243</v>
          </cell>
          <cell r="K1795">
            <v>19</v>
          </cell>
          <cell r="L1795">
            <v>0.03</v>
          </cell>
          <cell r="M1795" t="str">
            <v>36 : 64</v>
          </cell>
          <cell r="N1795">
            <v>2015</v>
          </cell>
          <cell r="O1795">
            <v>970</v>
          </cell>
          <cell r="P1795">
            <v>34</v>
          </cell>
        </row>
        <row r="1796">
          <cell r="B1796" t="str">
            <v>University of Turku</v>
          </cell>
          <cell r="C1796" t="str">
            <v>Finland</v>
          </cell>
          <cell r="D1796" t="str">
            <v>351-400</v>
          </cell>
          <cell r="E1796">
            <v>46.3</v>
          </cell>
          <cell r="F1796">
            <v>21.8</v>
          </cell>
          <cell r="G1796">
            <v>47.7</v>
          </cell>
          <cell r="H1796">
            <v>32.1</v>
          </cell>
          <cell r="I1796" t="str">
            <v>-</v>
          </cell>
          <cell r="J1796">
            <v>12326</v>
          </cell>
          <cell r="K1796">
            <v>14.6</v>
          </cell>
          <cell r="L1796">
            <v>0.05</v>
          </cell>
          <cell r="M1796">
            <v>2.5687500000000001</v>
          </cell>
          <cell r="N1796">
            <v>2015</v>
          </cell>
          <cell r="O1796">
            <v>391</v>
          </cell>
          <cell r="P1796">
            <v>3</v>
          </cell>
        </row>
        <row r="1797">
          <cell r="B1797" t="str">
            <v>University of Vermont</v>
          </cell>
          <cell r="C1797" t="str">
            <v>United States of America</v>
          </cell>
          <cell r="D1797" t="str">
            <v>351-400</v>
          </cell>
          <cell r="E1797">
            <v>21</v>
          </cell>
          <cell r="F1797">
            <v>19.399999999999999</v>
          </cell>
          <cell r="G1797">
            <v>57.5</v>
          </cell>
          <cell r="H1797" t="str">
            <v>-</v>
          </cell>
          <cell r="I1797" t="str">
            <v>-</v>
          </cell>
          <cell r="N1797">
            <v>2015</v>
          </cell>
          <cell r="O1797">
            <v>320</v>
          </cell>
          <cell r="P1797">
            <v>121</v>
          </cell>
        </row>
        <row r="1798">
          <cell r="B1798" t="str">
            <v>University of Waikato</v>
          </cell>
          <cell r="C1798" t="str">
            <v>New Zealand</v>
          </cell>
          <cell r="D1798" t="str">
            <v>351-400</v>
          </cell>
          <cell r="E1798">
            <v>80.3</v>
          </cell>
          <cell r="F1798">
            <v>17</v>
          </cell>
          <cell r="G1798">
            <v>50</v>
          </cell>
          <cell r="H1798">
            <v>50</v>
          </cell>
          <cell r="I1798" t="str">
            <v>-</v>
          </cell>
          <cell r="J1798">
            <v>10159</v>
          </cell>
          <cell r="K1798">
            <v>17</v>
          </cell>
          <cell r="L1798">
            <v>0.25</v>
          </cell>
          <cell r="M1798">
            <v>2.4048611111111109</v>
          </cell>
          <cell r="N1798">
            <v>2015</v>
          </cell>
          <cell r="O1798">
            <v>879</v>
          </cell>
          <cell r="P1798">
            <v>6</v>
          </cell>
        </row>
        <row r="1799">
          <cell r="B1799" t="str">
            <v>Vrije Universiteit Brussel</v>
          </cell>
          <cell r="C1799" t="str">
            <v>Belgium</v>
          </cell>
          <cell r="D1799" t="str">
            <v>351-400</v>
          </cell>
          <cell r="E1799">
            <v>54.5</v>
          </cell>
          <cell r="F1799">
            <v>17.899999999999999</v>
          </cell>
          <cell r="G1799">
            <v>48.1</v>
          </cell>
          <cell r="H1799">
            <v>44.8</v>
          </cell>
          <cell r="I1799" t="str">
            <v>-</v>
          </cell>
          <cell r="J1799">
            <v>9020</v>
          </cell>
          <cell r="K1799">
            <v>17.100000000000001</v>
          </cell>
          <cell r="L1799">
            <v>0.16</v>
          </cell>
          <cell r="M1799">
            <v>2.3229166666666665</v>
          </cell>
          <cell r="N1799">
            <v>2015</v>
          </cell>
          <cell r="O1799">
            <v>248</v>
          </cell>
          <cell r="P1799">
            <v>5</v>
          </cell>
        </row>
        <row r="1800">
          <cell r="B1800" t="str">
            <v>Waseda University</v>
          </cell>
          <cell r="C1800" t="str">
            <v>Japan</v>
          </cell>
          <cell r="D1800" t="str">
            <v>351-400</v>
          </cell>
          <cell r="E1800">
            <v>43.1</v>
          </cell>
          <cell r="F1800">
            <v>16.3</v>
          </cell>
          <cell r="G1800">
            <v>55.5</v>
          </cell>
          <cell r="H1800">
            <v>32.6</v>
          </cell>
          <cell r="I1800" t="str">
            <v>-</v>
          </cell>
          <cell r="J1800">
            <v>52316</v>
          </cell>
          <cell r="K1800">
            <v>16.899999999999999</v>
          </cell>
          <cell r="L1800">
            <v>0.08</v>
          </cell>
          <cell r="M1800" t="str">
            <v>35 : 65</v>
          </cell>
          <cell r="N1800">
            <v>2015</v>
          </cell>
          <cell r="O1800">
            <v>40</v>
          </cell>
          <cell r="P1800">
            <v>4</v>
          </cell>
        </row>
        <row r="1801">
          <cell r="B1801" t="str">
            <v>Washington State University</v>
          </cell>
          <cell r="C1801" t="str">
            <v>United States of America</v>
          </cell>
          <cell r="D1801" t="str">
            <v>351-400</v>
          </cell>
          <cell r="E1801">
            <v>36</v>
          </cell>
          <cell r="F1801">
            <v>27.5</v>
          </cell>
          <cell r="G1801">
            <v>44.2</v>
          </cell>
          <cell r="H1801">
            <v>54.5</v>
          </cell>
          <cell r="I1801" t="str">
            <v>-</v>
          </cell>
          <cell r="J1801">
            <v>24550</v>
          </cell>
          <cell r="K1801">
            <v>18.3</v>
          </cell>
          <cell r="L1801">
            <v>7.0000000000000007E-2</v>
          </cell>
          <cell r="M1801">
            <v>2.1180555555555554</v>
          </cell>
          <cell r="N1801">
            <v>2015</v>
          </cell>
          <cell r="O1801" t="e">
            <v>#N/A</v>
          </cell>
          <cell r="P1801" t="e">
            <v>#N/A</v>
          </cell>
        </row>
        <row r="1802">
          <cell r="B1802" t="str">
            <v>Western Sydney University</v>
          </cell>
          <cell r="C1802" t="str">
            <v>Australia</v>
          </cell>
          <cell r="D1802" t="str">
            <v>351-400</v>
          </cell>
          <cell r="E1802">
            <v>50.1</v>
          </cell>
          <cell r="F1802">
            <v>22.4</v>
          </cell>
          <cell r="G1802">
            <v>58.7</v>
          </cell>
          <cell r="H1802">
            <v>30.4</v>
          </cell>
          <cell r="I1802" t="str">
            <v>-</v>
          </cell>
          <cell r="J1802">
            <v>30704</v>
          </cell>
          <cell r="K1802">
            <v>32.200000000000003</v>
          </cell>
          <cell r="L1802">
            <v>0.09</v>
          </cell>
          <cell r="M1802">
            <v>2.3638888888888889</v>
          </cell>
          <cell r="N1802">
            <v>2015</v>
          </cell>
          <cell r="O1802" t="e">
            <v>#N/A</v>
          </cell>
          <cell r="P1802" t="e">
            <v>#N/A</v>
          </cell>
        </row>
        <row r="1803">
          <cell r="B1803" t="str">
            <v>Wuhan University</v>
          </cell>
          <cell r="C1803" t="str">
            <v>China</v>
          </cell>
          <cell r="D1803" t="str">
            <v>351-400</v>
          </cell>
          <cell r="E1803">
            <v>33.1</v>
          </cell>
          <cell r="F1803">
            <v>17.399999999999999</v>
          </cell>
          <cell r="G1803">
            <v>48.5</v>
          </cell>
          <cell r="H1803">
            <v>85.9</v>
          </cell>
          <cell r="I1803" t="str">
            <v>-</v>
          </cell>
          <cell r="J1803">
            <v>46227</v>
          </cell>
          <cell r="K1803">
            <v>14.4</v>
          </cell>
          <cell r="L1803">
            <v>7.0000000000000007E-2</v>
          </cell>
          <cell r="N1803">
            <v>2015</v>
          </cell>
          <cell r="O1803">
            <v>438</v>
          </cell>
          <cell r="P1803">
            <v>19</v>
          </cell>
        </row>
        <row r="1804">
          <cell r="B1804" t="str">
            <v>Wuhan University of Technology</v>
          </cell>
          <cell r="C1804" t="str">
            <v>China</v>
          </cell>
          <cell r="D1804" t="str">
            <v>351-400</v>
          </cell>
          <cell r="E1804">
            <v>21.4</v>
          </cell>
          <cell r="F1804">
            <v>8</v>
          </cell>
          <cell r="G1804">
            <v>75.8</v>
          </cell>
          <cell r="H1804">
            <v>57.8</v>
          </cell>
          <cell r="I1804" t="str">
            <v>-</v>
          </cell>
          <cell r="J1804">
            <v>50260</v>
          </cell>
          <cell r="K1804">
            <v>14.9</v>
          </cell>
          <cell r="L1804">
            <v>0.02</v>
          </cell>
          <cell r="M1804" t="str">
            <v>31 : 69</v>
          </cell>
          <cell r="N1804">
            <v>2015</v>
          </cell>
          <cell r="O1804">
            <v>751</v>
          </cell>
          <cell r="P1804">
            <v>40</v>
          </cell>
        </row>
        <row r="1805">
          <cell r="B1805" t="str">
            <v>California Institute of Technology</v>
          </cell>
          <cell r="C1805" t="str">
            <v>United States of America</v>
          </cell>
          <cell r="D1805">
            <v>1</v>
          </cell>
          <cell r="E1805">
            <v>64</v>
          </cell>
          <cell r="F1805">
            <v>97.6</v>
          </cell>
          <cell r="G1805">
            <v>99.8</v>
          </cell>
          <cell r="H1805">
            <v>97.8</v>
          </cell>
          <cell r="I1805">
            <v>95.2</v>
          </cell>
          <cell r="J1805">
            <v>2243</v>
          </cell>
          <cell r="K1805">
            <v>6.9</v>
          </cell>
          <cell r="L1805">
            <v>0.27</v>
          </cell>
          <cell r="M1805" t="str">
            <v>33 : 67</v>
          </cell>
          <cell r="N1805">
            <v>2016</v>
          </cell>
          <cell r="O1805">
            <v>5</v>
          </cell>
          <cell r="P1805">
            <v>4</v>
          </cell>
        </row>
        <row r="1806">
          <cell r="B1806" t="str">
            <v>University of Oxford</v>
          </cell>
          <cell r="C1806" t="str">
            <v>United Kingdom</v>
          </cell>
          <cell r="D1806">
            <v>2</v>
          </cell>
          <cell r="E1806">
            <v>94.4</v>
          </cell>
          <cell r="F1806">
            <v>98.9</v>
          </cell>
          <cell r="G1806">
            <v>98.8</v>
          </cell>
          <cell r="H1806">
            <v>73.099999999999994</v>
          </cell>
          <cell r="I1806">
            <v>94.2</v>
          </cell>
          <cell r="J1806">
            <v>19919</v>
          </cell>
          <cell r="K1806">
            <v>11.6</v>
          </cell>
          <cell r="L1806">
            <v>0.34</v>
          </cell>
          <cell r="M1806">
            <v>1.9541666666666666</v>
          </cell>
          <cell r="N1806">
            <v>2016</v>
          </cell>
          <cell r="O1806">
            <v>7</v>
          </cell>
          <cell r="P1806">
            <v>2</v>
          </cell>
        </row>
        <row r="1807">
          <cell r="B1807" t="str">
            <v>Stanford University</v>
          </cell>
          <cell r="C1807" t="str">
            <v>United States of America</v>
          </cell>
          <cell r="D1807">
            <v>3</v>
          </cell>
          <cell r="E1807">
            <v>76.3</v>
          </cell>
          <cell r="F1807">
            <v>96.2</v>
          </cell>
          <cell r="G1807">
            <v>99.9</v>
          </cell>
          <cell r="H1807">
            <v>63.3</v>
          </cell>
          <cell r="I1807">
            <v>93.9</v>
          </cell>
          <cell r="J1807">
            <v>15596</v>
          </cell>
          <cell r="K1807">
            <v>7.8</v>
          </cell>
          <cell r="L1807">
            <v>0.22</v>
          </cell>
          <cell r="M1807">
            <v>1.7902777777777779</v>
          </cell>
          <cell r="N1807">
            <v>2016</v>
          </cell>
          <cell r="O1807">
            <v>3</v>
          </cell>
          <cell r="P1807">
            <v>3</v>
          </cell>
        </row>
        <row r="1808">
          <cell r="B1808" t="str">
            <v>University of Cambridge</v>
          </cell>
          <cell r="C1808" t="str">
            <v>United Kingdom</v>
          </cell>
          <cell r="D1808">
            <v>4</v>
          </cell>
          <cell r="E1808">
            <v>91.5</v>
          </cell>
          <cell r="F1808">
            <v>96.7</v>
          </cell>
          <cell r="G1808">
            <v>97</v>
          </cell>
          <cell r="H1808">
            <v>55</v>
          </cell>
          <cell r="I1808">
            <v>92.8</v>
          </cell>
          <cell r="J1808">
            <v>18812</v>
          </cell>
          <cell r="K1808">
            <v>11.8</v>
          </cell>
          <cell r="L1808">
            <v>0.34</v>
          </cell>
          <cell r="M1808">
            <v>1.9541666666666666</v>
          </cell>
          <cell r="N1808">
            <v>2016</v>
          </cell>
          <cell r="O1808">
            <v>4</v>
          </cell>
          <cell r="P1808">
            <v>1</v>
          </cell>
        </row>
        <row r="1809">
          <cell r="B1809" t="str">
            <v>Massachusetts Institute of Technology</v>
          </cell>
          <cell r="C1809" t="str">
            <v>United States of America</v>
          </cell>
          <cell r="D1809">
            <v>5</v>
          </cell>
          <cell r="E1809">
            <v>84</v>
          </cell>
          <cell r="F1809">
            <v>88.6</v>
          </cell>
          <cell r="G1809">
            <v>99.7</v>
          </cell>
          <cell r="H1809">
            <v>95.4</v>
          </cell>
          <cell r="I1809">
            <v>92</v>
          </cell>
          <cell r="J1809">
            <v>11074</v>
          </cell>
          <cell r="K1809">
            <v>9</v>
          </cell>
          <cell r="L1809">
            <v>0.33</v>
          </cell>
          <cell r="M1809" t="str">
            <v>37 : 63</v>
          </cell>
          <cell r="N1809">
            <v>2016</v>
          </cell>
          <cell r="O1809">
            <v>2</v>
          </cell>
          <cell r="P1809">
            <v>2</v>
          </cell>
        </row>
        <row r="1810">
          <cell r="B1810" t="str">
            <v>Harvard University</v>
          </cell>
          <cell r="C1810" t="str">
            <v>United States of America</v>
          </cell>
          <cell r="D1810">
            <v>6</v>
          </cell>
          <cell r="E1810">
            <v>77.2</v>
          </cell>
          <cell r="F1810">
            <v>99</v>
          </cell>
          <cell r="G1810">
            <v>99.8</v>
          </cell>
          <cell r="H1810">
            <v>45.2</v>
          </cell>
          <cell r="I1810">
            <v>91.6</v>
          </cell>
          <cell r="J1810">
            <v>20152</v>
          </cell>
          <cell r="K1810">
            <v>8.9</v>
          </cell>
          <cell r="L1810">
            <v>0.25</v>
          </cell>
          <cell r="N1810">
            <v>2016</v>
          </cell>
          <cell r="O1810">
            <v>1</v>
          </cell>
          <cell r="P1810">
            <v>1</v>
          </cell>
        </row>
        <row r="1811">
          <cell r="B1811" t="str">
            <v>Princeton University</v>
          </cell>
          <cell r="C1811" t="str">
            <v>United States of America</v>
          </cell>
          <cell r="D1811">
            <v>7</v>
          </cell>
          <cell r="E1811">
            <v>78.5</v>
          </cell>
          <cell r="F1811">
            <v>91.9</v>
          </cell>
          <cell r="G1811">
            <v>99.3</v>
          </cell>
          <cell r="H1811">
            <v>52.1</v>
          </cell>
          <cell r="I1811">
            <v>90.1</v>
          </cell>
          <cell r="J1811">
            <v>7929</v>
          </cell>
          <cell r="K1811">
            <v>8.4</v>
          </cell>
          <cell r="L1811">
            <v>0.27</v>
          </cell>
          <cell r="M1811">
            <v>1.9131944444444444</v>
          </cell>
          <cell r="N1811">
            <v>2016</v>
          </cell>
          <cell r="O1811">
            <v>6</v>
          </cell>
          <cell r="P1811">
            <v>5</v>
          </cell>
        </row>
        <row r="1812">
          <cell r="B1812" t="str">
            <v>Imperial College London</v>
          </cell>
          <cell r="C1812" t="str">
            <v>United Kingdom</v>
          </cell>
          <cell r="D1812">
            <v>8</v>
          </cell>
          <cell r="E1812">
            <v>96</v>
          </cell>
          <cell r="F1812">
            <v>88.5</v>
          </cell>
          <cell r="G1812">
            <v>96.7</v>
          </cell>
          <cell r="H1812">
            <v>53.7</v>
          </cell>
          <cell r="I1812">
            <v>89.1</v>
          </cell>
          <cell r="J1812">
            <v>15060</v>
          </cell>
          <cell r="K1812">
            <v>11.7</v>
          </cell>
          <cell r="L1812">
            <v>0.51</v>
          </cell>
          <cell r="M1812" t="str">
            <v>37 : 63</v>
          </cell>
          <cell r="N1812">
            <v>2016</v>
          </cell>
          <cell r="O1812">
            <v>28</v>
          </cell>
          <cell r="P1812">
            <v>3</v>
          </cell>
        </row>
        <row r="1813">
          <cell r="B1813" t="str">
            <v>ETH Zurich â€“ Swiss Federal Institute of Technology Zurich</v>
          </cell>
          <cell r="C1813" t="str">
            <v>Switzerland</v>
          </cell>
          <cell r="D1813">
            <v>9</v>
          </cell>
          <cell r="E1813">
            <v>97.9</v>
          </cell>
          <cell r="F1813">
            <v>95</v>
          </cell>
          <cell r="G1813">
            <v>91.1</v>
          </cell>
          <cell r="H1813">
            <v>80</v>
          </cell>
          <cell r="I1813">
            <v>88.3</v>
          </cell>
          <cell r="J1813">
            <v>18178</v>
          </cell>
          <cell r="K1813">
            <v>14.7</v>
          </cell>
          <cell r="L1813">
            <v>0.37</v>
          </cell>
          <cell r="M1813" t="str">
            <v>31 : 69</v>
          </cell>
          <cell r="N1813">
            <v>2016</v>
          </cell>
          <cell r="O1813" t="e">
            <v>#N/A</v>
          </cell>
          <cell r="P1813" t="e">
            <v>#N/A</v>
          </cell>
        </row>
        <row r="1814">
          <cell r="B1814" t="str">
            <v>University of Chicago</v>
          </cell>
          <cell r="C1814" t="str">
            <v>United States of America</v>
          </cell>
          <cell r="D1814">
            <v>10</v>
          </cell>
          <cell r="E1814">
            <v>65</v>
          </cell>
          <cell r="F1814">
            <v>88.9</v>
          </cell>
          <cell r="G1814">
            <v>99.2</v>
          </cell>
          <cell r="H1814">
            <v>36.6</v>
          </cell>
          <cell r="I1814">
            <v>87.9</v>
          </cell>
          <cell r="J1814">
            <v>14221</v>
          </cell>
          <cell r="K1814">
            <v>6.9</v>
          </cell>
          <cell r="L1814">
            <v>0.21</v>
          </cell>
          <cell r="M1814">
            <v>1.7902777777777779</v>
          </cell>
          <cell r="N1814">
            <v>2016</v>
          </cell>
          <cell r="O1814">
            <v>11</v>
          </cell>
          <cell r="P1814">
            <v>9</v>
          </cell>
        </row>
        <row r="1815">
          <cell r="B1815" t="str">
            <v>Johns Hopkins University</v>
          </cell>
          <cell r="C1815" t="str">
            <v>United States of America</v>
          </cell>
          <cell r="D1815">
            <v>11</v>
          </cell>
          <cell r="E1815">
            <v>70</v>
          </cell>
          <cell r="F1815">
            <v>90.4</v>
          </cell>
          <cell r="G1815">
            <v>98.2</v>
          </cell>
          <cell r="H1815">
            <v>100</v>
          </cell>
          <cell r="I1815">
            <v>87.6</v>
          </cell>
          <cell r="J1815">
            <v>15128</v>
          </cell>
          <cell r="K1815">
            <v>3.6</v>
          </cell>
          <cell r="L1815">
            <v>0.23</v>
          </cell>
          <cell r="M1815">
            <v>2.1180555555555554</v>
          </cell>
          <cell r="N1815">
            <v>2016</v>
          </cell>
          <cell r="O1815">
            <v>15</v>
          </cell>
          <cell r="P1815">
            <v>12</v>
          </cell>
        </row>
        <row r="1816">
          <cell r="B1816" t="str">
            <v>Yale University</v>
          </cell>
          <cell r="C1816" t="str">
            <v>United States of America</v>
          </cell>
          <cell r="D1816">
            <v>12</v>
          </cell>
          <cell r="E1816">
            <v>64.3</v>
          </cell>
          <cell r="F1816">
            <v>87.8</v>
          </cell>
          <cell r="G1816">
            <v>97.2</v>
          </cell>
          <cell r="H1816">
            <v>43.3</v>
          </cell>
          <cell r="I1816">
            <v>87.4</v>
          </cell>
          <cell r="J1816">
            <v>11751</v>
          </cell>
          <cell r="K1816">
            <v>4.4000000000000004</v>
          </cell>
          <cell r="L1816">
            <v>0.2</v>
          </cell>
          <cell r="M1816">
            <v>2.1180555555555554</v>
          </cell>
          <cell r="N1816">
            <v>2016</v>
          </cell>
          <cell r="O1816">
            <v>8</v>
          </cell>
          <cell r="P1816">
            <v>6</v>
          </cell>
        </row>
        <row r="1817">
          <cell r="B1817" t="str">
            <v>University of California, Berkeley</v>
          </cell>
          <cell r="C1817" t="str">
            <v>United States of America</v>
          </cell>
          <cell r="D1817">
            <v>13</v>
          </cell>
          <cell r="E1817">
            <v>61.9</v>
          </cell>
          <cell r="F1817">
            <v>91.1</v>
          </cell>
          <cell r="G1817">
            <v>99.7</v>
          </cell>
          <cell r="H1817">
            <v>47.9</v>
          </cell>
          <cell r="I1817">
            <v>87.2</v>
          </cell>
          <cell r="J1817">
            <v>36186</v>
          </cell>
          <cell r="K1817">
            <v>16.399999999999999</v>
          </cell>
          <cell r="L1817">
            <v>0.15</v>
          </cell>
          <cell r="M1817">
            <v>2.1180555555555554</v>
          </cell>
          <cell r="N1817">
            <v>2016</v>
          </cell>
          <cell r="O1817">
            <v>10</v>
          </cell>
          <cell r="P1817">
            <v>8</v>
          </cell>
        </row>
        <row r="1818">
          <cell r="B1818" t="str">
            <v>University College London</v>
          </cell>
          <cell r="C1818" t="str">
            <v>United Kingdom</v>
          </cell>
          <cell r="D1818">
            <v>14</v>
          </cell>
          <cell r="E1818">
            <v>94.4</v>
          </cell>
          <cell r="F1818">
            <v>91</v>
          </cell>
          <cell r="G1818">
            <v>94.2</v>
          </cell>
          <cell r="H1818">
            <v>40.5</v>
          </cell>
          <cell r="I1818">
            <v>87.1</v>
          </cell>
          <cell r="J1818">
            <v>26607</v>
          </cell>
          <cell r="K1818">
            <v>10.7</v>
          </cell>
          <cell r="L1818">
            <v>0.46</v>
          </cell>
          <cell r="M1818">
            <v>2.3638888888888889</v>
          </cell>
          <cell r="N1818">
            <v>2016</v>
          </cell>
          <cell r="O1818">
            <v>31</v>
          </cell>
          <cell r="P1818">
            <v>4</v>
          </cell>
        </row>
        <row r="1819">
          <cell r="B1819" t="str">
            <v>Columbia University</v>
          </cell>
          <cell r="C1819" t="str">
            <v>United States of America</v>
          </cell>
          <cell r="D1819">
            <v>15</v>
          </cell>
          <cell r="E1819">
            <v>73.5</v>
          </cell>
          <cell r="F1819">
            <v>82.2</v>
          </cell>
          <cell r="G1819">
            <v>98.1</v>
          </cell>
          <cell r="H1819" t="str">
            <v>-</v>
          </cell>
          <cell r="I1819">
            <v>86.1</v>
          </cell>
          <cell r="J1819">
            <v>25055</v>
          </cell>
          <cell r="K1819">
            <v>5.9</v>
          </cell>
          <cell r="L1819">
            <v>0.28000000000000003</v>
          </cell>
          <cell r="N1819">
            <v>2016</v>
          </cell>
          <cell r="O1819">
            <v>9</v>
          </cell>
          <cell r="P1819">
            <v>7</v>
          </cell>
        </row>
        <row r="1820">
          <cell r="B1820" t="str">
            <v>University of California, Los Angeles</v>
          </cell>
          <cell r="C1820" t="str">
            <v>United States of America</v>
          </cell>
          <cell r="D1820">
            <v>16</v>
          </cell>
          <cell r="E1820">
            <v>56.4</v>
          </cell>
          <cell r="F1820">
            <v>88.6</v>
          </cell>
          <cell r="G1820">
            <v>98.5</v>
          </cell>
          <cell r="H1820">
            <v>47.9</v>
          </cell>
          <cell r="I1820">
            <v>85.8</v>
          </cell>
          <cell r="J1820">
            <v>38206</v>
          </cell>
          <cell r="K1820">
            <v>10.3</v>
          </cell>
          <cell r="L1820">
            <v>0.15</v>
          </cell>
          <cell r="M1820">
            <v>2.2000000000000002</v>
          </cell>
          <cell r="N1820">
            <v>2016</v>
          </cell>
          <cell r="O1820">
            <v>19</v>
          </cell>
          <cell r="P1820">
            <v>13</v>
          </cell>
        </row>
        <row r="1821">
          <cell r="B1821" t="str">
            <v>University of Pennsylvania</v>
          </cell>
          <cell r="C1821" t="str">
            <v>United States of America</v>
          </cell>
          <cell r="D1821">
            <v>17</v>
          </cell>
          <cell r="E1821">
            <v>49.5</v>
          </cell>
          <cell r="F1821">
            <v>86.9</v>
          </cell>
          <cell r="G1821">
            <v>98.6</v>
          </cell>
          <cell r="H1821">
            <v>47.9</v>
          </cell>
          <cell r="I1821">
            <v>85.2</v>
          </cell>
          <cell r="J1821">
            <v>20376</v>
          </cell>
          <cell r="K1821">
            <v>6.5</v>
          </cell>
          <cell r="L1821">
            <v>0.2</v>
          </cell>
          <cell r="M1821">
            <v>2.1590277777777778</v>
          </cell>
          <cell r="N1821">
            <v>2016</v>
          </cell>
          <cell r="O1821">
            <v>13</v>
          </cell>
          <cell r="P1821">
            <v>11</v>
          </cell>
        </row>
        <row r="1822">
          <cell r="B1822" t="str">
            <v>Cornell University</v>
          </cell>
          <cell r="C1822" t="str">
            <v>United States of America</v>
          </cell>
          <cell r="D1822">
            <v>18</v>
          </cell>
          <cell r="E1822">
            <v>63.9</v>
          </cell>
          <cell r="F1822">
            <v>86.1</v>
          </cell>
          <cell r="G1822">
            <v>97.2</v>
          </cell>
          <cell r="H1822">
            <v>33.700000000000003</v>
          </cell>
          <cell r="I1822">
            <v>84</v>
          </cell>
          <cell r="J1822">
            <v>21424</v>
          </cell>
          <cell r="K1822">
            <v>10.199999999999999</v>
          </cell>
          <cell r="L1822">
            <v>0.19</v>
          </cell>
          <cell r="M1822">
            <v>2.036111111111111</v>
          </cell>
          <cell r="N1822">
            <v>2016</v>
          </cell>
          <cell r="O1822">
            <v>12</v>
          </cell>
          <cell r="P1822">
            <v>10</v>
          </cell>
        </row>
        <row r="1823">
          <cell r="B1823" t="str">
            <v>University of Toronto</v>
          </cell>
          <cell r="C1823" t="str">
            <v>Canada</v>
          </cell>
          <cell r="D1823">
            <v>19</v>
          </cell>
          <cell r="E1823">
            <v>77.8</v>
          </cell>
          <cell r="F1823">
            <v>89.3</v>
          </cell>
          <cell r="G1823">
            <v>90.9</v>
          </cell>
          <cell r="H1823">
            <v>49.1</v>
          </cell>
          <cell r="I1823">
            <v>83.9</v>
          </cell>
          <cell r="J1823">
            <v>66198</v>
          </cell>
          <cell r="K1823">
            <v>19.5</v>
          </cell>
          <cell r="L1823">
            <v>0.15</v>
          </cell>
          <cell r="N1823">
            <v>2016</v>
          </cell>
          <cell r="O1823">
            <v>35</v>
          </cell>
          <cell r="P1823">
            <v>1</v>
          </cell>
        </row>
        <row r="1824">
          <cell r="B1824" t="str">
            <v>Duke University</v>
          </cell>
          <cell r="C1824" t="str">
            <v>United States of America</v>
          </cell>
          <cell r="D1824">
            <v>20</v>
          </cell>
          <cell r="E1824">
            <v>56.5</v>
          </cell>
          <cell r="F1824">
            <v>78</v>
          </cell>
          <cell r="G1824">
            <v>99</v>
          </cell>
          <cell r="H1824">
            <v>100</v>
          </cell>
          <cell r="I1824">
            <v>82.7</v>
          </cell>
          <cell r="J1824">
            <v>15172</v>
          </cell>
          <cell r="K1824">
            <v>4.8</v>
          </cell>
          <cell r="L1824">
            <v>0.17</v>
          </cell>
          <cell r="M1824">
            <v>2.0770833333333334</v>
          </cell>
          <cell r="N1824">
            <v>2016</v>
          </cell>
          <cell r="O1824">
            <v>27</v>
          </cell>
          <cell r="P1824">
            <v>20</v>
          </cell>
        </row>
        <row r="1825">
          <cell r="B1825" t="str">
            <v>University of Michigan</v>
          </cell>
          <cell r="C1825" t="str">
            <v>United States of America</v>
          </cell>
          <cell r="D1825">
            <v>21</v>
          </cell>
          <cell r="E1825">
            <v>53.7</v>
          </cell>
          <cell r="F1825">
            <v>85.2</v>
          </cell>
          <cell r="G1825">
            <v>94.4</v>
          </cell>
          <cell r="H1825">
            <v>56.3</v>
          </cell>
          <cell r="I1825">
            <v>82.4</v>
          </cell>
          <cell r="J1825">
            <v>41786</v>
          </cell>
          <cell r="K1825">
            <v>9</v>
          </cell>
          <cell r="L1825">
            <v>0.16</v>
          </cell>
          <cell r="M1825">
            <v>2.036111111111111</v>
          </cell>
          <cell r="N1825">
            <v>2016</v>
          </cell>
          <cell r="O1825" t="e">
            <v>#N/A</v>
          </cell>
          <cell r="P1825" t="e">
            <v>#N/A</v>
          </cell>
        </row>
        <row r="1826">
          <cell r="B1826" t="str">
            <v>Carnegie Mellon University</v>
          </cell>
          <cell r="C1826" t="str">
            <v>United States of America</v>
          </cell>
          <cell r="D1826">
            <v>22</v>
          </cell>
          <cell r="E1826">
            <v>57.1</v>
          </cell>
          <cell r="F1826">
            <v>88.8</v>
          </cell>
          <cell r="G1826">
            <v>99.1</v>
          </cell>
          <cell r="H1826">
            <v>57.5</v>
          </cell>
          <cell r="I1826">
            <v>82.3</v>
          </cell>
          <cell r="J1826">
            <v>11885</v>
          </cell>
          <cell r="K1826">
            <v>13.1</v>
          </cell>
          <cell r="L1826">
            <v>0.35</v>
          </cell>
          <cell r="M1826" t="str">
            <v>39 : 61</v>
          </cell>
          <cell r="N1826">
            <v>2016</v>
          </cell>
          <cell r="O1826">
            <v>43</v>
          </cell>
          <cell r="P1826">
            <v>31</v>
          </cell>
        </row>
        <row r="1827">
          <cell r="B1827" t="str">
            <v>London School of Economics and Political Science</v>
          </cell>
          <cell r="C1827" t="str">
            <v>United Kingdom</v>
          </cell>
          <cell r="D1827">
            <v>23</v>
          </cell>
          <cell r="E1827">
            <v>93.6</v>
          </cell>
          <cell r="F1827">
            <v>80.599999999999994</v>
          </cell>
          <cell r="G1827">
            <v>94.3</v>
          </cell>
          <cell r="H1827">
            <v>32.200000000000003</v>
          </cell>
          <cell r="I1827">
            <v>81.3</v>
          </cell>
          <cell r="N1827">
            <v>2016</v>
          </cell>
          <cell r="O1827" t="e">
            <v>#N/A</v>
          </cell>
          <cell r="P1827" t="e">
            <v>#N/A</v>
          </cell>
        </row>
        <row r="1828">
          <cell r="B1828" t="str">
            <v>University of Edinburgh</v>
          </cell>
          <cell r="C1828" t="str">
            <v>United Kingdom</v>
          </cell>
          <cell r="D1828">
            <v>24</v>
          </cell>
          <cell r="E1828">
            <v>89.8</v>
          </cell>
          <cell r="F1828">
            <v>77.2</v>
          </cell>
          <cell r="G1828">
            <v>96.3</v>
          </cell>
          <cell r="H1828">
            <v>36.1</v>
          </cell>
          <cell r="I1828">
            <v>80.3</v>
          </cell>
          <cell r="J1828">
            <v>25774</v>
          </cell>
          <cell r="K1828">
            <v>14.1</v>
          </cell>
          <cell r="L1828">
            <v>0.36</v>
          </cell>
          <cell r="M1828">
            <v>2.4458333333333333</v>
          </cell>
          <cell r="N1828">
            <v>2016</v>
          </cell>
          <cell r="O1828">
            <v>60</v>
          </cell>
          <cell r="P1828">
            <v>1</v>
          </cell>
        </row>
        <row r="1829">
          <cell r="B1829" t="str">
            <v>Northwestern University</v>
          </cell>
          <cell r="C1829" t="str">
            <v>United States of America</v>
          </cell>
          <cell r="D1829">
            <v>25</v>
          </cell>
          <cell r="E1829">
            <v>53.9</v>
          </cell>
          <cell r="F1829">
            <v>78.400000000000006</v>
          </cell>
          <cell r="G1829">
            <v>96.5</v>
          </cell>
          <cell r="H1829">
            <v>81.2</v>
          </cell>
          <cell r="I1829">
            <v>79.5</v>
          </cell>
          <cell r="J1829">
            <v>18334</v>
          </cell>
          <cell r="K1829">
            <v>13.8</v>
          </cell>
          <cell r="L1829">
            <v>0.15</v>
          </cell>
          <cell r="M1829">
            <v>2.036111111111111</v>
          </cell>
          <cell r="N1829">
            <v>2016</v>
          </cell>
          <cell r="O1829">
            <v>33</v>
          </cell>
          <cell r="P1829">
            <v>23</v>
          </cell>
        </row>
        <row r="1830">
          <cell r="B1830" t="str">
            <v>National University of Singapore</v>
          </cell>
          <cell r="C1830" t="str">
            <v>Singapore</v>
          </cell>
          <cell r="D1830">
            <v>26</v>
          </cell>
          <cell r="E1830">
            <v>96.2</v>
          </cell>
          <cell r="F1830">
            <v>84.5</v>
          </cell>
          <cell r="G1830">
            <v>79.400000000000006</v>
          </cell>
          <cell r="H1830">
            <v>49.8</v>
          </cell>
          <cell r="I1830">
            <v>79.2</v>
          </cell>
          <cell r="J1830">
            <v>31592</v>
          </cell>
          <cell r="K1830">
            <v>15.5</v>
          </cell>
          <cell r="L1830">
            <v>0.34</v>
          </cell>
          <cell r="M1830">
            <v>2.0770833333333334</v>
          </cell>
          <cell r="N1830">
            <v>2016</v>
          </cell>
          <cell r="O1830">
            <v>87</v>
          </cell>
          <cell r="P1830">
            <v>1</v>
          </cell>
        </row>
        <row r="1831">
          <cell r="B1831" t="str">
            <v>Kingâ€™s College London</v>
          </cell>
          <cell r="C1831" t="str">
            <v>United Kingdom</v>
          </cell>
          <cell r="D1831">
            <v>27</v>
          </cell>
          <cell r="E1831">
            <v>93.8</v>
          </cell>
          <cell r="F1831">
            <v>75.8</v>
          </cell>
          <cell r="G1831">
            <v>93.8</v>
          </cell>
          <cell r="H1831">
            <v>40.1</v>
          </cell>
          <cell r="I1831">
            <v>78.2</v>
          </cell>
          <cell r="J1831">
            <v>21394</v>
          </cell>
          <cell r="K1831">
            <v>11.4</v>
          </cell>
          <cell r="L1831">
            <v>0.37</v>
          </cell>
          <cell r="M1831">
            <v>2.5687500000000001</v>
          </cell>
          <cell r="N1831">
            <v>2016</v>
          </cell>
          <cell r="O1831" t="e">
            <v>#N/A</v>
          </cell>
          <cell r="P1831" t="e">
            <v>#N/A</v>
          </cell>
        </row>
        <row r="1832">
          <cell r="B1832" t="str">
            <v>Karolinska Institute</v>
          </cell>
          <cell r="C1832" t="str">
            <v>Sweden</v>
          </cell>
          <cell r="D1832">
            <v>28</v>
          </cell>
          <cell r="E1832">
            <v>73.099999999999994</v>
          </cell>
          <cell r="F1832">
            <v>81.099999999999994</v>
          </cell>
          <cell r="G1832">
            <v>92.2</v>
          </cell>
          <cell r="H1832">
            <v>75.8</v>
          </cell>
          <cell r="I1832">
            <v>77.5</v>
          </cell>
          <cell r="J1832">
            <v>7774</v>
          </cell>
          <cell r="K1832">
            <v>11.5</v>
          </cell>
          <cell r="L1832">
            <v>0.22</v>
          </cell>
          <cell r="M1832">
            <v>2.9375</v>
          </cell>
          <cell r="N1832">
            <v>2016</v>
          </cell>
          <cell r="O1832">
            <v>70</v>
          </cell>
          <cell r="P1832">
            <v>1</v>
          </cell>
        </row>
        <row r="1833">
          <cell r="B1833" t="str">
            <v>LMU Munich</v>
          </cell>
          <cell r="C1833" t="str">
            <v>Germany</v>
          </cell>
          <cell r="D1833">
            <v>29</v>
          </cell>
          <cell r="E1833">
            <v>62.8</v>
          </cell>
          <cell r="F1833">
            <v>77.400000000000006</v>
          </cell>
          <cell r="G1833">
            <v>85.7</v>
          </cell>
          <cell r="H1833">
            <v>100</v>
          </cell>
          <cell r="I1833">
            <v>77.3</v>
          </cell>
          <cell r="J1833">
            <v>35691</v>
          </cell>
          <cell r="K1833">
            <v>15.5</v>
          </cell>
          <cell r="L1833">
            <v>0.13</v>
          </cell>
          <cell r="M1833">
            <v>2.6097222222222221</v>
          </cell>
          <cell r="N1833">
            <v>2016</v>
          </cell>
          <cell r="O1833" t="e">
            <v>#N/A</v>
          </cell>
          <cell r="P1833" t="e">
            <v>#N/A</v>
          </cell>
        </row>
        <row r="1834">
          <cell r="B1834" t="str">
            <v>New York University</v>
          </cell>
          <cell r="C1834" t="str">
            <v>United States of America</v>
          </cell>
          <cell r="D1834">
            <v>30</v>
          </cell>
          <cell r="E1834">
            <v>49.3</v>
          </cell>
          <cell r="F1834">
            <v>72.3</v>
          </cell>
          <cell r="G1834">
            <v>95.3</v>
          </cell>
          <cell r="H1834">
            <v>30.4</v>
          </cell>
          <cell r="I1834">
            <v>77.2</v>
          </cell>
          <cell r="J1834">
            <v>42056</v>
          </cell>
          <cell r="K1834">
            <v>6.8</v>
          </cell>
          <cell r="L1834">
            <v>0.19</v>
          </cell>
          <cell r="M1834">
            <v>2.3229166666666665</v>
          </cell>
          <cell r="N1834">
            <v>2016</v>
          </cell>
          <cell r="O1834">
            <v>23</v>
          </cell>
          <cell r="P1834">
            <v>16</v>
          </cell>
        </row>
        <row r="1835">
          <cell r="B1835" t="str">
            <v>Ã‰cole Polytechnique FÃ©dÃ©rale de Lausanne</v>
          </cell>
          <cell r="C1835" t="str">
            <v>Switzerland</v>
          </cell>
          <cell r="D1835">
            <v>31</v>
          </cell>
          <cell r="E1835">
            <v>98.6</v>
          </cell>
          <cell r="F1835">
            <v>67.5</v>
          </cell>
          <cell r="G1835">
            <v>94.6</v>
          </cell>
          <cell r="H1835">
            <v>65.400000000000006</v>
          </cell>
          <cell r="I1835">
            <v>76.099999999999994</v>
          </cell>
          <cell r="J1835">
            <v>9666</v>
          </cell>
          <cell r="K1835">
            <v>10.5</v>
          </cell>
          <cell r="L1835">
            <v>0.54</v>
          </cell>
          <cell r="M1835" t="str">
            <v>27 : 73</v>
          </cell>
          <cell r="N1835">
            <v>2016</v>
          </cell>
          <cell r="O1835" t="e">
            <v>#N/A</v>
          </cell>
          <cell r="P1835" t="e">
            <v>#N/A</v>
          </cell>
        </row>
        <row r="1836">
          <cell r="B1836" t="str">
            <v>University of Washington</v>
          </cell>
          <cell r="C1836" t="str">
            <v>United States of America</v>
          </cell>
          <cell r="D1836">
            <v>32</v>
          </cell>
          <cell r="E1836">
            <v>51.2</v>
          </cell>
          <cell r="F1836">
            <v>70</v>
          </cell>
          <cell r="G1836">
            <v>98.6</v>
          </cell>
          <cell r="H1836">
            <v>43.1</v>
          </cell>
          <cell r="I1836">
            <v>75.599999999999994</v>
          </cell>
          <cell r="J1836">
            <v>44020</v>
          </cell>
          <cell r="K1836">
            <v>11.8</v>
          </cell>
          <cell r="L1836">
            <v>0.13</v>
          </cell>
          <cell r="M1836">
            <v>2.2409722222222221</v>
          </cell>
          <cell r="N1836">
            <v>2016</v>
          </cell>
          <cell r="O1836" t="e">
            <v>#N/A</v>
          </cell>
          <cell r="P1836" t="e">
            <v>#N/A</v>
          </cell>
        </row>
        <row r="1837">
          <cell r="B1837" t="str">
            <v>University of Melbourne</v>
          </cell>
          <cell r="C1837" t="str">
            <v>Australia</v>
          </cell>
          <cell r="D1837">
            <v>33</v>
          </cell>
          <cell r="E1837">
            <v>87.1</v>
          </cell>
          <cell r="F1837">
            <v>75.5</v>
          </cell>
          <cell r="G1837">
            <v>86.6</v>
          </cell>
          <cell r="H1837">
            <v>64.599999999999994</v>
          </cell>
          <cell r="I1837">
            <v>75.400000000000006</v>
          </cell>
          <cell r="J1837">
            <v>40128</v>
          </cell>
          <cell r="K1837">
            <v>23.7</v>
          </cell>
          <cell r="L1837">
            <v>0.35</v>
          </cell>
          <cell r="M1837">
            <v>2.3229166666666665</v>
          </cell>
          <cell r="N1837">
            <v>2016</v>
          </cell>
          <cell r="O1837">
            <v>97</v>
          </cell>
          <cell r="P1837">
            <v>2</v>
          </cell>
        </row>
        <row r="1838">
          <cell r="B1838" t="str">
            <v>University of British Columbia</v>
          </cell>
          <cell r="C1838" t="str">
            <v>Canada</v>
          </cell>
          <cell r="D1838">
            <v>34</v>
          </cell>
          <cell r="E1838">
            <v>90.5</v>
          </cell>
          <cell r="F1838">
            <v>73.2</v>
          </cell>
          <cell r="G1838">
            <v>91.5</v>
          </cell>
          <cell r="H1838">
            <v>42.6</v>
          </cell>
          <cell r="I1838">
            <v>75.3</v>
          </cell>
          <cell r="J1838">
            <v>50152</v>
          </cell>
          <cell r="K1838">
            <v>17.600000000000001</v>
          </cell>
          <cell r="L1838">
            <v>0.25</v>
          </cell>
          <cell r="M1838">
            <v>2.2819444444444446</v>
          </cell>
          <cell r="N1838">
            <v>2016</v>
          </cell>
          <cell r="O1838">
            <v>67</v>
          </cell>
          <cell r="P1838">
            <v>3</v>
          </cell>
        </row>
        <row r="1839">
          <cell r="B1839" t="str">
            <v>KU Leuven</v>
          </cell>
          <cell r="C1839" t="str">
            <v>Belgium</v>
          </cell>
          <cell r="D1839">
            <v>35</v>
          </cell>
          <cell r="E1839">
            <v>68.599999999999994</v>
          </cell>
          <cell r="F1839">
            <v>76.900000000000006</v>
          </cell>
          <cell r="G1839">
            <v>87.3</v>
          </cell>
          <cell r="H1839">
            <v>100</v>
          </cell>
          <cell r="I1839">
            <v>74.8</v>
          </cell>
          <cell r="J1839">
            <v>42503</v>
          </cell>
          <cell r="K1839">
            <v>41.9</v>
          </cell>
          <cell r="L1839">
            <v>0.18</v>
          </cell>
          <cell r="M1839">
            <v>2.2819444444444446</v>
          </cell>
          <cell r="N1839">
            <v>2016</v>
          </cell>
          <cell r="O1839" t="e">
            <v>#N/A</v>
          </cell>
          <cell r="P1839" t="e">
            <v>#N/A</v>
          </cell>
        </row>
        <row r="1840">
          <cell r="B1840" t="str">
            <v>University of Illinois at Urbana-Champaign</v>
          </cell>
          <cell r="C1840" t="str">
            <v>United States of America</v>
          </cell>
          <cell r="D1840">
            <v>36</v>
          </cell>
          <cell r="E1840">
            <v>45.8</v>
          </cell>
          <cell r="F1840">
            <v>81.2</v>
          </cell>
          <cell r="G1840">
            <v>86.8</v>
          </cell>
          <cell r="H1840">
            <v>52.8</v>
          </cell>
          <cell r="I1840">
            <v>74.5</v>
          </cell>
          <cell r="J1840">
            <v>42727</v>
          </cell>
          <cell r="K1840">
            <v>18.7</v>
          </cell>
          <cell r="L1840">
            <v>0.2</v>
          </cell>
          <cell r="M1840">
            <v>1.9951388888888888</v>
          </cell>
          <cell r="N1840">
            <v>2016</v>
          </cell>
          <cell r="O1840" t="e">
            <v>#N/A</v>
          </cell>
          <cell r="P1840" t="e">
            <v>#N/A</v>
          </cell>
        </row>
        <row r="1841">
          <cell r="B1841" t="str">
            <v>Heidelberg University</v>
          </cell>
          <cell r="C1841" t="str">
            <v>Germany</v>
          </cell>
          <cell r="D1841">
            <v>37</v>
          </cell>
          <cell r="E1841">
            <v>62.8</v>
          </cell>
          <cell r="F1841">
            <v>69.599999999999994</v>
          </cell>
          <cell r="G1841">
            <v>88.2</v>
          </cell>
          <cell r="H1841">
            <v>68.2</v>
          </cell>
          <cell r="I1841">
            <v>74.400000000000006</v>
          </cell>
          <cell r="J1841">
            <v>28881</v>
          </cell>
          <cell r="K1841">
            <v>24.5</v>
          </cell>
          <cell r="L1841">
            <v>0.17</v>
          </cell>
          <cell r="M1841">
            <v>2.3229166666666665</v>
          </cell>
          <cell r="N1841">
            <v>2016</v>
          </cell>
          <cell r="O1841" t="e">
            <v>#N/A</v>
          </cell>
          <cell r="P1841" t="e">
            <v>#N/A</v>
          </cell>
        </row>
        <row r="1842">
          <cell r="B1842" t="str">
            <v>McGill University</v>
          </cell>
          <cell r="C1842" t="str">
            <v>Canada</v>
          </cell>
          <cell r="D1842">
            <v>38</v>
          </cell>
          <cell r="E1842">
            <v>85.5</v>
          </cell>
          <cell r="F1842">
            <v>72.099999999999994</v>
          </cell>
          <cell r="G1842">
            <v>78.900000000000006</v>
          </cell>
          <cell r="H1842">
            <v>40.299999999999997</v>
          </cell>
          <cell r="I1842">
            <v>72.599999999999994</v>
          </cell>
          <cell r="J1842">
            <v>31326</v>
          </cell>
          <cell r="K1842">
            <v>13.7</v>
          </cell>
          <cell r="L1842">
            <v>0.23</v>
          </cell>
          <cell r="M1842">
            <v>2.3638888888888889</v>
          </cell>
          <cell r="N1842">
            <v>2016</v>
          </cell>
          <cell r="O1842">
            <v>41</v>
          </cell>
          <cell r="P1842">
            <v>2</v>
          </cell>
        </row>
        <row r="1843">
          <cell r="B1843" t="str">
            <v>University of California, San Diego</v>
          </cell>
          <cell r="C1843" t="str">
            <v>United States of America</v>
          </cell>
          <cell r="D1843">
            <v>39</v>
          </cell>
          <cell r="E1843">
            <v>42.9</v>
          </cell>
          <cell r="F1843">
            <v>69.8</v>
          </cell>
          <cell r="G1843">
            <v>98.7</v>
          </cell>
          <cell r="H1843">
            <v>56.7</v>
          </cell>
          <cell r="I1843">
            <v>72.2</v>
          </cell>
          <cell r="J1843">
            <v>27233</v>
          </cell>
          <cell r="K1843">
            <v>6.5</v>
          </cell>
          <cell r="L1843">
            <v>0.11</v>
          </cell>
          <cell r="M1843">
            <v>2.036111111111111</v>
          </cell>
          <cell r="N1843">
            <v>2016</v>
          </cell>
          <cell r="O1843">
            <v>20</v>
          </cell>
          <cell r="P1843">
            <v>14</v>
          </cell>
        </row>
        <row r="1844">
          <cell r="B1844" t="str">
            <v>University of California, Santa Barbara</v>
          </cell>
          <cell r="C1844" t="str">
            <v>United States of America</v>
          </cell>
          <cell r="D1844">
            <v>39</v>
          </cell>
          <cell r="E1844">
            <v>61.5</v>
          </cell>
          <cell r="F1844">
            <v>66</v>
          </cell>
          <cell r="G1844">
            <v>99.2</v>
          </cell>
          <cell r="H1844">
            <v>90.4</v>
          </cell>
          <cell r="I1844">
            <v>72.2</v>
          </cell>
          <cell r="J1844">
            <v>22020</v>
          </cell>
          <cell r="K1844">
            <v>27.3</v>
          </cell>
          <cell r="L1844">
            <v>0.11</v>
          </cell>
          <cell r="M1844">
            <v>2.2000000000000002</v>
          </cell>
          <cell r="N1844">
            <v>2016</v>
          </cell>
          <cell r="O1844">
            <v>40</v>
          </cell>
          <cell r="P1844">
            <v>29</v>
          </cell>
        </row>
        <row r="1845">
          <cell r="B1845" t="str">
            <v>Georgia Institute of Technology</v>
          </cell>
          <cell r="C1845" t="str">
            <v>United States of America</v>
          </cell>
          <cell r="D1845">
            <v>41</v>
          </cell>
          <cell r="E1845">
            <v>71.5</v>
          </cell>
          <cell r="F1845">
            <v>72.7</v>
          </cell>
          <cell r="G1845">
            <v>86</v>
          </cell>
          <cell r="H1845">
            <v>73.7</v>
          </cell>
          <cell r="I1845">
            <v>72.099999999999994</v>
          </cell>
          <cell r="J1845">
            <v>19967</v>
          </cell>
          <cell r="K1845">
            <v>20.100000000000001</v>
          </cell>
          <cell r="L1845">
            <v>0.26</v>
          </cell>
          <cell r="M1845" t="str">
            <v>31 : 69</v>
          </cell>
          <cell r="N1845">
            <v>2016</v>
          </cell>
          <cell r="O1845">
            <v>87</v>
          </cell>
          <cell r="P1845">
            <v>56</v>
          </cell>
        </row>
        <row r="1846">
          <cell r="B1846" t="str">
            <v>Peking University</v>
          </cell>
          <cell r="C1846" t="str">
            <v>China</v>
          </cell>
          <cell r="D1846">
            <v>42</v>
          </cell>
          <cell r="E1846">
            <v>49.2</v>
          </cell>
          <cell r="F1846">
            <v>72.400000000000006</v>
          </cell>
          <cell r="G1846">
            <v>69.099999999999994</v>
          </cell>
          <cell r="H1846">
            <v>100</v>
          </cell>
          <cell r="I1846">
            <v>72</v>
          </cell>
          <cell r="J1846">
            <v>40148</v>
          </cell>
          <cell r="K1846">
            <v>8.3000000000000007</v>
          </cell>
          <cell r="L1846">
            <v>0.14000000000000001</v>
          </cell>
          <cell r="N1846">
            <v>2016</v>
          </cell>
          <cell r="O1846">
            <v>55</v>
          </cell>
          <cell r="P1846">
            <v>1</v>
          </cell>
        </row>
        <row r="1847">
          <cell r="B1847" t="str">
            <v>University of Tokyo</v>
          </cell>
          <cell r="C1847" t="str">
            <v>Japan</v>
          </cell>
          <cell r="D1847">
            <v>43</v>
          </cell>
          <cell r="E1847">
            <v>30.3</v>
          </cell>
          <cell r="F1847">
            <v>83</v>
          </cell>
          <cell r="G1847">
            <v>60.9</v>
          </cell>
          <cell r="H1847">
            <v>50.8</v>
          </cell>
          <cell r="I1847">
            <v>71.099999999999994</v>
          </cell>
          <cell r="J1847">
            <v>26199</v>
          </cell>
          <cell r="K1847">
            <v>5.7</v>
          </cell>
          <cell r="L1847">
            <v>0.1</v>
          </cell>
          <cell r="N1847">
            <v>2016</v>
          </cell>
          <cell r="O1847">
            <v>14</v>
          </cell>
          <cell r="P1847">
            <v>1</v>
          </cell>
        </row>
        <row r="1848">
          <cell r="B1848" t="str">
            <v>University of California, Davis</v>
          </cell>
          <cell r="C1848" t="str">
            <v>United States of America</v>
          </cell>
          <cell r="D1848">
            <v>44</v>
          </cell>
          <cell r="E1848">
            <v>58.4</v>
          </cell>
          <cell r="F1848">
            <v>72.7</v>
          </cell>
          <cell r="G1848">
            <v>84.3</v>
          </cell>
          <cell r="H1848">
            <v>57.3</v>
          </cell>
          <cell r="I1848">
            <v>71</v>
          </cell>
          <cell r="J1848">
            <v>35364</v>
          </cell>
          <cell r="K1848">
            <v>13.9</v>
          </cell>
          <cell r="L1848">
            <v>0.13</v>
          </cell>
          <cell r="M1848">
            <v>2.2819444444444446</v>
          </cell>
          <cell r="N1848">
            <v>2016</v>
          </cell>
          <cell r="O1848">
            <v>45</v>
          </cell>
          <cell r="P1848">
            <v>33</v>
          </cell>
        </row>
        <row r="1849">
          <cell r="B1849" t="str">
            <v>University of Hong Kong</v>
          </cell>
          <cell r="C1849" t="str">
            <v>Hong Kong</v>
          </cell>
          <cell r="D1849">
            <v>44</v>
          </cell>
          <cell r="E1849">
            <v>99.5</v>
          </cell>
          <cell r="F1849">
            <v>72.8</v>
          </cell>
          <cell r="G1849">
            <v>70.099999999999994</v>
          </cell>
          <cell r="H1849">
            <v>53.7</v>
          </cell>
          <cell r="I1849">
            <v>71</v>
          </cell>
          <cell r="J1849">
            <v>19835</v>
          </cell>
          <cell r="K1849">
            <v>17.600000000000001</v>
          </cell>
          <cell r="L1849">
            <v>0.38</v>
          </cell>
          <cell r="M1849">
            <v>2.2409722222222221</v>
          </cell>
          <cell r="N1849">
            <v>2016</v>
          </cell>
          <cell r="O1849">
            <v>155</v>
          </cell>
          <cell r="P1849">
            <v>1</v>
          </cell>
        </row>
        <row r="1850">
          <cell r="B1850" t="str">
            <v>University of Texas at Austin</v>
          </cell>
          <cell r="C1850" t="str">
            <v>United States of America</v>
          </cell>
          <cell r="D1850">
            <v>46</v>
          </cell>
          <cell r="E1850">
            <v>31.7</v>
          </cell>
          <cell r="F1850">
            <v>69.7</v>
          </cell>
          <cell r="G1850">
            <v>92.2</v>
          </cell>
          <cell r="H1850">
            <v>63.1</v>
          </cell>
          <cell r="I1850">
            <v>70.3</v>
          </cell>
          <cell r="J1850">
            <v>49427</v>
          </cell>
          <cell r="K1850">
            <v>17.399999999999999</v>
          </cell>
          <cell r="L1850">
            <v>0.09</v>
          </cell>
          <cell r="M1850">
            <v>2.1590277777777778</v>
          </cell>
          <cell r="N1850">
            <v>2016</v>
          </cell>
          <cell r="O1850">
            <v>30</v>
          </cell>
          <cell r="P1850">
            <v>22</v>
          </cell>
        </row>
        <row r="1851">
          <cell r="B1851" t="str">
            <v>Tsinghua University</v>
          </cell>
          <cell r="C1851" t="str">
            <v>China</v>
          </cell>
          <cell r="D1851">
            <v>47</v>
          </cell>
          <cell r="E1851">
            <v>39.5</v>
          </cell>
          <cell r="F1851">
            <v>83</v>
          </cell>
          <cell r="G1851">
            <v>58.8</v>
          </cell>
          <cell r="H1851">
            <v>100</v>
          </cell>
          <cell r="I1851">
            <v>70</v>
          </cell>
          <cell r="J1851">
            <v>39763</v>
          </cell>
          <cell r="K1851">
            <v>13.7</v>
          </cell>
          <cell r="L1851">
            <v>0.1</v>
          </cell>
          <cell r="M1851" t="str">
            <v>32 : 68</v>
          </cell>
          <cell r="N1851">
            <v>2016</v>
          </cell>
          <cell r="O1851">
            <v>87</v>
          </cell>
          <cell r="P1851">
            <v>2</v>
          </cell>
        </row>
        <row r="1852">
          <cell r="B1852" t="str">
            <v>Wageningen University and Research Center</v>
          </cell>
          <cell r="C1852" t="str">
            <v>Netherlands</v>
          </cell>
          <cell r="D1852">
            <v>47</v>
          </cell>
          <cell r="E1852">
            <v>70.3</v>
          </cell>
          <cell r="F1852">
            <v>66.900000000000006</v>
          </cell>
          <cell r="G1852">
            <v>87.8</v>
          </cell>
          <cell r="H1852">
            <v>100</v>
          </cell>
          <cell r="I1852">
            <v>70</v>
          </cell>
          <cell r="J1852">
            <v>9248</v>
          </cell>
          <cell r="K1852">
            <v>17</v>
          </cell>
          <cell r="L1852">
            <v>0.21</v>
          </cell>
          <cell r="M1852">
            <v>2.3638888888888889</v>
          </cell>
          <cell r="N1852">
            <v>2016</v>
          </cell>
          <cell r="O1852" t="e">
            <v>#N/A</v>
          </cell>
          <cell r="P1852" t="e">
            <v>#N/A</v>
          </cell>
        </row>
        <row r="1853">
          <cell r="B1853" t="str">
            <v>Humboldt University of Berlin</v>
          </cell>
          <cell r="C1853" t="str">
            <v>Germany</v>
          </cell>
          <cell r="D1853">
            <v>49</v>
          </cell>
          <cell r="E1853">
            <v>62.6</v>
          </cell>
          <cell r="F1853">
            <v>77</v>
          </cell>
          <cell r="G1853">
            <v>73.599999999999994</v>
          </cell>
          <cell r="H1853">
            <v>36.1</v>
          </cell>
          <cell r="I1853">
            <v>69.900000000000006</v>
          </cell>
          <cell r="J1853">
            <v>29987</v>
          </cell>
          <cell r="K1853">
            <v>52.5</v>
          </cell>
          <cell r="L1853">
            <v>0.16</v>
          </cell>
          <cell r="N1853">
            <v>2016</v>
          </cell>
          <cell r="O1853">
            <v>157</v>
          </cell>
          <cell r="P1853">
            <v>6</v>
          </cell>
        </row>
        <row r="1854">
          <cell r="B1854" t="str">
            <v>University of Wisconsin-Madison</v>
          </cell>
          <cell r="C1854" t="str">
            <v>United States of America</v>
          </cell>
          <cell r="D1854">
            <v>50</v>
          </cell>
          <cell r="E1854">
            <v>33</v>
          </cell>
          <cell r="F1854">
            <v>68.2</v>
          </cell>
          <cell r="G1854">
            <v>86.6</v>
          </cell>
          <cell r="H1854">
            <v>48.5</v>
          </cell>
          <cell r="I1854">
            <v>69.7</v>
          </cell>
          <cell r="J1854">
            <v>39655</v>
          </cell>
          <cell r="K1854">
            <v>10.8</v>
          </cell>
          <cell r="L1854">
            <v>0.11</v>
          </cell>
          <cell r="M1854">
            <v>2.1590277777777778</v>
          </cell>
          <cell r="N1854">
            <v>2016</v>
          </cell>
          <cell r="O1854" t="e">
            <v>#N/A</v>
          </cell>
          <cell r="P1854" t="e">
            <v>#N/A</v>
          </cell>
        </row>
        <row r="1855">
          <cell r="B1855" t="str">
            <v>Brown University</v>
          </cell>
          <cell r="C1855" t="str">
            <v>United States of America</v>
          </cell>
          <cell r="D1855">
            <v>51</v>
          </cell>
          <cell r="E1855">
            <v>57.8</v>
          </cell>
          <cell r="F1855">
            <v>55.7</v>
          </cell>
          <cell r="G1855">
            <v>96.4</v>
          </cell>
          <cell r="H1855">
            <v>31.4</v>
          </cell>
          <cell r="I1855">
            <v>69.599999999999994</v>
          </cell>
          <cell r="J1855">
            <v>8653</v>
          </cell>
          <cell r="K1855">
            <v>10.1</v>
          </cell>
          <cell r="L1855">
            <v>0.19</v>
          </cell>
          <cell r="N1855">
            <v>2016</v>
          </cell>
          <cell r="O1855">
            <v>66</v>
          </cell>
          <cell r="P1855">
            <v>46</v>
          </cell>
        </row>
        <row r="1856">
          <cell r="B1856" t="str">
            <v>Australian National University</v>
          </cell>
          <cell r="C1856" t="str">
            <v>Australia</v>
          </cell>
          <cell r="D1856">
            <v>52</v>
          </cell>
          <cell r="E1856">
            <v>93.3</v>
          </cell>
          <cell r="F1856">
            <v>77.3</v>
          </cell>
          <cell r="G1856">
            <v>72.3</v>
          </cell>
          <cell r="H1856">
            <v>48</v>
          </cell>
          <cell r="I1856">
            <v>69.5</v>
          </cell>
          <cell r="J1856">
            <v>14604</v>
          </cell>
          <cell r="K1856">
            <v>19.2</v>
          </cell>
          <cell r="L1856">
            <v>0.35</v>
          </cell>
          <cell r="M1856">
            <v>2.2000000000000002</v>
          </cell>
          <cell r="N1856">
            <v>2016</v>
          </cell>
          <cell r="O1856">
            <v>96</v>
          </cell>
          <cell r="P1856">
            <v>2</v>
          </cell>
        </row>
        <row r="1857">
          <cell r="B1857" t="str">
            <v>Technical University of Munich</v>
          </cell>
          <cell r="C1857" t="str">
            <v>Germany</v>
          </cell>
          <cell r="D1857">
            <v>53</v>
          </cell>
          <cell r="E1857">
            <v>63.8</v>
          </cell>
          <cell r="F1857">
            <v>66</v>
          </cell>
          <cell r="G1857">
            <v>80.099999999999994</v>
          </cell>
          <cell r="H1857">
            <v>99.2</v>
          </cell>
          <cell r="I1857">
            <v>69.400000000000006</v>
          </cell>
          <cell r="J1857">
            <v>35565</v>
          </cell>
          <cell r="K1857">
            <v>31.5</v>
          </cell>
          <cell r="L1857">
            <v>0.2</v>
          </cell>
          <cell r="M1857" t="str">
            <v>33 : 67</v>
          </cell>
          <cell r="N1857">
            <v>2016</v>
          </cell>
          <cell r="O1857">
            <v>90</v>
          </cell>
          <cell r="P1857">
            <v>3</v>
          </cell>
        </row>
        <row r="1858">
          <cell r="B1858" t="str">
            <v>Ã‰cole Normale SupÃ©rieure</v>
          </cell>
          <cell r="C1858" t="str">
            <v>France</v>
          </cell>
          <cell r="D1858">
            <v>54</v>
          </cell>
          <cell r="E1858">
            <v>85.5</v>
          </cell>
          <cell r="F1858">
            <v>47.7</v>
          </cell>
          <cell r="G1858">
            <v>87.1</v>
          </cell>
          <cell r="H1858">
            <v>37.1</v>
          </cell>
          <cell r="I1858">
            <v>69</v>
          </cell>
          <cell r="J1858">
            <v>2400</v>
          </cell>
          <cell r="K1858">
            <v>7.9</v>
          </cell>
          <cell r="L1858">
            <v>0.2</v>
          </cell>
          <cell r="M1858">
            <v>1.9541666666666666</v>
          </cell>
          <cell r="N1858">
            <v>2016</v>
          </cell>
          <cell r="O1858" t="e">
            <v>#N/A</v>
          </cell>
          <cell r="P1858" t="e">
            <v>#N/A</v>
          </cell>
        </row>
        <row r="1859">
          <cell r="B1859" t="str">
            <v>Nanyang Technological University</v>
          </cell>
          <cell r="C1859" t="str">
            <v>Singapore</v>
          </cell>
          <cell r="D1859">
            <v>55</v>
          </cell>
          <cell r="E1859">
            <v>94.6</v>
          </cell>
          <cell r="F1859">
            <v>61.3</v>
          </cell>
          <cell r="G1859">
            <v>85.6</v>
          </cell>
          <cell r="H1859">
            <v>99.9</v>
          </cell>
          <cell r="I1859">
            <v>68.2</v>
          </cell>
          <cell r="J1859">
            <v>25028</v>
          </cell>
          <cell r="K1859">
            <v>16.2</v>
          </cell>
          <cell r="L1859">
            <v>0.33</v>
          </cell>
          <cell r="M1859">
            <v>2.036111111111111</v>
          </cell>
          <cell r="N1859">
            <v>2016</v>
          </cell>
          <cell r="O1859">
            <v>148</v>
          </cell>
          <cell r="P1859">
            <v>2</v>
          </cell>
        </row>
        <row r="1860">
          <cell r="B1860" t="str">
            <v>University of Manchester</v>
          </cell>
          <cell r="C1860" t="str">
            <v>United Kingdom</v>
          </cell>
          <cell r="D1860">
            <v>56</v>
          </cell>
          <cell r="E1860">
            <v>87</v>
          </cell>
          <cell r="F1860">
            <v>66</v>
          </cell>
          <cell r="G1860">
            <v>77.3</v>
          </cell>
          <cell r="H1860">
            <v>42</v>
          </cell>
          <cell r="I1860">
            <v>68.099999999999994</v>
          </cell>
          <cell r="J1860">
            <v>34938</v>
          </cell>
          <cell r="K1860">
            <v>15.3</v>
          </cell>
          <cell r="L1860">
            <v>0.34</v>
          </cell>
          <cell r="M1860">
            <v>2.2000000000000002</v>
          </cell>
          <cell r="N1860">
            <v>2016</v>
          </cell>
          <cell r="O1860">
            <v>76</v>
          </cell>
          <cell r="P1860">
            <v>5</v>
          </cell>
        </row>
        <row r="1861">
          <cell r="B1861" t="str">
            <v>University of Sydney</v>
          </cell>
          <cell r="C1861" t="str">
            <v>Australia</v>
          </cell>
          <cell r="D1861">
            <v>56</v>
          </cell>
          <cell r="E1861">
            <v>84.4</v>
          </cell>
          <cell r="F1861">
            <v>68.099999999999994</v>
          </cell>
          <cell r="G1861">
            <v>77.5</v>
          </cell>
          <cell r="H1861">
            <v>72.400000000000006</v>
          </cell>
          <cell r="I1861">
            <v>68.099999999999994</v>
          </cell>
          <cell r="J1861">
            <v>41868</v>
          </cell>
          <cell r="K1861">
            <v>20.2</v>
          </cell>
          <cell r="L1861">
            <v>0.28000000000000003</v>
          </cell>
          <cell r="M1861">
            <v>2.4048611111111109</v>
          </cell>
          <cell r="N1861">
            <v>2016</v>
          </cell>
          <cell r="O1861">
            <v>94</v>
          </cell>
          <cell r="P1861">
            <v>2</v>
          </cell>
        </row>
        <row r="1862">
          <cell r="B1862" t="str">
            <v>University of Amsterdam</v>
          </cell>
          <cell r="C1862" t="str">
            <v>Netherlands</v>
          </cell>
          <cell r="D1862">
            <v>58</v>
          </cell>
          <cell r="E1862">
            <v>66.5</v>
          </cell>
          <cell r="F1862">
            <v>64.7</v>
          </cell>
          <cell r="G1862">
            <v>87.4</v>
          </cell>
          <cell r="H1862">
            <v>62.8</v>
          </cell>
          <cell r="I1862">
            <v>67.8</v>
          </cell>
          <cell r="J1862">
            <v>24570</v>
          </cell>
          <cell r="K1862">
            <v>14.4</v>
          </cell>
          <cell r="L1862">
            <v>0.11</v>
          </cell>
          <cell r="M1862">
            <v>2.2409722222222221</v>
          </cell>
          <cell r="N1862">
            <v>2016</v>
          </cell>
          <cell r="O1862">
            <v>122</v>
          </cell>
          <cell r="P1862">
            <v>4</v>
          </cell>
        </row>
        <row r="1863">
          <cell r="B1863" t="str">
            <v>Hong Kong University of Science and Technology</v>
          </cell>
          <cell r="C1863" t="str">
            <v>Hong Kong</v>
          </cell>
          <cell r="D1863">
            <v>59</v>
          </cell>
          <cell r="E1863">
            <v>80.5</v>
          </cell>
          <cell r="F1863">
            <v>66.099999999999994</v>
          </cell>
          <cell r="G1863">
            <v>82.6</v>
          </cell>
          <cell r="H1863">
            <v>68.099999999999994</v>
          </cell>
          <cell r="I1863">
            <v>67.2</v>
          </cell>
          <cell r="J1863">
            <v>11385</v>
          </cell>
          <cell r="K1863">
            <v>23.8</v>
          </cell>
          <cell r="L1863">
            <v>0.36</v>
          </cell>
          <cell r="N1863">
            <v>2016</v>
          </cell>
          <cell r="O1863">
            <v>291</v>
          </cell>
          <cell r="P1863">
            <v>3</v>
          </cell>
        </row>
        <row r="1864">
          <cell r="B1864" t="str">
            <v>The University of Queensland</v>
          </cell>
          <cell r="C1864" t="str">
            <v>Australia</v>
          </cell>
          <cell r="D1864">
            <v>60</v>
          </cell>
          <cell r="E1864">
            <v>89.3</v>
          </cell>
          <cell r="F1864">
            <v>62.8</v>
          </cell>
          <cell r="G1864">
            <v>82.4</v>
          </cell>
          <cell r="H1864">
            <v>76.7</v>
          </cell>
          <cell r="I1864">
            <v>67</v>
          </cell>
          <cell r="J1864">
            <v>34718</v>
          </cell>
          <cell r="K1864">
            <v>32.700000000000003</v>
          </cell>
          <cell r="L1864">
            <v>0.27</v>
          </cell>
          <cell r="M1864">
            <v>2.2409722222222221</v>
          </cell>
          <cell r="N1864">
            <v>2016</v>
          </cell>
          <cell r="O1864" t="e">
            <v>#N/A</v>
          </cell>
          <cell r="P1864" t="e">
            <v>#N/A</v>
          </cell>
        </row>
        <row r="1865">
          <cell r="B1865" t="str">
            <v>Washington University in St Louis</v>
          </cell>
          <cell r="C1865" t="str">
            <v>United States of America</v>
          </cell>
          <cell r="D1865">
            <v>60</v>
          </cell>
          <cell r="E1865">
            <v>44.9</v>
          </cell>
          <cell r="F1865">
            <v>55.6</v>
          </cell>
          <cell r="G1865">
            <v>99.2</v>
          </cell>
          <cell r="H1865">
            <v>33.5</v>
          </cell>
          <cell r="I1865">
            <v>67</v>
          </cell>
          <cell r="J1865">
            <v>12528</v>
          </cell>
          <cell r="K1865">
            <v>5.7</v>
          </cell>
          <cell r="L1865">
            <v>0.17</v>
          </cell>
          <cell r="N1865">
            <v>2016</v>
          </cell>
          <cell r="O1865" t="e">
            <v>#N/A</v>
          </cell>
          <cell r="P1865" t="e">
            <v>#N/A</v>
          </cell>
        </row>
        <row r="1866">
          <cell r="B1866" t="str">
            <v>Utrecht University</v>
          </cell>
          <cell r="C1866" t="str">
            <v>Netherlands</v>
          </cell>
          <cell r="D1866">
            <v>62</v>
          </cell>
          <cell r="E1866">
            <v>55.8</v>
          </cell>
          <cell r="F1866">
            <v>64.3</v>
          </cell>
          <cell r="G1866">
            <v>88.1</v>
          </cell>
          <cell r="H1866">
            <v>89.1</v>
          </cell>
          <cell r="I1866">
            <v>66.599999999999994</v>
          </cell>
          <cell r="J1866">
            <v>30779</v>
          </cell>
          <cell r="K1866">
            <v>15.4</v>
          </cell>
          <cell r="L1866">
            <v>7.0000000000000007E-2</v>
          </cell>
          <cell r="M1866">
            <v>2.4868055555555557</v>
          </cell>
          <cell r="N1866">
            <v>2016</v>
          </cell>
          <cell r="O1866">
            <v>99</v>
          </cell>
          <cell r="P1866">
            <v>2</v>
          </cell>
        </row>
        <row r="1867">
          <cell r="B1867" t="str">
            <v>University of North Carolina at Chapel Hill</v>
          </cell>
          <cell r="C1867" t="str">
            <v>United States of America</v>
          </cell>
          <cell r="D1867">
            <v>63</v>
          </cell>
          <cell r="E1867">
            <v>39</v>
          </cell>
          <cell r="F1867">
            <v>54.5</v>
          </cell>
          <cell r="G1867">
            <v>95.9</v>
          </cell>
          <cell r="H1867">
            <v>39.4</v>
          </cell>
          <cell r="I1867">
            <v>66.400000000000006</v>
          </cell>
          <cell r="J1867">
            <v>26518</v>
          </cell>
          <cell r="K1867">
            <v>7.3</v>
          </cell>
          <cell r="L1867">
            <v>0.08</v>
          </cell>
          <cell r="M1867">
            <v>2.4458333333333333</v>
          </cell>
          <cell r="N1867">
            <v>2016</v>
          </cell>
          <cell r="O1867">
            <v>36</v>
          </cell>
          <cell r="P1867">
            <v>25</v>
          </cell>
        </row>
        <row r="1868">
          <cell r="B1868" t="str">
            <v>Boston University</v>
          </cell>
          <cell r="C1868" t="str">
            <v>United States of America</v>
          </cell>
          <cell r="D1868">
            <v>64</v>
          </cell>
          <cell r="E1868">
            <v>51</v>
          </cell>
          <cell r="F1868">
            <v>49.5</v>
          </cell>
          <cell r="G1868">
            <v>97.7</v>
          </cell>
          <cell r="H1868">
            <v>30.3</v>
          </cell>
          <cell r="I1868">
            <v>66.099999999999994</v>
          </cell>
          <cell r="J1868">
            <v>24789</v>
          </cell>
          <cell r="K1868">
            <v>8.6</v>
          </cell>
          <cell r="L1868">
            <v>0.17</v>
          </cell>
          <cell r="M1868">
            <v>2.4458333333333333</v>
          </cell>
          <cell r="N1868">
            <v>2016</v>
          </cell>
          <cell r="O1868">
            <v>62</v>
          </cell>
          <cell r="P1868">
            <v>44</v>
          </cell>
        </row>
        <row r="1869">
          <cell r="B1869" t="str">
            <v>Delft University of Technology</v>
          </cell>
          <cell r="C1869" t="str">
            <v>Netherlands</v>
          </cell>
          <cell r="D1869">
            <v>65</v>
          </cell>
          <cell r="E1869">
            <v>84</v>
          </cell>
          <cell r="F1869">
            <v>73.8</v>
          </cell>
          <cell r="G1869">
            <v>61.5</v>
          </cell>
          <cell r="H1869">
            <v>100</v>
          </cell>
          <cell r="I1869">
            <v>65.900000000000006</v>
          </cell>
          <cell r="J1869">
            <v>15920</v>
          </cell>
          <cell r="K1869">
            <v>19.399999999999999</v>
          </cell>
          <cell r="L1869">
            <v>0.25</v>
          </cell>
          <cell r="M1869" t="str">
            <v>26 : 74</v>
          </cell>
          <cell r="N1869">
            <v>2016</v>
          </cell>
          <cell r="O1869">
            <v>275</v>
          </cell>
          <cell r="P1869">
            <v>9</v>
          </cell>
        </row>
        <row r="1870">
          <cell r="B1870" t="str">
            <v>University of Minnesota</v>
          </cell>
          <cell r="C1870" t="str">
            <v>United States of America</v>
          </cell>
          <cell r="D1870">
            <v>65</v>
          </cell>
          <cell r="E1870">
            <v>35.299999999999997</v>
          </cell>
          <cell r="F1870">
            <v>61</v>
          </cell>
          <cell r="G1870">
            <v>88</v>
          </cell>
          <cell r="H1870">
            <v>98.5</v>
          </cell>
          <cell r="I1870">
            <v>65.900000000000006</v>
          </cell>
          <cell r="J1870">
            <v>46825</v>
          </cell>
          <cell r="K1870">
            <v>18</v>
          </cell>
          <cell r="L1870">
            <v>0.13</v>
          </cell>
          <cell r="M1870">
            <v>2.2000000000000002</v>
          </cell>
          <cell r="N1870">
            <v>2016</v>
          </cell>
          <cell r="O1870" t="e">
            <v>#N/A</v>
          </cell>
          <cell r="P1870" t="e">
            <v>#N/A</v>
          </cell>
        </row>
        <row r="1871">
          <cell r="B1871" t="str">
            <v>Leiden University</v>
          </cell>
          <cell r="C1871" t="str">
            <v>Netherlands</v>
          </cell>
          <cell r="D1871">
            <v>67</v>
          </cell>
          <cell r="E1871">
            <v>64.3</v>
          </cell>
          <cell r="F1871">
            <v>63.1</v>
          </cell>
          <cell r="G1871">
            <v>85.2</v>
          </cell>
          <cell r="H1871">
            <v>49.8</v>
          </cell>
          <cell r="I1871">
            <v>65.7</v>
          </cell>
          <cell r="J1871">
            <v>21222</v>
          </cell>
          <cell r="K1871">
            <v>17.100000000000001</v>
          </cell>
          <cell r="L1871">
            <v>0.1</v>
          </cell>
          <cell r="M1871">
            <v>2.4868055555555557</v>
          </cell>
          <cell r="N1871">
            <v>2016</v>
          </cell>
          <cell r="O1871">
            <v>85</v>
          </cell>
          <cell r="P1871">
            <v>1</v>
          </cell>
        </row>
        <row r="1872">
          <cell r="B1872" t="str">
            <v>University of Southern California</v>
          </cell>
          <cell r="C1872" t="str">
            <v>United States of America</v>
          </cell>
          <cell r="D1872">
            <v>68</v>
          </cell>
          <cell r="E1872">
            <v>56.3</v>
          </cell>
          <cell r="F1872">
            <v>58.9</v>
          </cell>
          <cell r="G1872">
            <v>93</v>
          </cell>
          <cell r="H1872">
            <v>38</v>
          </cell>
          <cell r="I1872">
            <v>65.5</v>
          </cell>
          <cell r="J1872">
            <v>36534</v>
          </cell>
          <cell r="K1872">
            <v>12.9</v>
          </cell>
          <cell r="L1872">
            <v>0.2</v>
          </cell>
          <cell r="M1872">
            <v>2.2000000000000002</v>
          </cell>
          <cell r="N1872">
            <v>2016</v>
          </cell>
          <cell r="O1872">
            <v>44</v>
          </cell>
          <cell r="P1872">
            <v>32</v>
          </cell>
        </row>
        <row r="1873">
          <cell r="B1873" t="str">
            <v>University of Bristol</v>
          </cell>
          <cell r="C1873" t="str">
            <v>United Kingdom</v>
          </cell>
          <cell r="D1873">
            <v>69</v>
          </cell>
          <cell r="E1873">
            <v>82.4</v>
          </cell>
          <cell r="F1873">
            <v>51.6</v>
          </cell>
          <cell r="G1873">
            <v>91.2</v>
          </cell>
          <cell r="H1873">
            <v>40</v>
          </cell>
          <cell r="I1873">
            <v>64.3</v>
          </cell>
          <cell r="J1873">
            <v>17906</v>
          </cell>
          <cell r="K1873">
            <v>14</v>
          </cell>
          <cell r="L1873">
            <v>0.25</v>
          </cell>
          <cell r="M1873">
            <v>2.2409722222222221</v>
          </cell>
          <cell r="N1873">
            <v>2016</v>
          </cell>
          <cell r="O1873">
            <v>98</v>
          </cell>
          <cell r="P1873">
            <v>7</v>
          </cell>
        </row>
        <row r="1874">
          <cell r="B1874" t="str">
            <v>Durham University</v>
          </cell>
          <cell r="C1874" t="str">
            <v>United Kingdom</v>
          </cell>
          <cell r="D1874">
            <v>70</v>
          </cell>
          <cell r="E1874">
            <v>86.4</v>
          </cell>
          <cell r="F1874">
            <v>51.9</v>
          </cell>
          <cell r="G1874">
            <v>87.7</v>
          </cell>
          <cell r="H1874">
            <v>34.4</v>
          </cell>
          <cell r="I1874">
            <v>63.6</v>
          </cell>
          <cell r="J1874">
            <v>15489</v>
          </cell>
          <cell r="K1874">
            <v>15.7</v>
          </cell>
          <cell r="L1874">
            <v>0.24</v>
          </cell>
          <cell r="M1874">
            <v>2.2819444444444446</v>
          </cell>
          <cell r="N1874">
            <v>2016</v>
          </cell>
          <cell r="O1874">
            <v>264</v>
          </cell>
          <cell r="P1874">
            <v>23</v>
          </cell>
        </row>
        <row r="1875">
          <cell r="B1875" t="str">
            <v>Erasmus University Rotterdam</v>
          </cell>
          <cell r="C1875" t="str">
            <v>Netherlands</v>
          </cell>
          <cell r="D1875">
            <v>71</v>
          </cell>
          <cell r="E1875">
            <v>76.099999999999994</v>
          </cell>
          <cell r="F1875">
            <v>55.2</v>
          </cell>
          <cell r="G1875">
            <v>95.6</v>
          </cell>
          <cell r="H1875">
            <v>54.6</v>
          </cell>
          <cell r="I1875">
            <v>63.5</v>
          </cell>
          <cell r="J1875">
            <v>20580</v>
          </cell>
          <cell r="K1875">
            <v>18.899999999999999</v>
          </cell>
          <cell r="L1875">
            <v>0.18</v>
          </cell>
          <cell r="M1875">
            <v>2.036111111111111</v>
          </cell>
          <cell r="N1875">
            <v>2016</v>
          </cell>
          <cell r="O1875">
            <v>101</v>
          </cell>
          <cell r="P1875">
            <v>2</v>
          </cell>
        </row>
        <row r="1876">
          <cell r="B1876" t="str">
            <v>Free University of Berlin</v>
          </cell>
          <cell r="C1876" t="str">
            <v>Germany</v>
          </cell>
          <cell r="D1876">
            <v>72</v>
          </cell>
          <cell r="E1876">
            <v>69.2</v>
          </cell>
          <cell r="F1876">
            <v>72.2</v>
          </cell>
          <cell r="G1876">
            <v>60.2</v>
          </cell>
          <cell r="H1876">
            <v>35.1</v>
          </cell>
          <cell r="I1876">
            <v>63.2</v>
          </cell>
          <cell r="J1876">
            <v>33062</v>
          </cell>
          <cell r="K1876">
            <v>39.299999999999997</v>
          </cell>
          <cell r="L1876">
            <v>0.2</v>
          </cell>
          <cell r="M1876">
            <v>2.4458333333333333</v>
          </cell>
          <cell r="N1876">
            <v>2016</v>
          </cell>
          <cell r="O1876">
            <v>158</v>
          </cell>
          <cell r="P1876">
            <v>7</v>
          </cell>
        </row>
        <row r="1877">
          <cell r="B1877" t="str">
            <v>Monash University</v>
          </cell>
          <cell r="C1877" t="str">
            <v>Australia</v>
          </cell>
          <cell r="D1877">
            <v>73</v>
          </cell>
          <cell r="E1877">
            <v>87.6</v>
          </cell>
          <cell r="F1877">
            <v>58.5</v>
          </cell>
          <cell r="G1877">
            <v>73.3</v>
          </cell>
          <cell r="H1877">
            <v>79.7</v>
          </cell>
          <cell r="I1877">
            <v>62.5</v>
          </cell>
          <cell r="J1877">
            <v>50882</v>
          </cell>
          <cell r="K1877">
            <v>40.5</v>
          </cell>
          <cell r="L1877">
            <v>0.36</v>
          </cell>
          <cell r="M1877">
            <v>2.3638888888888889</v>
          </cell>
          <cell r="N1877">
            <v>2016</v>
          </cell>
          <cell r="O1877">
            <v>170</v>
          </cell>
          <cell r="P1877">
            <v>6</v>
          </cell>
        </row>
        <row r="1878">
          <cell r="B1878" t="str">
            <v>University of Groningen</v>
          </cell>
          <cell r="C1878" t="str">
            <v>Netherlands</v>
          </cell>
          <cell r="D1878">
            <v>74</v>
          </cell>
          <cell r="E1878">
            <v>63.9</v>
          </cell>
          <cell r="F1878">
            <v>56.9</v>
          </cell>
          <cell r="G1878">
            <v>84</v>
          </cell>
          <cell r="H1878">
            <v>92.4</v>
          </cell>
          <cell r="I1878">
            <v>62.4</v>
          </cell>
          <cell r="J1878">
            <v>24556</v>
          </cell>
          <cell r="K1878">
            <v>25.6</v>
          </cell>
          <cell r="L1878">
            <v>0.12</v>
          </cell>
          <cell r="M1878">
            <v>2.2000000000000002</v>
          </cell>
          <cell r="N1878">
            <v>2016</v>
          </cell>
          <cell r="O1878">
            <v>127</v>
          </cell>
          <cell r="P1878">
            <v>5</v>
          </cell>
        </row>
        <row r="1879">
          <cell r="B1879" t="str">
            <v>Pennsylvania State University</v>
          </cell>
          <cell r="C1879" t="str">
            <v>United States of America</v>
          </cell>
          <cell r="D1879">
            <v>75</v>
          </cell>
          <cell r="E1879">
            <v>40.799999999999997</v>
          </cell>
          <cell r="F1879">
            <v>61.9</v>
          </cell>
          <cell r="G1879">
            <v>80.5</v>
          </cell>
          <cell r="H1879">
            <v>56.2</v>
          </cell>
          <cell r="I1879">
            <v>62.3</v>
          </cell>
          <cell r="J1879">
            <v>44501</v>
          </cell>
          <cell r="K1879">
            <v>12.4</v>
          </cell>
          <cell r="L1879">
            <v>0.12</v>
          </cell>
          <cell r="M1879">
            <v>1.9541666666666666</v>
          </cell>
          <cell r="N1879">
            <v>2016</v>
          </cell>
          <cell r="O1879" t="e">
            <v>#N/A</v>
          </cell>
          <cell r="P1879" t="e">
            <v>#N/A</v>
          </cell>
        </row>
        <row r="1880">
          <cell r="B1880" t="str">
            <v>University of Glasgow</v>
          </cell>
          <cell r="C1880" t="str">
            <v>United Kingdom</v>
          </cell>
          <cell r="D1880">
            <v>76</v>
          </cell>
          <cell r="E1880">
            <v>85.8</v>
          </cell>
          <cell r="F1880">
            <v>48.3</v>
          </cell>
          <cell r="G1880">
            <v>92.3</v>
          </cell>
          <cell r="H1880">
            <v>31.6</v>
          </cell>
          <cell r="I1880">
            <v>61.9</v>
          </cell>
          <cell r="J1880">
            <v>22616</v>
          </cell>
          <cell r="K1880">
            <v>16</v>
          </cell>
          <cell r="L1880">
            <v>0.28999999999999998</v>
          </cell>
          <cell r="M1880">
            <v>2.4048611111111109</v>
          </cell>
          <cell r="N1880">
            <v>2016</v>
          </cell>
          <cell r="O1880">
            <v>137</v>
          </cell>
          <cell r="P1880">
            <v>9</v>
          </cell>
        </row>
        <row r="1881">
          <cell r="B1881" t="str">
            <v>University of Helsinki</v>
          </cell>
          <cell r="C1881" t="str">
            <v>Finland</v>
          </cell>
          <cell r="D1881">
            <v>76</v>
          </cell>
          <cell r="E1881">
            <v>51.8</v>
          </cell>
          <cell r="F1881">
            <v>60.4</v>
          </cell>
          <cell r="G1881">
            <v>82.1</v>
          </cell>
          <cell r="H1881">
            <v>31.6</v>
          </cell>
          <cell r="I1881">
            <v>61.9</v>
          </cell>
          <cell r="J1881">
            <v>23505</v>
          </cell>
          <cell r="K1881">
            <v>15.1</v>
          </cell>
          <cell r="L1881">
            <v>0.06</v>
          </cell>
          <cell r="M1881">
            <v>2.7736111111111112</v>
          </cell>
          <cell r="N1881">
            <v>2016</v>
          </cell>
          <cell r="O1881">
            <v>89</v>
          </cell>
          <cell r="P1881">
            <v>1</v>
          </cell>
        </row>
        <row r="1882">
          <cell r="B1882" t="str">
            <v>University of TÃ¼bingen</v>
          </cell>
          <cell r="C1882" t="str">
            <v>Germany</v>
          </cell>
          <cell r="D1882">
            <v>78</v>
          </cell>
          <cell r="E1882">
            <v>58.2</v>
          </cell>
          <cell r="F1882">
            <v>59.8</v>
          </cell>
          <cell r="G1882">
            <v>79.3</v>
          </cell>
          <cell r="H1882">
            <v>59.2</v>
          </cell>
          <cell r="I1882">
            <v>61.7</v>
          </cell>
          <cell r="J1882">
            <v>28327</v>
          </cell>
          <cell r="K1882">
            <v>38.9</v>
          </cell>
          <cell r="L1882">
            <v>0.12</v>
          </cell>
          <cell r="M1882">
            <v>2.4458333333333333</v>
          </cell>
          <cell r="N1882">
            <v>2016</v>
          </cell>
          <cell r="O1882">
            <v>159</v>
          </cell>
          <cell r="P1882">
            <v>8</v>
          </cell>
        </row>
        <row r="1883">
          <cell r="B1883" t="str">
            <v>University of Pittsburgh</v>
          </cell>
          <cell r="C1883" t="str">
            <v>United States of America</v>
          </cell>
          <cell r="D1883">
            <v>79</v>
          </cell>
          <cell r="E1883">
            <v>33.9</v>
          </cell>
          <cell r="F1883">
            <v>50.3</v>
          </cell>
          <cell r="G1883">
            <v>92.3</v>
          </cell>
          <cell r="H1883">
            <v>39.299999999999997</v>
          </cell>
          <cell r="I1883">
            <v>61.5</v>
          </cell>
          <cell r="J1883">
            <v>26485</v>
          </cell>
          <cell r="K1883">
            <v>5.8</v>
          </cell>
          <cell r="L1883">
            <v>0.1</v>
          </cell>
          <cell r="M1883">
            <v>2.1590277777777778</v>
          </cell>
          <cell r="N1883">
            <v>2016</v>
          </cell>
          <cell r="O1883" t="e">
            <v>#N/A</v>
          </cell>
          <cell r="P1883" t="e">
            <v>#N/A</v>
          </cell>
        </row>
        <row r="1884">
          <cell r="B1884" t="str">
            <v>University of Warwick</v>
          </cell>
          <cell r="C1884" t="str">
            <v>United Kingdom</v>
          </cell>
          <cell r="D1884">
            <v>80</v>
          </cell>
          <cell r="E1884">
            <v>90.3</v>
          </cell>
          <cell r="F1884">
            <v>53.1</v>
          </cell>
          <cell r="G1884">
            <v>78.2</v>
          </cell>
          <cell r="H1884">
            <v>37.700000000000003</v>
          </cell>
          <cell r="I1884">
            <v>61.3</v>
          </cell>
          <cell r="J1884">
            <v>18529</v>
          </cell>
          <cell r="K1884">
            <v>16.600000000000001</v>
          </cell>
          <cell r="L1884">
            <v>0.37</v>
          </cell>
          <cell r="M1884">
            <v>2.036111111111111</v>
          </cell>
          <cell r="N1884">
            <v>2016</v>
          </cell>
          <cell r="O1884">
            <v>324</v>
          </cell>
          <cell r="P1884">
            <v>29</v>
          </cell>
        </row>
        <row r="1885">
          <cell r="B1885" t="str">
            <v>Uppsala University</v>
          </cell>
          <cell r="C1885" t="str">
            <v>Sweden</v>
          </cell>
          <cell r="D1885">
            <v>81</v>
          </cell>
          <cell r="E1885">
            <v>59.6</v>
          </cell>
          <cell r="F1885">
            <v>61</v>
          </cell>
          <cell r="G1885">
            <v>80.900000000000006</v>
          </cell>
          <cell r="H1885">
            <v>39.5</v>
          </cell>
          <cell r="I1885">
            <v>61.2</v>
          </cell>
          <cell r="J1885">
            <v>25266</v>
          </cell>
          <cell r="K1885">
            <v>18.2</v>
          </cell>
          <cell r="L1885">
            <v>0.12</v>
          </cell>
          <cell r="M1885">
            <v>2.4048611111111109</v>
          </cell>
          <cell r="N1885">
            <v>2016</v>
          </cell>
          <cell r="O1885">
            <v>124</v>
          </cell>
          <cell r="P1885">
            <v>4</v>
          </cell>
        </row>
        <row r="1886">
          <cell r="B1886" t="str">
            <v>University of Copenhagen</v>
          </cell>
          <cell r="C1886" t="str">
            <v>Denmark</v>
          </cell>
          <cell r="D1886">
            <v>82</v>
          </cell>
          <cell r="E1886">
            <v>83.3</v>
          </cell>
          <cell r="F1886">
            <v>42.7</v>
          </cell>
          <cell r="G1886">
            <v>86.2</v>
          </cell>
          <cell r="H1886">
            <v>45</v>
          </cell>
          <cell r="I1886">
            <v>61</v>
          </cell>
          <cell r="J1886">
            <v>27545</v>
          </cell>
          <cell r="K1886">
            <v>4.0999999999999996</v>
          </cell>
          <cell r="L1886">
            <v>0.19</v>
          </cell>
          <cell r="M1886">
            <v>2.8145833333333332</v>
          </cell>
          <cell r="N1886">
            <v>2016</v>
          </cell>
          <cell r="O1886">
            <v>93</v>
          </cell>
          <cell r="P1886">
            <v>1</v>
          </cell>
        </row>
        <row r="1887">
          <cell r="B1887" t="str">
            <v>University of New South Wales</v>
          </cell>
          <cell r="C1887" t="str">
            <v>Australia</v>
          </cell>
          <cell r="D1887">
            <v>82</v>
          </cell>
          <cell r="E1887">
            <v>89.5</v>
          </cell>
          <cell r="F1887">
            <v>53.9</v>
          </cell>
          <cell r="G1887">
            <v>82.1</v>
          </cell>
          <cell r="H1887">
            <v>50</v>
          </cell>
          <cell r="I1887">
            <v>61</v>
          </cell>
          <cell r="J1887">
            <v>38309</v>
          </cell>
          <cell r="K1887">
            <v>25.9</v>
          </cell>
          <cell r="L1887">
            <v>0.33</v>
          </cell>
          <cell r="M1887">
            <v>1.9951388888888888</v>
          </cell>
          <cell r="N1887">
            <v>2016</v>
          </cell>
          <cell r="O1887">
            <v>149</v>
          </cell>
          <cell r="P1887">
            <v>4</v>
          </cell>
        </row>
        <row r="1888">
          <cell r="B1888" t="str">
            <v>University of Freiburg</v>
          </cell>
          <cell r="C1888" t="str">
            <v>Germany</v>
          </cell>
          <cell r="D1888">
            <v>84</v>
          </cell>
          <cell r="E1888">
            <v>60.3</v>
          </cell>
          <cell r="F1888">
            <v>51.1</v>
          </cell>
          <cell r="G1888">
            <v>80.5</v>
          </cell>
          <cell r="H1888">
            <v>100</v>
          </cell>
          <cell r="I1888">
            <v>60.7</v>
          </cell>
          <cell r="J1888">
            <v>26467</v>
          </cell>
          <cell r="K1888">
            <v>31.2</v>
          </cell>
          <cell r="L1888">
            <v>0.16</v>
          </cell>
          <cell r="M1888">
            <v>2.2000000000000002</v>
          </cell>
          <cell r="N1888">
            <v>2016</v>
          </cell>
          <cell r="O1888" t="e">
            <v>#N/A</v>
          </cell>
          <cell r="P1888" t="e">
            <v>#N/A</v>
          </cell>
        </row>
        <row r="1889">
          <cell r="B1889" t="str">
            <v>Seoul National University</v>
          </cell>
          <cell r="C1889" t="str">
            <v>South Korea</v>
          </cell>
          <cell r="D1889">
            <v>85</v>
          </cell>
          <cell r="E1889">
            <v>30.9</v>
          </cell>
          <cell r="F1889">
            <v>70.5</v>
          </cell>
          <cell r="G1889">
            <v>50</v>
          </cell>
          <cell r="H1889">
            <v>85.4</v>
          </cell>
          <cell r="I1889">
            <v>60.5</v>
          </cell>
          <cell r="J1889">
            <v>26389</v>
          </cell>
          <cell r="K1889">
            <v>13.9</v>
          </cell>
          <cell r="L1889">
            <v>0.1</v>
          </cell>
          <cell r="N1889">
            <v>2016</v>
          </cell>
          <cell r="O1889">
            <v>75</v>
          </cell>
          <cell r="P1889">
            <v>1</v>
          </cell>
        </row>
        <row r="1890">
          <cell r="B1890" t="str">
            <v>University of St Andrews</v>
          </cell>
          <cell r="C1890" t="str">
            <v>United Kingdom</v>
          </cell>
          <cell r="D1890">
            <v>86</v>
          </cell>
          <cell r="E1890">
            <v>92.3</v>
          </cell>
          <cell r="F1890">
            <v>47.3</v>
          </cell>
          <cell r="G1890">
            <v>78.8</v>
          </cell>
          <cell r="H1890">
            <v>30.6</v>
          </cell>
          <cell r="I1890">
            <v>60.4</v>
          </cell>
          <cell r="J1890">
            <v>8338</v>
          </cell>
          <cell r="K1890">
            <v>12.7</v>
          </cell>
          <cell r="L1890">
            <v>0.47</v>
          </cell>
          <cell r="M1890">
            <v>2.3638888888888889</v>
          </cell>
          <cell r="N1890">
            <v>2016</v>
          </cell>
          <cell r="O1890">
            <v>323</v>
          </cell>
          <cell r="P1890">
            <v>28</v>
          </cell>
        </row>
        <row r="1891">
          <cell r="B1891" t="str">
            <v>Vanderbilt University</v>
          </cell>
          <cell r="C1891" t="str">
            <v>United States of America</v>
          </cell>
          <cell r="D1891">
            <v>87</v>
          </cell>
          <cell r="E1891">
            <v>29.1</v>
          </cell>
          <cell r="F1891">
            <v>44.2</v>
          </cell>
          <cell r="G1891">
            <v>95.7</v>
          </cell>
          <cell r="H1891">
            <v>63.2</v>
          </cell>
          <cell r="I1891">
            <v>60.1</v>
          </cell>
          <cell r="J1891">
            <v>12161</v>
          </cell>
          <cell r="K1891">
            <v>3.6</v>
          </cell>
          <cell r="L1891">
            <v>0.1</v>
          </cell>
          <cell r="M1891">
            <v>2.2000000000000002</v>
          </cell>
          <cell r="N1891">
            <v>2016</v>
          </cell>
          <cell r="O1891">
            <v>59</v>
          </cell>
          <cell r="P1891">
            <v>43</v>
          </cell>
        </row>
        <row r="1892">
          <cell r="B1892" t="str">
            <v>Kyoto University</v>
          </cell>
          <cell r="C1892" t="str">
            <v>Japan</v>
          </cell>
          <cell r="D1892">
            <v>88</v>
          </cell>
          <cell r="E1892">
            <v>26.1</v>
          </cell>
          <cell r="F1892">
            <v>69.3</v>
          </cell>
          <cell r="G1892">
            <v>46.6</v>
          </cell>
          <cell r="H1892">
            <v>79</v>
          </cell>
          <cell r="I1892">
            <v>59.9</v>
          </cell>
          <cell r="J1892">
            <v>22809</v>
          </cell>
          <cell r="K1892">
            <v>5.6</v>
          </cell>
          <cell r="L1892">
            <v>7.0000000000000007E-2</v>
          </cell>
          <cell r="N1892">
            <v>2016</v>
          </cell>
          <cell r="O1892">
            <v>17</v>
          </cell>
          <cell r="P1892">
            <v>2</v>
          </cell>
        </row>
        <row r="1893">
          <cell r="B1893" t="str">
            <v>Maastricht University</v>
          </cell>
          <cell r="C1893" t="str">
            <v>Netherlands</v>
          </cell>
          <cell r="D1893">
            <v>88</v>
          </cell>
          <cell r="E1893">
            <v>95.5</v>
          </cell>
          <cell r="F1893">
            <v>47.7</v>
          </cell>
          <cell r="G1893">
            <v>82.7</v>
          </cell>
          <cell r="H1893">
            <v>95.4</v>
          </cell>
          <cell r="I1893">
            <v>59.9</v>
          </cell>
          <cell r="J1893">
            <v>15626</v>
          </cell>
          <cell r="K1893">
            <v>18.899999999999999</v>
          </cell>
          <cell r="L1893">
            <v>0.48</v>
          </cell>
          <cell r="M1893">
            <v>2.3638888888888889</v>
          </cell>
          <cell r="N1893">
            <v>2016</v>
          </cell>
          <cell r="O1893">
            <v>250</v>
          </cell>
          <cell r="P1893">
            <v>8</v>
          </cell>
        </row>
        <row r="1894">
          <cell r="B1894" t="str">
            <v>Emory University</v>
          </cell>
          <cell r="C1894" t="str">
            <v>United States of America</v>
          </cell>
          <cell r="D1894">
            <v>90</v>
          </cell>
          <cell r="E1894">
            <v>51</v>
          </cell>
          <cell r="F1894">
            <v>37.1</v>
          </cell>
          <cell r="G1894">
            <v>96.7</v>
          </cell>
          <cell r="H1894">
            <v>48.9</v>
          </cell>
          <cell r="I1894">
            <v>59.7</v>
          </cell>
          <cell r="J1894">
            <v>12338</v>
          </cell>
          <cell r="K1894">
            <v>4.5</v>
          </cell>
          <cell r="L1894">
            <v>0.18</v>
          </cell>
          <cell r="M1894">
            <v>2.3638888888888889</v>
          </cell>
          <cell r="N1894">
            <v>2016</v>
          </cell>
          <cell r="O1894">
            <v>81</v>
          </cell>
          <cell r="P1894">
            <v>53</v>
          </cell>
        </row>
        <row r="1895">
          <cell r="B1895" t="str">
            <v>Lund University</v>
          </cell>
          <cell r="C1895" t="str">
            <v>Sweden</v>
          </cell>
          <cell r="D1895">
            <v>90</v>
          </cell>
          <cell r="E1895">
            <v>74.099999999999994</v>
          </cell>
          <cell r="F1895">
            <v>53.6</v>
          </cell>
          <cell r="G1895">
            <v>81.3</v>
          </cell>
          <cell r="H1895">
            <v>70.400000000000006</v>
          </cell>
          <cell r="I1895">
            <v>59.7</v>
          </cell>
          <cell r="J1895">
            <v>28251</v>
          </cell>
          <cell r="K1895">
            <v>11.5</v>
          </cell>
          <cell r="L1895">
            <v>0.15</v>
          </cell>
          <cell r="N1895">
            <v>2016</v>
          </cell>
          <cell r="O1895">
            <v>116</v>
          </cell>
          <cell r="P1895">
            <v>3</v>
          </cell>
        </row>
        <row r="1896">
          <cell r="B1896" t="str">
            <v>Ohio State University</v>
          </cell>
          <cell r="C1896" t="str">
            <v>United States of America</v>
          </cell>
          <cell r="D1896">
            <v>90</v>
          </cell>
          <cell r="E1896">
            <v>53</v>
          </cell>
          <cell r="F1896">
            <v>46.6</v>
          </cell>
          <cell r="G1896">
            <v>83.2</v>
          </cell>
          <cell r="H1896">
            <v>53.1</v>
          </cell>
          <cell r="I1896">
            <v>59.7</v>
          </cell>
          <cell r="J1896">
            <v>51462</v>
          </cell>
          <cell r="K1896">
            <v>13.4</v>
          </cell>
          <cell r="L1896">
            <v>0.12</v>
          </cell>
          <cell r="M1896">
            <v>2.0770833333333334</v>
          </cell>
          <cell r="N1896">
            <v>2016</v>
          </cell>
          <cell r="O1896" t="e">
            <v>#N/A</v>
          </cell>
          <cell r="P1896" t="e">
            <v>#N/A</v>
          </cell>
        </row>
        <row r="1897">
          <cell r="B1897" t="str">
            <v>University of Exeter</v>
          </cell>
          <cell r="C1897" t="str">
            <v>United Kingdom</v>
          </cell>
          <cell r="D1897">
            <v>93</v>
          </cell>
          <cell r="E1897">
            <v>87.3</v>
          </cell>
          <cell r="F1897">
            <v>40</v>
          </cell>
          <cell r="G1897">
            <v>94.3</v>
          </cell>
          <cell r="H1897">
            <v>31.9</v>
          </cell>
          <cell r="I1897">
            <v>59.5</v>
          </cell>
          <cell r="J1897">
            <v>17755</v>
          </cell>
          <cell r="K1897">
            <v>18.8</v>
          </cell>
          <cell r="L1897">
            <v>0.28000000000000003</v>
          </cell>
          <cell r="M1897">
            <v>2.2819444444444446</v>
          </cell>
          <cell r="N1897">
            <v>2016</v>
          </cell>
          <cell r="O1897">
            <v>357</v>
          </cell>
          <cell r="P1897">
            <v>34</v>
          </cell>
        </row>
        <row r="1898">
          <cell r="B1898" t="str">
            <v>University of Bonn</v>
          </cell>
          <cell r="C1898" t="str">
            <v>Germany</v>
          </cell>
          <cell r="D1898">
            <v>94</v>
          </cell>
          <cell r="E1898">
            <v>63.6</v>
          </cell>
          <cell r="F1898">
            <v>47.5</v>
          </cell>
          <cell r="G1898">
            <v>85.3</v>
          </cell>
          <cell r="H1898" t="str">
            <v>-</v>
          </cell>
          <cell r="I1898">
            <v>58.8</v>
          </cell>
          <cell r="J1898">
            <v>32474</v>
          </cell>
          <cell r="K1898">
            <v>70.400000000000006</v>
          </cell>
          <cell r="L1898">
            <v>0.13</v>
          </cell>
          <cell r="M1898">
            <v>2.3229166666666665</v>
          </cell>
          <cell r="N1898">
            <v>2016</v>
          </cell>
          <cell r="O1898">
            <v>98</v>
          </cell>
          <cell r="P1898">
            <v>3</v>
          </cell>
        </row>
        <row r="1899">
          <cell r="B1899" t="str">
            <v>Georgetown University</v>
          </cell>
          <cell r="C1899" t="str">
            <v>United States of America</v>
          </cell>
          <cell r="D1899">
            <v>94</v>
          </cell>
          <cell r="E1899">
            <v>52.7</v>
          </cell>
          <cell r="F1899">
            <v>39.299999999999997</v>
          </cell>
          <cell r="G1899">
            <v>82.5</v>
          </cell>
          <cell r="H1899">
            <v>80.7</v>
          </cell>
          <cell r="I1899">
            <v>58.8</v>
          </cell>
          <cell r="J1899">
            <v>15408</v>
          </cell>
          <cell r="K1899">
            <v>8.5</v>
          </cell>
          <cell r="L1899">
            <v>0.14000000000000001</v>
          </cell>
          <cell r="M1899">
            <v>2.2409722222222221</v>
          </cell>
          <cell r="N1899">
            <v>2016</v>
          </cell>
          <cell r="O1899">
            <v>118</v>
          </cell>
          <cell r="P1899">
            <v>61</v>
          </cell>
        </row>
        <row r="1900">
          <cell r="B1900" t="str">
            <v>McMaster University</v>
          </cell>
          <cell r="C1900" t="str">
            <v>Canada</v>
          </cell>
          <cell r="D1900">
            <v>94</v>
          </cell>
          <cell r="E1900">
            <v>76.099999999999994</v>
          </cell>
          <cell r="F1900">
            <v>44.8</v>
          </cell>
          <cell r="G1900">
            <v>84.9</v>
          </cell>
          <cell r="H1900">
            <v>88</v>
          </cell>
          <cell r="I1900">
            <v>58.8</v>
          </cell>
          <cell r="J1900">
            <v>23823</v>
          </cell>
          <cell r="K1900">
            <v>19.3</v>
          </cell>
          <cell r="L1900">
            <v>0.15</v>
          </cell>
          <cell r="M1900">
            <v>2.2409722222222221</v>
          </cell>
          <cell r="N1900">
            <v>2016</v>
          </cell>
          <cell r="O1900">
            <v>141</v>
          </cell>
          <cell r="P1900">
            <v>6</v>
          </cell>
        </row>
        <row r="1901">
          <cell r="B1901" t="str">
            <v>University of Sheffield</v>
          </cell>
          <cell r="C1901" t="str">
            <v>United Kingdom</v>
          </cell>
          <cell r="D1901">
            <v>97</v>
          </cell>
          <cell r="E1901">
            <v>81.900000000000006</v>
          </cell>
          <cell r="F1901">
            <v>48.8</v>
          </cell>
          <cell r="G1901">
            <v>80.099999999999994</v>
          </cell>
          <cell r="H1901">
            <v>43.4</v>
          </cell>
          <cell r="I1901">
            <v>58.6</v>
          </cell>
          <cell r="J1901">
            <v>23311</v>
          </cell>
          <cell r="K1901">
            <v>15.5</v>
          </cell>
          <cell r="L1901">
            <v>0.31</v>
          </cell>
          <cell r="M1901">
            <v>2.1180555555555554</v>
          </cell>
          <cell r="N1901">
            <v>2016</v>
          </cell>
          <cell r="O1901">
            <v>178</v>
          </cell>
          <cell r="P1901">
            <v>14</v>
          </cell>
        </row>
        <row r="1902">
          <cell r="B1902" t="str">
            <v>Queen Mary University of London</v>
          </cell>
          <cell r="C1902" t="str">
            <v>United Kingdom</v>
          </cell>
          <cell r="D1902">
            <v>98</v>
          </cell>
          <cell r="E1902">
            <v>93.5</v>
          </cell>
          <cell r="F1902">
            <v>41.3</v>
          </cell>
          <cell r="G1902">
            <v>93.3</v>
          </cell>
          <cell r="H1902">
            <v>36.799999999999997</v>
          </cell>
          <cell r="I1902">
            <v>58.5</v>
          </cell>
          <cell r="J1902">
            <v>14260</v>
          </cell>
          <cell r="K1902">
            <v>14</v>
          </cell>
          <cell r="L1902">
            <v>0.4</v>
          </cell>
          <cell r="M1902">
            <v>2.2000000000000002</v>
          </cell>
          <cell r="N1902">
            <v>2016</v>
          </cell>
          <cell r="O1902">
            <v>214</v>
          </cell>
          <cell r="P1902">
            <v>18</v>
          </cell>
        </row>
        <row r="1903">
          <cell r="B1903" t="str">
            <v>University of GÃ¶ttingen</v>
          </cell>
          <cell r="C1903" t="str">
            <v>Germany</v>
          </cell>
          <cell r="D1903">
            <v>99</v>
          </cell>
          <cell r="E1903">
            <v>56.4</v>
          </cell>
          <cell r="F1903">
            <v>54.5</v>
          </cell>
          <cell r="G1903">
            <v>72.7</v>
          </cell>
          <cell r="H1903">
            <v>31.8</v>
          </cell>
          <cell r="I1903">
            <v>58</v>
          </cell>
          <cell r="J1903">
            <v>25581</v>
          </cell>
          <cell r="K1903">
            <v>25.6</v>
          </cell>
          <cell r="L1903">
            <v>0.12</v>
          </cell>
          <cell r="M1903">
            <v>2.1590277777777778</v>
          </cell>
          <cell r="N1903">
            <v>2016</v>
          </cell>
          <cell r="O1903">
            <v>169</v>
          </cell>
          <cell r="P1903">
            <v>10</v>
          </cell>
        </row>
        <row r="1904">
          <cell r="B1904" t="str">
            <v>Michigan State University</v>
          </cell>
          <cell r="C1904" t="str">
            <v>United States of America</v>
          </cell>
          <cell r="D1904">
            <v>99</v>
          </cell>
          <cell r="E1904">
            <v>56.4</v>
          </cell>
          <cell r="F1904">
            <v>52.6</v>
          </cell>
          <cell r="G1904">
            <v>76.8</v>
          </cell>
          <cell r="H1904">
            <v>32.200000000000003</v>
          </cell>
          <cell r="I1904">
            <v>58</v>
          </cell>
          <cell r="J1904">
            <v>44750</v>
          </cell>
          <cell r="K1904">
            <v>15.7</v>
          </cell>
          <cell r="L1904">
            <v>0.15</v>
          </cell>
          <cell r="M1904">
            <v>2.1590277777777778</v>
          </cell>
          <cell r="N1904">
            <v>2016</v>
          </cell>
          <cell r="O1904">
            <v>112</v>
          </cell>
          <cell r="P1904">
            <v>59</v>
          </cell>
        </row>
        <row r="1905">
          <cell r="B1905" t="str">
            <v>University of Basel</v>
          </cell>
          <cell r="C1905" t="str">
            <v>Switzerland</v>
          </cell>
          <cell r="D1905">
            <v>101</v>
          </cell>
          <cell r="E1905">
            <v>94.7</v>
          </cell>
          <cell r="F1905">
            <v>33.1</v>
          </cell>
          <cell r="G1905">
            <v>88.3</v>
          </cell>
          <cell r="H1905">
            <v>99.9</v>
          </cell>
          <cell r="I1905">
            <v>57.9</v>
          </cell>
          <cell r="J1905">
            <v>12551</v>
          </cell>
          <cell r="K1905">
            <v>17.3</v>
          </cell>
          <cell r="L1905">
            <v>0.24</v>
          </cell>
          <cell r="M1905">
            <v>2.2819444444444446</v>
          </cell>
          <cell r="N1905">
            <v>2016</v>
          </cell>
          <cell r="O1905">
            <v>154</v>
          </cell>
          <cell r="P1905">
            <v>5</v>
          </cell>
        </row>
        <row r="1906">
          <cell r="B1906" t="str">
            <v>Ã‰cole Polytechnique</v>
          </cell>
          <cell r="C1906" t="str">
            <v>France</v>
          </cell>
          <cell r="D1906">
            <v>101</v>
          </cell>
          <cell r="E1906">
            <v>92.8</v>
          </cell>
          <cell r="F1906">
            <v>44.6</v>
          </cell>
          <cell r="G1906">
            <v>64.7</v>
          </cell>
          <cell r="H1906">
            <v>82.3</v>
          </cell>
          <cell r="I1906">
            <v>57.9</v>
          </cell>
          <cell r="J1906">
            <v>2429</v>
          </cell>
          <cell r="K1906">
            <v>4.8</v>
          </cell>
          <cell r="L1906">
            <v>0.3</v>
          </cell>
          <cell r="M1906">
            <v>0.80694444444444446</v>
          </cell>
          <cell r="N1906">
            <v>2016</v>
          </cell>
          <cell r="O1906">
            <v>61</v>
          </cell>
          <cell r="P1906">
            <v>3</v>
          </cell>
        </row>
        <row r="1907">
          <cell r="B1907" t="str">
            <v>Rice University</v>
          </cell>
          <cell r="C1907" t="str">
            <v>United States of America</v>
          </cell>
          <cell r="D1907">
            <v>101</v>
          </cell>
          <cell r="E1907">
            <v>66.599999999999994</v>
          </cell>
          <cell r="F1907">
            <v>35.1</v>
          </cell>
          <cell r="G1907">
            <v>99.7</v>
          </cell>
          <cell r="H1907">
            <v>41.7</v>
          </cell>
          <cell r="I1907">
            <v>57.9</v>
          </cell>
          <cell r="J1907">
            <v>6333</v>
          </cell>
          <cell r="K1907">
            <v>9</v>
          </cell>
          <cell r="L1907">
            <v>0.26</v>
          </cell>
          <cell r="M1907">
            <v>1.8722222222222222</v>
          </cell>
          <cell r="N1907">
            <v>2016</v>
          </cell>
          <cell r="O1907">
            <v>57</v>
          </cell>
          <cell r="P1907">
            <v>41</v>
          </cell>
        </row>
        <row r="1908">
          <cell r="B1908" t="str">
            <v>Dartmouth College</v>
          </cell>
          <cell r="C1908" t="str">
            <v>United States of America</v>
          </cell>
          <cell r="D1908">
            <v>104</v>
          </cell>
          <cell r="E1908">
            <v>38.299999999999997</v>
          </cell>
          <cell r="F1908">
            <v>35.799999999999997</v>
          </cell>
          <cell r="G1908">
            <v>93.3</v>
          </cell>
          <cell r="H1908">
            <v>40.799999999999997</v>
          </cell>
          <cell r="I1908">
            <v>57.8</v>
          </cell>
          <cell r="J1908">
            <v>6178</v>
          </cell>
          <cell r="K1908">
            <v>6.6</v>
          </cell>
          <cell r="L1908">
            <v>0.16</v>
          </cell>
          <cell r="M1908">
            <v>1.9951388888888888</v>
          </cell>
          <cell r="N1908">
            <v>2016</v>
          </cell>
          <cell r="O1908">
            <v>58</v>
          </cell>
          <cell r="P1908">
            <v>42</v>
          </cell>
        </row>
        <row r="1909">
          <cell r="B1909" t="str">
            <v>University of Zurich</v>
          </cell>
          <cell r="C1909" t="str">
            <v>Switzerland</v>
          </cell>
          <cell r="D1909">
            <v>104</v>
          </cell>
          <cell r="E1909">
            <v>90.4</v>
          </cell>
          <cell r="F1909">
            <v>31.5</v>
          </cell>
          <cell r="G1909">
            <v>85.4</v>
          </cell>
          <cell r="H1909">
            <v>44</v>
          </cell>
          <cell r="I1909">
            <v>57.8</v>
          </cell>
          <cell r="J1909">
            <v>26583</v>
          </cell>
          <cell r="K1909">
            <v>6.5</v>
          </cell>
          <cell r="L1909">
            <v>0.19</v>
          </cell>
          <cell r="M1909">
            <v>2.4048611111111109</v>
          </cell>
          <cell r="N1909">
            <v>2016</v>
          </cell>
          <cell r="O1909">
            <v>88</v>
          </cell>
          <cell r="P1909">
            <v>4</v>
          </cell>
        </row>
        <row r="1910">
          <cell r="B1910" t="str">
            <v>Aarhus University</v>
          </cell>
          <cell r="C1910" t="str">
            <v>Denmark</v>
          </cell>
          <cell r="D1910">
            <v>106</v>
          </cell>
          <cell r="E1910">
            <v>76.8</v>
          </cell>
          <cell r="F1910">
            <v>50.7</v>
          </cell>
          <cell r="G1910">
            <v>79.8</v>
          </cell>
          <cell r="H1910">
            <v>68.3</v>
          </cell>
          <cell r="I1910">
            <v>57.7</v>
          </cell>
          <cell r="J1910">
            <v>23895</v>
          </cell>
          <cell r="K1910">
            <v>13.6</v>
          </cell>
          <cell r="L1910">
            <v>0.14000000000000001</v>
          </cell>
          <cell r="M1910">
            <v>2.2819444444444446</v>
          </cell>
          <cell r="N1910">
            <v>2016</v>
          </cell>
          <cell r="O1910">
            <v>119</v>
          </cell>
          <cell r="P1910">
            <v>2</v>
          </cell>
        </row>
        <row r="1911">
          <cell r="B1911" t="str">
            <v>University of California, Irvine</v>
          </cell>
          <cell r="C1911" t="str">
            <v>United States of America</v>
          </cell>
          <cell r="D1911">
            <v>106</v>
          </cell>
          <cell r="E1911">
            <v>59.2</v>
          </cell>
          <cell r="F1911">
            <v>41.8</v>
          </cell>
          <cell r="G1911">
            <v>91.6</v>
          </cell>
          <cell r="H1911">
            <v>48.9</v>
          </cell>
          <cell r="I1911">
            <v>57.7</v>
          </cell>
          <cell r="J1911">
            <v>26614</v>
          </cell>
          <cell r="K1911">
            <v>16.100000000000001</v>
          </cell>
          <cell r="L1911">
            <v>0.16</v>
          </cell>
          <cell r="M1911">
            <v>2.2000000000000002</v>
          </cell>
          <cell r="N1911">
            <v>2016</v>
          </cell>
          <cell r="O1911">
            <v>47</v>
          </cell>
          <cell r="P1911">
            <v>35</v>
          </cell>
        </row>
        <row r="1912">
          <cell r="B1912" t="str">
            <v>University of Mannheim</v>
          </cell>
          <cell r="C1912" t="str">
            <v>Germany</v>
          </cell>
          <cell r="D1912">
            <v>106</v>
          </cell>
          <cell r="E1912">
            <v>64.599999999999994</v>
          </cell>
          <cell r="F1912">
            <v>47.7</v>
          </cell>
          <cell r="G1912">
            <v>86.9</v>
          </cell>
          <cell r="H1912">
            <v>85.3</v>
          </cell>
          <cell r="I1912">
            <v>57.7</v>
          </cell>
          <cell r="J1912">
            <v>11761</v>
          </cell>
          <cell r="K1912">
            <v>85.8</v>
          </cell>
          <cell r="L1912">
            <v>0.15</v>
          </cell>
          <cell r="M1912">
            <v>2.3229166666666665</v>
          </cell>
          <cell r="N1912">
            <v>2016</v>
          </cell>
          <cell r="O1912">
            <v>908</v>
          </cell>
          <cell r="P1912">
            <v>52</v>
          </cell>
        </row>
        <row r="1913">
          <cell r="B1913" t="str">
            <v>University of Notre Dame</v>
          </cell>
          <cell r="C1913" t="str">
            <v>United States of America</v>
          </cell>
          <cell r="D1913">
            <v>108</v>
          </cell>
          <cell r="E1913">
            <v>47.6</v>
          </cell>
          <cell r="F1913">
            <v>48.1</v>
          </cell>
          <cell r="G1913">
            <v>81.7</v>
          </cell>
          <cell r="H1913">
            <v>33.700000000000003</v>
          </cell>
          <cell r="I1913">
            <v>57.6</v>
          </cell>
          <cell r="J1913">
            <v>11829</v>
          </cell>
          <cell r="K1913">
            <v>13.8</v>
          </cell>
          <cell r="L1913">
            <v>0.1</v>
          </cell>
          <cell r="M1913">
            <v>1.8722222222222222</v>
          </cell>
          <cell r="N1913">
            <v>2016</v>
          </cell>
          <cell r="O1913">
            <v>64</v>
          </cell>
          <cell r="P1913">
            <v>42</v>
          </cell>
        </row>
        <row r="1914">
          <cell r="B1914" t="str">
            <v>University of Western Australia</v>
          </cell>
          <cell r="C1914" t="str">
            <v>Australia</v>
          </cell>
          <cell r="D1914">
            <v>109</v>
          </cell>
          <cell r="E1914">
            <v>92.6</v>
          </cell>
          <cell r="F1914">
            <v>46.1</v>
          </cell>
          <cell r="G1914">
            <v>83.6</v>
          </cell>
          <cell r="H1914">
            <v>64.5</v>
          </cell>
          <cell r="I1914">
            <v>57.5</v>
          </cell>
          <cell r="J1914">
            <v>20851</v>
          </cell>
          <cell r="K1914">
            <v>20.7</v>
          </cell>
          <cell r="L1914">
            <v>0.27</v>
          </cell>
          <cell r="M1914">
            <v>2.1180555555555554</v>
          </cell>
          <cell r="N1914">
            <v>2016</v>
          </cell>
          <cell r="O1914">
            <v>225</v>
          </cell>
          <cell r="P1914">
            <v>7</v>
          </cell>
        </row>
        <row r="1915">
          <cell r="B1915" t="str">
            <v>RWTH Aachen University</v>
          </cell>
          <cell r="C1915" t="str">
            <v>Germany</v>
          </cell>
          <cell r="D1915">
            <v>110</v>
          </cell>
          <cell r="E1915">
            <v>54.1</v>
          </cell>
          <cell r="F1915">
            <v>56.3</v>
          </cell>
          <cell r="G1915">
            <v>63.2</v>
          </cell>
          <cell r="H1915">
            <v>98.1</v>
          </cell>
          <cell r="I1915">
            <v>57.2</v>
          </cell>
          <cell r="J1915">
            <v>37917</v>
          </cell>
          <cell r="K1915">
            <v>27.6</v>
          </cell>
          <cell r="L1915">
            <v>0.16</v>
          </cell>
          <cell r="M1915" t="str">
            <v>31 : 69</v>
          </cell>
          <cell r="N1915">
            <v>2016</v>
          </cell>
          <cell r="O1915">
            <v>238</v>
          </cell>
          <cell r="P1915">
            <v>19</v>
          </cell>
        </row>
        <row r="1916">
          <cell r="B1916" t="str">
            <v>University of Southampton</v>
          </cell>
          <cell r="C1916" t="str">
            <v>United Kingdom</v>
          </cell>
          <cell r="D1916">
            <v>110</v>
          </cell>
          <cell r="E1916">
            <v>88.4</v>
          </cell>
          <cell r="F1916">
            <v>43.6</v>
          </cell>
          <cell r="G1916">
            <v>82</v>
          </cell>
          <cell r="H1916">
            <v>37.5</v>
          </cell>
          <cell r="I1916">
            <v>57.2</v>
          </cell>
          <cell r="J1916">
            <v>20925</v>
          </cell>
          <cell r="K1916">
            <v>13.5</v>
          </cell>
          <cell r="L1916">
            <v>0.28999999999999998</v>
          </cell>
          <cell r="M1916">
            <v>2.2409722222222221</v>
          </cell>
          <cell r="N1916">
            <v>2016</v>
          </cell>
          <cell r="O1916">
            <v>146</v>
          </cell>
          <cell r="P1916">
            <v>11</v>
          </cell>
        </row>
        <row r="1917">
          <cell r="B1917" t="str">
            <v>Scuola Normale Superiore di Pisa</v>
          </cell>
          <cell r="C1917" t="str">
            <v>Italy</v>
          </cell>
          <cell r="D1917">
            <v>112</v>
          </cell>
          <cell r="E1917">
            <v>46.3</v>
          </cell>
          <cell r="F1917">
            <v>53.1</v>
          </cell>
          <cell r="G1917">
            <v>67.2</v>
          </cell>
          <cell r="H1917">
            <v>52</v>
          </cell>
          <cell r="I1917">
            <v>57.1</v>
          </cell>
          <cell r="J1917">
            <v>462</v>
          </cell>
          <cell r="K1917">
            <v>16.5</v>
          </cell>
          <cell r="L1917">
            <v>0.05</v>
          </cell>
          <cell r="M1917" t="str">
            <v>28 : 72</v>
          </cell>
          <cell r="N1917">
            <v>2016</v>
          </cell>
          <cell r="O1917">
            <v>383</v>
          </cell>
          <cell r="P1917">
            <v>16</v>
          </cell>
        </row>
        <row r="1918">
          <cell r="B1918" t="str">
            <v>University of Montreal</v>
          </cell>
          <cell r="C1918" t="str">
            <v>Canada</v>
          </cell>
          <cell r="D1918">
            <v>113</v>
          </cell>
          <cell r="E1918">
            <v>84.2</v>
          </cell>
          <cell r="F1918">
            <v>45.5</v>
          </cell>
          <cell r="G1918">
            <v>69.599999999999994</v>
          </cell>
          <cell r="H1918">
            <v>92.6</v>
          </cell>
          <cell r="I1918">
            <v>57</v>
          </cell>
          <cell r="J1918">
            <v>38264</v>
          </cell>
          <cell r="K1918">
            <v>20.3</v>
          </cell>
          <cell r="L1918">
            <v>0.25</v>
          </cell>
          <cell r="M1918">
            <v>2.4048611111111109</v>
          </cell>
          <cell r="N1918">
            <v>2016</v>
          </cell>
          <cell r="O1918">
            <v>134</v>
          </cell>
          <cell r="P1918">
            <v>5</v>
          </cell>
        </row>
        <row r="1919">
          <cell r="B1919" t="str">
            <v>Pierre and Marie Curie University</v>
          </cell>
          <cell r="C1919" t="str">
            <v>France</v>
          </cell>
          <cell r="D1919">
            <v>113</v>
          </cell>
          <cell r="E1919">
            <v>74.099999999999994</v>
          </cell>
          <cell r="F1919">
            <v>32.700000000000003</v>
          </cell>
          <cell r="G1919">
            <v>82.9</v>
          </cell>
          <cell r="H1919">
            <v>37.4</v>
          </cell>
          <cell r="I1919">
            <v>57</v>
          </cell>
          <cell r="J1919">
            <v>27862</v>
          </cell>
          <cell r="K1919">
            <v>8.6999999999999993</v>
          </cell>
          <cell r="L1919">
            <v>0.18</v>
          </cell>
          <cell r="M1919">
            <v>2.036111111111111</v>
          </cell>
          <cell r="N1919">
            <v>2016</v>
          </cell>
          <cell r="O1919" t="e">
            <v>#N/A</v>
          </cell>
          <cell r="P1919" t="e">
            <v>#N/A</v>
          </cell>
        </row>
        <row r="1920">
          <cell r="B1920" t="str">
            <v>Purdue University</v>
          </cell>
          <cell r="C1920" t="str">
            <v>United States of America</v>
          </cell>
          <cell r="D1920">
            <v>113</v>
          </cell>
          <cell r="E1920">
            <v>66.400000000000006</v>
          </cell>
          <cell r="F1920">
            <v>57.7</v>
          </cell>
          <cell r="G1920">
            <v>63.2</v>
          </cell>
          <cell r="H1920" t="str">
            <v>-</v>
          </cell>
          <cell r="I1920">
            <v>57</v>
          </cell>
          <cell r="J1920">
            <v>39256</v>
          </cell>
          <cell r="K1920">
            <v>18.100000000000001</v>
          </cell>
          <cell r="L1920">
            <v>0.22</v>
          </cell>
          <cell r="M1920">
            <v>1.7902777777777779</v>
          </cell>
          <cell r="N1920">
            <v>2016</v>
          </cell>
          <cell r="O1920" t="e">
            <v>#N/A</v>
          </cell>
          <cell r="P1920" t="e">
            <v>#N/A</v>
          </cell>
        </row>
        <row r="1921">
          <cell r="B1921" t="str">
            <v>Pohang University of Science and Technology</v>
          </cell>
          <cell r="C1921" t="str">
            <v>South Korea</v>
          </cell>
          <cell r="D1921">
            <v>116</v>
          </cell>
          <cell r="E1921">
            <v>33.700000000000003</v>
          </cell>
          <cell r="F1921">
            <v>47.1</v>
          </cell>
          <cell r="G1921">
            <v>76.7</v>
          </cell>
          <cell r="H1921">
            <v>100</v>
          </cell>
          <cell r="I1921">
            <v>56.9</v>
          </cell>
          <cell r="J1921">
            <v>3055</v>
          </cell>
          <cell r="K1921">
            <v>10.1</v>
          </cell>
          <cell r="L1921">
            <v>0.04</v>
          </cell>
          <cell r="M1921">
            <v>0.88888888888888884</v>
          </cell>
          <cell r="N1921">
            <v>2016</v>
          </cell>
          <cell r="O1921">
            <v>186</v>
          </cell>
          <cell r="P1921">
            <v>6</v>
          </cell>
        </row>
        <row r="1922">
          <cell r="B1922" t="str">
            <v>University of Maryland, College Park</v>
          </cell>
          <cell r="C1922" t="str">
            <v>United States of America</v>
          </cell>
          <cell r="D1922">
            <v>117</v>
          </cell>
          <cell r="E1922">
            <v>43.5</v>
          </cell>
          <cell r="F1922">
            <v>42.1</v>
          </cell>
          <cell r="G1922">
            <v>88.2</v>
          </cell>
          <cell r="H1922">
            <v>32.299999999999997</v>
          </cell>
          <cell r="I1922">
            <v>56.7</v>
          </cell>
          <cell r="J1922">
            <v>31331</v>
          </cell>
          <cell r="K1922">
            <v>8.4</v>
          </cell>
          <cell r="L1922">
            <v>0.09</v>
          </cell>
          <cell r="M1922">
            <v>2.036111111111111</v>
          </cell>
          <cell r="N1922">
            <v>2016</v>
          </cell>
          <cell r="O1922">
            <v>68</v>
          </cell>
          <cell r="P1922">
            <v>47</v>
          </cell>
        </row>
        <row r="1923">
          <cell r="B1923" t="str">
            <v>Ghent University</v>
          </cell>
          <cell r="C1923" t="str">
            <v>Belgium</v>
          </cell>
          <cell r="D1923">
            <v>118</v>
          </cell>
          <cell r="E1923">
            <v>54.2</v>
          </cell>
          <cell r="F1923">
            <v>54.5</v>
          </cell>
          <cell r="G1923">
            <v>71.2</v>
          </cell>
          <cell r="H1923">
            <v>88.3</v>
          </cell>
          <cell r="I1923">
            <v>56.6</v>
          </cell>
          <cell r="J1923">
            <v>32166</v>
          </cell>
          <cell r="K1923">
            <v>34.1</v>
          </cell>
          <cell r="L1923">
            <v>0.09</v>
          </cell>
          <cell r="M1923">
            <v>2.4048611111111109</v>
          </cell>
          <cell r="N1923">
            <v>2016</v>
          </cell>
          <cell r="O1923">
            <v>136</v>
          </cell>
          <cell r="P1923">
            <v>2</v>
          </cell>
        </row>
        <row r="1924">
          <cell r="B1924" t="str">
            <v>University of Birmingham</v>
          </cell>
          <cell r="C1924" t="str">
            <v>United Kingdom</v>
          </cell>
          <cell r="D1924">
            <v>119</v>
          </cell>
          <cell r="E1924">
            <v>82</v>
          </cell>
          <cell r="F1924">
            <v>41.8</v>
          </cell>
          <cell r="G1924">
            <v>82.7</v>
          </cell>
          <cell r="H1924">
            <v>34.700000000000003</v>
          </cell>
          <cell r="I1924">
            <v>56.2</v>
          </cell>
          <cell r="J1924">
            <v>25295</v>
          </cell>
          <cell r="K1924">
            <v>16.399999999999999</v>
          </cell>
          <cell r="L1924">
            <v>0.23</v>
          </cell>
          <cell r="M1924">
            <v>2.2819444444444446</v>
          </cell>
          <cell r="N1924">
            <v>2016</v>
          </cell>
          <cell r="O1924">
            <v>142</v>
          </cell>
          <cell r="P1924">
            <v>10</v>
          </cell>
        </row>
        <row r="1925">
          <cell r="B1925" t="str">
            <v>University of Bern</v>
          </cell>
          <cell r="C1925" t="str">
            <v>Switzerland</v>
          </cell>
          <cell r="D1925">
            <v>120</v>
          </cell>
          <cell r="E1925">
            <v>83.7</v>
          </cell>
          <cell r="F1925">
            <v>42.5</v>
          </cell>
          <cell r="G1925">
            <v>76.599999999999994</v>
          </cell>
          <cell r="H1925">
            <v>82.9</v>
          </cell>
          <cell r="I1925">
            <v>56.1</v>
          </cell>
          <cell r="J1925">
            <v>14708</v>
          </cell>
          <cell r="K1925">
            <v>22.5</v>
          </cell>
          <cell r="L1925">
            <v>0.14000000000000001</v>
          </cell>
          <cell r="M1925">
            <v>2.2819444444444446</v>
          </cell>
          <cell r="N1925">
            <v>2016</v>
          </cell>
          <cell r="O1925">
            <v>201</v>
          </cell>
          <cell r="P1925">
            <v>7</v>
          </cell>
        </row>
        <row r="1926">
          <cell r="B1926" t="str">
            <v>University of Cape Town</v>
          </cell>
          <cell r="C1926" t="str">
            <v>South Africa</v>
          </cell>
          <cell r="D1926">
            <v>120</v>
          </cell>
          <cell r="E1926">
            <v>80.2</v>
          </cell>
          <cell r="F1926">
            <v>38.700000000000003</v>
          </cell>
          <cell r="G1926">
            <v>85.6</v>
          </cell>
          <cell r="H1926">
            <v>92.7</v>
          </cell>
          <cell r="I1926">
            <v>56.1</v>
          </cell>
          <cell r="J1926">
            <v>20040</v>
          </cell>
          <cell r="K1926">
            <v>12.1</v>
          </cell>
          <cell r="L1926">
            <v>0.18</v>
          </cell>
          <cell r="M1926">
            <v>2.2409722222222221</v>
          </cell>
          <cell r="N1926">
            <v>2016</v>
          </cell>
          <cell r="O1926">
            <v>267</v>
          </cell>
          <cell r="P1926">
            <v>2</v>
          </cell>
        </row>
        <row r="1927">
          <cell r="B1927" t="str">
            <v>University of Florida</v>
          </cell>
          <cell r="C1927" t="str">
            <v>United States of America</v>
          </cell>
          <cell r="D1927">
            <v>120</v>
          </cell>
          <cell r="E1927">
            <v>33.299999999999997</v>
          </cell>
          <cell r="F1927">
            <v>56.8</v>
          </cell>
          <cell r="G1927">
            <v>67.7</v>
          </cell>
          <cell r="H1927" t="str">
            <v>-</v>
          </cell>
          <cell r="I1927">
            <v>56.1</v>
          </cell>
          <cell r="J1927">
            <v>50095</v>
          </cell>
          <cell r="K1927">
            <v>18.7</v>
          </cell>
          <cell r="L1927">
            <v>0.09</v>
          </cell>
          <cell r="M1927">
            <v>2.2819444444444446</v>
          </cell>
          <cell r="N1927">
            <v>2016</v>
          </cell>
          <cell r="O1927">
            <v>55</v>
          </cell>
          <cell r="P1927">
            <v>40</v>
          </cell>
        </row>
        <row r="1928">
          <cell r="B1928" t="str">
            <v>University of Erlangen-Nuremberg</v>
          </cell>
          <cell r="C1928" t="str">
            <v>Germany</v>
          </cell>
          <cell r="D1928">
            <v>123</v>
          </cell>
          <cell r="E1928">
            <v>47</v>
          </cell>
          <cell r="F1928">
            <v>39.700000000000003</v>
          </cell>
          <cell r="G1928">
            <v>75.2</v>
          </cell>
          <cell r="H1928">
            <v>99.4</v>
          </cell>
          <cell r="I1928">
            <v>56</v>
          </cell>
          <cell r="J1928">
            <v>36146</v>
          </cell>
          <cell r="K1928">
            <v>53.9</v>
          </cell>
          <cell r="L1928">
            <v>0.09</v>
          </cell>
          <cell r="M1928">
            <v>2.0770833333333334</v>
          </cell>
          <cell r="N1928">
            <v>2016</v>
          </cell>
          <cell r="O1928">
            <v>213</v>
          </cell>
          <cell r="P1928">
            <v>14</v>
          </cell>
        </row>
        <row r="1929">
          <cell r="B1929" t="str">
            <v>Rutgers, the State University of New Jersey</v>
          </cell>
          <cell r="C1929" t="str">
            <v>United States of America</v>
          </cell>
          <cell r="D1929">
            <v>123</v>
          </cell>
          <cell r="E1929">
            <v>34.700000000000003</v>
          </cell>
          <cell r="F1929">
            <v>55.7</v>
          </cell>
          <cell r="G1929">
            <v>75.400000000000006</v>
          </cell>
          <cell r="H1929">
            <v>35.9</v>
          </cell>
          <cell r="I1929">
            <v>56</v>
          </cell>
          <cell r="J1929">
            <v>37032</v>
          </cell>
          <cell r="K1929">
            <v>17.3</v>
          </cell>
          <cell r="L1929">
            <v>0.08</v>
          </cell>
          <cell r="M1929">
            <v>2.1590277777777778</v>
          </cell>
          <cell r="N1929">
            <v>2016</v>
          </cell>
          <cell r="O1929" t="e">
            <v>#N/A</v>
          </cell>
          <cell r="P1929" t="e">
            <v>#N/A</v>
          </cell>
        </row>
        <row r="1930">
          <cell r="B1930" t="str">
            <v>University of MÃ¼nster</v>
          </cell>
          <cell r="C1930" t="str">
            <v>Germany</v>
          </cell>
          <cell r="D1930">
            <v>125</v>
          </cell>
          <cell r="E1930">
            <v>46.3</v>
          </cell>
          <cell r="F1930">
            <v>44.1</v>
          </cell>
          <cell r="G1930">
            <v>85.6</v>
          </cell>
          <cell r="H1930">
            <v>58.2</v>
          </cell>
          <cell r="I1930">
            <v>55.9</v>
          </cell>
          <cell r="J1930">
            <v>39838</v>
          </cell>
          <cell r="K1930">
            <v>46.1</v>
          </cell>
          <cell r="L1930">
            <v>0.08</v>
          </cell>
          <cell r="M1930">
            <v>2.2409722222222221</v>
          </cell>
          <cell r="N1930">
            <v>2016</v>
          </cell>
          <cell r="O1930">
            <v>210</v>
          </cell>
          <cell r="P1930">
            <v>13</v>
          </cell>
        </row>
        <row r="1931">
          <cell r="B1931" t="str">
            <v>Radboud University Nijmegen</v>
          </cell>
          <cell r="C1931" t="str">
            <v>Netherlands</v>
          </cell>
          <cell r="D1931">
            <v>125</v>
          </cell>
          <cell r="E1931">
            <v>60.9</v>
          </cell>
          <cell r="F1931">
            <v>48.5</v>
          </cell>
          <cell r="G1931">
            <v>84.9</v>
          </cell>
          <cell r="H1931">
            <v>39.200000000000003</v>
          </cell>
          <cell r="I1931">
            <v>55.9</v>
          </cell>
          <cell r="J1931">
            <v>17713</v>
          </cell>
          <cell r="K1931">
            <v>13</v>
          </cell>
          <cell r="L1931">
            <v>0.1</v>
          </cell>
          <cell r="M1931">
            <v>2.4458333333333333</v>
          </cell>
          <cell r="N1931">
            <v>2016</v>
          </cell>
          <cell r="O1931">
            <v>129</v>
          </cell>
          <cell r="P1931">
            <v>6</v>
          </cell>
        </row>
        <row r="1932">
          <cell r="B1932" t="str">
            <v>University of Colorado Boulder</v>
          </cell>
          <cell r="C1932" t="str">
            <v>United States of America</v>
          </cell>
          <cell r="D1932">
            <v>127</v>
          </cell>
          <cell r="E1932">
            <v>36.6</v>
          </cell>
          <cell r="F1932">
            <v>37.6</v>
          </cell>
          <cell r="G1932">
            <v>96.4</v>
          </cell>
          <cell r="H1932">
            <v>35.700000000000003</v>
          </cell>
          <cell r="I1932">
            <v>55.8</v>
          </cell>
          <cell r="J1932">
            <v>29325</v>
          </cell>
          <cell r="K1932">
            <v>16.100000000000001</v>
          </cell>
          <cell r="L1932">
            <v>0.08</v>
          </cell>
          <cell r="M1932">
            <v>1.9131944444444444</v>
          </cell>
          <cell r="N1932">
            <v>2016</v>
          </cell>
          <cell r="O1932">
            <v>46</v>
          </cell>
          <cell r="P1932">
            <v>34</v>
          </cell>
        </row>
        <row r="1933">
          <cell r="B1933" t="str">
            <v>Tufts University</v>
          </cell>
          <cell r="C1933" t="str">
            <v>United States of America</v>
          </cell>
          <cell r="D1933">
            <v>127</v>
          </cell>
          <cell r="E1933">
            <v>49.4</v>
          </cell>
          <cell r="F1933">
            <v>33.299999999999997</v>
          </cell>
          <cell r="G1933">
            <v>90.1</v>
          </cell>
          <cell r="H1933">
            <v>60.7</v>
          </cell>
          <cell r="I1933">
            <v>55.8</v>
          </cell>
          <cell r="J1933">
            <v>10410</v>
          </cell>
          <cell r="K1933">
            <v>10</v>
          </cell>
          <cell r="L1933">
            <v>0.14000000000000001</v>
          </cell>
          <cell r="M1933">
            <v>2.2819444444444446</v>
          </cell>
          <cell r="N1933">
            <v>2016</v>
          </cell>
          <cell r="O1933">
            <v>86</v>
          </cell>
          <cell r="P1933">
            <v>55</v>
          </cell>
        </row>
        <row r="1934">
          <cell r="B1934" t="str">
            <v>Royal Holloway, University of London</v>
          </cell>
          <cell r="C1934" t="str">
            <v>United Kingdom</v>
          </cell>
          <cell r="D1934">
            <v>129</v>
          </cell>
          <cell r="E1934">
            <v>92.7</v>
          </cell>
          <cell r="F1934">
            <v>33.200000000000003</v>
          </cell>
          <cell r="G1934">
            <v>91.2</v>
          </cell>
          <cell r="H1934">
            <v>34.4</v>
          </cell>
          <cell r="I1934">
            <v>55.7</v>
          </cell>
          <cell r="J1934">
            <v>8747</v>
          </cell>
          <cell r="K1934">
            <v>15.9</v>
          </cell>
          <cell r="L1934">
            <v>0.37</v>
          </cell>
          <cell r="M1934">
            <v>2.4048611111111109</v>
          </cell>
          <cell r="N1934">
            <v>2016</v>
          </cell>
          <cell r="O1934">
            <v>541</v>
          </cell>
          <cell r="P1934">
            <v>42</v>
          </cell>
        </row>
        <row r="1935">
          <cell r="B1935" t="str">
            <v>Lancaster University</v>
          </cell>
          <cell r="C1935" t="str">
            <v>United Kingdom</v>
          </cell>
          <cell r="D1935">
            <v>130</v>
          </cell>
          <cell r="E1935">
            <v>87</v>
          </cell>
          <cell r="F1935">
            <v>41.4</v>
          </cell>
          <cell r="G1935">
            <v>85.3</v>
          </cell>
          <cell r="H1935">
            <v>33.6</v>
          </cell>
          <cell r="I1935">
            <v>55.6</v>
          </cell>
          <cell r="J1935">
            <v>11512</v>
          </cell>
          <cell r="K1935">
            <v>14.9</v>
          </cell>
          <cell r="L1935">
            <v>0.33</v>
          </cell>
          <cell r="M1935">
            <v>2.2000000000000002</v>
          </cell>
          <cell r="N1935">
            <v>2016</v>
          </cell>
          <cell r="O1935">
            <v>449</v>
          </cell>
          <cell r="P1935">
            <v>38</v>
          </cell>
        </row>
        <row r="1936">
          <cell r="B1936" t="str">
            <v>University of Geneva</v>
          </cell>
          <cell r="C1936" t="str">
            <v>Switzerland</v>
          </cell>
          <cell r="D1936">
            <v>131</v>
          </cell>
          <cell r="E1936">
            <v>98.5</v>
          </cell>
          <cell r="F1936">
            <v>40.5</v>
          </cell>
          <cell r="G1936">
            <v>78.5</v>
          </cell>
          <cell r="H1936">
            <v>72.400000000000006</v>
          </cell>
          <cell r="I1936">
            <v>55.4</v>
          </cell>
          <cell r="J1936">
            <v>15668</v>
          </cell>
          <cell r="K1936">
            <v>15</v>
          </cell>
          <cell r="L1936">
            <v>0.39</v>
          </cell>
          <cell r="M1936">
            <v>2.5687500000000001</v>
          </cell>
          <cell r="N1936">
            <v>2016</v>
          </cell>
          <cell r="O1936">
            <v>65</v>
          </cell>
          <cell r="P1936">
            <v>2</v>
          </cell>
        </row>
        <row r="1937">
          <cell r="B1937" t="str">
            <v>University of York</v>
          </cell>
          <cell r="C1937" t="str">
            <v>United Kingdom</v>
          </cell>
          <cell r="D1937">
            <v>131</v>
          </cell>
          <cell r="E1937">
            <v>83.5</v>
          </cell>
          <cell r="F1937">
            <v>46.3</v>
          </cell>
          <cell r="G1937">
            <v>73.099999999999994</v>
          </cell>
          <cell r="H1937">
            <v>31.1</v>
          </cell>
          <cell r="I1937">
            <v>55.4</v>
          </cell>
          <cell r="N1937">
            <v>2016</v>
          </cell>
          <cell r="O1937">
            <v>336</v>
          </cell>
          <cell r="P1937">
            <v>30</v>
          </cell>
        </row>
        <row r="1938">
          <cell r="B1938" t="str">
            <v>Case Western Reserve University</v>
          </cell>
          <cell r="C1938" t="str">
            <v>United States of America</v>
          </cell>
          <cell r="D1938">
            <v>133</v>
          </cell>
          <cell r="E1938">
            <v>40.5</v>
          </cell>
          <cell r="F1938">
            <v>33.200000000000003</v>
          </cell>
          <cell r="G1938">
            <v>92</v>
          </cell>
          <cell r="H1938">
            <v>34.1</v>
          </cell>
          <cell r="I1938">
            <v>55.3</v>
          </cell>
          <cell r="J1938">
            <v>9259</v>
          </cell>
          <cell r="K1938">
            <v>6.4</v>
          </cell>
          <cell r="L1938">
            <v>0.17</v>
          </cell>
          <cell r="M1938">
            <v>2.036111111111111</v>
          </cell>
          <cell r="N1938">
            <v>2016</v>
          </cell>
          <cell r="O1938">
            <v>78</v>
          </cell>
          <cell r="P1938">
            <v>51</v>
          </cell>
        </row>
        <row r="1939">
          <cell r="B1939" t="str">
            <v>University of Leeds</v>
          </cell>
          <cell r="C1939" t="str">
            <v>United Kingdom</v>
          </cell>
          <cell r="D1939">
            <v>133</v>
          </cell>
          <cell r="E1939">
            <v>77.400000000000006</v>
          </cell>
          <cell r="F1939">
            <v>39</v>
          </cell>
          <cell r="G1939">
            <v>79.2</v>
          </cell>
          <cell r="H1939">
            <v>36.700000000000003</v>
          </cell>
          <cell r="I1939">
            <v>55.3</v>
          </cell>
          <cell r="J1939">
            <v>27703</v>
          </cell>
          <cell r="K1939">
            <v>14.7</v>
          </cell>
          <cell r="L1939">
            <v>0.21</v>
          </cell>
          <cell r="M1939">
            <v>2.4458333333333333</v>
          </cell>
          <cell r="N1939">
            <v>2016</v>
          </cell>
          <cell r="O1939">
            <v>151</v>
          </cell>
          <cell r="P1939">
            <v>13</v>
          </cell>
        </row>
        <row r="1940">
          <cell r="B1940" t="str">
            <v>University of Oslo</v>
          </cell>
          <cell r="C1940" t="str">
            <v>Norway</v>
          </cell>
          <cell r="D1940">
            <v>135</v>
          </cell>
          <cell r="E1940">
            <v>68.2</v>
          </cell>
          <cell r="F1940">
            <v>44.7</v>
          </cell>
          <cell r="G1940">
            <v>75.5</v>
          </cell>
          <cell r="H1940">
            <v>38.299999999999997</v>
          </cell>
          <cell r="I1940">
            <v>55.1</v>
          </cell>
          <cell r="J1940">
            <v>27139</v>
          </cell>
          <cell r="K1940">
            <v>18.8</v>
          </cell>
          <cell r="L1940">
            <v>0.18</v>
          </cell>
          <cell r="N1940">
            <v>2016</v>
          </cell>
          <cell r="O1940">
            <v>91</v>
          </cell>
          <cell r="P1940">
            <v>1</v>
          </cell>
        </row>
        <row r="1941">
          <cell r="B1941" t="str">
            <v>Stockholm University</v>
          </cell>
          <cell r="C1941" t="str">
            <v>Sweden</v>
          </cell>
          <cell r="D1941">
            <v>136</v>
          </cell>
          <cell r="E1941">
            <v>48.5</v>
          </cell>
          <cell r="F1941">
            <v>51.2</v>
          </cell>
          <cell r="G1941">
            <v>82.5</v>
          </cell>
          <cell r="H1941">
            <v>31.1</v>
          </cell>
          <cell r="I1941">
            <v>54.8</v>
          </cell>
          <cell r="J1941">
            <v>31715</v>
          </cell>
          <cell r="K1941">
            <v>23.7</v>
          </cell>
          <cell r="L1941">
            <v>0.08</v>
          </cell>
          <cell r="M1941">
            <v>2.6097222222222221</v>
          </cell>
          <cell r="N1941">
            <v>2016</v>
          </cell>
          <cell r="O1941">
            <v>187</v>
          </cell>
          <cell r="P1941">
            <v>6</v>
          </cell>
        </row>
        <row r="1942">
          <cell r="B1942" t="str">
            <v>University of Alberta</v>
          </cell>
          <cell r="C1942" t="str">
            <v>Canada</v>
          </cell>
          <cell r="D1942">
            <v>137</v>
          </cell>
          <cell r="E1942">
            <v>80.7</v>
          </cell>
          <cell r="F1942">
            <v>48.1</v>
          </cell>
          <cell r="G1942">
            <v>63.6</v>
          </cell>
          <cell r="H1942">
            <v>47.4</v>
          </cell>
          <cell r="I1942">
            <v>54.7</v>
          </cell>
          <cell r="J1942">
            <v>36299</v>
          </cell>
          <cell r="K1942">
            <v>21.6</v>
          </cell>
          <cell r="L1942">
            <v>0.23</v>
          </cell>
          <cell r="M1942">
            <v>2.3229166666666665</v>
          </cell>
          <cell r="N1942">
            <v>2016</v>
          </cell>
          <cell r="O1942">
            <v>97</v>
          </cell>
          <cell r="P1942">
            <v>4</v>
          </cell>
        </row>
        <row r="1943">
          <cell r="B1943" t="str">
            <v>Chinese University of Hong Kong</v>
          </cell>
          <cell r="C1943" t="str">
            <v>Hong Kong</v>
          </cell>
          <cell r="D1943">
            <v>138</v>
          </cell>
          <cell r="E1943">
            <v>81.099999999999994</v>
          </cell>
          <cell r="F1943">
            <v>48.5</v>
          </cell>
          <cell r="G1943">
            <v>68.400000000000006</v>
          </cell>
          <cell r="H1943">
            <v>37.5</v>
          </cell>
          <cell r="I1943">
            <v>54.5</v>
          </cell>
          <cell r="J1943">
            <v>17916</v>
          </cell>
          <cell r="K1943">
            <v>10.199999999999999</v>
          </cell>
          <cell r="L1943">
            <v>0.22</v>
          </cell>
          <cell r="M1943">
            <v>2.2409722222222221</v>
          </cell>
          <cell r="N1943">
            <v>2016</v>
          </cell>
          <cell r="O1943">
            <v>202</v>
          </cell>
          <cell r="P1943">
            <v>2</v>
          </cell>
        </row>
        <row r="1944">
          <cell r="B1944" t="str">
            <v>Karlsruhe Institute of Technology</v>
          </cell>
          <cell r="C1944" t="str">
            <v>Germany</v>
          </cell>
          <cell r="D1944">
            <v>138</v>
          </cell>
          <cell r="E1944">
            <v>56.7</v>
          </cell>
          <cell r="F1944">
            <v>47.5</v>
          </cell>
          <cell r="G1944">
            <v>73.8</v>
          </cell>
          <cell r="H1944">
            <v>99.5</v>
          </cell>
          <cell r="I1944">
            <v>54.5</v>
          </cell>
          <cell r="J1944">
            <v>25294</v>
          </cell>
          <cell r="K1944">
            <v>24.6</v>
          </cell>
          <cell r="L1944">
            <v>0.16</v>
          </cell>
          <cell r="M1944" t="str">
            <v>26 : 74</v>
          </cell>
          <cell r="N1944">
            <v>2016</v>
          </cell>
          <cell r="O1944">
            <v>215</v>
          </cell>
          <cell r="P1944">
            <v>15</v>
          </cell>
        </row>
        <row r="1945">
          <cell r="B1945" t="str">
            <v>University of Sussex</v>
          </cell>
          <cell r="C1945" t="str">
            <v>United Kingdom</v>
          </cell>
          <cell r="D1945">
            <v>140</v>
          </cell>
          <cell r="E1945">
            <v>88.3</v>
          </cell>
          <cell r="F1945">
            <v>37.200000000000003</v>
          </cell>
          <cell r="G1945">
            <v>86.1</v>
          </cell>
          <cell r="H1945">
            <v>30.6</v>
          </cell>
          <cell r="I1945">
            <v>54.4</v>
          </cell>
          <cell r="J1945">
            <v>12001</v>
          </cell>
          <cell r="K1945">
            <v>17.399999999999999</v>
          </cell>
          <cell r="L1945">
            <v>0.35</v>
          </cell>
          <cell r="M1945">
            <v>2.2819444444444446</v>
          </cell>
          <cell r="N1945">
            <v>2016</v>
          </cell>
          <cell r="O1945">
            <v>190</v>
          </cell>
          <cell r="P1945">
            <v>15</v>
          </cell>
        </row>
        <row r="1946">
          <cell r="B1946" t="str">
            <v>University of Massachusetts</v>
          </cell>
          <cell r="C1946" t="str">
            <v>United States of America</v>
          </cell>
          <cell r="D1946">
            <v>141</v>
          </cell>
          <cell r="E1946">
            <v>48.9</v>
          </cell>
          <cell r="F1946">
            <v>36.299999999999997</v>
          </cell>
          <cell r="G1946">
            <v>88.1</v>
          </cell>
          <cell r="H1946">
            <v>52.2</v>
          </cell>
          <cell r="I1946">
            <v>54.3</v>
          </cell>
          <cell r="J1946">
            <v>56959</v>
          </cell>
          <cell r="K1946">
            <v>13</v>
          </cell>
          <cell r="L1946">
            <v>0.11</v>
          </cell>
          <cell r="M1946">
            <v>2.0770833333333334</v>
          </cell>
          <cell r="N1946">
            <v>2016</v>
          </cell>
          <cell r="O1946" t="e">
            <v>#N/A</v>
          </cell>
          <cell r="P1946" t="e">
            <v>#N/A</v>
          </cell>
        </row>
        <row r="1947">
          <cell r="B1947" t="str">
            <v>University of Vienna</v>
          </cell>
          <cell r="C1947" t="str">
            <v>Austria</v>
          </cell>
          <cell r="D1947">
            <v>142</v>
          </cell>
          <cell r="E1947">
            <v>92.6</v>
          </cell>
          <cell r="F1947">
            <v>50.5</v>
          </cell>
          <cell r="G1947">
            <v>63.6</v>
          </cell>
          <cell r="H1947">
            <v>30.2</v>
          </cell>
          <cell r="I1947">
            <v>54.2</v>
          </cell>
          <cell r="J1947">
            <v>34651</v>
          </cell>
          <cell r="K1947">
            <v>20.5</v>
          </cell>
          <cell r="L1947">
            <v>0.25</v>
          </cell>
          <cell r="M1947">
            <v>2.8145833333333332</v>
          </cell>
          <cell r="N1947">
            <v>2016</v>
          </cell>
          <cell r="O1947">
            <v>205</v>
          </cell>
          <cell r="P1947">
            <v>1</v>
          </cell>
        </row>
        <row r="1948">
          <cell r="B1948" t="str">
            <v>University of Nottingham</v>
          </cell>
          <cell r="C1948" t="str">
            <v>United Kingdom</v>
          </cell>
          <cell r="D1948">
            <v>143</v>
          </cell>
          <cell r="E1948">
            <v>80.599999999999994</v>
          </cell>
          <cell r="F1948">
            <v>39</v>
          </cell>
          <cell r="G1948">
            <v>77.5</v>
          </cell>
          <cell r="H1948">
            <v>39.799999999999997</v>
          </cell>
          <cell r="I1948">
            <v>54.1</v>
          </cell>
          <cell r="J1948">
            <v>30144</v>
          </cell>
          <cell r="K1948">
            <v>15</v>
          </cell>
          <cell r="L1948">
            <v>0.27</v>
          </cell>
          <cell r="M1948">
            <v>2.2819444444444446</v>
          </cell>
          <cell r="N1948">
            <v>2016</v>
          </cell>
          <cell r="O1948">
            <v>97</v>
          </cell>
          <cell r="P1948">
            <v>6</v>
          </cell>
        </row>
        <row r="1949">
          <cell r="B1949" t="str">
            <v>University of California, Santa Cruz</v>
          </cell>
          <cell r="C1949" t="str">
            <v>United States of America</v>
          </cell>
          <cell r="D1949">
            <v>144</v>
          </cell>
          <cell r="E1949">
            <v>45.6</v>
          </cell>
          <cell r="F1949">
            <v>34.200000000000003</v>
          </cell>
          <cell r="G1949">
            <v>99.9</v>
          </cell>
          <cell r="H1949">
            <v>36.1</v>
          </cell>
          <cell r="I1949">
            <v>53.9</v>
          </cell>
          <cell r="J1949">
            <v>17404</v>
          </cell>
          <cell r="K1949">
            <v>22.7</v>
          </cell>
          <cell r="L1949">
            <v>0.01</v>
          </cell>
          <cell r="M1949">
            <v>2.2409722222222221</v>
          </cell>
          <cell r="N1949">
            <v>2016</v>
          </cell>
          <cell r="O1949">
            <v>163</v>
          </cell>
          <cell r="P1949">
            <v>71</v>
          </cell>
        </row>
        <row r="1950">
          <cell r="B1950" t="str">
            <v>University of Lausanne</v>
          </cell>
          <cell r="C1950" t="str">
            <v>Switzerland</v>
          </cell>
          <cell r="D1950">
            <v>144</v>
          </cell>
          <cell r="E1950">
            <v>89.2</v>
          </cell>
          <cell r="F1950">
            <v>45.6</v>
          </cell>
          <cell r="G1950">
            <v>76.2</v>
          </cell>
          <cell r="H1950">
            <v>56</v>
          </cell>
          <cell r="I1950">
            <v>53.9</v>
          </cell>
          <cell r="J1950">
            <v>11964</v>
          </cell>
          <cell r="K1950">
            <v>13.1</v>
          </cell>
          <cell r="L1950">
            <v>0.22</v>
          </cell>
          <cell r="N1950">
            <v>2016</v>
          </cell>
          <cell r="O1950">
            <v>194</v>
          </cell>
          <cell r="P1950">
            <v>6</v>
          </cell>
        </row>
        <row r="1951">
          <cell r="B1951" t="str">
            <v>Autonomous University of Barcelona</v>
          </cell>
          <cell r="C1951" t="str">
            <v>Spain</v>
          </cell>
          <cell r="D1951">
            <v>146</v>
          </cell>
          <cell r="E1951">
            <v>50.3</v>
          </cell>
          <cell r="F1951">
            <v>40</v>
          </cell>
          <cell r="G1951">
            <v>83.8</v>
          </cell>
          <cell r="H1951">
            <v>34.9</v>
          </cell>
          <cell r="I1951">
            <v>53.8</v>
          </cell>
          <cell r="J1951">
            <v>30538</v>
          </cell>
          <cell r="K1951">
            <v>12.3</v>
          </cell>
          <cell r="L1951">
            <v>0.1</v>
          </cell>
          <cell r="M1951">
            <v>2.4868055555555557</v>
          </cell>
          <cell r="N1951">
            <v>2016</v>
          </cell>
          <cell r="O1951">
            <v>254</v>
          </cell>
          <cell r="P1951">
            <v>3</v>
          </cell>
        </row>
        <row r="1952">
          <cell r="B1952" t="str">
            <v>University of Virginia</v>
          </cell>
          <cell r="C1952" t="str">
            <v>United States of America</v>
          </cell>
          <cell r="D1952">
            <v>147</v>
          </cell>
          <cell r="E1952">
            <v>43.4</v>
          </cell>
          <cell r="F1952">
            <v>37.5</v>
          </cell>
          <cell r="G1952">
            <v>87.3</v>
          </cell>
          <cell r="H1952">
            <v>37.9</v>
          </cell>
          <cell r="I1952">
            <v>53.3</v>
          </cell>
          <cell r="J1952">
            <v>23845</v>
          </cell>
          <cell r="K1952">
            <v>10.199999999999999</v>
          </cell>
          <cell r="L1952">
            <v>0.12</v>
          </cell>
          <cell r="M1952">
            <v>2.2000000000000002</v>
          </cell>
          <cell r="N1952">
            <v>2016</v>
          </cell>
          <cell r="O1952">
            <v>84</v>
          </cell>
          <cell r="P1952">
            <v>54</v>
          </cell>
        </row>
        <row r="1953">
          <cell r="B1953" t="str">
            <v>Korea Advanced Institute of Science and Technology (KAIST)</v>
          </cell>
          <cell r="C1953" t="str">
            <v>South Korea</v>
          </cell>
          <cell r="D1953">
            <v>148</v>
          </cell>
          <cell r="E1953">
            <v>33.9</v>
          </cell>
          <cell r="F1953">
            <v>40.5</v>
          </cell>
          <cell r="G1953">
            <v>75.900000000000006</v>
          </cell>
          <cell r="H1953">
            <v>100</v>
          </cell>
          <cell r="I1953">
            <v>53</v>
          </cell>
          <cell r="J1953">
            <v>9027</v>
          </cell>
          <cell r="K1953">
            <v>10</v>
          </cell>
          <cell r="L1953">
            <v>0.09</v>
          </cell>
          <cell r="M1953">
            <v>0.88888888888888884</v>
          </cell>
          <cell r="N1953">
            <v>2016</v>
          </cell>
          <cell r="O1953">
            <v>128</v>
          </cell>
          <cell r="P1953">
            <v>3</v>
          </cell>
        </row>
        <row r="1954">
          <cell r="B1954" t="str">
            <v>University of Adelaide</v>
          </cell>
          <cell r="C1954" t="str">
            <v>Australia</v>
          </cell>
          <cell r="D1954">
            <v>149</v>
          </cell>
          <cell r="E1954">
            <v>85.1</v>
          </cell>
          <cell r="F1954">
            <v>43.2</v>
          </cell>
          <cell r="G1954">
            <v>72.400000000000006</v>
          </cell>
          <cell r="H1954">
            <v>79.3</v>
          </cell>
          <cell r="I1954">
            <v>52.9</v>
          </cell>
          <cell r="J1954">
            <v>20771</v>
          </cell>
          <cell r="K1954">
            <v>30.1</v>
          </cell>
          <cell r="L1954">
            <v>0.26</v>
          </cell>
          <cell r="M1954">
            <v>2.036111111111111</v>
          </cell>
          <cell r="N1954">
            <v>2016</v>
          </cell>
          <cell r="O1954">
            <v>340</v>
          </cell>
          <cell r="P1954">
            <v>8</v>
          </cell>
        </row>
        <row r="1955">
          <cell r="B1955" t="str">
            <v>University of East Anglia</v>
          </cell>
          <cell r="C1955" t="str">
            <v>United Kingdom</v>
          </cell>
          <cell r="D1955">
            <v>149</v>
          </cell>
          <cell r="E1955">
            <v>83.5</v>
          </cell>
          <cell r="F1955">
            <v>28.7</v>
          </cell>
          <cell r="G1955">
            <v>92.7</v>
          </cell>
          <cell r="H1955">
            <v>28.5</v>
          </cell>
          <cell r="I1955">
            <v>52.9</v>
          </cell>
          <cell r="J1955">
            <v>14992</v>
          </cell>
          <cell r="K1955">
            <v>14.7</v>
          </cell>
          <cell r="L1955">
            <v>0.28000000000000003</v>
          </cell>
          <cell r="M1955">
            <v>2.4458333333333333</v>
          </cell>
          <cell r="N1955">
            <v>2016</v>
          </cell>
          <cell r="O1955">
            <v>350</v>
          </cell>
          <cell r="P1955">
            <v>33</v>
          </cell>
        </row>
        <row r="1956">
          <cell r="B1956" t="str">
            <v>University of Twente</v>
          </cell>
          <cell r="C1956" t="str">
            <v>Netherlands</v>
          </cell>
          <cell r="D1956">
            <v>149</v>
          </cell>
          <cell r="E1956">
            <v>80.099999999999994</v>
          </cell>
          <cell r="F1956">
            <v>45.6</v>
          </cell>
          <cell r="G1956">
            <v>68.8</v>
          </cell>
          <cell r="H1956">
            <v>91.2</v>
          </cell>
          <cell r="I1956">
            <v>52.9</v>
          </cell>
          <cell r="J1956">
            <v>6631</v>
          </cell>
          <cell r="K1956">
            <v>12</v>
          </cell>
          <cell r="L1956">
            <v>0.26</v>
          </cell>
          <cell r="M1956" t="str">
            <v>37 : 63</v>
          </cell>
          <cell r="N1956">
            <v>2016</v>
          </cell>
          <cell r="O1956">
            <v>445</v>
          </cell>
          <cell r="P1956">
            <v>12</v>
          </cell>
        </row>
        <row r="1957">
          <cell r="B1957" t="str">
            <v>Sungkyunkwan University (SKKU)</v>
          </cell>
          <cell r="C1957" t="str">
            <v>South Korea</v>
          </cell>
          <cell r="D1957">
            <v>153</v>
          </cell>
          <cell r="E1957">
            <v>36.700000000000003</v>
          </cell>
          <cell r="F1957">
            <v>53.5</v>
          </cell>
          <cell r="G1957">
            <v>53.8</v>
          </cell>
          <cell r="H1957">
            <v>97.5</v>
          </cell>
          <cell r="I1957">
            <v>52.8</v>
          </cell>
          <cell r="J1957">
            <v>24365</v>
          </cell>
          <cell r="K1957">
            <v>20.3</v>
          </cell>
          <cell r="L1957">
            <v>0.09</v>
          </cell>
          <cell r="M1957" t="str">
            <v>39 : 61</v>
          </cell>
          <cell r="N1957">
            <v>2016</v>
          </cell>
          <cell r="O1957" t="e">
            <v>#N/A</v>
          </cell>
          <cell r="P1957" t="e">
            <v>#N/A</v>
          </cell>
        </row>
        <row r="1958">
          <cell r="B1958" t="str">
            <v>VU University Amsterdam</v>
          </cell>
          <cell r="C1958" t="str">
            <v>Netherlands</v>
          </cell>
          <cell r="D1958">
            <v>154</v>
          </cell>
          <cell r="E1958">
            <v>54.9</v>
          </cell>
          <cell r="F1958">
            <v>37.1</v>
          </cell>
          <cell r="G1958">
            <v>90.7</v>
          </cell>
          <cell r="H1958">
            <v>60.1</v>
          </cell>
          <cell r="I1958">
            <v>52.5</v>
          </cell>
          <cell r="J1958">
            <v>23280</v>
          </cell>
          <cell r="K1958">
            <v>16.3</v>
          </cell>
          <cell r="L1958">
            <v>0.06</v>
          </cell>
          <cell r="M1958">
            <v>2.3638888888888889</v>
          </cell>
          <cell r="N1958">
            <v>2016</v>
          </cell>
          <cell r="O1958">
            <v>144</v>
          </cell>
          <cell r="P1958">
            <v>7</v>
          </cell>
        </row>
        <row r="1959">
          <cell r="B1959" t="str">
            <v>KTH Royal Institute of Technology</v>
          </cell>
          <cell r="C1959" t="str">
            <v>Sweden</v>
          </cell>
          <cell r="D1959">
            <v>155</v>
          </cell>
          <cell r="E1959">
            <v>84.4</v>
          </cell>
          <cell r="F1959">
            <v>44.3</v>
          </cell>
          <cell r="G1959">
            <v>63.9</v>
          </cell>
          <cell r="H1959">
            <v>78.099999999999994</v>
          </cell>
          <cell r="I1959">
            <v>52.4</v>
          </cell>
          <cell r="J1959">
            <v>12062</v>
          </cell>
          <cell r="K1959">
            <v>14.6</v>
          </cell>
          <cell r="L1959">
            <v>0.21</v>
          </cell>
          <cell r="M1959" t="str">
            <v>30 : 70</v>
          </cell>
          <cell r="N1959">
            <v>2016</v>
          </cell>
          <cell r="O1959" t="e">
            <v>#N/A</v>
          </cell>
          <cell r="P1959" t="e">
            <v>#N/A</v>
          </cell>
        </row>
        <row r="1960">
          <cell r="B1960" t="str">
            <v>University of Cologne</v>
          </cell>
          <cell r="C1960" t="str">
            <v>Germany</v>
          </cell>
          <cell r="D1960">
            <v>156</v>
          </cell>
          <cell r="E1960">
            <v>53.1</v>
          </cell>
          <cell r="F1960">
            <v>38</v>
          </cell>
          <cell r="G1960">
            <v>75</v>
          </cell>
          <cell r="H1960">
            <v>68.5</v>
          </cell>
          <cell r="I1960">
            <v>52.3</v>
          </cell>
          <cell r="J1960">
            <v>43280</v>
          </cell>
          <cell r="K1960">
            <v>43.4</v>
          </cell>
          <cell r="L1960">
            <v>0.11</v>
          </cell>
          <cell r="M1960">
            <v>2.5277777777777777</v>
          </cell>
          <cell r="N1960">
            <v>2016</v>
          </cell>
          <cell r="O1960">
            <v>199</v>
          </cell>
          <cell r="P1960">
            <v>12</v>
          </cell>
        </row>
        <row r="1961">
          <cell r="B1961" t="str">
            <v>University of Liverpool</v>
          </cell>
          <cell r="C1961" t="str">
            <v>United Kingdom</v>
          </cell>
          <cell r="D1961">
            <v>157</v>
          </cell>
          <cell r="E1961">
            <v>85.4</v>
          </cell>
          <cell r="F1961">
            <v>30.9</v>
          </cell>
          <cell r="G1961">
            <v>85.9</v>
          </cell>
          <cell r="H1961">
            <v>36.6</v>
          </cell>
          <cell r="I1961">
            <v>52.2</v>
          </cell>
          <cell r="J1961">
            <v>18815</v>
          </cell>
          <cell r="K1961">
            <v>13.6</v>
          </cell>
          <cell r="L1961">
            <v>0.3</v>
          </cell>
          <cell r="M1961">
            <v>2.2000000000000002</v>
          </cell>
          <cell r="N1961">
            <v>2016</v>
          </cell>
          <cell r="O1961">
            <v>211</v>
          </cell>
          <cell r="P1961">
            <v>17</v>
          </cell>
        </row>
        <row r="1962">
          <cell r="B1962" t="str">
            <v>TU Dresden</v>
          </cell>
          <cell r="C1962" t="str">
            <v>Germany</v>
          </cell>
          <cell r="D1962">
            <v>158</v>
          </cell>
          <cell r="E1962">
            <v>47.7</v>
          </cell>
          <cell r="F1962">
            <v>45.8</v>
          </cell>
          <cell r="G1962">
            <v>66.099999999999994</v>
          </cell>
          <cell r="H1962">
            <v>99.7</v>
          </cell>
          <cell r="I1962">
            <v>52.1</v>
          </cell>
          <cell r="J1962">
            <v>35487</v>
          </cell>
          <cell r="K1962">
            <v>37.4</v>
          </cell>
          <cell r="L1962">
            <v>0.12</v>
          </cell>
          <cell r="M1962">
            <v>1.7902777777777779</v>
          </cell>
          <cell r="N1962">
            <v>2016</v>
          </cell>
          <cell r="O1962" t="e">
            <v>#N/A</v>
          </cell>
          <cell r="P1962" t="e">
            <v>#N/A</v>
          </cell>
        </row>
        <row r="1963">
          <cell r="B1963" t="str">
            <v>University of Rochester</v>
          </cell>
          <cell r="C1963" t="str">
            <v>United States of America</v>
          </cell>
          <cell r="D1963">
            <v>158</v>
          </cell>
          <cell r="E1963">
            <v>55.8</v>
          </cell>
          <cell r="F1963">
            <v>27.9</v>
          </cell>
          <cell r="G1963">
            <v>89</v>
          </cell>
          <cell r="H1963">
            <v>37</v>
          </cell>
          <cell r="I1963">
            <v>52.1</v>
          </cell>
          <cell r="J1963">
            <v>9390</v>
          </cell>
          <cell r="K1963">
            <v>4.5</v>
          </cell>
          <cell r="L1963">
            <v>0.26</v>
          </cell>
          <cell r="M1963">
            <v>2.0770833333333334</v>
          </cell>
          <cell r="N1963">
            <v>2016</v>
          </cell>
          <cell r="O1963">
            <v>53</v>
          </cell>
          <cell r="P1963">
            <v>39</v>
          </cell>
        </row>
        <row r="1964">
          <cell r="B1964" t="str">
            <v>Trinity College Dublin</v>
          </cell>
          <cell r="C1964" t="str">
            <v>Republic of Ireland</v>
          </cell>
          <cell r="D1964">
            <v>160</v>
          </cell>
          <cell r="E1964">
            <v>90.5</v>
          </cell>
          <cell r="F1964">
            <v>30.8</v>
          </cell>
          <cell r="G1964">
            <v>75.8</v>
          </cell>
          <cell r="H1964">
            <v>28</v>
          </cell>
          <cell r="I1964">
            <v>52</v>
          </cell>
          <cell r="J1964">
            <v>15521</v>
          </cell>
          <cell r="K1964">
            <v>18</v>
          </cell>
          <cell r="L1964">
            <v>0.25</v>
          </cell>
          <cell r="M1964">
            <v>2.4048611111111109</v>
          </cell>
          <cell r="N1964">
            <v>2016</v>
          </cell>
          <cell r="O1964" t="e">
            <v>#N/A</v>
          </cell>
          <cell r="P1964" t="e">
            <v>#N/A</v>
          </cell>
        </row>
        <row r="1965">
          <cell r="B1965" t="str">
            <v>Lomonosov Moscow State University</v>
          </cell>
          <cell r="C1965" t="str">
            <v>Russian Federation</v>
          </cell>
          <cell r="D1965">
            <v>161</v>
          </cell>
          <cell r="E1965">
            <v>57.8</v>
          </cell>
          <cell r="F1965">
            <v>66.7</v>
          </cell>
          <cell r="G1965">
            <v>8.6</v>
          </cell>
          <cell r="H1965">
            <v>95.7</v>
          </cell>
          <cell r="I1965">
            <v>51.9</v>
          </cell>
          <cell r="J1965">
            <v>30822</v>
          </cell>
          <cell r="K1965">
            <v>7.7</v>
          </cell>
          <cell r="L1965">
            <v>0.2</v>
          </cell>
          <cell r="M1965">
            <v>1.83125</v>
          </cell>
          <cell r="N1965">
            <v>2016</v>
          </cell>
          <cell r="O1965">
            <v>90</v>
          </cell>
          <cell r="P1965">
            <v>1</v>
          </cell>
        </row>
        <row r="1966">
          <cell r="B1966" t="str">
            <v>University of Miami</v>
          </cell>
          <cell r="C1966" t="str">
            <v>United States of America</v>
          </cell>
          <cell r="D1966">
            <v>161</v>
          </cell>
          <cell r="E1966">
            <v>64</v>
          </cell>
          <cell r="F1966">
            <v>22.3</v>
          </cell>
          <cell r="G1966">
            <v>90.1</v>
          </cell>
          <cell r="H1966">
            <v>35.5</v>
          </cell>
          <cell r="I1966">
            <v>51.9</v>
          </cell>
          <cell r="J1966">
            <v>15286</v>
          </cell>
          <cell r="K1966">
            <v>5.7</v>
          </cell>
          <cell r="L1966">
            <v>0.14000000000000001</v>
          </cell>
          <cell r="M1966">
            <v>2.1180555555555554</v>
          </cell>
          <cell r="N1966">
            <v>2016</v>
          </cell>
          <cell r="O1966">
            <v>138</v>
          </cell>
          <cell r="P1966">
            <v>66</v>
          </cell>
        </row>
        <row r="1967">
          <cell r="B1967" t="str">
            <v>University of Arizona</v>
          </cell>
          <cell r="C1967" t="str">
            <v>United States of America</v>
          </cell>
          <cell r="D1967">
            <v>163</v>
          </cell>
          <cell r="E1967">
            <v>38.6</v>
          </cell>
          <cell r="F1967">
            <v>41.8</v>
          </cell>
          <cell r="G1967">
            <v>79.5</v>
          </cell>
          <cell r="H1967">
            <v>32.4</v>
          </cell>
          <cell r="I1967">
            <v>51.7</v>
          </cell>
          <cell r="J1967">
            <v>36429</v>
          </cell>
          <cell r="K1967">
            <v>12.7</v>
          </cell>
          <cell r="L1967">
            <v>0.08</v>
          </cell>
          <cell r="M1967">
            <v>2.2000000000000002</v>
          </cell>
          <cell r="N1967">
            <v>2016</v>
          </cell>
          <cell r="O1967">
            <v>50</v>
          </cell>
          <cell r="P1967">
            <v>37</v>
          </cell>
        </row>
        <row r="1968">
          <cell r="B1968" t="str">
            <v>Pompeu Fabra University</v>
          </cell>
          <cell r="C1968" t="str">
            <v>Spain</v>
          </cell>
          <cell r="D1968">
            <v>164</v>
          </cell>
          <cell r="E1968">
            <v>63.3</v>
          </cell>
          <cell r="F1968">
            <v>28</v>
          </cell>
          <cell r="G1968">
            <v>90.7</v>
          </cell>
          <cell r="H1968">
            <v>37.200000000000003</v>
          </cell>
          <cell r="I1968">
            <v>51.2</v>
          </cell>
          <cell r="J1968">
            <v>10901</v>
          </cell>
          <cell r="K1968">
            <v>18.3</v>
          </cell>
          <cell r="L1968">
            <v>0.13</v>
          </cell>
          <cell r="M1968">
            <v>2.4868055555555557</v>
          </cell>
          <cell r="N1968">
            <v>2016</v>
          </cell>
          <cell r="O1968">
            <v>426</v>
          </cell>
          <cell r="P1968">
            <v>11</v>
          </cell>
        </row>
        <row r="1969">
          <cell r="B1969" t="str">
            <v>University of Reading</v>
          </cell>
          <cell r="C1969" t="str">
            <v>United Kingdom</v>
          </cell>
          <cell r="D1969">
            <v>164</v>
          </cell>
          <cell r="E1969">
            <v>85.1</v>
          </cell>
          <cell r="F1969">
            <v>37.299999999999997</v>
          </cell>
          <cell r="G1969">
            <v>69.900000000000006</v>
          </cell>
          <cell r="H1969">
            <v>34.200000000000003</v>
          </cell>
          <cell r="I1969">
            <v>51.2</v>
          </cell>
          <cell r="J1969">
            <v>12050</v>
          </cell>
          <cell r="K1969">
            <v>14.8</v>
          </cell>
          <cell r="L1969">
            <v>0.28000000000000003</v>
          </cell>
          <cell r="M1969">
            <v>2.3229166666666665</v>
          </cell>
          <cell r="N1969">
            <v>2016</v>
          </cell>
          <cell r="O1969">
            <v>287</v>
          </cell>
          <cell r="P1969">
            <v>25</v>
          </cell>
        </row>
        <row r="1970">
          <cell r="B1970" t="str">
            <v>Yeshiva University</v>
          </cell>
          <cell r="C1970" t="str">
            <v>United States of America</v>
          </cell>
          <cell r="D1970">
            <v>164</v>
          </cell>
          <cell r="E1970">
            <v>28.5</v>
          </cell>
          <cell r="F1970">
            <v>23.7</v>
          </cell>
          <cell r="G1970">
            <v>92.8</v>
          </cell>
          <cell r="H1970" t="str">
            <v>-</v>
          </cell>
          <cell r="I1970">
            <v>51.2</v>
          </cell>
          <cell r="J1970">
            <v>6753</v>
          </cell>
          <cell r="K1970">
            <v>5.5</v>
          </cell>
          <cell r="L1970">
            <v>7.0000000000000007E-2</v>
          </cell>
          <cell r="M1970">
            <v>2.2409722222222221</v>
          </cell>
          <cell r="N1970">
            <v>2016</v>
          </cell>
          <cell r="O1970">
            <v>172</v>
          </cell>
          <cell r="P1970">
            <v>75</v>
          </cell>
        </row>
        <row r="1971">
          <cell r="B1971" t="str">
            <v>University of California, Riverside</v>
          </cell>
          <cell r="C1971" t="str">
            <v>United States of America</v>
          </cell>
          <cell r="D1971">
            <v>167</v>
          </cell>
          <cell r="E1971">
            <v>59.5</v>
          </cell>
          <cell r="F1971">
            <v>33.299999999999997</v>
          </cell>
          <cell r="G1971">
            <v>91.2</v>
          </cell>
          <cell r="H1971">
            <v>42.5</v>
          </cell>
          <cell r="I1971">
            <v>51.1</v>
          </cell>
          <cell r="J1971">
            <v>20626</v>
          </cell>
          <cell r="K1971">
            <v>22</v>
          </cell>
          <cell r="L1971">
            <v>0.12</v>
          </cell>
          <cell r="M1971">
            <v>2.1590277777777778</v>
          </cell>
          <cell r="N1971">
            <v>2016</v>
          </cell>
          <cell r="O1971">
            <v>222</v>
          </cell>
          <cell r="P1971">
            <v>91</v>
          </cell>
        </row>
        <row r="1972">
          <cell r="B1972" t="str">
            <v>University of Leicester</v>
          </cell>
          <cell r="C1972" t="str">
            <v>United Kingdom</v>
          </cell>
          <cell r="D1972">
            <v>167</v>
          </cell>
          <cell r="E1972">
            <v>86.6</v>
          </cell>
          <cell r="F1972">
            <v>27.8</v>
          </cell>
          <cell r="G1972">
            <v>86</v>
          </cell>
          <cell r="H1972">
            <v>31.7</v>
          </cell>
          <cell r="I1972">
            <v>51.1</v>
          </cell>
          <cell r="J1972">
            <v>14541</v>
          </cell>
          <cell r="K1972">
            <v>13.4</v>
          </cell>
          <cell r="L1972">
            <v>0.35</v>
          </cell>
          <cell r="M1972">
            <v>2.2819444444444446</v>
          </cell>
          <cell r="N1972">
            <v>2016</v>
          </cell>
          <cell r="O1972">
            <v>263</v>
          </cell>
          <cell r="P1972">
            <v>22</v>
          </cell>
        </row>
        <row r="1973">
          <cell r="B1973" t="str">
            <v>National Taiwan University</v>
          </cell>
          <cell r="C1973" t="str">
            <v>Taiwan</v>
          </cell>
          <cell r="D1973">
            <v>167</v>
          </cell>
          <cell r="E1973">
            <v>27.7</v>
          </cell>
          <cell r="F1973">
            <v>58</v>
          </cell>
          <cell r="G1973">
            <v>47.3</v>
          </cell>
          <cell r="H1973">
            <v>49.6</v>
          </cell>
          <cell r="I1973">
            <v>51.1</v>
          </cell>
          <cell r="J1973">
            <v>31891</v>
          </cell>
          <cell r="K1973">
            <v>11.9</v>
          </cell>
          <cell r="L1973">
            <v>7.0000000000000007E-2</v>
          </cell>
          <cell r="M1973" t="str">
            <v>39 : 61</v>
          </cell>
          <cell r="N1973">
            <v>2016</v>
          </cell>
          <cell r="O1973">
            <v>65</v>
          </cell>
          <cell r="P1973">
            <v>1</v>
          </cell>
        </row>
        <row r="1974">
          <cell r="B1974" t="str">
            <v>Technical University of Denmark</v>
          </cell>
          <cell r="C1974" t="str">
            <v>Denmark</v>
          </cell>
          <cell r="D1974">
            <v>167</v>
          </cell>
          <cell r="E1974">
            <v>85.1</v>
          </cell>
          <cell r="F1974">
            <v>29.9</v>
          </cell>
          <cell r="G1974">
            <v>77.8</v>
          </cell>
          <cell r="H1974">
            <v>50</v>
          </cell>
          <cell r="I1974">
            <v>51.1</v>
          </cell>
          <cell r="J1974">
            <v>9990</v>
          </cell>
          <cell r="K1974">
            <v>5</v>
          </cell>
          <cell r="L1974">
            <v>0.18</v>
          </cell>
          <cell r="M1974" t="str">
            <v>27 : 73</v>
          </cell>
          <cell r="N1974">
            <v>2016</v>
          </cell>
          <cell r="O1974">
            <v>197</v>
          </cell>
          <cell r="P1974">
            <v>3</v>
          </cell>
        </row>
        <row r="1975">
          <cell r="B1975" t="str">
            <v>UniversitÃ© Catholique de Louvain</v>
          </cell>
          <cell r="C1975" t="str">
            <v>Belgium</v>
          </cell>
          <cell r="D1975">
            <v>167</v>
          </cell>
          <cell r="E1975">
            <v>74.2</v>
          </cell>
          <cell r="F1975">
            <v>40.6</v>
          </cell>
          <cell r="G1975">
            <v>68.400000000000006</v>
          </cell>
          <cell r="H1975">
            <v>51</v>
          </cell>
          <cell r="I1975">
            <v>51.1</v>
          </cell>
          <cell r="J1975">
            <v>28856</v>
          </cell>
          <cell r="K1975">
            <v>42</v>
          </cell>
          <cell r="L1975">
            <v>0.19</v>
          </cell>
          <cell r="M1975">
            <v>2.2819444444444446</v>
          </cell>
          <cell r="N1975">
            <v>2016</v>
          </cell>
          <cell r="O1975">
            <v>191</v>
          </cell>
          <cell r="P1975">
            <v>4</v>
          </cell>
        </row>
        <row r="1976">
          <cell r="B1976" t="str">
            <v>University of Aberdeen</v>
          </cell>
          <cell r="C1976" t="str">
            <v>United Kingdom</v>
          </cell>
          <cell r="D1976">
            <v>172</v>
          </cell>
          <cell r="E1976">
            <v>91.4</v>
          </cell>
          <cell r="F1976">
            <v>31.4</v>
          </cell>
          <cell r="G1976">
            <v>82.6</v>
          </cell>
          <cell r="H1976">
            <v>43.1</v>
          </cell>
          <cell r="I1976">
            <v>51</v>
          </cell>
          <cell r="J1976">
            <v>12938</v>
          </cell>
          <cell r="K1976">
            <v>15.8</v>
          </cell>
          <cell r="L1976">
            <v>0.33</v>
          </cell>
          <cell r="M1976">
            <v>2.2819444444444446</v>
          </cell>
          <cell r="N1976">
            <v>2016</v>
          </cell>
          <cell r="O1976">
            <v>276</v>
          </cell>
          <cell r="P1976">
            <v>24</v>
          </cell>
        </row>
        <row r="1977">
          <cell r="B1977" t="str">
            <v>University of Auckland</v>
          </cell>
          <cell r="C1977" t="str">
            <v>New Zealand</v>
          </cell>
          <cell r="D1977">
            <v>172</v>
          </cell>
          <cell r="E1977">
            <v>90.5</v>
          </cell>
          <cell r="F1977">
            <v>39.5</v>
          </cell>
          <cell r="G1977">
            <v>69.8</v>
          </cell>
          <cell r="H1977">
            <v>78</v>
          </cell>
          <cell r="I1977">
            <v>51</v>
          </cell>
          <cell r="J1977">
            <v>29787</v>
          </cell>
          <cell r="K1977">
            <v>18.899999999999999</v>
          </cell>
          <cell r="L1977">
            <v>0.28000000000000003</v>
          </cell>
          <cell r="M1977">
            <v>2.2819444444444446</v>
          </cell>
          <cell r="N1977">
            <v>2016</v>
          </cell>
          <cell r="O1977">
            <v>273</v>
          </cell>
          <cell r="P1977">
            <v>1</v>
          </cell>
        </row>
        <row r="1978">
          <cell r="B1978" t="str">
            <v>University of Barcelona</v>
          </cell>
          <cell r="C1978" t="str">
            <v>Spain</v>
          </cell>
          <cell r="D1978">
            <v>174</v>
          </cell>
          <cell r="E1978">
            <v>49.2</v>
          </cell>
          <cell r="F1978">
            <v>37.4</v>
          </cell>
          <cell r="G1978">
            <v>78.900000000000006</v>
          </cell>
          <cell r="H1978">
            <v>31.1</v>
          </cell>
          <cell r="I1978">
            <v>50.9</v>
          </cell>
          <cell r="J1978">
            <v>47491</v>
          </cell>
          <cell r="K1978">
            <v>12.2</v>
          </cell>
          <cell r="L1978">
            <v>0.1</v>
          </cell>
          <cell r="M1978">
            <v>2.6097222222222221</v>
          </cell>
          <cell r="N1978">
            <v>2016</v>
          </cell>
          <cell r="O1978">
            <v>120</v>
          </cell>
          <cell r="P1978">
            <v>1</v>
          </cell>
        </row>
        <row r="1979">
          <cell r="B1979" t="str">
            <v>University of Konstanz</v>
          </cell>
          <cell r="C1979" t="str">
            <v>Germany</v>
          </cell>
          <cell r="D1979">
            <v>175</v>
          </cell>
          <cell r="E1979">
            <v>58.3</v>
          </cell>
          <cell r="F1979">
            <v>46.7</v>
          </cell>
          <cell r="G1979">
            <v>61.9</v>
          </cell>
          <cell r="H1979">
            <v>92.4</v>
          </cell>
          <cell r="I1979">
            <v>50.8</v>
          </cell>
          <cell r="J1979">
            <v>10930</v>
          </cell>
          <cell r="K1979">
            <v>59.1</v>
          </cell>
          <cell r="L1979">
            <v>0.12</v>
          </cell>
          <cell r="M1979">
            <v>2.2819444444444446</v>
          </cell>
          <cell r="N1979">
            <v>2016</v>
          </cell>
          <cell r="O1979">
            <v>468</v>
          </cell>
          <cell r="P1979">
            <v>36</v>
          </cell>
        </row>
        <row r="1980">
          <cell r="B1980" t="str">
            <v>Eindhoven University of Technology</v>
          </cell>
          <cell r="C1980" t="str">
            <v>Netherlands</v>
          </cell>
          <cell r="D1980">
            <v>176</v>
          </cell>
          <cell r="E1980">
            <v>71.3</v>
          </cell>
          <cell r="F1980">
            <v>41</v>
          </cell>
          <cell r="G1980">
            <v>70.7</v>
          </cell>
          <cell r="H1980">
            <v>57.3</v>
          </cell>
          <cell r="I1980">
            <v>50.6</v>
          </cell>
          <cell r="J1980">
            <v>8176</v>
          </cell>
          <cell r="K1980">
            <v>16</v>
          </cell>
          <cell r="L1980">
            <v>0.14000000000000001</v>
          </cell>
          <cell r="M1980">
            <v>0.84791666666666665</v>
          </cell>
          <cell r="N1980">
            <v>2016</v>
          </cell>
          <cell r="O1980">
            <v>353</v>
          </cell>
          <cell r="P1980">
            <v>11</v>
          </cell>
        </row>
        <row r="1981">
          <cell r="B1981" t="str">
            <v>University College Dublin</v>
          </cell>
          <cell r="C1981" t="str">
            <v>Republic of Ireland</v>
          </cell>
          <cell r="D1981">
            <v>176</v>
          </cell>
          <cell r="E1981">
            <v>86.3</v>
          </cell>
          <cell r="F1981">
            <v>38.5</v>
          </cell>
          <cell r="G1981">
            <v>70.8</v>
          </cell>
          <cell r="H1981">
            <v>33.5</v>
          </cell>
          <cell r="I1981">
            <v>50.6</v>
          </cell>
          <cell r="J1981">
            <v>22193</v>
          </cell>
          <cell r="K1981">
            <v>24.5</v>
          </cell>
          <cell r="L1981">
            <v>0.23</v>
          </cell>
          <cell r="N1981">
            <v>2016</v>
          </cell>
          <cell r="O1981">
            <v>269</v>
          </cell>
          <cell r="P1981">
            <v>2</v>
          </cell>
        </row>
        <row r="1982">
          <cell r="B1982" t="str">
            <v>Hebrew University of Jerusalem</v>
          </cell>
          <cell r="C1982" t="str">
            <v>Israel</v>
          </cell>
          <cell r="D1982">
            <v>178</v>
          </cell>
          <cell r="E1982">
            <v>55.6</v>
          </cell>
          <cell r="F1982">
            <v>41.4</v>
          </cell>
          <cell r="G1982">
            <v>64.599999999999994</v>
          </cell>
          <cell r="H1982">
            <v>31.9</v>
          </cell>
          <cell r="I1982">
            <v>50.5</v>
          </cell>
          <cell r="J1982">
            <v>17612</v>
          </cell>
          <cell r="K1982">
            <v>10.7</v>
          </cell>
          <cell r="L1982">
            <v>0.05</v>
          </cell>
          <cell r="M1982">
            <v>2.3229166666666665</v>
          </cell>
          <cell r="N1982">
            <v>2016</v>
          </cell>
          <cell r="O1982">
            <v>22</v>
          </cell>
          <cell r="P1982">
            <v>2</v>
          </cell>
        </row>
        <row r="1983">
          <cell r="B1983" t="str">
            <v>University of Waterloo</v>
          </cell>
          <cell r="C1983" t="str">
            <v>Canada</v>
          </cell>
          <cell r="D1983">
            <v>179</v>
          </cell>
          <cell r="E1983">
            <v>74.400000000000006</v>
          </cell>
          <cell r="F1983">
            <v>43.9</v>
          </cell>
          <cell r="G1983">
            <v>66.5</v>
          </cell>
          <cell r="H1983">
            <v>39.5</v>
          </cell>
          <cell r="I1983">
            <v>50.3</v>
          </cell>
          <cell r="J1983">
            <v>30726</v>
          </cell>
          <cell r="K1983">
            <v>24.2</v>
          </cell>
          <cell r="L1983">
            <v>0.14000000000000001</v>
          </cell>
          <cell r="M1983">
            <v>1.9131944444444444</v>
          </cell>
          <cell r="N1983">
            <v>2016</v>
          </cell>
          <cell r="O1983">
            <v>280</v>
          </cell>
          <cell r="P1983">
            <v>13</v>
          </cell>
        </row>
        <row r="1984">
          <cell r="B1984" t="str">
            <v>University of Gothenburg</v>
          </cell>
          <cell r="C1984" t="str">
            <v>Sweden</v>
          </cell>
          <cell r="D1984">
            <v>180</v>
          </cell>
          <cell r="E1984">
            <v>58.3</v>
          </cell>
          <cell r="F1984">
            <v>39.799999999999997</v>
          </cell>
          <cell r="G1984">
            <v>81.8</v>
          </cell>
          <cell r="H1984">
            <v>30.3</v>
          </cell>
          <cell r="I1984">
            <v>50.2</v>
          </cell>
          <cell r="J1984">
            <v>26420</v>
          </cell>
          <cell r="K1984">
            <v>16.399999999999999</v>
          </cell>
          <cell r="L1984">
            <v>0.12</v>
          </cell>
          <cell r="N1984">
            <v>2016</v>
          </cell>
          <cell r="O1984">
            <v>168</v>
          </cell>
          <cell r="P1984">
            <v>5</v>
          </cell>
        </row>
        <row r="1985">
          <cell r="B1985" t="str">
            <v>Scuola Superiore Santâ€™Anna</v>
          </cell>
          <cell r="C1985" t="str">
            <v>Italy</v>
          </cell>
          <cell r="D1985">
            <v>180</v>
          </cell>
          <cell r="E1985">
            <v>45.2</v>
          </cell>
          <cell r="F1985">
            <v>23.2</v>
          </cell>
          <cell r="G1985">
            <v>84.5</v>
          </cell>
          <cell r="H1985">
            <v>71.2</v>
          </cell>
          <cell r="I1985">
            <v>50.2</v>
          </cell>
          <cell r="J1985">
            <v>769</v>
          </cell>
          <cell r="K1985">
            <v>8.5</v>
          </cell>
          <cell r="L1985">
            <v>0.17</v>
          </cell>
          <cell r="M1985" t="str">
            <v>35 : 65</v>
          </cell>
          <cell r="N1985">
            <v>2016</v>
          </cell>
          <cell r="O1985" t="e">
            <v>#N/A</v>
          </cell>
          <cell r="P1985" t="e">
            <v>#N/A</v>
          </cell>
        </row>
        <row r="1986">
          <cell r="B1986" t="str">
            <v>University of Bergen</v>
          </cell>
          <cell r="C1986" t="str">
            <v>Norway</v>
          </cell>
          <cell r="D1986">
            <v>182</v>
          </cell>
          <cell r="E1986">
            <v>70</v>
          </cell>
          <cell r="F1986">
            <v>31.5</v>
          </cell>
          <cell r="G1986">
            <v>82.4</v>
          </cell>
          <cell r="H1986">
            <v>36.200000000000003</v>
          </cell>
          <cell r="I1986">
            <v>50.1</v>
          </cell>
          <cell r="J1986">
            <v>11623</v>
          </cell>
          <cell r="K1986">
            <v>11.1</v>
          </cell>
          <cell r="L1986">
            <v>0.12</v>
          </cell>
          <cell r="M1986">
            <v>2.5277777777777777</v>
          </cell>
          <cell r="N1986">
            <v>2016</v>
          </cell>
          <cell r="O1986">
            <v>305</v>
          </cell>
          <cell r="P1986">
            <v>3</v>
          </cell>
        </row>
        <row r="1987">
          <cell r="B1987" t="str">
            <v>Cardiff University</v>
          </cell>
          <cell r="C1987" t="str">
            <v>United Kingdom</v>
          </cell>
          <cell r="D1987">
            <v>182</v>
          </cell>
          <cell r="E1987">
            <v>78.099999999999994</v>
          </cell>
          <cell r="F1987">
            <v>31.6</v>
          </cell>
          <cell r="G1987">
            <v>82</v>
          </cell>
          <cell r="H1987">
            <v>34.6</v>
          </cell>
          <cell r="I1987">
            <v>50.1</v>
          </cell>
          <cell r="J1987">
            <v>23347</v>
          </cell>
          <cell r="K1987">
            <v>13.1</v>
          </cell>
          <cell r="L1987">
            <v>0.23</v>
          </cell>
          <cell r="M1987">
            <v>2.4048611111111109</v>
          </cell>
          <cell r="N1987">
            <v>2016</v>
          </cell>
          <cell r="O1987">
            <v>209</v>
          </cell>
          <cell r="P1987">
            <v>16</v>
          </cell>
        </row>
        <row r="1988">
          <cell r="B1988" t="str">
            <v>University of Utah</v>
          </cell>
          <cell r="C1988" t="str">
            <v>United States of America</v>
          </cell>
          <cell r="D1988">
            <v>182</v>
          </cell>
          <cell r="E1988">
            <v>30.1</v>
          </cell>
          <cell r="F1988">
            <v>35.299999999999997</v>
          </cell>
          <cell r="G1988">
            <v>83.7</v>
          </cell>
          <cell r="H1988">
            <v>57.4</v>
          </cell>
          <cell r="I1988">
            <v>50.1</v>
          </cell>
          <cell r="J1988">
            <v>25674</v>
          </cell>
          <cell r="K1988">
            <v>16.899999999999999</v>
          </cell>
          <cell r="L1988">
            <v>0.09</v>
          </cell>
          <cell r="M1988">
            <v>1.9131944444444444</v>
          </cell>
          <cell r="N1988">
            <v>2016</v>
          </cell>
          <cell r="O1988">
            <v>38</v>
          </cell>
          <cell r="P1988">
            <v>27</v>
          </cell>
        </row>
        <row r="1989">
          <cell r="B1989" t="str">
            <v>Brandeis University</v>
          </cell>
          <cell r="C1989" t="str">
            <v>United States of America</v>
          </cell>
          <cell r="D1989">
            <v>185</v>
          </cell>
          <cell r="E1989">
            <v>47</v>
          </cell>
          <cell r="F1989">
            <v>25.7</v>
          </cell>
          <cell r="G1989">
            <v>97.3</v>
          </cell>
          <cell r="H1989">
            <v>38.6</v>
          </cell>
          <cell r="I1989">
            <v>49.9</v>
          </cell>
          <cell r="J1989">
            <v>5495</v>
          </cell>
          <cell r="K1989">
            <v>12.6</v>
          </cell>
          <cell r="L1989">
            <v>0.22</v>
          </cell>
          <cell r="M1989">
            <v>2.3229166666666665</v>
          </cell>
          <cell r="N1989">
            <v>2016</v>
          </cell>
          <cell r="O1989">
            <v>236</v>
          </cell>
          <cell r="P1989">
            <v>97</v>
          </cell>
        </row>
        <row r="1990">
          <cell r="B1990" t="str">
            <v>University of Dundee</v>
          </cell>
          <cell r="C1990" t="str">
            <v>United Kingdom</v>
          </cell>
          <cell r="D1990">
            <v>185</v>
          </cell>
          <cell r="E1990">
            <v>78.5</v>
          </cell>
          <cell r="F1990">
            <v>26.9</v>
          </cell>
          <cell r="G1990">
            <v>90.2</v>
          </cell>
          <cell r="H1990">
            <v>49.5</v>
          </cell>
          <cell r="I1990">
            <v>49.9</v>
          </cell>
          <cell r="J1990">
            <v>11628</v>
          </cell>
          <cell r="K1990">
            <v>15.3</v>
          </cell>
          <cell r="L1990">
            <v>0.25</v>
          </cell>
          <cell r="M1990">
            <v>2.5277777777777777</v>
          </cell>
          <cell r="N1990">
            <v>2016</v>
          </cell>
          <cell r="O1990">
            <v>252</v>
          </cell>
          <cell r="P1990">
            <v>20</v>
          </cell>
        </row>
        <row r="1991">
          <cell r="B1991" t="str">
            <v>University of WÃ¼rzburg</v>
          </cell>
          <cell r="C1991" t="str">
            <v>Germany</v>
          </cell>
          <cell r="D1991">
            <v>185</v>
          </cell>
          <cell r="E1991">
            <v>50.9</v>
          </cell>
          <cell r="F1991">
            <v>35.799999999999997</v>
          </cell>
          <cell r="G1991">
            <v>79.099999999999994</v>
          </cell>
          <cell r="H1991">
            <v>47.9</v>
          </cell>
          <cell r="I1991">
            <v>49.9</v>
          </cell>
          <cell r="J1991">
            <v>26576</v>
          </cell>
          <cell r="K1991">
            <v>38.4</v>
          </cell>
          <cell r="L1991">
            <v>0.08</v>
          </cell>
          <cell r="M1991">
            <v>2.4048611111111109</v>
          </cell>
          <cell r="N1991">
            <v>2016</v>
          </cell>
          <cell r="O1991" t="e">
            <v>#N/A</v>
          </cell>
          <cell r="P1991" t="e">
            <v>#N/A</v>
          </cell>
        </row>
        <row r="1992">
          <cell r="B1992" t="str">
            <v>Paris-Sud University</v>
          </cell>
          <cell r="C1992" t="str">
            <v>France</v>
          </cell>
          <cell r="D1992">
            <v>188</v>
          </cell>
          <cell r="E1992">
            <v>64.2</v>
          </cell>
          <cell r="F1992">
            <v>29</v>
          </cell>
          <cell r="G1992">
            <v>79.8</v>
          </cell>
          <cell r="H1992">
            <v>28.8</v>
          </cell>
          <cell r="I1992">
            <v>49.8</v>
          </cell>
          <cell r="J1992">
            <v>27603</v>
          </cell>
          <cell r="K1992">
            <v>15</v>
          </cell>
          <cell r="L1992">
            <v>0.17</v>
          </cell>
          <cell r="N1992">
            <v>2016</v>
          </cell>
          <cell r="O1992" t="e">
            <v>#N/A</v>
          </cell>
          <cell r="P1992" t="e">
            <v>#N/A</v>
          </cell>
        </row>
        <row r="1993">
          <cell r="B1993" t="str">
            <v>Arizona State University</v>
          </cell>
          <cell r="C1993" t="str">
            <v>United States of America</v>
          </cell>
          <cell r="D1993">
            <v>189</v>
          </cell>
          <cell r="E1993">
            <v>31.9</v>
          </cell>
          <cell r="F1993">
            <v>38.1</v>
          </cell>
          <cell r="G1993">
            <v>84.6</v>
          </cell>
          <cell r="H1993">
            <v>32</v>
          </cell>
          <cell r="I1993">
            <v>49.7</v>
          </cell>
          <cell r="J1993">
            <v>83236</v>
          </cell>
          <cell r="K1993">
            <v>29.9</v>
          </cell>
          <cell r="L1993">
            <v>0.09</v>
          </cell>
          <cell r="M1993">
            <v>2.1180555555555554</v>
          </cell>
          <cell r="N1993">
            <v>2016</v>
          </cell>
          <cell r="O1993">
            <v>80</v>
          </cell>
          <cell r="P1993">
            <v>52</v>
          </cell>
        </row>
        <row r="1994">
          <cell r="B1994" t="str">
            <v>University of Antwerp</v>
          </cell>
          <cell r="C1994" t="str">
            <v>Belgium</v>
          </cell>
          <cell r="D1994">
            <v>190</v>
          </cell>
          <cell r="E1994">
            <v>64.8</v>
          </cell>
          <cell r="F1994">
            <v>40.799999999999997</v>
          </cell>
          <cell r="G1994">
            <v>71.7</v>
          </cell>
          <cell r="H1994">
            <v>60.3</v>
          </cell>
          <cell r="I1994">
            <v>49.6</v>
          </cell>
          <cell r="J1994">
            <v>12346</v>
          </cell>
          <cell r="K1994">
            <v>30.3</v>
          </cell>
          <cell r="L1994">
            <v>0.16</v>
          </cell>
          <cell r="M1994">
            <v>2.3638888888888889</v>
          </cell>
          <cell r="N1994">
            <v>2016</v>
          </cell>
          <cell r="O1994">
            <v>330</v>
          </cell>
          <cell r="P1994">
            <v>7</v>
          </cell>
        </row>
        <row r="1995">
          <cell r="B1995" t="str">
            <v>Boston College</v>
          </cell>
          <cell r="C1995" t="str">
            <v>United States of America</v>
          </cell>
          <cell r="D1995">
            <v>190</v>
          </cell>
          <cell r="E1995">
            <v>60</v>
          </cell>
          <cell r="F1995">
            <v>29.3</v>
          </cell>
          <cell r="G1995">
            <v>83.3</v>
          </cell>
          <cell r="H1995">
            <v>46.8</v>
          </cell>
          <cell r="I1995">
            <v>49.6</v>
          </cell>
          <cell r="J1995">
            <v>13216</v>
          </cell>
          <cell r="K1995">
            <v>17.399999999999999</v>
          </cell>
          <cell r="L1995">
            <v>0.19</v>
          </cell>
          <cell r="M1995">
            <v>2.2819444444444446</v>
          </cell>
          <cell r="N1995">
            <v>2016</v>
          </cell>
          <cell r="O1995">
            <v>332</v>
          </cell>
          <cell r="P1995">
            <v>124</v>
          </cell>
        </row>
        <row r="1996">
          <cell r="B1996" t="str">
            <v>Ulm University</v>
          </cell>
          <cell r="C1996" t="str">
            <v>Germany</v>
          </cell>
          <cell r="D1996">
            <v>192</v>
          </cell>
          <cell r="E1996">
            <v>58.2</v>
          </cell>
          <cell r="F1996">
            <v>23.9</v>
          </cell>
          <cell r="G1996">
            <v>86.4</v>
          </cell>
          <cell r="H1996">
            <v>58.4</v>
          </cell>
          <cell r="I1996">
            <v>49.5</v>
          </cell>
          <cell r="J1996">
            <v>9187</v>
          </cell>
          <cell r="K1996">
            <v>11.2</v>
          </cell>
          <cell r="L1996">
            <v>0.1</v>
          </cell>
          <cell r="M1996">
            <v>1.9951388888888888</v>
          </cell>
          <cell r="N1996">
            <v>2016</v>
          </cell>
          <cell r="O1996" t="e">
            <v>#N/A</v>
          </cell>
          <cell r="P1996" t="e">
            <v>#N/A</v>
          </cell>
        </row>
        <row r="1997">
          <cell r="B1997" t="str">
            <v>University of Luxembourg</v>
          </cell>
          <cell r="C1997" t="str">
            <v>Luxembourg</v>
          </cell>
          <cell r="D1997">
            <v>193</v>
          </cell>
          <cell r="E1997">
            <v>99.8</v>
          </cell>
          <cell r="F1997">
            <v>26.7</v>
          </cell>
          <cell r="G1997">
            <v>84.8</v>
          </cell>
          <cell r="H1997">
            <v>38.1</v>
          </cell>
          <cell r="I1997">
            <v>49.4</v>
          </cell>
          <cell r="J1997">
            <v>5144</v>
          </cell>
          <cell r="K1997">
            <v>15.9</v>
          </cell>
          <cell r="L1997">
            <v>0.52</v>
          </cell>
          <cell r="M1997">
            <v>2.1180555555555554</v>
          </cell>
          <cell r="N1997">
            <v>2016</v>
          </cell>
          <cell r="O1997" t="e">
            <v>#N/A</v>
          </cell>
          <cell r="P1997" t="e">
            <v>#N/A</v>
          </cell>
        </row>
        <row r="1998">
          <cell r="B1998" t="str">
            <v>Texas A&amp;M University</v>
          </cell>
          <cell r="C1998" t="str">
            <v>United States of America</v>
          </cell>
          <cell r="D1998">
            <v>193</v>
          </cell>
          <cell r="E1998">
            <v>47.8</v>
          </cell>
          <cell r="F1998">
            <v>52.4</v>
          </cell>
          <cell r="G1998">
            <v>47.1</v>
          </cell>
          <cell r="H1998">
            <v>46.4</v>
          </cell>
          <cell r="I1998">
            <v>49.4</v>
          </cell>
          <cell r="J1998">
            <v>50657</v>
          </cell>
          <cell r="K1998">
            <v>21.4</v>
          </cell>
          <cell r="L1998">
            <v>0.09</v>
          </cell>
          <cell r="M1998">
            <v>1.9951388888888888</v>
          </cell>
          <cell r="N1998">
            <v>2016</v>
          </cell>
          <cell r="O1998" t="e">
            <v>#N/A</v>
          </cell>
          <cell r="P1998" t="e">
            <v>#N/A</v>
          </cell>
        </row>
        <row r="1999">
          <cell r="B1999" t="str">
            <v>CharitÃ© - UniversitÃ¤tsmedizin Berlin</v>
          </cell>
          <cell r="C1999" t="str">
            <v>Germany</v>
          </cell>
          <cell r="D1999">
            <v>195</v>
          </cell>
          <cell r="E1999">
            <v>61.1</v>
          </cell>
          <cell r="F1999">
            <v>22.2</v>
          </cell>
          <cell r="G1999">
            <v>83.8</v>
          </cell>
          <cell r="H1999">
            <v>68.400000000000006</v>
          </cell>
          <cell r="I1999">
            <v>49.3</v>
          </cell>
          <cell r="J1999">
            <v>6853</v>
          </cell>
          <cell r="K1999">
            <v>6.6</v>
          </cell>
          <cell r="L1999">
            <v>0.16</v>
          </cell>
          <cell r="M1999">
            <v>2.6916666666666669</v>
          </cell>
          <cell r="N1999">
            <v>2016</v>
          </cell>
          <cell r="O1999" t="e">
            <v>#N/A</v>
          </cell>
          <cell r="P1999" t="e">
            <v>#N/A</v>
          </cell>
        </row>
        <row r="2000">
          <cell r="B2000" t="str">
            <v>Newcastle University</v>
          </cell>
          <cell r="C2000" t="str">
            <v>United Kingdom</v>
          </cell>
          <cell r="D2000">
            <v>196</v>
          </cell>
          <cell r="E2000">
            <v>84.3</v>
          </cell>
          <cell r="F2000">
            <v>27.5</v>
          </cell>
          <cell r="G2000">
            <v>81.5</v>
          </cell>
          <cell r="H2000">
            <v>34.700000000000003</v>
          </cell>
          <cell r="I2000">
            <v>49.2</v>
          </cell>
          <cell r="J2000">
            <v>20174</v>
          </cell>
          <cell r="K2000">
            <v>15.2</v>
          </cell>
          <cell r="L2000">
            <v>0.28999999999999998</v>
          </cell>
          <cell r="M2000">
            <v>2.1180555555555554</v>
          </cell>
          <cell r="N2000">
            <v>2016</v>
          </cell>
          <cell r="O2000">
            <v>229</v>
          </cell>
          <cell r="P2000">
            <v>19</v>
          </cell>
        </row>
        <row r="2001">
          <cell r="B2001" t="str">
            <v>St Georgeâ€™s, University of London</v>
          </cell>
          <cell r="C2001" t="str">
            <v>United Kingdom</v>
          </cell>
          <cell r="D2001">
            <v>196</v>
          </cell>
          <cell r="E2001">
            <v>69.5</v>
          </cell>
          <cell r="F2001">
            <v>18.100000000000001</v>
          </cell>
          <cell r="G2001">
            <v>100</v>
          </cell>
          <cell r="H2001">
            <v>37.700000000000003</v>
          </cell>
          <cell r="I2001">
            <v>49.2</v>
          </cell>
          <cell r="J2001">
            <v>2958</v>
          </cell>
          <cell r="K2001">
            <v>13.4</v>
          </cell>
          <cell r="L2001">
            <v>0.17</v>
          </cell>
          <cell r="M2001">
            <v>2.5687500000000001</v>
          </cell>
          <cell r="N2001">
            <v>2016</v>
          </cell>
          <cell r="O2001" t="e">
            <v>#N/A</v>
          </cell>
          <cell r="P2001" t="e">
            <v>#N/A</v>
          </cell>
        </row>
        <row r="2002">
          <cell r="B2002" t="str">
            <v>University of Trento</v>
          </cell>
          <cell r="C2002" t="str">
            <v>Italy</v>
          </cell>
          <cell r="D2002">
            <v>198</v>
          </cell>
          <cell r="E2002">
            <v>55.9</v>
          </cell>
          <cell r="F2002">
            <v>27.4</v>
          </cell>
          <cell r="G2002">
            <v>87.7</v>
          </cell>
          <cell r="H2002">
            <v>47.1</v>
          </cell>
          <cell r="I2002">
            <v>49.1</v>
          </cell>
          <cell r="J2002">
            <v>16841</v>
          </cell>
          <cell r="K2002">
            <v>43.2</v>
          </cell>
          <cell r="L2002">
            <v>0.08</v>
          </cell>
          <cell r="M2002">
            <v>2.1590277777777778</v>
          </cell>
          <cell r="N2002">
            <v>2016</v>
          </cell>
          <cell r="O2002">
            <v>597</v>
          </cell>
          <cell r="P2002">
            <v>33</v>
          </cell>
        </row>
        <row r="2003">
          <cell r="B2003" t="str">
            <v>Paris Diderot University â€“ Paris 7</v>
          </cell>
          <cell r="C2003" t="str">
            <v>France</v>
          </cell>
          <cell r="D2003">
            <v>199</v>
          </cell>
          <cell r="E2003">
            <v>64.900000000000006</v>
          </cell>
          <cell r="F2003">
            <v>22.9</v>
          </cell>
          <cell r="G2003">
            <v>91</v>
          </cell>
          <cell r="H2003">
            <v>29</v>
          </cell>
          <cell r="I2003">
            <v>48.9</v>
          </cell>
          <cell r="J2003">
            <v>27756</v>
          </cell>
          <cell r="K2003">
            <v>14.8</v>
          </cell>
          <cell r="L2003">
            <v>0.17</v>
          </cell>
          <cell r="M2003">
            <v>2.6506944444444445</v>
          </cell>
          <cell r="N2003">
            <v>2016</v>
          </cell>
          <cell r="O2003" t="e">
            <v>#N/A</v>
          </cell>
          <cell r="P2003" t="e">
            <v>#N/A</v>
          </cell>
        </row>
        <row r="2004">
          <cell r="B2004" t="str">
            <v>Queenâ€™s University Belfast</v>
          </cell>
          <cell r="C2004" t="str">
            <v>United Kingdom</v>
          </cell>
          <cell r="D2004">
            <v>200</v>
          </cell>
          <cell r="E2004">
            <v>93.4</v>
          </cell>
          <cell r="F2004">
            <v>33.299999999999997</v>
          </cell>
          <cell r="G2004">
            <v>68.900000000000006</v>
          </cell>
          <cell r="H2004">
            <v>35.700000000000003</v>
          </cell>
          <cell r="I2004">
            <v>48.8</v>
          </cell>
          <cell r="J2004">
            <v>17940</v>
          </cell>
          <cell r="K2004">
            <v>17.899999999999999</v>
          </cell>
          <cell r="L2004">
            <v>0.3</v>
          </cell>
          <cell r="M2004">
            <v>2.2819444444444446</v>
          </cell>
          <cell r="N2004">
            <v>2016</v>
          </cell>
          <cell r="O2004" t="e">
            <v>#N/A</v>
          </cell>
          <cell r="P2004" t="e">
            <v>#N/A</v>
          </cell>
        </row>
        <row r="2005">
          <cell r="B2005" t="str">
            <v>Aalborg University</v>
          </cell>
          <cell r="C2005" t="str">
            <v>Denmark</v>
          </cell>
          <cell r="D2005" t="str">
            <v>201-250</v>
          </cell>
          <cell r="E2005">
            <v>71</v>
          </cell>
          <cell r="F2005">
            <v>28.4</v>
          </cell>
          <cell r="G2005">
            <v>73.8</v>
          </cell>
          <cell r="H2005">
            <v>43.7</v>
          </cell>
          <cell r="I2005" t="str">
            <v>-</v>
          </cell>
          <cell r="J2005">
            <v>17422</v>
          </cell>
          <cell r="K2005">
            <v>15.9</v>
          </cell>
          <cell r="L2005">
            <v>0.15</v>
          </cell>
          <cell r="M2005">
            <v>2.036111111111111</v>
          </cell>
          <cell r="N2005">
            <v>2016</v>
          </cell>
          <cell r="O2005">
            <v>593</v>
          </cell>
          <cell r="P2005">
            <v>5</v>
          </cell>
        </row>
        <row r="2006">
          <cell r="B2006" t="str">
            <v>Birkbeck, University of London</v>
          </cell>
          <cell r="C2006" t="str">
            <v>United Kingdom</v>
          </cell>
          <cell r="D2006" t="str">
            <v>201-250</v>
          </cell>
          <cell r="E2006">
            <v>89.9</v>
          </cell>
          <cell r="F2006">
            <v>35.1</v>
          </cell>
          <cell r="G2006">
            <v>66.3</v>
          </cell>
          <cell r="H2006">
            <v>28.5</v>
          </cell>
          <cell r="I2006" t="str">
            <v>-</v>
          </cell>
          <cell r="J2006">
            <v>9454</v>
          </cell>
          <cell r="K2006">
            <v>17.2</v>
          </cell>
          <cell r="L2006">
            <v>0.38</v>
          </cell>
          <cell r="M2006">
            <v>2.3229166666666665</v>
          </cell>
          <cell r="N2006">
            <v>2016</v>
          </cell>
          <cell r="O2006">
            <v>624</v>
          </cell>
          <cell r="P2006">
            <v>46</v>
          </cell>
        </row>
        <row r="2007">
          <cell r="B2007" t="str">
            <v>University of Bologna</v>
          </cell>
          <cell r="C2007" t="str">
            <v>Italy</v>
          </cell>
          <cell r="D2007" t="str">
            <v>201-250</v>
          </cell>
          <cell r="E2007">
            <v>39.9</v>
          </cell>
          <cell r="F2007">
            <v>29.5</v>
          </cell>
          <cell r="G2007">
            <v>73</v>
          </cell>
          <cell r="H2007">
            <v>34.5</v>
          </cell>
          <cell r="I2007" t="str">
            <v>-</v>
          </cell>
          <cell r="J2007">
            <v>85532</v>
          </cell>
          <cell r="K2007">
            <v>22.9</v>
          </cell>
          <cell r="L2007">
            <v>7.0000000000000007E-2</v>
          </cell>
          <cell r="M2007">
            <v>2.3638888888888889</v>
          </cell>
          <cell r="N2007">
            <v>2016</v>
          </cell>
          <cell r="O2007">
            <v>219</v>
          </cell>
          <cell r="P2007">
            <v>4</v>
          </cell>
        </row>
        <row r="2008">
          <cell r="B2008" t="str">
            <v>University at Buffalo</v>
          </cell>
          <cell r="C2008" t="str">
            <v>United States of America</v>
          </cell>
          <cell r="D2008" t="str">
            <v>201-250</v>
          </cell>
          <cell r="E2008">
            <v>60.6</v>
          </cell>
          <cell r="F2008">
            <v>37.9</v>
          </cell>
          <cell r="G2008">
            <v>62</v>
          </cell>
          <cell r="H2008">
            <v>43.8</v>
          </cell>
          <cell r="I2008" t="str">
            <v>-</v>
          </cell>
          <cell r="J2008">
            <v>25668</v>
          </cell>
          <cell r="K2008">
            <v>19</v>
          </cell>
          <cell r="L2008">
            <v>0.19</v>
          </cell>
          <cell r="M2008">
            <v>1.9951388888888888</v>
          </cell>
          <cell r="N2008">
            <v>2016</v>
          </cell>
          <cell r="O2008" t="e">
            <v>#N/A</v>
          </cell>
          <cell r="P2008" t="e">
            <v>#N/A</v>
          </cell>
        </row>
        <row r="2009">
          <cell r="B2009" t="str">
            <v>University of Calgary</v>
          </cell>
          <cell r="C2009" t="str">
            <v>Canada</v>
          </cell>
          <cell r="D2009" t="str">
            <v>201-250</v>
          </cell>
          <cell r="E2009">
            <v>70.099999999999994</v>
          </cell>
          <cell r="F2009">
            <v>36.700000000000003</v>
          </cell>
          <cell r="G2009">
            <v>67.8</v>
          </cell>
          <cell r="H2009">
            <v>52</v>
          </cell>
          <cell r="I2009" t="str">
            <v>-</v>
          </cell>
          <cell r="J2009">
            <v>28341</v>
          </cell>
          <cell r="K2009">
            <v>16.5</v>
          </cell>
          <cell r="L2009">
            <v>0.17</v>
          </cell>
          <cell r="M2009">
            <v>2.2409722222222221</v>
          </cell>
          <cell r="N2009">
            <v>2016</v>
          </cell>
          <cell r="O2009">
            <v>166</v>
          </cell>
          <cell r="P2009">
            <v>8</v>
          </cell>
        </row>
        <row r="2010">
          <cell r="B2010" t="str">
            <v>Chalmers University of Technology</v>
          </cell>
          <cell r="C2010" t="str">
            <v>Sweden</v>
          </cell>
          <cell r="D2010" t="str">
            <v>201-250</v>
          </cell>
          <cell r="E2010">
            <v>77.599999999999994</v>
          </cell>
          <cell r="F2010">
            <v>35.299999999999997</v>
          </cell>
          <cell r="G2010">
            <v>52.2</v>
          </cell>
          <cell r="H2010">
            <v>79.5</v>
          </cell>
          <cell r="I2010" t="str">
            <v>-</v>
          </cell>
          <cell r="J2010">
            <v>8605</v>
          </cell>
          <cell r="K2010">
            <v>11.6</v>
          </cell>
          <cell r="L2010">
            <v>0.15</v>
          </cell>
          <cell r="M2010" t="str">
            <v>30 : 70</v>
          </cell>
          <cell r="N2010">
            <v>2016</v>
          </cell>
          <cell r="O2010">
            <v>395</v>
          </cell>
          <cell r="P2010">
            <v>9</v>
          </cell>
        </row>
        <row r="2011">
          <cell r="B2011" t="str">
            <v>City University of Hong Kong</v>
          </cell>
          <cell r="C2011" t="str">
            <v>Hong Kong</v>
          </cell>
          <cell r="D2011" t="str">
            <v>201-250</v>
          </cell>
          <cell r="E2011">
            <v>81.599999999999994</v>
          </cell>
          <cell r="F2011">
            <v>26.7</v>
          </cell>
          <cell r="G2011">
            <v>76.8</v>
          </cell>
          <cell r="H2011">
            <v>50.1</v>
          </cell>
          <cell r="I2011" t="str">
            <v>-</v>
          </cell>
          <cell r="J2011">
            <v>10015</v>
          </cell>
          <cell r="K2011">
            <v>7.1</v>
          </cell>
          <cell r="L2011">
            <v>0.28000000000000003</v>
          </cell>
          <cell r="M2011">
            <v>2.1590277777777778</v>
          </cell>
          <cell r="N2011">
            <v>2016</v>
          </cell>
          <cell r="O2011">
            <v>375</v>
          </cell>
          <cell r="P2011">
            <v>4</v>
          </cell>
        </row>
        <row r="2012">
          <cell r="B2012" t="str">
            <v>Copenhagen Business School</v>
          </cell>
          <cell r="C2012" t="str">
            <v>Denmark</v>
          </cell>
          <cell r="D2012" t="str">
            <v>201-250</v>
          </cell>
          <cell r="E2012">
            <v>88.5</v>
          </cell>
          <cell r="F2012">
            <v>26.5</v>
          </cell>
          <cell r="G2012">
            <v>79.400000000000006</v>
          </cell>
          <cell r="H2012">
            <v>35.299999999999997</v>
          </cell>
          <cell r="I2012" t="str">
            <v>-</v>
          </cell>
          <cell r="J2012">
            <v>18293</v>
          </cell>
          <cell r="K2012">
            <v>42.7</v>
          </cell>
          <cell r="L2012">
            <v>0.19</v>
          </cell>
          <cell r="M2012">
            <v>2.036111111111111</v>
          </cell>
          <cell r="N2012">
            <v>2016</v>
          </cell>
          <cell r="O2012" t="e">
            <v>#N/A</v>
          </cell>
          <cell r="P2012" t="e">
            <v>#N/A</v>
          </cell>
        </row>
        <row r="2013">
          <cell r="B2013" t="str">
            <v>Dalhousie University</v>
          </cell>
          <cell r="C2013" t="str">
            <v>Canada</v>
          </cell>
          <cell r="D2013" t="str">
            <v>201-250</v>
          </cell>
          <cell r="E2013">
            <v>78.3</v>
          </cell>
          <cell r="F2013">
            <v>29.4</v>
          </cell>
          <cell r="G2013">
            <v>65.2</v>
          </cell>
          <cell r="H2013">
            <v>50.3</v>
          </cell>
          <cell r="I2013" t="str">
            <v>-</v>
          </cell>
          <cell r="J2013">
            <v>15064</v>
          </cell>
          <cell r="K2013">
            <v>14.4</v>
          </cell>
          <cell r="L2013">
            <v>0.18</v>
          </cell>
          <cell r="M2013">
            <v>2.3229166666666665</v>
          </cell>
          <cell r="N2013">
            <v>2016</v>
          </cell>
          <cell r="O2013">
            <v>284</v>
          </cell>
          <cell r="P2013">
            <v>14</v>
          </cell>
        </row>
        <row r="2014">
          <cell r="B2014" t="str">
            <v>University of Duisburg-Essen</v>
          </cell>
          <cell r="C2014" t="str">
            <v>Germany</v>
          </cell>
          <cell r="D2014" t="str">
            <v>201-250</v>
          </cell>
          <cell r="E2014">
            <v>48.5</v>
          </cell>
          <cell r="F2014">
            <v>27</v>
          </cell>
          <cell r="G2014">
            <v>81.3</v>
          </cell>
          <cell r="H2014">
            <v>82.3</v>
          </cell>
          <cell r="I2014" t="str">
            <v>-</v>
          </cell>
          <cell r="J2014">
            <v>36051</v>
          </cell>
          <cell r="K2014">
            <v>46.6</v>
          </cell>
          <cell r="L2014">
            <v>0.11</v>
          </cell>
          <cell r="M2014">
            <v>2.0770833333333334</v>
          </cell>
          <cell r="N2014">
            <v>2016</v>
          </cell>
          <cell r="O2014">
            <v>303</v>
          </cell>
          <cell r="P2014">
            <v>27</v>
          </cell>
        </row>
        <row r="2015">
          <cell r="B2015" t="str">
            <v>Ã‰cole Normale SupÃ©rieure de Lyon</v>
          </cell>
          <cell r="C2015" t="str">
            <v>France</v>
          </cell>
          <cell r="D2015" t="str">
            <v>201-250</v>
          </cell>
          <cell r="E2015">
            <v>65.599999999999994</v>
          </cell>
          <cell r="F2015">
            <v>30</v>
          </cell>
          <cell r="G2015">
            <v>69</v>
          </cell>
          <cell r="H2015">
            <v>31.7</v>
          </cell>
          <cell r="I2015" t="str">
            <v>-</v>
          </cell>
          <cell r="J2015">
            <v>2218</v>
          </cell>
          <cell r="K2015">
            <v>8</v>
          </cell>
          <cell r="L2015">
            <v>0.14000000000000001</v>
          </cell>
          <cell r="M2015">
            <v>2.0770833333333334</v>
          </cell>
          <cell r="N2015">
            <v>2016</v>
          </cell>
          <cell r="O2015">
            <v>462</v>
          </cell>
          <cell r="P2015">
            <v>18</v>
          </cell>
        </row>
        <row r="2016">
          <cell r="B2016" t="str">
            <v>Florida State University</v>
          </cell>
          <cell r="C2016" t="str">
            <v>United States of America</v>
          </cell>
          <cell r="D2016" t="str">
            <v>201-250</v>
          </cell>
          <cell r="E2016">
            <v>41.6</v>
          </cell>
          <cell r="F2016">
            <v>40.1</v>
          </cell>
          <cell r="G2016">
            <v>64.7</v>
          </cell>
          <cell r="H2016">
            <v>32</v>
          </cell>
          <cell r="I2016" t="str">
            <v>-</v>
          </cell>
          <cell r="J2016">
            <v>41226</v>
          </cell>
          <cell r="K2016">
            <v>31.8</v>
          </cell>
          <cell r="L2016">
            <v>7.0000000000000007E-2</v>
          </cell>
          <cell r="M2016">
            <v>2.3229166666666665</v>
          </cell>
          <cell r="N2016">
            <v>2016</v>
          </cell>
          <cell r="O2016">
            <v>255</v>
          </cell>
          <cell r="P2016">
            <v>102</v>
          </cell>
        </row>
        <row r="2017">
          <cell r="B2017" t="str">
            <v>University of Fribourg</v>
          </cell>
          <cell r="C2017" t="str">
            <v>Switzerland</v>
          </cell>
          <cell r="D2017" t="str">
            <v>201-250</v>
          </cell>
          <cell r="E2017">
            <v>87.4</v>
          </cell>
          <cell r="F2017">
            <v>32.9</v>
          </cell>
          <cell r="G2017">
            <v>64.099999999999994</v>
          </cell>
          <cell r="H2017">
            <v>60.8</v>
          </cell>
          <cell r="I2017" t="str">
            <v>-</v>
          </cell>
          <cell r="J2017">
            <v>10416</v>
          </cell>
          <cell r="K2017">
            <v>46.9</v>
          </cell>
          <cell r="L2017">
            <v>0.19</v>
          </cell>
          <cell r="M2017">
            <v>2.4458333333333333</v>
          </cell>
          <cell r="N2017">
            <v>2016</v>
          </cell>
          <cell r="O2017">
            <v>514</v>
          </cell>
          <cell r="P2017">
            <v>8</v>
          </cell>
        </row>
        <row r="2018">
          <cell r="B2018" t="str">
            <v>Fudan University</v>
          </cell>
          <cell r="C2018" t="str">
            <v>China</v>
          </cell>
          <cell r="D2018" t="str">
            <v>201-250</v>
          </cell>
          <cell r="E2018">
            <v>38.6</v>
          </cell>
          <cell r="F2018">
            <v>30.4</v>
          </cell>
          <cell r="G2018">
            <v>61.1</v>
          </cell>
          <cell r="H2018">
            <v>28</v>
          </cell>
          <cell r="I2018" t="str">
            <v>-</v>
          </cell>
          <cell r="J2018">
            <v>32175</v>
          </cell>
          <cell r="K2018">
            <v>12.2</v>
          </cell>
          <cell r="L2018">
            <v>0.11</v>
          </cell>
          <cell r="M2018">
            <v>2.1180555555555554</v>
          </cell>
          <cell r="N2018">
            <v>2016</v>
          </cell>
          <cell r="O2018">
            <v>189</v>
          </cell>
          <cell r="P2018">
            <v>3</v>
          </cell>
        </row>
        <row r="2019">
          <cell r="B2019" t="str">
            <v>George Washington University</v>
          </cell>
          <cell r="C2019" t="str">
            <v>United States of America</v>
          </cell>
          <cell r="D2019" t="str">
            <v>201-250</v>
          </cell>
          <cell r="E2019">
            <v>48.1</v>
          </cell>
          <cell r="F2019">
            <v>23.5</v>
          </cell>
          <cell r="G2019">
            <v>65.7</v>
          </cell>
          <cell r="H2019">
            <v>29.5</v>
          </cell>
          <cell r="I2019" t="str">
            <v>-</v>
          </cell>
          <cell r="J2019">
            <v>20541</v>
          </cell>
          <cell r="K2019">
            <v>12</v>
          </cell>
          <cell r="L2019">
            <v>0.16</v>
          </cell>
          <cell r="M2019">
            <v>2.3638888888888889</v>
          </cell>
          <cell r="N2019">
            <v>2016</v>
          </cell>
          <cell r="O2019">
            <v>180</v>
          </cell>
          <cell r="P2019">
            <v>79</v>
          </cell>
        </row>
        <row r="2020">
          <cell r="B2020" t="str">
            <v>Goethe University Frankfurt</v>
          </cell>
          <cell r="C2020" t="str">
            <v>Germany</v>
          </cell>
          <cell r="D2020" t="str">
            <v>201-250</v>
          </cell>
          <cell r="E2020">
            <v>60.2</v>
          </cell>
          <cell r="F2020">
            <v>28.6</v>
          </cell>
          <cell r="G2020">
            <v>79.3</v>
          </cell>
          <cell r="H2020">
            <v>38.1</v>
          </cell>
          <cell r="I2020" t="str">
            <v>-</v>
          </cell>
          <cell r="J2020">
            <v>31861</v>
          </cell>
          <cell r="K2020">
            <v>9.3000000000000007</v>
          </cell>
          <cell r="L2020">
            <v>0.15</v>
          </cell>
          <cell r="M2020">
            <v>2.5277777777777777</v>
          </cell>
          <cell r="N2020">
            <v>2016</v>
          </cell>
          <cell r="O2020">
            <v>161</v>
          </cell>
          <cell r="P2020">
            <v>9</v>
          </cell>
        </row>
        <row r="2021">
          <cell r="B2021" t="str">
            <v>University of Hawaiâ€™i at MÄnoa</v>
          </cell>
          <cell r="C2021" t="str">
            <v>Unisted States of America</v>
          </cell>
          <cell r="D2021" t="str">
            <v>201-250</v>
          </cell>
          <cell r="E2021">
            <v>63.4</v>
          </cell>
          <cell r="F2021">
            <v>35.5</v>
          </cell>
          <cell r="G2021">
            <v>67.7</v>
          </cell>
          <cell r="H2021">
            <v>44.7</v>
          </cell>
          <cell r="I2021" t="str">
            <v>-</v>
          </cell>
          <cell r="N2021">
            <v>2016</v>
          </cell>
          <cell r="O2021" t="e">
            <v>#N/A</v>
          </cell>
          <cell r="P2021" t="e">
            <v>#N/A</v>
          </cell>
        </row>
        <row r="2022">
          <cell r="B2022" t="str">
            <v>Hong Kong Polytechnic University</v>
          </cell>
          <cell r="C2022" t="str">
            <v>Hong Kong</v>
          </cell>
          <cell r="D2022" t="str">
            <v>201-250</v>
          </cell>
          <cell r="E2022">
            <v>79</v>
          </cell>
          <cell r="F2022">
            <v>35.200000000000003</v>
          </cell>
          <cell r="G2022">
            <v>63.3</v>
          </cell>
          <cell r="H2022">
            <v>45.1</v>
          </cell>
          <cell r="I2022" t="str">
            <v>-</v>
          </cell>
          <cell r="J2022">
            <v>22064</v>
          </cell>
          <cell r="K2022">
            <v>25.9</v>
          </cell>
          <cell r="L2022">
            <v>0.26</v>
          </cell>
          <cell r="M2022">
            <v>2.1590277777777778</v>
          </cell>
          <cell r="N2022">
            <v>2016</v>
          </cell>
          <cell r="O2022">
            <v>381</v>
          </cell>
          <cell r="P2022">
            <v>5</v>
          </cell>
        </row>
        <row r="2023">
          <cell r="B2023" t="str">
            <v>University of Illinois at Chicago</v>
          </cell>
          <cell r="C2023" t="str">
            <v>United States of America</v>
          </cell>
          <cell r="D2023" t="str">
            <v>201-250</v>
          </cell>
          <cell r="E2023">
            <v>58.1</v>
          </cell>
          <cell r="F2023">
            <v>29.2</v>
          </cell>
          <cell r="G2023">
            <v>63.2</v>
          </cell>
          <cell r="H2023">
            <v>38</v>
          </cell>
          <cell r="I2023" t="str">
            <v>-</v>
          </cell>
          <cell r="J2023">
            <v>24313</v>
          </cell>
          <cell r="K2023">
            <v>9.1999999999999993</v>
          </cell>
          <cell r="L2023">
            <v>0.17</v>
          </cell>
          <cell r="M2023">
            <v>2.2409722222222221</v>
          </cell>
          <cell r="N2023">
            <v>2016</v>
          </cell>
          <cell r="O2023">
            <v>218</v>
          </cell>
          <cell r="P2023">
            <v>90</v>
          </cell>
        </row>
        <row r="2024">
          <cell r="B2024" t="str">
            <v>Indiana University</v>
          </cell>
          <cell r="C2024" t="str">
            <v>United States of America</v>
          </cell>
          <cell r="D2024" t="str">
            <v>201-250</v>
          </cell>
          <cell r="E2024">
            <v>41.2</v>
          </cell>
          <cell r="F2024">
            <v>27.3</v>
          </cell>
          <cell r="G2024">
            <v>74.8</v>
          </cell>
          <cell r="H2024" t="str">
            <v>-</v>
          </cell>
          <cell r="I2024" t="str">
            <v>-</v>
          </cell>
          <cell r="J2024">
            <v>62468</v>
          </cell>
          <cell r="K2024">
            <v>13.6</v>
          </cell>
          <cell r="L2024">
            <v>0.13</v>
          </cell>
          <cell r="M2024">
            <v>2.2409722222222221</v>
          </cell>
          <cell r="N2024">
            <v>2016</v>
          </cell>
          <cell r="O2024" t="e">
            <v>#N/A</v>
          </cell>
          <cell r="P2024" t="e">
            <v>#N/A</v>
          </cell>
        </row>
        <row r="2025">
          <cell r="B2025" t="str">
            <v>University of Iowa</v>
          </cell>
          <cell r="C2025" t="str">
            <v>United States of America</v>
          </cell>
          <cell r="D2025" t="str">
            <v>201-250</v>
          </cell>
          <cell r="E2025">
            <v>32.299999999999997</v>
          </cell>
          <cell r="F2025">
            <v>26.7</v>
          </cell>
          <cell r="G2025">
            <v>73.5</v>
          </cell>
          <cell r="H2025">
            <v>54.1</v>
          </cell>
          <cell r="I2025" t="str">
            <v>-</v>
          </cell>
          <cell r="J2025">
            <v>27526</v>
          </cell>
          <cell r="K2025">
            <v>11.6</v>
          </cell>
          <cell r="L2025">
            <v>0.11</v>
          </cell>
          <cell r="M2025">
            <v>2.2000000000000002</v>
          </cell>
          <cell r="N2025">
            <v>2016</v>
          </cell>
          <cell r="O2025">
            <v>125</v>
          </cell>
          <cell r="P2025">
            <v>63</v>
          </cell>
        </row>
        <row r="2026">
          <cell r="B2026" t="str">
            <v>Johannes Gutenberg University of Mainz</v>
          </cell>
          <cell r="C2026" t="str">
            <v>Germany</v>
          </cell>
          <cell r="D2026" t="str">
            <v>201-250</v>
          </cell>
          <cell r="E2026">
            <v>53.3</v>
          </cell>
          <cell r="F2026">
            <v>21.7</v>
          </cell>
          <cell r="G2026">
            <v>72.599999999999994</v>
          </cell>
          <cell r="H2026">
            <v>70.7</v>
          </cell>
          <cell r="I2026" t="str">
            <v>-</v>
          </cell>
          <cell r="J2026">
            <v>35609</v>
          </cell>
          <cell r="K2026">
            <v>32.6</v>
          </cell>
          <cell r="L2026">
            <v>0.1</v>
          </cell>
          <cell r="M2026">
            <v>2.4458333333333333</v>
          </cell>
          <cell r="N2026">
            <v>2016</v>
          </cell>
          <cell r="O2026">
            <v>249</v>
          </cell>
          <cell r="P2026">
            <v>20</v>
          </cell>
        </row>
        <row r="2027">
          <cell r="B2027" t="str">
            <v>Joseph Fourier University</v>
          </cell>
          <cell r="C2027" t="str">
            <v>France</v>
          </cell>
          <cell r="D2027" t="str">
            <v>201-250</v>
          </cell>
          <cell r="E2027">
            <v>58.6</v>
          </cell>
          <cell r="F2027">
            <v>21.6</v>
          </cell>
          <cell r="G2027">
            <v>83.2</v>
          </cell>
          <cell r="H2027">
            <v>31.6</v>
          </cell>
          <cell r="I2027" t="str">
            <v>-</v>
          </cell>
          <cell r="J2027">
            <v>16130</v>
          </cell>
          <cell r="K2027">
            <v>12.1</v>
          </cell>
          <cell r="L2027">
            <v>0.13</v>
          </cell>
          <cell r="N2027">
            <v>2016</v>
          </cell>
          <cell r="O2027">
            <v>221</v>
          </cell>
          <cell r="P2027">
            <v>8</v>
          </cell>
        </row>
        <row r="2028">
          <cell r="B2028" t="str">
            <v>University of Kiel</v>
          </cell>
          <cell r="C2028" t="str">
            <v>Germany</v>
          </cell>
          <cell r="D2028" t="str">
            <v>201-250</v>
          </cell>
          <cell r="E2028">
            <v>49.4</v>
          </cell>
          <cell r="F2028">
            <v>20.5</v>
          </cell>
          <cell r="G2028">
            <v>89.5</v>
          </cell>
          <cell r="H2028" t="str">
            <v>-</v>
          </cell>
          <cell r="I2028" t="str">
            <v>-</v>
          </cell>
          <cell r="J2028">
            <v>24444</v>
          </cell>
          <cell r="K2028">
            <v>23.8</v>
          </cell>
          <cell r="L2028">
            <v>0.08</v>
          </cell>
          <cell r="M2028">
            <v>2.2409722222222221</v>
          </cell>
          <cell r="N2028">
            <v>2016</v>
          </cell>
          <cell r="O2028">
            <v>232</v>
          </cell>
          <cell r="P2028">
            <v>17</v>
          </cell>
        </row>
        <row r="2029">
          <cell r="B2029" t="str">
            <v>Laval University</v>
          </cell>
          <cell r="C2029" t="str">
            <v>Canada</v>
          </cell>
          <cell r="D2029" t="str">
            <v>201-250</v>
          </cell>
          <cell r="E2029">
            <v>63.8</v>
          </cell>
          <cell r="F2029">
            <v>31.7</v>
          </cell>
          <cell r="G2029">
            <v>62.2</v>
          </cell>
          <cell r="H2029">
            <v>57.5</v>
          </cell>
          <cell r="I2029" t="str">
            <v>-</v>
          </cell>
          <cell r="J2029">
            <v>27227</v>
          </cell>
          <cell r="K2029">
            <v>16.2</v>
          </cell>
          <cell r="L2029">
            <v>0.12</v>
          </cell>
          <cell r="N2029">
            <v>2016</v>
          </cell>
          <cell r="O2029">
            <v>226</v>
          </cell>
          <cell r="P2029">
            <v>11</v>
          </cell>
        </row>
        <row r="2030">
          <cell r="B2030" t="str">
            <v>Medical University of Vienna</v>
          </cell>
          <cell r="C2030" t="str">
            <v>Austria</v>
          </cell>
          <cell r="D2030" t="str">
            <v>201-250</v>
          </cell>
          <cell r="E2030">
            <v>81.7</v>
          </cell>
          <cell r="F2030">
            <v>14.6</v>
          </cell>
          <cell r="G2030">
            <v>89.1</v>
          </cell>
          <cell r="H2030">
            <v>33.9</v>
          </cell>
          <cell r="I2030" t="str">
            <v>-</v>
          </cell>
          <cell r="J2030">
            <v>7426</v>
          </cell>
          <cell r="K2030">
            <v>2.9</v>
          </cell>
          <cell r="L2030">
            <v>0.28000000000000003</v>
          </cell>
          <cell r="M2030">
            <v>2.1180555555555554</v>
          </cell>
          <cell r="N2030">
            <v>2016</v>
          </cell>
          <cell r="O2030">
            <v>310</v>
          </cell>
          <cell r="P2030">
            <v>2</v>
          </cell>
        </row>
        <row r="2031">
          <cell r="B2031" t="str">
            <v>Northeastern University</v>
          </cell>
          <cell r="C2031" t="str">
            <v>United States of America</v>
          </cell>
          <cell r="D2031" t="str">
            <v>201-250</v>
          </cell>
          <cell r="E2031">
            <v>58.7</v>
          </cell>
          <cell r="F2031">
            <v>20.6</v>
          </cell>
          <cell r="G2031">
            <v>84</v>
          </cell>
          <cell r="H2031">
            <v>32.9</v>
          </cell>
          <cell r="I2031" t="str">
            <v>-</v>
          </cell>
          <cell r="J2031">
            <v>18539</v>
          </cell>
          <cell r="K2031">
            <v>15.1</v>
          </cell>
          <cell r="L2031">
            <v>0.26</v>
          </cell>
          <cell r="M2031">
            <v>2.1180555555555554</v>
          </cell>
          <cell r="N2031">
            <v>2016</v>
          </cell>
          <cell r="O2031">
            <v>318</v>
          </cell>
          <cell r="P2031">
            <v>119</v>
          </cell>
        </row>
        <row r="2032">
          <cell r="B2032" t="str">
            <v>Oregon Health and Science University</v>
          </cell>
          <cell r="C2032" t="str">
            <v>United States of America</v>
          </cell>
          <cell r="D2032" t="str">
            <v>201-250</v>
          </cell>
          <cell r="E2032">
            <v>21.4</v>
          </cell>
          <cell r="F2032">
            <v>15.7</v>
          </cell>
          <cell r="G2032">
            <v>96</v>
          </cell>
          <cell r="H2032">
            <v>44.6</v>
          </cell>
          <cell r="I2032" t="str">
            <v>-</v>
          </cell>
          <cell r="J2032">
            <v>2838</v>
          </cell>
          <cell r="K2032">
            <v>1.1000000000000001</v>
          </cell>
          <cell r="L2032">
            <v>0.03</v>
          </cell>
          <cell r="M2032">
            <v>2.7326388888888888</v>
          </cell>
          <cell r="N2032">
            <v>2016</v>
          </cell>
          <cell r="O2032" t="e">
            <v>#N/A</v>
          </cell>
          <cell r="P2032" t="e">
            <v>#N/A</v>
          </cell>
        </row>
        <row r="2033">
          <cell r="B2033" t="str">
            <v>University of Otago</v>
          </cell>
          <cell r="C2033" t="str">
            <v>New Zealand</v>
          </cell>
          <cell r="D2033" t="str">
            <v>201-250</v>
          </cell>
          <cell r="E2033">
            <v>89.9</v>
          </cell>
          <cell r="F2033">
            <v>30.5</v>
          </cell>
          <cell r="G2033">
            <v>74.900000000000006</v>
          </cell>
          <cell r="H2033">
            <v>31.5</v>
          </cell>
          <cell r="I2033" t="str">
            <v>-</v>
          </cell>
          <cell r="J2033">
            <v>18600</v>
          </cell>
          <cell r="K2033">
            <v>20.3</v>
          </cell>
          <cell r="L2033">
            <v>0.21</v>
          </cell>
          <cell r="M2033">
            <v>2.4048611111111109</v>
          </cell>
          <cell r="N2033">
            <v>2016</v>
          </cell>
          <cell r="O2033">
            <v>355</v>
          </cell>
          <cell r="P2033">
            <v>2</v>
          </cell>
        </row>
        <row r="2034">
          <cell r="B2034" t="str">
            <v>University of Ottawa</v>
          </cell>
          <cell r="C2034" t="str">
            <v>Canada</v>
          </cell>
          <cell r="D2034" t="str">
            <v>201-250</v>
          </cell>
          <cell r="E2034">
            <v>69.900000000000006</v>
          </cell>
          <cell r="F2034">
            <v>36.700000000000003</v>
          </cell>
          <cell r="G2034">
            <v>61.5</v>
          </cell>
          <cell r="H2034">
            <v>41.5</v>
          </cell>
          <cell r="I2034" t="str">
            <v>-</v>
          </cell>
          <cell r="J2034">
            <v>36733</v>
          </cell>
          <cell r="K2034">
            <v>26.3</v>
          </cell>
          <cell r="L2034">
            <v>0.15</v>
          </cell>
          <cell r="M2034">
            <v>2.5277777777777777</v>
          </cell>
          <cell r="N2034">
            <v>2016</v>
          </cell>
          <cell r="O2034">
            <v>212</v>
          </cell>
          <cell r="P2034">
            <v>9</v>
          </cell>
        </row>
        <row r="2035">
          <cell r="B2035" t="str">
            <v>Paris Descartes University</v>
          </cell>
          <cell r="C2035" t="str">
            <v>France</v>
          </cell>
          <cell r="D2035" t="str">
            <v>201-250</v>
          </cell>
          <cell r="E2035">
            <v>49.1</v>
          </cell>
          <cell r="F2035">
            <v>28.8</v>
          </cell>
          <cell r="G2035">
            <v>83.3</v>
          </cell>
          <cell r="H2035">
            <v>29</v>
          </cell>
          <cell r="I2035" t="str">
            <v>-</v>
          </cell>
          <cell r="J2035">
            <v>34691</v>
          </cell>
          <cell r="K2035">
            <v>26.9</v>
          </cell>
          <cell r="L2035">
            <v>0.15</v>
          </cell>
          <cell r="M2035">
            <v>2.6506944444444445</v>
          </cell>
          <cell r="N2035">
            <v>2016</v>
          </cell>
          <cell r="O2035">
            <v>245</v>
          </cell>
          <cell r="P2035">
            <v>13</v>
          </cell>
        </row>
        <row r="2036">
          <cell r="B2036" t="str">
            <v>Peter the Great St Petersburg Polytechnic University</v>
          </cell>
          <cell r="C2036" t="str">
            <v>Russian Federation</v>
          </cell>
          <cell r="D2036" t="str">
            <v>201-250</v>
          </cell>
          <cell r="E2036">
            <v>29.6</v>
          </cell>
          <cell r="F2036">
            <v>17.8</v>
          </cell>
          <cell r="G2036">
            <v>97.4</v>
          </cell>
          <cell r="H2036">
            <v>42.5</v>
          </cell>
          <cell r="I2036" t="str">
            <v>-</v>
          </cell>
          <cell r="J2036">
            <v>17155</v>
          </cell>
          <cell r="K2036">
            <v>7.2</v>
          </cell>
          <cell r="L2036">
            <v>0.08</v>
          </cell>
          <cell r="M2036" t="str">
            <v>40 : 60</v>
          </cell>
          <cell r="N2036">
            <v>2016</v>
          </cell>
          <cell r="O2036" t="e">
            <v>#N/A</v>
          </cell>
          <cell r="P2036" t="e">
            <v>#N/A</v>
          </cell>
        </row>
        <row r="2037">
          <cell r="B2037" t="str">
            <v>Polytechnic University of Milan</v>
          </cell>
          <cell r="C2037" t="str">
            <v>Italy</v>
          </cell>
          <cell r="D2037" t="str">
            <v>201-250</v>
          </cell>
          <cell r="E2037">
            <v>48.8</v>
          </cell>
          <cell r="F2037">
            <v>31.7</v>
          </cell>
          <cell r="G2037">
            <v>76.3</v>
          </cell>
          <cell r="H2037">
            <v>66.3</v>
          </cell>
          <cell r="I2037" t="str">
            <v>-</v>
          </cell>
          <cell r="J2037">
            <v>30025</v>
          </cell>
          <cell r="K2037">
            <v>22.2</v>
          </cell>
          <cell r="L2037">
            <v>0.12</v>
          </cell>
          <cell r="M2037" t="str">
            <v>34 : 66</v>
          </cell>
          <cell r="N2037">
            <v>2016</v>
          </cell>
          <cell r="O2037">
            <v>389</v>
          </cell>
          <cell r="P2037">
            <v>19</v>
          </cell>
        </row>
        <row r="2038">
          <cell r="B2038" t="str">
            <v>Royal Veterinary College</v>
          </cell>
          <cell r="C2038" t="str">
            <v>United Kingdom</v>
          </cell>
          <cell r="D2038" t="str">
            <v>201-250</v>
          </cell>
          <cell r="E2038">
            <v>81.7</v>
          </cell>
          <cell r="F2038">
            <v>27.8</v>
          </cell>
          <cell r="G2038">
            <v>74.900000000000006</v>
          </cell>
          <cell r="H2038">
            <v>45.5</v>
          </cell>
          <cell r="I2038" t="str">
            <v>-</v>
          </cell>
          <cell r="J2038">
            <v>1819</v>
          </cell>
          <cell r="K2038">
            <v>10.9</v>
          </cell>
          <cell r="L2038">
            <v>0.18</v>
          </cell>
          <cell r="M2038">
            <v>3.2243055555555555</v>
          </cell>
          <cell r="N2038">
            <v>2016</v>
          </cell>
          <cell r="O2038" t="e">
            <v>#N/A</v>
          </cell>
          <cell r="P2038" t="e">
            <v>#N/A</v>
          </cell>
        </row>
        <row r="2039">
          <cell r="B2039" t="str">
            <v>Rush University</v>
          </cell>
          <cell r="C2039" t="str">
            <v>United States of America</v>
          </cell>
          <cell r="D2039" t="str">
            <v>201-250</v>
          </cell>
          <cell r="E2039">
            <v>21.8</v>
          </cell>
          <cell r="F2039">
            <v>17.399999999999999</v>
          </cell>
          <cell r="G2039">
            <v>88.9</v>
          </cell>
          <cell r="H2039">
            <v>45.4</v>
          </cell>
          <cell r="I2039" t="str">
            <v>-</v>
          </cell>
          <cell r="J2039">
            <v>1855</v>
          </cell>
          <cell r="K2039">
            <v>2.1</v>
          </cell>
          <cell r="L2039">
            <v>0.05</v>
          </cell>
          <cell r="M2039">
            <v>2.9784722222222224</v>
          </cell>
          <cell r="N2039">
            <v>2016</v>
          </cell>
          <cell r="O2039">
            <v>321</v>
          </cell>
          <cell r="P2039">
            <v>122</v>
          </cell>
        </row>
        <row r="2040">
          <cell r="B2040" t="str">
            <v>Sapienza University of Rome</v>
          </cell>
          <cell r="C2040" t="str">
            <v>Italy</v>
          </cell>
          <cell r="D2040" t="str">
            <v>201-250</v>
          </cell>
          <cell r="E2040">
            <v>34.700000000000003</v>
          </cell>
          <cell r="F2040">
            <v>37.299999999999997</v>
          </cell>
          <cell r="G2040">
            <v>61.5</v>
          </cell>
          <cell r="H2040">
            <v>32.6</v>
          </cell>
          <cell r="I2040" t="str">
            <v>-</v>
          </cell>
          <cell r="J2040">
            <v>120986</v>
          </cell>
          <cell r="K2040">
            <v>32.299999999999997</v>
          </cell>
          <cell r="L2040">
            <v>7.0000000000000007E-2</v>
          </cell>
          <cell r="M2040">
            <v>2.4868055555555557</v>
          </cell>
          <cell r="N2040">
            <v>2016</v>
          </cell>
          <cell r="O2040">
            <v>77</v>
          </cell>
          <cell r="P2040">
            <v>1</v>
          </cell>
        </row>
        <row r="2041">
          <cell r="B2041" t="str">
            <v>University of Science and Technology of China</v>
          </cell>
          <cell r="C2041" t="str">
            <v>China</v>
          </cell>
          <cell r="D2041" t="str">
            <v>201-250</v>
          </cell>
          <cell r="E2041">
            <v>21.4</v>
          </cell>
          <cell r="F2041">
            <v>36.6</v>
          </cell>
          <cell r="G2041">
            <v>67.2</v>
          </cell>
          <cell r="H2041">
            <v>80.3</v>
          </cell>
          <cell r="I2041" t="str">
            <v>-</v>
          </cell>
          <cell r="J2041">
            <v>14290</v>
          </cell>
          <cell r="K2041">
            <v>7.9</v>
          </cell>
          <cell r="L2041">
            <v>0.02</v>
          </cell>
          <cell r="N2041">
            <v>2016</v>
          </cell>
          <cell r="O2041">
            <v>270</v>
          </cell>
          <cell r="P2041">
            <v>8</v>
          </cell>
        </row>
        <row r="2042">
          <cell r="B2042" t="str">
            <v>University of South Florida</v>
          </cell>
          <cell r="C2042" t="str">
            <v>United States of America</v>
          </cell>
          <cell r="D2042" t="str">
            <v>201-250</v>
          </cell>
          <cell r="E2042">
            <v>45.1</v>
          </cell>
          <cell r="F2042">
            <v>35.700000000000003</v>
          </cell>
          <cell r="G2042">
            <v>73.400000000000006</v>
          </cell>
          <cell r="H2042">
            <v>99.8</v>
          </cell>
          <cell r="I2042" t="str">
            <v>-</v>
          </cell>
          <cell r="J2042">
            <v>31424</v>
          </cell>
          <cell r="K2042">
            <v>21.5</v>
          </cell>
          <cell r="L2042">
            <v>0.1</v>
          </cell>
          <cell r="N2042">
            <v>2016</v>
          </cell>
          <cell r="O2042" t="e">
            <v>#N/A</v>
          </cell>
          <cell r="P2042" t="e">
            <v>#N/A</v>
          </cell>
        </row>
        <row r="2043">
          <cell r="B2043" t="str">
            <v>Stony Brook University</v>
          </cell>
          <cell r="C2043" t="str">
            <v>United States of America</v>
          </cell>
          <cell r="D2043" t="str">
            <v>201-250</v>
          </cell>
          <cell r="E2043">
            <v>53.2</v>
          </cell>
          <cell r="F2043">
            <v>22</v>
          </cell>
          <cell r="G2043">
            <v>83</v>
          </cell>
          <cell r="H2043">
            <v>33.4</v>
          </cell>
          <cell r="I2043" t="str">
            <v>-</v>
          </cell>
          <cell r="J2043">
            <v>21908</v>
          </cell>
          <cell r="K2043">
            <v>10.9</v>
          </cell>
          <cell r="L2043">
            <v>0.24</v>
          </cell>
          <cell r="M2043">
            <v>2.1180555555555554</v>
          </cell>
          <cell r="N2043">
            <v>2016</v>
          </cell>
          <cell r="O2043">
            <v>89</v>
          </cell>
          <cell r="P2043">
            <v>54</v>
          </cell>
        </row>
        <row r="2044">
          <cell r="B2044" t="str">
            <v>University of Stuttgart</v>
          </cell>
          <cell r="C2044" t="str">
            <v>Germany</v>
          </cell>
          <cell r="D2044" t="str">
            <v>201-250</v>
          </cell>
          <cell r="E2044">
            <v>52.7</v>
          </cell>
          <cell r="F2044">
            <v>44.5</v>
          </cell>
          <cell r="G2044">
            <v>55.7</v>
          </cell>
          <cell r="H2044">
            <v>99.8</v>
          </cell>
          <cell r="I2044" t="str">
            <v>-</v>
          </cell>
          <cell r="J2044">
            <v>24099</v>
          </cell>
          <cell r="K2044">
            <v>45.4</v>
          </cell>
          <cell r="L2044">
            <v>0.2</v>
          </cell>
          <cell r="M2044" t="str">
            <v>31 : 69</v>
          </cell>
          <cell r="N2044">
            <v>2016</v>
          </cell>
          <cell r="O2044">
            <v>300</v>
          </cell>
          <cell r="P2044">
            <v>26</v>
          </cell>
        </row>
        <row r="2045">
          <cell r="B2045" t="str">
            <v>Swedish University of Agricultural Sciences</v>
          </cell>
          <cell r="C2045" t="str">
            <v>Sweden</v>
          </cell>
          <cell r="D2045" t="str">
            <v>201-250</v>
          </cell>
          <cell r="E2045">
            <v>40.1</v>
          </cell>
          <cell r="F2045">
            <v>32.799999999999997</v>
          </cell>
          <cell r="G2045">
            <v>68.099999999999994</v>
          </cell>
          <cell r="H2045">
            <v>99.9</v>
          </cell>
          <cell r="I2045" t="str">
            <v>-</v>
          </cell>
          <cell r="J2045">
            <v>3879</v>
          </cell>
          <cell r="K2045">
            <v>4.5999999999999996</v>
          </cell>
          <cell r="M2045">
            <v>2.8145833333333332</v>
          </cell>
          <cell r="N2045">
            <v>2016</v>
          </cell>
          <cell r="O2045">
            <v>433</v>
          </cell>
          <cell r="P2045">
            <v>10</v>
          </cell>
        </row>
        <row r="2046">
          <cell r="B2046" t="str">
            <v>Technical University of Darmstadt</v>
          </cell>
          <cell r="C2046" t="str">
            <v>Germany</v>
          </cell>
          <cell r="D2046" t="str">
            <v>201-250</v>
          </cell>
          <cell r="E2046">
            <v>54.4</v>
          </cell>
          <cell r="F2046">
            <v>43.2</v>
          </cell>
          <cell r="G2046">
            <v>51.1</v>
          </cell>
          <cell r="H2046">
            <v>99.1</v>
          </cell>
          <cell r="I2046" t="str">
            <v>-</v>
          </cell>
          <cell r="J2046">
            <v>20300</v>
          </cell>
          <cell r="K2046">
            <v>53.6</v>
          </cell>
          <cell r="L2046">
            <v>0.18</v>
          </cell>
          <cell r="M2046" t="str">
            <v>28 : 72</v>
          </cell>
          <cell r="N2046">
            <v>2016</v>
          </cell>
          <cell r="O2046" t="e">
            <v>#N/A</v>
          </cell>
          <cell r="P2046" t="e">
            <v>#N/A</v>
          </cell>
        </row>
        <row r="2047">
          <cell r="B2047" t="str">
            <v>University of Technology Sydney</v>
          </cell>
          <cell r="C2047" t="str">
            <v>Australia</v>
          </cell>
          <cell r="D2047" t="str">
            <v>201-250</v>
          </cell>
          <cell r="E2047">
            <v>90.1</v>
          </cell>
          <cell r="F2047">
            <v>35.1</v>
          </cell>
          <cell r="G2047">
            <v>66.900000000000006</v>
          </cell>
          <cell r="H2047">
            <v>42.3</v>
          </cell>
          <cell r="I2047" t="str">
            <v>-</v>
          </cell>
          <cell r="J2047">
            <v>24519</v>
          </cell>
          <cell r="K2047">
            <v>44.1</v>
          </cell>
          <cell r="L2047">
            <v>0.31</v>
          </cell>
          <cell r="M2047">
            <v>2.2409722222222221</v>
          </cell>
          <cell r="N2047">
            <v>2016</v>
          </cell>
          <cell r="O2047" t="e">
            <v>#N/A</v>
          </cell>
          <cell r="P2047" t="e">
            <v>#N/A</v>
          </cell>
        </row>
        <row r="2048">
          <cell r="B2048" t="str">
            <v>Tel Aviv University</v>
          </cell>
          <cell r="C2048" t="str">
            <v>Israel</v>
          </cell>
          <cell r="D2048" t="str">
            <v>201-250</v>
          </cell>
          <cell r="E2048">
            <v>47.5</v>
          </cell>
          <cell r="F2048">
            <v>50.5</v>
          </cell>
          <cell r="G2048">
            <v>49.2</v>
          </cell>
          <cell r="H2048">
            <v>42.9</v>
          </cell>
          <cell r="I2048" t="str">
            <v>-</v>
          </cell>
          <cell r="J2048">
            <v>23977</v>
          </cell>
          <cell r="K2048">
            <v>24.4</v>
          </cell>
          <cell r="L2048">
            <v>0.04</v>
          </cell>
          <cell r="N2048">
            <v>2016</v>
          </cell>
          <cell r="O2048">
            <v>56</v>
          </cell>
          <cell r="P2048">
            <v>4</v>
          </cell>
        </row>
        <row r="2049">
          <cell r="B2049" t="str">
            <v>University of Texas at Dallas</v>
          </cell>
          <cell r="C2049" t="str">
            <v>United States of America</v>
          </cell>
          <cell r="D2049" t="str">
            <v>201-250</v>
          </cell>
          <cell r="E2049">
            <v>52.3</v>
          </cell>
          <cell r="F2049">
            <v>26.7</v>
          </cell>
          <cell r="G2049">
            <v>86.8</v>
          </cell>
          <cell r="H2049">
            <v>41.8</v>
          </cell>
          <cell r="I2049" t="str">
            <v>-</v>
          </cell>
          <cell r="J2049">
            <v>16306</v>
          </cell>
          <cell r="K2049">
            <v>22.8</v>
          </cell>
          <cell r="L2049">
            <v>0.23</v>
          </cell>
          <cell r="M2049">
            <v>1.8722222222222222</v>
          </cell>
          <cell r="N2049">
            <v>2016</v>
          </cell>
          <cell r="O2049">
            <v>143</v>
          </cell>
          <cell r="P2049">
            <v>67</v>
          </cell>
        </row>
        <row r="2050">
          <cell r="B2050" t="str">
            <v>Tilburg University</v>
          </cell>
          <cell r="C2050" t="str">
            <v>Netherlands</v>
          </cell>
          <cell r="D2050" t="str">
            <v>201-250</v>
          </cell>
          <cell r="E2050">
            <v>71.599999999999994</v>
          </cell>
          <cell r="F2050">
            <v>47.1</v>
          </cell>
          <cell r="G2050">
            <v>51.5</v>
          </cell>
          <cell r="H2050">
            <v>57.4</v>
          </cell>
          <cell r="I2050" t="str">
            <v>-</v>
          </cell>
          <cell r="J2050">
            <v>7576</v>
          </cell>
          <cell r="K2050">
            <v>22.4</v>
          </cell>
          <cell r="L2050">
            <v>0.1</v>
          </cell>
          <cell r="M2050">
            <v>2.0770833333333334</v>
          </cell>
          <cell r="N2050">
            <v>2016</v>
          </cell>
          <cell r="O2050">
            <v>614</v>
          </cell>
          <cell r="P2050">
            <v>13</v>
          </cell>
        </row>
        <row r="2051">
          <cell r="B2051" t="str">
            <v>Tohoku University</v>
          </cell>
          <cell r="C2051" t="str">
            <v>Japan</v>
          </cell>
          <cell r="D2051" t="str">
            <v>201-250</v>
          </cell>
          <cell r="E2051">
            <v>29.3</v>
          </cell>
          <cell r="F2051">
            <v>42.7</v>
          </cell>
          <cell r="G2051">
            <v>49.4</v>
          </cell>
          <cell r="H2051">
            <v>74.7</v>
          </cell>
          <cell r="I2051" t="str">
            <v>-</v>
          </cell>
          <cell r="J2051">
            <v>17200</v>
          </cell>
          <cell r="K2051">
            <v>5</v>
          </cell>
          <cell r="L2051">
            <v>7.0000000000000007E-2</v>
          </cell>
          <cell r="M2051" t="str">
            <v>25 : 75</v>
          </cell>
          <cell r="N2051">
            <v>2016</v>
          </cell>
          <cell r="O2051">
            <v>79</v>
          </cell>
          <cell r="P2051">
            <v>5</v>
          </cell>
        </row>
        <row r="2052">
          <cell r="B2052" t="str">
            <v>Tokyo Institute of Technology</v>
          </cell>
          <cell r="C2052" t="str">
            <v>Japan</v>
          </cell>
          <cell r="D2052" t="str">
            <v>201-250</v>
          </cell>
          <cell r="E2052">
            <v>31.9</v>
          </cell>
          <cell r="F2052">
            <v>47.6</v>
          </cell>
          <cell r="G2052">
            <v>42.2</v>
          </cell>
          <cell r="H2052">
            <v>70.900000000000006</v>
          </cell>
          <cell r="I2052" t="str">
            <v>-</v>
          </cell>
          <cell r="J2052">
            <v>9586</v>
          </cell>
          <cell r="K2052">
            <v>7.3</v>
          </cell>
          <cell r="L2052">
            <v>0.13</v>
          </cell>
          <cell r="M2052">
            <v>0.6020833333333333</v>
          </cell>
          <cell r="N2052">
            <v>2016</v>
          </cell>
          <cell r="O2052">
            <v>96</v>
          </cell>
          <cell r="P2052">
            <v>8</v>
          </cell>
        </row>
        <row r="2053">
          <cell r="B2053" t="str">
            <v>University of Victoria</v>
          </cell>
          <cell r="C2053" t="str">
            <v>Canada</v>
          </cell>
          <cell r="D2053" t="str">
            <v>201-250</v>
          </cell>
          <cell r="E2053">
            <v>70.2</v>
          </cell>
          <cell r="F2053">
            <v>30</v>
          </cell>
          <cell r="G2053">
            <v>79</v>
          </cell>
          <cell r="H2053">
            <v>36.6</v>
          </cell>
          <cell r="I2053" t="str">
            <v>-</v>
          </cell>
          <cell r="J2053">
            <v>17581</v>
          </cell>
          <cell r="K2053">
            <v>21.5</v>
          </cell>
          <cell r="L2053">
            <v>0.11</v>
          </cell>
          <cell r="M2053">
            <v>2.3638888888888889</v>
          </cell>
          <cell r="N2053">
            <v>2016</v>
          </cell>
          <cell r="O2053">
            <v>377</v>
          </cell>
          <cell r="P2053">
            <v>16</v>
          </cell>
        </row>
        <row r="2054">
          <cell r="B2054" t="str">
            <v>Wake Forest University</v>
          </cell>
          <cell r="C2054" t="str">
            <v>United States of America</v>
          </cell>
          <cell r="D2054" t="str">
            <v>201-250</v>
          </cell>
          <cell r="E2054">
            <v>24.2</v>
          </cell>
          <cell r="F2054">
            <v>19.5</v>
          </cell>
          <cell r="G2054">
            <v>94.8</v>
          </cell>
          <cell r="H2054">
            <v>42.5</v>
          </cell>
          <cell r="I2054" t="str">
            <v>-</v>
          </cell>
          <cell r="J2054">
            <v>7326</v>
          </cell>
          <cell r="K2054">
            <v>4.5999999999999996</v>
          </cell>
          <cell r="L2054">
            <v>0.05</v>
          </cell>
          <cell r="M2054">
            <v>2.1590277777777778</v>
          </cell>
          <cell r="N2054">
            <v>2016</v>
          </cell>
          <cell r="O2054">
            <v>145</v>
          </cell>
          <cell r="P2054">
            <v>68</v>
          </cell>
        </row>
        <row r="2055">
          <cell r="B2055" t="str">
            <v>University of Western Ontario</v>
          </cell>
          <cell r="C2055" t="str">
            <v>Canada</v>
          </cell>
          <cell r="D2055" t="str">
            <v>201-250</v>
          </cell>
          <cell r="E2055">
            <v>73.599999999999994</v>
          </cell>
          <cell r="F2055">
            <v>32.4</v>
          </cell>
          <cell r="G2055">
            <v>59</v>
          </cell>
          <cell r="H2055">
            <v>59.7</v>
          </cell>
          <cell r="I2055" t="str">
            <v>-</v>
          </cell>
          <cell r="J2055">
            <v>27387</v>
          </cell>
          <cell r="K2055">
            <v>20.7</v>
          </cell>
          <cell r="L2055">
            <v>0.16</v>
          </cell>
          <cell r="M2055">
            <v>2.2819444444444446</v>
          </cell>
          <cell r="N2055">
            <v>2016</v>
          </cell>
          <cell r="O2055" t="e">
            <v>#N/A</v>
          </cell>
          <cell r="P2055" t="e">
            <v>#N/A</v>
          </cell>
        </row>
        <row r="2056">
          <cell r="B2056" t="str">
            <v>William &amp; Mary</v>
          </cell>
          <cell r="C2056" t="str">
            <v>United States of America</v>
          </cell>
          <cell r="D2056" t="str">
            <v>201-250</v>
          </cell>
          <cell r="E2056">
            <v>26.6</v>
          </cell>
          <cell r="F2056">
            <v>17.5</v>
          </cell>
          <cell r="G2056">
            <v>85</v>
          </cell>
          <cell r="H2056">
            <v>29.1</v>
          </cell>
          <cell r="I2056" t="str">
            <v>-</v>
          </cell>
          <cell r="J2056">
            <v>7867</v>
          </cell>
          <cell r="K2056">
            <v>11.8</v>
          </cell>
          <cell r="L2056">
            <v>7.0000000000000007E-2</v>
          </cell>
          <cell r="M2056">
            <v>2.2819444444444446</v>
          </cell>
          <cell r="N2056">
            <v>2016</v>
          </cell>
          <cell r="O2056" t="e">
            <v>#N/A</v>
          </cell>
          <cell r="P2056" t="e">
            <v>#N/A</v>
          </cell>
        </row>
        <row r="2057">
          <cell r="B2057" t="str">
            <v>University of the Witwatersrand</v>
          </cell>
          <cell r="C2057" t="str">
            <v>South Africa</v>
          </cell>
          <cell r="D2057" t="str">
            <v>201-250</v>
          </cell>
          <cell r="E2057">
            <v>68.400000000000006</v>
          </cell>
          <cell r="F2057">
            <v>31.5</v>
          </cell>
          <cell r="G2057">
            <v>76</v>
          </cell>
          <cell r="H2057">
            <v>99.7</v>
          </cell>
          <cell r="I2057" t="str">
            <v>-</v>
          </cell>
          <cell r="J2057">
            <v>23321</v>
          </cell>
          <cell r="K2057">
            <v>18.600000000000001</v>
          </cell>
          <cell r="L2057">
            <v>0.09</v>
          </cell>
          <cell r="M2057">
            <v>2.3638888888888889</v>
          </cell>
          <cell r="N2057">
            <v>2016</v>
          </cell>
          <cell r="O2057">
            <v>114</v>
          </cell>
          <cell r="P2057">
            <v>1</v>
          </cell>
        </row>
        <row r="2058">
          <cell r="B2058" t="str">
            <v>Aalto University</v>
          </cell>
          <cell r="C2058" t="str">
            <v>Finland</v>
          </cell>
          <cell r="D2058" t="str">
            <v>251-300</v>
          </cell>
          <cell r="E2058">
            <v>65.400000000000006</v>
          </cell>
          <cell r="F2058">
            <v>32.799999999999997</v>
          </cell>
          <cell r="G2058">
            <v>62.1</v>
          </cell>
          <cell r="H2058">
            <v>61.6</v>
          </cell>
          <cell r="I2058" t="str">
            <v>-</v>
          </cell>
          <cell r="J2058">
            <v>16099</v>
          </cell>
          <cell r="K2058">
            <v>24.2</v>
          </cell>
          <cell r="L2058">
            <v>0.17</v>
          </cell>
          <cell r="M2058" t="str">
            <v>32 : 68</v>
          </cell>
          <cell r="N2058">
            <v>2016</v>
          </cell>
          <cell r="O2058">
            <v>392</v>
          </cell>
          <cell r="P2058">
            <v>4</v>
          </cell>
        </row>
        <row r="2059">
          <cell r="B2059" t="str">
            <v>Aix-Marseille University</v>
          </cell>
          <cell r="C2059" t="str">
            <v>France</v>
          </cell>
          <cell r="D2059" t="str">
            <v>251-300</v>
          </cell>
          <cell r="E2059">
            <v>63</v>
          </cell>
          <cell r="F2059">
            <v>22.1</v>
          </cell>
          <cell r="G2059">
            <v>64.900000000000006</v>
          </cell>
          <cell r="H2059">
            <v>33.1</v>
          </cell>
          <cell r="I2059" t="str">
            <v>-</v>
          </cell>
          <cell r="J2059">
            <v>71749</v>
          </cell>
          <cell r="K2059">
            <v>45.5</v>
          </cell>
          <cell r="L2059">
            <v>0.13</v>
          </cell>
          <cell r="M2059">
            <v>2.5687500000000001</v>
          </cell>
          <cell r="N2059">
            <v>2016</v>
          </cell>
          <cell r="O2059">
            <v>224</v>
          </cell>
          <cell r="P2059">
            <v>9</v>
          </cell>
        </row>
        <row r="2060">
          <cell r="B2060" t="str">
            <v>University of Bath</v>
          </cell>
          <cell r="C2060" t="str">
            <v>United Kingdom</v>
          </cell>
          <cell r="D2060" t="str">
            <v>251-300</v>
          </cell>
          <cell r="E2060">
            <v>84.8</v>
          </cell>
          <cell r="F2060">
            <v>27.9</v>
          </cell>
          <cell r="G2060">
            <v>56.7</v>
          </cell>
          <cell r="H2060">
            <v>36.299999999999997</v>
          </cell>
          <cell r="I2060" t="str">
            <v>-</v>
          </cell>
          <cell r="J2060">
            <v>12830</v>
          </cell>
          <cell r="K2060">
            <v>18.8</v>
          </cell>
          <cell r="L2060">
            <v>0.3</v>
          </cell>
          <cell r="M2060">
            <v>1.9541666666666666</v>
          </cell>
          <cell r="N2060">
            <v>2016</v>
          </cell>
          <cell r="O2060">
            <v>421</v>
          </cell>
          <cell r="P2060">
            <v>37</v>
          </cell>
        </row>
        <row r="2061">
          <cell r="B2061" t="str">
            <v>Bayreuth University</v>
          </cell>
          <cell r="C2061" t="str">
            <v>Germany</v>
          </cell>
          <cell r="D2061" t="str">
            <v>251-300</v>
          </cell>
          <cell r="E2061">
            <v>52.6</v>
          </cell>
          <cell r="F2061">
            <v>31.2</v>
          </cell>
          <cell r="G2061">
            <v>60.1</v>
          </cell>
          <cell r="H2061">
            <v>56.4</v>
          </cell>
          <cell r="I2061" t="str">
            <v>-</v>
          </cell>
          <cell r="J2061">
            <v>12520</v>
          </cell>
          <cell r="K2061">
            <v>35.5</v>
          </cell>
          <cell r="L2061">
            <v>0.08</v>
          </cell>
          <cell r="M2061">
            <v>1.9541666666666666</v>
          </cell>
          <cell r="N2061">
            <v>2016</v>
          </cell>
          <cell r="O2061" t="e">
            <v>#N/A</v>
          </cell>
          <cell r="P2061" t="e">
            <v>#N/A</v>
          </cell>
        </row>
        <row r="2062">
          <cell r="B2062" t="str">
            <v>Bielefeld University</v>
          </cell>
          <cell r="C2062" t="str">
            <v>Germany</v>
          </cell>
          <cell r="D2062" t="str">
            <v>251-300</v>
          </cell>
          <cell r="E2062">
            <v>45.4</v>
          </cell>
          <cell r="F2062">
            <v>46.2</v>
          </cell>
          <cell r="G2062">
            <v>49.9</v>
          </cell>
          <cell r="H2062">
            <v>60.9</v>
          </cell>
          <cell r="I2062" t="str">
            <v>-</v>
          </cell>
          <cell r="J2062">
            <v>21428</v>
          </cell>
          <cell r="K2062">
            <v>67.8</v>
          </cell>
          <cell r="L2062">
            <v>0.08</v>
          </cell>
          <cell r="M2062">
            <v>2.4048611111111109</v>
          </cell>
          <cell r="N2062">
            <v>2016</v>
          </cell>
          <cell r="O2062">
            <v>491</v>
          </cell>
          <cell r="P2062">
            <v>38</v>
          </cell>
        </row>
        <row r="2063">
          <cell r="B2063" t="str">
            <v>University of Bordeaux</v>
          </cell>
          <cell r="C2063" t="str">
            <v>France</v>
          </cell>
          <cell r="D2063" t="str">
            <v>251-300</v>
          </cell>
          <cell r="E2063">
            <v>54.6</v>
          </cell>
          <cell r="F2063">
            <v>22</v>
          </cell>
          <cell r="G2063">
            <v>71.7</v>
          </cell>
          <cell r="H2063">
            <v>30.6</v>
          </cell>
          <cell r="I2063" t="str">
            <v>-</v>
          </cell>
          <cell r="J2063">
            <v>51239</v>
          </cell>
          <cell r="K2063">
            <v>19.399999999999999</v>
          </cell>
          <cell r="L2063">
            <v>0.12</v>
          </cell>
          <cell r="M2063">
            <v>2.4458333333333333</v>
          </cell>
          <cell r="N2063">
            <v>2016</v>
          </cell>
          <cell r="O2063">
            <v>299</v>
          </cell>
          <cell r="P2063">
            <v>14</v>
          </cell>
        </row>
        <row r="2064">
          <cell r="B2064" t="str">
            <v>Charles Darwin University</v>
          </cell>
          <cell r="C2064" t="str">
            <v>Australia</v>
          </cell>
          <cell r="D2064" t="str">
            <v>251-300</v>
          </cell>
          <cell r="E2064">
            <v>63.7</v>
          </cell>
          <cell r="F2064">
            <v>22.6</v>
          </cell>
          <cell r="G2064">
            <v>85.9</v>
          </cell>
          <cell r="H2064">
            <v>43.2</v>
          </cell>
          <cell r="I2064" t="str">
            <v>-</v>
          </cell>
          <cell r="J2064">
            <v>5570</v>
          </cell>
          <cell r="K2064">
            <v>25.4</v>
          </cell>
          <cell r="L2064">
            <v>0.15</v>
          </cell>
          <cell r="M2064">
            <v>2.8145833333333332</v>
          </cell>
          <cell r="N2064">
            <v>2016</v>
          </cell>
          <cell r="O2064">
            <v>910</v>
          </cell>
          <cell r="P2064">
            <v>26</v>
          </cell>
        </row>
        <row r="2065">
          <cell r="B2065" t="str">
            <v>Colorado School of Mines</v>
          </cell>
          <cell r="C2065" t="str">
            <v>United States of America</v>
          </cell>
          <cell r="D2065" t="str">
            <v>251-300</v>
          </cell>
          <cell r="E2065">
            <v>35.5</v>
          </cell>
          <cell r="F2065">
            <v>30.3</v>
          </cell>
          <cell r="G2065">
            <v>71.8</v>
          </cell>
          <cell r="H2065">
            <v>83.7</v>
          </cell>
          <cell r="I2065" t="str">
            <v>-</v>
          </cell>
          <cell r="J2065">
            <v>5287</v>
          </cell>
          <cell r="K2065">
            <v>18.2</v>
          </cell>
          <cell r="L2065">
            <v>0.12</v>
          </cell>
          <cell r="M2065" t="str">
            <v>26 : 74</v>
          </cell>
          <cell r="N2065">
            <v>2016</v>
          </cell>
          <cell r="O2065">
            <v>364</v>
          </cell>
          <cell r="P2065">
            <v>131</v>
          </cell>
        </row>
        <row r="2066">
          <cell r="B2066" t="str">
            <v>Colorado State University</v>
          </cell>
          <cell r="C2066" t="str">
            <v>United States of America</v>
          </cell>
          <cell r="D2066" t="str">
            <v>251-300</v>
          </cell>
          <cell r="E2066">
            <v>34.5</v>
          </cell>
          <cell r="F2066">
            <v>33</v>
          </cell>
          <cell r="G2066">
            <v>59.3</v>
          </cell>
          <cell r="H2066">
            <v>41</v>
          </cell>
          <cell r="I2066" t="str">
            <v>-</v>
          </cell>
          <cell r="J2066">
            <v>26769</v>
          </cell>
          <cell r="K2066">
            <v>19</v>
          </cell>
          <cell r="L2066">
            <v>0.05</v>
          </cell>
          <cell r="M2066">
            <v>2.2000000000000002</v>
          </cell>
          <cell r="N2066">
            <v>2016</v>
          </cell>
          <cell r="O2066" t="e">
            <v>#N/A</v>
          </cell>
          <cell r="P2066" t="e">
            <v>#N/A</v>
          </cell>
        </row>
        <row r="2067">
          <cell r="B2067" t="str">
            <v>University of Delaware</v>
          </cell>
          <cell r="C2067" t="str">
            <v>United States of America</v>
          </cell>
          <cell r="D2067" t="str">
            <v>251-300</v>
          </cell>
          <cell r="E2067">
            <v>41.6</v>
          </cell>
          <cell r="F2067">
            <v>34</v>
          </cell>
          <cell r="G2067">
            <v>70</v>
          </cell>
          <cell r="H2067">
            <v>98.7</v>
          </cell>
          <cell r="I2067" t="str">
            <v>-</v>
          </cell>
          <cell r="J2067">
            <v>19262</v>
          </cell>
          <cell r="K2067">
            <v>15.9</v>
          </cell>
          <cell r="L2067">
            <v>0.1</v>
          </cell>
          <cell r="M2067">
            <v>2.3638888888888889</v>
          </cell>
          <cell r="N2067">
            <v>2016</v>
          </cell>
          <cell r="O2067">
            <v>247</v>
          </cell>
          <cell r="P2067">
            <v>101</v>
          </cell>
        </row>
        <row r="2068">
          <cell r="B2068" t="str">
            <v>Flinders University</v>
          </cell>
          <cell r="C2068" t="str">
            <v>Australia</v>
          </cell>
          <cell r="D2068" t="str">
            <v>251-300</v>
          </cell>
          <cell r="E2068">
            <v>64.7</v>
          </cell>
          <cell r="F2068">
            <v>25.7</v>
          </cell>
          <cell r="G2068">
            <v>69.5</v>
          </cell>
          <cell r="H2068">
            <v>41.7</v>
          </cell>
          <cell r="I2068" t="str">
            <v>-</v>
          </cell>
          <cell r="J2068">
            <v>15655</v>
          </cell>
          <cell r="K2068">
            <v>22.6</v>
          </cell>
          <cell r="L2068">
            <v>0.15</v>
          </cell>
          <cell r="M2068">
            <v>2.6506944444444445</v>
          </cell>
          <cell r="N2068">
            <v>2016</v>
          </cell>
          <cell r="O2068">
            <v>507</v>
          </cell>
          <cell r="P2068">
            <v>11</v>
          </cell>
        </row>
        <row r="2069">
          <cell r="B2069" t="str">
            <v>University of Georgia</v>
          </cell>
          <cell r="C2069" t="str">
            <v>United States of America</v>
          </cell>
          <cell r="D2069" t="str">
            <v>251-300</v>
          </cell>
          <cell r="E2069">
            <v>39.200000000000003</v>
          </cell>
          <cell r="F2069">
            <v>30.5</v>
          </cell>
          <cell r="G2069">
            <v>52.2</v>
          </cell>
          <cell r="H2069">
            <v>30.9</v>
          </cell>
          <cell r="I2069" t="str">
            <v>-</v>
          </cell>
          <cell r="J2069">
            <v>33119</v>
          </cell>
          <cell r="K2069">
            <v>19.899999999999999</v>
          </cell>
          <cell r="L2069">
            <v>7.0000000000000007E-2</v>
          </cell>
          <cell r="M2069">
            <v>2.4048611111111109</v>
          </cell>
          <cell r="N2069">
            <v>2016</v>
          </cell>
          <cell r="O2069">
            <v>207</v>
          </cell>
          <cell r="P2069">
            <v>87</v>
          </cell>
        </row>
        <row r="2070">
          <cell r="B2070" t="str">
            <v>Griffith University</v>
          </cell>
          <cell r="C2070" t="str">
            <v>Australia</v>
          </cell>
          <cell r="D2070" t="str">
            <v>251-300</v>
          </cell>
          <cell r="E2070">
            <v>81.7</v>
          </cell>
          <cell r="F2070">
            <v>25.2</v>
          </cell>
          <cell r="G2070">
            <v>66.3</v>
          </cell>
          <cell r="H2070">
            <v>34.6</v>
          </cell>
          <cell r="I2070" t="str">
            <v>-</v>
          </cell>
          <cell r="J2070">
            <v>30251</v>
          </cell>
          <cell r="K2070">
            <v>22</v>
          </cell>
          <cell r="L2070">
            <v>0.21</v>
          </cell>
          <cell r="N2070">
            <v>2016</v>
          </cell>
          <cell r="O2070">
            <v>625</v>
          </cell>
          <cell r="P2070">
            <v>18</v>
          </cell>
        </row>
        <row r="2071">
          <cell r="B2071" t="str">
            <v>University of Iceland</v>
          </cell>
          <cell r="C2071" t="str">
            <v>Iceland</v>
          </cell>
          <cell r="D2071" t="str">
            <v>251-300</v>
          </cell>
          <cell r="E2071">
            <v>61</v>
          </cell>
          <cell r="F2071">
            <v>16.2</v>
          </cell>
          <cell r="G2071">
            <v>91.4</v>
          </cell>
          <cell r="H2071">
            <v>28</v>
          </cell>
          <cell r="I2071" t="str">
            <v>-</v>
          </cell>
          <cell r="J2071">
            <v>13960</v>
          </cell>
          <cell r="K2071">
            <v>25.9</v>
          </cell>
          <cell r="L2071">
            <v>0.08</v>
          </cell>
          <cell r="M2071">
            <v>2.7736111111111112</v>
          </cell>
          <cell r="N2071">
            <v>2016</v>
          </cell>
          <cell r="O2071">
            <v>516</v>
          </cell>
          <cell r="P2071">
            <v>1</v>
          </cell>
        </row>
        <row r="2072">
          <cell r="B2072" t="str">
            <v>Indian Institute of Science</v>
          </cell>
          <cell r="C2072" t="str">
            <v>India</v>
          </cell>
          <cell r="D2072" t="str">
            <v>251-300</v>
          </cell>
          <cell r="E2072">
            <v>16.399999999999999</v>
          </cell>
          <cell r="F2072">
            <v>47.2</v>
          </cell>
          <cell r="G2072">
            <v>42.4</v>
          </cell>
          <cell r="H2072">
            <v>52.4</v>
          </cell>
          <cell r="I2072" t="str">
            <v>-</v>
          </cell>
          <cell r="J2072">
            <v>3318</v>
          </cell>
          <cell r="K2072">
            <v>8.1999999999999993</v>
          </cell>
          <cell r="L2072">
            <v>0.01</v>
          </cell>
          <cell r="M2072">
            <v>0.84791666666666665</v>
          </cell>
          <cell r="N2072">
            <v>2016</v>
          </cell>
          <cell r="O2072">
            <v>501</v>
          </cell>
          <cell r="P2072">
            <v>3</v>
          </cell>
        </row>
        <row r="2073">
          <cell r="B2073" t="str">
            <v>Iowa State University</v>
          </cell>
          <cell r="C2073" t="str">
            <v>United States of America</v>
          </cell>
          <cell r="D2073" t="str">
            <v>251-300</v>
          </cell>
          <cell r="E2073">
            <v>35.4</v>
          </cell>
          <cell r="F2073">
            <v>29.4</v>
          </cell>
          <cell r="G2073">
            <v>61.5</v>
          </cell>
          <cell r="H2073">
            <v>54</v>
          </cell>
          <cell r="I2073" t="str">
            <v>-</v>
          </cell>
          <cell r="J2073">
            <v>29991</v>
          </cell>
          <cell r="K2073">
            <v>17.399999999999999</v>
          </cell>
          <cell r="L2073">
            <v>0.11</v>
          </cell>
          <cell r="M2073">
            <v>1.8722222222222222</v>
          </cell>
          <cell r="N2073">
            <v>2016</v>
          </cell>
          <cell r="O2073">
            <v>182</v>
          </cell>
          <cell r="P2073">
            <v>80</v>
          </cell>
        </row>
        <row r="2074">
          <cell r="B2074" t="str">
            <v>James Cook University</v>
          </cell>
          <cell r="C2074" t="str">
            <v>Australia</v>
          </cell>
          <cell r="D2074" t="str">
            <v>251-300</v>
          </cell>
          <cell r="E2074">
            <v>70.400000000000006</v>
          </cell>
          <cell r="F2074">
            <v>22.8</v>
          </cell>
          <cell r="G2074">
            <v>81.400000000000006</v>
          </cell>
          <cell r="H2074">
            <v>40.700000000000003</v>
          </cell>
          <cell r="I2074" t="str">
            <v>-</v>
          </cell>
          <cell r="J2074">
            <v>11713</v>
          </cell>
          <cell r="K2074">
            <v>21.9</v>
          </cell>
          <cell r="L2074">
            <v>0.11</v>
          </cell>
          <cell r="M2074">
            <v>2.6506944444444445</v>
          </cell>
          <cell r="N2074">
            <v>2016</v>
          </cell>
          <cell r="O2074">
            <v>572</v>
          </cell>
          <cell r="P2074">
            <v>13</v>
          </cell>
        </row>
        <row r="2075">
          <cell r="B2075" t="str">
            <v>Justus Liebig University Giessen</v>
          </cell>
          <cell r="C2075" t="str">
            <v>Germany</v>
          </cell>
          <cell r="D2075" t="str">
            <v>251-300</v>
          </cell>
          <cell r="E2075">
            <v>46.8</v>
          </cell>
          <cell r="F2075">
            <v>33.9</v>
          </cell>
          <cell r="G2075">
            <v>52.9</v>
          </cell>
          <cell r="H2075">
            <v>46.4</v>
          </cell>
          <cell r="I2075" t="str">
            <v>-</v>
          </cell>
          <cell r="J2075">
            <v>25682</v>
          </cell>
          <cell r="K2075">
            <v>53.9</v>
          </cell>
          <cell r="L2075">
            <v>0.09</v>
          </cell>
          <cell r="M2075">
            <v>2.6097222222222221</v>
          </cell>
          <cell r="N2075">
            <v>2016</v>
          </cell>
          <cell r="O2075">
            <v>360</v>
          </cell>
          <cell r="P2075">
            <v>33</v>
          </cell>
        </row>
        <row r="2076">
          <cell r="B2076" t="str">
            <v>King Abdulaziz University</v>
          </cell>
          <cell r="C2076" t="str">
            <v>Saudi Arabia</v>
          </cell>
          <cell r="D2076" t="str">
            <v>251-300</v>
          </cell>
          <cell r="E2076">
            <v>93</v>
          </cell>
          <cell r="F2076">
            <v>11.8</v>
          </cell>
          <cell r="G2076">
            <v>76.599999999999994</v>
          </cell>
          <cell r="H2076">
            <v>73.099999999999994</v>
          </cell>
          <cell r="I2076" t="str">
            <v>-</v>
          </cell>
          <cell r="J2076">
            <v>35889</v>
          </cell>
          <cell r="K2076">
            <v>8.4</v>
          </cell>
          <cell r="L2076">
            <v>0.21</v>
          </cell>
          <cell r="M2076">
            <v>2.4048611111111109</v>
          </cell>
          <cell r="N2076">
            <v>2016</v>
          </cell>
          <cell r="O2076">
            <v>992</v>
          </cell>
          <cell r="P2076">
            <v>4</v>
          </cell>
        </row>
        <row r="2077">
          <cell r="B2077" t="str">
            <v>KoÃ§ University</v>
          </cell>
          <cell r="C2077" t="str">
            <v>Turkey</v>
          </cell>
          <cell r="D2077" t="str">
            <v>251-300</v>
          </cell>
          <cell r="E2077">
            <v>53.5</v>
          </cell>
          <cell r="F2077">
            <v>27.1</v>
          </cell>
          <cell r="G2077">
            <v>74.900000000000006</v>
          </cell>
          <cell r="H2077">
            <v>82.4</v>
          </cell>
          <cell r="I2077" t="str">
            <v>-</v>
          </cell>
          <cell r="J2077">
            <v>4488</v>
          </cell>
          <cell r="K2077">
            <v>14.6</v>
          </cell>
          <cell r="L2077">
            <v>0.08</v>
          </cell>
          <cell r="M2077">
            <v>2.2000000000000002</v>
          </cell>
          <cell r="N2077">
            <v>2016</v>
          </cell>
          <cell r="O2077" t="e">
            <v>#N/A</v>
          </cell>
          <cell r="P2077" t="e">
            <v>#N/A</v>
          </cell>
        </row>
        <row r="2078">
          <cell r="B2078" t="str">
            <v>Korea University</v>
          </cell>
          <cell r="C2078" t="str">
            <v>South Korea</v>
          </cell>
          <cell r="D2078" t="str">
            <v>251-300</v>
          </cell>
          <cell r="E2078">
            <v>40.200000000000003</v>
          </cell>
          <cell r="F2078">
            <v>43.4</v>
          </cell>
          <cell r="G2078">
            <v>41.8</v>
          </cell>
          <cell r="H2078">
            <v>99.8</v>
          </cell>
          <cell r="I2078" t="str">
            <v>-</v>
          </cell>
          <cell r="J2078">
            <v>24043</v>
          </cell>
          <cell r="K2078">
            <v>15.8</v>
          </cell>
          <cell r="L2078">
            <v>0.14000000000000001</v>
          </cell>
          <cell r="N2078">
            <v>2016</v>
          </cell>
          <cell r="O2078">
            <v>130</v>
          </cell>
          <cell r="P2078">
            <v>4</v>
          </cell>
        </row>
        <row r="2079">
          <cell r="B2079" t="str">
            <v>University of LiÃ¨ge</v>
          </cell>
          <cell r="C2079" t="str">
            <v>Belgium</v>
          </cell>
          <cell r="D2079" t="str">
            <v>251-300</v>
          </cell>
          <cell r="E2079">
            <v>69.7</v>
          </cell>
          <cell r="F2079">
            <v>36.6</v>
          </cell>
          <cell r="G2079">
            <v>46.5</v>
          </cell>
          <cell r="H2079">
            <v>98.9</v>
          </cell>
          <cell r="I2079" t="str">
            <v>-</v>
          </cell>
          <cell r="J2079">
            <v>20951</v>
          </cell>
          <cell r="K2079">
            <v>25.9</v>
          </cell>
          <cell r="L2079">
            <v>0.23</v>
          </cell>
          <cell r="M2079">
            <v>2.2819444444444446</v>
          </cell>
          <cell r="N2079">
            <v>2016</v>
          </cell>
          <cell r="O2079">
            <v>316</v>
          </cell>
          <cell r="P2079">
            <v>6</v>
          </cell>
        </row>
        <row r="2080">
          <cell r="B2080" t="str">
            <v>LinkÃ¶ping University</v>
          </cell>
          <cell r="C2080" t="str">
            <v>Sweden</v>
          </cell>
          <cell r="D2080" t="str">
            <v>251-300</v>
          </cell>
          <cell r="E2080">
            <v>57.7</v>
          </cell>
          <cell r="F2080">
            <v>18.899999999999999</v>
          </cell>
          <cell r="G2080">
            <v>76.8</v>
          </cell>
          <cell r="H2080">
            <v>42.1</v>
          </cell>
          <cell r="I2080" t="str">
            <v>-</v>
          </cell>
          <cell r="J2080">
            <v>17866</v>
          </cell>
          <cell r="K2080">
            <v>7.7</v>
          </cell>
          <cell r="L2080">
            <v>0.1</v>
          </cell>
          <cell r="M2080">
            <v>2.2000000000000002</v>
          </cell>
          <cell r="N2080">
            <v>2016</v>
          </cell>
          <cell r="O2080">
            <v>302</v>
          </cell>
          <cell r="P2080">
            <v>8</v>
          </cell>
        </row>
        <row r="2081">
          <cell r="B2081" t="str">
            <v>Nanjing University</v>
          </cell>
          <cell r="C2081" t="str">
            <v>China</v>
          </cell>
          <cell r="D2081" t="str">
            <v>251-300</v>
          </cell>
          <cell r="E2081">
            <v>50.4</v>
          </cell>
          <cell r="F2081">
            <v>32.200000000000003</v>
          </cell>
          <cell r="G2081">
            <v>54.2</v>
          </cell>
          <cell r="H2081">
            <v>58.6</v>
          </cell>
          <cell r="I2081" t="str">
            <v>-</v>
          </cell>
          <cell r="J2081">
            <v>29743</v>
          </cell>
          <cell r="K2081">
            <v>13.3</v>
          </cell>
          <cell r="L2081">
            <v>0.1</v>
          </cell>
          <cell r="M2081">
            <v>1.9541666666666666</v>
          </cell>
          <cell r="N2081">
            <v>2016</v>
          </cell>
          <cell r="O2081">
            <v>217</v>
          </cell>
          <cell r="P2081">
            <v>6</v>
          </cell>
        </row>
        <row r="2082">
          <cell r="B2082" t="str">
            <v>National Tsing Hua University</v>
          </cell>
          <cell r="C2082" t="str">
            <v>Taiwan</v>
          </cell>
          <cell r="D2082" t="str">
            <v>251-300</v>
          </cell>
          <cell r="E2082">
            <v>23.2</v>
          </cell>
          <cell r="F2082">
            <v>36.6</v>
          </cell>
          <cell r="G2082">
            <v>53</v>
          </cell>
          <cell r="H2082">
            <v>49.5</v>
          </cell>
          <cell r="I2082" t="str">
            <v>-</v>
          </cell>
          <cell r="J2082">
            <v>10221</v>
          </cell>
          <cell r="K2082">
            <v>13.5</v>
          </cell>
          <cell r="L2082">
            <v>0.05</v>
          </cell>
          <cell r="M2082" t="str">
            <v>33 : 67</v>
          </cell>
          <cell r="N2082">
            <v>2016</v>
          </cell>
          <cell r="O2082">
            <v>418</v>
          </cell>
          <cell r="P2082">
            <v>4</v>
          </cell>
        </row>
        <row r="2083">
          <cell r="B2083" t="str">
            <v>National University of Ireland, Galway</v>
          </cell>
          <cell r="C2083" t="str">
            <v>Republic of Ireland</v>
          </cell>
          <cell r="D2083" t="str">
            <v>251-300</v>
          </cell>
          <cell r="E2083">
            <v>76.5</v>
          </cell>
          <cell r="F2083">
            <v>25.4</v>
          </cell>
          <cell r="G2083">
            <v>68.5</v>
          </cell>
          <cell r="H2083">
            <v>41.9</v>
          </cell>
          <cell r="I2083" t="str">
            <v>-</v>
          </cell>
          <cell r="J2083">
            <v>14067</v>
          </cell>
          <cell r="K2083">
            <v>26.8</v>
          </cell>
          <cell r="L2083">
            <v>0.14000000000000001</v>
          </cell>
          <cell r="M2083">
            <v>2.3638888888888889</v>
          </cell>
          <cell r="N2083">
            <v>2016</v>
          </cell>
          <cell r="O2083">
            <v>600</v>
          </cell>
          <cell r="P2083">
            <v>4</v>
          </cell>
        </row>
        <row r="2084">
          <cell r="B2084" t="str">
            <v>University of Newcastle</v>
          </cell>
          <cell r="C2084" t="str">
            <v>Australia</v>
          </cell>
          <cell r="D2084" t="str">
            <v>251-300</v>
          </cell>
          <cell r="E2084">
            <v>75.900000000000006</v>
          </cell>
          <cell r="F2084">
            <v>26.5</v>
          </cell>
          <cell r="G2084">
            <v>67.2</v>
          </cell>
          <cell r="H2084">
            <v>64.400000000000006</v>
          </cell>
          <cell r="I2084" t="str">
            <v>-</v>
          </cell>
          <cell r="J2084">
            <v>23508</v>
          </cell>
          <cell r="K2084">
            <v>21.9</v>
          </cell>
          <cell r="L2084">
            <v>0.18</v>
          </cell>
          <cell r="M2084">
            <v>2.3638888888888889</v>
          </cell>
          <cell r="N2084">
            <v>2016</v>
          </cell>
          <cell r="O2084">
            <v>546</v>
          </cell>
          <cell r="P2084">
            <v>12</v>
          </cell>
        </row>
        <row r="2085">
          <cell r="B2085" t="str">
            <v>North Carolina State University</v>
          </cell>
          <cell r="C2085" t="str">
            <v>United States of America</v>
          </cell>
          <cell r="D2085" t="str">
            <v>251-300</v>
          </cell>
          <cell r="E2085">
            <v>49</v>
          </cell>
          <cell r="F2085">
            <v>30.5</v>
          </cell>
          <cell r="G2085">
            <v>60</v>
          </cell>
          <cell r="H2085">
            <v>40.700000000000003</v>
          </cell>
          <cell r="I2085" t="str">
            <v>-</v>
          </cell>
          <cell r="J2085">
            <v>30533</v>
          </cell>
          <cell r="K2085">
            <v>13.6</v>
          </cell>
          <cell r="L2085">
            <v>0.11</v>
          </cell>
          <cell r="M2085">
            <v>1.8722222222222222</v>
          </cell>
          <cell r="N2085">
            <v>2016</v>
          </cell>
          <cell r="O2085">
            <v>228</v>
          </cell>
          <cell r="P2085">
            <v>93</v>
          </cell>
        </row>
        <row r="2086">
          <cell r="B2086" t="str">
            <v>Oregon State University</v>
          </cell>
          <cell r="C2086" t="str">
            <v>United States of America</v>
          </cell>
          <cell r="D2086" t="str">
            <v>251-300</v>
          </cell>
          <cell r="E2086">
            <v>42.8</v>
          </cell>
          <cell r="F2086">
            <v>28.5</v>
          </cell>
          <cell r="G2086">
            <v>63.8</v>
          </cell>
          <cell r="H2086">
            <v>32.1</v>
          </cell>
          <cell r="I2086" t="str">
            <v>-</v>
          </cell>
          <cell r="J2086">
            <v>22578</v>
          </cell>
          <cell r="K2086">
            <v>16.8</v>
          </cell>
          <cell r="L2086">
            <v>0.09</v>
          </cell>
          <cell r="M2086">
            <v>1.9951388888888888</v>
          </cell>
          <cell r="N2086">
            <v>2016</v>
          </cell>
          <cell r="O2086">
            <v>265</v>
          </cell>
          <cell r="P2086">
            <v>109</v>
          </cell>
        </row>
        <row r="2087">
          <cell r="B2087" t="str">
            <v>Osaka University</v>
          </cell>
          <cell r="C2087" t="str">
            <v>Japan</v>
          </cell>
          <cell r="D2087" t="str">
            <v>251-300</v>
          </cell>
          <cell r="E2087">
            <v>26.6</v>
          </cell>
          <cell r="F2087">
            <v>45.2</v>
          </cell>
          <cell r="G2087">
            <v>37.4</v>
          </cell>
          <cell r="H2087">
            <v>76.099999999999994</v>
          </cell>
          <cell r="I2087" t="str">
            <v>-</v>
          </cell>
          <cell r="J2087">
            <v>23144</v>
          </cell>
          <cell r="K2087">
            <v>7.8</v>
          </cell>
          <cell r="L2087">
            <v>0.09</v>
          </cell>
          <cell r="M2087" t="str">
            <v>31 : 69</v>
          </cell>
          <cell r="N2087">
            <v>2016</v>
          </cell>
          <cell r="O2087">
            <v>32</v>
          </cell>
          <cell r="P2087">
            <v>3</v>
          </cell>
        </row>
        <row r="2088">
          <cell r="B2088" t="str">
            <v>Queenâ€™s University</v>
          </cell>
          <cell r="C2088" t="str">
            <v>Canada</v>
          </cell>
          <cell r="D2088" t="str">
            <v>251-300</v>
          </cell>
          <cell r="E2088">
            <v>61.6</v>
          </cell>
          <cell r="F2088">
            <v>35.799999999999997</v>
          </cell>
          <cell r="G2088">
            <v>54.4</v>
          </cell>
          <cell r="H2088">
            <v>54.2</v>
          </cell>
          <cell r="I2088" t="str">
            <v>-</v>
          </cell>
          <cell r="J2088">
            <v>20488</v>
          </cell>
          <cell r="K2088">
            <v>22.1</v>
          </cell>
          <cell r="L2088">
            <v>0.1</v>
          </cell>
          <cell r="M2088">
            <v>2.4458333333333333</v>
          </cell>
          <cell r="N2088">
            <v>2016</v>
          </cell>
          <cell r="O2088" t="e">
            <v>#N/A</v>
          </cell>
          <cell r="P2088" t="e">
            <v>#N/A</v>
          </cell>
        </row>
        <row r="2089">
          <cell r="B2089" t="str">
            <v>Queensland University of Technology</v>
          </cell>
          <cell r="C2089" t="str">
            <v>Australia</v>
          </cell>
          <cell r="D2089" t="str">
            <v>251-300</v>
          </cell>
          <cell r="E2089">
            <v>76</v>
          </cell>
          <cell r="F2089">
            <v>35.6</v>
          </cell>
          <cell r="G2089">
            <v>56</v>
          </cell>
          <cell r="H2089">
            <v>73.7</v>
          </cell>
          <cell r="I2089" t="str">
            <v>-</v>
          </cell>
          <cell r="J2089">
            <v>33391</v>
          </cell>
          <cell r="K2089">
            <v>35.799999999999997</v>
          </cell>
          <cell r="L2089">
            <v>0.17</v>
          </cell>
          <cell r="M2089">
            <v>2.2819444444444446</v>
          </cell>
          <cell r="N2089">
            <v>2016</v>
          </cell>
          <cell r="O2089">
            <v>605</v>
          </cell>
          <cell r="P2089">
            <v>14</v>
          </cell>
        </row>
        <row r="2090">
          <cell r="B2090" t="str">
            <v>Rensselaer Polytechnic Institute</v>
          </cell>
          <cell r="C2090" t="str">
            <v>United States of America</v>
          </cell>
          <cell r="D2090" t="str">
            <v>251-300</v>
          </cell>
          <cell r="E2090">
            <v>40.299999999999997</v>
          </cell>
          <cell r="F2090">
            <v>31.5</v>
          </cell>
          <cell r="G2090">
            <v>65.099999999999994</v>
          </cell>
          <cell r="H2090">
            <v>79.599999999999994</v>
          </cell>
          <cell r="I2090" t="str">
            <v>-</v>
          </cell>
          <cell r="J2090">
            <v>6671</v>
          </cell>
          <cell r="K2090">
            <v>15</v>
          </cell>
          <cell r="L2090">
            <v>0.16</v>
          </cell>
          <cell r="M2090" t="str">
            <v>30 : 70</v>
          </cell>
          <cell r="N2090">
            <v>2016</v>
          </cell>
          <cell r="O2090">
            <v>243</v>
          </cell>
          <cell r="P2090">
            <v>100</v>
          </cell>
        </row>
        <row r="2091">
          <cell r="B2091" t="str">
            <v>Royal College of Surgeons in Ireland</v>
          </cell>
          <cell r="C2091" t="str">
            <v>Republic of Ireland</v>
          </cell>
          <cell r="D2091" t="str">
            <v>251-300</v>
          </cell>
          <cell r="E2091">
            <v>90.1</v>
          </cell>
          <cell r="F2091">
            <v>20.100000000000001</v>
          </cell>
          <cell r="G2091">
            <v>65.3</v>
          </cell>
          <cell r="H2091">
            <v>33.9</v>
          </cell>
          <cell r="I2091" t="str">
            <v>-</v>
          </cell>
          <cell r="J2091">
            <v>2473</v>
          </cell>
          <cell r="K2091">
            <v>15.6</v>
          </cell>
          <cell r="L2091">
            <v>0.63</v>
          </cell>
          <cell r="M2091">
            <v>2.3229166666666665</v>
          </cell>
          <cell r="N2091">
            <v>2016</v>
          </cell>
          <cell r="O2091">
            <v>647</v>
          </cell>
          <cell r="P2091">
            <v>5</v>
          </cell>
        </row>
        <row r="2092">
          <cell r="B2092" t="str">
            <v>Ruhr University Bochum</v>
          </cell>
          <cell r="C2092" t="str">
            <v>Germany</v>
          </cell>
          <cell r="D2092" t="str">
            <v>251-300</v>
          </cell>
          <cell r="E2092">
            <v>51.7</v>
          </cell>
          <cell r="F2092">
            <v>30</v>
          </cell>
          <cell r="G2092">
            <v>54.4</v>
          </cell>
          <cell r="H2092">
            <v>66.599999999999994</v>
          </cell>
          <cell r="I2092" t="str">
            <v>-</v>
          </cell>
          <cell r="J2092">
            <v>38675</v>
          </cell>
          <cell r="K2092">
            <v>46.3</v>
          </cell>
          <cell r="L2092">
            <v>0.13</v>
          </cell>
          <cell r="M2092">
            <v>2.036111111111111</v>
          </cell>
          <cell r="N2092">
            <v>2016</v>
          </cell>
          <cell r="O2092">
            <v>304</v>
          </cell>
          <cell r="P2092">
            <v>28</v>
          </cell>
        </row>
        <row r="2093">
          <cell r="B2093" t="str">
            <v>Saint Louis University</v>
          </cell>
          <cell r="C2093" t="str">
            <v>United States of America</v>
          </cell>
          <cell r="D2093" t="str">
            <v>251-300</v>
          </cell>
          <cell r="E2093">
            <v>26.6</v>
          </cell>
          <cell r="F2093">
            <v>10.9</v>
          </cell>
          <cell r="G2093">
            <v>85</v>
          </cell>
          <cell r="H2093">
            <v>29.9</v>
          </cell>
          <cell r="I2093" t="str">
            <v>-</v>
          </cell>
          <cell r="J2093">
            <v>11919</v>
          </cell>
          <cell r="K2093">
            <v>5.8</v>
          </cell>
          <cell r="L2093">
            <v>0.08</v>
          </cell>
          <cell r="M2093">
            <v>2.4458333333333333</v>
          </cell>
          <cell r="N2093">
            <v>2016</v>
          </cell>
          <cell r="O2093">
            <v>363</v>
          </cell>
          <cell r="P2093">
            <v>130</v>
          </cell>
        </row>
        <row r="2094">
          <cell r="B2094" t="str">
            <v>University of SÃ£o Paulo</v>
          </cell>
          <cell r="C2094" t="str">
            <v>Brazil</v>
          </cell>
          <cell r="D2094" t="str">
            <v>251-300</v>
          </cell>
          <cell r="E2094">
            <v>25.3</v>
          </cell>
          <cell r="F2094">
            <v>57.1</v>
          </cell>
          <cell r="G2094">
            <v>20.399999999999999</v>
          </cell>
          <cell r="H2094">
            <v>30.5</v>
          </cell>
          <cell r="I2094" t="str">
            <v>-</v>
          </cell>
          <cell r="J2094">
            <v>81402</v>
          </cell>
          <cell r="K2094">
            <v>14.6</v>
          </cell>
          <cell r="L2094">
            <v>0.04</v>
          </cell>
          <cell r="M2094">
            <v>2.036111111111111</v>
          </cell>
          <cell r="N2094">
            <v>2016</v>
          </cell>
          <cell r="O2094">
            <v>131</v>
          </cell>
          <cell r="P2094">
            <v>1</v>
          </cell>
        </row>
        <row r="2095">
          <cell r="B2095" t="str">
            <v>Simon Fraser University</v>
          </cell>
          <cell r="C2095" t="str">
            <v>Canada</v>
          </cell>
          <cell r="D2095" t="str">
            <v>251-300</v>
          </cell>
          <cell r="E2095">
            <v>61.4</v>
          </cell>
          <cell r="F2095">
            <v>29.2</v>
          </cell>
          <cell r="G2095">
            <v>72.8</v>
          </cell>
          <cell r="H2095">
            <v>42.3</v>
          </cell>
          <cell r="I2095" t="str">
            <v>-</v>
          </cell>
          <cell r="J2095">
            <v>26640</v>
          </cell>
          <cell r="K2095">
            <v>28.3</v>
          </cell>
          <cell r="L2095">
            <v>0.19</v>
          </cell>
          <cell r="M2095">
            <v>2.3229166666666665</v>
          </cell>
          <cell r="N2095">
            <v>2016</v>
          </cell>
          <cell r="O2095">
            <v>393</v>
          </cell>
          <cell r="P2095">
            <v>17</v>
          </cell>
        </row>
        <row r="2096">
          <cell r="B2096" t="str">
            <v>University of Surrey</v>
          </cell>
          <cell r="C2096" t="str">
            <v>United Kingdom</v>
          </cell>
          <cell r="D2096" t="str">
            <v>251-300</v>
          </cell>
          <cell r="E2096">
            <v>90.4</v>
          </cell>
          <cell r="F2096">
            <v>28.9</v>
          </cell>
          <cell r="G2096">
            <v>51.2</v>
          </cell>
          <cell r="H2096">
            <v>34.9</v>
          </cell>
          <cell r="I2096" t="str">
            <v>-</v>
          </cell>
          <cell r="J2096">
            <v>12063</v>
          </cell>
          <cell r="K2096">
            <v>16.600000000000001</v>
          </cell>
          <cell r="L2096">
            <v>0.38</v>
          </cell>
          <cell r="M2096">
            <v>2.3229166666666665</v>
          </cell>
          <cell r="N2096">
            <v>2016</v>
          </cell>
          <cell r="O2096">
            <v>499</v>
          </cell>
          <cell r="P2096">
            <v>41</v>
          </cell>
        </row>
        <row r="2097">
          <cell r="B2097" t="str">
            <v>Syracuse University</v>
          </cell>
          <cell r="C2097" t="str">
            <v>United States of America</v>
          </cell>
          <cell r="D2097" t="str">
            <v>251-300</v>
          </cell>
          <cell r="E2097">
            <v>38.299999999999997</v>
          </cell>
          <cell r="F2097">
            <v>20.8</v>
          </cell>
          <cell r="G2097">
            <v>77.099999999999994</v>
          </cell>
          <cell r="H2097">
            <v>36.299999999999997</v>
          </cell>
          <cell r="I2097" t="str">
            <v>-</v>
          </cell>
          <cell r="J2097">
            <v>19660</v>
          </cell>
          <cell r="K2097">
            <v>15.9</v>
          </cell>
          <cell r="L2097">
            <v>0.15</v>
          </cell>
          <cell r="M2097">
            <v>2.3229166666666665</v>
          </cell>
          <cell r="N2097">
            <v>2016</v>
          </cell>
          <cell r="O2097">
            <v>448</v>
          </cell>
          <cell r="P2097">
            <v>147</v>
          </cell>
        </row>
        <row r="2098">
          <cell r="B2098" t="str">
            <v>University of Tasmania</v>
          </cell>
          <cell r="C2098" t="str">
            <v>Australia</v>
          </cell>
          <cell r="D2098" t="str">
            <v>251-300</v>
          </cell>
          <cell r="E2098">
            <v>79.099999999999994</v>
          </cell>
          <cell r="F2098">
            <v>25.7</v>
          </cell>
          <cell r="G2098">
            <v>68</v>
          </cell>
          <cell r="H2098">
            <v>42.7</v>
          </cell>
          <cell r="I2098" t="str">
            <v>-</v>
          </cell>
          <cell r="J2098">
            <v>18340</v>
          </cell>
          <cell r="K2098">
            <v>23.8</v>
          </cell>
          <cell r="L2098">
            <v>0.21</v>
          </cell>
          <cell r="M2098">
            <v>2.4048611111111109</v>
          </cell>
          <cell r="N2098">
            <v>2016</v>
          </cell>
          <cell r="O2098">
            <v>608</v>
          </cell>
          <cell r="P2098">
            <v>15</v>
          </cell>
        </row>
        <row r="2099">
          <cell r="B2099" t="str">
            <v>University of Tennessee, Knoxville</v>
          </cell>
          <cell r="C2099" t="str">
            <v>United States of America</v>
          </cell>
          <cell r="D2099" t="str">
            <v>251-300</v>
          </cell>
          <cell r="E2099">
            <v>39.299999999999997</v>
          </cell>
          <cell r="F2099">
            <v>23.2</v>
          </cell>
          <cell r="G2099">
            <v>81.400000000000006</v>
          </cell>
          <cell r="H2099">
            <v>41.3</v>
          </cell>
          <cell r="I2099" t="str">
            <v>-</v>
          </cell>
          <cell r="J2099">
            <v>24716</v>
          </cell>
          <cell r="K2099">
            <v>17</v>
          </cell>
          <cell r="L2099">
            <v>0.05</v>
          </cell>
          <cell r="N2099">
            <v>2016</v>
          </cell>
          <cell r="O2099">
            <v>227</v>
          </cell>
          <cell r="P2099">
            <v>92</v>
          </cell>
        </row>
        <row r="2100">
          <cell r="B2100" t="str">
            <v>Tomsk Polytechnic University</v>
          </cell>
          <cell r="C2100" t="str">
            <v>Russian Federation</v>
          </cell>
          <cell r="D2100" t="str">
            <v>251-300</v>
          </cell>
          <cell r="E2100">
            <v>32.700000000000003</v>
          </cell>
          <cell r="F2100">
            <v>15.1</v>
          </cell>
          <cell r="G2100">
            <v>82.4</v>
          </cell>
          <cell r="H2100">
            <v>60.2</v>
          </cell>
          <cell r="I2100" t="str">
            <v>-</v>
          </cell>
          <cell r="J2100">
            <v>11902</v>
          </cell>
          <cell r="K2100">
            <v>6.9</v>
          </cell>
          <cell r="L2100">
            <v>0.17</v>
          </cell>
          <cell r="M2100" t="str">
            <v>39 : 61</v>
          </cell>
          <cell r="N2100">
            <v>2016</v>
          </cell>
          <cell r="O2100" t="e">
            <v>#N/A</v>
          </cell>
          <cell r="P2100" t="e">
            <v>#N/A</v>
          </cell>
        </row>
        <row r="2101">
          <cell r="B2101" t="str">
            <v>Tulane University</v>
          </cell>
          <cell r="C2101" t="str">
            <v>United States of America</v>
          </cell>
          <cell r="D2101" t="str">
            <v>251-300</v>
          </cell>
          <cell r="E2101">
            <v>35.299999999999997</v>
          </cell>
          <cell r="F2101">
            <v>19.3</v>
          </cell>
          <cell r="G2101">
            <v>67.8</v>
          </cell>
          <cell r="H2101">
            <v>32.4</v>
          </cell>
          <cell r="I2101" t="str">
            <v>-</v>
          </cell>
          <cell r="J2101">
            <v>11381</v>
          </cell>
          <cell r="K2101">
            <v>8.4</v>
          </cell>
          <cell r="L2101">
            <v>0.08</v>
          </cell>
          <cell r="M2101">
            <v>2.3638888888888889</v>
          </cell>
          <cell r="N2101">
            <v>2016</v>
          </cell>
          <cell r="O2101">
            <v>234</v>
          </cell>
          <cell r="P2101">
            <v>95</v>
          </cell>
        </row>
        <row r="2102">
          <cell r="B2102" t="str">
            <v>UmeÃ¥ University</v>
          </cell>
          <cell r="C2102" t="str">
            <v>Sweden</v>
          </cell>
          <cell r="D2102" t="str">
            <v>251-300</v>
          </cell>
          <cell r="E2102">
            <v>56.1</v>
          </cell>
          <cell r="F2102">
            <v>25</v>
          </cell>
          <cell r="G2102">
            <v>74.5</v>
          </cell>
          <cell r="H2102">
            <v>31.1</v>
          </cell>
          <cell r="I2102" t="str">
            <v>-</v>
          </cell>
          <cell r="J2102">
            <v>16667</v>
          </cell>
          <cell r="K2102">
            <v>11.9</v>
          </cell>
          <cell r="L2102">
            <v>7.0000000000000007E-2</v>
          </cell>
          <cell r="M2102">
            <v>2.5277777777777777</v>
          </cell>
          <cell r="N2102">
            <v>2016</v>
          </cell>
          <cell r="O2102">
            <v>289</v>
          </cell>
          <cell r="P2102">
            <v>7</v>
          </cell>
        </row>
        <row r="2103">
          <cell r="B2103" t="str">
            <v>Vienna University of Technology</v>
          </cell>
          <cell r="C2103" t="str">
            <v>Austria</v>
          </cell>
          <cell r="D2103" t="str">
            <v>251-300</v>
          </cell>
          <cell r="E2103">
            <v>77.3</v>
          </cell>
          <cell r="F2103">
            <v>32</v>
          </cell>
          <cell r="G2103">
            <v>54.6</v>
          </cell>
          <cell r="H2103">
            <v>86.5</v>
          </cell>
          <cell r="I2103" t="str">
            <v>-</v>
          </cell>
          <cell r="J2103">
            <v>26419</v>
          </cell>
          <cell r="K2103">
            <v>52</v>
          </cell>
          <cell r="L2103">
            <v>0.27</v>
          </cell>
          <cell r="M2103" t="str">
            <v>27 : 73</v>
          </cell>
          <cell r="N2103">
            <v>2016</v>
          </cell>
          <cell r="O2103">
            <v>427</v>
          </cell>
          <cell r="P2103">
            <v>4</v>
          </cell>
        </row>
        <row r="2104">
          <cell r="B2104" t="str">
            <v>Virginia Polytechnic Institute and State University</v>
          </cell>
          <cell r="C2104" t="str">
            <v>United States of America</v>
          </cell>
          <cell r="D2104" t="str">
            <v>251-300</v>
          </cell>
          <cell r="E2104">
            <v>29.5</v>
          </cell>
          <cell r="F2104">
            <v>38.200000000000003</v>
          </cell>
          <cell r="G2104">
            <v>54.2</v>
          </cell>
          <cell r="H2104">
            <v>43.3</v>
          </cell>
          <cell r="I2104" t="str">
            <v>-</v>
          </cell>
          <cell r="J2104">
            <v>30850</v>
          </cell>
          <cell r="K2104">
            <v>18.600000000000001</v>
          </cell>
          <cell r="L2104">
            <v>0.1</v>
          </cell>
          <cell r="M2104">
            <v>1.7902777777777779</v>
          </cell>
          <cell r="N2104">
            <v>2016</v>
          </cell>
          <cell r="O2104">
            <v>271</v>
          </cell>
          <cell r="P2104">
            <v>111</v>
          </cell>
        </row>
        <row r="2105">
          <cell r="B2105" t="str">
            <v>University of Wollongong</v>
          </cell>
          <cell r="C2105" t="str">
            <v>Australia</v>
          </cell>
          <cell r="D2105" t="str">
            <v>251-300</v>
          </cell>
          <cell r="E2105">
            <v>86.8</v>
          </cell>
          <cell r="F2105">
            <v>28.4</v>
          </cell>
          <cell r="G2105">
            <v>59.3</v>
          </cell>
          <cell r="H2105">
            <v>57.9</v>
          </cell>
          <cell r="I2105" t="str">
            <v>-</v>
          </cell>
          <cell r="J2105">
            <v>16489</v>
          </cell>
          <cell r="K2105">
            <v>25.4</v>
          </cell>
          <cell r="L2105">
            <v>0.24</v>
          </cell>
          <cell r="M2105">
            <v>2.1180555555555554</v>
          </cell>
          <cell r="N2105">
            <v>2016</v>
          </cell>
          <cell r="O2105">
            <v>506</v>
          </cell>
          <cell r="P2105">
            <v>10</v>
          </cell>
        </row>
        <row r="2106">
          <cell r="B2106" t="str">
            <v>Zhejiang University</v>
          </cell>
          <cell r="C2106" t="str">
            <v>China</v>
          </cell>
          <cell r="D2106" t="str">
            <v>251-300</v>
          </cell>
          <cell r="E2106">
            <v>19.600000000000001</v>
          </cell>
          <cell r="F2106">
            <v>46</v>
          </cell>
          <cell r="G2106">
            <v>36.1</v>
          </cell>
          <cell r="H2106">
            <v>96.2</v>
          </cell>
          <cell r="I2106" t="str">
            <v>-</v>
          </cell>
          <cell r="J2106">
            <v>47508</v>
          </cell>
          <cell r="K2106">
            <v>15.9</v>
          </cell>
          <cell r="L2106">
            <v>0.05</v>
          </cell>
          <cell r="M2106">
            <v>1.7493055555555554</v>
          </cell>
          <cell r="N2106">
            <v>2016</v>
          </cell>
          <cell r="O2106">
            <v>206</v>
          </cell>
          <cell r="P2106">
            <v>5</v>
          </cell>
        </row>
        <row r="2107">
          <cell r="B2107" t="str">
            <v>Aberystwyth University</v>
          </cell>
          <cell r="C2107" t="str">
            <v>United Kingdom</v>
          </cell>
          <cell r="D2107" t="str">
            <v>301-350</v>
          </cell>
          <cell r="E2107">
            <v>72.2</v>
          </cell>
          <cell r="F2107">
            <v>18.899999999999999</v>
          </cell>
          <cell r="G2107">
            <v>67.2</v>
          </cell>
          <cell r="H2107">
            <v>31.3</v>
          </cell>
          <cell r="I2107" t="str">
            <v>-</v>
          </cell>
          <cell r="J2107">
            <v>9252</v>
          </cell>
          <cell r="K2107">
            <v>19.2</v>
          </cell>
          <cell r="L2107">
            <v>0.18</v>
          </cell>
          <cell r="M2107">
            <v>2.036111111111111</v>
          </cell>
          <cell r="N2107">
            <v>2016</v>
          </cell>
          <cell r="O2107">
            <v>800</v>
          </cell>
          <cell r="P2107">
            <v>59</v>
          </cell>
        </row>
        <row r="2108">
          <cell r="B2108" t="str">
            <v>University of Alaska Fairbanks</v>
          </cell>
          <cell r="C2108" t="str">
            <v>United States of America</v>
          </cell>
          <cell r="D2108" t="str">
            <v>301-350</v>
          </cell>
          <cell r="E2108">
            <v>53.5</v>
          </cell>
          <cell r="F2108">
            <v>23.1</v>
          </cell>
          <cell r="G2108">
            <v>63</v>
          </cell>
          <cell r="H2108">
            <v>51.2</v>
          </cell>
          <cell r="I2108" t="str">
            <v>-</v>
          </cell>
          <cell r="J2108">
            <v>3837</v>
          </cell>
          <cell r="K2108">
            <v>8.1999999999999993</v>
          </cell>
          <cell r="L2108">
            <v>7.0000000000000007E-2</v>
          </cell>
          <cell r="M2108">
            <v>2.2409722222222221</v>
          </cell>
          <cell r="N2108">
            <v>2016</v>
          </cell>
          <cell r="O2108">
            <v>621</v>
          </cell>
          <cell r="P2108">
            <v>180</v>
          </cell>
        </row>
        <row r="2109">
          <cell r="B2109" t="str">
            <v>Autonomous University of Madrid</v>
          </cell>
          <cell r="C2109" t="str">
            <v>Spain</v>
          </cell>
          <cell r="D2109" t="str">
            <v>301-350</v>
          </cell>
          <cell r="E2109">
            <v>48.6</v>
          </cell>
          <cell r="F2109">
            <v>30.9</v>
          </cell>
          <cell r="G2109">
            <v>46.9</v>
          </cell>
          <cell r="H2109">
            <v>33</v>
          </cell>
          <cell r="I2109" t="str">
            <v>-</v>
          </cell>
          <cell r="J2109">
            <v>28296</v>
          </cell>
          <cell r="K2109">
            <v>13</v>
          </cell>
          <cell r="L2109">
            <v>0.15</v>
          </cell>
          <cell r="M2109">
            <v>2.3638888888888889</v>
          </cell>
          <cell r="N2109">
            <v>2016</v>
          </cell>
          <cell r="O2109">
            <v>309</v>
          </cell>
          <cell r="P2109">
            <v>5</v>
          </cell>
        </row>
        <row r="2110">
          <cell r="B2110" t="str">
            <v>Bangor University</v>
          </cell>
          <cell r="C2110" t="str">
            <v>United Kingdom</v>
          </cell>
          <cell r="D2110" t="str">
            <v>301-350</v>
          </cell>
          <cell r="E2110">
            <v>81.3</v>
          </cell>
          <cell r="F2110">
            <v>22.1</v>
          </cell>
          <cell r="G2110">
            <v>65.400000000000006</v>
          </cell>
          <cell r="H2110">
            <v>31</v>
          </cell>
          <cell r="I2110" t="str">
            <v>-</v>
          </cell>
          <cell r="J2110">
            <v>9567</v>
          </cell>
          <cell r="K2110">
            <v>19.5</v>
          </cell>
          <cell r="L2110">
            <v>0.22</v>
          </cell>
          <cell r="M2110">
            <v>2.3229166666666665</v>
          </cell>
          <cell r="N2110">
            <v>2016</v>
          </cell>
          <cell r="O2110">
            <v>552</v>
          </cell>
          <cell r="P2110">
            <v>43</v>
          </cell>
        </row>
        <row r="2111">
          <cell r="B2111" t="str">
            <v>University of Bremen</v>
          </cell>
          <cell r="C2111" t="str">
            <v>Germany</v>
          </cell>
          <cell r="D2111" t="str">
            <v>301-350</v>
          </cell>
          <cell r="E2111">
            <v>50</v>
          </cell>
          <cell r="F2111">
            <v>32.700000000000003</v>
          </cell>
          <cell r="G2111">
            <v>50</v>
          </cell>
          <cell r="H2111">
            <v>46</v>
          </cell>
          <cell r="I2111" t="str">
            <v>-</v>
          </cell>
          <cell r="J2111">
            <v>18590</v>
          </cell>
          <cell r="K2111">
            <v>25.6</v>
          </cell>
          <cell r="L2111">
            <v>0.11</v>
          </cell>
          <cell r="M2111">
            <v>2.1180555555555554</v>
          </cell>
          <cell r="N2111">
            <v>2016</v>
          </cell>
          <cell r="O2111">
            <v>549</v>
          </cell>
          <cell r="P2111">
            <v>44</v>
          </cell>
        </row>
        <row r="2112">
          <cell r="B2112" t="str">
            <v>University of Cincinnati</v>
          </cell>
          <cell r="C2112" t="str">
            <v>United States of America</v>
          </cell>
          <cell r="D2112" t="str">
            <v>301-350</v>
          </cell>
          <cell r="E2112">
            <v>28.3</v>
          </cell>
          <cell r="F2112">
            <v>20.399999999999999</v>
          </cell>
          <cell r="G2112">
            <v>72.099999999999994</v>
          </cell>
          <cell r="H2112">
            <v>35.299999999999997</v>
          </cell>
          <cell r="I2112" t="str">
            <v>-</v>
          </cell>
          <cell r="J2112">
            <v>36108</v>
          </cell>
          <cell r="K2112">
            <v>15.7</v>
          </cell>
          <cell r="L2112">
            <v>0.06</v>
          </cell>
          <cell r="M2112">
            <v>2.2819444444444446</v>
          </cell>
          <cell r="N2112">
            <v>2016</v>
          </cell>
          <cell r="O2112">
            <v>177</v>
          </cell>
          <cell r="P2112">
            <v>78</v>
          </cell>
        </row>
        <row r="2113">
          <cell r="B2113" t="str">
            <v>University of Connecticut</v>
          </cell>
          <cell r="C2113" t="str">
            <v>United States of America</v>
          </cell>
          <cell r="D2113" t="str">
            <v>301-350</v>
          </cell>
          <cell r="E2113">
            <v>43.1</v>
          </cell>
          <cell r="F2113">
            <v>25.6</v>
          </cell>
          <cell r="G2113">
            <v>57</v>
          </cell>
          <cell r="H2113">
            <v>30.9</v>
          </cell>
          <cell r="I2113" t="str">
            <v>-</v>
          </cell>
          <cell r="J2113">
            <v>25742</v>
          </cell>
          <cell r="K2113">
            <v>13</v>
          </cell>
          <cell r="L2113">
            <v>0.11</v>
          </cell>
          <cell r="M2113">
            <v>2.1590277777777778</v>
          </cell>
          <cell r="N2113">
            <v>2016</v>
          </cell>
          <cell r="O2113">
            <v>233</v>
          </cell>
          <cell r="P2113">
            <v>94</v>
          </cell>
        </row>
        <row r="2114">
          <cell r="B2114" t="str">
            <v>Deakin University</v>
          </cell>
          <cell r="C2114" t="str">
            <v>Australia</v>
          </cell>
          <cell r="D2114" t="str">
            <v>301-350</v>
          </cell>
          <cell r="E2114">
            <v>76.900000000000006</v>
          </cell>
          <cell r="F2114">
            <v>21.9</v>
          </cell>
          <cell r="G2114">
            <v>66.8</v>
          </cell>
          <cell r="H2114">
            <v>30</v>
          </cell>
          <cell r="I2114" t="str">
            <v>-</v>
          </cell>
          <cell r="J2114">
            <v>32713</v>
          </cell>
          <cell r="K2114">
            <v>30.4</v>
          </cell>
          <cell r="L2114">
            <v>0.17</v>
          </cell>
          <cell r="M2114">
            <v>2.5277777777777777</v>
          </cell>
          <cell r="N2114">
            <v>2016</v>
          </cell>
          <cell r="O2114">
            <v>613</v>
          </cell>
          <cell r="P2114">
            <v>17</v>
          </cell>
        </row>
        <row r="2115">
          <cell r="B2115" t="str">
            <v>University of Essex</v>
          </cell>
          <cell r="C2115" t="str">
            <v>United Kingdom</v>
          </cell>
          <cell r="D2115" t="str">
            <v>301-350</v>
          </cell>
          <cell r="E2115">
            <v>93.7</v>
          </cell>
          <cell r="F2115">
            <v>33.299999999999997</v>
          </cell>
          <cell r="G2115">
            <v>38.6</v>
          </cell>
          <cell r="H2115">
            <v>28.9</v>
          </cell>
          <cell r="I2115" t="str">
            <v>-</v>
          </cell>
          <cell r="J2115">
            <v>12695</v>
          </cell>
          <cell r="K2115">
            <v>19.8</v>
          </cell>
          <cell r="L2115">
            <v>0.39</v>
          </cell>
          <cell r="M2115">
            <v>2.3229166666666665</v>
          </cell>
          <cell r="N2115">
            <v>2016</v>
          </cell>
          <cell r="O2115">
            <v>563</v>
          </cell>
          <cell r="P2115">
            <v>44</v>
          </cell>
        </row>
        <row r="2116">
          <cell r="B2116" t="str">
            <v>George Mason University</v>
          </cell>
          <cell r="C2116" t="str">
            <v>United States of America</v>
          </cell>
          <cell r="D2116" t="str">
            <v>301-350</v>
          </cell>
          <cell r="E2116">
            <v>36.9</v>
          </cell>
          <cell r="F2116">
            <v>21.2</v>
          </cell>
          <cell r="G2116">
            <v>64.900000000000006</v>
          </cell>
          <cell r="H2116">
            <v>29.1</v>
          </cell>
          <cell r="I2116" t="str">
            <v>-</v>
          </cell>
          <cell r="J2116">
            <v>26622</v>
          </cell>
          <cell r="K2116">
            <v>17</v>
          </cell>
          <cell r="L2116">
            <v>7.0000000000000007E-2</v>
          </cell>
          <cell r="M2116">
            <v>2.2819444444444446</v>
          </cell>
          <cell r="N2116">
            <v>2016</v>
          </cell>
          <cell r="O2116">
            <v>434</v>
          </cell>
          <cell r="P2116">
            <v>141</v>
          </cell>
        </row>
        <row r="2117">
          <cell r="B2117" t="str">
            <v>University of Greifswald</v>
          </cell>
          <cell r="C2117" t="str">
            <v>Germany</v>
          </cell>
          <cell r="D2117" t="str">
            <v>301-350</v>
          </cell>
          <cell r="E2117">
            <v>41.7</v>
          </cell>
          <cell r="F2117">
            <v>23.5</v>
          </cell>
          <cell r="G2117">
            <v>61.3</v>
          </cell>
          <cell r="H2117">
            <v>32.6</v>
          </cell>
          <cell r="I2117" t="str">
            <v>-</v>
          </cell>
          <cell r="J2117">
            <v>10931</v>
          </cell>
          <cell r="K2117">
            <v>24</v>
          </cell>
          <cell r="L2117">
            <v>0.06</v>
          </cell>
          <cell r="M2117">
            <v>2.3229166666666665</v>
          </cell>
          <cell r="N2117">
            <v>2016</v>
          </cell>
          <cell r="O2117">
            <v>861</v>
          </cell>
          <cell r="P2117">
            <v>50</v>
          </cell>
        </row>
        <row r="2118">
          <cell r="B2118" t="str">
            <v>Gwangju Institute of Science and Technology</v>
          </cell>
          <cell r="C2118" t="str">
            <v>South Korea</v>
          </cell>
          <cell r="D2118" t="str">
            <v>301-350</v>
          </cell>
          <cell r="E2118">
            <v>36.200000000000003</v>
          </cell>
          <cell r="F2118">
            <v>42</v>
          </cell>
          <cell r="G2118">
            <v>43.7</v>
          </cell>
          <cell r="H2118">
            <v>45.2</v>
          </cell>
          <cell r="I2118" t="str">
            <v>-</v>
          </cell>
          <cell r="J2118">
            <v>1394</v>
          </cell>
          <cell r="K2118">
            <v>9.6</v>
          </cell>
          <cell r="L2118">
            <v>0.08</v>
          </cell>
          <cell r="M2118" t="str">
            <v>25 : 75</v>
          </cell>
          <cell r="N2118">
            <v>2016</v>
          </cell>
          <cell r="O2118">
            <v>334</v>
          </cell>
          <cell r="P2118">
            <v>9</v>
          </cell>
        </row>
        <row r="2119">
          <cell r="B2119" t="str">
            <v>University of Hohenheim</v>
          </cell>
          <cell r="C2119" t="str">
            <v>Germany</v>
          </cell>
          <cell r="D2119" t="str">
            <v>301-350</v>
          </cell>
          <cell r="E2119">
            <v>50.3</v>
          </cell>
          <cell r="F2119">
            <v>33.799999999999997</v>
          </cell>
          <cell r="G2119">
            <v>51.5</v>
          </cell>
          <cell r="H2119">
            <v>52.8</v>
          </cell>
          <cell r="I2119" t="str">
            <v>-</v>
          </cell>
          <cell r="J2119">
            <v>9163</v>
          </cell>
          <cell r="K2119">
            <v>41.2</v>
          </cell>
          <cell r="L2119">
            <v>0.13</v>
          </cell>
          <cell r="M2119">
            <v>2.3638888888888889</v>
          </cell>
          <cell r="N2119">
            <v>2016</v>
          </cell>
          <cell r="O2119">
            <v>799</v>
          </cell>
          <cell r="P2119">
            <v>49</v>
          </cell>
        </row>
        <row r="2120">
          <cell r="B2120" t="str">
            <v>University of Innsbruck</v>
          </cell>
          <cell r="C2120" t="str">
            <v>Austria</v>
          </cell>
          <cell r="D2120" t="str">
            <v>301-350</v>
          </cell>
          <cell r="E2120">
            <v>95.7</v>
          </cell>
          <cell r="F2120">
            <v>16.899999999999999</v>
          </cell>
          <cell r="G2120">
            <v>67.3</v>
          </cell>
          <cell r="H2120">
            <v>39.9</v>
          </cell>
          <cell r="I2120" t="str">
            <v>-</v>
          </cell>
          <cell r="J2120">
            <v>18209</v>
          </cell>
          <cell r="K2120">
            <v>16.899999999999999</v>
          </cell>
          <cell r="L2120">
            <v>0.39</v>
          </cell>
          <cell r="M2120">
            <v>2.2819444444444446</v>
          </cell>
          <cell r="N2120">
            <v>2016</v>
          </cell>
          <cell r="O2120">
            <v>326</v>
          </cell>
          <cell r="P2120">
            <v>3</v>
          </cell>
        </row>
        <row r="2121">
          <cell r="B2121" t="str">
            <v>Kazan Federal University</v>
          </cell>
          <cell r="C2121" t="str">
            <v>Russian Federation</v>
          </cell>
          <cell r="D2121" t="str">
            <v>301-350</v>
          </cell>
          <cell r="E2121">
            <v>25.5</v>
          </cell>
          <cell r="F2121">
            <v>12.3</v>
          </cell>
          <cell r="G2121">
            <v>87.5</v>
          </cell>
          <cell r="H2121">
            <v>42.4</v>
          </cell>
          <cell r="I2121" t="str">
            <v>-</v>
          </cell>
          <cell r="J2121">
            <v>23321</v>
          </cell>
          <cell r="K2121">
            <v>12.2</v>
          </cell>
          <cell r="L2121">
            <v>0.06</v>
          </cell>
          <cell r="M2121">
            <v>2.8965277777777776</v>
          </cell>
          <cell r="N2121">
            <v>2016</v>
          </cell>
          <cell r="O2121" t="e">
            <v>#N/A</v>
          </cell>
          <cell r="P2121" t="e">
            <v>#N/A</v>
          </cell>
        </row>
        <row r="2122">
          <cell r="B2122" t="str">
            <v>University of Kent</v>
          </cell>
          <cell r="C2122" t="str">
            <v>United Kingdom</v>
          </cell>
          <cell r="D2122" t="str">
            <v>301-350</v>
          </cell>
          <cell r="E2122">
            <v>87.2</v>
          </cell>
          <cell r="F2122">
            <v>19.100000000000001</v>
          </cell>
          <cell r="G2122">
            <v>60.9</v>
          </cell>
          <cell r="H2122">
            <v>28.8</v>
          </cell>
          <cell r="I2122" t="str">
            <v>-</v>
          </cell>
          <cell r="J2122">
            <v>17638</v>
          </cell>
          <cell r="K2122">
            <v>14.4</v>
          </cell>
          <cell r="L2122">
            <v>0.27</v>
          </cell>
          <cell r="M2122">
            <v>2.2409722222222221</v>
          </cell>
          <cell r="N2122">
            <v>2016</v>
          </cell>
          <cell r="O2122">
            <v>693</v>
          </cell>
          <cell r="P2122">
            <v>51</v>
          </cell>
        </row>
        <row r="2123">
          <cell r="B2123" t="str">
            <v>Leibniz University of Hanover</v>
          </cell>
          <cell r="C2123" t="str">
            <v>Germany</v>
          </cell>
          <cell r="D2123" t="str">
            <v>301-350</v>
          </cell>
          <cell r="E2123">
            <v>43.2</v>
          </cell>
          <cell r="F2123">
            <v>36.9</v>
          </cell>
          <cell r="G2123">
            <v>39</v>
          </cell>
          <cell r="H2123">
            <v>69.599999999999994</v>
          </cell>
          <cell r="I2123" t="str">
            <v>-</v>
          </cell>
          <cell r="J2123">
            <v>22401</v>
          </cell>
          <cell r="K2123">
            <v>62.7</v>
          </cell>
          <cell r="L2123">
            <v>0.12</v>
          </cell>
          <cell r="M2123">
            <v>1.7493055555555554</v>
          </cell>
          <cell r="N2123">
            <v>2016</v>
          </cell>
          <cell r="O2123" t="e">
            <v>#N/A</v>
          </cell>
          <cell r="P2123" t="e">
            <v>#N/A</v>
          </cell>
        </row>
        <row r="2124">
          <cell r="B2124" t="str">
            <v>Macquarie University</v>
          </cell>
          <cell r="C2124" t="str">
            <v>Australia</v>
          </cell>
          <cell r="D2124" t="str">
            <v>301-350</v>
          </cell>
          <cell r="E2124">
            <v>90</v>
          </cell>
          <cell r="F2124">
            <v>27.2</v>
          </cell>
          <cell r="G2124">
            <v>52.3</v>
          </cell>
          <cell r="H2124">
            <v>33.1</v>
          </cell>
          <cell r="I2124" t="str">
            <v>-</v>
          </cell>
          <cell r="J2124">
            <v>27930</v>
          </cell>
          <cell r="K2124">
            <v>20</v>
          </cell>
          <cell r="L2124">
            <v>0.44</v>
          </cell>
          <cell r="M2124">
            <v>2.3229166666666665</v>
          </cell>
          <cell r="N2124">
            <v>2016</v>
          </cell>
          <cell r="O2124">
            <v>486</v>
          </cell>
          <cell r="P2124">
            <v>9</v>
          </cell>
        </row>
        <row r="2125">
          <cell r="B2125" t="str">
            <v>Medical College of Wisconsin</v>
          </cell>
          <cell r="C2125" t="str">
            <v>United States of America</v>
          </cell>
          <cell r="D2125" t="str">
            <v>301-350</v>
          </cell>
          <cell r="E2125">
            <v>30.4</v>
          </cell>
          <cell r="F2125">
            <v>12.1</v>
          </cell>
          <cell r="G2125">
            <v>85.2</v>
          </cell>
          <cell r="H2125">
            <v>31.8</v>
          </cell>
          <cell r="I2125" t="str">
            <v>-</v>
          </cell>
          <cell r="J2125">
            <v>1211</v>
          </cell>
          <cell r="K2125">
            <v>0.6</v>
          </cell>
          <cell r="L2125">
            <v>0.05</v>
          </cell>
          <cell r="M2125">
            <v>2.036111111111111</v>
          </cell>
          <cell r="N2125">
            <v>2016</v>
          </cell>
          <cell r="O2125">
            <v>293</v>
          </cell>
          <cell r="P2125">
            <v>113</v>
          </cell>
        </row>
        <row r="2126">
          <cell r="B2126" t="str">
            <v>University of Milan</v>
          </cell>
          <cell r="C2126" t="str">
            <v>Italy</v>
          </cell>
          <cell r="D2126" t="str">
            <v>301-350</v>
          </cell>
          <cell r="E2126">
            <v>37.700000000000003</v>
          </cell>
          <cell r="F2126">
            <v>24.2</v>
          </cell>
          <cell r="G2126">
            <v>64.8</v>
          </cell>
          <cell r="H2126">
            <v>40.9</v>
          </cell>
          <cell r="I2126" t="str">
            <v>-</v>
          </cell>
          <cell r="J2126">
            <v>58618</v>
          </cell>
          <cell r="K2126">
            <v>24.3</v>
          </cell>
          <cell r="L2126">
            <v>0.05</v>
          </cell>
          <cell r="M2126">
            <v>2.5277777777777777</v>
          </cell>
          <cell r="N2126">
            <v>2016</v>
          </cell>
          <cell r="O2126">
            <v>181</v>
          </cell>
          <cell r="P2126">
            <v>2</v>
          </cell>
        </row>
        <row r="2127">
          <cell r="B2127" t="str">
            <v>University of Milan-Bicocca</v>
          </cell>
          <cell r="C2127" t="str">
            <v>Italy</v>
          </cell>
          <cell r="D2127" t="str">
            <v>301-350</v>
          </cell>
          <cell r="E2127">
            <v>34.299999999999997</v>
          </cell>
          <cell r="F2127">
            <v>25.5</v>
          </cell>
          <cell r="G2127">
            <v>65.8</v>
          </cell>
          <cell r="H2127">
            <v>46.6</v>
          </cell>
          <cell r="I2127" t="str">
            <v>-</v>
          </cell>
          <cell r="J2127">
            <v>33370</v>
          </cell>
          <cell r="K2127">
            <v>72.5</v>
          </cell>
          <cell r="L2127">
            <v>0.05</v>
          </cell>
          <cell r="M2127">
            <v>2.5277777777777777</v>
          </cell>
          <cell r="N2127">
            <v>2016</v>
          </cell>
          <cell r="O2127" t="e">
            <v>#N/A</v>
          </cell>
          <cell r="P2127" t="e">
            <v>#N/A</v>
          </cell>
        </row>
        <row r="2128">
          <cell r="B2128" t="str">
            <v>Montpellier University</v>
          </cell>
          <cell r="C2128" t="str">
            <v>France</v>
          </cell>
          <cell r="D2128" t="str">
            <v>301-350</v>
          </cell>
          <cell r="E2128">
            <v>54.4</v>
          </cell>
          <cell r="F2128">
            <v>16.7</v>
          </cell>
          <cell r="G2128">
            <v>59.5</v>
          </cell>
          <cell r="H2128">
            <v>31.9</v>
          </cell>
          <cell r="I2128" t="str">
            <v>-</v>
          </cell>
          <cell r="J2128">
            <v>36731</v>
          </cell>
          <cell r="K2128">
            <v>18.399999999999999</v>
          </cell>
          <cell r="L2128">
            <v>0.14000000000000001</v>
          </cell>
          <cell r="M2128">
            <v>2.1590277777777778</v>
          </cell>
          <cell r="N2128">
            <v>2016</v>
          </cell>
          <cell r="O2128" t="e">
            <v>#N/A</v>
          </cell>
          <cell r="P2128" t="e">
            <v>#N/A</v>
          </cell>
        </row>
        <row r="2129">
          <cell r="B2129" t="str">
            <v>Nagoya University</v>
          </cell>
          <cell r="C2129" t="str">
            <v>Japan</v>
          </cell>
          <cell r="D2129" t="str">
            <v>301-350</v>
          </cell>
          <cell r="E2129">
            <v>27.4</v>
          </cell>
          <cell r="F2129">
            <v>38.9</v>
          </cell>
          <cell r="G2129">
            <v>40.1</v>
          </cell>
          <cell r="H2129">
            <v>91.4</v>
          </cell>
          <cell r="I2129" t="str">
            <v>-</v>
          </cell>
          <cell r="J2129">
            <v>15529</v>
          </cell>
          <cell r="K2129">
            <v>7.9</v>
          </cell>
          <cell r="L2129">
            <v>0.1</v>
          </cell>
          <cell r="M2129" t="str">
            <v>29 : 71</v>
          </cell>
          <cell r="N2129">
            <v>2016</v>
          </cell>
          <cell r="O2129">
            <v>74</v>
          </cell>
          <cell r="P2129">
            <v>4</v>
          </cell>
        </row>
        <row r="2130">
          <cell r="B2130" t="str">
            <v>University of Naples Federico II</v>
          </cell>
          <cell r="C2130" t="str">
            <v>Italy</v>
          </cell>
          <cell r="D2130" t="str">
            <v>301-350</v>
          </cell>
          <cell r="E2130">
            <v>21.1</v>
          </cell>
          <cell r="F2130">
            <v>14.8</v>
          </cell>
          <cell r="G2130">
            <v>81.3</v>
          </cell>
          <cell r="H2130">
            <v>47.4</v>
          </cell>
          <cell r="I2130" t="str">
            <v>-</v>
          </cell>
          <cell r="J2130">
            <v>83653</v>
          </cell>
          <cell r="K2130">
            <v>64.2</v>
          </cell>
          <cell r="L2130">
            <v>0.01</v>
          </cell>
          <cell r="N2130">
            <v>2016</v>
          </cell>
          <cell r="O2130">
            <v>272</v>
          </cell>
          <cell r="P2130">
            <v>7</v>
          </cell>
        </row>
        <row r="2131">
          <cell r="B2131" t="str">
            <v>National Chiao Tung University</v>
          </cell>
          <cell r="C2131" t="str">
            <v>Taiwan</v>
          </cell>
          <cell r="D2131" t="str">
            <v>301-350</v>
          </cell>
          <cell r="E2131">
            <v>32</v>
          </cell>
          <cell r="F2131">
            <v>45.4</v>
          </cell>
          <cell r="G2131">
            <v>34.200000000000003</v>
          </cell>
          <cell r="H2131">
            <v>96.9</v>
          </cell>
          <cell r="I2131" t="str">
            <v>-</v>
          </cell>
          <cell r="J2131">
            <v>12646</v>
          </cell>
          <cell r="K2131">
            <v>16.600000000000001</v>
          </cell>
          <cell r="L2131">
            <v>0.05</v>
          </cell>
          <cell r="M2131" t="str">
            <v>27 : 73</v>
          </cell>
          <cell r="N2131">
            <v>2016</v>
          </cell>
          <cell r="O2131">
            <v>411</v>
          </cell>
          <cell r="P2131">
            <v>3</v>
          </cell>
        </row>
        <row r="2132">
          <cell r="B2132" t="str">
            <v>National Research Nuclear University MePhI</v>
          </cell>
          <cell r="C2132" t="str">
            <v>Russian Federation</v>
          </cell>
          <cell r="D2132" t="str">
            <v>301-350</v>
          </cell>
          <cell r="E2132">
            <v>27.5</v>
          </cell>
          <cell r="F2132">
            <v>24.1</v>
          </cell>
          <cell r="G2132">
            <v>52.8</v>
          </cell>
          <cell r="H2132">
            <v>28.1</v>
          </cell>
          <cell r="I2132" t="str">
            <v>-</v>
          </cell>
          <cell r="J2132">
            <v>7801</v>
          </cell>
          <cell r="K2132">
            <v>7.3</v>
          </cell>
          <cell r="L2132">
            <v>7.0000000000000007E-2</v>
          </cell>
          <cell r="M2132" t="str">
            <v>29 : 71</v>
          </cell>
          <cell r="N2132">
            <v>2016</v>
          </cell>
          <cell r="O2132">
            <v>755</v>
          </cell>
          <cell r="P2132">
            <v>4</v>
          </cell>
        </row>
        <row r="2133">
          <cell r="B2133" t="str">
            <v>National Taiwan University of Science and Technology (Taiwan Tech)</v>
          </cell>
          <cell r="C2133" t="str">
            <v>Taiwan</v>
          </cell>
          <cell r="D2133" t="str">
            <v>301-350</v>
          </cell>
          <cell r="E2133">
            <v>30.5</v>
          </cell>
          <cell r="F2133">
            <v>43.1</v>
          </cell>
          <cell r="G2133">
            <v>39.1</v>
          </cell>
          <cell r="H2133">
            <v>92.2</v>
          </cell>
          <cell r="I2133" t="str">
            <v>-</v>
          </cell>
          <cell r="J2133">
            <v>7446</v>
          </cell>
          <cell r="K2133">
            <v>17.399999999999999</v>
          </cell>
          <cell r="L2133">
            <v>0.11</v>
          </cell>
          <cell r="M2133" t="str">
            <v>34 : 66</v>
          </cell>
          <cell r="N2133">
            <v>2016</v>
          </cell>
          <cell r="O2133" t="e">
            <v>#N/A</v>
          </cell>
          <cell r="P2133" t="e">
            <v>#N/A</v>
          </cell>
        </row>
        <row r="2134">
          <cell r="B2134" t="str">
            <v>University of Navarra</v>
          </cell>
          <cell r="C2134" t="str">
            <v>Spain</v>
          </cell>
          <cell r="D2134" t="str">
            <v>301-350</v>
          </cell>
          <cell r="E2134">
            <v>52.6</v>
          </cell>
          <cell r="F2134">
            <v>20.8</v>
          </cell>
          <cell r="G2134">
            <v>57.5</v>
          </cell>
          <cell r="H2134">
            <v>63.5</v>
          </cell>
          <cell r="I2134" t="str">
            <v>-</v>
          </cell>
          <cell r="J2134">
            <v>11259</v>
          </cell>
          <cell r="K2134">
            <v>10.6</v>
          </cell>
          <cell r="L2134">
            <v>0.16</v>
          </cell>
          <cell r="M2134">
            <v>2.2000000000000002</v>
          </cell>
          <cell r="N2134">
            <v>2016</v>
          </cell>
          <cell r="O2134">
            <v>347</v>
          </cell>
          <cell r="P2134">
            <v>6</v>
          </cell>
        </row>
        <row r="2135">
          <cell r="B2135" t="str">
            <v>University of Nebraska-Lincoln</v>
          </cell>
          <cell r="C2135" t="str">
            <v>United States of America</v>
          </cell>
          <cell r="D2135" t="str">
            <v>301-350</v>
          </cell>
          <cell r="E2135">
            <v>45.8</v>
          </cell>
          <cell r="F2135">
            <v>30.2</v>
          </cell>
          <cell r="G2135">
            <v>53.5</v>
          </cell>
          <cell r="H2135">
            <v>35.6</v>
          </cell>
          <cell r="I2135" t="str">
            <v>-</v>
          </cell>
          <cell r="J2135">
            <v>21789</v>
          </cell>
          <cell r="K2135">
            <v>16.399999999999999</v>
          </cell>
          <cell r="L2135">
            <v>0.09</v>
          </cell>
          <cell r="M2135">
            <v>1.9541666666666666</v>
          </cell>
          <cell r="N2135">
            <v>2016</v>
          </cell>
          <cell r="O2135" t="e">
            <v>#N/A</v>
          </cell>
          <cell r="P2135" t="e">
            <v>#N/A</v>
          </cell>
        </row>
        <row r="2136">
          <cell r="B2136" t="str">
            <v>Ã–rebro University</v>
          </cell>
          <cell r="C2136" t="str">
            <v>Sweden</v>
          </cell>
          <cell r="D2136" t="str">
            <v>301-350</v>
          </cell>
          <cell r="E2136">
            <v>39.4</v>
          </cell>
          <cell r="F2136">
            <v>10.4</v>
          </cell>
          <cell r="G2136">
            <v>87.8</v>
          </cell>
          <cell r="H2136">
            <v>29.8</v>
          </cell>
          <cell r="I2136" t="str">
            <v>-</v>
          </cell>
          <cell r="J2136">
            <v>8788</v>
          </cell>
          <cell r="K2136">
            <v>15.8</v>
          </cell>
          <cell r="L2136">
            <v>0.02</v>
          </cell>
          <cell r="M2136">
            <v>2.5687500000000001</v>
          </cell>
          <cell r="N2136">
            <v>2016</v>
          </cell>
          <cell r="O2136">
            <v>656</v>
          </cell>
          <cell r="P2136">
            <v>11</v>
          </cell>
        </row>
        <row r="2137">
          <cell r="B2137" t="str">
            <v>University of Oregon</v>
          </cell>
          <cell r="C2137" t="str">
            <v>United States of America</v>
          </cell>
          <cell r="D2137" t="str">
            <v>301-350</v>
          </cell>
          <cell r="E2137">
            <v>33.5</v>
          </cell>
          <cell r="F2137">
            <v>22.7</v>
          </cell>
          <cell r="G2137">
            <v>72.599999999999994</v>
          </cell>
          <cell r="H2137">
            <v>30.8</v>
          </cell>
          <cell r="I2137" t="str">
            <v>-</v>
          </cell>
          <cell r="J2137">
            <v>24418</v>
          </cell>
          <cell r="K2137">
            <v>20.2</v>
          </cell>
          <cell r="L2137">
            <v>0.11</v>
          </cell>
          <cell r="M2137">
            <v>2.2000000000000002</v>
          </cell>
          <cell r="N2137">
            <v>2016</v>
          </cell>
          <cell r="O2137">
            <v>346</v>
          </cell>
          <cell r="P2137">
            <v>126</v>
          </cell>
        </row>
        <row r="2138">
          <cell r="B2138" t="str">
            <v>University of Padua</v>
          </cell>
          <cell r="C2138" t="str">
            <v>Italy</v>
          </cell>
          <cell r="D2138" t="str">
            <v>301-350</v>
          </cell>
          <cell r="E2138">
            <v>37.9</v>
          </cell>
          <cell r="F2138">
            <v>22.6</v>
          </cell>
          <cell r="G2138">
            <v>74.599999999999994</v>
          </cell>
          <cell r="H2138">
            <v>32.6</v>
          </cell>
          <cell r="I2138" t="str">
            <v>-</v>
          </cell>
          <cell r="J2138">
            <v>62577</v>
          </cell>
          <cell r="K2138">
            <v>18.3</v>
          </cell>
          <cell r="L2138">
            <v>0.04</v>
          </cell>
          <cell r="M2138">
            <v>2.3638888888888889</v>
          </cell>
          <cell r="N2138">
            <v>2016</v>
          </cell>
          <cell r="O2138">
            <v>184</v>
          </cell>
          <cell r="P2138">
            <v>3</v>
          </cell>
        </row>
        <row r="2139">
          <cell r="B2139" t="str">
            <v>University of Pavia</v>
          </cell>
          <cell r="C2139" t="str">
            <v>Italy</v>
          </cell>
          <cell r="D2139" t="str">
            <v>301-350</v>
          </cell>
          <cell r="E2139">
            <v>40.5</v>
          </cell>
          <cell r="F2139">
            <v>22.5</v>
          </cell>
          <cell r="G2139">
            <v>65.099999999999994</v>
          </cell>
          <cell r="H2139">
            <v>69.400000000000006</v>
          </cell>
          <cell r="I2139" t="str">
            <v>-</v>
          </cell>
          <cell r="J2139">
            <v>22958</v>
          </cell>
          <cell r="K2139">
            <v>40.6</v>
          </cell>
          <cell r="L2139">
            <v>0.06</v>
          </cell>
          <cell r="M2139">
            <v>2.3638888888888889</v>
          </cell>
          <cell r="N2139">
            <v>2016</v>
          </cell>
          <cell r="O2139">
            <v>344</v>
          </cell>
          <cell r="P2139">
            <v>12</v>
          </cell>
        </row>
        <row r="2140">
          <cell r="B2140" t="str">
            <v>Plymouth University</v>
          </cell>
          <cell r="C2140" t="str">
            <v>United Kingdom</v>
          </cell>
          <cell r="D2140" t="str">
            <v>301-350</v>
          </cell>
          <cell r="E2140">
            <v>64</v>
          </cell>
          <cell r="F2140">
            <v>18</v>
          </cell>
          <cell r="G2140">
            <v>75.2</v>
          </cell>
          <cell r="H2140">
            <v>28.5</v>
          </cell>
          <cell r="I2140" t="str">
            <v>-</v>
          </cell>
          <cell r="J2140">
            <v>24121</v>
          </cell>
          <cell r="K2140">
            <v>25.9</v>
          </cell>
          <cell r="L2140">
            <v>0.13</v>
          </cell>
          <cell r="M2140">
            <v>2.2000000000000002</v>
          </cell>
          <cell r="N2140">
            <v>2016</v>
          </cell>
          <cell r="O2140">
            <v>577</v>
          </cell>
          <cell r="P2140">
            <v>45</v>
          </cell>
        </row>
        <row r="2141">
          <cell r="B2141" t="str">
            <v>Shanghai Jiao Tong University</v>
          </cell>
          <cell r="C2141" t="str">
            <v>China</v>
          </cell>
          <cell r="D2141" t="str">
            <v>301-350</v>
          </cell>
          <cell r="E2141">
            <v>27.5</v>
          </cell>
          <cell r="F2141">
            <v>45.2</v>
          </cell>
          <cell r="G2141">
            <v>34</v>
          </cell>
          <cell r="H2141">
            <v>92.9</v>
          </cell>
          <cell r="I2141" t="str">
            <v>-</v>
          </cell>
          <cell r="J2141">
            <v>38191</v>
          </cell>
          <cell r="K2141">
            <v>12.8</v>
          </cell>
          <cell r="L2141">
            <v>0.06</v>
          </cell>
          <cell r="M2141" t="str">
            <v>37 : 63</v>
          </cell>
          <cell r="N2141">
            <v>2016</v>
          </cell>
          <cell r="O2141">
            <v>195</v>
          </cell>
          <cell r="P2141">
            <v>4</v>
          </cell>
        </row>
        <row r="2142">
          <cell r="B2142" t="str">
            <v>University of Southern Denmark</v>
          </cell>
          <cell r="C2142" t="str">
            <v>Denmark</v>
          </cell>
          <cell r="D2142" t="str">
            <v>301-350</v>
          </cell>
          <cell r="E2142">
            <v>71.8</v>
          </cell>
          <cell r="F2142">
            <v>14.7</v>
          </cell>
          <cell r="G2142">
            <v>79.7</v>
          </cell>
          <cell r="H2142">
            <v>28</v>
          </cell>
          <cell r="I2142" t="str">
            <v>-</v>
          </cell>
          <cell r="J2142">
            <v>22210</v>
          </cell>
          <cell r="K2142">
            <v>12.7</v>
          </cell>
          <cell r="L2142">
            <v>0.16</v>
          </cell>
          <cell r="M2142">
            <v>2.2000000000000002</v>
          </cell>
          <cell r="N2142">
            <v>2016</v>
          </cell>
          <cell r="O2142">
            <v>352</v>
          </cell>
          <cell r="P2142">
            <v>4</v>
          </cell>
        </row>
        <row r="2143">
          <cell r="B2143" t="str">
            <v>Stellenbosch University</v>
          </cell>
          <cell r="C2143" t="str">
            <v>South Africa</v>
          </cell>
          <cell r="D2143" t="str">
            <v>301-350</v>
          </cell>
          <cell r="E2143">
            <v>49.8</v>
          </cell>
          <cell r="F2143">
            <v>35</v>
          </cell>
          <cell r="G2143">
            <v>46.9</v>
          </cell>
          <cell r="H2143">
            <v>100</v>
          </cell>
          <cell r="I2143" t="str">
            <v>-</v>
          </cell>
          <cell r="J2143">
            <v>21849</v>
          </cell>
          <cell r="K2143">
            <v>23</v>
          </cell>
          <cell r="L2143">
            <v>0.08</v>
          </cell>
          <cell r="M2143">
            <v>2.2409722222222221</v>
          </cell>
          <cell r="N2143">
            <v>2016</v>
          </cell>
          <cell r="O2143">
            <v>311</v>
          </cell>
          <cell r="P2143">
            <v>3</v>
          </cell>
        </row>
        <row r="2144">
          <cell r="B2144" t="str">
            <v>University of Strasbourg</v>
          </cell>
          <cell r="C2144" t="str">
            <v>France</v>
          </cell>
          <cell r="D2144" t="str">
            <v>301-350</v>
          </cell>
          <cell r="E2144">
            <v>71.599999999999994</v>
          </cell>
          <cell r="F2144">
            <v>23.4</v>
          </cell>
          <cell r="G2144">
            <v>64.400000000000006</v>
          </cell>
          <cell r="H2144">
            <v>32.799999999999997</v>
          </cell>
          <cell r="I2144" t="str">
            <v>-</v>
          </cell>
          <cell r="J2144">
            <v>46208</v>
          </cell>
          <cell r="K2144">
            <v>17.8</v>
          </cell>
          <cell r="L2144">
            <v>0.21</v>
          </cell>
          <cell r="M2144">
            <v>2.4458333333333333</v>
          </cell>
          <cell r="N2144">
            <v>2016</v>
          </cell>
          <cell r="O2144">
            <v>176</v>
          </cell>
          <cell r="P2144">
            <v>7</v>
          </cell>
        </row>
        <row r="2145">
          <cell r="B2145" t="str">
            <v>Technical University of Dortmund</v>
          </cell>
          <cell r="C2145" t="str">
            <v>Germany</v>
          </cell>
          <cell r="D2145" t="str">
            <v>301-350</v>
          </cell>
          <cell r="E2145">
            <v>40.799999999999997</v>
          </cell>
          <cell r="F2145">
            <v>29.8</v>
          </cell>
          <cell r="G2145">
            <v>55.3</v>
          </cell>
          <cell r="H2145">
            <v>48.6</v>
          </cell>
          <cell r="I2145" t="str">
            <v>-</v>
          </cell>
          <cell r="J2145">
            <v>29143</v>
          </cell>
          <cell r="K2145">
            <v>88.9</v>
          </cell>
          <cell r="L2145">
            <v>0.1</v>
          </cell>
          <cell r="M2145">
            <v>1.9951388888888888</v>
          </cell>
          <cell r="N2145">
            <v>2016</v>
          </cell>
          <cell r="O2145">
            <v>458</v>
          </cell>
          <cell r="P2145">
            <v>35</v>
          </cell>
        </row>
        <row r="2146">
          <cell r="B2146" t="str">
            <v>Technion Israel Institute of Technology</v>
          </cell>
          <cell r="C2146" t="str">
            <v>Israel</v>
          </cell>
          <cell r="D2146" t="str">
            <v>301-350</v>
          </cell>
          <cell r="E2146">
            <v>61.9</v>
          </cell>
          <cell r="F2146">
            <v>33.299999999999997</v>
          </cell>
          <cell r="G2146">
            <v>52.1</v>
          </cell>
          <cell r="H2146">
            <v>28.8</v>
          </cell>
          <cell r="I2146" t="str">
            <v>-</v>
          </cell>
          <cell r="J2146">
            <v>13855</v>
          </cell>
          <cell r="K2146">
            <v>19.399999999999999</v>
          </cell>
          <cell r="L2146">
            <v>0.04</v>
          </cell>
          <cell r="M2146" t="str">
            <v>35 : 65</v>
          </cell>
          <cell r="N2146">
            <v>2016</v>
          </cell>
          <cell r="O2146" t="e">
            <v>#N/A</v>
          </cell>
          <cell r="P2146" t="e">
            <v>#N/A</v>
          </cell>
        </row>
        <row r="2147">
          <cell r="B2147" t="str">
            <v>Toulouse 1 Capitole University</v>
          </cell>
          <cell r="C2147" t="str">
            <v>France</v>
          </cell>
          <cell r="D2147" t="str">
            <v>301-350</v>
          </cell>
          <cell r="E2147">
            <v>66.7</v>
          </cell>
          <cell r="F2147">
            <v>35.700000000000003</v>
          </cell>
          <cell r="G2147">
            <v>56.3</v>
          </cell>
          <cell r="H2147">
            <v>32.5</v>
          </cell>
          <cell r="I2147" t="str">
            <v>-</v>
          </cell>
          <cell r="J2147">
            <v>19011</v>
          </cell>
          <cell r="K2147">
            <v>43.8</v>
          </cell>
          <cell r="L2147">
            <v>0.19</v>
          </cell>
          <cell r="M2147">
            <v>2.4868055555555557</v>
          </cell>
          <cell r="N2147">
            <v>2016</v>
          </cell>
          <cell r="O2147" t="e">
            <v>#N/A</v>
          </cell>
          <cell r="P2147" t="e">
            <v>#N/A</v>
          </cell>
        </row>
        <row r="2148">
          <cell r="B2148" t="str">
            <v>University of Trieste</v>
          </cell>
          <cell r="C2148" t="str">
            <v>Italy</v>
          </cell>
          <cell r="D2148" t="str">
            <v>301-350</v>
          </cell>
          <cell r="E2148">
            <v>47.3</v>
          </cell>
          <cell r="F2148">
            <v>18.5</v>
          </cell>
          <cell r="G2148">
            <v>74.099999999999994</v>
          </cell>
          <cell r="H2148">
            <v>32.299999999999997</v>
          </cell>
          <cell r="I2148" t="str">
            <v>-</v>
          </cell>
          <cell r="J2148">
            <v>18135</v>
          </cell>
          <cell r="K2148">
            <v>25.8</v>
          </cell>
          <cell r="L2148">
            <v>0.09</v>
          </cell>
          <cell r="M2148">
            <v>2.3638888888888889</v>
          </cell>
          <cell r="N2148">
            <v>2016</v>
          </cell>
          <cell r="O2148">
            <v>367</v>
          </cell>
          <cell r="P2148">
            <v>14</v>
          </cell>
        </row>
        <row r="2149">
          <cell r="B2149" t="str">
            <v>University of Turin</v>
          </cell>
          <cell r="C2149" t="str">
            <v>Italy</v>
          </cell>
          <cell r="D2149" t="str">
            <v>301-350</v>
          </cell>
          <cell r="E2149">
            <v>38.799999999999997</v>
          </cell>
          <cell r="F2149">
            <v>22.3</v>
          </cell>
          <cell r="G2149">
            <v>67.5</v>
          </cell>
          <cell r="H2149">
            <v>54.2</v>
          </cell>
          <cell r="I2149" t="str">
            <v>-</v>
          </cell>
          <cell r="J2149">
            <v>67552</v>
          </cell>
          <cell r="K2149">
            <v>66</v>
          </cell>
          <cell r="L2149">
            <v>0.06</v>
          </cell>
          <cell r="M2149">
            <v>2.6097222222222221</v>
          </cell>
          <cell r="N2149">
            <v>2016</v>
          </cell>
          <cell r="O2149">
            <v>231</v>
          </cell>
          <cell r="P2149">
            <v>5</v>
          </cell>
        </row>
        <row r="2150">
          <cell r="B2150" t="str">
            <v>University of Turku</v>
          </cell>
          <cell r="C2150" t="str">
            <v>Finland</v>
          </cell>
          <cell r="D2150" t="str">
            <v>301-350</v>
          </cell>
          <cell r="E2150">
            <v>66.2</v>
          </cell>
          <cell r="F2150">
            <v>21.2</v>
          </cell>
          <cell r="G2150">
            <v>65.8</v>
          </cell>
          <cell r="H2150">
            <v>31.2</v>
          </cell>
          <cell r="I2150" t="str">
            <v>-</v>
          </cell>
          <cell r="J2150">
            <v>12326</v>
          </cell>
          <cell r="K2150">
            <v>14.6</v>
          </cell>
          <cell r="L2150">
            <v>0.05</v>
          </cell>
          <cell r="M2150">
            <v>2.5687500000000001</v>
          </cell>
          <cell r="N2150">
            <v>2016</v>
          </cell>
          <cell r="O2150">
            <v>391</v>
          </cell>
          <cell r="P2150">
            <v>3</v>
          </cell>
        </row>
        <row r="2151">
          <cell r="B2151" t="str">
            <v>Vrije Universiteit Brussel</v>
          </cell>
          <cell r="C2151" t="str">
            <v>Belgium</v>
          </cell>
          <cell r="D2151" t="str">
            <v>301-350</v>
          </cell>
          <cell r="E2151">
            <v>64.5</v>
          </cell>
          <cell r="F2151">
            <v>24.5</v>
          </cell>
          <cell r="G2151">
            <v>56.8</v>
          </cell>
          <cell r="H2151">
            <v>77.099999999999994</v>
          </cell>
          <cell r="I2151" t="str">
            <v>-</v>
          </cell>
          <cell r="J2151">
            <v>9020</v>
          </cell>
          <cell r="K2151">
            <v>17.100000000000001</v>
          </cell>
          <cell r="L2151">
            <v>0.16</v>
          </cell>
          <cell r="M2151">
            <v>2.3229166666666665</v>
          </cell>
          <cell r="N2151">
            <v>2016</v>
          </cell>
          <cell r="O2151">
            <v>248</v>
          </cell>
          <cell r="P2151">
            <v>5</v>
          </cell>
        </row>
        <row r="2152">
          <cell r="B2152" t="str">
            <v>VÅ B - Technical University of Ostrava</v>
          </cell>
          <cell r="C2152" t="str">
            <v>Czech Republic</v>
          </cell>
          <cell r="D2152" t="str">
            <v>301-350</v>
          </cell>
          <cell r="E2152">
            <v>22.3</v>
          </cell>
          <cell r="F2152">
            <v>15.7</v>
          </cell>
          <cell r="G2152">
            <v>85.5</v>
          </cell>
          <cell r="H2152">
            <v>32.1</v>
          </cell>
          <cell r="I2152" t="str">
            <v>-</v>
          </cell>
          <cell r="J2152">
            <v>14991</v>
          </cell>
          <cell r="K2152">
            <v>23.9</v>
          </cell>
          <cell r="L2152">
            <v>0.05</v>
          </cell>
          <cell r="M2152">
            <v>2.0770833333333334</v>
          </cell>
          <cell r="N2152">
            <v>2016</v>
          </cell>
          <cell r="O2152" t="e">
            <v>#N/A</v>
          </cell>
          <cell r="P2152" t="e">
            <v>#N/A</v>
          </cell>
        </row>
        <row r="2153">
          <cell r="B2153" t="str">
            <v>Yonsei University</v>
          </cell>
          <cell r="C2153" t="str">
            <v>South Korea</v>
          </cell>
          <cell r="D2153" t="str">
            <v>301-350</v>
          </cell>
          <cell r="E2153">
            <v>41.5</v>
          </cell>
          <cell r="F2153">
            <v>34.1</v>
          </cell>
          <cell r="G2153">
            <v>39.4</v>
          </cell>
          <cell r="H2153">
            <v>75.900000000000006</v>
          </cell>
          <cell r="I2153" t="str">
            <v>-</v>
          </cell>
          <cell r="J2153">
            <v>24774</v>
          </cell>
          <cell r="K2153">
            <v>11.6</v>
          </cell>
          <cell r="L2153">
            <v>0.14000000000000001</v>
          </cell>
          <cell r="N2153">
            <v>2016</v>
          </cell>
          <cell r="O2153">
            <v>107</v>
          </cell>
          <cell r="P2153">
            <v>2</v>
          </cell>
        </row>
        <row r="2154">
          <cell r="B2154" t="str">
            <v>York University</v>
          </cell>
          <cell r="C2154" t="str">
            <v>Canada</v>
          </cell>
          <cell r="D2154" t="str">
            <v>301-350</v>
          </cell>
          <cell r="E2154">
            <v>58.2</v>
          </cell>
          <cell r="F2154">
            <v>30.8</v>
          </cell>
          <cell r="G2154">
            <v>49.1</v>
          </cell>
          <cell r="H2154">
            <v>33.200000000000003</v>
          </cell>
          <cell r="I2154" t="str">
            <v>-</v>
          </cell>
          <cell r="J2154">
            <v>48007</v>
          </cell>
          <cell r="K2154">
            <v>39.4</v>
          </cell>
          <cell r="L2154">
            <v>0.09</v>
          </cell>
          <cell r="M2154">
            <v>2.4868055555555557</v>
          </cell>
          <cell r="N2154">
            <v>2016</v>
          </cell>
          <cell r="O2154">
            <v>398</v>
          </cell>
          <cell r="P2154">
            <v>18</v>
          </cell>
        </row>
        <row r="2155">
          <cell r="B2155" t="str">
            <v>Bilkent University</v>
          </cell>
          <cell r="C2155" t="str">
            <v>Turkey</v>
          </cell>
          <cell r="D2155" t="str">
            <v>351-400</v>
          </cell>
          <cell r="E2155">
            <v>47.5</v>
          </cell>
          <cell r="F2155">
            <v>17.5</v>
          </cell>
          <cell r="G2155">
            <v>64.099999999999994</v>
          </cell>
          <cell r="H2155">
            <v>30.2</v>
          </cell>
          <cell r="I2155" t="str">
            <v>-</v>
          </cell>
          <cell r="N2155">
            <v>2016</v>
          </cell>
          <cell r="O2155">
            <v>856</v>
          </cell>
          <cell r="P2155">
            <v>7</v>
          </cell>
        </row>
        <row r="2156">
          <cell r="B2156" t="str">
            <v>Binghamton University, State University of New York</v>
          </cell>
          <cell r="C2156" t="str">
            <v>United States of America</v>
          </cell>
          <cell r="D2156" t="str">
            <v>351-400</v>
          </cell>
          <cell r="E2156">
            <v>53.6</v>
          </cell>
          <cell r="F2156">
            <v>17.399999999999999</v>
          </cell>
          <cell r="G2156">
            <v>62</v>
          </cell>
          <cell r="H2156">
            <v>34</v>
          </cell>
          <cell r="I2156" t="str">
            <v>-</v>
          </cell>
          <cell r="J2156">
            <v>15799</v>
          </cell>
          <cell r="K2156">
            <v>23.3</v>
          </cell>
          <cell r="L2156">
            <v>0.14000000000000001</v>
          </cell>
          <cell r="M2156">
            <v>2.036111111111111</v>
          </cell>
          <cell r="N2156">
            <v>2016</v>
          </cell>
          <cell r="O2156" t="e">
            <v>#N/A</v>
          </cell>
          <cell r="P2156" t="e">
            <v>#N/A</v>
          </cell>
        </row>
        <row r="2157">
          <cell r="B2157" t="str">
            <v>University of Crete</v>
          </cell>
          <cell r="C2157" t="str">
            <v>Greece</v>
          </cell>
          <cell r="D2157" t="str">
            <v>351-400</v>
          </cell>
          <cell r="E2157">
            <v>47</v>
          </cell>
          <cell r="F2157">
            <v>19.2</v>
          </cell>
          <cell r="G2157">
            <v>73.599999999999994</v>
          </cell>
          <cell r="H2157">
            <v>34.5</v>
          </cell>
          <cell r="I2157" t="str">
            <v>-</v>
          </cell>
          <cell r="J2157">
            <v>14650</v>
          </cell>
          <cell r="K2157">
            <v>26.9</v>
          </cell>
          <cell r="L2157">
            <v>0.05</v>
          </cell>
          <cell r="M2157">
            <v>2.6506944444444445</v>
          </cell>
          <cell r="N2157">
            <v>2016</v>
          </cell>
          <cell r="O2157">
            <v>551</v>
          </cell>
          <cell r="P2157">
            <v>3</v>
          </cell>
        </row>
        <row r="2158">
          <cell r="B2158" t="str">
            <v>University of Cyprus</v>
          </cell>
          <cell r="C2158" t="str">
            <v>Cyprus</v>
          </cell>
          <cell r="D2158" t="str">
            <v>351-400</v>
          </cell>
          <cell r="E2158">
            <v>74.7</v>
          </cell>
          <cell r="F2158">
            <v>28.5</v>
          </cell>
          <cell r="G2158">
            <v>56.7</v>
          </cell>
          <cell r="H2158">
            <v>30</v>
          </cell>
          <cell r="I2158" t="str">
            <v>-</v>
          </cell>
          <cell r="J2158">
            <v>6880</v>
          </cell>
          <cell r="K2158">
            <v>22.9</v>
          </cell>
          <cell r="L2158">
            <v>0.08</v>
          </cell>
          <cell r="M2158">
            <v>2.8965277777777776</v>
          </cell>
          <cell r="N2158">
            <v>2016</v>
          </cell>
          <cell r="O2158">
            <v>953</v>
          </cell>
          <cell r="P2158">
            <v>1</v>
          </cell>
        </row>
        <row r="2159">
          <cell r="B2159" t="str">
            <v>Drexel University</v>
          </cell>
          <cell r="C2159" t="str">
            <v>United States of America</v>
          </cell>
          <cell r="D2159" t="str">
            <v>351-400</v>
          </cell>
          <cell r="E2159">
            <v>46.3</v>
          </cell>
          <cell r="F2159">
            <v>14.6</v>
          </cell>
          <cell r="G2159">
            <v>57.7</v>
          </cell>
          <cell r="H2159">
            <v>36.299999999999997</v>
          </cell>
          <cell r="I2159" t="str">
            <v>-</v>
          </cell>
          <cell r="J2159">
            <v>20713</v>
          </cell>
          <cell r="K2159">
            <v>10.8</v>
          </cell>
          <cell r="L2159">
            <v>0.18</v>
          </cell>
          <cell r="M2159">
            <v>2.036111111111111</v>
          </cell>
          <cell r="N2159">
            <v>2016</v>
          </cell>
          <cell r="O2159">
            <v>261</v>
          </cell>
          <cell r="P2159">
            <v>107</v>
          </cell>
        </row>
        <row r="2160">
          <cell r="B2160" t="str">
            <v>University of Eastern Finland</v>
          </cell>
          <cell r="C2160" t="str">
            <v>Finland</v>
          </cell>
          <cell r="D2160" t="str">
            <v>351-400</v>
          </cell>
          <cell r="E2160">
            <v>46.1</v>
          </cell>
          <cell r="F2160">
            <v>20.7</v>
          </cell>
          <cell r="G2160">
            <v>65.099999999999994</v>
          </cell>
          <cell r="H2160">
            <v>33.299999999999997</v>
          </cell>
          <cell r="I2160" t="str">
            <v>-</v>
          </cell>
          <cell r="J2160">
            <v>10798</v>
          </cell>
          <cell r="K2160">
            <v>17.3</v>
          </cell>
          <cell r="L2160">
            <v>0.06</v>
          </cell>
          <cell r="M2160">
            <v>2.6916666666666669</v>
          </cell>
          <cell r="N2160">
            <v>2016</v>
          </cell>
          <cell r="O2160">
            <v>373</v>
          </cell>
          <cell r="P2160">
            <v>2</v>
          </cell>
        </row>
        <row r="2161">
          <cell r="B2161" t="str">
            <v>University of Florence</v>
          </cell>
          <cell r="C2161" t="str">
            <v>Italy</v>
          </cell>
          <cell r="D2161" t="str">
            <v>351-400</v>
          </cell>
          <cell r="E2161">
            <v>38.5</v>
          </cell>
          <cell r="F2161">
            <v>20.399999999999999</v>
          </cell>
          <cell r="G2161">
            <v>72.099999999999994</v>
          </cell>
          <cell r="H2161">
            <v>35.9</v>
          </cell>
          <cell r="I2161" t="str">
            <v>-</v>
          </cell>
          <cell r="J2161">
            <v>54290</v>
          </cell>
          <cell r="K2161">
            <v>17.2</v>
          </cell>
          <cell r="L2161">
            <v>7.0000000000000007E-2</v>
          </cell>
          <cell r="M2161">
            <v>2.4868055555555557</v>
          </cell>
          <cell r="N2161">
            <v>2016</v>
          </cell>
          <cell r="O2161">
            <v>266</v>
          </cell>
          <cell r="P2161">
            <v>6</v>
          </cell>
        </row>
        <row r="2162">
          <cell r="B2162" t="str">
            <v>University of St Gallen</v>
          </cell>
          <cell r="C2162" t="str">
            <v>Switzerland</v>
          </cell>
          <cell r="D2162" t="str">
            <v>351-400</v>
          </cell>
          <cell r="E2162">
            <v>97.6</v>
          </cell>
          <cell r="F2162">
            <v>11.2</v>
          </cell>
          <cell r="G2162">
            <v>53.5</v>
          </cell>
          <cell r="H2162">
            <v>41.8</v>
          </cell>
          <cell r="I2162" t="str">
            <v>-</v>
          </cell>
          <cell r="J2162">
            <v>6848</v>
          </cell>
          <cell r="K2162">
            <v>10.8</v>
          </cell>
          <cell r="L2162">
            <v>0.34</v>
          </cell>
          <cell r="M2162" t="str">
            <v>32 : 68</v>
          </cell>
          <cell r="N2162">
            <v>2016</v>
          </cell>
          <cell r="O2162" t="e">
            <v>#N/A</v>
          </cell>
          <cell r="P2162" t="e">
            <v>#N/A</v>
          </cell>
        </row>
        <row r="2163">
          <cell r="B2163" t="str">
            <v>Graz University of Technology</v>
          </cell>
          <cell r="C2163" t="str">
            <v>Austria</v>
          </cell>
          <cell r="D2163" t="str">
            <v>351-400</v>
          </cell>
          <cell r="E2163">
            <v>69.3</v>
          </cell>
          <cell r="F2163">
            <v>15.8</v>
          </cell>
          <cell r="G2163">
            <v>52.9</v>
          </cell>
          <cell r="H2163">
            <v>77.2</v>
          </cell>
          <cell r="I2163" t="str">
            <v>-</v>
          </cell>
          <cell r="J2163">
            <v>7542</v>
          </cell>
          <cell r="K2163">
            <v>12.5</v>
          </cell>
          <cell r="L2163">
            <v>0.16</v>
          </cell>
          <cell r="M2163">
            <v>0.97083333333333333</v>
          </cell>
          <cell r="N2163">
            <v>2016</v>
          </cell>
          <cell r="O2163">
            <v>725</v>
          </cell>
          <cell r="P2163">
            <v>10</v>
          </cell>
        </row>
        <row r="2164">
          <cell r="B2164" t="str">
            <v>University of Guelph</v>
          </cell>
          <cell r="C2164" t="str">
            <v>Canada</v>
          </cell>
          <cell r="D2164" t="str">
            <v>351-400</v>
          </cell>
          <cell r="E2164">
            <v>53.6</v>
          </cell>
          <cell r="F2164">
            <v>34.200000000000003</v>
          </cell>
          <cell r="G2164">
            <v>44.4</v>
          </cell>
          <cell r="H2164">
            <v>47.4</v>
          </cell>
          <cell r="I2164" t="str">
            <v>-</v>
          </cell>
          <cell r="J2164">
            <v>21643</v>
          </cell>
          <cell r="K2164">
            <v>28.3</v>
          </cell>
          <cell r="L2164">
            <v>0.04</v>
          </cell>
          <cell r="M2164">
            <v>2.5277777777777777</v>
          </cell>
          <cell r="N2164">
            <v>2016</v>
          </cell>
          <cell r="O2164">
            <v>366</v>
          </cell>
          <cell r="P2164">
            <v>15</v>
          </cell>
        </row>
        <row r="2165">
          <cell r="B2165" t="str">
            <v>Hanyang University</v>
          </cell>
          <cell r="C2165" t="str">
            <v>South Korea</v>
          </cell>
          <cell r="D2165" t="str">
            <v>351-400</v>
          </cell>
          <cell r="E2165">
            <v>54.3</v>
          </cell>
          <cell r="F2165">
            <v>32.6</v>
          </cell>
          <cell r="G2165">
            <v>31.1</v>
          </cell>
          <cell r="H2165">
            <v>87.9</v>
          </cell>
          <cell r="I2165" t="str">
            <v>-</v>
          </cell>
          <cell r="J2165">
            <v>16729</v>
          </cell>
          <cell r="K2165">
            <v>10.4</v>
          </cell>
          <cell r="L2165">
            <v>0.19</v>
          </cell>
          <cell r="N2165">
            <v>2016</v>
          </cell>
          <cell r="O2165">
            <v>174</v>
          </cell>
          <cell r="P2165">
            <v>5</v>
          </cell>
        </row>
        <row r="2166">
          <cell r="B2166" t="str">
            <v>Hong Kong Baptist University</v>
          </cell>
          <cell r="C2166" t="str">
            <v>Hong Kong</v>
          </cell>
          <cell r="D2166" t="str">
            <v>351-400</v>
          </cell>
          <cell r="E2166">
            <v>75</v>
          </cell>
          <cell r="F2166">
            <v>12.1</v>
          </cell>
          <cell r="G2166">
            <v>67.900000000000006</v>
          </cell>
          <cell r="H2166">
            <v>28.8</v>
          </cell>
          <cell r="I2166" t="str">
            <v>-</v>
          </cell>
          <cell r="J2166">
            <v>10441</v>
          </cell>
          <cell r="K2166">
            <v>11</v>
          </cell>
          <cell r="L2166">
            <v>0.25</v>
          </cell>
          <cell r="M2166">
            <v>2.5687500000000001</v>
          </cell>
          <cell r="N2166">
            <v>2016</v>
          </cell>
          <cell r="O2166">
            <v>678</v>
          </cell>
          <cell r="P2166">
            <v>6</v>
          </cell>
        </row>
        <row r="2167">
          <cell r="B2167" t="str">
            <v>University of Houston</v>
          </cell>
          <cell r="C2167" t="str">
            <v>United States of America</v>
          </cell>
          <cell r="D2167" t="str">
            <v>351-400</v>
          </cell>
          <cell r="E2167">
            <v>33.9</v>
          </cell>
          <cell r="F2167">
            <v>26.5</v>
          </cell>
          <cell r="G2167">
            <v>52</v>
          </cell>
          <cell r="H2167">
            <v>42.3</v>
          </cell>
          <cell r="I2167" t="str">
            <v>-</v>
          </cell>
          <cell r="J2167">
            <v>40325</v>
          </cell>
          <cell r="K2167">
            <v>43.7</v>
          </cell>
          <cell r="L2167">
            <v>0.09</v>
          </cell>
          <cell r="M2167">
            <v>2.1180555555555554</v>
          </cell>
          <cell r="N2167">
            <v>2016</v>
          </cell>
          <cell r="O2167">
            <v>162</v>
          </cell>
          <cell r="P2167">
            <v>70</v>
          </cell>
        </row>
        <row r="2168">
          <cell r="B2168" t="str">
            <v>Indian Institute of Technology Bombay</v>
          </cell>
          <cell r="C2168" t="str">
            <v>India</v>
          </cell>
          <cell r="D2168" t="str">
            <v>351-400</v>
          </cell>
          <cell r="E2168">
            <v>17.7</v>
          </cell>
          <cell r="F2168">
            <v>28.6</v>
          </cell>
          <cell r="G2168">
            <v>48.5</v>
          </cell>
          <cell r="H2168">
            <v>42.3</v>
          </cell>
          <cell r="I2168" t="str">
            <v>-</v>
          </cell>
          <cell r="J2168">
            <v>8327</v>
          </cell>
          <cell r="K2168">
            <v>14.9</v>
          </cell>
          <cell r="L2168">
            <v>0.01</v>
          </cell>
          <cell r="M2168">
            <v>0.72499999999999998</v>
          </cell>
          <cell r="N2168">
            <v>2016</v>
          </cell>
          <cell r="O2168">
            <v>535</v>
          </cell>
          <cell r="P2168">
            <v>4</v>
          </cell>
        </row>
        <row r="2169">
          <cell r="B2169" t="str">
            <v>Instituto Superior TÃ©cnico Lisboa</v>
          </cell>
          <cell r="C2169" t="str">
            <v>Portugal</v>
          </cell>
          <cell r="D2169" t="str">
            <v>351-400</v>
          </cell>
          <cell r="E2169">
            <v>43.7</v>
          </cell>
          <cell r="F2169">
            <v>25</v>
          </cell>
          <cell r="G2169">
            <v>59.8</v>
          </cell>
          <cell r="H2169">
            <v>38.799999999999997</v>
          </cell>
          <cell r="I2169" t="str">
            <v>-</v>
          </cell>
          <cell r="J2169">
            <v>11778</v>
          </cell>
          <cell r="K2169">
            <v>16.899999999999999</v>
          </cell>
          <cell r="L2169">
            <v>0.09</v>
          </cell>
          <cell r="M2169" t="str">
            <v>27 : 73</v>
          </cell>
          <cell r="N2169">
            <v>2016</v>
          </cell>
          <cell r="O2169" t="e">
            <v>#N/A</v>
          </cell>
          <cell r="P2169" t="e">
            <v>#N/A</v>
          </cell>
        </row>
        <row r="2170">
          <cell r="B2170" t="str">
            <v>University of JyvÃ¤skylÃ¤</v>
          </cell>
          <cell r="C2170" t="str">
            <v>Finland</v>
          </cell>
          <cell r="D2170" t="str">
            <v>351-400</v>
          </cell>
          <cell r="E2170">
            <v>47.1</v>
          </cell>
          <cell r="F2170">
            <v>25.5</v>
          </cell>
          <cell r="G2170">
            <v>55.5</v>
          </cell>
          <cell r="H2170">
            <v>34.200000000000003</v>
          </cell>
          <cell r="I2170" t="str">
            <v>-</v>
          </cell>
          <cell r="J2170">
            <v>9703</v>
          </cell>
          <cell r="K2170">
            <v>15.2</v>
          </cell>
          <cell r="L2170">
            <v>0.05</v>
          </cell>
          <cell r="M2170">
            <v>2.6097222222222221</v>
          </cell>
          <cell r="N2170">
            <v>2016</v>
          </cell>
          <cell r="O2170">
            <v>664</v>
          </cell>
          <cell r="P2170">
            <v>8</v>
          </cell>
        </row>
        <row r="2171">
          <cell r="B2171" t="str">
            <v>La Trobe University</v>
          </cell>
          <cell r="C2171" t="str">
            <v>Australia</v>
          </cell>
          <cell r="D2171" t="str">
            <v>351-400</v>
          </cell>
          <cell r="E2171">
            <v>78</v>
          </cell>
          <cell r="F2171">
            <v>28.5</v>
          </cell>
          <cell r="G2171">
            <v>45.4</v>
          </cell>
          <cell r="H2171">
            <v>43.7</v>
          </cell>
          <cell r="I2171" t="str">
            <v>-</v>
          </cell>
          <cell r="J2171">
            <v>22037</v>
          </cell>
          <cell r="K2171">
            <v>29</v>
          </cell>
          <cell r="L2171">
            <v>0.27</v>
          </cell>
          <cell r="M2171">
            <v>2.6506944444444445</v>
          </cell>
          <cell r="N2171">
            <v>2016</v>
          </cell>
          <cell r="O2171">
            <v>636</v>
          </cell>
          <cell r="P2171">
            <v>19</v>
          </cell>
        </row>
        <row r="2172">
          <cell r="B2172" t="str">
            <v>Loughborough University</v>
          </cell>
          <cell r="C2172" t="str">
            <v>United Kingdom</v>
          </cell>
          <cell r="D2172" t="str">
            <v>351-400</v>
          </cell>
          <cell r="E2172">
            <v>72.900000000000006</v>
          </cell>
          <cell r="F2172">
            <v>32.200000000000003</v>
          </cell>
          <cell r="G2172">
            <v>41.3</v>
          </cell>
          <cell r="H2172">
            <v>36.6</v>
          </cell>
          <cell r="I2172" t="str">
            <v>-</v>
          </cell>
          <cell r="J2172">
            <v>13951</v>
          </cell>
          <cell r="K2172">
            <v>15.9</v>
          </cell>
          <cell r="L2172">
            <v>0.22</v>
          </cell>
          <cell r="M2172" t="str">
            <v>38 : 62</v>
          </cell>
          <cell r="N2172">
            <v>2016</v>
          </cell>
          <cell r="O2172">
            <v>705</v>
          </cell>
          <cell r="P2172">
            <v>54</v>
          </cell>
        </row>
        <row r="2173">
          <cell r="B2173" t="str">
            <v>University of Manitoba</v>
          </cell>
          <cell r="C2173" t="str">
            <v>Canada</v>
          </cell>
          <cell r="D2173" t="str">
            <v>351-400</v>
          </cell>
          <cell r="E2173">
            <v>57.8</v>
          </cell>
          <cell r="F2173">
            <v>26.9</v>
          </cell>
          <cell r="G2173">
            <v>49.7</v>
          </cell>
          <cell r="H2173">
            <v>41.8</v>
          </cell>
          <cell r="I2173" t="str">
            <v>-</v>
          </cell>
          <cell r="J2173">
            <v>28576</v>
          </cell>
          <cell r="K2173">
            <v>27.8</v>
          </cell>
          <cell r="L2173">
            <v>0.11</v>
          </cell>
          <cell r="M2173">
            <v>2.3229166666666665</v>
          </cell>
          <cell r="N2173">
            <v>2016</v>
          </cell>
          <cell r="O2173">
            <v>220</v>
          </cell>
          <cell r="P2173">
            <v>10</v>
          </cell>
        </row>
        <row r="2174">
          <cell r="B2174" t="str">
            <v>University of Missouri</v>
          </cell>
          <cell r="C2174" t="str">
            <v>United States of America</v>
          </cell>
          <cell r="D2174" t="str">
            <v>351-400</v>
          </cell>
          <cell r="E2174">
            <v>31</v>
          </cell>
          <cell r="F2174">
            <v>21</v>
          </cell>
          <cell r="G2174">
            <v>60.2</v>
          </cell>
          <cell r="H2174">
            <v>31.1</v>
          </cell>
          <cell r="I2174" t="str">
            <v>-</v>
          </cell>
          <cell r="J2174">
            <v>29885</v>
          </cell>
          <cell r="K2174">
            <v>14.1</v>
          </cell>
          <cell r="L2174">
            <v>0.05</v>
          </cell>
          <cell r="M2174">
            <v>2.2409722222222221</v>
          </cell>
          <cell r="N2174">
            <v>2016</v>
          </cell>
          <cell r="O2174" t="e">
            <v>#N/A</v>
          </cell>
          <cell r="P2174" t="e">
            <v>#N/A</v>
          </cell>
        </row>
        <row r="2175">
          <cell r="B2175" t="str">
            <v>University of Modena and Reggio Emilia</v>
          </cell>
          <cell r="C2175" t="str">
            <v>Italy</v>
          </cell>
          <cell r="D2175" t="str">
            <v>351-400</v>
          </cell>
          <cell r="E2175">
            <v>34.200000000000003</v>
          </cell>
          <cell r="F2175">
            <v>15.6</v>
          </cell>
          <cell r="G2175">
            <v>72.900000000000006</v>
          </cell>
          <cell r="H2175">
            <v>32.299999999999997</v>
          </cell>
          <cell r="I2175" t="str">
            <v>-</v>
          </cell>
          <cell r="J2175">
            <v>19693</v>
          </cell>
          <cell r="K2175">
            <v>25.3</v>
          </cell>
          <cell r="L2175">
            <v>0.06</v>
          </cell>
          <cell r="M2175">
            <v>2.2819444444444446</v>
          </cell>
          <cell r="N2175">
            <v>2016</v>
          </cell>
          <cell r="O2175">
            <v>466</v>
          </cell>
          <cell r="P2175">
            <v>24</v>
          </cell>
        </row>
        <row r="2176">
          <cell r="B2176" t="str">
            <v>University of Montana</v>
          </cell>
          <cell r="C2176" t="str">
            <v>United States of America</v>
          </cell>
          <cell r="D2176" t="str">
            <v>351-400</v>
          </cell>
          <cell r="E2176">
            <v>21.5</v>
          </cell>
          <cell r="F2176">
            <v>13.6</v>
          </cell>
          <cell r="G2176">
            <v>65.5</v>
          </cell>
          <cell r="H2176">
            <v>31</v>
          </cell>
          <cell r="I2176" t="str">
            <v>-</v>
          </cell>
          <cell r="J2176">
            <v>12470</v>
          </cell>
          <cell r="K2176">
            <v>15.2</v>
          </cell>
          <cell r="L2176">
            <v>0.03</v>
          </cell>
          <cell r="M2176">
            <v>2.2819444444444446</v>
          </cell>
          <cell r="N2176">
            <v>2016</v>
          </cell>
          <cell r="O2176" t="e">
            <v>#N/A</v>
          </cell>
          <cell r="P2176" t="e">
            <v>#N/A</v>
          </cell>
        </row>
        <row r="2177">
          <cell r="B2177" t="str">
            <v>National University of Ireland, Maynooth</v>
          </cell>
          <cell r="C2177" t="str">
            <v>Republic of Ireland</v>
          </cell>
          <cell r="D2177" t="str">
            <v>351-400</v>
          </cell>
          <cell r="E2177">
            <v>75.599999999999994</v>
          </cell>
          <cell r="F2177">
            <v>22.8</v>
          </cell>
          <cell r="G2177">
            <v>50.2</v>
          </cell>
          <cell r="H2177">
            <v>36.6</v>
          </cell>
          <cell r="I2177" t="str">
            <v>-</v>
          </cell>
          <cell r="J2177">
            <v>7653</v>
          </cell>
          <cell r="K2177">
            <v>28</v>
          </cell>
          <cell r="L2177">
            <v>0.11</v>
          </cell>
          <cell r="M2177">
            <v>2.3229166666666665</v>
          </cell>
          <cell r="N2177">
            <v>2016</v>
          </cell>
          <cell r="O2177">
            <v>820</v>
          </cell>
          <cell r="P2177">
            <v>7</v>
          </cell>
        </row>
        <row r="2178">
          <cell r="B2178" t="str">
            <v>University of Nebraska Medical Center</v>
          </cell>
          <cell r="C2178" t="str">
            <v>United States of America</v>
          </cell>
          <cell r="D2178" t="str">
            <v>351-400</v>
          </cell>
          <cell r="E2178">
            <v>37.700000000000003</v>
          </cell>
          <cell r="F2178">
            <v>13.3</v>
          </cell>
          <cell r="G2178">
            <v>64.400000000000006</v>
          </cell>
          <cell r="H2178">
            <v>33.6</v>
          </cell>
          <cell r="I2178" t="str">
            <v>-</v>
          </cell>
          <cell r="J2178">
            <v>2857</v>
          </cell>
          <cell r="K2178">
            <v>2.6</v>
          </cell>
          <cell r="L2178">
            <v>0.08</v>
          </cell>
          <cell r="M2178">
            <v>2.8145833333333332</v>
          </cell>
          <cell r="N2178">
            <v>2016</v>
          </cell>
          <cell r="O2178">
            <v>351</v>
          </cell>
          <cell r="P2178">
            <v>128</v>
          </cell>
        </row>
        <row r="2179">
          <cell r="B2179" t="str">
            <v>University of New Mexico</v>
          </cell>
          <cell r="C2179" t="str">
            <v>United States of America</v>
          </cell>
          <cell r="D2179" t="str">
            <v>351-400</v>
          </cell>
          <cell r="E2179">
            <v>28.6</v>
          </cell>
          <cell r="F2179">
            <v>15.4</v>
          </cell>
          <cell r="G2179">
            <v>74.5</v>
          </cell>
          <cell r="H2179">
            <v>37</v>
          </cell>
          <cell r="I2179" t="str">
            <v>-</v>
          </cell>
          <cell r="N2179">
            <v>2016</v>
          </cell>
          <cell r="O2179">
            <v>185</v>
          </cell>
          <cell r="P2179">
            <v>82</v>
          </cell>
        </row>
        <row r="2180">
          <cell r="B2180" t="str">
            <v>Norwegian University of Science and Technology</v>
          </cell>
          <cell r="C2180" t="str">
            <v>Norway</v>
          </cell>
          <cell r="D2180" t="str">
            <v>351-400</v>
          </cell>
          <cell r="E2180">
            <v>59.9</v>
          </cell>
          <cell r="F2180">
            <v>25.8</v>
          </cell>
          <cell r="G2180">
            <v>59.8</v>
          </cell>
          <cell r="H2180">
            <v>51.8</v>
          </cell>
          <cell r="I2180" t="str">
            <v>-</v>
          </cell>
          <cell r="J2180">
            <v>17381</v>
          </cell>
          <cell r="K2180">
            <v>13.9</v>
          </cell>
          <cell r="L2180">
            <v>0.09</v>
          </cell>
          <cell r="M2180">
            <v>1.9541666666666666</v>
          </cell>
          <cell r="N2180">
            <v>2016</v>
          </cell>
          <cell r="O2180">
            <v>286</v>
          </cell>
          <cell r="P2180">
            <v>2</v>
          </cell>
        </row>
        <row r="2181">
          <cell r="B2181" t="str">
            <v>University of Oulu</v>
          </cell>
          <cell r="C2181" t="str">
            <v>Finland</v>
          </cell>
          <cell r="D2181" t="str">
            <v>351-400</v>
          </cell>
          <cell r="E2181">
            <v>56.9</v>
          </cell>
          <cell r="F2181">
            <v>15.9</v>
          </cell>
          <cell r="G2181">
            <v>62.3</v>
          </cell>
          <cell r="H2181">
            <v>30.9</v>
          </cell>
          <cell r="I2181" t="str">
            <v>-</v>
          </cell>
          <cell r="J2181">
            <v>14056</v>
          </cell>
          <cell r="K2181">
            <v>8.5</v>
          </cell>
          <cell r="L2181">
            <v>0.06</v>
          </cell>
          <cell r="M2181">
            <v>2.0770833333333334</v>
          </cell>
          <cell r="N2181">
            <v>2016</v>
          </cell>
          <cell r="O2181">
            <v>425</v>
          </cell>
          <cell r="P2181">
            <v>5</v>
          </cell>
        </row>
        <row r="2182">
          <cell r="B2182" t="str">
            <v>PanthÃ©on-Sorbonne University â€“ Paris 1</v>
          </cell>
          <cell r="C2182" t="str">
            <v>France</v>
          </cell>
          <cell r="D2182" t="str">
            <v>351-400</v>
          </cell>
          <cell r="E2182">
            <v>47.6</v>
          </cell>
          <cell r="F2182">
            <v>47.6</v>
          </cell>
          <cell r="G2182">
            <v>6.8</v>
          </cell>
          <cell r="H2182">
            <v>28.3</v>
          </cell>
          <cell r="I2182" t="str">
            <v>-</v>
          </cell>
          <cell r="J2182">
            <v>42215</v>
          </cell>
          <cell r="K2182">
            <v>34.299999999999997</v>
          </cell>
          <cell r="L2182">
            <v>0.2</v>
          </cell>
          <cell r="M2182">
            <v>2.4868055555555557</v>
          </cell>
          <cell r="N2182">
            <v>2016</v>
          </cell>
          <cell r="O2182" t="e">
            <v>#N/A</v>
          </cell>
          <cell r="P2182" t="e">
            <v>#N/A</v>
          </cell>
        </row>
        <row r="2183">
          <cell r="B2183" t="str">
            <v>Polytechnic University of Turin</v>
          </cell>
          <cell r="C2183" t="str">
            <v>Italy</v>
          </cell>
          <cell r="D2183" t="str">
            <v>351-400</v>
          </cell>
          <cell r="E2183">
            <v>50.6</v>
          </cell>
          <cell r="F2183">
            <v>18.600000000000001</v>
          </cell>
          <cell r="G2183">
            <v>65.900000000000006</v>
          </cell>
          <cell r="H2183">
            <v>42.5</v>
          </cell>
          <cell r="I2183" t="str">
            <v>-</v>
          </cell>
          <cell r="J2183">
            <v>27709</v>
          </cell>
          <cell r="K2183">
            <v>19.600000000000001</v>
          </cell>
          <cell r="L2183">
            <v>0.16</v>
          </cell>
          <cell r="M2183" t="str">
            <v>29 : 71</v>
          </cell>
          <cell r="N2183">
            <v>2016</v>
          </cell>
          <cell r="O2183">
            <v>579</v>
          </cell>
          <cell r="P2183">
            <v>31</v>
          </cell>
        </row>
        <row r="2184">
          <cell r="B2184" t="str">
            <v>University of Rome III</v>
          </cell>
          <cell r="C2184" t="str">
            <v>Italy</v>
          </cell>
          <cell r="D2184" t="str">
            <v>351-400</v>
          </cell>
          <cell r="E2184">
            <v>35.9</v>
          </cell>
          <cell r="F2184">
            <v>21</v>
          </cell>
          <cell r="G2184">
            <v>64.8</v>
          </cell>
          <cell r="H2184">
            <v>37.5</v>
          </cell>
          <cell r="I2184" t="str">
            <v>-</v>
          </cell>
          <cell r="J2184">
            <v>36353</v>
          </cell>
          <cell r="K2184">
            <v>61.2</v>
          </cell>
          <cell r="L2184">
            <v>0.05</v>
          </cell>
          <cell r="M2184">
            <v>2.4868055555555557</v>
          </cell>
          <cell r="N2184">
            <v>2016</v>
          </cell>
          <cell r="O2184" t="e">
            <v>#N/A</v>
          </cell>
          <cell r="P2184" t="e">
            <v>#N/A</v>
          </cell>
        </row>
        <row r="2185">
          <cell r="B2185" t="str">
            <v>SabancÄ± University</v>
          </cell>
          <cell r="C2185" t="str">
            <v>Turkey</v>
          </cell>
          <cell r="D2185" t="str">
            <v>351-400</v>
          </cell>
          <cell r="E2185">
            <v>42.7</v>
          </cell>
          <cell r="F2185">
            <v>32.299999999999997</v>
          </cell>
          <cell r="G2185">
            <v>52.8</v>
          </cell>
          <cell r="H2185">
            <v>70</v>
          </cell>
          <cell r="I2185" t="str">
            <v>-</v>
          </cell>
          <cell r="J2185">
            <v>2739</v>
          </cell>
          <cell r="K2185">
            <v>15.9</v>
          </cell>
          <cell r="L2185">
            <v>0.06</v>
          </cell>
          <cell r="M2185" t="str">
            <v>39 : 61</v>
          </cell>
          <cell r="N2185">
            <v>2016</v>
          </cell>
          <cell r="O2185" t="e">
            <v>#N/A</v>
          </cell>
          <cell r="P2185" t="e">
            <v>#N/A</v>
          </cell>
        </row>
        <row r="2186">
          <cell r="B2186" t="str">
            <v>San Diego State University</v>
          </cell>
          <cell r="C2186" t="str">
            <v>United States of America</v>
          </cell>
          <cell r="D2186" t="str">
            <v>351-400</v>
          </cell>
          <cell r="E2186">
            <v>25.9</v>
          </cell>
          <cell r="F2186">
            <v>27</v>
          </cell>
          <cell r="G2186">
            <v>62.7</v>
          </cell>
          <cell r="H2186">
            <v>29.3</v>
          </cell>
          <cell r="I2186" t="str">
            <v>-</v>
          </cell>
          <cell r="J2186">
            <v>27420</v>
          </cell>
          <cell r="K2186">
            <v>31.7</v>
          </cell>
          <cell r="L2186">
            <v>0.05</v>
          </cell>
          <cell r="M2186">
            <v>2.4048611111111109</v>
          </cell>
          <cell r="N2186">
            <v>2016</v>
          </cell>
          <cell r="O2186">
            <v>348</v>
          </cell>
          <cell r="P2186">
            <v>127</v>
          </cell>
        </row>
        <row r="2187">
          <cell r="B2187" t="str">
            <v>University of South Australia</v>
          </cell>
          <cell r="C2187" t="str">
            <v>Australia</v>
          </cell>
          <cell r="D2187" t="str">
            <v>351-400</v>
          </cell>
          <cell r="E2187">
            <v>89</v>
          </cell>
          <cell r="F2187">
            <v>26.7</v>
          </cell>
          <cell r="G2187">
            <v>41.2</v>
          </cell>
          <cell r="H2187">
            <v>85.9</v>
          </cell>
          <cell r="I2187" t="str">
            <v>-</v>
          </cell>
          <cell r="J2187">
            <v>18971</v>
          </cell>
          <cell r="K2187">
            <v>26.2</v>
          </cell>
          <cell r="L2187">
            <v>0.32</v>
          </cell>
          <cell r="M2187">
            <v>2.4868055555555557</v>
          </cell>
          <cell r="N2187">
            <v>2016</v>
          </cell>
          <cell r="O2187">
            <v>723</v>
          </cell>
          <cell r="P2187">
            <v>20</v>
          </cell>
        </row>
        <row r="2188">
          <cell r="B2188" t="str">
            <v>University of South Carolina</v>
          </cell>
          <cell r="C2188" t="str">
            <v>United States of America</v>
          </cell>
          <cell r="D2188" t="str">
            <v>351-400</v>
          </cell>
          <cell r="E2188">
            <v>24.5</v>
          </cell>
          <cell r="F2188">
            <v>21.5</v>
          </cell>
          <cell r="G2188">
            <v>58.7</v>
          </cell>
          <cell r="H2188">
            <v>30.3</v>
          </cell>
          <cell r="I2188" t="str">
            <v>-</v>
          </cell>
          <cell r="J2188">
            <v>29336</v>
          </cell>
          <cell r="K2188">
            <v>16.3</v>
          </cell>
          <cell r="L2188">
            <v>0.01</v>
          </cell>
          <cell r="M2188">
            <v>2.3229166666666665</v>
          </cell>
          <cell r="N2188">
            <v>2016</v>
          </cell>
          <cell r="O2188" t="e">
            <v>#N/A</v>
          </cell>
          <cell r="P2188" t="e">
            <v>#N/A</v>
          </cell>
        </row>
        <row r="2189">
          <cell r="B2189" t="str">
            <v>University of South Dakota</v>
          </cell>
          <cell r="C2189" t="str">
            <v>United States of America</v>
          </cell>
          <cell r="D2189" t="str">
            <v>351-400</v>
          </cell>
          <cell r="E2189">
            <v>17.100000000000001</v>
          </cell>
          <cell r="F2189">
            <v>12.1</v>
          </cell>
          <cell r="G2189">
            <v>70.400000000000006</v>
          </cell>
          <cell r="H2189">
            <v>28</v>
          </cell>
          <cell r="I2189" t="str">
            <v>-</v>
          </cell>
          <cell r="J2189">
            <v>8003</v>
          </cell>
          <cell r="K2189">
            <v>17.100000000000001</v>
          </cell>
          <cell r="L2189">
            <v>0.02</v>
          </cell>
          <cell r="M2189">
            <v>2.5687500000000001</v>
          </cell>
          <cell r="N2189">
            <v>2016</v>
          </cell>
          <cell r="O2189" t="e">
            <v>#N/A</v>
          </cell>
          <cell r="P2189" t="e">
            <v>#N/A</v>
          </cell>
        </row>
        <row r="2190">
          <cell r="B2190" t="str">
            <v>State University of Campinas</v>
          </cell>
          <cell r="C2190" t="str">
            <v>Brazil</v>
          </cell>
          <cell r="D2190" t="str">
            <v>351-400</v>
          </cell>
          <cell r="E2190">
            <v>21.1</v>
          </cell>
          <cell r="F2190">
            <v>42.3</v>
          </cell>
          <cell r="G2190">
            <v>22.6</v>
          </cell>
          <cell r="H2190">
            <v>49.4</v>
          </cell>
          <cell r="I2190" t="str">
            <v>-</v>
          </cell>
          <cell r="J2190">
            <v>27095</v>
          </cell>
          <cell r="K2190">
            <v>15.3</v>
          </cell>
          <cell r="L2190">
            <v>0.03</v>
          </cell>
          <cell r="M2190">
            <v>2.036111111111111</v>
          </cell>
          <cell r="N2190">
            <v>2016</v>
          </cell>
          <cell r="O2190" t="e">
            <v>#N/A</v>
          </cell>
          <cell r="P2190" t="e">
            <v>#N/A</v>
          </cell>
        </row>
        <row r="2191">
          <cell r="B2191" t="str">
            <v>University of Stirling</v>
          </cell>
          <cell r="C2191" t="str">
            <v>United Kingdom</v>
          </cell>
          <cell r="D2191" t="str">
            <v>351-400</v>
          </cell>
          <cell r="E2191">
            <v>77.7</v>
          </cell>
          <cell r="F2191">
            <v>23.5</v>
          </cell>
          <cell r="G2191">
            <v>59.1</v>
          </cell>
          <cell r="H2191">
            <v>30.4</v>
          </cell>
          <cell r="I2191" t="str">
            <v>-</v>
          </cell>
          <cell r="J2191">
            <v>7828</v>
          </cell>
          <cell r="K2191">
            <v>15.9</v>
          </cell>
          <cell r="L2191">
            <v>0.22</v>
          </cell>
          <cell r="M2191">
            <v>2.5687500000000001</v>
          </cell>
          <cell r="N2191">
            <v>2016</v>
          </cell>
          <cell r="O2191">
            <v>735</v>
          </cell>
          <cell r="P2191">
            <v>57</v>
          </cell>
        </row>
        <row r="2192">
          <cell r="B2192" t="str">
            <v>Sun Yat-sen University</v>
          </cell>
          <cell r="C2192" t="str">
            <v>China</v>
          </cell>
          <cell r="D2192" t="str">
            <v>351-400</v>
          </cell>
          <cell r="E2192">
            <v>37</v>
          </cell>
          <cell r="F2192">
            <v>24.6</v>
          </cell>
          <cell r="G2192">
            <v>45.7</v>
          </cell>
          <cell r="H2192">
            <v>79.400000000000006</v>
          </cell>
          <cell r="I2192" t="str">
            <v>-</v>
          </cell>
          <cell r="J2192">
            <v>51351</v>
          </cell>
          <cell r="K2192">
            <v>16.600000000000001</v>
          </cell>
          <cell r="L2192">
            <v>0.08</v>
          </cell>
          <cell r="M2192">
            <v>2.1590277777777778</v>
          </cell>
          <cell r="N2192">
            <v>2016</v>
          </cell>
          <cell r="O2192">
            <v>292</v>
          </cell>
          <cell r="P2192">
            <v>9</v>
          </cell>
        </row>
        <row r="2193">
          <cell r="B2193" t="str">
            <v>Swansea University</v>
          </cell>
          <cell r="C2193" t="str">
            <v>United Kingdom</v>
          </cell>
          <cell r="D2193" t="str">
            <v>351-400</v>
          </cell>
          <cell r="E2193">
            <v>72.400000000000006</v>
          </cell>
          <cell r="F2193">
            <v>23.8</v>
          </cell>
          <cell r="G2193">
            <v>58.2</v>
          </cell>
          <cell r="H2193">
            <v>32.700000000000003</v>
          </cell>
          <cell r="I2193" t="str">
            <v>-</v>
          </cell>
          <cell r="J2193">
            <v>12801</v>
          </cell>
          <cell r="K2193">
            <v>17.100000000000001</v>
          </cell>
          <cell r="L2193">
            <v>0.2</v>
          </cell>
          <cell r="M2193">
            <v>2.0770833333333334</v>
          </cell>
          <cell r="N2193">
            <v>2016</v>
          </cell>
          <cell r="O2193">
            <v>699</v>
          </cell>
          <cell r="P2193">
            <v>52</v>
          </cell>
        </row>
        <row r="2194">
          <cell r="B2194" t="str">
            <v>Swinburne University of Technology</v>
          </cell>
          <cell r="C2194" t="str">
            <v>Australia</v>
          </cell>
          <cell r="D2194" t="str">
            <v>351-400</v>
          </cell>
          <cell r="E2194">
            <v>84.8</v>
          </cell>
          <cell r="F2194">
            <v>20.2</v>
          </cell>
          <cell r="G2194">
            <v>53.4</v>
          </cell>
          <cell r="H2194">
            <v>32.200000000000003</v>
          </cell>
          <cell r="I2194" t="str">
            <v>-</v>
          </cell>
          <cell r="J2194">
            <v>20314</v>
          </cell>
          <cell r="K2194">
            <v>36.5</v>
          </cell>
          <cell r="L2194">
            <v>0.33</v>
          </cell>
          <cell r="M2194">
            <v>1.8722222222222222</v>
          </cell>
          <cell r="N2194">
            <v>2016</v>
          </cell>
          <cell r="O2194">
            <v>737</v>
          </cell>
          <cell r="P2194">
            <v>21</v>
          </cell>
        </row>
        <row r="2195">
          <cell r="B2195" t="str">
            <v>University of Tartu</v>
          </cell>
          <cell r="C2195" t="str">
            <v>Estonia</v>
          </cell>
          <cell r="D2195" t="str">
            <v>351-400</v>
          </cell>
          <cell r="E2195">
            <v>46.1</v>
          </cell>
          <cell r="F2195">
            <v>22.8</v>
          </cell>
          <cell r="G2195">
            <v>64.2</v>
          </cell>
          <cell r="H2195">
            <v>31.5</v>
          </cell>
          <cell r="I2195" t="str">
            <v>-</v>
          </cell>
          <cell r="J2195">
            <v>10269</v>
          </cell>
          <cell r="K2195">
            <v>13</v>
          </cell>
          <cell r="L2195">
            <v>0.03</v>
          </cell>
          <cell r="M2195">
            <v>2.7736111111111112</v>
          </cell>
          <cell r="N2195">
            <v>2016</v>
          </cell>
          <cell r="O2195">
            <v>556</v>
          </cell>
          <cell r="P2195">
            <v>1</v>
          </cell>
        </row>
        <row r="2196">
          <cell r="B2196" t="str">
            <v>Temple University</v>
          </cell>
          <cell r="C2196" t="str">
            <v>United States of America</v>
          </cell>
          <cell r="D2196" t="str">
            <v>351-400</v>
          </cell>
          <cell r="E2196">
            <v>28.6</v>
          </cell>
          <cell r="F2196">
            <v>18.2</v>
          </cell>
          <cell r="G2196">
            <v>58.3</v>
          </cell>
          <cell r="H2196">
            <v>41.6</v>
          </cell>
          <cell r="I2196" t="str">
            <v>-</v>
          </cell>
          <cell r="J2196">
            <v>33268</v>
          </cell>
          <cell r="K2196">
            <v>13.3</v>
          </cell>
          <cell r="L2196">
            <v>0.05</v>
          </cell>
          <cell r="M2196">
            <v>2.1590277777777778</v>
          </cell>
          <cell r="N2196">
            <v>2016</v>
          </cell>
          <cell r="O2196">
            <v>390</v>
          </cell>
          <cell r="P2196">
            <v>136</v>
          </cell>
        </row>
        <row r="2197">
          <cell r="B2197" t="str">
            <v>University of Texas at San Antonio</v>
          </cell>
          <cell r="C2197" t="str">
            <v>United States of America</v>
          </cell>
          <cell r="D2197" t="str">
            <v>351-400</v>
          </cell>
          <cell r="E2197">
            <v>29.6</v>
          </cell>
          <cell r="F2197">
            <v>16.600000000000001</v>
          </cell>
          <cell r="G2197">
            <v>74.900000000000006</v>
          </cell>
          <cell r="H2197">
            <v>28.6</v>
          </cell>
          <cell r="I2197" t="str">
            <v>-</v>
          </cell>
          <cell r="J2197">
            <v>27520</v>
          </cell>
          <cell r="K2197">
            <v>26.9</v>
          </cell>
          <cell r="L2197">
            <v>0.06</v>
          </cell>
          <cell r="M2197">
            <v>2.036111111111111</v>
          </cell>
          <cell r="N2197">
            <v>2016</v>
          </cell>
          <cell r="O2197">
            <v>256</v>
          </cell>
          <cell r="P2197">
            <v>103</v>
          </cell>
        </row>
        <row r="2198">
          <cell r="B2198" t="str">
            <v>UiT The Arctic University of Norway</v>
          </cell>
          <cell r="C2198" t="str">
            <v>Norway</v>
          </cell>
          <cell r="D2198" t="str">
            <v>351-400</v>
          </cell>
          <cell r="E2198">
            <v>66.099999999999994</v>
          </cell>
          <cell r="F2198">
            <v>18.7</v>
          </cell>
          <cell r="G2198">
            <v>58.8</v>
          </cell>
          <cell r="H2198">
            <v>36.799999999999997</v>
          </cell>
          <cell r="I2198" t="str">
            <v>-</v>
          </cell>
          <cell r="J2198">
            <v>10398</v>
          </cell>
          <cell r="K2198">
            <v>12.2</v>
          </cell>
          <cell r="L2198">
            <v>0.1</v>
          </cell>
          <cell r="M2198">
            <v>2.5277777777777777</v>
          </cell>
          <cell r="N2198">
            <v>2016</v>
          </cell>
          <cell r="O2198" t="e">
            <v>#N/A</v>
          </cell>
          <cell r="P2198" t="e">
            <v>#N/A</v>
          </cell>
        </row>
        <row r="2199">
          <cell r="B2199" t="str">
            <v>UniversitÃ© Libre de Bruxelles</v>
          </cell>
          <cell r="C2199" t="str">
            <v>Belgium</v>
          </cell>
          <cell r="D2199" t="str">
            <v>351-400</v>
          </cell>
          <cell r="E2199">
            <v>84.5</v>
          </cell>
          <cell r="F2199">
            <v>28.3</v>
          </cell>
          <cell r="G2199">
            <v>47.9</v>
          </cell>
          <cell r="H2199">
            <v>39.1</v>
          </cell>
          <cell r="I2199" t="str">
            <v>-</v>
          </cell>
          <cell r="J2199">
            <v>23819</v>
          </cell>
          <cell r="K2199">
            <v>26.1</v>
          </cell>
          <cell r="L2199">
            <v>0.32</v>
          </cell>
          <cell r="M2199">
            <v>2.2819444444444446</v>
          </cell>
          <cell r="N2199">
            <v>2016</v>
          </cell>
          <cell r="O2199">
            <v>139</v>
          </cell>
          <cell r="P2199">
            <v>3</v>
          </cell>
        </row>
        <row r="2200">
          <cell r="B2200" t="str">
            <v>Lille 2 University â€“ Health and Law</v>
          </cell>
          <cell r="C2200" t="str">
            <v>France</v>
          </cell>
          <cell r="D2200" t="str">
            <v>351-400</v>
          </cell>
          <cell r="E2200">
            <v>39.4</v>
          </cell>
          <cell r="F2200">
            <v>9.5</v>
          </cell>
          <cell r="G2200">
            <v>81.7</v>
          </cell>
          <cell r="H2200">
            <v>31.5</v>
          </cell>
          <cell r="I2200" t="str">
            <v>-</v>
          </cell>
          <cell r="J2200">
            <v>26894</v>
          </cell>
          <cell r="K2200">
            <v>38.5</v>
          </cell>
          <cell r="L2200">
            <v>0.08</v>
          </cell>
          <cell r="M2200">
            <v>2.4458333333333333</v>
          </cell>
          <cell r="N2200">
            <v>2016</v>
          </cell>
          <cell r="O2200" t="e">
            <v>#N/A</v>
          </cell>
          <cell r="P2200" t="e">
            <v>#N/A</v>
          </cell>
        </row>
        <row r="2201">
          <cell r="B2201" t="str">
            <v>University College Cork</v>
          </cell>
          <cell r="C2201" t="str">
            <v>Republic of Ireland</v>
          </cell>
          <cell r="D2201" t="str">
            <v>351-400</v>
          </cell>
          <cell r="E2201">
            <v>75.5</v>
          </cell>
          <cell r="F2201">
            <v>23.8</v>
          </cell>
          <cell r="G2201">
            <v>48.4</v>
          </cell>
          <cell r="H2201">
            <v>47.1</v>
          </cell>
          <cell r="I2201" t="str">
            <v>-</v>
          </cell>
          <cell r="J2201">
            <v>15805</v>
          </cell>
          <cell r="K2201">
            <v>22.3</v>
          </cell>
          <cell r="L2201">
            <v>0.15</v>
          </cell>
          <cell r="M2201">
            <v>2.3229166666666665</v>
          </cell>
          <cell r="N2201">
            <v>2016</v>
          </cell>
          <cell r="O2201">
            <v>463</v>
          </cell>
          <cell r="P2201">
            <v>3</v>
          </cell>
        </row>
        <row r="2202">
          <cell r="B2202" t="str">
            <v>Verona University</v>
          </cell>
          <cell r="C2202" t="str">
            <v>Italy</v>
          </cell>
          <cell r="D2202" t="str">
            <v>351-400</v>
          </cell>
          <cell r="E2202">
            <v>38.299999999999997</v>
          </cell>
          <cell r="F2202">
            <v>13.1</v>
          </cell>
          <cell r="G2202">
            <v>76.099999999999994</v>
          </cell>
          <cell r="H2202">
            <v>36.6</v>
          </cell>
          <cell r="I2202" t="str">
            <v>-</v>
          </cell>
          <cell r="J2202">
            <v>25250</v>
          </cell>
          <cell r="K2202">
            <v>19.7</v>
          </cell>
          <cell r="L2202">
            <v>7.0000000000000007E-2</v>
          </cell>
          <cell r="M2202">
            <v>2.7326388888888888</v>
          </cell>
          <cell r="N2202">
            <v>2016</v>
          </cell>
          <cell r="O2202" t="e">
            <v>#N/A</v>
          </cell>
          <cell r="P2202" t="e">
            <v>#N/A</v>
          </cell>
        </row>
        <row r="2203">
          <cell r="B2203" t="str">
            <v>Victoria University of Wellington</v>
          </cell>
          <cell r="C2203" t="str">
            <v>New Zealand</v>
          </cell>
          <cell r="D2203" t="str">
            <v>351-400</v>
          </cell>
          <cell r="E2203">
            <v>88.8</v>
          </cell>
          <cell r="F2203">
            <v>28.7</v>
          </cell>
          <cell r="G2203">
            <v>44.3</v>
          </cell>
          <cell r="H2203">
            <v>45.6</v>
          </cell>
          <cell r="I2203" t="str">
            <v>-</v>
          </cell>
          <cell r="J2203">
            <v>17142</v>
          </cell>
          <cell r="K2203">
            <v>21.1</v>
          </cell>
          <cell r="L2203">
            <v>0.21</v>
          </cell>
          <cell r="M2203">
            <v>2.3229166666666665</v>
          </cell>
          <cell r="N2203">
            <v>2016</v>
          </cell>
          <cell r="O2203">
            <v>527</v>
          </cell>
          <cell r="P2203">
            <v>4</v>
          </cell>
        </row>
        <row r="2204">
          <cell r="B2204" t="str">
            <v>Washington State University</v>
          </cell>
          <cell r="C2204" t="str">
            <v>United States of America</v>
          </cell>
          <cell r="D2204" t="str">
            <v>351-400</v>
          </cell>
          <cell r="E2204">
            <v>39.6</v>
          </cell>
          <cell r="F2204">
            <v>28.2</v>
          </cell>
          <cell r="G2204">
            <v>49.6</v>
          </cell>
          <cell r="H2204">
            <v>57.1</v>
          </cell>
          <cell r="I2204" t="str">
            <v>-</v>
          </cell>
          <cell r="J2204">
            <v>24550</v>
          </cell>
          <cell r="K2204">
            <v>18.3</v>
          </cell>
          <cell r="L2204">
            <v>7.0000000000000007E-2</v>
          </cell>
          <cell r="M2204">
            <v>2.1180555555555554</v>
          </cell>
          <cell r="N2204">
            <v>2016</v>
          </cell>
          <cell r="O2204" t="e">
            <v>#N/A</v>
          </cell>
          <cell r="P2204" t="e">
            <v>#N/A</v>
          </cell>
        </row>
        <row r="2205">
          <cell r="B2205" t="str">
            <v>Wayne State University</v>
          </cell>
          <cell r="C2205" t="str">
            <v>United States of America</v>
          </cell>
          <cell r="D2205" t="str">
            <v>351-400</v>
          </cell>
          <cell r="E2205">
            <v>29.6</v>
          </cell>
          <cell r="F2205">
            <v>14.2</v>
          </cell>
          <cell r="G2205">
            <v>65.3</v>
          </cell>
          <cell r="H2205">
            <v>41.7</v>
          </cell>
          <cell r="I2205" t="str">
            <v>-</v>
          </cell>
          <cell r="J2205">
            <v>23065</v>
          </cell>
          <cell r="K2205">
            <v>10.7</v>
          </cell>
          <cell r="L2205">
            <v>7.0000000000000007E-2</v>
          </cell>
          <cell r="M2205">
            <v>2.4048611111111109</v>
          </cell>
          <cell r="N2205">
            <v>2016</v>
          </cell>
          <cell r="O2205">
            <v>192</v>
          </cell>
          <cell r="P2205">
            <v>83</v>
          </cell>
        </row>
        <row r="2206">
          <cell r="B2206" t="str">
            <v>American University</v>
          </cell>
          <cell r="C2206" t="str">
            <v>United States of America</v>
          </cell>
          <cell r="D2206" t="str">
            <v>401-500</v>
          </cell>
          <cell r="E2206">
            <v>28.9</v>
          </cell>
          <cell r="F2206">
            <v>16.5</v>
          </cell>
          <cell r="G2206">
            <v>41.1</v>
          </cell>
          <cell r="H2206">
            <v>35.9</v>
          </cell>
          <cell r="I2206" t="str">
            <v>-</v>
          </cell>
          <cell r="J2206">
            <v>11604</v>
          </cell>
          <cell r="K2206">
            <v>12</v>
          </cell>
          <cell r="L2206">
            <v>0.12</v>
          </cell>
          <cell r="M2206">
            <v>2.5277777777777777</v>
          </cell>
          <cell r="N2206">
            <v>2016</v>
          </cell>
          <cell r="O2206" t="e">
            <v>#N/A</v>
          </cell>
          <cell r="P2206" t="e">
            <v>#N/A</v>
          </cell>
        </row>
        <row r="2207">
          <cell r="B2207" t="str">
            <v>Aston University</v>
          </cell>
          <cell r="C2207" t="str">
            <v>Unted Kingdom</v>
          </cell>
          <cell r="D2207" t="str">
            <v>401-500</v>
          </cell>
          <cell r="E2207">
            <v>92.5</v>
          </cell>
          <cell r="F2207">
            <v>20.399999999999999</v>
          </cell>
          <cell r="G2207">
            <v>51.9</v>
          </cell>
          <cell r="H2207">
            <v>34.6</v>
          </cell>
          <cell r="I2207" t="str">
            <v>-</v>
          </cell>
          <cell r="N2207">
            <v>2016</v>
          </cell>
          <cell r="O2207">
            <v>707</v>
          </cell>
          <cell r="P2207">
            <v>55</v>
          </cell>
        </row>
        <row r="2208">
          <cell r="B2208" t="str">
            <v>University of Aveiro</v>
          </cell>
          <cell r="C2208" t="str">
            <v>Portugal</v>
          </cell>
          <cell r="D2208" t="str">
            <v>401-500</v>
          </cell>
          <cell r="E2208">
            <v>45.9</v>
          </cell>
          <cell r="F2208">
            <v>26.5</v>
          </cell>
          <cell r="G2208">
            <v>43.6</v>
          </cell>
          <cell r="H2208">
            <v>40.1</v>
          </cell>
          <cell r="I2208" t="str">
            <v>-</v>
          </cell>
          <cell r="J2208">
            <v>10791</v>
          </cell>
          <cell r="K2208">
            <v>17.8</v>
          </cell>
          <cell r="L2208">
            <v>0.1</v>
          </cell>
          <cell r="M2208">
            <v>2.1590277777777778</v>
          </cell>
          <cell r="N2208">
            <v>2016</v>
          </cell>
          <cell r="O2208">
            <v>553</v>
          </cell>
          <cell r="P2208">
            <v>4</v>
          </cell>
        </row>
        <row r="2209">
          <cell r="B2209" t="str">
            <v>University of Bari Aldo Moro</v>
          </cell>
          <cell r="C2209" t="str">
            <v>Italy</v>
          </cell>
          <cell r="D2209" t="str">
            <v>401-500</v>
          </cell>
          <cell r="E2209">
            <v>31.7</v>
          </cell>
          <cell r="F2209">
            <v>21.6</v>
          </cell>
          <cell r="G2209">
            <v>48.8</v>
          </cell>
          <cell r="H2209">
            <v>45.4</v>
          </cell>
          <cell r="I2209" t="str">
            <v>-</v>
          </cell>
          <cell r="J2209">
            <v>51560</v>
          </cell>
          <cell r="K2209">
            <v>65.099999999999994</v>
          </cell>
          <cell r="L2209">
            <v>0.02</v>
          </cell>
          <cell r="M2209">
            <v>2.7326388888888888</v>
          </cell>
          <cell r="N2209">
            <v>2016</v>
          </cell>
          <cell r="O2209">
            <v>388</v>
          </cell>
          <cell r="P2209">
            <v>18</v>
          </cell>
        </row>
        <row r="2210">
          <cell r="B2210" t="str">
            <v>Bar-Ilan University</v>
          </cell>
          <cell r="C2210" t="str">
            <v>Israel</v>
          </cell>
          <cell r="D2210" t="str">
            <v>401-500</v>
          </cell>
          <cell r="E2210">
            <v>49.4</v>
          </cell>
          <cell r="F2210">
            <v>21.3</v>
          </cell>
          <cell r="G2210">
            <v>42.3</v>
          </cell>
          <cell r="H2210">
            <v>28.9</v>
          </cell>
          <cell r="I2210" t="str">
            <v>-</v>
          </cell>
          <cell r="J2210">
            <v>17503</v>
          </cell>
          <cell r="K2210">
            <v>16</v>
          </cell>
          <cell r="L2210">
            <v>0.05</v>
          </cell>
          <cell r="M2210">
            <v>2.4868055555555557</v>
          </cell>
          <cell r="N2210">
            <v>2016</v>
          </cell>
          <cell r="O2210">
            <v>503</v>
          </cell>
          <cell r="P2210">
            <v>6</v>
          </cell>
        </row>
        <row r="2211">
          <cell r="B2211" t="str">
            <v>Bournemouth University</v>
          </cell>
          <cell r="C2211" t="str">
            <v>United Kingdom</v>
          </cell>
          <cell r="D2211" t="str">
            <v>401-500</v>
          </cell>
          <cell r="E2211">
            <v>70.599999999999994</v>
          </cell>
          <cell r="F2211">
            <v>12.6</v>
          </cell>
          <cell r="G2211">
            <v>35.200000000000003</v>
          </cell>
          <cell r="H2211">
            <v>28.8</v>
          </cell>
          <cell r="I2211" t="str">
            <v>-</v>
          </cell>
          <cell r="J2211">
            <v>14907</v>
          </cell>
          <cell r="K2211">
            <v>25.9</v>
          </cell>
          <cell r="L2211">
            <v>0.18</v>
          </cell>
          <cell r="M2211">
            <v>2.2409722222222221</v>
          </cell>
          <cell r="N2211">
            <v>2016</v>
          </cell>
          <cell r="O2211" t="e">
            <v>#N/A</v>
          </cell>
          <cell r="P2211" t="e">
            <v>#N/A</v>
          </cell>
        </row>
        <row r="2212">
          <cell r="B2212" t="str">
            <v>University of Brescia</v>
          </cell>
          <cell r="C2212" t="str">
            <v>Italy</v>
          </cell>
          <cell r="D2212" t="str">
            <v>401-500</v>
          </cell>
          <cell r="E2212">
            <v>36.6</v>
          </cell>
          <cell r="F2212">
            <v>14.8</v>
          </cell>
          <cell r="G2212">
            <v>72.3</v>
          </cell>
          <cell r="H2212">
            <v>35.799999999999997</v>
          </cell>
          <cell r="I2212" t="str">
            <v>-</v>
          </cell>
          <cell r="J2212">
            <v>14076</v>
          </cell>
          <cell r="K2212">
            <v>25</v>
          </cell>
          <cell r="L2212">
            <v>7.0000000000000007E-2</v>
          </cell>
          <cell r="M2212">
            <v>2.036111111111111</v>
          </cell>
          <cell r="N2212">
            <v>2016</v>
          </cell>
          <cell r="O2212">
            <v>511</v>
          </cell>
          <cell r="P2212">
            <v>25</v>
          </cell>
        </row>
        <row r="2213">
          <cell r="B2213" t="str">
            <v>Brno University of Technology</v>
          </cell>
          <cell r="C2213" t="str">
            <v>Czech Republic</v>
          </cell>
          <cell r="D2213" t="str">
            <v>401-500</v>
          </cell>
          <cell r="E2213">
            <v>35.799999999999997</v>
          </cell>
          <cell r="F2213">
            <v>14.7</v>
          </cell>
          <cell r="G2213">
            <v>55.8</v>
          </cell>
          <cell r="H2213">
            <v>33.700000000000003</v>
          </cell>
          <cell r="I2213" t="str">
            <v>-</v>
          </cell>
          <cell r="J2213">
            <v>23694</v>
          </cell>
          <cell r="K2213">
            <v>21.3</v>
          </cell>
          <cell r="L2213">
            <v>0.15</v>
          </cell>
          <cell r="M2213" t="str">
            <v>27 : 73</v>
          </cell>
          <cell r="N2213">
            <v>2016</v>
          </cell>
          <cell r="O2213" t="e">
            <v>#N/A</v>
          </cell>
          <cell r="P2213" t="e">
            <v>#N/A</v>
          </cell>
        </row>
        <row r="2214">
          <cell r="B2214" t="str">
            <v>Brunel University London</v>
          </cell>
          <cell r="C2214" t="str">
            <v>United Kingdom</v>
          </cell>
          <cell r="D2214" t="str">
            <v>401-500</v>
          </cell>
          <cell r="E2214">
            <v>91.8</v>
          </cell>
          <cell r="F2214">
            <v>23.3</v>
          </cell>
          <cell r="G2214">
            <v>39.5</v>
          </cell>
          <cell r="H2214">
            <v>34.700000000000003</v>
          </cell>
          <cell r="I2214" t="str">
            <v>-</v>
          </cell>
          <cell r="J2214">
            <v>12613</v>
          </cell>
          <cell r="K2214">
            <v>17.600000000000001</v>
          </cell>
          <cell r="L2214">
            <v>0.38</v>
          </cell>
          <cell r="M2214">
            <v>1.9541666666666666</v>
          </cell>
          <cell r="N2214">
            <v>2016</v>
          </cell>
          <cell r="O2214" t="e">
            <v>#N/A</v>
          </cell>
          <cell r="P2214" t="e">
            <v>#N/A</v>
          </cell>
        </row>
        <row r="2215">
          <cell r="B2215" t="str">
            <v>Caâ€™ Foscari University of Venice</v>
          </cell>
          <cell r="C2215" t="str">
            <v>Italy</v>
          </cell>
          <cell r="D2215" t="str">
            <v>401-500</v>
          </cell>
          <cell r="E2215">
            <v>38.1</v>
          </cell>
          <cell r="F2215">
            <v>27.8</v>
          </cell>
          <cell r="G2215">
            <v>48.9</v>
          </cell>
          <cell r="H2215">
            <v>32.299999999999997</v>
          </cell>
          <cell r="I2215" t="str">
            <v>-</v>
          </cell>
          <cell r="J2215">
            <v>19267</v>
          </cell>
          <cell r="K2215">
            <v>38.299999999999997</v>
          </cell>
          <cell r="L2215">
            <v>7.0000000000000007E-2</v>
          </cell>
          <cell r="M2215">
            <v>2.7736111111111112</v>
          </cell>
          <cell r="N2215">
            <v>2016</v>
          </cell>
          <cell r="O2215" t="e">
            <v>#N/A</v>
          </cell>
          <cell r="P2215" t="e">
            <v>#N/A</v>
          </cell>
        </row>
        <row r="2216">
          <cell r="B2216" t="str">
            <v>University of Cagliari</v>
          </cell>
          <cell r="C2216" t="str">
            <v>Italy</v>
          </cell>
          <cell r="D2216" t="str">
            <v>401-500</v>
          </cell>
          <cell r="E2216">
            <v>32.6</v>
          </cell>
          <cell r="F2216">
            <v>13.2</v>
          </cell>
          <cell r="G2216">
            <v>56.8</v>
          </cell>
          <cell r="H2216">
            <v>33.6</v>
          </cell>
          <cell r="I2216" t="str">
            <v>-</v>
          </cell>
          <cell r="J2216">
            <v>30638</v>
          </cell>
          <cell r="K2216">
            <v>51</v>
          </cell>
          <cell r="L2216">
            <v>0.01</v>
          </cell>
          <cell r="M2216">
            <v>2.6097222222222221</v>
          </cell>
          <cell r="N2216">
            <v>2016</v>
          </cell>
          <cell r="O2216">
            <v>583</v>
          </cell>
          <cell r="P2216">
            <v>32</v>
          </cell>
        </row>
        <row r="2217">
          <cell r="B2217" t="str">
            <v>University of Canterbury</v>
          </cell>
          <cell r="C2217" t="str">
            <v>New Zealand</v>
          </cell>
          <cell r="D2217" t="str">
            <v>401-500</v>
          </cell>
          <cell r="E2217">
            <v>91</v>
          </cell>
          <cell r="F2217">
            <v>22.5</v>
          </cell>
          <cell r="G2217">
            <v>38.9</v>
          </cell>
          <cell r="H2217">
            <v>52.1</v>
          </cell>
          <cell r="I2217" t="str">
            <v>-</v>
          </cell>
          <cell r="J2217">
            <v>12187</v>
          </cell>
          <cell r="K2217">
            <v>16.5</v>
          </cell>
          <cell r="L2217">
            <v>0.2</v>
          </cell>
          <cell r="M2217">
            <v>2.1590277777777778</v>
          </cell>
          <cell r="N2217">
            <v>2016</v>
          </cell>
          <cell r="O2217">
            <v>487</v>
          </cell>
          <cell r="P2217">
            <v>3</v>
          </cell>
        </row>
        <row r="2218">
          <cell r="B2218" t="str">
            <v>Catholic University of the Sacred Heart</v>
          </cell>
          <cell r="C2218" t="str">
            <v>Italy</v>
          </cell>
          <cell r="D2218" t="str">
            <v>401-500</v>
          </cell>
          <cell r="E2218">
            <v>39</v>
          </cell>
          <cell r="F2218">
            <v>11.3</v>
          </cell>
          <cell r="G2218">
            <v>55.4</v>
          </cell>
          <cell r="H2218">
            <v>38.700000000000003</v>
          </cell>
          <cell r="I2218" t="str">
            <v>-</v>
          </cell>
          <cell r="J2218">
            <v>30304</v>
          </cell>
          <cell r="K2218">
            <v>18.899999999999999</v>
          </cell>
          <cell r="L2218">
            <v>0.1</v>
          </cell>
          <cell r="N2218">
            <v>2016</v>
          </cell>
          <cell r="O2218">
            <v>414</v>
          </cell>
          <cell r="P2218">
            <v>20</v>
          </cell>
        </row>
        <row r="2219">
          <cell r="B2219" t="str">
            <v>Charles University in Prague</v>
          </cell>
          <cell r="C2219" t="str">
            <v>Czech Republic</v>
          </cell>
          <cell r="D2219" t="str">
            <v>401-500</v>
          </cell>
          <cell r="E2219">
            <v>52.8</v>
          </cell>
          <cell r="F2219">
            <v>21.5</v>
          </cell>
          <cell r="G2219">
            <v>41</v>
          </cell>
          <cell r="H2219">
            <v>28.2</v>
          </cell>
          <cell r="I2219" t="str">
            <v>-</v>
          </cell>
          <cell r="J2219">
            <v>51438</v>
          </cell>
          <cell r="K2219">
            <v>13</v>
          </cell>
          <cell r="L2219">
            <v>0.15</v>
          </cell>
          <cell r="M2219">
            <v>2.6097222222222221</v>
          </cell>
          <cell r="N2219">
            <v>2016</v>
          </cell>
          <cell r="O2219">
            <v>313</v>
          </cell>
          <cell r="P2219">
            <v>1</v>
          </cell>
        </row>
        <row r="2220">
          <cell r="B2220" t="str">
            <v>China Medical University, Taiwan</v>
          </cell>
          <cell r="C2220" t="str">
            <v>Taiwan</v>
          </cell>
          <cell r="D2220" t="str">
            <v>401-500</v>
          </cell>
          <cell r="E2220">
            <v>25.7</v>
          </cell>
          <cell r="F2220">
            <v>29.4</v>
          </cell>
          <cell r="G2220">
            <v>45</v>
          </cell>
          <cell r="H2220">
            <v>60.4</v>
          </cell>
          <cell r="I2220" t="str">
            <v>-</v>
          </cell>
          <cell r="J2220">
            <v>7983</v>
          </cell>
          <cell r="K2220">
            <v>15.4</v>
          </cell>
          <cell r="L2220">
            <v>0.08</v>
          </cell>
          <cell r="M2220">
            <v>2.2409722222222221</v>
          </cell>
          <cell r="N2220">
            <v>2016</v>
          </cell>
          <cell r="O2220" t="e">
            <v>#N/A</v>
          </cell>
          <cell r="P2220" t="e">
            <v>#N/A</v>
          </cell>
        </row>
        <row r="2221">
          <cell r="B2221" t="str">
            <v>City University London</v>
          </cell>
          <cell r="C2221" t="str">
            <v>United Kingdom</v>
          </cell>
          <cell r="D2221" t="str">
            <v>401-500</v>
          </cell>
          <cell r="E2221">
            <v>89.6</v>
          </cell>
          <cell r="F2221">
            <v>21.2</v>
          </cell>
          <cell r="G2221">
            <v>43.5</v>
          </cell>
          <cell r="H2221">
            <v>28.9</v>
          </cell>
          <cell r="I2221" t="str">
            <v>-</v>
          </cell>
          <cell r="J2221">
            <v>13053</v>
          </cell>
          <cell r="K2221">
            <v>17.8</v>
          </cell>
          <cell r="L2221">
            <v>0.5</v>
          </cell>
          <cell r="M2221">
            <v>2.3229166666666665</v>
          </cell>
          <cell r="N2221">
            <v>2016</v>
          </cell>
          <cell r="O2221">
            <v>494</v>
          </cell>
          <cell r="P2221">
            <v>40</v>
          </cell>
        </row>
        <row r="2222">
          <cell r="B2222" t="str">
            <v>Claude Bernard University Lyon 1</v>
          </cell>
          <cell r="C2222" t="str">
            <v>France</v>
          </cell>
          <cell r="D2222" t="str">
            <v>401-500</v>
          </cell>
          <cell r="E2222">
            <v>50.5</v>
          </cell>
          <cell r="F2222">
            <v>13.2</v>
          </cell>
          <cell r="G2222">
            <v>66.5</v>
          </cell>
          <cell r="H2222">
            <v>34.5</v>
          </cell>
          <cell r="I2222" t="str">
            <v>-</v>
          </cell>
          <cell r="J2222">
            <v>35308</v>
          </cell>
          <cell r="K2222">
            <v>16.100000000000001</v>
          </cell>
          <cell r="L2222">
            <v>0.11</v>
          </cell>
          <cell r="M2222">
            <v>2.1180555555555554</v>
          </cell>
          <cell r="N2222">
            <v>2016</v>
          </cell>
          <cell r="O2222">
            <v>230</v>
          </cell>
          <cell r="P2222">
            <v>10</v>
          </cell>
        </row>
        <row r="2223">
          <cell r="B2223" t="str">
            <v>University of Coimbra</v>
          </cell>
          <cell r="C2223" t="str">
            <v>Portugal</v>
          </cell>
          <cell r="D2223" t="str">
            <v>401-500</v>
          </cell>
          <cell r="E2223">
            <v>46.2</v>
          </cell>
          <cell r="F2223">
            <v>26.5</v>
          </cell>
          <cell r="G2223">
            <v>42.4</v>
          </cell>
          <cell r="H2223">
            <v>34.799999999999997</v>
          </cell>
          <cell r="I2223" t="str">
            <v>-</v>
          </cell>
          <cell r="J2223">
            <v>22795</v>
          </cell>
          <cell r="K2223">
            <v>19</v>
          </cell>
          <cell r="L2223">
            <v>0.11</v>
          </cell>
          <cell r="M2223">
            <v>2.3229166666666665</v>
          </cell>
          <cell r="N2223">
            <v>2016</v>
          </cell>
          <cell r="O2223">
            <v>545</v>
          </cell>
          <cell r="P2223">
            <v>3</v>
          </cell>
        </row>
        <row r="2224">
          <cell r="B2224" t="str">
            <v>Complutense University of Madrid</v>
          </cell>
          <cell r="C2224" t="str">
            <v>Spain</v>
          </cell>
          <cell r="D2224" t="str">
            <v>401-500</v>
          </cell>
          <cell r="E2224">
            <v>39.1</v>
          </cell>
          <cell r="F2224">
            <v>27.6</v>
          </cell>
          <cell r="G2224">
            <v>31.2</v>
          </cell>
          <cell r="H2224">
            <v>30.9</v>
          </cell>
          <cell r="I2224" t="str">
            <v>-</v>
          </cell>
          <cell r="J2224">
            <v>86519</v>
          </cell>
          <cell r="K2224">
            <v>17.5</v>
          </cell>
          <cell r="L2224">
            <v>0.13</v>
          </cell>
          <cell r="M2224">
            <v>2.6097222222222221</v>
          </cell>
          <cell r="N2224">
            <v>2016</v>
          </cell>
          <cell r="O2224">
            <v>198</v>
          </cell>
          <cell r="P2224">
            <v>2</v>
          </cell>
        </row>
        <row r="2225">
          <cell r="B2225" t="str">
            <v>Concordia University</v>
          </cell>
          <cell r="C2225" t="str">
            <v>Canada</v>
          </cell>
          <cell r="D2225" t="str">
            <v>401-500</v>
          </cell>
          <cell r="E2225">
            <v>77.400000000000006</v>
          </cell>
          <cell r="F2225">
            <v>23.4</v>
          </cell>
          <cell r="G2225">
            <v>36.4</v>
          </cell>
          <cell r="H2225">
            <v>30.9</v>
          </cell>
          <cell r="I2225" t="str">
            <v>-</v>
          </cell>
          <cell r="J2225">
            <v>31017</v>
          </cell>
          <cell r="K2225">
            <v>30.3</v>
          </cell>
          <cell r="L2225">
            <v>0.27</v>
          </cell>
          <cell r="M2225">
            <v>2.1180555555555554</v>
          </cell>
          <cell r="N2225">
            <v>2016</v>
          </cell>
          <cell r="O2225">
            <v>422</v>
          </cell>
          <cell r="P2225">
            <v>19</v>
          </cell>
        </row>
        <row r="2226">
          <cell r="B2226" t="str">
            <v>Curtin University</v>
          </cell>
          <cell r="C2226" t="str">
            <v>Australia</v>
          </cell>
          <cell r="D2226" t="str">
            <v>401-500</v>
          </cell>
          <cell r="E2226">
            <v>93.1</v>
          </cell>
          <cell r="F2226">
            <v>20.2</v>
          </cell>
          <cell r="G2226">
            <v>44.6</v>
          </cell>
          <cell r="H2226">
            <v>37.799999999999997</v>
          </cell>
          <cell r="I2226" t="str">
            <v>-</v>
          </cell>
          <cell r="J2226">
            <v>30333</v>
          </cell>
          <cell r="K2226">
            <v>17.100000000000001</v>
          </cell>
          <cell r="L2226">
            <v>0.38</v>
          </cell>
          <cell r="M2226">
            <v>2.2409722222222221</v>
          </cell>
          <cell r="N2226">
            <v>2016</v>
          </cell>
          <cell r="O2226">
            <v>612</v>
          </cell>
          <cell r="P2226">
            <v>16</v>
          </cell>
        </row>
        <row r="2227">
          <cell r="B2227" t="str">
            <v>Dublin City University</v>
          </cell>
          <cell r="C2227" t="str">
            <v>Republic of Ireland</v>
          </cell>
          <cell r="D2227" t="str">
            <v>401-500</v>
          </cell>
          <cell r="E2227">
            <v>76.7</v>
          </cell>
          <cell r="F2227">
            <v>25.2</v>
          </cell>
          <cell r="G2227">
            <v>36.299999999999997</v>
          </cell>
          <cell r="H2227">
            <v>51.7</v>
          </cell>
          <cell r="I2227" t="str">
            <v>-</v>
          </cell>
          <cell r="J2227">
            <v>8546</v>
          </cell>
          <cell r="K2227">
            <v>22.9</v>
          </cell>
          <cell r="L2227">
            <v>0.17</v>
          </cell>
          <cell r="M2227">
            <v>2.1590277777777778</v>
          </cell>
          <cell r="N2227">
            <v>2016</v>
          </cell>
          <cell r="O2227">
            <v>819</v>
          </cell>
          <cell r="P2227">
            <v>6</v>
          </cell>
        </row>
        <row r="2228">
          <cell r="B2228" t="str">
            <v>East China University of Science and Technology</v>
          </cell>
          <cell r="C2228" t="str">
            <v>China</v>
          </cell>
          <cell r="D2228" t="str">
            <v>401-500</v>
          </cell>
          <cell r="E2228">
            <v>21.7</v>
          </cell>
          <cell r="F2228">
            <v>17.100000000000001</v>
          </cell>
          <cell r="G2228">
            <v>46.4</v>
          </cell>
          <cell r="H2228">
            <v>64.7</v>
          </cell>
          <cell r="I2228" t="str">
            <v>-</v>
          </cell>
          <cell r="J2228">
            <v>27140</v>
          </cell>
          <cell r="K2228">
            <v>15.5</v>
          </cell>
          <cell r="L2228">
            <v>0.05</v>
          </cell>
          <cell r="N2228">
            <v>2016</v>
          </cell>
          <cell r="O2228">
            <v>528</v>
          </cell>
          <cell r="P2228">
            <v>25</v>
          </cell>
        </row>
        <row r="2229">
          <cell r="B2229" t="str">
            <v>Ewha Womans University</v>
          </cell>
          <cell r="C2229" t="str">
            <v>South Korea</v>
          </cell>
          <cell r="D2229" t="str">
            <v>401-500</v>
          </cell>
          <cell r="E2229">
            <v>34.299999999999997</v>
          </cell>
          <cell r="F2229">
            <v>18.3</v>
          </cell>
          <cell r="G2229">
            <v>50.4</v>
          </cell>
          <cell r="H2229">
            <v>57.6</v>
          </cell>
          <cell r="I2229" t="str">
            <v>-</v>
          </cell>
          <cell r="J2229">
            <v>17625</v>
          </cell>
          <cell r="K2229">
            <v>14.4</v>
          </cell>
          <cell r="L2229">
            <v>0.06</v>
          </cell>
          <cell r="M2229">
            <v>4.166666666666667</v>
          </cell>
          <cell r="N2229">
            <v>2016</v>
          </cell>
          <cell r="O2229">
            <v>374</v>
          </cell>
          <cell r="P2229">
            <v>10</v>
          </cell>
        </row>
        <row r="2230">
          <cell r="B2230" t="str">
            <v>Federico Santa MarÃ­a Technical University</v>
          </cell>
          <cell r="C2230" t="str">
            <v>Chile</v>
          </cell>
          <cell r="D2230" t="str">
            <v>401-500</v>
          </cell>
          <cell r="E2230">
            <v>54.1</v>
          </cell>
          <cell r="F2230">
            <v>10.1</v>
          </cell>
          <cell r="G2230">
            <v>70.5</v>
          </cell>
          <cell r="H2230">
            <v>35.1</v>
          </cell>
          <cell r="I2230" t="str">
            <v>-</v>
          </cell>
          <cell r="J2230">
            <v>11718</v>
          </cell>
          <cell r="K2230">
            <v>34</v>
          </cell>
          <cell r="L2230">
            <v>0.02</v>
          </cell>
          <cell r="M2230" t="str">
            <v>24 : 76</v>
          </cell>
          <cell r="N2230">
            <v>2016</v>
          </cell>
          <cell r="O2230">
            <v>971</v>
          </cell>
          <cell r="P2230">
            <v>4</v>
          </cell>
        </row>
        <row r="2231">
          <cell r="B2231" t="str">
            <v>University of Ferrara</v>
          </cell>
          <cell r="C2231" t="str">
            <v>Italy</v>
          </cell>
          <cell r="D2231" t="str">
            <v>401-500</v>
          </cell>
          <cell r="E2231">
            <v>41.8</v>
          </cell>
          <cell r="F2231">
            <v>17.2</v>
          </cell>
          <cell r="G2231">
            <v>63.3</v>
          </cell>
          <cell r="H2231">
            <v>35.9</v>
          </cell>
          <cell r="I2231" t="str">
            <v>-</v>
          </cell>
          <cell r="J2231">
            <v>18882</v>
          </cell>
          <cell r="K2231">
            <v>30.2</v>
          </cell>
          <cell r="L2231">
            <v>7.0000000000000007E-2</v>
          </cell>
          <cell r="M2231">
            <v>2.3638888888888889</v>
          </cell>
          <cell r="N2231">
            <v>2016</v>
          </cell>
          <cell r="O2231">
            <v>387</v>
          </cell>
          <cell r="P2231">
            <v>17</v>
          </cell>
        </row>
        <row r="2232">
          <cell r="B2232" t="str">
            <v>Florida International University</v>
          </cell>
          <cell r="C2232" t="str">
            <v>United States of America</v>
          </cell>
          <cell r="D2232" t="str">
            <v>401-500</v>
          </cell>
          <cell r="E2232">
            <v>32.799999999999997</v>
          </cell>
          <cell r="F2232">
            <v>18.100000000000001</v>
          </cell>
          <cell r="G2232">
            <v>49.4</v>
          </cell>
          <cell r="H2232">
            <v>32.700000000000003</v>
          </cell>
          <cell r="I2232" t="str">
            <v>-</v>
          </cell>
          <cell r="J2232">
            <v>32566</v>
          </cell>
          <cell r="K2232">
            <v>25.9</v>
          </cell>
          <cell r="L2232">
            <v>7.0000000000000007E-2</v>
          </cell>
          <cell r="M2232">
            <v>2.3638888888888889</v>
          </cell>
          <cell r="N2232">
            <v>2016</v>
          </cell>
          <cell r="O2232">
            <v>642</v>
          </cell>
          <cell r="P2232">
            <v>186</v>
          </cell>
        </row>
        <row r="2233">
          <cell r="B2233" t="str">
            <v>University of Genoa</v>
          </cell>
          <cell r="C2233" t="str">
            <v>Italy</v>
          </cell>
          <cell r="D2233" t="str">
            <v>401-500</v>
          </cell>
          <cell r="E2233">
            <v>38.799999999999997</v>
          </cell>
          <cell r="F2233">
            <v>14.2</v>
          </cell>
          <cell r="G2233">
            <v>59.3</v>
          </cell>
          <cell r="H2233">
            <v>42.3</v>
          </cell>
          <cell r="I2233" t="str">
            <v>-</v>
          </cell>
          <cell r="J2233">
            <v>37373</v>
          </cell>
          <cell r="K2233">
            <v>29.5</v>
          </cell>
          <cell r="L2233">
            <v>0.09</v>
          </cell>
          <cell r="M2233">
            <v>2.3638888888888889</v>
          </cell>
          <cell r="N2233">
            <v>2016</v>
          </cell>
          <cell r="O2233">
            <v>341</v>
          </cell>
          <cell r="P2233">
            <v>11</v>
          </cell>
        </row>
        <row r="2234">
          <cell r="B2234" t="str">
            <v>Georgia State University</v>
          </cell>
          <cell r="C2234" t="str">
            <v>United States of America</v>
          </cell>
          <cell r="D2234" t="str">
            <v>401-500</v>
          </cell>
          <cell r="E2234">
            <v>29.5</v>
          </cell>
          <cell r="F2234">
            <v>19.5</v>
          </cell>
          <cell r="G2234">
            <v>52.9</v>
          </cell>
          <cell r="H2234">
            <v>28.7</v>
          </cell>
          <cell r="I2234" t="str">
            <v>-</v>
          </cell>
          <cell r="J2234">
            <v>28534</v>
          </cell>
          <cell r="K2234">
            <v>20.399999999999999</v>
          </cell>
          <cell r="L2234">
            <v>0.05</v>
          </cell>
          <cell r="M2234">
            <v>2.4868055555555557</v>
          </cell>
          <cell r="N2234">
            <v>2016</v>
          </cell>
          <cell r="O2234">
            <v>512</v>
          </cell>
          <cell r="P2234">
            <v>164</v>
          </cell>
        </row>
        <row r="2235">
          <cell r="B2235" t="str">
            <v>University of Graz</v>
          </cell>
          <cell r="C2235" t="str">
            <v>Austria</v>
          </cell>
          <cell r="D2235" t="str">
            <v>401-500</v>
          </cell>
          <cell r="E2235">
            <v>68.900000000000006</v>
          </cell>
          <cell r="F2235">
            <v>16.3</v>
          </cell>
          <cell r="G2235">
            <v>53.3</v>
          </cell>
          <cell r="H2235">
            <v>29.3</v>
          </cell>
          <cell r="I2235" t="str">
            <v>-</v>
          </cell>
          <cell r="J2235">
            <v>20584</v>
          </cell>
          <cell r="K2235">
            <v>26.8</v>
          </cell>
          <cell r="L2235">
            <v>0.12</v>
          </cell>
          <cell r="M2235">
            <v>2.7326388888888888</v>
          </cell>
          <cell r="N2235">
            <v>2016</v>
          </cell>
          <cell r="O2235">
            <v>518</v>
          </cell>
          <cell r="P2235">
            <v>6</v>
          </cell>
        </row>
        <row r="2236">
          <cell r="B2236" t="str">
            <v>Heriot-Watt University</v>
          </cell>
          <cell r="C2236" t="str">
            <v>United Kingdom</v>
          </cell>
          <cell r="D2236" t="str">
            <v>401-500</v>
          </cell>
          <cell r="E2236">
            <v>90.1</v>
          </cell>
          <cell r="F2236">
            <v>22.4</v>
          </cell>
          <cell r="G2236">
            <v>36.4</v>
          </cell>
          <cell r="H2236">
            <v>45.6</v>
          </cell>
          <cell r="I2236" t="str">
            <v>-</v>
          </cell>
          <cell r="J2236">
            <v>8773</v>
          </cell>
          <cell r="K2236">
            <v>17.8</v>
          </cell>
          <cell r="L2236">
            <v>0.43</v>
          </cell>
          <cell r="M2236">
            <v>1.7493055555555554</v>
          </cell>
          <cell r="N2236">
            <v>2016</v>
          </cell>
          <cell r="O2236">
            <v>703</v>
          </cell>
          <cell r="P2236">
            <v>53</v>
          </cell>
        </row>
        <row r="2237">
          <cell r="B2237" t="str">
            <v>Hokkaido University</v>
          </cell>
          <cell r="C2237" t="str">
            <v>Japan</v>
          </cell>
          <cell r="D2237" t="str">
            <v>401-500</v>
          </cell>
          <cell r="E2237">
            <v>27.9</v>
          </cell>
          <cell r="F2237">
            <v>32.799999999999997</v>
          </cell>
          <cell r="G2237">
            <v>29.3</v>
          </cell>
          <cell r="H2237">
            <v>53.7</v>
          </cell>
          <cell r="I2237" t="str">
            <v>-</v>
          </cell>
          <cell r="J2237">
            <v>18162</v>
          </cell>
          <cell r="K2237">
            <v>8.1999999999999993</v>
          </cell>
          <cell r="L2237">
            <v>0.09</v>
          </cell>
          <cell r="M2237" t="str">
            <v>29 : 71</v>
          </cell>
          <cell r="N2237">
            <v>2016</v>
          </cell>
          <cell r="O2237">
            <v>188</v>
          </cell>
          <cell r="P2237">
            <v>12</v>
          </cell>
        </row>
        <row r="2238">
          <cell r="B2238" t="str">
            <v>Howard University</v>
          </cell>
          <cell r="C2238" t="str">
            <v>United States of America</v>
          </cell>
          <cell r="D2238" t="str">
            <v>401-500</v>
          </cell>
          <cell r="E2238">
            <v>30.3</v>
          </cell>
          <cell r="F2238">
            <v>11</v>
          </cell>
          <cell r="G2238">
            <v>44.5</v>
          </cell>
          <cell r="H2238" t="str">
            <v>-</v>
          </cell>
          <cell r="I2238" t="str">
            <v>-</v>
          </cell>
          <cell r="J2238">
            <v>10297</v>
          </cell>
          <cell r="K2238">
            <v>6.8</v>
          </cell>
          <cell r="L2238">
            <v>0.05</v>
          </cell>
          <cell r="M2238">
            <v>2.7326388888888888</v>
          </cell>
          <cell r="N2238">
            <v>2016</v>
          </cell>
          <cell r="O2238">
            <v>644</v>
          </cell>
          <cell r="P2238">
            <v>187</v>
          </cell>
        </row>
        <row r="2239">
          <cell r="B2239" t="str">
            <v>University of Hull</v>
          </cell>
          <cell r="C2239" t="str">
            <v>United Kingdom</v>
          </cell>
          <cell r="D2239" t="str">
            <v>401-500</v>
          </cell>
          <cell r="E2239">
            <v>73.2</v>
          </cell>
          <cell r="F2239">
            <v>16.100000000000001</v>
          </cell>
          <cell r="G2239">
            <v>41.1</v>
          </cell>
          <cell r="H2239">
            <v>31.8</v>
          </cell>
          <cell r="I2239" t="str">
            <v>-</v>
          </cell>
          <cell r="J2239">
            <v>15141</v>
          </cell>
          <cell r="K2239">
            <v>18.7</v>
          </cell>
          <cell r="L2239">
            <v>0.2</v>
          </cell>
          <cell r="M2239">
            <v>2.2000000000000002</v>
          </cell>
          <cell r="N2239">
            <v>2016</v>
          </cell>
          <cell r="O2239">
            <v>317</v>
          </cell>
          <cell r="P2239">
            <v>27</v>
          </cell>
        </row>
        <row r="2240">
          <cell r="B2240" t="str">
            <v>University of Idaho</v>
          </cell>
          <cell r="C2240" t="str">
            <v>United States of America</v>
          </cell>
          <cell r="D2240" t="str">
            <v>401-500</v>
          </cell>
          <cell r="E2240">
            <v>32</v>
          </cell>
          <cell r="F2240">
            <v>19.399999999999999</v>
          </cell>
          <cell r="G2240">
            <v>40.799999999999997</v>
          </cell>
          <cell r="H2240">
            <v>32.4</v>
          </cell>
          <cell r="I2240" t="str">
            <v>-</v>
          </cell>
          <cell r="J2240">
            <v>11641</v>
          </cell>
          <cell r="K2240">
            <v>21.5</v>
          </cell>
          <cell r="L2240">
            <v>0.06</v>
          </cell>
          <cell r="M2240">
            <v>1.9951388888888888</v>
          </cell>
          <cell r="N2240">
            <v>2016</v>
          </cell>
          <cell r="O2240">
            <v>638</v>
          </cell>
          <cell r="P2240">
            <v>184</v>
          </cell>
        </row>
        <row r="2241">
          <cell r="B2241" t="str">
            <v>Indian Institute of Technology Delhi</v>
          </cell>
          <cell r="C2241" t="str">
            <v>India</v>
          </cell>
          <cell r="D2241" t="str">
            <v>401-500</v>
          </cell>
          <cell r="E2241">
            <v>15.5</v>
          </cell>
          <cell r="F2241">
            <v>25.8</v>
          </cell>
          <cell r="G2241">
            <v>33.4</v>
          </cell>
          <cell r="H2241">
            <v>62.8</v>
          </cell>
          <cell r="I2241" t="str">
            <v>-</v>
          </cell>
          <cell r="J2241">
            <v>8371</v>
          </cell>
          <cell r="K2241">
            <v>17.3</v>
          </cell>
          <cell r="L2241">
            <v>0.01</v>
          </cell>
          <cell r="M2241">
            <v>0.80694444444444446</v>
          </cell>
          <cell r="N2241">
            <v>2016</v>
          </cell>
          <cell r="O2241">
            <v>328</v>
          </cell>
          <cell r="P2241">
            <v>1</v>
          </cell>
        </row>
        <row r="2242">
          <cell r="B2242" t="str">
            <v>Indian Institute of Technology Kharagpur</v>
          </cell>
          <cell r="C2242" t="str">
            <v>India</v>
          </cell>
          <cell r="D2242" t="str">
            <v>401-500</v>
          </cell>
          <cell r="E2242">
            <v>13.3</v>
          </cell>
          <cell r="F2242">
            <v>30.5</v>
          </cell>
          <cell r="G2242">
            <v>41.4</v>
          </cell>
          <cell r="H2242">
            <v>31.7</v>
          </cell>
          <cell r="I2242" t="str">
            <v>-</v>
          </cell>
          <cell r="J2242">
            <v>9928</v>
          </cell>
          <cell r="K2242">
            <v>17.5</v>
          </cell>
          <cell r="L2242">
            <v>0</v>
          </cell>
          <cell r="M2242">
            <v>0.68402777777777779</v>
          </cell>
          <cell r="N2242">
            <v>2016</v>
          </cell>
          <cell r="O2242">
            <v>574</v>
          </cell>
          <cell r="P2242">
            <v>7</v>
          </cell>
        </row>
        <row r="2243">
          <cell r="B2243" t="str">
            <v>Indian Institute of Technology Madras</v>
          </cell>
          <cell r="C2243" t="str">
            <v>India</v>
          </cell>
          <cell r="D2243" t="str">
            <v>401-500</v>
          </cell>
          <cell r="E2243">
            <v>16.100000000000001</v>
          </cell>
          <cell r="F2243">
            <v>20.7</v>
          </cell>
          <cell r="G2243">
            <v>31.4</v>
          </cell>
          <cell r="H2243">
            <v>88.9</v>
          </cell>
          <cell r="I2243" t="str">
            <v>-</v>
          </cell>
          <cell r="J2243">
            <v>8234</v>
          </cell>
          <cell r="K2243">
            <v>15.9</v>
          </cell>
          <cell r="L2243">
            <v>0.01</v>
          </cell>
          <cell r="M2243">
            <v>0.84791666666666665</v>
          </cell>
          <cell r="N2243">
            <v>2016</v>
          </cell>
          <cell r="O2243">
            <v>576</v>
          </cell>
          <cell r="P2243">
            <v>8</v>
          </cell>
        </row>
        <row r="2244">
          <cell r="B2244" t="str">
            <v>University of Ioannina</v>
          </cell>
          <cell r="C2244" t="str">
            <v>Greece</v>
          </cell>
          <cell r="D2244" t="str">
            <v>401-500</v>
          </cell>
          <cell r="E2244">
            <v>36.9</v>
          </cell>
          <cell r="F2244">
            <v>17.7</v>
          </cell>
          <cell r="G2244">
            <v>56.4</v>
          </cell>
          <cell r="H2244">
            <v>32.9</v>
          </cell>
          <cell r="I2244" t="str">
            <v>-</v>
          </cell>
          <cell r="J2244">
            <v>20825</v>
          </cell>
          <cell r="K2244">
            <v>36.299999999999997</v>
          </cell>
          <cell r="L2244">
            <v>0.04</v>
          </cell>
          <cell r="M2244">
            <v>2.4458333333333333</v>
          </cell>
          <cell r="N2244">
            <v>2016</v>
          </cell>
          <cell r="O2244">
            <v>582</v>
          </cell>
          <cell r="P2244">
            <v>4</v>
          </cell>
        </row>
        <row r="2245">
          <cell r="B2245" t="str">
            <v>Iran University of Science and Technology</v>
          </cell>
          <cell r="C2245" t="str">
            <v>Iran</v>
          </cell>
          <cell r="D2245" t="str">
            <v>401-500</v>
          </cell>
          <cell r="E2245">
            <v>12.2</v>
          </cell>
          <cell r="F2245">
            <v>26</v>
          </cell>
          <cell r="G2245">
            <v>42.3</v>
          </cell>
          <cell r="H2245">
            <v>61.2</v>
          </cell>
          <cell r="I2245" t="str">
            <v>-</v>
          </cell>
          <cell r="J2245">
            <v>10311</v>
          </cell>
          <cell r="K2245">
            <v>23.9</v>
          </cell>
          <cell r="L2245">
            <v>0</v>
          </cell>
          <cell r="M2245" t="str">
            <v>24 : 76</v>
          </cell>
          <cell r="N2245">
            <v>2016</v>
          </cell>
          <cell r="O2245">
            <v>993</v>
          </cell>
          <cell r="P2245">
            <v>8</v>
          </cell>
        </row>
        <row r="2246">
          <cell r="B2246" t="str">
            <v>Johannes Kepler University of Linz</v>
          </cell>
          <cell r="C2246" t="str">
            <v>Austria</v>
          </cell>
          <cell r="D2246" t="str">
            <v>401-500</v>
          </cell>
          <cell r="E2246">
            <v>58.5</v>
          </cell>
          <cell r="F2246">
            <v>13.8</v>
          </cell>
          <cell r="G2246">
            <v>51.6</v>
          </cell>
          <cell r="H2246">
            <v>37.4</v>
          </cell>
          <cell r="I2246" t="str">
            <v>-</v>
          </cell>
          <cell r="J2246">
            <v>19646</v>
          </cell>
          <cell r="K2246">
            <v>29.1</v>
          </cell>
          <cell r="L2246">
            <v>0.1</v>
          </cell>
          <cell r="M2246">
            <v>2.036111111111111</v>
          </cell>
          <cell r="N2246">
            <v>2016</v>
          </cell>
          <cell r="O2246">
            <v>687</v>
          </cell>
          <cell r="P2246">
            <v>8</v>
          </cell>
        </row>
        <row r="2247">
          <cell r="B2247" t="str">
            <v>University of Kaiserslautern</v>
          </cell>
          <cell r="C2247" t="str">
            <v>Germany</v>
          </cell>
          <cell r="D2247" t="str">
            <v>401-500</v>
          </cell>
          <cell r="E2247">
            <v>44.1</v>
          </cell>
          <cell r="F2247">
            <v>22.6</v>
          </cell>
          <cell r="G2247">
            <v>47.5</v>
          </cell>
          <cell r="H2247">
            <v>80.2</v>
          </cell>
          <cell r="I2247" t="str">
            <v>-</v>
          </cell>
          <cell r="J2247">
            <v>14184</v>
          </cell>
          <cell r="K2247">
            <v>54.4</v>
          </cell>
          <cell r="L2247">
            <v>0.14000000000000001</v>
          </cell>
          <cell r="M2247" t="str">
            <v>36 : 64</v>
          </cell>
          <cell r="N2247">
            <v>2016</v>
          </cell>
          <cell r="O2247" t="e">
            <v>#N/A</v>
          </cell>
          <cell r="P2247" t="e">
            <v>#N/A</v>
          </cell>
        </row>
        <row r="2248">
          <cell r="B2248" t="str">
            <v>Keele University</v>
          </cell>
          <cell r="C2248" t="str">
            <v>United Kingdom</v>
          </cell>
          <cell r="D2248" t="str">
            <v>401-500</v>
          </cell>
          <cell r="E2248">
            <v>72.7</v>
          </cell>
          <cell r="F2248">
            <v>17.600000000000001</v>
          </cell>
          <cell r="G2248">
            <v>53</v>
          </cell>
          <cell r="H2248">
            <v>29.3</v>
          </cell>
          <cell r="I2248" t="str">
            <v>-</v>
          </cell>
          <cell r="J2248">
            <v>8397</v>
          </cell>
          <cell r="K2248">
            <v>15.7</v>
          </cell>
          <cell r="L2248">
            <v>0.2</v>
          </cell>
          <cell r="M2248">
            <v>2.3229166666666665</v>
          </cell>
          <cell r="N2248">
            <v>2016</v>
          </cell>
          <cell r="O2248">
            <v>663</v>
          </cell>
          <cell r="P2248">
            <v>50</v>
          </cell>
        </row>
        <row r="2249">
          <cell r="B2249" t="str">
            <v>University of KwaZulu-Natal</v>
          </cell>
          <cell r="C2249" t="str">
            <v>South Africa</v>
          </cell>
          <cell r="D2249" t="str">
            <v>401-500</v>
          </cell>
          <cell r="E2249">
            <v>58.6</v>
          </cell>
          <cell r="F2249">
            <v>25.7</v>
          </cell>
          <cell r="G2249">
            <v>41.5</v>
          </cell>
          <cell r="H2249">
            <v>38.200000000000003</v>
          </cell>
          <cell r="I2249" t="str">
            <v>-</v>
          </cell>
          <cell r="J2249">
            <v>30572</v>
          </cell>
          <cell r="K2249">
            <v>24.9</v>
          </cell>
          <cell r="L2249">
            <v>0.06</v>
          </cell>
          <cell r="M2249">
            <v>2.4458333333333333</v>
          </cell>
          <cell r="N2249">
            <v>2016</v>
          </cell>
          <cell r="O2249">
            <v>459</v>
          </cell>
          <cell r="P2249">
            <v>4</v>
          </cell>
        </row>
        <row r="2250">
          <cell r="B2250" t="str">
            <v>Kyung Hee University</v>
          </cell>
          <cell r="C2250" t="str">
            <v>South Korea</v>
          </cell>
          <cell r="D2250" t="str">
            <v>401-500</v>
          </cell>
          <cell r="E2250">
            <v>46.4</v>
          </cell>
          <cell r="F2250">
            <v>27.6</v>
          </cell>
          <cell r="G2250">
            <v>39.200000000000003</v>
          </cell>
          <cell r="H2250">
            <v>89.4</v>
          </cell>
          <cell r="I2250" t="str">
            <v>-</v>
          </cell>
          <cell r="J2250">
            <v>24356</v>
          </cell>
          <cell r="K2250">
            <v>17.399999999999999</v>
          </cell>
          <cell r="L2250">
            <v>0.14000000000000001</v>
          </cell>
          <cell r="N2250">
            <v>2016</v>
          </cell>
          <cell r="O2250">
            <v>380</v>
          </cell>
          <cell r="P2250">
            <v>11</v>
          </cell>
        </row>
        <row r="2251">
          <cell r="B2251" t="str">
            <v>Kyushu University</v>
          </cell>
          <cell r="C2251" t="str">
            <v>Japan</v>
          </cell>
          <cell r="D2251" t="str">
            <v>401-500</v>
          </cell>
          <cell r="E2251">
            <v>26.4</v>
          </cell>
          <cell r="F2251">
            <v>27.5</v>
          </cell>
          <cell r="G2251">
            <v>31.8</v>
          </cell>
          <cell r="H2251">
            <v>83.2</v>
          </cell>
          <cell r="I2251" t="str">
            <v>-</v>
          </cell>
          <cell r="J2251">
            <v>18925</v>
          </cell>
          <cell r="K2251">
            <v>6.7</v>
          </cell>
          <cell r="L2251">
            <v>0.08</v>
          </cell>
          <cell r="M2251" t="str">
            <v>28 : 72</v>
          </cell>
          <cell r="N2251">
            <v>2016</v>
          </cell>
          <cell r="O2251">
            <v>92</v>
          </cell>
          <cell r="P2251">
            <v>7</v>
          </cell>
        </row>
        <row r="2252">
          <cell r="B2252" t="str">
            <v>Lehigh University</v>
          </cell>
          <cell r="C2252" t="str">
            <v>United States of America</v>
          </cell>
          <cell r="D2252" t="str">
            <v>401-500</v>
          </cell>
          <cell r="E2252">
            <v>36</v>
          </cell>
          <cell r="F2252">
            <v>15</v>
          </cell>
          <cell r="G2252">
            <v>58.2</v>
          </cell>
          <cell r="H2252">
            <v>38.9</v>
          </cell>
          <cell r="I2252" t="str">
            <v>-</v>
          </cell>
          <cell r="J2252">
            <v>6300</v>
          </cell>
          <cell r="K2252">
            <v>11.3</v>
          </cell>
          <cell r="L2252">
            <v>0.15</v>
          </cell>
          <cell r="M2252">
            <v>1.8722222222222222</v>
          </cell>
          <cell r="N2252">
            <v>2016</v>
          </cell>
          <cell r="O2252">
            <v>258</v>
          </cell>
          <cell r="P2252">
            <v>104</v>
          </cell>
        </row>
        <row r="2253">
          <cell r="B2253" t="str">
            <v>Louisiana State University</v>
          </cell>
          <cell r="C2253" t="str">
            <v>United States of America</v>
          </cell>
          <cell r="D2253" t="str">
            <v>401-500</v>
          </cell>
          <cell r="E2253">
            <v>26.1</v>
          </cell>
          <cell r="F2253">
            <v>27.7</v>
          </cell>
          <cell r="G2253">
            <v>37.799999999999997</v>
          </cell>
          <cell r="H2253" t="str">
            <v>-</v>
          </cell>
          <cell r="I2253" t="str">
            <v>-</v>
          </cell>
          <cell r="J2253">
            <v>28116</v>
          </cell>
          <cell r="K2253">
            <v>20.100000000000001</v>
          </cell>
          <cell r="L2253">
            <v>0.06</v>
          </cell>
          <cell r="M2253">
            <v>2.2000000000000002</v>
          </cell>
          <cell r="N2253">
            <v>2016</v>
          </cell>
          <cell r="O2253" t="e">
            <v>#N/A</v>
          </cell>
          <cell r="P2253" t="e">
            <v>#N/A</v>
          </cell>
        </row>
        <row r="2254">
          <cell r="B2254" t="str">
            <v>University of Macau</v>
          </cell>
          <cell r="C2254" t="str">
            <v>Macau</v>
          </cell>
          <cell r="D2254" t="str">
            <v>401-500</v>
          </cell>
          <cell r="E2254">
            <v>98.4</v>
          </cell>
          <cell r="F2254">
            <v>17</v>
          </cell>
          <cell r="G2254">
            <v>49.7</v>
          </cell>
          <cell r="H2254">
            <v>34.9</v>
          </cell>
          <cell r="I2254" t="str">
            <v>-</v>
          </cell>
          <cell r="J2254">
            <v>8521</v>
          </cell>
          <cell r="K2254">
            <v>14.9</v>
          </cell>
          <cell r="L2254">
            <v>0.31</v>
          </cell>
          <cell r="M2254">
            <v>2.4458333333333333</v>
          </cell>
          <cell r="N2254">
            <v>2016</v>
          </cell>
          <cell r="O2254" t="e">
            <v>#N/A</v>
          </cell>
          <cell r="P2254" t="e">
            <v>#N/A</v>
          </cell>
        </row>
        <row r="2255">
          <cell r="B2255" t="str">
            <v>Makerere University</v>
          </cell>
          <cell r="C2255" t="str">
            <v>Uganda</v>
          </cell>
          <cell r="D2255" t="str">
            <v>401-500</v>
          </cell>
          <cell r="E2255">
            <v>58</v>
          </cell>
          <cell r="F2255">
            <v>10.6</v>
          </cell>
          <cell r="G2255">
            <v>70.7</v>
          </cell>
          <cell r="H2255">
            <v>28</v>
          </cell>
          <cell r="I2255" t="str">
            <v>-</v>
          </cell>
          <cell r="J2255">
            <v>37340</v>
          </cell>
          <cell r="K2255">
            <v>29.4</v>
          </cell>
          <cell r="L2255">
            <v>0.09</v>
          </cell>
          <cell r="M2255">
            <v>2.1180555555555554</v>
          </cell>
          <cell r="N2255">
            <v>2016</v>
          </cell>
          <cell r="O2255">
            <v>891</v>
          </cell>
          <cell r="P2255">
            <v>1</v>
          </cell>
        </row>
        <row r="2256">
          <cell r="B2256" t="str">
            <v>Marche Polytechnic University</v>
          </cell>
          <cell r="C2256" t="str">
            <v>Italy</v>
          </cell>
          <cell r="D2256" t="str">
            <v>401-500</v>
          </cell>
          <cell r="E2256">
            <v>27.3</v>
          </cell>
          <cell r="F2256">
            <v>11</v>
          </cell>
          <cell r="G2256">
            <v>80.2</v>
          </cell>
          <cell r="H2256">
            <v>28</v>
          </cell>
          <cell r="I2256" t="str">
            <v>-</v>
          </cell>
          <cell r="J2256">
            <v>16589</v>
          </cell>
          <cell r="K2256">
            <v>23</v>
          </cell>
          <cell r="L2256">
            <v>0.04</v>
          </cell>
          <cell r="M2256">
            <v>1.9131944444444444</v>
          </cell>
          <cell r="N2256">
            <v>2016</v>
          </cell>
          <cell r="O2256">
            <v>701</v>
          </cell>
          <cell r="P2256">
            <v>38</v>
          </cell>
        </row>
        <row r="2257">
          <cell r="B2257" t="str">
            <v>University of Maryland, Baltimore County</v>
          </cell>
          <cell r="C2257" t="str">
            <v>United States of America</v>
          </cell>
          <cell r="D2257" t="str">
            <v>401-500</v>
          </cell>
          <cell r="E2257">
            <v>28.2</v>
          </cell>
          <cell r="F2257">
            <v>18.2</v>
          </cell>
          <cell r="G2257">
            <v>61.3</v>
          </cell>
          <cell r="H2257">
            <v>31.7</v>
          </cell>
          <cell r="I2257" t="str">
            <v>-</v>
          </cell>
          <cell r="J2257">
            <v>13908</v>
          </cell>
          <cell r="K2257">
            <v>18.100000000000001</v>
          </cell>
          <cell r="L2257">
            <v>7.0000000000000007E-2</v>
          </cell>
          <cell r="M2257">
            <v>1.9541666666666666</v>
          </cell>
          <cell r="N2257">
            <v>2016</v>
          </cell>
          <cell r="O2257">
            <v>505</v>
          </cell>
          <cell r="P2257">
            <v>162</v>
          </cell>
        </row>
        <row r="2258">
          <cell r="B2258" t="str">
            <v>Murdoch University</v>
          </cell>
          <cell r="C2258" t="str">
            <v>Australia</v>
          </cell>
          <cell r="D2258" t="str">
            <v>401-500</v>
          </cell>
          <cell r="E2258">
            <v>88.3</v>
          </cell>
          <cell r="F2258">
            <v>19.600000000000001</v>
          </cell>
          <cell r="G2258">
            <v>51.2</v>
          </cell>
          <cell r="H2258">
            <v>36.5</v>
          </cell>
          <cell r="I2258" t="str">
            <v>-</v>
          </cell>
          <cell r="J2258">
            <v>16606</v>
          </cell>
          <cell r="K2258">
            <v>32.799999999999997</v>
          </cell>
          <cell r="L2258">
            <v>0.43</v>
          </cell>
          <cell r="M2258">
            <v>2.4868055555555557</v>
          </cell>
          <cell r="N2258">
            <v>2016</v>
          </cell>
          <cell r="O2258">
            <v>836</v>
          </cell>
          <cell r="P2258">
            <v>22</v>
          </cell>
        </row>
        <row r="2259">
          <cell r="B2259" t="str">
            <v>University of Nantes</v>
          </cell>
          <cell r="C2259" t="str">
            <v>France</v>
          </cell>
          <cell r="D2259" t="str">
            <v>401-500</v>
          </cell>
          <cell r="E2259">
            <v>35.1</v>
          </cell>
          <cell r="F2259">
            <v>12.2</v>
          </cell>
          <cell r="G2259">
            <v>69.400000000000006</v>
          </cell>
          <cell r="H2259" t="str">
            <v>-</v>
          </cell>
          <cell r="I2259" t="str">
            <v>-</v>
          </cell>
          <cell r="J2259">
            <v>33866</v>
          </cell>
          <cell r="K2259">
            <v>22.2</v>
          </cell>
          <cell r="L2259">
            <v>0.11</v>
          </cell>
          <cell r="M2259">
            <v>2.3638888888888889</v>
          </cell>
          <cell r="N2259">
            <v>2016</v>
          </cell>
          <cell r="O2259">
            <v>562</v>
          </cell>
          <cell r="P2259">
            <v>25</v>
          </cell>
        </row>
        <row r="2260">
          <cell r="B2260" t="str">
            <v>National and Kapodistrian University of Athens</v>
          </cell>
          <cell r="C2260" t="str">
            <v>Greece</v>
          </cell>
          <cell r="D2260" t="str">
            <v>401-500</v>
          </cell>
          <cell r="E2260">
            <v>39</v>
          </cell>
          <cell r="F2260">
            <v>16.3</v>
          </cell>
          <cell r="G2260">
            <v>45.8</v>
          </cell>
          <cell r="H2260" t="str">
            <v>-</v>
          </cell>
          <cell r="I2260" t="str">
            <v>-</v>
          </cell>
          <cell r="J2260">
            <v>63052</v>
          </cell>
          <cell r="K2260">
            <v>32.299999999999997</v>
          </cell>
          <cell r="L2260">
            <v>0.09</v>
          </cell>
          <cell r="M2260">
            <v>2.5687500000000001</v>
          </cell>
          <cell r="N2260">
            <v>2016</v>
          </cell>
          <cell r="O2260">
            <v>331</v>
          </cell>
          <cell r="P2260">
            <v>1</v>
          </cell>
        </row>
        <row r="2261">
          <cell r="B2261" t="str">
            <v>National Autonomous University of Mexico</v>
          </cell>
          <cell r="C2261" t="str">
            <v>Mexico</v>
          </cell>
          <cell r="D2261" t="str">
            <v>401-500</v>
          </cell>
          <cell r="E2261">
            <v>35.9</v>
          </cell>
          <cell r="F2261">
            <v>40.200000000000003</v>
          </cell>
          <cell r="G2261">
            <v>14.8</v>
          </cell>
          <cell r="H2261">
            <v>63.7</v>
          </cell>
          <cell r="I2261" t="str">
            <v>-</v>
          </cell>
          <cell r="J2261">
            <v>137378</v>
          </cell>
          <cell r="K2261">
            <v>11.6</v>
          </cell>
          <cell r="L2261">
            <v>0.05</v>
          </cell>
          <cell r="M2261">
            <v>2.1590277777777778</v>
          </cell>
          <cell r="N2261">
            <v>2016</v>
          </cell>
          <cell r="O2261">
            <v>337</v>
          </cell>
          <cell r="P2261">
            <v>1</v>
          </cell>
        </row>
        <row r="2262">
          <cell r="B2262" t="str">
            <v>National Cheng Kung University</v>
          </cell>
          <cell r="C2262" t="str">
            <v>Taiwan</v>
          </cell>
          <cell r="D2262" t="str">
            <v>401-500</v>
          </cell>
          <cell r="E2262">
            <v>27.7</v>
          </cell>
          <cell r="F2262">
            <v>40.200000000000003</v>
          </cell>
          <cell r="G2262">
            <v>27.2</v>
          </cell>
          <cell r="H2262">
            <v>100</v>
          </cell>
          <cell r="I2262" t="str">
            <v>-</v>
          </cell>
          <cell r="J2262">
            <v>21234</v>
          </cell>
          <cell r="K2262">
            <v>14.4</v>
          </cell>
          <cell r="L2262">
            <v>0.11</v>
          </cell>
          <cell r="M2262" t="str">
            <v>36 : 64</v>
          </cell>
          <cell r="N2262">
            <v>2016</v>
          </cell>
          <cell r="O2262">
            <v>246</v>
          </cell>
          <cell r="P2262">
            <v>2</v>
          </cell>
        </row>
        <row r="2263">
          <cell r="B2263" t="str">
            <v>National Institute of Applied Sciences of Lyon (INSA Lyon)</v>
          </cell>
          <cell r="C2263" t="str">
            <v>France</v>
          </cell>
          <cell r="D2263" t="str">
            <v>401-500</v>
          </cell>
          <cell r="E2263">
            <v>63.6</v>
          </cell>
          <cell r="F2263">
            <v>10.6</v>
          </cell>
          <cell r="G2263">
            <v>41.8</v>
          </cell>
          <cell r="H2263">
            <v>40.299999999999997</v>
          </cell>
          <cell r="I2263" t="str">
            <v>-</v>
          </cell>
          <cell r="J2263">
            <v>6137</v>
          </cell>
          <cell r="K2263">
            <v>8.1999999999999993</v>
          </cell>
          <cell r="L2263">
            <v>0.31</v>
          </cell>
          <cell r="M2263" t="str">
            <v>31 : 69</v>
          </cell>
          <cell r="N2263">
            <v>2016</v>
          </cell>
          <cell r="O2263" t="e">
            <v>#N/A</v>
          </cell>
          <cell r="P2263" t="e">
            <v>#N/A</v>
          </cell>
        </row>
        <row r="2264">
          <cell r="B2264" t="str">
            <v>National Yang-Ming University</v>
          </cell>
          <cell r="C2264" t="str">
            <v>Taiwan</v>
          </cell>
          <cell r="D2264" t="str">
            <v>401-500</v>
          </cell>
          <cell r="E2264">
            <v>15.8</v>
          </cell>
          <cell r="F2264">
            <v>18.5</v>
          </cell>
          <cell r="G2264">
            <v>33.299999999999997</v>
          </cell>
          <cell r="H2264">
            <v>30.2</v>
          </cell>
          <cell r="I2264" t="str">
            <v>-</v>
          </cell>
          <cell r="J2264">
            <v>4496</v>
          </cell>
          <cell r="K2264">
            <v>5.4</v>
          </cell>
          <cell r="L2264">
            <v>0.02</v>
          </cell>
          <cell r="M2264">
            <v>2.036111111111111</v>
          </cell>
          <cell r="N2264">
            <v>2016</v>
          </cell>
          <cell r="O2264">
            <v>534</v>
          </cell>
          <cell r="P2264">
            <v>5</v>
          </cell>
        </row>
        <row r="2265">
          <cell r="B2265" t="str">
            <v>University of NeuchÃ¢tel</v>
          </cell>
          <cell r="C2265" t="str">
            <v>Switzerland</v>
          </cell>
          <cell r="D2265" t="str">
            <v>401-500</v>
          </cell>
          <cell r="E2265">
            <v>91.4</v>
          </cell>
          <cell r="F2265">
            <v>14.7</v>
          </cell>
          <cell r="G2265">
            <v>48.2</v>
          </cell>
          <cell r="H2265" t="str">
            <v>-</v>
          </cell>
          <cell r="I2265" t="str">
            <v>-</v>
          </cell>
          <cell r="J2265">
            <v>4358</v>
          </cell>
          <cell r="K2265">
            <v>8.5</v>
          </cell>
          <cell r="L2265">
            <v>0.22</v>
          </cell>
          <cell r="M2265">
            <v>2.4868055555555557</v>
          </cell>
          <cell r="N2265">
            <v>2016</v>
          </cell>
          <cell r="O2265">
            <v>754</v>
          </cell>
          <cell r="P2265">
            <v>9</v>
          </cell>
        </row>
        <row r="2266">
          <cell r="B2266" t="str">
            <v>New University of Lisbon</v>
          </cell>
          <cell r="C2266" t="str">
            <v>Portugal</v>
          </cell>
          <cell r="D2266" t="str">
            <v>401-500</v>
          </cell>
          <cell r="E2266">
            <v>44.5</v>
          </cell>
          <cell r="F2266">
            <v>21.9</v>
          </cell>
          <cell r="G2266">
            <v>38.299999999999997</v>
          </cell>
          <cell r="H2266">
            <v>41.3</v>
          </cell>
          <cell r="I2266" t="str">
            <v>-</v>
          </cell>
          <cell r="J2266">
            <v>18867</v>
          </cell>
          <cell r="K2266">
            <v>17.899999999999999</v>
          </cell>
          <cell r="L2266">
            <v>7.0000000000000007E-2</v>
          </cell>
          <cell r="M2266">
            <v>2.0770833333333334</v>
          </cell>
          <cell r="N2266">
            <v>2016</v>
          </cell>
          <cell r="O2266" t="e">
            <v>#N/A</v>
          </cell>
          <cell r="P2266" t="e">
            <v>#N/A</v>
          </cell>
        </row>
        <row r="2267">
          <cell r="B2267" t="str">
            <v>University of Nice Sophia Antipolis</v>
          </cell>
          <cell r="C2267" t="str">
            <v>France</v>
          </cell>
          <cell r="D2267" t="str">
            <v>401-500</v>
          </cell>
          <cell r="E2267">
            <v>79.5</v>
          </cell>
          <cell r="F2267">
            <v>16.100000000000001</v>
          </cell>
          <cell r="G2267">
            <v>53.7</v>
          </cell>
          <cell r="H2267">
            <v>28.5</v>
          </cell>
          <cell r="I2267" t="str">
            <v>-</v>
          </cell>
          <cell r="J2267">
            <v>27304</v>
          </cell>
          <cell r="K2267">
            <v>20.3</v>
          </cell>
          <cell r="L2267">
            <v>0.22</v>
          </cell>
          <cell r="M2267">
            <v>2.3638888888888889</v>
          </cell>
          <cell r="N2267">
            <v>2016</v>
          </cell>
          <cell r="O2267">
            <v>532</v>
          </cell>
          <cell r="P2267">
            <v>23</v>
          </cell>
        </row>
        <row r="2268">
          <cell r="B2268" t="str">
            <v>Novosibirsk State University</v>
          </cell>
          <cell r="C2268" t="str">
            <v>Russian Federation</v>
          </cell>
          <cell r="D2268" t="str">
            <v>401-500</v>
          </cell>
          <cell r="E2268">
            <v>32.4</v>
          </cell>
          <cell r="F2268">
            <v>30.8</v>
          </cell>
          <cell r="G2268">
            <v>26.2</v>
          </cell>
          <cell r="H2268">
            <v>38.200000000000003</v>
          </cell>
          <cell r="I2268" t="str">
            <v>-</v>
          </cell>
          <cell r="J2268">
            <v>7131</v>
          </cell>
          <cell r="K2268">
            <v>7.1</v>
          </cell>
          <cell r="L2268">
            <v>0.13</v>
          </cell>
          <cell r="M2268">
            <v>2.2000000000000002</v>
          </cell>
          <cell r="N2268">
            <v>2016</v>
          </cell>
          <cell r="O2268">
            <v>916</v>
          </cell>
          <cell r="P2268">
            <v>3</v>
          </cell>
        </row>
        <row r="2269">
          <cell r="B2269" t="str">
            <v>The Open University</v>
          </cell>
          <cell r="C2269" t="str">
            <v>United Kingdom</v>
          </cell>
          <cell r="D2269" t="str">
            <v>401-500</v>
          </cell>
          <cell r="E2269">
            <v>51.5</v>
          </cell>
          <cell r="F2269">
            <v>13.8</v>
          </cell>
          <cell r="G2269">
            <v>60.3</v>
          </cell>
          <cell r="H2269">
            <v>28.4</v>
          </cell>
          <cell r="I2269" t="str">
            <v>-</v>
          </cell>
          <cell r="J2269">
            <v>76683</v>
          </cell>
          <cell r="K2269">
            <v>35.9</v>
          </cell>
          <cell r="L2269">
            <v>0.09</v>
          </cell>
          <cell r="M2269">
            <v>2.5687500000000001</v>
          </cell>
          <cell r="N2269">
            <v>2016</v>
          </cell>
          <cell r="O2269" t="e">
            <v>#N/A</v>
          </cell>
          <cell r="P2269" t="e">
            <v>#N/A</v>
          </cell>
        </row>
        <row r="2270">
          <cell r="B2270" t="str">
            <v>Oxford Brookes University</v>
          </cell>
          <cell r="C2270" t="str">
            <v>United Kingdom</v>
          </cell>
          <cell r="D2270" t="str">
            <v>401-500</v>
          </cell>
          <cell r="E2270">
            <v>68.900000000000006</v>
          </cell>
          <cell r="F2270">
            <v>18.8</v>
          </cell>
          <cell r="G2270">
            <v>42.7</v>
          </cell>
          <cell r="H2270">
            <v>28.4</v>
          </cell>
          <cell r="I2270" t="str">
            <v>-</v>
          </cell>
          <cell r="J2270">
            <v>14238</v>
          </cell>
          <cell r="K2270">
            <v>18.5</v>
          </cell>
          <cell r="L2270">
            <v>0.25</v>
          </cell>
          <cell r="M2270">
            <v>2.4048611111111109</v>
          </cell>
          <cell r="N2270">
            <v>2016</v>
          </cell>
          <cell r="O2270" t="e">
            <v>#N/A</v>
          </cell>
          <cell r="P2270" t="e">
            <v>#N/A</v>
          </cell>
        </row>
        <row r="2271">
          <cell r="B2271" t="str">
            <v>University of Palermo</v>
          </cell>
          <cell r="C2271" t="str">
            <v>Italy</v>
          </cell>
          <cell r="D2271" t="str">
            <v>401-500</v>
          </cell>
          <cell r="E2271">
            <v>23.6</v>
          </cell>
          <cell r="F2271">
            <v>9.1</v>
          </cell>
          <cell r="G2271">
            <v>77.400000000000006</v>
          </cell>
          <cell r="H2271">
            <v>28</v>
          </cell>
          <cell r="I2271" t="str">
            <v>-</v>
          </cell>
          <cell r="J2271">
            <v>43875</v>
          </cell>
          <cell r="K2271">
            <v>22.4</v>
          </cell>
          <cell r="L2271">
            <v>0.01</v>
          </cell>
          <cell r="M2271">
            <v>2.5277777777777777</v>
          </cell>
          <cell r="N2271">
            <v>2016</v>
          </cell>
          <cell r="O2271">
            <v>554</v>
          </cell>
          <cell r="P2271">
            <v>27</v>
          </cell>
        </row>
        <row r="2272">
          <cell r="B2272" t="str">
            <v>University of Parma</v>
          </cell>
          <cell r="C2272" t="str">
            <v>Italy</v>
          </cell>
          <cell r="D2272" t="str">
            <v>401-500</v>
          </cell>
          <cell r="E2272">
            <v>36.799999999999997</v>
          </cell>
          <cell r="F2272">
            <v>16.600000000000001</v>
          </cell>
          <cell r="G2272">
            <v>56.4</v>
          </cell>
          <cell r="H2272">
            <v>37.1</v>
          </cell>
          <cell r="I2272" t="str">
            <v>-</v>
          </cell>
          <cell r="J2272">
            <v>26937</v>
          </cell>
          <cell r="K2272">
            <v>29.1</v>
          </cell>
          <cell r="L2272">
            <v>7.0000000000000007E-2</v>
          </cell>
          <cell r="M2272">
            <v>2.3638888888888889</v>
          </cell>
          <cell r="N2272">
            <v>2016</v>
          </cell>
          <cell r="O2272">
            <v>455</v>
          </cell>
          <cell r="P2272">
            <v>22</v>
          </cell>
        </row>
        <row r="2273">
          <cell r="B2273" t="str">
            <v>University of Pisa</v>
          </cell>
          <cell r="C2273" t="str">
            <v>Italy</v>
          </cell>
          <cell r="D2273" t="str">
            <v>401-500</v>
          </cell>
          <cell r="E2273">
            <v>31.1</v>
          </cell>
          <cell r="F2273">
            <v>18.899999999999999</v>
          </cell>
          <cell r="G2273">
            <v>64.5</v>
          </cell>
          <cell r="H2273">
            <v>31.4</v>
          </cell>
          <cell r="I2273" t="str">
            <v>-</v>
          </cell>
          <cell r="J2273">
            <v>47247</v>
          </cell>
          <cell r="K2273">
            <v>18</v>
          </cell>
          <cell r="L2273">
            <v>0.04</v>
          </cell>
          <cell r="M2273">
            <v>2.2000000000000002</v>
          </cell>
          <cell r="N2273">
            <v>2016</v>
          </cell>
          <cell r="O2273">
            <v>308</v>
          </cell>
          <cell r="P2273">
            <v>8</v>
          </cell>
        </row>
        <row r="2274">
          <cell r="B2274" t="str">
            <v>Polytechnic University of Catalonia</v>
          </cell>
          <cell r="C2274" t="str">
            <v>Spain</v>
          </cell>
          <cell r="D2274" t="str">
            <v>401-500</v>
          </cell>
          <cell r="E2274">
            <v>63.9</v>
          </cell>
          <cell r="F2274">
            <v>14.8</v>
          </cell>
          <cell r="G2274">
            <v>44.7</v>
          </cell>
          <cell r="H2274">
            <v>40.9</v>
          </cell>
          <cell r="I2274" t="str">
            <v>-</v>
          </cell>
          <cell r="J2274">
            <v>22893</v>
          </cell>
          <cell r="K2274">
            <v>11.7</v>
          </cell>
          <cell r="L2274">
            <v>0.28000000000000003</v>
          </cell>
          <cell r="M2274">
            <v>0.56111111111111112</v>
          </cell>
          <cell r="N2274">
            <v>2016</v>
          </cell>
          <cell r="O2274">
            <v>410</v>
          </cell>
          <cell r="P2274">
            <v>9</v>
          </cell>
        </row>
        <row r="2275">
          <cell r="B2275" t="str">
            <v>Pontifical Catholic University of Chile</v>
          </cell>
          <cell r="C2275" t="str">
            <v>Chile</v>
          </cell>
          <cell r="D2275" t="str">
            <v>401-500</v>
          </cell>
          <cell r="E2275">
            <v>52.4</v>
          </cell>
          <cell r="F2275">
            <v>21.3</v>
          </cell>
          <cell r="G2275">
            <v>37</v>
          </cell>
          <cell r="H2275">
            <v>28</v>
          </cell>
          <cell r="I2275" t="str">
            <v>-</v>
          </cell>
          <cell r="J2275">
            <v>25075</v>
          </cell>
          <cell r="K2275">
            <v>15.3</v>
          </cell>
          <cell r="L2275">
            <v>7.0000000000000007E-2</v>
          </cell>
          <cell r="N2275">
            <v>2016</v>
          </cell>
          <cell r="O2275">
            <v>450</v>
          </cell>
          <cell r="P2275">
            <v>1</v>
          </cell>
        </row>
        <row r="2276">
          <cell r="B2276" t="str">
            <v>University of Porto</v>
          </cell>
          <cell r="C2276" t="str">
            <v>Portugal</v>
          </cell>
          <cell r="D2276" t="str">
            <v>401-500</v>
          </cell>
          <cell r="E2276">
            <v>45.4</v>
          </cell>
          <cell r="F2276">
            <v>28.2</v>
          </cell>
          <cell r="G2276">
            <v>37.200000000000003</v>
          </cell>
          <cell r="H2276">
            <v>38.700000000000003</v>
          </cell>
          <cell r="I2276" t="str">
            <v>-</v>
          </cell>
          <cell r="J2276">
            <v>32720</v>
          </cell>
          <cell r="K2276">
            <v>18.8</v>
          </cell>
          <cell r="L2276">
            <v>0.09</v>
          </cell>
          <cell r="M2276">
            <v>2.2819444444444446</v>
          </cell>
          <cell r="N2276">
            <v>2016</v>
          </cell>
          <cell r="O2276">
            <v>290</v>
          </cell>
          <cell r="P2276">
            <v>2</v>
          </cell>
        </row>
        <row r="2277">
          <cell r="B2277" t="str">
            <v>University of Portsmouth</v>
          </cell>
          <cell r="C2277" t="str">
            <v>United Kingdom</v>
          </cell>
          <cell r="D2277" t="str">
            <v>401-500</v>
          </cell>
          <cell r="E2277">
            <v>79.3</v>
          </cell>
          <cell r="F2277">
            <v>10.9</v>
          </cell>
          <cell r="G2277">
            <v>58.2</v>
          </cell>
          <cell r="H2277">
            <v>28.9</v>
          </cell>
          <cell r="I2277" t="str">
            <v>-</v>
          </cell>
          <cell r="J2277">
            <v>20161</v>
          </cell>
          <cell r="K2277">
            <v>19.100000000000001</v>
          </cell>
          <cell r="L2277">
            <v>0.23</v>
          </cell>
          <cell r="M2277">
            <v>1.9131944444444444</v>
          </cell>
          <cell r="N2277">
            <v>2016</v>
          </cell>
          <cell r="O2277">
            <v>640</v>
          </cell>
          <cell r="P2277">
            <v>48</v>
          </cell>
        </row>
        <row r="2278">
          <cell r="B2278" t="str">
            <v>RMIT University</v>
          </cell>
          <cell r="C2278" t="str">
            <v>Australia</v>
          </cell>
          <cell r="D2278" t="str">
            <v>401-500</v>
          </cell>
          <cell r="E2278">
            <v>82.1</v>
          </cell>
          <cell r="F2278">
            <v>17.7</v>
          </cell>
          <cell r="G2278">
            <v>44.6</v>
          </cell>
          <cell r="H2278">
            <v>37</v>
          </cell>
          <cell r="I2278" t="str">
            <v>-</v>
          </cell>
          <cell r="J2278">
            <v>29501</v>
          </cell>
          <cell r="K2278">
            <v>18.100000000000001</v>
          </cell>
          <cell r="L2278">
            <v>0.25</v>
          </cell>
          <cell r="M2278">
            <v>1.9951388888888888</v>
          </cell>
          <cell r="N2278">
            <v>2016</v>
          </cell>
          <cell r="O2278">
            <v>859</v>
          </cell>
          <cell r="P2278">
            <v>23</v>
          </cell>
        </row>
        <row r="2279">
          <cell r="B2279" t="str">
            <v>University of Rome II â€“ Tor Vergata</v>
          </cell>
          <cell r="C2279" t="str">
            <v>Italy</v>
          </cell>
          <cell r="D2279" t="str">
            <v>401-500</v>
          </cell>
          <cell r="E2279">
            <v>36.5</v>
          </cell>
          <cell r="F2279">
            <v>17.2</v>
          </cell>
          <cell r="G2279">
            <v>64.5</v>
          </cell>
          <cell r="H2279">
            <v>34.700000000000003</v>
          </cell>
          <cell r="I2279" t="str">
            <v>-</v>
          </cell>
          <cell r="J2279">
            <v>33504</v>
          </cell>
          <cell r="K2279">
            <v>26.5</v>
          </cell>
          <cell r="L2279">
            <v>0.06</v>
          </cell>
          <cell r="M2279">
            <v>2.2000000000000002</v>
          </cell>
          <cell r="N2279">
            <v>2016</v>
          </cell>
          <cell r="O2279" t="e">
            <v>#N/A</v>
          </cell>
          <cell r="P2279" t="e">
            <v>#N/A</v>
          </cell>
        </row>
        <row r="2280">
          <cell r="B2280" t="str">
            <v>University of Rovira i Virgili</v>
          </cell>
          <cell r="C2280" t="str">
            <v>Spain</v>
          </cell>
          <cell r="D2280" t="str">
            <v>401-500</v>
          </cell>
          <cell r="E2280">
            <v>41.5</v>
          </cell>
          <cell r="F2280">
            <v>14.8</v>
          </cell>
          <cell r="G2280">
            <v>66.900000000000006</v>
          </cell>
          <cell r="H2280">
            <v>30.9</v>
          </cell>
          <cell r="I2280" t="str">
            <v>-</v>
          </cell>
          <cell r="J2280">
            <v>12533</v>
          </cell>
          <cell r="K2280">
            <v>12.8</v>
          </cell>
          <cell r="L2280">
            <v>0.09</v>
          </cell>
          <cell r="M2280">
            <v>2.5687500000000001</v>
          </cell>
          <cell r="N2280">
            <v>2016</v>
          </cell>
          <cell r="O2280" t="e">
            <v>#N/A</v>
          </cell>
          <cell r="P2280" t="e">
            <v>#N/A</v>
          </cell>
        </row>
        <row r="2281">
          <cell r="B2281" t="str">
            <v>Saint Petersburg State University</v>
          </cell>
          <cell r="C2281" t="str">
            <v>Russian Federation</v>
          </cell>
          <cell r="D2281" t="str">
            <v>401-500</v>
          </cell>
          <cell r="E2281">
            <v>33</v>
          </cell>
          <cell r="F2281">
            <v>31.4</v>
          </cell>
          <cell r="G2281">
            <v>14.5</v>
          </cell>
          <cell r="H2281">
            <v>29.5</v>
          </cell>
          <cell r="I2281" t="str">
            <v>-</v>
          </cell>
          <cell r="J2281">
            <v>20836</v>
          </cell>
          <cell r="K2281">
            <v>5.2</v>
          </cell>
          <cell r="L2281">
            <v>7.0000000000000007E-2</v>
          </cell>
          <cell r="M2281">
            <v>2.5277777777777777</v>
          </cell>
          <cell r="N2281">
            <v>2016</v>
          </cell>
          <cell r="O2281">
            <v>285</v>
          </cell>
          <cell r="P2281">
            <v>2</v>
          </cell>
        </row>
        <row r="2282">
          <cell r="B2282" t="str">
            <v>University of Salento</v>
          </cell>
          <cell r="C2282" t="str">
            <v>Italy</v>
          </cell>
          <cell r="D2282" t="str">
            <v>401-500</v>
          </cell>
          <cell r="E2282">
            <v>24.5</v>
          </cell>
          <cell r="F2282">
            <v>13.2</v>
          </cell>
          <cell r="G2282">
            <v>53</v>
          </cell>
          <cell r="H2282">
            <v>36.200000000000003</v>
          </cell>
          <cell r="I2282" t="str">
            <v>-</v>
          </cell>
          <cell r="J2282">
            <v>19959</v>
          </cell>
          <cell r="K2282">
            <v>58.4</v>
          </cell>
          <cell r="L2282">
            <v>0.01</v>
          </cell>
          <cell r="M2282">
            <v>2.6916666666666669</v>
          </cell>
          <cell r="N2282">
            <v>2016</v>
          </cell>
          <cell r="O2282">
            <v>785</v>
          </cell>
          <cell r="P2282">
            <v>42</v>
          </cell>
        </row>
        <row r="2283">
          <cell r="B2283" t="str">
            <v>University of San Francisco</v>
          </cell>
          <cell r="C2283" t="str">
            <v>United States of America</v>
          </cell>
          <cell r="D2283" t="str">
            <v>401-500</v>
          </cell>
          <cell r="E2283">
            <v>40.1</v>
          </cell>
          <cell r="F2283">
            <v>12.9</v>
          </cell>
          <cell r="G2283">
            <v>43.8</v>
          </cell>
          <cell r="H2283">
            <v>28.6</v>
          </cell>
          <cell r="I2283" t="str">
            <v>-</v>
          </cell>
          <cell r="J2283">
            <v>10788</v>
          </cell>
          <cell r="K2283">
            <v>17</v>
          </cell>
          <cell r="L2283">
            <v>0.17</v>
          </cell>
          <cell r="M2283">
            <v>2.6506944444444445</v>
          </cell>
          <cell r="N2283">
            <v>2016</v>
          </cell>
          <cell r="O2283" t="e">
            <v>#N/A</v>
          </cell>
          <cell r="P2283" t="e">
            <v>#N/A</v>
          </cell>
        </row>
        <row r="2284">
          <cell r="B2284" t="str">
            <v>University of Saskatchewan</v>
          </cell>
          <cell r="C2284" t="str">
            <v>Canada</v>
          </cell>
          <cell r="D2284" t="str">
            <v>401-500</v>
          </cell>
          <cell r="E2284">
            <v>52.9</v>
          </cell>
          <cell r="F2284">
            <v>22.4</v>
          </cell>
          <cell r="G2284">
            <v>39.700000000000003</v>
          </cell>
          <cell r="H2284">
            <v>62.9</v>
          </cell>
          <cell r="I2284" t="str">
            <v>-</v>
          </cell>
          <cell r="J2284">
            <v>19028</v>
          </cell>
          <cell r="K2284">
            <v>16.3</v>
          </cell>
          <cell r="L2284">
            <v>0.14000000000000001</v>
          </cell>
          <cell r="M2284">
            <v>2.4048611111111109</v>
          </cell>
          <cell r="N2284">
            <v>2016</v>
          </cell>
          <cell r="O2284">
            <v>483</v>
          </cell>
          <cell r="P2284">
            <v>20</v>
          </cell>
        </row>
        <row r="2285">
          <cell r="B2285" t="str">
            <v>Sharif University of Technology</v>
          </cell>
          <cell r="C2285" t="str">
            <v>Iran</v>
          </cell>
          <cell r="D2285" t="str">
            <v>401-500</v>
          </cell>
          <cell r="E2285">
            <v>15.9</v>
          </cell>
          <cell r="F2285">
            <v>30.1</v>
          </cell>
          <cell r="G2285">
            <v>33.700000000000003</v>
          </cell>
          <cell r="H2285">
            <v>87.8</v>
          </cell>
          <cell r="I2285" t="str">
            <v>-</v>
          </cell>
          <cell r="J2285">
            <v>10977</v>
          </cell>
          <cell r="K2285">
            <v>18.7</v>
          </cell>
          <cell r="L2285">
            <v>0</v>
          </cell>
          <cell r="M2285" t="str">
            <v>27 : 73</v>
          </cell>
          <cell r="N2285">
            <v>2016</v>
          </cell>
          <cell r="O2285">
            <v>833</v>
          </cell>
          <cell r="P2285">
            <v>2</v>
          </cell>
        </row>
        <row r="2286">
          <cell r="B2286" t="str">
            <v>University of Siena</v>
          </cell>
          <cell r="C2286" t="str">
            <v>Italy</v>
          </cell>
          <cell r="D2286" t="str">
            <v>401-500</v>
          </cell>
          <cell r="E2286">
            <v>39</v>
          </cell>
          <cell r="F2286">
            <v>17.8</v>
          </cell>
          <cell r="G2286">
            <v>45.2</v>
          </cell>
          <cell r="H2286">
            <v>33.200000000000003</v>
          </cell>
          <cell r="I2286" t="str">
            <v>-</v>
          </cell>
          <cell r="J2286">
            <v>18846</v>
          </cell>
          <cell r="K2286">
            <v>23.6</v>
          </cell>
          <cell r="L2286">
            <v>0.05</v>
          </cell>
          <cell r="M2286">
            <v>2.4868055555555557</v>
          </cell>
          <cell r="N2286">
            <v>2016</v>
          </cell>
          <cell r="O2286">
            <v>456</v>
          </cell>
          <cell r="P2286">
            <v>23</v>
          </cell>
        </row>
        <row r="2287">
          <cell r="B2287" t="str">
            <v>Southern Cross University</v>
          </cell>
          <cell r="C2287" t="str">
            <v>Australia</v>
          </cell>
          <cell r="D2287" t="str">
            <v>401-500</v>
          </cell>
          <cell r="E2287">
            <v>52.7</v>
          </cell>
          <cell r="F2287">
            <v>18.3</v>
          </cell>
          <cell r="G2287">
            <v>53.3</v>
          </cell>
          <cell r="H2287">
            <v>37.700000000000003</v>
          </cell>
          <cell r="I2287" t="str">
            <v>-</v>
          </cell>
          <cell r="J2287">
            <v>9026</v>
          </cell>
          <cell r="K2287">
            <v>32.799999999999997</v>
          </cell>
          <cell r="L2287">
            <v>0.15</v>
          </cell>
          <cell r="M2287">
            <v>2.7736111111111112</v>
          </cell>
          <cell r="N2287">
            <v>2016</v>
          </cell>
          <cell r="O2287" t="e">
            <v>#N/A</v>
          </cell>
          <cell r="P2287" t="e">
            <v>#N/A</v>
          </cell>
        </row>
        <row r="2288">
          <cell r="B2288" t="str">
            <v>State University of New York Albany</v>
          </cell>
          <cell r="C2288" t="str">
            <v>United States of America</v>
          </cell>
          <cell r="D2288" t="str">
            <v>401-500</v>
          </cell>
          <cell r="E2288">
            <v>31.4</v>
          </cell>
          <cell r="F2288">
            <v>35.299999999999997</v>
          </cell>
          <cell r="G2288">
            <v>35.5</v>
          </cell>
          <cell r="H2288">
            <v>28</v>
          </cell>
          <cell r="I2288" t="str">
            <v>-</v>
          </cell>
          <cell r="J2288">
            <v>15387</v>
          </cell>
          <cell r="K2288">
            <v>18.5</v>
          </cell>
          <cell r="L2288">
            <v>0.08</v>
          </cell>
          <cell r="M2288">
            <v>2.1590277777777778</v>
          </cell>
          <cell r="N2288">
            <v>2016</v>
          </cell>
          <cell r="O2288" t="e">
            <v>#N/A</v>
          </cell>
          <cell r="P2288" t="e">
            <v>#N/A</v>
          </cell>
        </row>
        <row r="2289">
          <cell r="B2289" t="str">
            <v>University of Strathclyde</v>
          </cell>
          <cell r="C2289" t="str">
            <v>United Kingdom</v>
          </cell>
          <cell r="D2289" t="str">
            <v>401-500</v>
          </cell>
          <cell r="E2289">
            <v>71</v>
          </cell>
          <cell r="F2289">
            <v>28</v>
          </cell>
          <cell r="G2289">
            <v>31.8</v>
          </cell>
          <cell r="H2289">
            <v>44.1</v>
          </cell>
          <cell r="I2289" t="str">
            <v>-</v>
          </cell>
          <cell r="J2289">
            <v>15705</v>
          </cell>
          <cell r="K2289">
            <v>20.2</v>
          </cell>
          <cell r="L2289">
            <v>0.2</v>
          </cell>
          <cell r="M2289">
            <v>2.1180555555555554</v>
          </cell>
          <cell r="N2289">
            <v>2016</v>
          </cell>
          <cell r="O2289">
            <v>472</v>
          </cell>
          <cell r="P2289">
            <v>39</v>
          </cell>
        </row>
        <row r="2290">
          <cell r="B2290" t="str">
            <v>University of Tampere</v>
          </cell>
          <cell r="C2290" t="str">
            <v>Finland</v>
          </cell>
          <cell r="D2290" t="str">
            <v>401-500</v>
          </cell>
          <cell r="E2290">
            <v>41.9</v>
          </cell>
          <cell r="F2290">
            <v>13.7</v>
          </cell>
          <cell r="G2290">
            <v>63.7</v>
          </cell>
          <cell r="H2290">
            <v>40</v>
          </cell>
          <cell r="I2290" t="str">
            <v>-</v>
          </cell>
          <cell r="J2290">
            <v>10045</v>
          </cell>
          <cell r="K2290">
            <v>9.5</v>
          </cell>
          <cell r="L2290">
            <v>0.04</v>
          </cell>
          <cell r="M2290">
            <v>2.7736111111111112</v>
          </cell>
          <cell r="N2290">
            <v>2016</v>
          </cell>
          <cell r="O2290">
            <v>430</v>
          </cell>
          <cell r="P2290">
            <v>6</v>
          </cell>
        </row>
        <row r="2291">
          <cell r="B2291" t="str">
            <v>Tampere University of Technology</v>
          </cell>
          <cell r="C2291" t="str">
            <v>Finland</v>
          </cell>
          <cell r="D2291" t="str">
            <v>401-500</v>
          </cell>
          <cell r="E2291">
            <v>54</v>
          </cell>
          <cell r="F2291">
            <v>17.2</v>
          </cell>
          <cell r="G2291">
            <v>45.5</v>
          </cell>
          <cell r="H2291">
            <v>67.5</v>
          </cell>
          <cell r="I2291" t="str">
            <v>-</v>
          </cell>
          <cell r="J2291">
            <v>6147</v>
          </cell>
          <cell r="K2291">
            <v>15.5</v>
          </cell>
          <cell r="L2291">
            <v>0.13</v>
          </cell>
          <cell r="M2291">
            <v>1.0118055555555556</v>
          </cell>
          <cell r="N2291">
            <v>2016</v>
          </cell>
          <cell r="O2291">
            <v>544</v>
          </cell>
          <cell r="P2291">
            <v>7</v>
          </cell>
        </row>
        <row r="2292">
          <cell r="B2292" t="str">
            <v>Tokyo Medical and Dental University (TMDU)</v>
          </cell>
          <cell r="C2292" t="str">
            <v>Japan</v>
          </cell>
          <cell r="D2292" t="str">
            <v>401-500</v>
          </cell>
          <cell r="E2292">
            <v>23.1</v>
          </cell>
          <cell r="F2292">
            <v>18.3</v>
          </cell>
          <cell r="G2292">
            <v>36.6</v>
          </cell>
          <cell r="H2292">
            <v>59.5</v>
          </cell>
          <cell r="I2292" t="str">
            <v>-</v>
          </cell>
          <cell r="J2292">
            <v>2872</v>
          </cell>
          <cell r="K2292">
            <v>3.3</v>
          </cell>
          <cell r="L2292">
            <v>7.0000000000000007E-2</v>
          </cell>
          <cell r="M2292">
            <v>2.1590277777777778</v>
          </cell>
          <cell r="N2292">
            <v>2016</v>
          </cell>
          <cell r="O2292" t="e">
            <v>#N/A</v>
          </cell>
          <cell r="P2292" t="e">
            <v>#N/A</v>
          </cell>
        </row>
        <row r="2293">
          <cell r="B2293" t="str">
            <v>Tokyo Metropolitan University</v>
          </cell>
          <cell r="C2293" t="str">
            <v>Japan</v>
          </cell>
          <cell r="D2293" t="str">
            <v>401-500</v>
          </cell>
          <cell r="E2293">
            <v>19.899999999999999</v>
          </cell>
          <cell r="F2293">
            <v>11.4</v>
          </cell>
          <cell r="G2293">
            <v>72.2</v>
          </cell>
          <cell r="H2293">
            <v>30.9</v>
          </cell>
          <cell r="I2293" t="str">
            <v>-</v>
          </cell>
          <cell r="J2293">
            <v>9303</v>
          </cell>
          <cell r="K2293">
            <v>9.9</v>
          </cell>
          <cell r="L2293">
            <v>0.04</v>
          </cell>
          <cell r="M2293" t="str">
            <v>35 : 65</v>
          </cell>
          <cell r="N2293">
            <v>2016</v>
          </cell>
          <cell r="O2293">
            <v>502</v>
          </cell>
          <cell r="P2293">
            <v>28</v>
          </cell>
        </row>
        <row r="2294">
          <cell r="B2294" t="str">
            <v>University of Tsukuba</v>
          </cell>
          <cell r="C2294" t="str">
            <v>Japan</v>
          </cell>
          <cell r="D2294" t="str">
            <v>401-500</v>
          </cell>
          <cell r="E2294">
            <v>34.4</v>
          </cell>
          <cell r="F2294">
            <v>30</v>
          </cell>
          <cell r="G2294">
            <v>33.700000000000003</v>
          </cell>
          <cell r="H2294">
            <v>42.9</v>
          </cell>
          <cell r="I2294" t="str">
            <v>-</v>
          </cell>
          <cell r="J2294">
            <v>15930</v>
          </cell>
          <cell r="K2294">
            <v>12.6</v>
          </cell>
          <cell r="L2294">
            <v>0.16</v>
          </cell>
          <cell r="M2294" t="str">
            <v>38 : 62</v>
          </cell>
          <cell r="N2294">
            <v>2016</v>
          </cell>
          <cell r="O2294">
            <v>253</v>
          </cell>
          <cell r="P2294">
            <v>13</v>
          </cell>
        </row>
        <row r="2295">
          <cell r="B2295" t="str">
            <v>University of Ulsan</v>
          </cell>
          <cell r="C2295" t="str">
            <v>South Korea</v>
          </cell>
          <cell r="D2295" t="str">
            <v>401-500</v>
          </cell>
          <cell r="E2295">
            <v>18.600000000000001</v>
          </cell>
          <cell r="F2295">
            <v>20.5</v>
          </cell>
          <cell r="G2295">
            <v>54</v>
          </cell>
          <cell r="H2295">
            <v>64.7</v>
          </cell>
          <cell r="I2295" t="str">
            <v>-</v>
          </cell>
          <cell r="J2295">
            <v>14037</v>
          </cell>
          <cell r="K2295">
            <v>13.3</v>
          </cell>
          <cell r="L2295">
            <v>0.03</v>
          </cell>
          <cell r="N2295">
            <v>2016</v>
          </cell>
          <cell r="O2295">
            <v>493</v>
          </cell>
          <cell r="P2295">
            <v>18</v>
          </cell>
        </row>
        <row r="2296">
          <cell r="B2296" t="str">
            <v>Ulster University</v>
          </cell>
          <cell r="C2296" t="str">
            <v>United Kingdom</v>
          </cell>
          <cell r="D2296" t="str">
            <v>401-500</v>
          </cell>
          <cell r="E2296">
            <v>79</v>
          </cell>
          <cell r="F2296">
            <v>13.2</v>
          </cell>
          <cell r="G2296">
            <v>44.1</v>
          </cell>
          <cell r="H2296">
            <v>29.2</v>
          </cell>
          <cell r="I2296" t="str">
            <v>-</v>
          </cell>
          <cell r="J2296">
            <v>19622</v>
          </cell>
          <cell r="K2296">
            <v>15.8</v>
          </cell>
          <cell r="L2296">
            <v>0.15</v>
          </cell>
          <cell r="M2296">
            <v>2.3229166666666665</v>
          </cell>
          <cell r="N2296">
            <v>2016</v>
          </cell>
          <cell r="O2296" t="e">
            <v>#N/A</v>
          </cell>
          <cell r="P2296" t="e">
            <v>#N/A</v>
          </cell>
        </row>
        <row r="2297">
          <cell r="B2297" t="str">
            <v>UniversitÃ© du QuÃ©bec Ã  MontrÃ©al</v>
          </cell>
          <cell r="C2297" t="str">
            <v>Canada</v>
          </cell>
          <cell r="D2297" t="str">
            <v>401-500</v>
          </cell>
          <cell r="E2297">
            <v>42.9</v>
          </cell>
          <cell r="F2297">
            <v>24.5</v>
          </cell>
          <cell r="G2297">
            <v>41.6</v>
          </cell>
          <cell r="H2297">
            <v>29.2</v>
          </cell>
          <cell r="I2297" t="str">
            <v>-</v>
          </cell>
          <cell r="J2297">
            <v>27046</v>
          </cell>
          <cell r="K2297">
            <v>24.7</v>
          </cell>
          <cell r="L2297">
            <v>0.09</v>
          </cell>
          <cell r="M2297">
            <v>2.5687500000000001</v>
          </cell>
          <cell r="N2297">
            <v>2016</v>
          </cell>
          <cell r="O2297" t="e">
            <v>#N/A</v>
          </cell>
          <cell r="P2297" t="e">
            <v>#N/A</v>
          </cell>
        </row>
        <row r="2298">
          <cell r="B2298" t="str">
            <v>Universiti Teknologi Malaysia</v>
          </cell>
          <cell r="C2298" t="str">
            <v>Malaysia</v>
          </cell>
          <cell r="D2298" t="str">
            <v>401-500</v>
          </cell>
          <cell r="E2298">
            <v>51.7</v>
          </cell>
          <cell r="F2298">
            <v>14.6</v>
          </cell>
          <cell r="G2298">
            <v>44.7</v>
          </cell>
          <cell r="H2298">
            <v>31.1</v>
          </cell>
          <cell r="I2298" t="str">
            <v>-</v>
          </cell>
          <cell r="J2298">
            <v>16270</v>
          </cell>
          <cell r="K2298">
            <v>9</v>
          </cell>
          <cell r="L2298">
            <v>0.13</v>
          </cell>
          <cell r="M2298">
            <v>1.83125</v>
          </cell>
          <cell r="N2298">
            <v>2016</v>
          </cell>
          <cell r="O2298" t="e">
            <v>#N/A</v>
          </cell>
          <cell r="P2298" t="e">
            <v>#N/A</v>
          </cell>
        </row>
        <row r="2299">
          <cell r="B2299" t="str">
            <v>University of Urbino Carlo Bo</v>
          </cell>
          <cell r="C2299" t="str">
            <v>Italy</v>
          </cell>
          <cell r="D2299" t="str">
            <v>401-500</v>
          </cell>
          <cell r="E2299">
            <v>35</v>
          </cell>
          <cell r="F2299">
            <v>8.6999999999999993</v>
          </cell>
          <cell r="G2299">
            <v>66.8</v>
          </cell>
          <cell r="H2299">
            <v>31.2</v>
          </cell>
          <cell r="I2299" t="str">
            <v>-</v>
          </cell>
          <cell r="J2299">
            <v>13435</v>
          </cell>
          <cell r="K2299">
            <v>37.4</v>
          </cell>
          <cell r="L2299">
            <v>7.0000000000000007E-2</v>
          </cell>
          <cell r="M2299">
            <v>2.5687500000000001</v>
          </cell>
          <cell r="N2299">
            <v>2016</v>
          </cell>
          <cell r="O2299" t="e">
            <v>#N/A</v>
          </cell>
          <cell r="P2299" t="e">
            <v>#N/A</v>
          </cell>
        </row>
        <row r="2300">
          <cell r="B2300" t="str">
            <v>University of Valencia</v>
          </cell>
          <cell r="C2300" t="str">
            <v>Spain</v>
          </cell>
          <cell r="D2300" t="str">
            <v>401-500</v>
          </cell>
          <cell r="E2300">
            <v>40.5</v>
          </cell>
          <cell r="F2300">
            <v>16.899999999999999</v>
          </cell>
          <cell r="G2300">
            <v>49.6</v>
          </cell>
          <cell r="H2300">
            <v>31.3</v>
          </cell>
          <cell r="I2300" t="str">
            <v>-</v>
          </cell>
          <cell r="J2300">
            <v>58413</v>
          </cell>
          <cell r="K2300">
            <v>15.4</v>
          </cell>
          <cell r="L2300">
            <v>0.09</v>
          </cell>
          <cell r="M2300">
            <v>2.5277777777777777</v>
          </cell>
          <cell r="N2300">
            <v>2016</v>
          </cell>
          <cell r="O2300">
            <v>301</v>
          </cell>
          <cell r="P2300">
            <v>4</v>
          </cell>
        </row>
        <row r="2301">
          <cell r="B2301" t="str">
            <v>University of Waikato</v>
          </cell>
          <cell r="C2301" t="str">
            <v>New Zealand</v>
          </cell>
          <cell r="D2301" t="str">
            <v>401-500</v>
          </cell>
          <cell r="E2301">
            <v>87</v>
          </cell>
          <cell r="F2301">
            <v>18.2</v>
          </cell>
          <cell r="G2301">
            <v>53.7</v>
          </cell>
          <cell r="H2301">
            <v>30.7</v>
          </cell>
          <cell r="I2301" t="str">
            <v>-</v>
          </cell>
          <cell r="J2301">
            <v>10159</v>
          </cell>
          <cell r="K2301">
            <v>17</v>
          </cell>
          <cell r="L2301">
            <v>0.25</v>
          </cell>
          <cell r="M2301">
            <v>2.4048611111111109</v>
          </cell>
          <cell r="N2301">
            <v>2016</v>
          </cell>
          <cell r="O2301">
            <v>879</v>
          </cell>
          <cell r="P2301">
            <v>6</v>
          </cell>
        </row>
        <row r="2302">
          <cell r="B2302" t="str">
            <v>Western Sydney University</v>
          </cell>
          <cell r="C2302" t="str">
            <v>Australia</v>
          </cell>
          <cell r="D2302" t="str">
            <v>401-500</v>
          </cell>
          <cell r="E2302">
            <v>54</v>
          </cell>
          <cell r="F2302">
            <v>24.6</v>
          </cell>
          <cell r="G2302">
            <v>52.3</v>
          </cell>
          <cell r="H2302">
            <v>30.7</v>
          </cell>
          <cell r="I2302" t="str">
            <v>-</v>
          </cell>
          <cell r="J2302">
            <v>30704</v>
          </cell>
          <cell r="K2302">
            <v>32.200000000000003</v>
          </cell>
          <cell r="L2302">
            <v>0.09</v>
          </cell>
          <cell r="M2302">
            <v>2.3638888888888889</v>
          </cell>
          <cell r="N2302">
            <v>2016</v>
          </cell>
          <cell r="O2302" t="e">
            <v>#N/A</v>
          </cell>
          <cell r="P2302" t="e">
            <v>#N/A</v>
          </cell>
        </row>
        <row r="2303">
          <cell r="B2303" t="str">
            <v>Wuhan University</v>
          </cell>
          <cell r="C2303" t="str">
            <v>China</v>
          </cell>
          <cell r="D2303" t="str">
            <v>401-500</v>
          </cell>
          <cell r="E2303">
            <v>36.700000000000003</v>
          </cell>
          <cell r="F2303">
            <v>26.8</v>
          </cell>
          <cell r="G2303">
            <v>18</v>
          </cell>
          <cell r="H2303">
            <v>97.8</v>
          </cell>
          <cell r="I2303" t="str">
            <v>-</v>
          </cell>
          <cell r="J2303">
            <v>46227</v>
          </cell>
          <cell r="K2303">
            <v>14.4</v>
          </cell>
          <cell r="L2303">
            <v>7.0000000000000007E-2</v>
          </cell>
          <cell r="N2303">
            <v>2016</v>
          </cell>
          <cell r="O2303">
            <v>438</v>
          </cell>
          <cell r="P2303">
            <v>19</v>
          </cell>
        </row>
        <row r="2304">
          <cell r="B2304" t="str">
            <v>Xiamen University</v>
          </cell>
          <cell r="C2304" t="str">
            <v>China</v>
          </cell>
          <cell r="D2304" t="str">
            <v>401-500</v>
          </cell>
          <cell r="E2304">
            <v>25</v>
          </cell>
          <cell r="F2304">
            <v>15.6</v>
          </cell>
          <cell r="G2304">
            <v>47</v>
          </cell>
          <cell r="H2304" t="str">
            <v>-</v>
          </cell>
          <cell r="I2304" t="str">
            <v>-</v>
          </cell>
          <cell r="J2304">
            <v>32921</v>
          </cell>
          <cell r="K2304">
            <v>12.3</v>
          </cell>
          <cell r="L2304">
            <v>0.05</v>
          </cell>
          <cell r="M2304">
            <v>2.2000000000000002</v>
          </cell>
          <cell r="N2304">
            <v>2016</v>
          </cell>
          <cell r="O2304">
            <v>354</v>
          </cell>
          <cell r="P2304">
            <v>11</v>
          </cell>
        </row>
        <row r="2305">
          <cell r="B2305" t="str">
            <v>American University of Beirut</v>
          </cell>
          <cell r="C2305" t="str">
            <v>Lebanon</v>
          </cell>
          <cell r="D2305" t="str">
            <v>501-600</v>
          </cell>
          <cell r="E2305">
            <v>93</v>
          </cell>
          <cell r="F2305">
            <v>11.2</v>
          </cell>
          <cell r="G2305">
            <v>31.9</v>
          </cell>
          <cell r="H2305" t="str">
            <v>-</v>
          </cell>
          <cell r="I2305" t="str">
            <v>-</v>
          </cell>
          <cell r="J2305">
            <v>7695</v>
          </cell>
          <cell r="K2305">
            <v>8.9</v>
          </cell>
          <cell r="L2305">
            <v>0.25</v>
          </cell>
          <cell r="M2305">
            <v>2.1590277777777778</v>
          </cell>
          <cell r="N2305">
            <v>2016</v>
          </cell>
          <cell r="O2305">
            <v>561</v>
          </cell>
          <cell r="P2305">
            <v>1</v>
          </cell>
        </row>
        <row r="2306">
          <cell r="B2306" t="str">
            <v>Amirkabir University of Technology</v>
          </cell>
          <cell r="C2306" t="str">
            <v>Iran</v>
          </cell>
          <cell r="D2306" t="str">
            <v>501-600</v>
          </cell>
          <cell r="E2306">
            <v>7.7</v>
          </cell>
          <cell r="F2306">
            <v>25.7</v>
          </cell>
          <cell r="G2306">
            <v>34.799999999999997</v>
          </cell>
          <cell r="H2306">
            <v>55.7</v>
          </cell>
          <cell r="I2306" t="str">
            <v>-</v>
          </cell>
          <cell r="J2306">
            <v>14080</v>
          </cell>
          <cell r="K2306">
            <v>25.6</v>
          </cell>
          <cell r="L2306">
            <v>0.01</v>
          </cell>
          <cell r="M2306" t="str">
            <v>34 : 66</v>
          </cell>
          <cell r="N2306">
            <v>2016</v>
          </cell>
          <cell r="O2306">
            <v>959</v>
          </cell>
          <cell r="P2306">
            <v>6</v>
          </cell>
        </row>
        <row r="2307">
          <cell r="B2307" t="str">
            <v>University of the Andes, Colombia</v>
          </cell>
          <cell r="C2307" t="str">
            <v>Colombia</v>
          </cell>
          <cell r="D2307" t="str">
            <v>501-600</v>
          </cell>
          <cell r="E2307">
            <v>51.7</v>
          </cell>
          <cell r="F2307">
            <v>13.8</v>
          </cell>
          <cell r="G2307">
            <v>31.2</v>
          </cell>
          <cell r="H2307">
            <v>28</v>
          </cell>
          <cell r="I2307" t="str">
            <v>-</v>
          </cell>
          <cell r="J2307">
            <v>15773</v>
          </cell>
          <cell r="K2307">
            <v>16.899999999999999</v>
          </cell>
          <cell r="L2307">
            <v>0.02</v>
          </cell>
          <cell r="M2307">
            <v>1.8722222222222222</v>
          </cell>
          <cell r="N2307">
            <v>2016</v>
          </cell>
          <cell r="O2307" t="e">
            <v>#N/A</v>
          </cell>
          <cell r="P2307" t="e">
            <v>#N/A</v>
          </cell>
        </row>
        <row r="2308">
          <cell r="B2308" t="str">
            <v>University of Arkansas</v>
          </cell>
          <cell r="C2308" t="str">
            <v>United States of America</v>
          </cell>
          <cell r="D2308" t="str">
            <v>501-600</v>
          </cell>
          <cell r="E2308">
            <v>25.9</v>
          </cell>
          <cell r="F2308">
            <v>17.399999999999999</v>
          </cell>
          <cell r="G2308">
            <v>30.3</v>
          </cell>
          <cell r="H2308">
            <v>36.9</v>
          </cell>
          <cell r="I2308" t="str">
            <v>-</v>
          </cell>
          <cell r="J2308">
            <v>22819</v>
          </cell>
          <cell r="K2308">
            <v>21.2</v>
          </cell>
          <cell r="L2308">
            <v>0.05</v>
          </cell>
          <cell r="M2308">
            <v>2.1180555555555554</v>
          </cell>
          <cell r="N2308">
            <v>2016</v>
          </cell>
          <cell r="O2308" t="e">
            <v>#N/A</v>
          </cell>
          <cell r="P2308" t="e">
            <v>#N/A</v>
          </cell>
        </row>
        <row r="2309">
          <cell r="B2309" t="str">
            <v>Auburn University</v>
          </cell>
          <cell r="C2309" t="str">
            <v>United States of America</v>
          </cell>
          <cell r="D2309" t="str">
            <v>501-600</v>
          </cell>
          <cell r="E2309">
            <v>27.9</v>
          </cell>
          <cell r="F2309">
            <v>19.399999999999999</v>
          </cell>
          <cell r="G2309">
            <v>21</v>
          </cell>
          <cell r="H2309">
            <v>37.200000000000003</v>
          </cell>
          <cell r="I2309" t="str">
            <v>-</v>
          </cell>
          <cell r="J2309">
            <v>22386</v>
          </cell>
          <cell r="K2309">
            <v>17.600000000000001</v>
          </cell>
          <cell r="L2309">
            <v>0.04</v>
          </cell>
          <cell r="M2309">
            <v>2.1590277777777778</v>
          </cell>
          <cell r="N2309">
            <v>2016</v>
          </cell>
          <cell r="O2309">
            <v>548</v>
          </cell>
          <cell r="P2309">
            <v>171</v>
          </cell>
        </row>
        <row r="2310">
          <cell r="B2310" t="str">
            <v>BabeÅŸ-Bolyai University</v>
          </cell>
          <cell r="C2310" t="str">
            <v>Romania</v>
          </cell>
          <cell r="D2310" t="str">
            <v>501-600</v>
          </cell>
          <cell r="E2310">
            <v>35.4</v>
          </cell>
          <cell r="F2310">
            <v>12.5</v>
          </cell>
          <cell r="G2310">
            <v>32.1</v>
          </cell>
          <cell r="H2310">
            <v>28.6</v>
          </cell>
          <cell r="I2310" t="str">
            <v>-</v>
          </cell>
          <cell r="J2310">
            <v>37915</v>
          </cell>
          <cell r="K2310">
            <v>23.5</v>
          </cell>
          <cell r="L2310">
            <v>0.02</v>
          </cell>
          <cell r="M2310">
            <v>2.8145833333333332</v>
          </cell>
          <cell r="N2310">
            <v>2016</v>
          </cell>
          <cell r="O2310" t="e">
            <v>#N/A</v>
          </cell>
          <cell r="P2310" t="e">
            <v>#N/A</v>
          </cell>
        </row>
        <row r="2311">
          <cell r="B2311" t="str">
            <v>University of the Basque Country</v>
          </cell>
          <cell r="C2311" t="str">
            <v>Spain</v>
          </cell>
          <cell r="D2311" t="str">
            <v>501-600</v>
          </cell>
          <cell r="E2311">
            <v>34.9</v>
          </cell>
          <cell r="F2311">
            <v>11.9</v>
          </cell>
          <cell r="G2311">
            <v>43.1</v>
          </cell>
          <cell r="H2311">
            <v>30.3</v>
          </cell>
          <cell r="I2311" t="str">
            <v>-</v>
          </cell>
          <cell r="J2311">
            <v>46373</v>
          </cell>
          <cell r="K2311">
            <v>15.3</v>
          </cell>
          <cell r="L2311">
            <v>0.05</v>
          </cell>
          <cell r="M2311">
            <v>2.2409722222222221</v>
          </cell>
          <cell r="N2311">
            <v>2016</v>
          </cell>
          <cell r="O2311">
            <v>531</v>
          </cell>
          <cell r="P2311">
            <v>16</v>
          </cell>
        </row>
        <row r="2312">
          <cell r="B2312" t="str">
            <v>Bauman Moscow State Technical University</v>
          </cell>
          <cell r="C2312" t="str">
            <v>Russian Federation</v>
          </cell>
          <cell r="D2312" t="str">
            <v>501-600</v>
          </cell>
          <cell r="E2312">
            <v>15.6</v>
          </cell>
          <cell r="F2312">
            <v>23.7</v>
          </cell>
          <cell r="G2312">
            <v>3.1</v>
          </cell>
          <cell r="H2312">
            <v>68.099999999999994</v>
          </cell>
          <cell r="I2312" t="str">
            <v>-</v>
          </cell>
          <cell r="J2312">
            <v>18808</v>
          </cell>
          <cell r="K2312">
            <v>4</v>
          </cell>
          <cell r="L2312">
            <v>0.04</v>
          </cell>
          <cell r="M2312">
            <v>1.0118055555555556</v>
          </cell>
          <cell r="N2312">
            <v>2016</v>
          </cell>
          <cell r="O2312" t="e">
            <v>#N/A</v>
          </cell>
          <cell r="P2312" t="e">
            <v>#N/A</v>
          </cell>
        </row>
        <row r="2313">
          <cell r="B2313" t="str">
            <v>Ben-Gurion University of the Negev</v>
          </cell>
          <cell r="C2313" t="str">
            <v>Israel</v>
          </cell>
          <cell r="D2313" t="str">
            <v>501-600</v>
          </cell>
          <cell r="E2313">
            <v>52.9</v>
          </cell>
          <cell r="F2313">
            <v>21.3</v>
          </cell>
          <cell r="G2313">
            <v>30.1</v>
          </cell>
          <cell r="H2313">
            <v>28.7</v>
          </cell>
          <cell r="I2313" t="str">
            <v>-</v>
          </cell>
          <cell r="J2313">
            <v>16695</v>
          </cell>
          <cell r="K2313">
            <v>12.6</v>
          </cell>
          <cell r="L2313">
            <v>0.02</v>
          </cell>
          <cell r="M2313">
            <v>2.0770833333333334</v>
          </cell>
          <cell r="N2313">
            <v>2016</v>
          </cell>
          <cell r="O2313">
            <v>362</v>
          </cell>
          <cell r="P2313">
            <v>5</v>
          </cell>
        </row>
        <row r="2314">
          <cell r="B2314" t="str">
            <v>Blaise Pascal University</v>
          </cell>
          <cell r="C2314" t="str">
            <v>France</v>
          </cell>
          <cell r="D2314" t="str">
            <v>501-600</v>
          </cell>
          <cell r="E2314">
            <v>66.599999999999994</v>
          </cell>
          <cell r="F2314">
            <v>2.9</v>
          </cell>
          <cell r="G2314">
            <v>46.9</v>
          </cell>
          <cell r="H2314" t="str">
            <v>-</v>
          </cell>
          <cell r="I2314" t="str">
            <v>-</v>
          </cell>
          <cell r="J2314">
            <v>15619</v>
          </cell>
          <cell r="K2314">
            <v>7.1</v>
          </cell>
          <cell r="L2314">
            <v>0.17</v>
          </cell>
          <cell r="M2314">
            <v>2.3229166666666665</v>
          </cell>
          <cell r="N2314">
            <v>2016</v>
          </cell>
          <cell r="O2314">
            <v>789</v>
          </cell>
          <cell r="P2314">
            <v>39</v>
          </cell>
        </row>
        <row r="2315">
          <cell r="B2315" t="str">
            <v>BoÄŸaziÃ§i University</v>
          </cell>
          <cell r="C2315" t="str">
            <v>Turkey</v>
          </cell>
          <cell r="D2315" t="str">
            <v>501-600</v>
          </cell>
          <cell r="E2315">
            <v>38.299999999999997</v>
          </cell>
          <cell r="F2315">
            <v>17.2</v>
          </cell>
          <cell r="G2315">
            <v>45.4</v>
          </cell>
          <cell r="H2315">
            <v>35.5</v>
          </cell>
          <cell r="I2315" t="str">
            <v>-</v>
          </cell>
          <cell r="J2315">
            <v>11506</v>
          </cell>
          <cell r="K2315">
            <v>25</v>
          </cell>
          <cell r="L2315">
            <v>7.0000000000000007E-2</v>
          </cell>
          <cell r="M2315">
            <v>2.1180555555555554</v>
          </cell>
          <cell r="N2315">
            <v>2016</v>
          </cell>
          <cell r="O2315">
            <v>903</v>
          </cell>
          <cell r="P2315">
            <v>9</v>
          </cell>
        </row>
        <row r="2316">
          <cell r="B2316" t="str">
            <v>University of Burgundy</v>
          </cell>
          <cell r="C2316" t="str">
            <v>France</v>
          </cell>
          <cell r="D2316" t="str">
            <v>501-600</v>
          </cell>
          <cell r="E2316">
            <v>50.9</v>
          </cell>
          <cell r="F2316">
            <v>8.8000000000000007</v>
          </cell>
          <cell r="G2316">
            <v>46.3</v>
          </cell>
          <cell r="H2316" t="str">
            <v>-</v>
          </cell>
          <cell r="I2316" t="str">
            <v>-</v>
          </cell>
          <cell r="J2316">
            <v>26612</v>
          </cell>
          <cell r="K2316">
            <v>20.8</v>
          </cell>
          <cell r="L2316">
            <v>0.11</v>
          </cell>
          <cell r="M2316">
            <v>2.2819444444444446</v>
          </cell>
          <cell r="N2316">
            <v>2016</v>
          </cell>
          <cell r="O2316">
            <v>651</v>
          </cell>
          <cell r="P2316">
            <v>30</v>
          </cell>
        </row>
        <row r="2317">
          <cell r="B2317" t="str">
            <v>University of Canberra</v>
          </cell>
          <cell r="C2317" t="str">
            <v>Australia</v>
          </cell>
          <cell r="D2317" t="str">
            <v>501-600</v>
          </cell>
          <cell r="E2317">
            <v>54.6</v>
          </cell>
          <cell r="F2317">
            <v>19.3</v>
          </cell>
          <cell r="G2317">
            <v>29.8</v>
          </cell>
          <cell r="H2317">
            <v>36.200000000000003</v>
          </cell>
          <cell r="I2317" t="str">
            <v>-</v>
          </cell>
          <cell r="J2317">
            <v>11221</v>
          </cell>
          <cell r="K2317">
            <v>28.6</v>
          </cell>
          <cell r="L2317">
            <v>0.24</v>
          </cell>
          <cell r="M2317">
            <v>2.2819444444444446</v>
          </cell>
          <cell r="N2317">
            <v>2016</v>
          </cell>
          <cell r="O2317" t="e">
            <v>#N/A</v>
          </cell>
          <cell r="P2317" t="e">
            <v>#N/A</v>
          </cell>
        </row>
        <row r="2318">
          <cell r="B2318" t="str">
            <v>Carleton University</v>
          </cell>
          <cell r="C2318" t="str">
            <v>Canada</v>
          </cell>
          <cell r="D2318" t="str">
            <v>501-600</v>
          </cell>
          <cell r="E2318">
            <v>61.3</v>
          </cell>
          <cell r="F2318">
            <v>24</v>
          </cell>
          <cell r="G2318">
            <v>32</v>
          </cell>
          <cell r="H2318">
            <v>30.4</v>
          </cell>
          <cell r="I2318" t="str">
            <v>-</v>
          </cell>
          <cell r="J2318">
            <v>25036</v>
          </cell>
          <cell r="K2318">
            <v>29.8</v>
          </cell>
          <cell r="L2318">
            <v>0.18</v>
          </cell>
          <cell r="M2318">
            <v>1.9951388888888888</v>
          </cell>
          <cell r="N2318">
            <v>2016</v>
          </cell>
          <cell r="O2318">
            <v>627</v>
          </cell>
          <cell r="P2318">
            <v>22</v>
          </cell>
        </row>
        <row r="2319">
          <cell r="B2319" t="str">
            <v>University of Catania</v>
          </cell>
          <cell r="C2319" t="str">
            <v>Italy</v>
          </cell>
          <cell r="D2319" t="str">
            <v>501-600</v>
          </cell>
          <cell r="E2319">
            <v>25.3</v>
          </cell>
          <cell r="F2319">
            <v>15.9</v>
          </cell>
          <cell r="G2319">
            <v>52.9</v>
          </cell>
          <cell r="H2319">
            <v>29.5</v>
          </cell>
          <cell r="I2319" t="str">
            <v>-</v>
          </cell>
          <cell r="J2319">
            <v>55859</v>
          </cell>
          <cell r="K2319">
            <v>49.7</v>
          </cell>
          <cell r="L2319">
            <v>0.01</v>
          </cell>
          <cell r="M2319">
            <v>2.5687500000000001</v>
          </cell>
          <cell r="N2319">
            <v>2016</v>
          </cell>
          <cell r="O2319">
            <v>567</v>
          </cell>
          <cell r="P2319">
            <v>28</v>
          </cell>
        </row>
        <row r="2320">
          <cell r="B2320" t="str">
            <v>Central Queensland University</v>
          </cell>
          <cell r="C2320" t="str">
            <v>Australia</v>
          </cell>
          <cell r="D2320" t="str">
            <v>501-600</v>
          </cell>
          <cell r="E2320">
            <v>50.8</v>
          </cell>
          <cell r="F2320">
            <v>11.4</v>
          </cell>
          <cell r="G2320">
            <v>43.7</v>
          </cell>
          <cell r="H2320">
            <v>32.5</v>
          </cell>
          <cell r="I2320" t="str">
            <v>-</v>
          </cell>
          <cell r="J2320">
            <v>11452</v>
          </cell>
          <cell r="K2320">
            <v>29.6</v>
          </cell>
          <cell r="L2320">
            <v>0.27</v>
          </cell>
          <cell r="M2320">
            <v>2.4868055555555557</v>
          </cell>
          <cell r="N2320">
            <v>2016</v>
          </cell>
          <cell r="O2320" t="e">
            <v>#N/A</v>
          </cell>
          <cell r="P2320" t="e">
            <v>#N/A</v>
          </cell>
        </row>
        <row r="2321">
          <cell r="B2321" t="str">
            <v>University of Chile</v>
          </cell>
          <cell r="C2321" t="str">
            <v>Chile</v>
          </cell>
          <cell r="D2321" t="str">
            <v>501-600</v>
          </cell>
          <cell r="E2321">
            <v>44.1</v>
          </cell>
          <cell r="F2321">
            <v>19.600000000000001</v>
          </cell>
          <cell r="G2321">
            <v>30.5</v>
          </cell>
          <cell r="H2321" t="str">
            <v>-</v>
          </cell>
          <cell r="I2321" t="str">
            <v>-</v>
          </cell>
          <cell r="J2321">
            <v>29207</v>
          </cell>
          <cell r="K2321">
            <v>14.2</v>
          </cell>
          <cell r="L2321">
            <v>0.03</v>
          </cell>
          <cell r="M2321">
            <v>1.9951388888888888</v>
          </cell>
          <cell r="N2321">
            <v>2016</v>
          </cell>
          <cell r="O2321">
            <v>451</v>
          </cell>
          <cell r="P2321">
            <v>2</v>
          </cell>
        </row>
        <row r="2322">
          <cell r="B2322" t="str">
            <v>China Agricultural University</v>
          </cell>
          <cell r="C2322" t="str">
            <v>China</v>
          </cell>
          <cell r="D2322" t="str">
            <v>501-600</v>
          </cell>
          <cell r="E2322">
            <v>17.600000000000001</v>
          </cell>
          <cell r="F2322">
            <v>24.9</v>
          </cell>
          <cell r="G2322">
            <v>22.6</v>
          </cell>
          <cell r="H2322">
            <v>52.3</v>
          </cell>
          <cell r="I2322" t="str">
            <v>-</v>
          </cell>
          <cell r="J2322">
            <v>19342</v>
          </cell>
          <cell r="K2322">
            <v>12</v>
          </cell>
          <cell r="L2322">
            <v>0.01</v>
          </cell>
          <cell r="M2322">
            <v>2.4048611111111109</v>
          </cell>
          <cell r="N2322">
            <v>2016</v>
          </cell>
          <cell r="O2322">
            <v>700</v>
          </cell>
          <cell r="P2322">
            <v>34</v>
          </cell>
        </row>
        <row r="2323">
          <cell r="B2323" t="str">
            <v>Chung-Ang University</v>
          </cell>
          <cell r="C2323" t="str">
            <v>South Korea</v>
          </cell>
          <cell r="D2323" t="str">
            <v>501-600</v>
          </cell>
          <cell r="E2323">
            <v>43.7</v>
          </cell>
          <cell r="F2323">
            <v>27.6</v>
          </cell>
          <cell r="G2323">
            <v>17.399999999999999</v>
          </cell>
          <cell r="H2323">
            <v>61.3</v>
          </cell>
          <cell r="I2323" t="str">
            <v>-</v>
          </cell>
          <cell r="J2323">
            <v>13015</v>
          </cell>
          <cell r="K2323">
            <v>17.399999999999999</v>
          </cell>
          <cell r="L2323">
            <v>0.17</v>
          </cell>
          <cell r="M2323">
            <v>1.9131944444444444</v>
          </cell>
          <cell r="N2323">
            <v>2016</v>
          </cell>
          <cell r="O2323">
            <v>834</v>
          </cell>
          <cell r="P2323">
            <v>30</v>
          </cell>
        </row>
        <row r="2324">
          <cell r="B2324" t="str">
            <v>Czech Technical University in Prague</v>
          </cell>
          <cell r="C2324" t="str">
            <v>Czech Republic</v>
          </cell>
          <cell r="D2324" t="str">
            <v>501-600</v>
          </cell>
          <cell r="E2324">
            <v>25</v>
          </cell>
          <cell r="F2324">
            <v>9.3000000000000007</v>
          </cell>
          <cell r="G2324">
            <v>46.5</v>
          </cell>
          <cell r="H2324">
            <v>28.2</v>
          </cell>
          <cell r="I2324" t="str">
            <v>-</v>
          </cell>
          <cell r="J2324">
            <v>22751</v>
          </cell>
          <cell r="K2324">
            <v>12</v>
          </cell>
          <cell r="M2324" t="str">
            <v>-</v>
          </cell>
          <cell r="N2324">
            <v>2016</v>
          </cell>
          <cell r="O2324">
            <v>771</v>
          </cell>
          <cell r="P2324">
            <v>3</v>
          </cell>
        </row>
        <row r="2325">
          <cell r="B2325" t="str">
            <v>De Montfort University</v>
          </cell>
          <cell r="C2325" t="str">
            <v>United Kingdom</v>
          </cell>
          <cell r="D2325" t="str">
            <v>501-600</v>
          </cell>
          <cell r="E2325">
            <v>58.4</v>
          </cell>
          <cell r="F2325">
            <v>10.1</v>
          </cell>
          <cell r="G2325">
            <v>40.1</v>
          </cell>
          <cell r="H2325">
            <v>28.5</v>
          </cell>
          <cell r="I2325" t="str">
            <v>-</v>
          </cell>
          <cell r="J2325">
            <v>16812</v>
          </cell>
          <cell r="K2325">
            <v>19.100000000000001</v>
          </cell>
          <cell r="L2325">
            <v>0.21</v>
          </cell>
          <cell r="M2325">
            <v>2.4048611111111109</v>
          </cell>
          <cell r="N2325">
            <v>2016</v>
          </cell>
          <cell r="O2325" t="e">
            <v>#N/A</v>
          </cell>
          <cell r="P2325" t="e">
            <v>#N/A</v>
          </cell>
        </row>
        <row r="2326">
          <cell r="B2326" t="str">
            <v>East China Normal University</v>
          </cell>
          <cell r="C2326" t="str">
            <v>China</v>
          </cell>
          <cell r="D2326" t="str">
            <v>501-600</v>
          </cell>
          <cell r="E2326">
            <v>30.6</v>
          </cell>
          <cell r="F2326">
            <v>14.7</v>
          </cell>
          <cell r="G2326">
            <v>43.3</v>
          </cell>
          <cell r="H2326">
            <v>42</v>
          </cell>
          <cell r="I2326" t="str">
            <v>-</v>
          </cell>
          <cell r="J2326">
            <v>29623</v>
          </cell>
          <cell r="K2326">
            <v>14</v>
          </cell>
          <cell r="L2326">
            <v>0.11</v>
          </cell>
          <cell r="M2326">
            <v>2.6506944444444445</v>
          </cell>
          <cell r="N2326">
            <v>2016</v>
          </cell>
          <cell r="O2326">
            <v>672</v>
          </cell>
          <cell r="P2326">
            <v>32</v>
          </cell>
        </row>
        <row r="2327">
          <cell r="B2327" t="str">
            <v>Edith Cowan University</v>
          </cell>
          <cell r="C2327" t="str">
            <v>Australia</v>
          </cell>
          <cell r="D2327" t="str">
            <v>501-600</v>
          </cell>
          <cell r="E2327">
            <v>68.7</v>
          </cell>
          <cell r="F2327">
            <v>16.100000000000001</v>
          </cell>
          <cell r="G2327">
            <v>35</v>
          </cell>
          <cell r="H2327">
            <v>34.5</v>
          </cell>
          <cell r="I2327" t="str">
            <v>-</v>
          </cell>
          <cell r="J2327">
            <v>27491</v>
          </cell>
          <cell r="K2327">
            <v>16.100000000000001</v>
          </cell>
          <cell r="L2327">
            <v>0.16</v>
          </cell>
          <cell r="M2327">
            <v>2.5687500000000001</v>
          </cell>
          <cell r="N2327">
            <v>2016</v>
          </cell>
          <cell r="O2327" t="e">
            <v>#N/A</v>
          </cell>
          <cell r="P2327" t="e">
            <v>#N/A</v>
          </cell>
        </row>
        <row r="2328">
          <cell r="B2328" t="str">
            <v>Federal University of Rio de Janeiro</v>
          </cell>
          <cell r="C2328" t="str">
            <v>Brazil</v>
          </cell>
          <cell r="D2328" t="str">
            <v>501-600</v>
          </cell>
          <cell r="E2328">
            <v>25.1</v>
          </cell>
          <cell r="F2328">
            <v>19.7</v>
          </cell>
          <cell r="G2328">
            <v>18.3</v>
          </cell>
          <cell r="H2328">
            <v>42.9</v>
          </cell>
          <cell r="I2328" t="str">
            <v>-</v>
          </cell>
          <cell r="J2328">
            <v>52878</v>
          </cell>
          <cell r="K2328">
            <v>12.8</v>
          </cell>
          <cell r="L2328">
            <v>0.02</v>
          </cell>
          <cell r="M2328">
            <v>2.2819444444444446</v>
          </cell>
          <cell r="N2328">
            <v>2016</v>
          </cell>
          <cell r="O2328">
            <v>329</v>
          </cell>
          <cell r="P2328">
            <v>2</v>
          </cell>
        </row>
        <row r="2329">
          <cell r="B2329" t="str">
            <v>University of Granada</v>
          </cell>
          <cell r="C2329" t="str">
            <v>Spain</v>
          </cell>
          <cell r="D2329" t="str">
            <v>501-600</v>
          </cell>
          <cell r="E2329">
            <v>36.4</v>
          </cell>
          <cell r="F2329">
            <v>14.7</v>
          </cell>
          <cell r="G2329">
            <v>45.8</v>
          </cell>
          <cell r="H2329">
            <v>29.4</v>
          </cell>
          <cell r="I2329" t="str">
            <v>-</v>
          </cell>
          <cell r="J2329">
            <v>53476</v>
          </cell>
          <cell r="K2329">
            <v>16</v>
          </cell>
          <cell r="L2329">
            <v>0.06</v>
          </cell>
          <cell r="M2329">
            <v>2.3638888888888889</v>
          </cell>
          <cell r="N2329">
            <v>2016</v>
          </cell>
          <cell r="O2329">
            <v>453</v>
          </cell>
          <cell r="P2329">
            <v>12</v>
          </cell>
        </row>
        <row r="2330">
          <cell r="B2330" t="str">
            <v>University of Haifa</v>
          </cell>
          <cell r="C2330" t="str">
            <v>Israel</v>
          </cell>
          <cell r="D2330" t="str">
            <v>501-600</v>
          </cell>
          <cell r="E2330">
            <v>34.700000000000003</v>
          </cell>
          <cell r="F2330">
            <v>29.5</v>
          </cell>
          <cell r="G2330">
            <v>26.2</v>
          </cell>
          <cell r="H2330">
            <v>30.3</v>
          </cell>
          <cell r="I2330" t="str">
            <v>-</v>
          </cell>
          <cell r="J2330">
            <v>17758</v>
          </cell>
          <cell r="K2330">
            <v>30.8</v>
          </cell>
          <cell r="L2330">
            <v>0.01</v>
          </cell>
          <cell r="M2330">
            <v>2.7326388888888888</v>
          </cell>
          <cell r="N2330">
            <v>2016</v>
          </cell>
          <cell r="O2330">
            <v>697</v>
          </cell>
          <cell r="P2330">
            <v>7</v>
          </cell>
        </row>
        <row r="2331">
          <cell r="B2331" t="str">
            <v>Harbin Institute of Technology</v>
          </cell>
          <cell r="C2331" t="str">
            <v>China</v>
          </cell>
          <cell r="D2331" t="str">
            <v>501-600</v>
          </cell>
          <cell r="E2331">
            <v>25.6</v>
          </cell>
          <cell r="F2331">
            <v>27.3</v>
          </cell>
          <cell r="G2331">
            <v>15.7</v>
          </cell>
          <cell r="H2331">
            <v>99.8</v>
          </cell>
          <cell r="I2331" t="str">
            <v>-</v>
          </cell>
          <cell r="J2331">
            <v>31658</v>
          </cell>
          <cell r="K2331">
            <v>10.8</v>
          </cell>
          <cell r="L2331">
            <v>7.0000000000000007E-2</v>
          </cell>
          <cell r="M2331" t="str">
            <v>29 : 71</v>
          </cell>
          <cell r="N2331">
            <v>2016</v>
          </cell>
          <cell r="O2331">
            <v>475</v>
          </cell>
          <cell r="P2331">
            <v>22</v>
          </cell>
        </row>
        <row r="2332">
          <cell r="B2332" t="str">
            <v>University of Hertfordshire</v>
          </cell>
          <cell r="C2332" t="str">
            <v>United Kingdom</v>
          </cell>
          <cell r="D2332" t="str">
            <v>501-600</v>
          </cell>
          <cell r="E2332">
            <v>78.900000000000006</v>
          </cell>
          <cell r="F2332">
            <v>9.5</v>
          </cell>
          <cell r="G2332">
            <v>50.5</v>
          </cell>
          <cell r="H2332">
            <v>29.3</v>
          </cell>
          <cell r="I2332" t="str">
            <v>-</v>
          </cell>
          <cell r="J2332">
            <v>19665</v>
          </cell>
          <cell r="K2332">
            <v>19.399999999999999</v>
          </cell>
          <cell r="L2332">
            <v>0.27</v>
          </cell>
          <cell r="M2332">
            <v>2.2819444444444446</v>
          </cell>
          <cell r="N2332">
            <v>2016</v>
          </cell>
          <cell r="O2332">
            <v>645</v>
          </cell>
          <cell r="P2332">
            <v>49</v>
          </cell>
        </row>
        <row r="2333">
          <cell r="B2333" t="str">
            <v>Hiroshima University</v>
          </cell>
          <cell r="C2333" t="str">
            <v>Japan</v>
          </cell>
          <cell r="D2333" t="str">
            <v>501-600</v>
          </cell>
          <cell r="E2333">
            <v>22.2</v>
          </cell>
          <cell r="F2333">
            <v>18.899999999999999</v>
          </cell>
          <cell r="G2333">
            <v>41.7</v>
          </cell>
          <cell r="H2333">
            <v>42.2</v>
          </cell>
          <cell r="I2333" t="str">
            <v>-</v>
          </cell>
          <cell r="J2333">
            <v>14686</v>
          </cell>
          <cell r="K2333">
            <v>8.1999999999999993</v>
          </cell>
          <cell r="L2333">
            <v>0.05</v>
          </cell>
          <cell r="M2333" t="str">
            <v>36 : 64</v>
          </cell>
          <cell r="N2333">
            <v>2016</v>
          </cell>
          <cell r="O2333">
            <v>279</v>
          </cell>
          <cell r="P2333">
            <v>14</v>
          </cell>
        </row>
        <row r="2334">
          <cell r="B2334" t="str">
            <v>Huazhong University of Science and Technology</v>
          </cell>
          <cell r="C2334" t="str">
            <v>China</v>
          </cell>
          <cell r="D2334" t="str">
            <v>501-600</v>
          </cell>
          <cell r="E2334">
            <v>17.3</v>
          </cell>
          <cell r="F2334">
            <v>22.7</v>
          </cell>
          <cell r="G2334">
            <v>31.6</v>
          </cell>
          <cell r="H2334">
            <v>71.8</v>
          </cell>
          <cell r="I2334" t="str">
            <v>-</v>
          </cell>
          <cell r="J2334">
            <v>57242</v>
          </cell>
          <cell r="K2334">
            <v>17.7</v>
          </cell>
          <cell r="L2334">
            <v>0.04</v>
          </cell>
          <cell r="M2334" t="str">
            <v>34 : 66</v>
          </cell>
          <cell r="N2334">
            <v>2016</v>
          </cell>
          <cell r="O2334">
            <v>408</v>
          </cell>
          <cell r="P2334">
            <v>16</v>
          </cell>
        </row>
        <row r="2335">
          <cell r="B2335" t="str">
            <v>Indian Institute of Technology Guwahati</v>
          </cell>
          <cell r="C2335" t="str">
            <v>India</v>
          </cell>
          <cell r="D2335" t="str">
            <v>501-600</v>
          </cell>
          <cell r="E2335">
            <v>12.9</v>
          </cell>
          <cell r="F2335">
            <v>20.7</v>
          </cell>
          <cell r="G2335">
            <v>42.6</v>
          </cell>
          <cell r="H2335">
            <v>32.299999999999997</v>
          </cell>
          <cell r="I2335" t="str">
            <v>-</v>
          </cell>
          <cell r="J2335">
            <v>4710</v>
          </cell>
          <cell r="K2335">
            <v>14.2</v>
          </cell>
          <cell r="L2335">
            <v>0.01</v>
          </cell>
          <cell r="M2335">
            <v>0.6430555555555556</v>
          </cell>
          <cell r="N2335">
            <v>2016</v>
          </cell>
          <cell r="O2335" t="e">
            <v>#N/A</v>
          </cell>
          <cell r="P2335" t="e">
            <v>#N/A</v>
          </cell>
        </row>
        <row r="2336">
          <cell r="B2336" t="str">
            <v>Indian Institute of Technology Kanpur</v>
          </cell>
          <cell r="C2336" t="str">
            <v>India</v>
          </cell>
          <cell r="D2336" t="str">
            <v>501-600</v>
          </cell>
          <cell r="E2336">
            <v>16.399999999999999</v>
          </cell>
          <cell r="F2336">
            <v>15</v>
          </cell>
          <cell r="G2336">
            <v>31.5</v>
          </cell>
          <cell r="H2336">
            <v>28</v>
          </cell>
          <cell r="I2336" t="str">
            <v>-</v>
          </cell>
          <cell r="J2336">
            <v>6167</v>
          </cell>
          <cell r="K2336">
            <v>12.2</v>
          </cell>
          <cell r="L2336">
            <v>0</v>
          </cell>
          <cell r="M2336">
            <v>0.6020833333333333</v>
          </cell>
          <cell r="N2336">
            <v>2016</v>
          </cell>
          <cell r="O2336">
            <v>569</v>
          </cell>
          <cell r="P2336">
            <v>6</v>
          </cell>
        </row>
        <row r="2337">
          <cell r="B2337" t="str">
            <v>Indian Institute of Technology Roorkee</v>
          </cell>
          <cell r="C2337" t="str">
            <v>India</v>
          </cell>
          <cell r="D2337" t="str">
            <v>501-600</v>
          </cell>
          <cell r="E2337">
            <v>13.9</v>
          </cell>
          <cell r="F2337">
            <v>17.5</v>
          </cell>
          <cell r="G2337">
            <v>37.200000000000003</v>
          </cell>
          <cell r="H2337">
            <v>81.400000000000006</v>
          </cell>
          <cell r="I2337" t="str">
            <v>-</v>
          </cell>
          <cell r="J2337">
            <v>8061</v>
          </cell>
          <cell r="K2337">
            <v>18.7</v>
          </cell>
          <cell r="L2337">
            <v>0.01</v>
          </cell>
          <cell r="M2337">
            <v>0.76597222222222228</v>
          </cell>
          <cell r="N2337">
            <v>2016</v>
          </cell>
          <cell r="O2337">
            <v>611</v>
          </cell>
          <cell r="P2337">
            <v>10</v>
          </cell>
        </row>
        <row r="2338">
          <cell r="B2338" t="str">
            <v>Isfahan University of Technology</v>
          </cell>
          <cell r="C2338" t="str">
            <v>Iran</v>
          </cell>
          <cell r="D2338" t="str">
            <v>501-600</v>
          </cell>
          <cell r="E2338">
            <v>17.2</v>
          </cell>
          <cell r="F2338">
            <v>23</v>
          </cell>
          <cell r="G2338">
            <v>39.5</v>
          </cell>
          <cell r="H2338">
            <v>99.5</v>
          </cell>
          <cell r="I2338" t="str">
            <v>-</v>
          </cell>
          <cell r="J2338">
            <v>10964</v>
          </cell>
          <cell r="K2338">
            <v>26.5</v>
          </cell>
          <cell r="L2338">
            <v>0.01</v>
          </cell>
          <cell r="M2338" t="str">
            <v>39 : 61</v>
          </cell>
          <cell r="N2338">
            <v>2016</v>
          </cell>
          <cell r="O2338">
            <v>938</v>
          </cell>
          <cell r="P2338">
            <v>4</v>
          </cell>
        </row>
        <row r="2339">
          <cell r="B2339" t="str">
            <v>Istanbul Technical University</v>
          </cell>
          <cell r="C2339" t="str">
            <v>Turkey</v>
          </cell>
          <cell r="D2339" t="str">
            <v>501-600</v>
          </cell>
          <cell r="E2339">
            <v>22.9</v>
          </cell>
          <cell r="F2339">
            <v>25.8</v>
          </cell>
          <cell r="G2339">
            <v>26.5</v>
          </cell>
          <cell r="H2339">
            <v>72.099999999999994</v>
          </cell>
          <cell r="I2339" t="str">
            <v>-</v>
          </cell>
          <cell r="J2339">
            <v>34550</v>
          </cell>
          <cell r="K2339">
            <v>16</v>
          </cell>
          <cell r="L2339">
            <v>0.05</v>
          </cell>
          <cell r="M2339" t="str">
            <v>34 : 66</v>
          </cell>
          <cell r="N2339">
            <v>2016</v>
          </cell>
          <cell r="O2339">
            <v>773</v>
          </cell>
          <cell r="P2339">
            <v>4</v>
          </cell>
        </row>
        <row r="2340">
          <cell r="B2340" t="str">
            <v>Jadavpur University</v>
          </cell>
          <cell r="C2340" t="str">
            <v>India</v>
          </cell>
          <cell r="D2340" t="str">
            <v>501-600</v>
          </cell>
          <cell r="E2340">
            <v>7.7</v>
          </cell>
          <cell r="F2340">
            <v>22.2</v>
          </cell>
          <cell r="G2340">
            <v>31.8</v>
          </cell>
          <cell r="H2340">
            <v>33.799999999999997</v>
          </cell>
          <cell r="I2340" t="str">
            <v>-</v>
          </cell>
          <cell r="J2340">
            <v>10697</v>
          </cell>
          <cell r="K2340">
            <v>16.100000000000001</v>
          </cell>
          <cell r="L2340">
            <v>0</v>
          </cell>
          <cell r="M2340" t="str">
            <v>30 : 70</v>
          </cell>
          <cell r="N2340">
            <v>2016</v>
          </cell>
          <cell r="O2340">
            <v>904</v>
          </cell>
          <cell r="P2340">
            <v>14</v>
          </cell>
        </row>
        <row r="2341">
          <cell r="B2341" t="str">
            <v>Kanazawa University</v>
          </cell>
          <cell r="C2341" t="str">
            <v>Japan</v>
          </cell>
          <cell r="D2341" t="str">
            <v>501-600</v>
          </cell>
          <cell r="E2341">
            <v>18.399999999999999</v>
          </cell>
          <cell r="F2341">
            <v>14.8</v>
          </cell>
          <cell r="G2341">
            <v>35.5</v>
          </cell>
          <cell r="H2341">
            <v>30.4</v>
          </cell>
          <cell r="I2341" t="str">
            <v>-</v>
          </cell>
          <cell r="J2341">
            <v>10546</v>
          </cell>
          <cell r="K2341">
            <v>10.4</v>
          </cell>
          <cell r="L2341">
            <v>0.05</v>
          </cell>
          <cell r="M2341" t="str">
            <v>36 : 64</v>
          </cell>
          <cell r="N2341">
            <v>2016</v>
          </cell>
          <cell r="O2341">
            <v>454</v>
          </cell>
          <cell r="P2341">
            <v>24</v>
          </cell>
        </row>
        <row r="2342">
          <cell r="B2342" t="str">
            <v>Kansas State University</v>
          </cell>
          <cell r="C2342" t="str">
            <v>United States of America</v>
          </cell>
          <cell r="D2342" t="str">
            <v>501-600</v>
          </cell>
          <cell r="E2342">
            <v>41.7</v>
          </cell>
          <cell r="F2342">
            <v>17.5</v>
          </cell>
          <cell r="G2342">
            <v>39.299999999999997</v>
          </cell>
          <cell r="H2342">
            <v>43.1</v>
          </cell>
          <cell r="I2342" t="str">
            <v>-</v>
          </cell>
          <cell r="J2342">
            <v>21379</v>
          </cell>
          <cell r="K2342">
            <v>15.1</v>
          </cell>
          <cell r="L2342">
            <v>0.1</v>
          </cell>
          <cell r="M2342">
            <v>2.1180555555555554</v>
          </cell>
          <cell r="N2342">
            <v>2016</v>
          </cell>
          <cell r="O2342">
            <v>319</v>
          </cell>
          <cell r="P2342">
            <v>120</v>
          </cell>
        </row>
        <row r="2343">
          <cell r="B2343" t="str">
            <v>Keio University</v>
          </cell>
          <cell r="C2343" t="str">
            <v>Japan</v>
          </cell>
          <cell r="D2343" t="str">
            <v>501-600</v>
          </cell>
          <cell r="E2343">
            <v>22.7</v>
          </cell>
          <cell r="F2343">
            <v>17.5</v>
          </cell>
          <cell r="G2343">
            <v>28.5</v>
          </cell>
          <cell r="H2343">
            <v>41.4</v>
          </cell>
          <cell r="I2343" t="str">
            <v>-</v>
          </cell>
          <cell r="J2343">
            <v>33751</v>
          </cell>
          <cell r="K2343">
            <v>11.9</v>
          </cell>
          <cell r="L2343">
            <v>0.05</v>
          </cell>
          <cell r="M2343" t="str">
            <v>32 : 68</v>
          </cell>
          <cell r="N2343">
            <v>2016</v>
          </cell>
          <cell r="O2343">
            <v>70</v>
          </cell>
          <cell r="P2343">
            <v>4</v>
          </cell>
        </row>
        <row r="2344">
          <cell r="B2344" t="str">
            <v>Kent State University</v>
          </cell>
          <cell r="C2344" t="str">
            <v>United States of America</v>
          </cell>
          <cell r="D2344" t="str">
            <v>501-600</v>
          </cell>
          <cell r="E2344">
            <v>32.4</v>
          </cell>
          <cell r="F2344">
            <v>14.2</v>
          </cell>
          <cell r="G2344">
            <v>53.8</v>
          </cell>
          <cell r="H2344">
            <v>28.5</v>
          </cell>
          <cell r="I2344" t="str">
            <v>-</v>
          </cell>
          <cell r="J2344">
            <v>23122</v>
          </cell>
          <cell r="K2344">
            <v>19</v>
          </cell>
          <cell r="L2344">
            <v>0.08</v>
          </cell>
          <cell r="M2344">
            <v>2.4458333333333333</v>
          </cell>
          <cell r="N2344">
            <v>2016</v>
          </cell>
          <cell r="O2344">
            <v>586</v>
          </cell>
          <cell r="P2344">
            <v>173</v>
          </cell>
        </row>
        <row r="2345">
          <cell r="B2345" t="str">
            <v>King Fahd University of Petroleum and Minerals</v>
          </cell>
          <cell r="C2345" t="str">
            <v>Saudi Arabia</v>
          </cell>
          <cell r="D2345" t="str">
            <v>501-600</v>
          </cell>
          <cell r="E2345">
            <v>84.5</v>
          </cell>
          <cell r="F2345">
            <v>16.100000000000001</v>
          </cell>
          <cell r="G2345">
            <v>24.4</v>
          </cell>
          <cell r="H2345">
            <v>81.2</v>
          </cell>
          <cell r="I2345" t="str">
            <v>-</v>
          </cell>
          <cell r="J2345">
            <v>6898</v>
          </cell>
          <cell r="K2345">
            <v>7.1</v>
          </cell>
          <cell r="L2345">
            <v>0.2</v>
          </cell>
          <cell r="M2345" t="str">
            <v>-</v>
          </cell>
          <cell r="N2345">
            <v>2016</v>
          </cell>
          <cell r="O2345">
            <v>807</v>
          </cell>
          <cell r="P2345">
            <v>3</v>
          </cell>
        </row>
        <row r="2346">
          <cell r="B2346" t="str">
            <v>King Saud University</v>
          </cell>
          <cell r="C2346" t="str">
            <v>Saudi Arabia</v>
          </cell>
          <cell r="D2346" t="str">
            <v>501-600</v>
          </cell>
          <cell r="E2346">
            <v>75.5</v>
          </cell>
          <cell r="F2346">
            <v>17.5</v>
          </cell>
          <cell r="G2346">
            <v>22.3</v>
          </cell>
          <cell r="H2346">
            <v>57.4</v>
          </cell>
          <cell r="I2346" t="str">
            <v>-</v>
          </cell>
          <cell r="J2346">
            <v>40666</v>
          </cell>
          <cell r="K2346">
            <v>13.4</v>
          </cell>
          <cell r="L2346">
            <v>7.0000000000000007E-2</v>
          </cell>
          <cell r="N2346">
            <v>2016</v>
          </cell>
          <cell r="O2346">
            <v>420</v>
          </cell>
          <cell r="P2346">
            <v>1</v>
          </cell>
        </row>
        <row r="2347">
          <cell r="B2347" t="str">
            <v>University of La Laguna</v>
          </cell>
          <cell r="C2347" t="str">
            <v>Spain</v>
          </cell>
          <cell r="D2347" t="str">
            <v>501-600</v>
          </cell>
          <cell r="E2347">
            <v>44.7</v>
          </cell>
          <cell r="F2347">
            <v>10</v>
          </cell>
          <cell r="G2347">
            <v>44.8</v>
          </cell>
          <cell r="H2347">
            <v>28.5</v>
          </cell>
          <cell r="I2347" t="str">
            <v>-</v>
          </cell>
          <cell r="J2347">
            <v>22422</v>
          </cell>
          <cell r="K2347">
            <v>14.9</v>
          </cell>
          <cell r="L2347">
            <v>0.05</v>
          </cell>
          <cell r="M2347">
            <v>2.4458333333333333</v>
          </cell>
          <cell r="N2347">
            <v>2016</v>
          </cell>
          <cell r="O2347">
            <v>641</v>
          </cell>
          <cell r="P2347">
            <v>19</v>
          </cell>
        </row>
        <row r="2348">
          <cell r="B2348" t="str">
            <v>Lappeenranta University of Technology</v>
          </cell>
          <cell r="C2348" t="str">
            <v>Finland</v>
          </cell>
          <cell r="D2348" t="str">
            <v>501-600</v>
          </cell>
          <cell r="E2348">
            <v>53</v>
          </cell>
          <cell r="F2348">
            <v>27.5</v>
          </cell>
          <cell r="G2348">
            <v>20.8</v>
          </cell>
          <cell r="H2348">
            <v>80.3</v>
          </cell>
          <cell r="I2348" t="str">
            <v>-</v>
          </cell>
          <cell r="J2348">
            <v>3486</v>
          </cell>
          <cell r="K2348">
            <v>23.9</v>
          </cell>
          <cell r="L2348">
            <v>0.19</v>
          </cell>
          <cell r="M2348" t="str">
            <v>31 : 69</v>
          </cell>
          <cell r="N2348">
            <v>2016</v>
          </cell>
          <cell r="O2348" t="e">
            <v>#N/A</v>
          </cell>
          <cell r="P2348" t="e">
            <v>#N/A</v>
          </cell>
        </row>
        <row r="2349">
          <cell r="B2349" t="str">
            <v>University of Limerick</v>
          </cell>
          <cell r="C2349" t="str">
            <v>Republic of Ireland</v>
          </cell>
          <cell r="D2349" t="str">
            <v>501-600</v>
          </cell>
          <cell r="E2349">
            <v>76.5</v>
          </cell>
          <cell r="F2349">
            <v>16.3</v>
          </cell>
          <cell r="G2349">
            <v>36.6</v>
          </cell>
          <cell r="H2349">
            <v>34</v>
          </cell>
          <cell r="I2349" t="str">
            <v>-</v>
          </cell>
          <cell r="J2349">
            <v>12212</v>
          </cell>
          <cell r="K2349">
            <v>19.8</v>
          </cell>
          <cell r="L2349">
            <v>0.13</v>
          </cell>
          <cell r="M2349">
            <v>1.9541666666666666</v>
          </cell>
          <cell r="N2349">
            <v>2016</v>
          </cell>
          <cell r="O2349">
            <v>944</v>
          </cell>
          <cell r="P2349">
            <v>8</v>
          </cell>
        </row>
        <row r="2350">
          <cell r="B2350" t="str">
            <v>University of Lisbon</v>
          </cell>
          <cell r="C2350" t="str">
            <v>Portugal</v>
          </cell>
          <cell r="D2350" t="str">
            <v>501-600</v>
          </cell>
          <cell r="E2350">
            <v>46.6</v>
          </cell>
          <cell r="F2350">
            <v>18.3</v>
          </cell>
          <cell r="G2350">
            <v>32.4</v>
          </cell>
          <cell r="H2350">
            <v>35.4</v>
          </cell>
          <cell r="I2350" t="str">
            <v>-</v>
          </cell>
          <cell r="J2350">
            <v>47849</v>
          </cell>
          <cell r="K2350">
            <v>17.5</v>
          </cell>
          <cell r="L2350">
            <v>0.09</v>
          </cell>
          <cell r="M2350">
            <v>2.1590277777777778</v>
          </cell>
          <cell r="N2350">
            <v>2016</v>
          </cell>
          <cell r="O2350">
            <v>278</v>
          </cell>
          <cell r="P2350">
            <v>1</v>
          </cell>
        </row>
        <row r="2351">
          <cell r="B2351" t="str">
            <v>Liverpool John Moores University</v>
          </cell>
          <cell r="C2351" t="str">
            <v>United Kingdom</v>
          </cell>
          <cell r="D2351" t="str">
            <v>501-600</v>
          </cell>
          <cell r="E2351">
            <v>62.1</v>
          </cell>
          <cell r="F2351">
            <v>11.6</v>
          </cell>
          <cell r="G2351">
            <v>45.9</v>
          </cell>
          <cell r="H2351">
            <v>28.8</v>
          </cell>
          <cell r="I2351" t="str">
            <v>-</v>
          </cell>
          <cell r="J2351">
            <v>18513</v>
          </cell>
          <cell r="K2351">
            <v>19.8</v>
          </cell>
          <cell r="L2351">
            <v>0.13</v>
          </cell>
          <cell r="M2351">
            <v>2.2000000000000002</v>
          </cell>
          <cell r="N2351">
            <v>2016</v>
          </cell>
          <cell r="O2351">
            <v>724</v>
          </cell>
          <cell r="P2351">
            <v>56</v>
          </cell>
        </row>
        <row r="2352">
          <cell r="B2352" t="str">
            <v>Mahidol University</v>
          </cell>
          <cell r="C2352" t="str">
            <v>Thailand</v>
          </cell>
          <cell r="D2352" t="str">
            <v>501-600</v>
          </cell>
          <cell r="E2352">
            <v>44.1</v>
          </cell>
          <cell r="F2352">
            <v>15.1</v>
          </cell>
          <cell r="G2352">
            <v>28.3</v>
          </cell>
          <cell r="H2352">
            <v>71.599999999999994</v>
          </cell>
          <cell r="I2352" t="str">
            <v>-</v>
          </cell>
          <cell r="J2352">
            <v>27402</v>
          </cell>
          <cell r="K2352">
            <v>7.5</v>
          </cell>
          <cell r="L2352">
            <v>0.03</v>
          </cell>
          <cell r="M2352">
            <v>2.6506944444444445</v>
          </cell>
          <cell r="N2352">
            <v>2016</v>
          </cell>
          <cell r="O2352">
            <v>550</v>
          </cell>
          <cell r="P2352">
            <v>2</v>
          </cell>
        </row>
        <row r="2353">
          <cell r="B2353" t="str">
            <v>Manchester Metropolitan University</v>
          </cell>
          <cell r="C2353" t="str">
            <v>United Kingdom</v>
          </cell>
          <cell r="D2353" t="str">
            <v>501-600</v>
          </cell>
          <cell r="E2353">
            <v>57.8</v>
          </cell>
          <cell r="F2353">
            <v>10.6</v>
          </cell>
          <cell r="G2353">
            <v>30.8</v>
          </cell>
          <cell r="H2353">
            <v>28.3</v>
          </cell>
          <cell r="I2353" t="str">
            <v>-</v>
          </cell>
          <cell r="J2353">
            <v>28037</v>
          </cell>
          <cell r="K2353">
            <v>18.2</v>
          </cell>
          <cell r="L2353">
            <v>0.14000000000000001</v>
          </cell>
          <cell r="M2353">
            <v>2.4048611111111109</v>
          </cell>
          <cell r="N2353">
            <v>2016</v>
          </cell>
          <cell r="O2353">
            <v>817</v>
          </cell>
          <cell r="P2353">
            <v>61</v>
          </cell>
        </row>
        <row r="2354">
          <cell r="B2354" t="str">
            <v>University of Maribor</v>
          </cell>
          <cell r="C2354" t="str">
            <v>Slovenia</v>
          </cell>
          <cell r="D2354" t="str">
            <v>501-600</v>
          </cell>
          <cell r="E2354">
            <v>33.6</v>
          </cell>
          <cell r="F2354">
            <v>11.5</v>
          </cell>
          <cell r="G2354">
            <v>42.1</v>
          </cell>
          <cell r="H2354">
            <v>38.700000000000003</v>
          </cell>
          <cell r="I2354" t="str">
            <v>-</v>
          </cell>
          <cell r="J2354">
            <v>14531</v>
          </cell>
          <cell r="K2354">
            <v>17.3</v>
          </cell>
          <cell r="L2354">
            <v>0.04</v>
          </cell>
          <cell r="N2354">
            <v>2016</v>
          </cell>
          <cell r="O2354">
            <v>839</v>
          </cell>
          <cell r="P2354">
            <v>2</v>
          </cell>
        </row>
        <row r="2355">
          <cell r="B2355" t="str">
            <v>Masaryk University</v>
          </cell>
          <cell r="C2355" t="str">
            <v>Czech Republic</v>
          </cell>
          <cell r="D2355" t="str">
            <v>501-600</v>
          </cell>
          <cell r="E2355">
            <v>48.9</v>
          </cell>
          <cell r="F2355">
            <v>22.9</v>
          </cell>
          <cell r="G2355">
            <v>27.8</v>
          </cell>
          <cell r="H2355">
            <v>28.5</v>
          </cell>
          <cell r="I2355" t="str">
            <v>-</v>
          </cell>
          <cell r="J2355">
            <v>40898</v>
          </cell>
          <cell r="K2355">
            <v>26.6</v>
          </cell>
          <cell r="L2355">
            <v>0.17</v>
          </cell>
          <cell r="M2355">
            <v>2.6097222222222221</v>
          </cell>
          <cell r="N2355">
            <v>2016</v>
          </cell>
          <cell r="O2355">
            <v>742</v>
          </cell>
          <cell r="P2355">
            <v>2</v>
          </cell>
        </row>
        <row r="2356">
          <cell r="B2356" t="str">
            <v>Massey University</v>
          </cell>
          <cell r="C2356" t="str">
            <v>New Zealand</v>
          </cell>
          <cell r="D2356" t="str">
            <v>501-600</v>
          </cell>
          <cell r="E2356">
            <v>80.5</v>
          </cell>
          <cell r="F2356">
            <v>17.100000000000001</v>
          </cell>
          <cell r="G2356">
            <v>31.9</v>
          </cell>
          <cell r="H2356">
            <v>35.799999999999997</v>
          </cell>
          <cell r="I2356" t="str">
            <v>-</v>
          </cell>
          <cell r="J2356">
            <v>19101</v>
          </cell>
          <cell r="K2356">
            <v>16.8</v>
          </cell>
          <cell r="L2356">
            <v>0.15</v>
          </cell>
          <cell r="M2356">
            <v>2.6097222222222221</v>
          </cell>
          <cell r="N2356">
            <v>2016</v>
          </cell>
          <cell r="O2356">
            <v>628</v>
          </cell>
          <cell r="P2356">
            <v>5</v>
          </cell>
        </row>
        <row r="2357">
          <cell r="B2357" t="str">
            <v>Memorial University of Newfoundland</v>
          </cell>
          <cell r="C2357" t="str">
            <v>Canada</v>
          </cell>
          <cell r="D2357" t="str">
            <v>501-600</v>
          </cell>
          <cell r="E2357">
            <v>53.3</v>
          </cell>
          <cell r="F2357">
            <v>15.8</v>
          </cell>
          <cell r="G2357">
            <v>35.6</v>
          </cell>
          <cell r="H2357">
            <v>48.3</v>
          </cell>
          <cell r="I2357" t="str">
            <v>-</v>
          </cell>
          <cell r="J2357">
            <v>15464</v>
          </cell>
          <cell r="K2357">
            <v>14.6</v>
          </cell>
          <cell r="L2357">
            <v>0.1</v>
          </cell>
          <cell r="M2357">
            <v>2.4868055555555557</v>
          </cell>
          <cell r="N2357">
            <v>2016</v>
          </cell>
          <cell r="O2357">
            <v>657</v>
          </cell>
          <cell r="P2357">
            <v>24</v>
          </cell>
        </row>
        <row r="2358">
          <cell r="B2358" t="str">
            <v>Middle East Technical University</v>
          </cell>
          <cell r="C2358" t="str">
            <v>Turkey</v>
          </cell>
          <cell r="D2358" t="str">
            <v>501-600</v>
          </cell>
          <cell r="E2358">
            <v>26.7</v>
          </cell>
          <cell r="F2358">
            <v>17.3</v>
          </cell>
          <cell r="G2358">
            <v>28.8</v>
          </cell>
          <cell r="H2358">
            <v>60</v>
          </cell>
          <cell r="I2358" t="str">
            <v>-</v>
          </cell>
          <cell r="J2358">
            <v>25779</v>
          </cell>
          <cell r="K2358">
            <v>22.2</v>
          </cell>
          <cell r="L2358">
            <v>7.0000000000000007E-2</v>
          </cell>
          <cell r="M2358">
            <v>1.8722222222222222</v>
          </cell>
          <cell r="N2358">
            <v>2016</v>
          </cell>
          <cell r="O2358">
            <v>396</v>
          </cell>
          <cell r="P2358">
            <v>1</v>
          </cell>
        </row>
        <row r="2359">
          <cell r="B2359" t="str">
            <v>University of Minho</v>
          </cell>
          <cell r="C2359" t="str">
            <v>Portugal</v>
          </cell>
          <cell r="D2359" t="str">
            <v>501-600</v>
          </cell>
          <cell r="E2359">
            <v>43.6</v>
          </cell>
          <cell r="F2359">
            <v>20.100000000000001</v>
          </cell>
          <cell r="G2359">
            <v>35.299999999999997</v>
          </cell>
          <cell r="H2359">
            <v>51.6</v>
          </cell>
          <cell r="I2359" t="str">
            <v>-</v>
          </cell>
          <cell r="J2359">
            <v>19090</v>
          </cell>
          <cell r="K2359">
            <v>18.8</v>
          </cell>
          <cell r="L2359">
            <v>0.09</v>
          </cell>
          <cell r="M2359">
            <v>2.2000000000000002</v>
          </cell>
          <cell r="N2359">
            <v>2016</v>
          </cell>
          <cell r="O2359">
            <v>679</v>
          </cell>
          <cell r="P2359">
            <v>6</v>
          </cell>
        </row>
        <row r="2360">
          <cell r="B2360" t="str">
            <v>Missouri University of Science and Technology</v>
          </cell>
          <cell r="C2360" t="str">
            <v>United States of America</v>
          </cell>
          <cell r="D2360" t="str">
            <v>501-600</v>
          </cell>
          <cell r="E2360">
            <v>40.6</v>
          </cell>
          <cell r="F2360">
            <v>18.399999999999999</v>
          </cell>
          <cell r="G2360">
            <v>28.7</v>
          </cell>
          <cell r="H2360">
            <v>52.8</v>
          </cell>
          <cell r="I2360" t="str">
            <v>-</v>
          </cell>
          <cell r="J2360">
            <v>7647</v>
          </cell>
          <cell r="K2360">
            <v>15.5</v>
          </cell>
          <cell r="L2360">
            <v>0.12</v>
          </cell>
          <cell r="M2360">
            <v>1.0118055555555556</v>
          </cell>
          <cell r="N2360">
            <v>2016</v>
          </cell>
          <cell r="O2360">
            <v>637</v>
          </cell>
          <cell r="P2360">
            <v>183</v>
          </cell>
        </row>
        <row r="2361">
          <cell r="B2361" t="str">
            <v>Montana State University</v>
          </cell>
          <cell r="C2361" t="str">
            <v>United States of America</v>
          </cell>
          <cell r="D2361" t="str">
            <v>501-600</v>
          </cell>
          <cell r="E2361">
            <v>23.5</v>
          </cell>
          <cell r="F2361">
            <v>21.8</v>
          </cell>
          <cell r="G2361">
            <v>48</v>
          </cell>
          <cell r="H2361">
            <v>43</v>
          </cell>
          <cell r="I2361" t="str">
            <v>-</v>
          </cell>
          <cell r="J2361">
            <v>12331</v>
          </cell>
          <cell r="K2361">
            <v>17.8</v>
          </cell>
          <cell r="L2361">
            <v>0.04</v>
          </cell>
          <cell r="M2361">
            <v>1.9541666666666666</v>
          </cell>
          <cell r="N2361">
            <v>2016</v>
          </cell>
          <cell r="O2361" t="e">
            <v>#N/A</v>
          </cell>
          <cell r="P2361" t="e">
            <v>#N/A</v>
          </cell>
        </row>
        <row r="2362">
          <cell r="B2362" t="str">
            <v>Monterrey Institute of Technology and Higher Education</v>
          </cell>
          <cell r="C2362" t="str">
            <v>Mexico</v>
          </cell>
          <cell r="D2362" t="str">
            <v>501-600</v>
          </cell>
          <cell r="E2362">
            <v>59.6</v>
          </cell>
          <cell r="F2362">
            <v>12.7</v>
          </cell>
          <cell r="G2362">
            <v>23.4</v>
          </cell>
          <cell r="H2362">
            <v>75.8</v>
          </cell>
          <cell r="I2362" t="str">
            <v>-</v>
          </cell>
          <cell r="J2362">
            <v>14353</v>
          </cell>
          <cell r="K2362">
            <v>20.5</v>
          </cell>
          <cell r="L2362">
            <v>0.12</v>
          </cell>
          <cell r="M2362" t="str">
            <v>40 : 60</v>
          </cell>
          <cell r="N2362">
            <v>2016</v>
          </cell>
          <cell r="O2362" t="e">
            <v>#N/A</v>
          </cell>
          <cell r="P2362" t="e">
            <v>#N/A</v>
          </cell>
        </row>
        <row r="2363">
          <cell r="B2363" t="str">
            <v>National Central University</v>
          </cell>
          <cell r="C2363" t="str">
            <v>Taiwan</v>
          </cell>
          <cell r="D2363" t="str">
            <v>501-600</v>
          </cell>
          <cell r="E2363">
            <v>27.1</v>
          </cell>
          <cell r="F2363">
            <v>23.2</v>
          </cell>
          <cell r="G2363">
            <v>17.5</v>
          </cell>
          <cell r="H2363">
            <v>75.3</v>
          </cell>
          <cell r="I2363" t="str">
            <v>-</v>
          </cell>
          <cell r="J2363">
            <v>10915</v>
          </cell>
          <cell r="K2363">
            <v>9.8000000000000007</v>
          </cell>
          <cell r="L2363">
            <v>0.06</v>
          </cell>
          <cell r="M2363" t="str">
            <v>31 : 69</v>
          </cell>
          <cell r="N2363">
            <v>2016</v>
          </cell>
          <cell r="O2363">
            <v>565</v>
          </cell>
          <cell r="P2363">
            <v>6</v>
          </cell>
        </row>
        <row r="2364">
          <cell r="B2364" t="str">
            <v>National Sun Yat-Sen University</v>
          </cell>
          <cell r="C2364" t="str">
            <v>Taiwan</v>
          </cell>
          <cell r="D2364" t="str">
            <v>501-600</v>
          </cell>
          <cell r="E2364">
            <v>19.7</v>
          </cell>
          <cell r="F2364">
            <v>33</v>
          </cell>
          <cell r="G2364">
            <v>25.8</v>
          </cell>
          <cell r="H2364">
            <v>44.3</v>
          </cell>
          <cell r="I2364" t="str">
            <v>-</v>
          </cell>
          <cell r="J2364">
            <v>9336</v>
          </cell>
          <cell r="K2364">
            <v>19.600000000000001</v>
          </cell>
          <cell r="L2364">
            <v>0.04</v>
          </cell>
          <cell r="M2364" t="str">
            <v>37 : 63</v>
          </cell>
          <cell r="N2364">
            <v>2016</v>
          </cell>
          <cell r="O2364">
            <v>791</v>
          </cell>
          <cell r="P2364">
            <v>11</v>
          </cell>
        </row>
        <row r="2365">
          <cell r="B2365" t="str">
            <v>National Taiwan Normal University</v>
          </cell>
          <cell r="C2365" t="str">
            <v>Taiwan</v>
          </cell>
          <cell r="D2365" t="str">
            <v>501-600</v>
          </cell>
          <cell r="E2365">
            <v>38.1</v>
          </cell>
          <cell r="F2365">
            <v>31.3</v>
          </cell>
          <cell r="G2365">
            <v>16.2</v>
          </cell>
          <cell r="H2365">
            <v>81.900000000000006</v>
          </cell>
          <cell r="I2365" t="str">
            <v>-</v>
          </cell>
          <cell r="J2365">
            <v>11072</v>
          </cell>
          <cell r="K2365">
            <v>13</v>
          </cell>
          <cell r="L2365">
            <v>0.19</v>
          </cell>
          <cell r="M2365">
            <v>2.4048611111111109</v>
          </cell>
          <cell r="N2365">
            <v>2016</v>
          </cell>
          <cell r="O2365">
            <v>857</v>
          </cell>
          <cell r="P2365">
            <v>15</v>
          </cell>
        </row>
        <row r="2366">
          <cell r="B2366" t="str">
            <v>National Technical University of Athens</v>
          </cell>
          <cell r="C2366" t="str">
            <v>Greece</v>
          </cell>
          <cell r="D2366" t="str">
            <v>501-600</v>
          </cell>
          <cell r="E2366">
            <v>31.3</v>
          </cell>
          <cell r="F2366">
            <v>15</v>
          </cell>
          <cell r="G2366">
            <v>36.200000000000003</v>
          </cell>
          <cell r="H2366">
            <v>40.299999999999997</v>
          </cell>
          <cell r="I2366" t="str">
            <v>-</v>
          </cell>
          <cell r="J2366">
            <v>14780</v>
          </cell>
          <cell r="K2366">
            <v>26.9</v>
          </cell>
          <cell r="L2366">
            <v>7.0000000000000007E-2</v>
          </cell>
          <cell r="M2366" t="str">
            <v>36 : 64</v>
          </cell>
          <cell r="N2366">
            <v>2016</v>
          </cell>
          <cell r="O2366">
            <v>648</v>
          </cell>
          <cell r="P2366">
            <v>6</v>
          </cell>
        </row>
        <row r="2367">
          <cell r="B2367" t="str">
            <v>New Jersey Institute of Technology</v>
          </cell>
          <cell r="C2367" t="str">
            <v>United States of America</v>
          </cell>
          <cell r="D2367" t="str">
            <v>501-600</v>
          </cell>
          <cell r="E2367">
            <v>48.5</v>
          </cell>
          <cell r="F2367">
            <v>16.600000000000001</v>
          </cell>
          <cell r="G2367">
            <v>32.200000000000003</v>
          </cell>
          <cell r="H2367">
            <v>32.200000000000003</v>
          </cell>
          <cell r="I2367" t="str">
            <v>-</v>
          </cell>
          <cell r="J2367">
            <v>10646</v>
          </cell>
          <cell r="K2367">
            <v>26.2</v>
          </cell>
          <cell r="L2367">
            <v>0.17</v>
          </cell>
          <cell r="M2367" t="str">
            <v>25 : 75</v>
          </cell>
          <cell r="N2367">
            <v>2016</v>
          </cell>
          <cell r="O2367">
            <v>661</v>
          </cell>
          <cell r="P2367">
            <v>190</v>
          </cell>
        </row>
        <row r="2368">
          <cell r="B2368" t="str">
            <v>New Mexico State University</v>
          </cell>
          <cell r="C2368" t="str">
            <v>United States of America</v>
          </cell>
          <cell r="D2368" t="str">
            <v>501-600</v>
          </cell>
          <cell r="E2368">
            <v>30.5</v>
          </cell>
          <cell r="F2368">
            <v>19.2</v>
          </cell>
          <cell r="G2368">
            <v>47.2</v>
          </cell>
          <cell r="H2368">
            <v>34.6</v>
          </cell>
          <cell r="I2368" t="str">
            <v>-</v>
          </cell>
          <cell r="J2368">
            <v>15035</v>
          </cell>
          <cell r="K2368">
            <v>18.8</v>
          </cell>
          <cell r="L2368">
            <v>7.0000000000000007E-2</v>
          </cell>
          <cell r="M2368">
            <v>2.2819444444444446</v>
          </cell>
          <cell r="N2368">
            <v>2016</v>
          </cell>
          <cell r="O2368">
            <v>467</v>
          </cell>
          <cell r="P2368">
            <v>150</v>
          </cell>
        </row>
        <row r="2369">
          <cell r="B2369" t="str">
            <v>University of North Carolina at Greensboro</v>
          </cell>
          <cell r="C2369" t="str">
            <v>United States of America</v>
          </cell>
          <cell r="D2369" t="str">
            <v>501-600</v>
          </cell>
          <cell r="E2369">
            <v>17.399999999999999</v>
          </cell>
          <cell r="F2369">
            <v>15.3</v>
          </cell>
          <cell r="G2369">
            <v>43.1</v>
          </cell>
          <cell r="H2369">
            <v>28.9</v>
          </cell>
          <cell r="I2369" t="str">
            <v>-</v>
          </cell>
          <cell r="J2369">
            <v>16446</v>
          </cell>
          <cell r="K2369">
            <v>19.2</v>
          </cell>
          <cell r="L2369">
            <v>0.02</v>
          </cell>
          <cell r="M2369">
            <v>2.7736111111111112</v>
          </cell>
          <cell r="N2369">
            <v>2016</v>
          </cell>
          <cell r="O2369">
            <v>867</v>
          </cell>
          <cell r="P2369">
            <v>224</v>
          </cell>
        </row>
        <row r="2370">
          <cell r="B2370" t="str">
            <v>Oklahoma State University</v>
          </cell>
          <cell r="C2370" t="str">
            <v>United States of America</v>
          </cell>
          <cell r="D2370" t="str">
            <v>501-600</v>
          </cell>
          <cell r="E2370">
            <v>25.6</v>
          </cell>
          <cell r="F2370">
            <v>22.7</v>
          </cell>
          <cell r="G2370">
            <v>33.1</v>
          </cell>
          <cell r="H2370">
            <v>33.700000000000003</v>
          </cell>
          <cell r="I2370" t="str">
            <v>-</v>
          </cell>
          <cell r="J2370">
            <v>21270</v>
          </cell>
          <cell r="K2370">
            <v>21.4</v>
          </cell>
          <cell r="L2370">
            <v>7.0000000000000007E-2</v>
          </cell>
          <cell r="M2370">
            <v>2.0770833333333334</v>
          </cell>
          <cell r="N2370">
            <v>2016</v>
          </cell>
          <cell r="O2370" t="e">
            <v>#N/A</v>
          </cell>
          <cell r="P2370" t="e">
            <v>#N/A</v>
          </cell>
        </row>
        <row r="2371">
          <cell r="B2371" t="str">
            <v>Osaka City University</v>
          </cell>
          <cell r="C2371" t="str">
            <v>Japan</v>
          </cell>
          <cell r="D2371" t="str">
            <v>501-600</v>
          </cell>
          <cell r="E2371">
            <v>21.3</v>
          </cell>
          <cell r="F2371">
            <v>13.4</v>
          </cell>
          <cell r="G2371">
            <v>34.4</v>
          </cell>
          <cell r="H2371">
            <v>40.700000000000003</v>
          </cell>
          <cell r="I2371" t="str">
            <v>-</v>
          </cell>
          <cell r="J2371">
            <v>8604</v>
          </cell>
          <cell r="K2371">
            <v>10.1</v>
          </cell>
          <cell r="L2371">
            <v>0.04</v>
          </cell>
          <cell r="M2371" t="str">
            <v>36 : 64</v>
          </cell>
          <cell r="N2371">
            <v>2016</v>
          </cell>
          <cell r="O2371">
            <v>150</v>
          </cell>
          <cell r="P2371">
            <v>10</v>
          </cell>
        </row>
        <row r="2372">
          <cell r="B2372" t="str">
            <v>Otto von Guericke University of Magdeburg</v>
          </cell>
          <cell r="C2372" t="str">
            <v>Germany</v>
          </cell>
          <cell r="D2372" t="str">
            <v>501-600</v>
          </cell>
          <cell r="E2372">
            <v>43.9</v>
          </cell>
          <cell r="F2372">
            <v>14.4</v>
          </cell>
          <cell r="G2372">
            <v>39.700000000000003</v>
          </cell>
          <cell r="H2372">
            <v>37.700000000000003</v>
          </cell>
          <cell r="I2372" t="str">
            <v>-</v>
          </cell>
          <cell r="J2372">
            <v>14104</v>
          </cell>
          <cell r="K2372">
            <v>13.1</v>
          </cell>
          <cell r="L2372">
            <v>0.13</v>
          </cell>
          <cell r="M2372">
            <v>1.7902777777777779</v>
          </cell>
          <cell r="N2372">
            <v>2016</v>
          </cell>
          <cell r="O2372" t="e">
            <v>#N/A</v>
          </cell>
          <cell r="P2372" t="e">
            <v>#N/A</v>
          </cell>
        </row>
        <row r="2373">
          <cell r="B2373" t="str">
            <v>University of Oviedo</v>
          </cell>
          <cell r="C2373" t="str">
            <v>Spain</v>
          </cell>
          <cell r="D2373" t="str">
            <v>501-600</v>
          </cell>
          <cell r="E2373">
            <v>36.200000000000003</v>
          </cell>
          <cell r="F2373">
            <v>10.8</v>
          </cell>
          <cell r="G2373">
            <v>41.9</v>
          </cell>
          <cell r="H2373">
            <v>34.1</v>
          </cell>
          <cell r="I2373" t="str">
            <v>-</v>
          </cell>
          <cell r="J2373">
            <v>24210</v>
          </cell>
          <cell r="K2373">
            <v>13.7</v>
          </cell>
          <cell r="L2373">
            <v>0.05</v>
          </cell>
          <cell r="M2373">
            <v>2.2819444444444446</v>
          </cell>
          <cell r="N2373">
            <v>2016</v>
          </cell>
          <cell r="O2373">
            <v>580</v>
          </cell>
          <cell r="P2373">
            <v>17</v>
          </cell>
        </row>
        <row r="2374">
          <cell r="B2374" t="str">
            <v>PalackÃ½ University in Olomouc</v>
          </cell>
          <cell r="C2374" t="str">
            <v>Czech Republic</v>
          </cell>
          <cell r="D2374" t="str">
            <v>501-600</v>
          </cell>
          <cell r="E2374">
            <v>48.8</v>
          </cell>
          <cell r="F2374">
            <v>11.8</v>
          </cell>
          <cell r="G2374">
            <v>42.9</v>
          </cell>
          <cell r="H2374">
            <v>28.7</v>
          </cell>
          <cell r="I2374" t="str">
            <v>-</v>
          </cell>
          <cell r="J2374">
            <v>18540</v>
          </cell>
          <cell r="K2374">
            <v>11.4</v>
          </cell>
          <cell r="L2374">
            <v>0.09</v>
          </cell>
          <cell r="M2374">
            <v>2.9375</v>
          </cell>
          <cell r="N2374">
            <v>2016</v>
          </cell>
          <cell r="O2374" t="e">
            <v>#N/A</v>
          </cell>
          <cell r="P2374" t="e">
            <v>#N/A</v>
          </cell>
        </row>
        <row r="2375">
          <cell r="B2375" t="str">
            <v>Panjab University</v>
          </cell>
          <cell r="C2375" t="str">
            <v>India</v>
          </cell>
          <cell r="D2375" t="str">
            <v>501-600</v>
          </cell>
          <cell r="E2375">
            <v>14.1</v>
          </cell>
          <cell r="F2375">
            <v>8.8000000000000007</v>
          </cell>
          <cell r="G2375">
            <v>41</v>
          </cell>
          <cell r="H2375">
            <v>28.1</v>
          </cell>
          <cell r="I2375" t="str">
            <v>-</v>
          </cell>
          <cell r="J2375">
            <v>16691</v>
          </cell>
          <cell r="K2375">
            <v>23.9</v>
          </cell>
          <cell r="L2375">
            <v>0.01</v>
          </cell>
          <cell r="M2375">
            <v>1.9541666666666666</v>
          </cell>
          <cell r="N2375">
            <v>2016</v>
          </cell>
          <cell r="O2375">
            <v>543</v>
          </cell>
          <cell r="P2375">
            <v>5</v>
          </cell>
        </row>
        <row r="2376">
          <cell r="B2376" t="str">
            <v>Paris Dauphine University</v>
          </cell>
          <cell r="C2376" t="str">
            <v>France</v>
          </cell>
          <cell r="D2376" t="str">
            <v>501-600</v>
          </cell>
          <cell r="E2376">
            <v>69.3</v>
          </cell>
          <cell r="F2376">
            <v>11.1</v>
          </cell>
          <cell r="G2376">
            <v>27.6</v>
          </cell>
          <cell r="H2376">
            <v>30.6</v>
          </cell>
          <cell r="I2376" t="str">
            <v>-</v>
          </cell>
          <cell r="J2376">
            <v>9565</v>
          </cell>
          <cell r="K2376">
            <v>15.4</v>
          </cell>
          <cell r="L2376">
            <v>0.28000000000000003</v>
          </cell>
          <cell r="M2376">
            <v>2.2409722222222221</v>
          </cell>
          <cell r="N2376">
            <v>2016</v>
          </cell>
          <cell r="O2376" t="e">
            <v>#N/A</v>
          </cell>
          <cell r="P2376" t="e">
            <v>#N/A</v>
          </cell>
        </row>
        <row r="2377">
          <cell r="B2377" t="str">
            <v>Pontifical Catholic University of Rio de Janeiro (PUC-Rio)</v>
          </cell>
          <cell r="C2377" t="str">
            <v>Brazil</v>
          </cell>
          <cell r="D2377" t="str">
            <v>501-600</v>
          </cell>
          <cell r="E2377">
            <v>31.3</v>
          </cell>
          <cell r="F2377">
            <v>24.1</v>
          </cell>
          <cell r="G2377">
            <v>23.1</v>
          </cell>
          <cell r="H2377">
            <v>100</v>
          </cell>
          <cell r="I2377" t="str">
            <v>-</v>
          </cell>
          <cell r="J2377">
            <v>14300</v>
          </cell>
          <cell r="K2377">
            <v>21.2</v>
          </cell>
          <cell r="L2377">
            <v>0.03</v>
          </cell>
          <cell r="M2377">
            <v>2.0770833333333334</v>
          </cell>
          <cell r="N2377">
            <v>2016</v>
          </cell>
          <cell r="O2377" t="e">
            <v>#N/A</v>
          </cell>
          <cell r="P2377" t="e">
            <v>#N/A</v>
          </cell>
        </row>
        <row r="2378">
          <cell r="B2378" t="str">
            <v>Portland State University</v>
          </cell>
          <cell r="C2378" t="str">
            <v>United States of America</v>
          </cell>
          <cell r="D2378" t="str">
            <v>501-600</v>
          </cell>
          <cell r="E2378">
            <v>31.6</v>
          </cell>
          <cell r="F2378">
            <v>14.4</v>
          </cell>
          <cell r="G2378">
            <v>43.3</v>
          </cell>
          <cell r="H2378">
            <v>44.6</v>
          </cell>
          <cell r="I2378" t="str">
            <v>-</v>
          </cell>
          <cell r="J2378">
            <v>20398</v>
          </cell>
          <cell r="K2378">
            <v>22.2</v>
          </cell>
          <cell r="L2378">
            <v>0.08</v>
          </cell>
          <cell r="M2378">
            <v>2.2819444444444446</v>
          </cell>
          <cell r="N2378">
            <v>2016</v>
          </cell>
          <cell r="O2378">
            <v>670</v>
          </cell>
          <cell r="P2378">
            <v>192</v>
          </cell>
        </row>
        <row r="2379">
          <cell r="B2379" t="str">
            <v>University of Pretoria</v>
          </cell>
          <cell r="C2379" t="str">
            <v>South Africa</v>
          </cell>
          <cell r="D2379" t="str">
            <v>501-600</v>
          </cell>
          <cell r="E2379">
            <v>46</v>
          </cell>
          <cell r="F2379">
            <v>21.2</v>
          </cell>
          <cell r="G2379">
            <v>17.5</v>
          </cell>
          <cell r="H2379">
            <v>52.4</v>
          </cell>
          <cell r="I2379" t="str">
            <v>-</v>
          </cell>
          <cell r="J2379">
            <v>37314</v>
          </cell>
          <cell r="K2379">
            <v>20</v>
          </cell>
          <cell r="L2379">
            <v>0.08</v>
          </cell>
          <cell r="M2379">
            <v>2.4048611111111109</v>
          </cell>
          <cell r="N2379">
            <v>2016</v>
          </cell>
          <cell r="O2379">
            <v>609</v>
          </cell>
          <cell r="P2379">
            <v>5</v>
          </cell>
        </row>
        <row r="2380">
          <cell r="B2380" t="str">
            <v>Pusan National University</v>
          </cell>
          <cell r="C2380" t="str">
            <v>South Korea</v>
          </cell>
          <cell r="D2380" t="str">
            <v>501-600</v>
          </cell>
          <cell r="E2380">
            <v>32.9</v>
          </cell>
          <cell r="F2380">
            <v>24.7</v>
          </cell>
          <cell r="G2380">
            <v>20.399999999999999</v>
          </cell>
          <cell r="H2380">
            <v>66.8</v>
          </cell>
          <cell r="I2380" t="str">
            <v>-</v>
          </cell>
          <cell r="J2380">
            <v>24929</v>
          </cell>
          <cell r="K2380">
            <v>19.7</v>
          </cell>
          <cell r="L2380">
            <v>0.12</v>
          </cell>
          <cell r="M2380">
            <v>2.1590277777777778</v>
          </cell>
          <cell r="N2380">
            <v>2016</v>
          </cell>
          <cell r="O2380">
            <v>440</v>
          </cell>
          <cell r="P2380">
            <v>16</v>
          </cell>
        </row>
        <row r="2381">
          <cell r="B2381" t="str">
            <v>Quaid-i-azam University</v>
          </cell>
          <cell r="C2381" t="str">
            <v>Pakistan</v>
          </cell>
          <cell r="D2381" t="str">
            <v>501-600</v>
          </cell>
          <cell r="E2381">
            <v>35.4</v>
          </cell>
          <cell r="F2381">
            <v>9.9</v>
          </cell>
          <cell r="G2381">
            <v>45.6</v>
          </cell>
          <cell r="H2381" t="str">
            <v>-</v>
          </cell>
          <cell r="I2381" t="str">
            <v>-</v>
          </cell>
          <cell r="J2381">
            <v>12688</v>
          </cell>
          <cell r="K2381">
            <v>25.7</v>
          </cell>
          <cell r="L2381">
            <v>0</v>
          </cell>
          <cell r="M2381">
            <v>2.2409722222222221</v>
          </cell>
          <cell r="N2381">
            <v>2016</v>
          </cell>
          <cell r="O2381" t="e">
            <v>#N/A</v>
          </cell>
          <cell r="P2381" t="e">
            <v>#N/A</v>
          </cell>
        </row>
        <row r="2382">
          <cell r="B2382" t="str">
            <v>University of Regina</v>
          </cell>
          <cell r="C2382" t="str">
            <v>Canada</v>
          </cell>
          <cell r="D2382" t="str">
            <v>501-600</v>
          </cell>
          <cell r="E2382">
            <v>47.7</v>
          </cell>
          <cell r="F2382">
            <v>15.8</v>
          </cell>
          <cell r="G2382">
            <v>34.200000000000003</v>
          </cell>
          <cell r="H2382">
            <v>34.4</v>
          </cell>
          <cell r="I2382" t="str">
            <v>-</v>
          </cell>
          <cell r="J2382">
            <v>11550</v>
          </cell>
          <cell r="K2382">
            <v>22.8</v>
          </cell>
          <cell r="L2382">
            <v>0.12</v>
          </cell>
          <cell r="M2382">
            <v>2.5687500000000001</v>
          </cell>
          <cell r="N2382">
            <v>2016</v>
          </cell>
          <cell r="O2382">
            <v>827</v>
          </cell>
          <cell r="P2382">
            <v>28</v>
          </cell>
        </row>
        <row r="2383">
          <cell r="B2383" t="str">
            <v>Renmin University of China</v>
          </cell>
          <cell r="C2383" t="str">
            <v>China</v>
          </cell>
          <cell r="D2383" t="str">
            <v>501-600</v>
          </cell>
          <cell r="E2383">
            <v>40.1</v>
          </cell>
          <cell r="F2383">
            <v>13.7</v>
          </cell>
          <cell r="G2383">
            <v>30.7</v>
          </cell>
          <cell r="H2383">
            <v>42.5</v>
          </cell>
          <cell r="I2383" t="str">
            <v>-</v>
          </cell>
          <cell r="J2383">
            <v>24954</v>
          </cell>
          <cell r="K2383">
            <v>12.7</v>
          </cell>
          <cell r="L2383">
            <v>0.06</v>
          </cell>
          <cell r="N2383">
            <v>2016</v>
          </cell>
          <cell r="O2383">
            <v>496</v>
          </cell>
          <cell r="P2383">
            <v>27</v>
          </cell>
        </row>
        <row r="2384">
          <cell r="B2384" t="str">
            <v>University of Rennes 1</v>
          </cell>
          <cell r="C2384" t="str">
            <v>France</v>
          </cell>
          <cell r="D2384" t="str">
            <v>501-600</v>
          </cell>
          <cell r="E2384">
            <v>53</v>
          </cell>
          <cell r="F2384">
            <v>10.3</v>
          </cell>
          <cell r="G2384">
            <v>44.7</v>
          </cell>
          <cell r="H2384">
            <v>31.7</v>
          </cell>
          <cell r="I2384" t="str">
            <v>-</v>
          </cell>
          <cell r="J2384">
            <v>22186</v>
          </cell>
          <cell r="K2384">
            <v>13.9</v>
          </cell>
          <cell r="L2384">
            <v>0.12</v>
          </cell>
          <cell r="M2384">
            <v>2.1180555555555554</v>
          </cell>
          <cell r="N2384">
            <v>2016</v>
          </cell>
          <cell r="O2384">
            <v>476</v>
          </cell>
          <cell r="P2384">
            <v>19</v>
          </cell>
        </row>
        <row r="2385">
          <cell r="B2385" t="str">
            <v>University of Salamanca</v>
          </cell>
          <cell r="C2385" t="str">
            <v>Spain</v>
          </cell>
          <cell r="D2385" t="str">
            <v>501-600</v>
          </cell>
          <cell r="E2385">
            <v>40.799999999999997</v>
          </cell>
          <cell r="F2385">
            <v>16.899999999999999</v>
          </cell>
          <cell r="G2385">
            <v>25.9</v>
          </cell>
          <cell r="H2385">
            <v>31.6</v>
          </cell>
          <cell r="I2385" t="str">
            <v>-</v>
          </cell>
          <cell r="J2385">
            <v>31035</v>
          </cell>
          <cell r="K2385">
            <v>17.899999999999999</v>
          </cell>
          <cell r="L2385">
            <v>0.12</v>
          </cell>
          <cell r="M2385">
            <v>2.4458333333333333</v>
          </cell>
          <cell r="N2385">
            <v>2016</v>
          </cell>
          <cell r="O2385">
            <v>620</v>
          </cell>
          <cell r="P2385">
            <v>18</v>
          </cell>
        </row>
        <row r="2386">
          <cell r="B2386" t="str">
            <v>University of Santiago de Compostela</v>
          </cell>
          <cell r="C2386" t="str">
            <v>Spain</v>
          </cell>
          <cell r="D2386" t="str">
            <v>501-600</v>
          </cell>
          <cell r="E2386">
            <v>37.1</v>
          </cell>
          <cell r="F2386">
            <v>14.1</v>
          </cell>
          <cell r="G2386">
            <v>46.9</v>
          </cell>
          <cell r="H2386">
            <v>32.299999999999997</v>
          </cell>
          <cell r="I2386" t="str">
            <v>-</v>
          </cell>
          <cell r="J2386">
            <v>29085</v>
          </cell>
          <cell r="K2386">
            <v>15.3</v>
          </cell>
          <cell r="L2386">
            <v>0.06</v>
          </cell>
          <cell r="M2386">
            <v>2.6506944444444445</v>
          </cell>
          <cell r="N2386">
            <v>2016</v>
          </cell>
          <cell r="O2386">
            <v>356</v>
          </cell>
          <cell r="P2386">
            <v>7</v>
          </cell>
        </row>
        <row r="2387">
          <cell r="B2387" t="str">
            <v>Semmelweis University</v>
          </cell>
          <cell r="C2387" t="str">
            <v>Hungary</v>
          </cell>
          <cell r="D2387" t="str">
            <v>501-600</v>
          </cell>
          <cell r="E2387">
            <v>81.7</v>
          </cell>
          <cell r="F2387">
            <v>10.6</v>
          </cell>
          <cell r="G2387">
            <v>41.5</v>
          </cell>
          <cell r="H2387">
            <v>30.7</v>
          </cell>
          <cell r="I2387" t="str">
            <v>-</v>
          </cell>
          <cell r="J2387">
            <v>12920</v>
          </cell>
          <cell r="K2387">
            <v>10.9</v>
          </cell>
          <cell r="L2387">
            <v>0.25</v>
          </cell>
          <cell r="M2387">
            <v>2.6916666666666669</v>
          </cell>
          <cell r="N2387">
            <v>2016</v>
          </cell>
          <cell r="O2387">
            <v>598</v>
          </cell>
          <cell r="P2387">
            <v>2</v>
          </cell>
        </row>
        <row r="2388">
          <cell r="B2388" t="str">
            <v>University of Seville</v>
          </cell>
          <cell r="C2388" t="str">
            <v>Spain</v>
          </cell>
          <cell r="D2388" t="str">
            <v>501-600</v>
          </cell>
          <cell r="E2388">
            <v>32</v>
          </cell>
          <cell r="F2388">
            <v>14.9</v>
          </cell>
          <cell r="G2388">
            <v>32.6</v>
          </cell>
          <cell r="H2388">
            <v>36.700000000000003</v>
          </cell>
          <cell r="I2388" t="str">
            <v>-</v>
          </cell>
          <cell r="J2388">
            <v>64931</v>
          </cell>
          <cell r="K2388">
            <v>17.5</v>
          </cell>
          <cell r="L2388">
            <v>7.0000000000000007E-2</v>
          </cell>
          <cell r="M2388">
            <v>2.3229166666666665</v>
          </cell>
          <cell r="N2388">
            <v>2016</v>
          </cell>
          <cell r="O2388">
            <v>384</v>
          </cell>
          <cell r="P2388">
            <v>8</v>
          </cell>
        </row>
        <row r="2389">
          <cell r="B2389" t="str">
            <v>UniversitÃ© de Sherbrooke</v>
          </cell>
          <cell r="C2389" t="str">
            <v>Canada</v>
          </cell>
          <cell r="D2389" t="str">
            <v>501-600</v>
          </cell>
          <cell r="E2389">
            <v>39.799999999999997</v>
          </cell>
          <cell r="F2389">
            <v>9.5</v>
          </cell>
          <cell r="G2389">
            <v>41.3</v>
          </cell>
          <cell r="H2389">
            <v>29.6</v>
          </cell>
          <cell r="I2389" t="str">
            <v>-</v>
          </cell>
          <cell r="J2389">
            <v>13438</v>
          </cell>
          <cell r="K2389">
            <v>5.4</v>
          </cell>
          <cell r="L2389">
            <v>0.05</v>
          </cell>
          <cell r="M2389">
            <v>2.2819444444444446</v>
          </cell>
          <cell r="N2389">
            <v>2016</v>
          </cell>
          <cell r="O2389" t="e">
            <v>#N/A</v>
          </cell>
          <cell r="P2389" t="e">
            <v>#N/A</v>
          </cell>
        </row>
        <row r="2390">
          <cell r="B2390" t="str">
            <v>Soochow University</v>
          </cell>
          <cell r="C2390" t="str">
            <v>China</v>
          </cell>
          <cell r="D2390" t="str">
            <v>501-600</v>
          </cell>
          <cell r="E2390">
            <v>16</v>
          </cell>
          <cell r="F2390">
            <v>13.7</v>
          </cell>
          <cell r="G2390">
            <v>45.8</v>
          </cell>
          <cell r="H2390">
            <v>75.3</v>
          </cell>
          <cell r="I2390" t="str">
            <v>-</v>
          </cell>
          <cell r="J2390">
            <v>36465</v>
          </cell>
          <cell r="K2390">
            <v>12.9</v>
          </cell>
          <cell r="L2390">
            <v>0.02</v>
          </cell>
          <cell r="M2390">
            <v>3.2652777777777779</v>
          </cell>
          <cell r="N2390">
            <v>2016</v>
          </cell>
          <cell r="O2390" t="e">
            <v>#N/A</v>
          </cell>
          <cell r="P2390" t="e">
            <v>#N/A</v>
          </cell>
        </row>
        <row r="2391">
          <cell r="B2391" t="str">
            <v>South China University of Technology</v>
          </cell>
          <cell r="C2391" t="str">
            <v>China</v>
          </cell>
          <cell r="D2391" t="str">
            <v>501-600</v>
          </cell>
          <cell r="E2391">
            <v>17.5</v>
          </cell>
          <cell r="F2391">
            <v>22.1</v>
          </cell>
          <cell r="G2391">
            <v>28.1</v>
          </cell>
          <cell r="H2391">
            <v>86.8</v>
          </cell>
          <cell r="I2391" t="str">
            <v>-</v>
          </cell>
          <cell r="J2391">
            <v>41438</v>
          </cell>
          <cell r="K2391">
            <v>17.7</v>
          </cell>
          <cell r="L2391">
            <v>0.03</v>
          </cell>
          <cell r="M2391" t="str">
            <v>33 : 67</v>
          </cell>
          <cell r="N2391">
            <v>2016</v>
          </cell>
          <cell r="O2391">
            <v>498</v>
          </cell>
          <cell r="P2391">
            <v>23</v>
          </cell>
        </row>
        <row r="2392">
          <cell r="B2392" t="str">
            <v>Tallinn University of Technology</v>
          </cell>
          <cell r="C2392" t="str">
            <v>Estonia</v>
          </cell>
          <cell r="D2392" t="str">
            <v>501-600</v>
          </cell>
          <cell r="E2392">
            <v>37.9</v>
          </cell>
          <cell r="F2392">
            <v>15</v>
          </cell>
          <cell r="G2392">
            <v>38.700000000000003</v>
          </cell>
          <cell r="H2392">
            <v>44.8</v>
          </cell>
          <cell r="I2392" t="str">
            <v>-</v>
          </cell>
          <cell r="J2392">
            <v>14061</v>
          </cell>
          <cell r="K2392">
            <v>28.6</v>
          </cell>
          <cell r="L2392">
            <v>0.05</v>
          </cell>
          <cell r="M2392">
            <v>1.8722222222222222</v>
          </cell>
          <cell r="N2392">
            <v>2016</v>
          </cell>
          <cell r="O2392" t="e">
            <v>#N/A</v>
          </cell>
          <cell r="P2392" t="e">
            <v>#N/A</v>
          </cell>
        </row>
        <row r="2393">
          <cell r="B2393" t="str">
            <v>Tehran University of Medical Sciences</v>
          </cell>
          <cell r="C2393" t="str">
            <v>Iran</v>
          </cell>
          <cell r="D2393" t="str">
            <v>501-600</v>
          </cell>
          <cell r="E2393">
            <v>14.1</v>
          </cell>
          <cell r="F2393">
            <v>20</v>
          </cell>
          <cell r="G2393">
            <v>9.3000000000000007</v>
          </cell>
          <cell r="H2393">
            <v>30</v>
          </cell>
          <cell r="I2393" t="str">
            <v>-</v>
          </cell>
          <cell r="J2393">
            <v>13912</v>
          </cell>
          <cell r="K2393">
            <v>9</v>
          </cell>
          <cell r="L2393">
            <v>0.01</v>
          </cell>
          <cell r="M2393">
            <v>2.6097222222222221</v>
          </cell>
          <cell r="N2393">
            <v>2016</v>
          </cell>
          <cell r="O2393">
            <v>849</v>
          </cell>
          <cell r="P2393">
            <v>3</v>
          </cell>
        </row>
        <row r="2394">
          <cell r="B2394" t="str">
            <v>University of Texas at Arlington</v>
          </cell>
          <cell r="C2394" t="str">
            <v>United States of America</v>
          </cell>
          <cell r="D2394" t="str">
            <v>501-600</v>
          </cell>
          <cell r="E2394">
            <v>50.3</v>
          </cell>
          <cell r="F2394">
            <v>10.1</v>
          </cell>
          <cell r="G2394">
            <v>50.9</v>
          </cell>
          <cell r="H2394">
            <v>33.4</v>
          </cell>
          <cell r="I2394" t="str">
            <v>-</v>
          </cell>
          <cell r="J2394">
            <v>29396</v>
          </cell>
          <cell r="K2394">
            <v>10.5</v>
          </cell>
          <cell r="L2394">
            <v>0.1</v>
          </cell>
          <cell r="M2394">
            <v>2.5277777777777777</v>
          </cell>
          <cell r="N2394">
            <v>2016</v>
          </cell>
          <cell r="O2394">
            <v>681</v>
          </cell>
          <cell r="P2394">
            <v>196</v>
          </cell>
        </row>
        <row r="2395">
          <cell r="B2395" t="str">
            <v>Tianjin University</v>
          </cell>
          <cell r="C2395" t="str">
            <v>China</v>
          </cell>
          <cell r="D2395" t="str">
            <v>501-600</v>
          </cell>
          <cell r="E2395">
            <v>14.7</v>
          </cell>
          <cell r="F2395">
            <v>34.4</v>
          </cell>
          <cell r="G2395">
            <v>12.2</v>
          </cell>
          <cell r="H2395">
            <v>100</v>
          </cell>
          <cell r="I2395" t="str">
            <v>-</v>
          </cell>
          <cell r="J2395">
            <v>29693</v>
          </cell>
          <cell r="K2395">
            <v>12.2</v>
          </cell>
          <cell r="L2395">
            <v>0.01</v>
          </cell>
          <cell r="N2395">
            <v>2016</v>
          </cell>
          <cell r="O2395">
            <v>394</v>
          </cell>
          <cell r="P2395">
            <v>14</v>
          </cell>
        </row>
        <row r="2396">
          <cell r="B2396" t="str">
            <v>Tokyo University of Agriculture and Technology</v>
          </cell>
          <cell r="C2396" t="str">
            <v>Japan</v>
          </cell>
          <cell r="D2396" t="str">
            <v>501-600</v>
          </cell>
          <cell r="E2396">
            <v>19.399999999999999</v>
          </cell>
          <cell r="F2396">
            <v>24.1</v>
          </cell>
          <cell r="G2396">
            <v>16.899999999999999</v>
          </cell>
          <cell r="H2396">
            <v>39.9</v>
          </cell>
          <cell r="I2396" t="str">
            <v>-</v>
          </cell>
          <cell r="J2396">
            <v>5865</v>
          </cell>
          <cell r="K2396">
            <v>14.4</v>
          </cell>
          <cell r="L2396">
            <v>0.05</v>
          </cell>
          <cell r="M2396" t="str">
            <v>27 : 73</v>
          </cell>
          <cell r="N2396">
            <v>2016</v>
          </cell>
          <cell r="O2396">
            <v>603</v>
          </cell>
          <cell r="P2396">
            <v>40</v>
          </cell>
        </row>
        <row r="2397">
          <cell r="B2397" t="str">
            <v>University of Toledo</v>
          </cell>
          <cell r="C2397" t="str">
            <v>United States of America</v>
          </cell>
          <cell r="D2397" t="str">
            <v>501-600</v>
          </cell>
          <cell r="E2397">
            <v>37.700000000000003</v>
          </cell>
          <cell r="F2397">
            <v>13.4</v>
          </cell>
          <cell r="G2397">
            <v>29.9</v>
          </cell>
          <cell r="H2397">
            <v>32.9</v>
          </cell>
          <cell r="I2397" t="str">
            <v>-</v>
          </cell>
          <cell r="J2397">
            <v>19465</v>
          </cell>
          <cell r="K2397">
            <v>17.5</v>
          </cell>
          <cell r="L2397">
            <v>0.09</v>
          </cell>
          <cell r="M2397">
            <v>2.1180555555555554</v>
          </cell>
          <cell r="N2397">
            <v>2016</v>
          </cell>
          <cell r="O2397">
            <v>691</v>
          </cell>
          <cell r="P2397">
            <v>198</v>
          </cell>
        </row>
        <row r="2398">
          <cell r="B2398" t="str">
            <v>Tongji University</v>
          </cell>
          <cell r="C2398" t="str">
            <v>China</v>
          </cell>
          <cell r="D2398" t="str">
            <v>501-600</v>
          </cell>
          <cell r="E2398">
            <v>37.200000000000003</v>
          </cell>
          <cell r="F2398">
            <v>29.2</v>
          </cell>
          <cell r="G2398">
            <v>13.1</v>
          </cell>
          <cell r="H2398">
            <v>63.5</v>
          </cell>
          <cell r="I2398" t="str">
            <v>-</v>
          </cell>
          <cell r="J2398">
            <v>37394</v>
          </cell>
          <cell r="K2398">
            <v>13.5</v>
          </cell>
          <cell r="L2398">
            <v>0.1</v>
          </cell>
          <cell r="M2398" t="str">
            <v>38 : 62</v>
          </cell>
          <cell r="N2398">
            <v>2016</v>
          </cell>
          <cell r="O2398">
            <v>370</v>
          </cell>
          <cell r="P2398">
            <v>12</v>
          </cell>
        </row>
        <row r="2399">
          <cell r="B2399" t="str">
            <v>University of Tulsa</v>
          </cell>
          <cell r="C2399" t="str">
            <v>United States of America</v>
          </cell>
          <cell r="D2399" t="str">
            <v>501-600</v>
          </cell>
          <cell r="E2399">
            <v>43.8</v>
          </cell>
          <cell r="F2399">
            <v>12.9</v>
          </cell>
          <cell r="G2399">
            <v>24.6</v>
          </cell>
          <cell r="H2399">
            <v>71.7</v>
          </cell>
          <cell r="I2399" t="str">
            <v>-</v>
          </cell>
          <cell r="J2399">
            <v>4597</v>
          </cell>
          <cell r="K2399">
            <v>12.5</v>
          </cell>
          <cell r="L2399">
            <v>0.25</v>
          </cell>
          <cell r="M2399">
            <v>1.83125</v>
          </cell>
          <cell r="N2399">
            <v>2016</v>
          </cell>
          <cell r="O2399" t="e">
            <v>#N/A</v>
          </cell>
          <cell r="P2399" t="e">
            <v>#N/A</v>
          </cell>
        </row>
        <row r="2400">
          <cell r="B2400" t="str">
            <v>United Arab Emirates University</v>
          </cell>
          <cell r="C2400" t="str">
            <v>United Arab Emirates</v>
          </cell>
          <cell r="D2400" t="str">
            <v>501-600</v>
          </cell>
          <cell r="E2400">
            <v>95</v>
          </cell>
          <cell r="F2400">
            <v>14.8</v>
          </cell>
          <cell r="G2400">
            <v>21.7</v>
          </cell>
          <cell r="H2400">
            <v>30.1</v>
          </cell>
          <cell r="I2400" t="str">
            <v>-</v>
          </cell>
          <cell r="J2400">
            <v>9221</v>
          </cell>
          <cell r="K2400">
            <v>12.5</v>
          </cell>
          <cell r="L2400">
            <v>0.26</v>
          </cell>
          <cell r="M2400">
            <v>3.1833333333333331</v>
          </cell>
          <cell r="N2400">
            <v>2016</v>
          </cell>
          <cell r="O2400">
            <v>924</v>
          </cell>
          <cell r="P2400">
            <v>1</v>
          </cell>
        </row>
        <row r="2401">
          <cell r="B2401" t="str">
            <v>University of Warsaw</v>
          </cell>
          <cell r="C2401" t="str">
            <v>Poland</v>
          </cell>
          <cell r="D2401" t="str">
            <v>501-600</v>
          </cell>
          <cell r="E2401">
            <v>41.6</v>
          </cell>
          <cell r="F2401">
            <v>15.8</v>
          </cell>
          <cell r="G2401">
            <v>42.2</v>
          </cell>
          <cell r="H2401">
            <v>28.5</v>
          </cell>
          <cell r="I2401" t="str">
            <v>-</v>
          </cell>
          <cell r="J2401">
            <v>49292</v>
          </cell>
          <cell r="K2401">
            <v>14.1</v>
          </cell>
          <cell r="L2401">
            <v>7.0000000000000007E-2</v>
          </cell>
          <cell r="M2401">
            <v>2.8145833333333332</v>
          </cell>
          <cell r="N2401">
            <v>2016</v>
          </cell>
          <cell r="O2401">
            <v>419</v>
          </cell>
          <cell r="P2401">
            <v>1</v>
          </cell>
        </row>
        <row r="2402">
          <cell r="B2402" t="str">
            <v>University of Wisconsin-Milwaukee</v>
          </cell>
          <cell r="C2402" t="str">
            <v>United States of America</v>
          </cell>
          <cell r="D2402" t="str">
            <v>501-600</v>
          </cell>
          <cell r="E2402">
            <v>26</v>
          </cell>
          <cell r="F2402">
            <v>13.8</v>
          </cell>
          <cell r="G2402">
            <v>45.5</v>
          </cell>
          <cell r="H2402">
            <v>29</v>
          </cell>
          <cell r="I2402" t="str">
            <v>-</v>
          </cell>
          <cell r="J2402">
            <v>22542</v>
          </cell>
          <cell r="K2402">
            <v>18.399999999999999</v>
          </cell>
          <cell r="L2402">
            <v>0.05</v>
          </cell>
          <cell r="M2402">
            <v>2.2000000000000002</v>
          </cell>
          <cell r="N2402">
            <v>2016</v>
          </cell>
          <cell r="O2402" t="e">
            <v>#N/A</v>
          </cell>
          <cell r="P2402" t="e">
            <v>#N/A</v>
          </cell>
        </row>
        <row r="2403">
          <cell r="B2403" t="str">
            <v>Xiâ€™an Jiaotong University</v>
          </cell>
          <cell r="C2403" t="str">
            <v>China</v>
          </cell>
          <cell r="D2403" t="str">
            <v>501-600</v>
          </cell>
          <cell r="E2403">
            <v>25.8</v>
          </cell>
          <cell r="F2403">
            <v>22.5</v>
          </cell>
          <cell r="G2403">
            <v>25.5</v>
          </cell>
          <cell r="H2403">
            <v>70.400000000000006</v>
          </cell>
          <cell r="I2403" t="str">
            <v>-</v>
          </cell>
          <cell r="J2403">
            <v>29863</v>
          </cell>
          <cell r="K2403">
            <v>12.3</v>
          </cell>
          <cell r="L2403">
            <v>0.04</v>
          </cell>
          <cell r="M2403" t="str">
            <v>34 : 66</v>
          </cell>
          <cell r="N2403">
            <v>2016</v>
          </cell>
          <cell r="O2403" t="e">
            <v>#N/A</v>
          </cell>
          <cell r="P2403" t="e">
            <v>#N/A</v>
          </cell>
        </row>
        <row r="2404">
          <cell r="B2404" t="str">
            <v>University of Zaragoza</v>
          </cell>
          <cell r="C2404" t="str">
            <v>Spain</v>
          </cell>
          <cell r="D2404" t="str">
            <v>501-600</v>
          </cell>
          <cell r="E2404">
            <v>33.5</v>
          </cell>
          <cell r="F2404">
            <v>12.7</v>
          </cell>
          <cell r="G2404">
            <v>49.5</v>
          </cell>
          <cell r="H2404">
            <v>36.700000000000003</v>
          </cell>
          <cell r="I2404" t="str">
            <v>-</v>
          </cell>
          <cell r="J2404">
            <v>31046</v>
          </cell>
          <cell r="K2404">
            <v>11.8</v>
          </cell>
          <cell r="L2404">
            <v>0.05</v>
          </cell>
          <cell r="M2404">
            <v>2.3229166666666665</v>
          </cell>
          <cell r="N2404">
            <v>2016</v>
          </cell>
          <cell r="O2404">
            <v>520</v>
          </cell>
          <cell r="P2404">
            <v>15</v>
          </cell>
        </row>
        <row r="2405">
          <cell r="B2405" t="str">
            <v>University of A CoruÃ±a</v>
          </cell>
          <cell r="C2405" t="str">
            <v>Spain</v>
          </cell>
          <cell r="D2405" t="str">
            <v>601-800</v>
          </cell>
          <cell r="E2405">
            <v>23.4</v>
          </cell>
          <cell r="F2405">
            <v>10</v>
          </cell>
          <cell r="G2405">
            <v>16.600000000000001</v>
          </cell>
          <cell r="H2405">
            <v>38.200000000000003</v>
          </cell>
          <cell r="I2405" t="str">
            <v>-</v>
          </cell>
          <cell r="J2405">
            <v>17062</v>
          </cell>
          <cell r="K2405">
            <v>13</v>
          </cell>
          <cell r="L2405">
            <v>0.02</v>
          </cell>
          <cell r="M2405">
            <v>2.2000000000000002</v>
          </cell>
          <cell r="N2405">
            <v>2016</v>
          </cell>
          <cell r="O2405">
            <v>937</v>
          </cell>
          <cell r="P2405">
            <v>40</v>
          </cell>
        </row>
        <row r="2406">
          <cell r="B2406" t="str">
            <v>Adam Mickiewicz University</v>
          </cell>
          <cell r="C2406" t="str">
            <v>Poland</v>
          </cell>
          <cell r="D2406" t="str">
            <v>601-800</v>
          </cell>
          <cell r="E2406">
            <v>25.7</v>
          </cell>
          <cell r="F2406">
            <v>11</v>
          </cell>
          <cell r="G2406">
            <v>15.3</v>
          </cell>
          <cell r="H2406">
            <v>28.7</v>
          </cell>
          <cell r="I2406" t="str">
            <v>-</v>
          </cell>
          <cell r="J2406">
            <v>40633</v>
          </cell>
          <cell r="K2406">
            <v>15.6</v>
          </cell>
          <cell r="L2406">
            <v>0.01</v>
          </cell>
          <cell r="M2406">
            <v>2.9784722222222224</v>
          </cell>
          <cell r="N2406">
            <v>2016</v>
          </cell>
          <cell r="O2406" t="e">
            <v>#N/A</v>
          </cell>
          <cell r="P2406" t="e">
            <v>#N/A</v>
          </cell>
        </row>
        <row r="2407">
          <cell r="B2407" t="str">
            <v>AGH University of Science and Technology</v>
          </cell>
          <cell r="C2407" t="str">
            <v>Poland</v>
          </cell>
          <cell r="D2407" t="str">
            <v>601-800</v>
          </cell>
          <cell r="E2407">
            <v>17.899999999999999</v>
          </cell>
          <cell r="F2407">
            <v>3.7</v>
          </cell>
          <cell r="G2407">
            <v>35.700000000000003</v>
          </cell>
          <cell r="H2407" t="str">
            <v>-</v>
          </cell>
          <cell r="I2407" t="str">
            <v>-</v>
          </cell>
          <cell r="J2407">
            <v>35569</v>
          </cell>
          <cell r="K2407">
            <v>17</v>
          </cell>
          <cell r="L2407">
            <v>0.01</v>
          </cell>
          <cell r="M2407" t="str">
            <v>-</v>
          </cell>
          <cell r="N2407">
            <v>2016</v>
          </cell>
          <cell r="O2407">
            <v>653</v>
          </cell>
          <cell r="P2407">
            <v>3</v>
          </cell>
        </row>
        <row r="2408">
          <cell r="B2408" t="str">
            <v>Ajou University</v>
          </cell>
          <cell r="C2408" t="str">
            <v>South Korea</v>
          </cell>
          <cell r="D2408" t="str">
            <v>601-800</v>
          </cell>
          <cell r="E2408">
            <v>20</v>
          </cell>
          <cell r="F2408">
            <v>11.9</v>
          </cell>
          <cell r="G2408">
            <v>23.9</v>
          </cell>
          <cell r="H2408">
            <v>45.7</v>
          </cell>
          <cell r="I2408" t="str">
            <v>-</v>
          </cell>
          <cell r="J2408">
            <v>12706</v>
          </cell>
          <cell r="K2408">
            <v>11.3</v>
          </cell>
          <cell r="L2408">
            <v>0.02</v>
          </cell>
          <cell r="M2408" t="str">
            <v>33 : 67</v>
          </cell>
          <cell r="N2408">
            <v>2016</v>
          </cell>
          <cell r="O2408">
            <v>447</v>
          </cell>
          <cell r="P2408">
            <v>17</v>
          </cell>
        </row>
        <row r="2409">
          <cell r="B2409" t="str">
            <v>University of AlcalÃ¡</v>
          </cell>
          <cell r="C2409" t="str">
            <v>Spain</v>
          </cell>
          <cell r="D2409" t="str">
            <v>601-800</v>
          </cell>
          <cell r="E2409">
            <v>50</v>
          </cell>
          <cell r="F2409">
            <v>11.2</v>
          </cell>
          <cell r="G2409">
            <v>28.3</v>
          </cell>
          <cell r="H2409">
            <v>43.3</v>
          </cell>
          <cell r="I2409" t="str">
            <v>-</v>
          </cell>
          <cell r="J2409">
            <v>30812</v>
          </cell>
          <cell r="K2409">
            <v>25.1</v>
          </cell>
          <cell r="L2409">
            <v>0.18</v>
          </cell>
          <cell r="M2409">
            <v>2.2409722222222221</v>
          </cell>
          <cell r="N2409">
            <v>2016</v>
          </cell>
          <cell r="O2409">
            <v>848</v>
          </cell>
          <cell r="P2409">
            <v>32</v>
          </cell>
        </row>
        <row r="2410">
          <cell r="B2410" t="str">
            <v>Alexandria University</v>
          </cell>
          <cell r="C2410" t="str">
            <v>Egypt</v>
          </cell>
          <cell r="D2410" t="str">
            <v>601-800</v>
          </cell>
          <cell r="E2410">
            <v>33.700000000000003</v>
          </cell>
          <cell r="F2410">
            <v>8.1999999999999993</v>
          </cell>
          <cell r="G2410">
            <v>14.1</v>
          </cell>
          <cell r="H2410">
            <v>29.7</v>
          </cell>
          <cell r="I2410" t="str">
            <v>-</v>
          </cell>
          <cell r="J2410">
            <v>127431</v>
          </cell>
          <cell r="K2410">
            <v>23.3</v>
          </cell>
          <cell r="L2410">
            <v>0.01</v>
          </cell>
          <cell r="M2410">
            <v>1.9541666666666666</v>
          </cell>
          <cell r="N2410">
            <v>2016</v>
          </cell>
          <cell r="O2410">
            <v>951</v>
          </cell>
          <cell r="P2410">
            <v>2</v>
          </cell>
        </row>
        <row r="2411">
          <cell r="B2411" t="str">
            <v>Alexandru Ioan Cuza University</v>
          </cell>
          <cell r="C2411" t="str">
            <v>Romania</v>
          </cell>
          <cell r="D2411" t="str">
            <v>601-800</v>
          </cell>
          <cell r="E2411">
            <v>46.9</v>
          </cell>
          <cell r="F2411">
            <v>13.6</v>
          </cell>
          <cell r="G2411">
            <v>7</v>
          </cell>
          <cell r="H2411">
            <v>28.2</v>
          </cell>
          <cell r="I2411" t="str">
            <v>-</v>
          </cell>
          <cell r="J2411">
            <v>25724</v>
          </cell>
          <cell r="K2411">
            <v>33</v>
          </cell>
          <cell r="L2411">
            <v>0.05</v>
          </cell>
          <cell r="M2411">
            <v>2.6506944444444445</v>
          </cell>
          <cell r="N2411">
            <v>2016</v>
          </cell>
          <cell r="O2411" t="e">
            <v>#N/A</v>
          </cell>
          <cell r="P2411" t="e">
            <v>#N/A</v>
          </cell>
        </row>
        <row r="2412">
          <cell r="B2412" t="str">
            <v>Aligarh Muslim University</v>
          </cell>
          <cell r="C2412" t="str">
            <v>India</v>
          </cell>
          <cell r="D2412" t="str">
            <v>601-800</v>
          </cell>
          <cell r="E2412">
            <v>18.7</v>
          </cell>
          <cell r="F2412">
            <v>10</v>
          </cell>
          <cell r="G2412">
            <v>20.9</v>
          </cell>
          <cell r="H2412">
            <v>29.6</v>
          </cell>
          <cell r="I2412" t="str">
            <v>-</v>
          </cell>
          <cell r="J2412">
            <v>11197</v>
          </cell>
          <cell r="K2412">
            <v>10.5</v>
          </cell>
          <cell r="L2412">
            <v>0.02</v>
          </cell>
          <cell r="M2412">
            <v>0.76597222222222228</v>
          </cell>
          <cell r="N2412">
            <v>2016</v>
          </cell>
          <cell r="O2412" t="e">
            <v>#N/A</v>
          </cell>
          <cell r="P2412" t="e">
            <v>#N/A</v>
          </cell>
        </row>
        <row r="2413">
          <cell r="B2413" t="str">
            <v>American University of Sharjah</v>
          </cell>
          <cell r="C2413" t="str">
            <v>United Arab Emirates</v>
          </cell>
          <cell r="D2413" t="str">
            <v>601-800</v>
          </cell>
          <cell r="E2413">
            <v>95.6</v>
          </cell>
          <cell r="F2413">
            <v>10.6</v>
          </cell>
          <cell r="G2413">
            <v>13.3</v>
          </cell>
          <cell r="H2413">
            <v>33.299999999999997</v>
          </cell>
          <cell r="I2413" t="str">
            <v>-</v>
          </cell>
          <cell r="J2413">
            <v>5226</v>
          </cell>
          <cell r="K2413">
            <v>14.1</v>
          </cell>
          <cell r="L2413">
            <v>0.82</v>
          </cell>
          <cell r="M2413">
            <v>2.036111111111111</v>
          </cell>
          <cell r="N2413">
            <v>2016</v>
          </cell>
          <cell r="O2413" t="e">
            <v>#N/A</v>
          </cell>
          <cell r="P2413" t="e">
            <v>#N/A</v>
          </cell>
        </row>
        <row r="2414">
          <cell r="B2414" t="str">
            <v>Amrita University</v>
          </cell>
          <cell r="C2414" t="str">
            <v>India</v>
          </cell>
          <cell r="D2414" t="str">
            <v>601-800</v>
          </cell>
          <cell r="E2414">
            <v>29.6</v>
          </cell>
          <cell r="F2414">
            <v>5.8</v>
          </cell>
          <cell r="G2414">
            <v>20.7</v>
          </cell>
          <cell r="H2414">
            <v>28</v>
          </cell>
          <cell r="I2414" t="str">
            <v>-</v>
          </cell>
          <cell r="J2414">
            <v>17273</v>
          </cell>
          <cell r="K2414">
            <v>6.6</v>
          </cell>
          <cell r="L2414">
            <v>0.08</v>
          </cell>
          <cell r="N2414">
            <v>2016</v>
          </cell>
          <cell r="O2414" t="e">
            <v>#N/A</v>
          </cell>
          <cell r="P2414" t="e">
            <v>#N/A</v>
          </cell>
        </row>
        <row r="2415">
          <cell r="B2415" t="str">
            <v>Anadolu University</v>
          </cell>
          <cell r="C2415" t="str">
            <v>Turkey</v>
          </cell>
          <cell r="D2415" t="str">
            <v>601-800</v>
          </cell>
          <cell r="E2415">
            <v>14.3</v>
          </cell>
          <cell r="F2415">
            <v>22.6</v>
          </cell>
          <cell r="G2415">
            <v>10.9</v>
          </cell>
          <cell r="H2415">
            <v>100</v>
          </cell>
          <cell r="I2415" t="str">
            <v>-</v>
          </cell>
          <cell r="J2415">
            <v>379231</v>
          </cell>
          <cell r="K2415">
            <v>162.6</v>
          </cell>
          <cell r="L2415">
            <v>0.01</v>
          </cell>
          <cell r="M2415">
            <v>3.2652777777777779</v>
          </cell>
          <cell r="N2415">
            <v>2016</v>
          </cell>
          <cell r="O2415" t="e">
            <v>#N/A</v>
          </cell>
          <cell r="P2415" t="e">
            <v>#N/A</v>
          </cell>
        </row>
        <row r="2416">
          <cell r="B2416" t="str">
            <v>Andhra University</v>
          </cell>
          <cell r="C2416" t="str">
            <v>India</v>
          </cell>
          <cell r="D2416" t="str">
            <v>601-800</v>
          </cell>
          <cell r="E2416">
            <v>7.2</v>
          </cell>
          <cell r="F2416">
            <v>6.9</v>
          </cell>
          <cell r="G2416">
            <v>1.2</v>
          </cell>
          <cell r="H2416">
            <v>31.3</v>
          </cell>
          <cell r="I2416" t="str">
            <v>-</v>
          </cell>
          <cell r="J2416">
            <v>10407</v>
          </cell>
          <cell r="K2416">
            <v>20.2</v>
          </cell>
          <cell r="L2416">
            <v>0.03</v>
          </cell>
          <cell r="M2416" t="str">
            <v>36 : 64</v>
          </cell>
          <cell r="N2416">
            <v>2016</v>
          </cell>
          <cell r="O2416" t="e">
            <v>#N/A</v>
          </cell>
          <cell r="P2416" t="e">
            <v>#N/A</v>
          </cell>
        </row>
        <row r="2417">
          <cell r="B2417" t="str">
            <v>University of Antioquia</v>
          </cell>
          <cell r="C2417" t="str">
            <v>Colombia</v>
          </cell>
          <cell r="D2417" t="str">
            <v>601-800</v>
          </cell>
          <cell r="E2417">
            <v>42</v>
          </cell>
          <cell r="F2417">
            <v>21.1</v>
          </cell>
          <cell r="G2417">
            <v>14.8</v>
          </cell>
          <cell r="H2417">
            <v>43.6</v>
          </cell>
          <cell r="I2417" t="str">
            <v>-</v>
          </cell>
          <cell r="J2417">
            <v>38872</v>
          </cell>
          <cell r="K2417">
            <v>23</v>
          </cell>
          <cell r="L2417">
            <v>0.01</v>
          </cell>
          <cell r="M2417">
            <v>2.1180555555555554</v>
          </cell>
          <cell r="N2417">
            <v>2016</v>
          </cell>
          <cell r="O2417" t="e">
            <v>#N/A</v>
          </cell>
          <cell r="P2417" t="e">
            <v>#N/A</v>
          </cell>
        </row>
        <row r="2418">
          <cell r="B2418" t="str">
            <v>Aristotle University of Thessaloniki</v>
          </cell>
          <cell r="C2418" t="str">
            <v>Greece</v>
          </cell>
          <cell r="D2418" t="str">
            <v>601-800</v>
          </cell>
          <cell r="E2418">
            <v>36.6</v>
          </cell>
          <cell r="F2418">
            <v>15</v>
          </cell>
          <cell r="G2418">
            <v>29.5</v>
          </cell>
          <cell r="H2418">
            <v>33.6</v>
          </cell>
          <cell r="I2418" t="str">
            <v>-</v>
          </cell>
          <cell r="J2418">
            <v>46288</v>
          </cell>
          <cell r="K2418">
            <v>22.2</v>
          </cell>
          <cell r="L2418">
            <v>0.09</v>
          </cell>
          <cell r="M2418">
            <v>2.2000000000000002</v>
          </cell>
          <cell r="N2418">
            <v>2016</v>
          </cell>
          <cell r="O2418">
            <v>478</v>
          </cell>
          <cell r="P2418">
            <v>2</v>
          </cell>
        </row>
        <row r="2419">
          <cell r="B2419" t="str">
            <v>Asia University, Taiwan</v>
          </cell>
          <cell r="C2419" t="str">
            <v>Taiwan</v>
          </cell>
          <cell r="D2419" t="str">
            <v>601-800</v>
          </cell>
          <cell r="E2419">
            <v>18.3</v>
          </cell>
          <cell r="F2419">
            <v>15.9</v>
          </cell>
          <cell r="G2419">
            <v>30.5</v>
          </cell>
          <cell r="H2419">
            <v>38.4</v>
          </cell>
          <cell r="I2419" t="str">
            <v>-</v>
          </cell>
          <cell r="J2419">
            <v>12119</v>
          </cell>
          <cell r="K2419">
            <v>26.3</v>
          </cell>
          <cell r="L2419">
            <v>0.03</v>
          </cell>
          <cell r="M2419">
            <v>2.2409722222222221</v>
          </cell>
          <cell r="N2419">
            <v>2016</v>
          </cell>
          <cell r="O2419" t="e">
            <v>#N/A</v>
          </cell>
          <cell r="P2419" t="e">
            <v>#N/A</v>
          </cell>
        </row>
        <row r="2420">
          <cell r="B2420" t="str">
            <v>Athens University of Economics and Business</v>
          </cell>
          <cell r="C2420" t="str">
            <v>Greece</v>
          </cell>
          <cell r="D2420" t="str">
            <v>601-800</v>
          </cell>
          <cell r="E2420">
            <v>39.200000000000003</v>
          </cell>
          <cell r="F2420">
            <v>18.8</v>
          </cell>
          <cell r="G2420">
            <v>31.2</v>
          </cell>
          <cell r="H2420">
            <v>66.5</v>
          </cell>
          <cell r="I2420" t="str">
            <v>-</v>
          </cell>
          <cell r="J2420">
            <v>13167</v>
          </cell>
          <cell r="K2420">
            <v>57.5</v>
          </cell>
          <cell r="L2420">
            <v>0.06</v>
          </cell>
          <cell r="M2420">
            <v>1.9951388888888888</v>
          </cell>
          <cell r="N2420">
            <v>2016</v>
          </cell>
          <cell r="O2420" t="e">
            <v>#N/A</v>
          </cell>
          <cell r="P2420" t="e">
            <v>#N/A</v>
          </cell>
        </row>
        <row r="2421">
          <cell r="B2421" t="str">
            <v>Auckland University of Technology</v>
          </cell>
          <cell r="C2421" t="str">
            <v>New Zealand</v>
          </cell>
          <cell r="D2421" t="str">
            <v>601-800</v>
          </cell>
          <cell r="E2421">
            <v>95.6</v>
          </cell>
          <cell r="F2421">
            <v>9.8000000000000007</v>
          </cell>
          <cell r="G2421">
            <v>21.7</v>
          </cell>
          <cell r="H2421">
            <v>28.5</v>
          </cell>
          <cell r="I2421" t="str">
            <v>-</v>
          </cell>
          <cell r="J2421">
            <v>18981</v>
          </cell>
          <cell r="K2421">
            <v>18.100000000000001</v>
          </cell>
          <cell r="L2421">
            <v>0.38</v>
          </cell>
          <cell r="M2421">
            <v>2.4458333333333333</v>
          </cell>
          <cell r="N2421">
            <v>2016</v>
          </cell>
          <cell r="O2421" t="e">
            <v>#N/A</v>
          </cell>
          <cell r="P2421" t="e">
            <v>#N/A</v>
          </cell>
        </row>
        <row r="2422">
          <cell r="B2422" t="str">
            <v>Austral University of Chile</v>
          </cell>
          <cell r="C2422" t="str">
            <v>Chile</v>
          </cell>
          <cell r="D2422" t="str">
            <v>601-800</v>
          </cell>
          <cell r="E2422">
            <v>45.2</v>
          </cell>
          <cell r="F2422">
            <v>9.6999999999999993</v>
          </cell>
          <cell r="G2422">
            <v>14.2</v>
          </cell>
          <cell r="H2422">
            <v>41.1</v>
          </cell>
          <cell r="I2422" t="str">
            <v>-</v>
          </cell>
          <cell r="J2422">
            <v>13794</v>
          </cell>
          <cell r="K2422">
            <v>17.8</v>
          </cell>
          <cell r="L2422">
            <v>0.01</v>
          </cell>
          <cell r="M2422">
            <v>1.9951388888888888</v>
          </cell>
          <cell r="N2422">
            <v>2016</v>
          </cell>
          <cell r="O2422" t="e">
            <v>#N/A</v>
          </cell>
          <cell r="P2422" t="e">
            <v>#N/A</v>
          </cell>
        </row>
        <row r="2423">
          <cell r="B2423" t="str">
            <v>Beijing Institute of Technology</v>
          </cell>
          <cell r="C2423" t="str">
            <v>China</v>
          </cell>
          <cell r="D2423" t="str">
            <v>601-800</v>
          </cell>
          <cell r="E2423">
            <v>16.899999999999999</v>
          </cell>
          <cell r="F2423">
            <v>21.7</v>
          </cell>
          <cell r="G2423">
            <v>9.1</v>
          </cell>
          <cell r="H2423">
            <v>87.6</v>
          </cell>
          <cell r="I2423" t="str">
            <v>-</v>
          </cell>
          <cell r="N2423">
            <v>2016</v>
          </cell>
          <cell r="O2423">
            <v>816</v>
          </cell>
          <cell r="P2423">
            <v>45</v>
          </cell>
        </row>
        <row r="2424">
          <cell r="B2424" t="str">
            <v>Belarusian State University</v>
          </cell>
          <cell r="C2424" t="str">
            <v>Belarus</v>
          </cell>
          <cell r="D2424" t="str">
            <v>601-800</v>
          </cell>
          <cell r="E2424">
            <v>48.2</v>
          </cell>
          <cell r="F2424">
            <v>8.6999999999999993</v>
          </cell>
          <cell r="G2424">
            <v>6</v>
          </cell>
          <cell r="H2424">
            <v>28</v>
          </cell>
          <cell r="I2424" t="str">
            <v>-</v>
          </cell>
          <cell r="J2424">
            <v>29303</v>
          </cell>
          <cell r="K2424">
            <v>10.6</v>
          </cell>
          <cell r="L2424">
            <v>0.06</v>
          </cell>
          <cell r="M2424">
            <v>2.8965277777777776</v>
          </cell>
          <cell r="N2424">
            <v>2016</v>
          </cell>
          <cell r="O2424" t="e">
            <v>#N/A</v>
          </cell>
          <cell r="P2424" t="e">
            <v>#N/A</v>
          </cell>
        </row>
        <row r="2425">
          <cell r="B2425" t="str">
            <v>University of Belgrade</v>
          </cell>
          <cell r="C2425" t="str">
            <v>Serbia</v>
          </cell>
          <cell r="D2425" t="str">
            <v>601-800</v>
          </cell>
          <cell r="E2425">
            <v>30.5</v>
          </cell>
          <cell r="F2425">
            <v>13.2</v>
          </cell>
          <cell r="G2425">
            <v>14</v>
          </cell>
          <cell r="H2425">
            <v>45.6</v>
          </cell>
          <cell r="I2425" t="str">
            <v>-</v>
          </cell>
          <cell r="J2425">
            <v>96968</v>
          </cell>
          <cell r="K2425">
            <v>28.3</v>
          </cell>
          <cell r="L2425">
            <v>0.05</v>
          </cell>
          <cell r="M2425">
            <v>2.5277777777777777</v>
          </cell>
          <cell r="N2425">
            <v>2016</v>
          </cell>
          <cell r="O2425">
            <v>809</v>
          </cell>
          <cell r="P2425">
            <v>1</v>
          </cell>
        </row>
        <row r="2426">
          <cell r="B2426" t="str">
            <v>Birla Institute of Technology and Science, Pilani</v>
          </cell>
          <cell r="C2426" t="str">
            <v>India</v>
          </cell>
          <cell r="D2426" t="str">
            <v>601-800</v>
          </cell>
          <cell r="E2426">
            <v>13.7</v>
          </cell>
          <cell r="F2426">
            <v>8.3000000000000007</v>
          </cell>
          <cell r="G2426">
            <v>17.399999999999999</v>
          </cell>
          <cell r="H2426">
            <v>29.6</v>
          </cell>
          <cell r="I2426" t="str">
            <v>-</v>
          </cell>
          <cell r="J2426">
            <v>11837</v>
          </cell>
          <cell r="K2426">
            <v>19.5</v>
          </cell>
          <cell r="L2426">
            <v>0</v>
          </cell>
          <cell r="M2426">
            <v>0.97083333333333333</v>
          </cell>
          <cell r="N2426">
            <v>2016</v>
          </cell>
          <cell r="O2426" t="e">
            <v>#N/A</v>
          </cell>
          <cell r="P2426" t="e">
            <v>#N/A</v>
          </cell>
        </row>
        <row r="2427">
          <cell r="B2427" t="str">
            <v>University of Bradford</v>
          </cell>
          <cell r="C2427" t="str">
            <v>United Kingdom</v>
          </cell>
          <cell r="D2427" t="str">
            <v>601-800</v>
          </cell>
          <cell r="E2427">
            <v>79.099999999999994</v>
          </cell>
          <cell r="F2427">
            <v>15.9</v>
          </cell>
          <cell r="G2427">
            <v>22.7</v>
          </cell>
          <cell r="H2427">
            <v>32.700000000000003</v>
          </cell>
          <cell r="I2427" t="str">
            <v>-</v>
          </cell>
          <cell r="J2427">
            <v>11065</v>
          </cell>
          <cell r="K2427">
            <v>20.5</v>
          </cell>
          <cell r="L2427">
            <v>0.32</v>
          </cell>
          <cell r="M2427">
            <v>2.2409722222222221</v>
          </cell>
          <cell r="N2427">
            <v>2016</v>
          </cell>
          <cell r="O2427">
            <v>806</v>
          </cell>
          <cell r="P2427">
            <v>60</v>
          </cell>
        </row>
        <row r="2428">
          <cell r="B2428" t="str">
            <v>University of BrasÃ­lia</v>
          </cell>
          <cell r="C2428" t="str">
            <v>Brazil</v>
          </cell>
          <cell r="D2428" t="str">
            <v>601-800</v>
          </cell>
          <cell r="E2428">
            <v>24.1</v>
          </cell>
          <cell r="F2428">
            <v>7.4</v>
          </cell>
          <cell r="G2428">
            <v>10.4</v>
          </cell>
          <cell r="H2428" t="str">
            <v>-</v>
          </cell>
          <cell r="I2428" t="str">
            <v>-</v>
          </cell>
          <cell r="J2428">
            <v>45880</v>
          </cell>
          <cell r="K2428">
            <v>14.5</v>
          </cell>
          <cell r="L2428">
            <v>0.02</v>
          </cell>
          <cell r="M2428">
            <v>2.2000000000000002</v>
          </cell>
          <cell r="N2428">
            <v>2016</v>
          </cell>
          <cell r="O2428">
            <v>894</v>
          </cell>
          <cell r="P2428">
            <v>10</v>
          </cell>
        </row>
        <row r="2429">
          <cell r="B2429" t="str">
            <v>University of Brighton</v>
          </cell>
          <cell r="C2429" t="str">
            <v>United Kingdom</v>
          </cell>
          <cell r="D2429" t="str">
            <v>601-800</v>
          </cell>
          <cell r="E2429">
            <v>62.8</v>
          </cell>
          <cell r="F2429">
            <v>10.7</v>
          </cell>
          <cell r="G2429">
            <v>20.100000000000001</v>
          </cell>
          <cell r="H2429">
            <v>29.4</v>
          </cell>
          <cell r="I2429" t="str">
            <v>-</v>
          </cell>
          <cell r="J2429">
            <v>16924</v>
          </cell>
          <cell r="K2429">
            <v>19.5</v>
          </cell>
          <cell r="L2429">
            <v>0.19</v>
          </cell>
          <cell r="M2429">
            <v>2.4458333333333333</v>
          </cell>
          <cell r="N2429">
            <v>2016</v>
          </cell>
          <cell r="O2429">
            <v>825</v>
          </cell>
          <cell r="P2429">
            <v>63</v>
          </cell>
        </row>
        <row r="2430">
          <cell r="B2430" t="str">
            <v>University of Bucharest</v>
          </cell>
          <cell r="C2430" t="str">
            <v>Romania</v>
          </cell>
          <cell r="D2430" t="str">
            <v>601-800</v>
          </cell>
          <cell r="E2430">
            <v>21.3</v>
          </cell>
          <cell r="F2430">
            <v>11.5</v>
          </cell>
          <cell r="G2430">
            <v>9.9</v>
          </cell>
          <cell r="H2430">
            <v>29.5</v>
          </cell>
          <cell r="I2430" t="str">
            <v>-</v>
          </cell>
          <cell r="J2430">
            <v>31806</v>
          </cell>
          <cell r="K2430">
            <v>24.9</v>
          </cell>
          <cell r="L2430">
            <v>0.02</v>
          </cell>
          <cell r="M2430">
            <v>2.9375</v>
          </cell>
          <cell r="N2430">
            <v>2016</v>
          </cell>
          <cell r="O2430">
            <v>957</v>
          </cell>
          <cell r="P2430">
            <v>1</v>
          </cell>
        </row>
        <row r="2431">
          <cell r="B2431" t="str">
            <v>Budapest University of Technology and Economics</v>
          </cell>
          <cell r="C2431" t="str">
            <v>Hungary</v>
          </cell>
          <cell r="D2431" t="str">
            <v>601-800</v>
          </cell>
          <cell r="E2431">
            <v>30.4</v>
          </cell>
          <cell r="F2431">
            <v>13.7</v>
          </cell>
          <cell r="G2431">
            <v>21.6</v>
          </cell>
          <cell r="H2431">
            <v>39.700000000000003</v>
          </cell>
          <cell r="I2431" t="str">
            <v>-</v>
          </cell>
          <cell r="J2431">
            <v>22447</v>
          </cell>
          <cell r="K2431">
            <v>22.1</v>
          </cell>
          <cell r="L2431">
            <v>0.04</v>
          </cell>
          <cell r="M2431" t="str">
            <v>32 : 68</v>
          </cell>
          <cell r="N2431">
            <v>2016</v>
          </cell>
          <cell r="O2431">
            <v>811</v>
          </cell>
          <cell r="P2431">
            <v>5</v>
          </cell>
        </row>
        <row r="2432">
          <cell r="B2432" t="str">
            <v>Cairo University</v>
          </cell>
          <cell r="C2432" t="str">
            <v>Egypt</v>
          </cell>
          <cell r="D2432" t="str">
            <v>601-800</v>
          </cell>
          <cell r="E2432">
            <v>31</v>
          </cell>
          <cell r="F2432">
            <v>11.1</v>
          </cell>
          <cell r="G2432">
            <v>11.9</v>
          </cell>
          <cell r="H2432">
            <v>30.3</v>
          </cell>
          <cell r="I2432" t="str">
            <v>-</v>
          </cell>
          <cell r="J2432">
            <v>231941</v>
          </cell>
          <cell r="K2432">
            <v>39.1</v>
          </cell>
          <cell r="L2432">
            <v>0.03</v>
          </cell>
          <cell r="M2432">
            <v>1.9951388888888888</v>
          </cell>
          <cell r="N2432">
            <v>2016</v>
          </cell>
          <cell r="O2432">
            <v>802</v>
          </cell>
          <cell r="P2432">
            <v>1</v>
          </cell>
        </row>
        <row r="2433">
          <cell r="B2433" t="str">
            <v>University of Calcutta</v>
          </cell>
          <cell r="C2433" t="str">
            <v>India</v>
          </cell>
          <cell r="D2433" t="str">
            <v>601-800</v>
          </cell>
          <cell r="E2433">
            <v>13.1</v>
          </cell>
          <cell r="F2433">
            <v>8.6999999999999993</v>
          </cell>
          <cell r="G2433">
            <v>19.8</v>
          </cell>
          <cell r="H2433">
            <v>29.2</v>
          </cell>
          <cell r="I2433" t="str">
            <v>-</v>
          </cell>
          <cell r="J2433">
            <v>18511</v>
          </cell>
          <cell r="K2433">
            <v>32.5</v>
          </cell>
          <cell r="L2433">
            <v>0</v>
          </cell>
          <cell r="N2433">
            <v>2016</v>
          </cell>
          <cell r="O2433">
            <v>891</v>
          </cell>
          <cell r="P2433">
            <v>14</v>
          </cell>
        </row>
        <row r="2434">
          <cell r="B2434" t="str">
            <v>California State University, Long Beach</v>
          </cell>
          <cell r="C2434" t="str">
            <v>United States of America</v>
          </cell>
          <cell r="D2434" t="str">
            <v>601-800</v>
          </cell>
          <cell r="E2434">
            <v>18.899999999999999</v>
          </cell>
          <cell r="F2434">
            <v>10.4</v>
          </cell>
          <cell r="G2434">
            <v>23.3</v>
          </cell>
          <cell r="H2434" t="str">
            <v>-</v>
          </cell>
          <cell r="I2434" t="str">
            <v>-</v>
          </cell>
          <cell r="J2434">
            <v>29594</v>
          </cell>
          <cell r="K2434">
            <v>32.299999999999997</v>
          </cell>
          <cell r="L2434">
            <v>0.05</v>
          </cell>
          <cell r="M2434">
            <v>2.4458333333333333</v>
          </cell>
          <cell r="N2434">
            <v>2016</v>
          </cell>
          <cell r="O2434" t="e">
            <v>#N/A</v>
          </cell>
          <cell r="P2434" t="e">
            <v>#N/A</v>
          </cell>
        </row>
        <row r="2435">
          <cell r="B2435" t="str">
            <v>Capital Medical University</v>
          </cell>
          <cell r="C2435" t="str">
            <v>China</v>
          </cell>
          <cell r="D2435" t="str">
            <v>601-800</v>
          </cell>
          <cell r="E2435">
            <v>18.8</v>
          </cell>
          <cell r="F2435">
            <v>14.9</v>
          </cell>
          <cell r="G2435">
            <v>16.3</v>
          </cell>
          <cell r="H2435">
            <v>28.8</v>
          </cell>
          <cell r="I2435" t="str">
            <v>-</v>
          </cell>
          <cell r="J2435">
            <v>11506</v>
          </cell>
          <cell r="K2435">
            <v>7.1</v>
          </cell>
          <cell r="L2435">
            <v>0.03</v>
          </cell>
          <cell r="M2435">
            <v>2.9375</v>
          </cell>
          <cell r="N2435">
            <v>2016</v>
          </cell>
          <cell r="O2435">
            <v>824</v>
          </cell>
          <cell r="P2435">
            <v>47</v>
          </cell>
        </row>
        <row r="2436">
          <cell r="B2436" t="str">
            <v>University of Castilla-La Mancha</v>
          </cell>
          <cell r="C2436" t="str">
            <v>Spain</v>
          </cell>
          <cell r="D2436" t="str">
            <v>601-800</v>
          </cell>
          <cell r="E2436">
            <v>28.6</v>
          </cell>
          <cell r="F2436">
            <v>10.3</v>
          </cell>
          <cell r="G2436">
            <v>30.5</v>
          </cell>
          <cell r="H2436">
            <v>29.7</v>
          </cell>
          <cell r="I2436" t="str">
            <v>-</v>
          </cell>
          <cell r="J2436">
            <v>26381</v>
          </cell>
          <cell r="K2436">
            <v>14.3</v>
          </cell>
          <cell r="L2436">
            <v>0.03</v>
          </cell>
          <cell r="M2436">
            <v>2.3638888888888889</v>
          </cell>
          <cell r="N2436">
            <v>2016</v>
          </cell>
          <cell r="O2436" t="e">
            <v>#N/A</v>
          </cell>
          <cell r="P2436" t="e">
            <v>#N/A</v>
          </cell>
        </row>
        <row r="2437">
          <cell r="B2437" t="str">
            <v>University of Central Lancashire</v>
          </cell>
          <cell r="C2437" t="str">
            <v>United Kingdom</v>
          </cell>
          <cell r="D2437" t="str">
            <v>601-800</v>
          </cell>
          <cell r="E2437">
            <v>54.1</v>
          </cell>
          <cell r="F2437">
            <v>9.4</v>
          </cell>
          <cell r="G2437">
            <v>28.2</v>
          </cell>
          <cell r="H2437">
            <v>28.9</v>
          </cell>
          <cell r="I2437" t="str">
            <v>-</v>
          </cell>
          <cell r="J2437">
            <v>18542</v>
          </cell>
          <cell r="K2437">
            <v>17.5</v>
          </cell>
          <cell r="L2437">
            <v>0.17</v>
          </cell>
          <cell r="M2437">
            <v>2.4048611111111109</v>
          </cell>
          <cell r="N2437">
            <v>2016</v>
          </cell>
          <cell r="O2437">
            <v>938</v>
          </cell>
          <cell r="P2437">
            <v>65</v>
          </cell>
        </row>
        <row r="2438">
          <cell r="B2438" t="str">
            <v>University of Cergy-Pontoise</v>
          </cell>
          <cell r="C2438" t="str">
            <v>France</v>
          </cell>
          <cell r="D2438" t="str">
            <v>601-800</v>
          </cell>
          <cell r="E2438">
            <v>49.1</v>
          </cell>
          <cell r="F2438">
            <v>6.3</v>
          </cell>
          <cell r="G2438">
            <v>13.2</v>
          </cell>
          <cell r="H2438">
            <v>28.6</v>
          </cell>
          <cell r="I2438" t="str">
            <v>-</v>
          </cell>
          <cell r="J2438">
            <v>17000</v>
          </cell>
          <cell r="K2438">
            <v>9.1999999999999993</v>
          </cell>
          <cell r="L2438">
            <v>0.11</v>
          </cell>
          <cell r="M2438">
            <v>2.2409722222222221</v>
          </cell>
          <cell r="N2438">
            <v>2016</v>
          </cell>
          <cell r="O2438" t="e">
            <v>#N/A</v>
          </cell>
          <cell r="P2438" t="e">
            <v>#N/A</v>
          </cell>
        </row>
        <row r="2439">
          <cell r="B2439" t="str">
            <v>Chang Gung University</v>
          </cell>
          <cell r="C2439" t="str">
            <v>Taiwan</v>
          </cell>
          <cell r="D2439" t="str">
            <v>601-800</v>
          </cell>
          <cell r="E2439">
            <v>15.7</v>
          </cell>
          <cell r="F2439">
            <v>24.7</v>
          </cell>
          <cell r="G2439">
            <v>27.6</v>
          </cell>
          <cell r="H2439">
            <v>31.9</v>
          </cell>
          <cell r="I2439" t="str">
            <v>-</v>
          </cell>
          <cell r="J2439">
            <v>7506</v>
          </cell>
          <cell r="K2439">
            <v>12.6</v>
          </cell>
          <cell r="L2439">
            <v>0</v>
          </cell>
          <cell r="M2439">
            <v>1.7902777777777779</v>
          </cell>
          <cell r="N2439">
            <v>2016</v>
          </cell>
          <cell r="O2439">
            <v>595</v>
          </cell>
          <cell r="P2439">
            <v>7</v>
          </cell>
        </row>
        <row r="2440">
          <cell r="B2440" t="str">
            <v>Carlos III University of Madrid</v>
          </cell>
          <cell r="C2440" t="str">
            <v>Spain</v>
          </cell>
          <cell r="D2440" t="str">
            <v>601-800</v>
          </cell>
          <cell r="E2440">
            <v>44.7</v>
          </cell>
          <cell r="F2440">
            <v>17.399999999999999</v>
          </cell>
          <cell r="G2440">
            <v>24.8</v>
          </cell>
          <cell r="H2440">
            <v>34.799999999999997</v>
          </cell>
          <cell r="I2440" t="str">
            <v>-</v>
          </cell>
          <cell r="J2440">
            <v>15730</v>
          </cell>
          <cell r="K2440">
            <v>11.4</v>
          </cell>
          <cell r="L2440">
            <v>0.09</v>
          </cell>
          <cell r="M2440">
            <v>1.83125</v>
          </cell>
          <cell r="N2440">
            <v>2016</v>
          </cell>
          <cell r="O2440">
            <v>915</v>
          </cell>
          <cell r="P2440">
            <v>37</v>
          </cell>
        </row>
        <row r="2441">
          <cell r="B2441" t="str">
            <v>University of Chemistry and Technology, Prague</v>
          </cell>
          <cell r="C2441" t="str">
            <v>Czech Republic</v>
          </cell>
          <cell r="D2441" t="str">
            <v>601-800</v>
          </cell>
          <cell r="E2441">
            <v>46.3</v>
          </cell>
          <cell r="F2441">
            <v>12</v>
          </cell>
          <cell r="G2441">
            <v>17.399999999999999</v>
          </cell>
          <cell r="H2441">
            <v>38.9</v>
          </cell>
          <cell r="I2441" t="str">
            <v>-</v>
          </cell>
          <cell r="J2441">
            <v>4699</v>
          </cell>
          <cell r="K2441">
            <v>11</v>
          </cell>
          <cell r="L2441">
            <v>0.19</v>
          </cell>
          <cell r="N2441">
            <v>2016</v>
          </cell>
          <cell r="O2441">
            <v>963</v>
          </cell>
          <cell r="P2441">
            <v>5</v>
          </cell>
        </row>
        <row r="2442">
          <cell r="B2442" t="str">
            <v>Chiang Mai University</v>
          </cell>
          <cell r="C2442" t="str">
            <v>Thailand</v>
          </cell>
          <cell r="D2442" t="str">
            <v>601-800</v>
          </cell>
          <cell r="E2442">
            <v>34.9</v>
          </cell>
          <cell r="F2442">
            <v>9.4</v>
          </cell>
          <cell r="G2442">
            <v>30</v>
          </cell>
          <cell r="H2442">
            <v>32.299999999999997</v>
          </cell>
          <cell r="I2442" t="str">
            <v>-</v>
          </cell>
          <cell r="J2442">
            <v>35617</v>
          </cell>
          <cell r="K2442">
            <v>16.5</v>
          </cell>
          <cell r="L2442">
            <v>0.01</v>
          </cell>
          <cell r="M2442">
            <v>0.84791666666666665</v>
          </cell>
          <cell r="N2442">
            <v>2016</v>
          </cell>
          <cell r="O2442">
            <v>871</v>
          </cell>
          <cell r="P2442">
            <v>3</v>
          </cell>
        </row>
        <row r="2443">
          <cell r="B2443" t="str">
            <v>Chiba University</v>
          </cell>
          <cell r="C2443" t="str">
            <v>Japan</v>
          </cell>
          <cell r="D2443" t="str">
            <v>601-800</v>
          </cell>
          <cell r="E2443">
            <v>21</v>
          </cell>
          <cell r="F2443">
            <v>16.8</v>
          </cell>
          <cell r="G2443">
            <v>24.8</v>
          </cell>
          <cell r="H2443">
            <v>55.3</v>
          </cell>
          <cell r="I2443" t="str">
            <v>-</v>
          </cell>
          <cell r="J2443">
            <v>14554</v>
          </cell>
          <cell r="K2443">
            <v>12.3</v>
          </cell>
          <cell r="L2443">
            <v>0.05</v>
          </cell>
          <cell r="M2443" t="str">
            <v>37 : 63</v>
          </cell>
          <cell r="N2443">
            <v>2016</v>
          </cell>
          <cell r="O2443">
            <v>386</v>
          </cell>
          <cell r="P2443">
            <v>18</v>
          </cell>
        </row>
        <row r="2444">
          <cell r="B2444" t="str">
            <v>China University of Geosciences (Wuhan)</v>
          </cell>
          <cell r="C2444" t="str">
            <v>China</v>
          </cell>
          <cell r="D2444" t="str">
            <v>601-800</v>
          </cell>
          <cell r="E2444">
            <v>16.100000000000001</v>
          </cell>
          <cell r="F2444">
            <v>21.4</v>
          </cell>
          <cell r="G2444">
            <v>21.5</v>
          </cell>
          <cell r="H2444">
            <v>64.5</v>
          </cell>
          <cell r="I2444" t="str">
            <v>-</v>
          </cell>
          <cell r="J2444">
            <v>29483</v>
          </cell>
          <cell r="K2444">
            <v>20.7</v>
          </cell>
          <cell r="L2444">
            <v>0.03</v>
          </cell>
          <cell r="N2444">
            <v>2016</v>
          </cell>
          <cell r="O2444">
            <v>904</v>
          </cell>
          <cell r="P2444">
            <v>63</v>
          </cell>
        </row>
        <row r="2445">
          <cell r="B2445" t="str">
            <v>China University of Petroleum (Beijing)</v>
          </cell>
          <cell r="C2445" t="str">
            <v>China</v>
          </cell>
          <cell r="D2445" t="str">
            <v>601-800</v>
          </cell>
          <cell r="E2445">
            <v>15.9</v>
          </cell>
          <cell r="F2445">
            <v>26.6</v>
          </cell>
          <cell r="G2445">
            <v>4</v>
          </cell>
          <cell r="H2445">
            <v>100</v>
          </cell>
          <cell r="I2445" t="str">
            <v>-</v>
          </cell>
          <cell r="J2445">
            <v>14579</v>
          </cell>
          <cell r="K2445">
            <v>19.399999999999999</v>
          </cell>
          <cell r="L2445">
            <v>0.06</v>
          </cell>
          <cell r="N2445">
            <v>2016</v>
          </cell>
          <cell r="O2445" t="e">
            <v>#N/A</v>
          </cell>
          <cell r="P2445" t="e">
            <v>#N/A</v>
          </cell>
        </row>
        <row r="2446">
          <cell r="B2446" t="str">
            <v>Chonbuk National University</v>
          </cell>
          <cell r="C2446" t="str">
            <v>South Korea</v>
          </cell>
          <cell r="D2446" t="str">
            <v>601-800</v>
          </cell>
          <cell r="E2446">
            <v>27.2</v>
          </cell>
          <cell r="F2446">
            <v>14.7</v>
          </cell>
          <cell r="G2446">
            <v>24.5</v>
          </cell>
          <cell r="H2446">
            <v>33.299999999999997</v>
          </cell>
          <cell r="I2446" t="str">
            <v>-</v>
          </cell>
          <cell r="J2446">
            <v>23270</v>
          </cell>
          <cell r="K2446">
            <v>15</v>
          </cell>
          <cell r="L2446">
            <v>0.03</v>
          </cell>
          <cell r="M2446">
            <v>1.9131944444444444</v>
          </cell>
          <cell r="N2446">
            <v>2016</v>
          </cell>
          <cell r="O2446">
            <v>406</v>
          </cell>
          <cell r="P2446">
            <v>13</v>
          </cell>
        </row>
        <row r="2447">
          <cell r="B2447" t="str">
            <v>Chongqing University</v>
          </cell>
          <cell r="C2447" t="str">
            <v>China</v>
          </cell>
          <cell r="D2447" t="str">
            <v>601-800</v>
          </cell>
          <cell r="E2447">
            <v>15.5</v>
          </cell>
          <cell r="F2447">
            <v>15.5</v>
          </cell>
          <cell r="G2447">
            <v>8.6999999999999993</v>
          </cell>
          <cell r="H2447">
            <v>73.8</v>
          </cell>
          <cell r="I2447" t="str">
            <v>-</v>
          </cell>
          <cell r="J2447">
            <v>43955</v>
          </cell>
          <cell r="K2447">
            <v>16</v>
          </cell>
          <cell r="L2447">
            <v>0.03</v>
          </cell>
          <cell r="N2447">
            <v>2016</v>
          </cell>
          <cell r="O2447">
            <v>815</v>
          </cell>
          <cell r="P2447">
            <v>44</v>
          </cell>
        </row>
        <row r="2448">
          <cell r="B2448" t="str">
            <v>Chonnam National University</v>
          </cell>
          <cell r="C2448" t="str">
            <v>South Korea</v>
          </cell>
          <cell r="D2448" t="str">
            <v>601-800</v>
          </cell>
          <cell r="E2448">
            <v>20.399999999999999</v>
          </cell>
          <cell r="F2448">
            <v>11.7</v>
          </cell>
          <cell r="G2448">
            <v>29.1</v>
          </cell>
          <cell r="H2448">
            <v>31.4</v>
          </cell>
          <cell r="I2448" t="str">
            <v>-</v>
          </cell>
          <cell r="J2448">
            <v>35779</v>
          </cell>
          <cell r="K2448">
            <v>18.5</v>
          </cell>
          <cell r="L2448">
            <v>0.03</v>
          </cell>
          <cell r="M2448">
            <v>1.7493055555555554</v>
          </cell>
          <cell r="N2448">
            <v>2016</v>
          </cell>
          <cell r="O2448">
            <v>400</v>
          </cell>
          <cell r="P2448">
            <v>12</v>
          </cell>
        </row>
        <row r="2449">
          <cell r="B2449" t="str">
            <v>Chulalongkorn University</v>
          </cell>
          <cell r="C2449" t="str">
            <v>Thailand</v>
          </cell>
          <cell r="D2449" t="str">
            <v>601-800</v>
          </cell>
          <cell r="E2449">
            <v>32.799999999999997</v>
          </cell>
          <cell r="F2449">
            <v>14.1</v>
          </cell>
          <cell r="G2449">
            <v>16.7</v>
          </cell>
          <cell r="H2449">
            <v>37.799999999999997</v>
          </cell>
          <cell r="I2449" t="str">
            <v>-</v>
          </cell>
          <cell r="J2449">
            <v>38719</v>
          </cell>
          <cell r="K2449">
            <v>14.5</v>
          </cell>
          <cell r="L2449">
            <v>0.02</v>
          </cell>
          <cell r="M2449">
            <v>2.4868055555555557</v>
          </cell>
          <cell r="N2449">
            <v>2016</v>
          </cell>
          <cell r="O2449">
            <v>283</v>
          </cell>
          <cell r="P2449">
            <v>1</v>
          </cell>
        </row>
        <row r="2450">
          <cell r="B2450" t="str">
            <v>Chung Yuan Christian University</v>
          </cell>
          <cell r="C2450" t="str">
            <v>Taiwan</v>
          </cell>
          <cell r="D2450" t="str">
            <v>601-800</v>
          </cell>
          <cell r="E2450">
            <v>18.7</v>
          </cell>
          <cell r="F2450">
            <v>22.1</v>
          </cell>
          <cell r="G2450">
            <v>17.399999999999999</v>
          </cell>
          <cell r="H2450">
            <v>41.9</v>
          </cell>
          <cell r="I2450" t="str">
            <v>-</v>
          </cell>
          <cell r="J2450">
            <v>15020</v>
          </cell>
          <cell r="K2450">
            <v>30.2</v>
          </cell>
          <cell r="L2450">
            <v>0.03</v>
          </cell>
          <cell r="M2450">
            <v>1.7493055555555554</v>
          </cell>
          <cell r="N2450">
            <v>2016</v>
          </cell>
          <cell r="O2450">
            <v>696</v>
          </cell>
          <cell r="P2450">
            <v>9</v>
          </cell>
        </row>
        <row r="2451">
          <cell r="B2451" t="str">
            <v>Chungnam National University</v>
          </cell>
          <cell r="C2451" t="str">
            <v>South Korea</v>
          </cell>
          <cell r="D2451" t="str">
            <v>601-800</v>
          </cell>
          <cell r="E2451">
            <v>19.8</v>
          </cell>
          <cell r="F2451">
            <v>17.7</v>
          </cell>
          <cell r="G2451">
            <v>13.2</v>
          </cell>
          <cell r="H2451">
            <v>39.9</v>
          </cell>
          <cell r="I2451" t="str">
            <v>-</v>
          </cell>
          <cell r="J2451">
            <v>18361</v>
          </cell>
          <cell r="K2451">
            <v>17.2</v>
          </cell>
          <cell r="L2451">
            <v>0.03</v>
          </cell>
          <cell r="N2451">
            <v>2016</v>
          </cell>
          <cell r="O2451">
            <v>619</v>
          </cell>
          <cell r="P2451">
            <v>23</v>
          </cell>
        </row>
        <row r="2452">
          <cell r="B2452" t="str">
            <v>Clemson University</v>
          </cell>
          <cell r="C2452" t="str">
            <v>United States of America</v>
          </cell>
          <cell r="D2452" t="str">
            <v>601-800</v>
          </cell>
          <cell r="E2452">
            <v>34.6</v>
          </cell>
          <cell r="F2452">
            <v>19.7</v>
          </cell>
          <cell r="G2452">
            <v>27</v>
          </cell>
          <cell r="H2452">
            <v>35.799999999999997</v>
          </cell>
          <cell r="I2452" t="str">
            <v>-</v>
          </cell>
          <cell r="J2452">
            <v>19198</v>
          </cell>
          <cell r="K2452">
            <v>17.100000000000001</v>
          </cell>
          <cell r="L2452">
            <v>0.08</v>
          </cell>
          <cell r="M2452">
            <v>1.9541666666666666</v>
          </cell>
          <cell r="N2452">
            <v>2016</v>
          </cell>
          <cell r="O2452">
            <v>510</v>
          </cell>
          <cell r="P2452">
            <v>163</v>
          </cell>
        </row>
        <row r="2453">
          <cell r="B2453" t="str">
            <v>Comenius University in Bratislava</v>
          </cell>
          <cell r="C2453" t="str">
            <v>Slovakia</v>
          </cell>
          <cell r="D2453" t="str">
            <v>601-800</v>
          </cell>
          <cell r="E2453">
            <v>46.9</v>
          </cell>
          <cell r="F2453">
            <v>10.3</v>
          </cell>
          <cell r="G2453">
            <v>19.600000000000001</v>
          </cell>
          <cell r="H2453">
            <v>28</v>
          </cell>
          <cell r="I2453" t="str">
            <v>-</v>
          </cell>
          <cell r="J2453">
            <v>20879</v>
          </cell>
          <cell r="K2453">
            <v>9.6999999999999993</v>
          </cell>
          <cell r="L2453">
            <v>0.1</v>
          </cell>
          <cell r="M2453">
            <v>2.2819444444444446</v>
          </cell>
          <cell r="N2453">
            <v>2016</v>
          </cell>
          <cell r="O2453">
            <v>732</v>
          </cell>
          <cell r="P2453">
            <v>1</v>
          </cell>
        </row>
        <row r="2454">
          <cell r="B2454" t="str">
            <v>Coventry University</v>
          </cell>
          <cell r="C2454" t="str">
            <v>United Kingdom</v>
          </cell>
          <cell r="D2454" t="str">
            <v>601-800</v>
          </cell>
          <cell r="E2454">
            <v>69.599999999999994</v>
          </cell>
          <cell r="F2454">
            <v>7.7</v>
          </cell>
          <cell r="G2454">
            <v>18.399999999999999</v>
          </cell>
          <cell r="H2454">
            <v>29.1</v>
          </cell>
          <cell r="I2454" t="str">
            <v>-</v>
          </cell>
          <cell r="J2454">
            <v>21934</v>
          </cell>
          <cell r="K2454">
            <v>14.8</v>
          </cell>
          <cell r="L2454">
            <v>0.35</v>
          </cell>
          <cell r="M2454">
            <v>1.9951388888888888</v>
          </cell>
          <cell r="N2454">
            <v>2016</v>
          </cell>
          <cell r="O2454" t="e">
            <v>#N/A</v>
          </cell>
          <cell r="P2454" t="e">
            <v>#N/A</v>
          </cell>
        </row>
        <row r="2455">
          <cell r="B2455" t="str">
            <v>Dalian University of Technology</v>
          </cell>
          <cell r="C2455" t="str">
            <v>China</v>
          </cell>
          <cell r="D2455" t="str">
            <v>601-800</v>
          </cell>
          <cell r="E2455">
            <v>20.7</v>
          </cell>
          <cell r="F2455">
            <v>19</v>
          </cell>
          <cell r="G2455">
            <v>23.5</v>
          </cell>
          <cell r="H2455">
            <v>93.3</v>
          </cell>
          <cell r="I2455" t="str">
            <v>-</v>
          </cell>
          <cell r="J2455">
            <v>34326</v>
          </cell>
          <cell r="K2455">
            <v>15.2</v>
          </cell>
          <cell r="L2455">
            <v>0.02</v>
          </cell>
          <cell r="M2455" t="str">
            <v>33 : 67</v>
          </cell>
          <cell r="N2455">
            <v>2016</v>
          </cell>
          <cell r="O2455">
            <v>242</v>
          </cell>
          <cell r="P2455">
            <v>7</v>
          </cell>
        </row>
        <row r="2456">
          <cell r="B2456" t="str">
            <v>University of Debrecen</v>
          </cell>
          <cell r="C2456" t="str">
            <v>Hungary</v>
          </cell>
          <cell r="D2456" t="str">
            <v>601-800</v>
          </cell>
          <cell r="E2456">
            <v>49</v>
          </cell>
          <cell r="F2456">
            <v>11.4</v>
          </cell>
          <cell r="G2456">
            <v>20.9</v>
          </cell>
          <cell r="H2456" t="str">
            <v>-</v>
          </cell>
          <cell r="I2456" t="str">
            <v>-</v>
          </cell>
          <cell r="J2456">
            <v>29714</v>
          </cell>
          <cell r="K2456">
            <v>20.3</v>
          </cell>
          <cell r="L2456">
            <v>0.13</v>
          </cell>
          <cell r="M2456">
            <v>2.4048611111111109</v>
          </cell>
          <cell r="N2456">
            <v>2016</v>
          </cell>
          <cell r="O2456">
            <v>673</v>
          </cell>
          <cell r="P2456">
            <v>3</v>
          </cell>
        </row>
        <row r="2457">
          <cell r="B2457" t="str">
            <v>University of Delhi</v>
          </cell>
          <cell r="C2457" t="str">
            <v>India</v>
          </cell>
          <cell r="D2457" t="str">
            <v>601-800</v>
          </cell>
          <cell r="E2457">
            <v>15.4</v>
          </cell>
          <cell r="F2457">
            <v>10.8</v>
          </cell>
          <cell r="G2457">
            <v>19.100000000000001</v>
          </cell>
          <cell r="H2457">
            <v>28.2</v>
          </cell>
          <cell r="I2457" t="str">
            <v>-</v>
          </cell>
          <cell r="J2457">
            <v>32567</v>
          </cell>
          <cell r="K2457">
            <v>22.9</v>
          </cell>
          <cell r="L2457">
            <v>0.01</v>
          </cell>
          <cell r="M2457">
            <v>2.1180555555555554</v>
          </cell>
          <cell r="N2457">
            <v>2016</v>
          </cell>
          <cell r="O2457">
            <v>436</v>
          </cell>
          <cell r="P2457">
            <v>2</v>
          </cell>
        </row>
        <row r="2458">
          <cell r="B2458" t="str">
            <v>University of Dhaka</v>
          </cell>
          <cell r="C2458" t="str">
            <v>Bangladesh</v>
          </cell>
          <cell r="D2458" t="str">
            <v>601-800</v>
          </cell>
          <cell r="E2458">
            <v>37.200000000000003</v>
          </cell>
          <cell r="F2458">
            <v>7.2</v>
          </cell>
          <cell r="G2458">
            <v>9.6</v>
          </cell>
          <cell r="H2458" t="str">
            <v>-</v>
          </cell>
          <cell r="I2458" t="str">
            <v>-</v>
          </cell>
          <cell r="J2458">
            <v>62716</v>
          </cell>
          <cell r="K2458">
            <v>6.9</v>
          </cell>
          <cell r="L2458">
            <v>0.05</v>
          </cell>
          <cell r="M2458" t="str">
            <v>34 : 66</v>
          </cell>
          <cell r="N2458">
            <v>2016</v>
          </cell>
          <cell r="O2458" t="e">
            <v>#N/A</v>
          </cell>
          <cell r="P2458" t="e">
            <v>#N/A</v>
          </cell>
        </row>
        <row r="2459">
          <cell r="B2459" t="str">
            <v>Dublin Institute of Technology</v>
          </cell>
          <cell r="C2459" t="str">
            <v>Republic of Ireland</v>
          </cell>
          <cell r="D2459" t="str">
            <v>601-800</v>
          </cell>
          <cell r="E2459">
            <v>70.5</v>
          </cell>
          <cell r="F2459">
            <v>8.8000000000000007</v>
          </cell>
          <cell r="G2459">
            <v>20.7</v>
          </cell>
          <cell r="H2459">
            <v>28.1</v>
          </cell>
          <cell r="I2459" t="str">
            <v>-</v>
          </cell>
          <cell r="J2459">
            <v>13839</v>
          </cell>
          <cell r="K2459">
            <v>18.899999999999999</v>
          </cell>
          <cell r="L2459">
            <v>0.25</v>
          </cell>
          <cell r="M2459">
            <v>1.7493055555555554</v>
          </cell>
          <cell r="N2459">
            <v>2016</v>
          </cell>
          <cell r="O2459" t="e">
            <v>#N/A</v>
          </cell>
          <cell r="P2459" t="e">
            <v>#N/A</v>
          </cell>
        </row>
        <row r="2460">
          <cell r="B2460" t="str">
            <v>Ehime University</v>
          </cell>
          <cell r="C2460" t="str">
            <v>Japan</v>
          </cell>
          <cell r="D2460" t="str">
            <v>601-800</v>
          </cell>
          <cell r="E2460">
            <v>20.9</v>
          </cell>
          <cell r="F2460">
            <v>11.3</v>
          </cell>
          <cell r="G2460">
            <v>17.5</v>
          </cell>
          <cell r="H2460">
            <v>37.799999999999997</v>
          </cell>
          <cell r="I2460" t="str">
            <v>-</v>
          </cell>
          <cell r="J2460">
            <v>8394</v>
          </cell>
          <cell r="K2460">
            <v>9.9</v>
          </cell>
          <cell r="L2460">
            <v>0.01</v>
          </cell>
          <cell r="M2460" t="str">
            <v>39 : 61</v>
          </cell>
          <cell r="N2460">
            <v>2016</v>
          </cell>
          <cell r="O2460">
            <v>581</v>
          </cell>
          <cell r="P2460">
            <v>36</v>
          </cell>
        </row>
        <row r="2461">
          <cell r="B2461" t="str">
            <v>University of Electronic Science and Technology of China</v>
          </cell>
          <cell r="C2461" t="str">
            <v>China</v>
          </cell>
          <cell r="D2461" t="str">
            <v>601-800</v>
          </cell>
          <cell r="E2461">
            <v>13.4</v>
          </cell>
          <cell r="F2461">
            <v>12.9</v>
          </cell>
          <cell r="G2461">
            <v>8.8000000000000007</v>
          </cell>
          <cell r="H2461">
            <v>28</v>
          </cell>
          <cell r="I2461" t="str">
            <v>-</v>
          </cell>
          <cell r="J2461">
            <v>21689</v>
          </cell>
          <cell r="K2461">
            <v>9.8000000000000007</v>
          </cell>
          <cell r="L2461">
            <v>0</v>
          </cell>
          <cell r="M2461">
            <v>0.92986111111111114</v>
          </cell>
          <cell r="N2461">
            <v>2016</v>
          </cell>
          <cell r="O2461">
            <v>790</v>
          </cell>
          <cell r="P2461">
            <v>43</v>
          </cell>
        </row>
        <row r="2462">
          <cell r="B2462" t="str">
            <v>EÃ¶tvÃ¶s LorÃ¡nd University</v>
          </cell>
          <cell r="C2462" t="str">
            <v>Hungary</v>
          </cell>
          <cell r="D2462" t="str">
            <v>601-800</v>
          </cell>
          <cell r="E2462">
            <v>43</v>
          </cell>
          <cell r="F2462">
            <v>12.1</v>
          </cell>
          <cell r="G2462">
            <v>30.6</v>
          </cell>
          <cell r="H2462">
            <v>29.3</v>
          </cell>
          <cell r="I2462" t="str">
            <v>-</v>
          </cell>
          <cell r="J2462">
            <v>28698</v>
          </cell>
          <cell r="K2462">
            <v>22.4</v>
          </cell>
          <cell r="L2462">
            <v>0.04</v>
          </cell>
          <cell r="N2462">
            <v>2016</v>
          </cell>
          <cell r="O2462">
            <v>371</v>
          </cell>
          <cell r="P2462">
            <v>1</v>
          </cell>
        </row>
        <row r="2463">
          <cell r="B2463" t="str">
            <v>Erciyes University</v>
          </cell>
          <cell r="C2463" t="str">
            <v>Turkey</v>
          </cell>
          <cell r="D2463" t="str">
            <v>601-800</v>
          </cell>
          <cell r="E2463">
            <v>17.2</v>
          </cell>
          <cell r="F2463">
            <v>10.9</v>
          </cell>
          <cell r="G2463">
            <v>18</v>
          </cell>
          <cell r="H2463">
            <v>30.3</v>
          </cell>
          <cell r="I2463" t="str">
            <v>-</v>
          </cell>
          <cell r="J2463">
            <v>28079</v>
          </cell>
          <cell r="K2463">
            <v>28</v>
          </cell>
          <cell r="L2463">
            <v>0.02</v>
          </cell>
          <cell r="M2463">
            <v>1.9541666666666666</v>
          </cell>
          <cell r="N2463">
            <v>2016</v>
          </cell>
          <cell r="O2463" t="e">
            <v>#N/A</v>
          </cell>
          <cell r="P2463" t="e">
            <v>#N/A</v>
          </cell>
        </row>
        <row r="2464">
          <cell r="B2464" t="str">
            <v>Federal University of Bahia</v>
          </cell>
          <cell r="C2464" t="str">
            <v>Brazil</v>
          </cell>
          <cell r="D2464" t="str">
            <v>601-800</v>
          </cell>
          <cell r="E2464">
            <v>19.7</v>
          </cell>
          <cell r="F2464">
            <v>8.1</v>
          </cell>
          <cell r="G2464">
            <v>14.3</v>
          </cell>
          <cell r="H2464" t="str">
            <v>-</v>
          </cell>
          <cell r="I2464" t="str">
            <v>-</v>
          </cell>
          <cell r="J2464">
            <v>39861</v>
          </cell>
          <cell r="K2464">
            <v>17.899999999999999</v>
          </cell>
          <cell r="L2464">
            <v>0.01</v>
          </cell>
          <cell r="M2464">
            <v>1.9951388888888888</v>
          </cell>
          <cell r="N2464">
            <v>2016</v>
          </cell>
          <cell r="O2464">
            <v>967</v>
          </cell>
          <cell r="P2464">
            <v>17</v>
          </cell>
        </row>
        <row r="2465">
          <cell r="B2465" t="str">
            <v>Federal University of Minas Gerais</v>
          </cell>
          <cell r="C2465" t="str">
            <v>Brazil</v>
          </cell>
          <cell r="D2465" t="str">
            <v>601-800</v>
          </cell>
          <cell r="E2465">
            <v>21.6</v>
          </cell>
          <cell r="F2465">
            <v>15.4</v>
          </cell>
          <cell r="G2465">
            <v>23.1</v>
          </cell>
          <cell r="H2465">
            <v>30.7</v>
          </cell>
          <cell r="I2465" t="str">
            <v>-</v>
          </cell>
          <cell r="J2465">
            <v>42612</v>
          </cell>
          <cell r="K2465">
            <v>13.5</v>
          </cell>
          <cell r="L2465">
            <v>0.01</v>
          </cell>
          <cell r="M2465">
            <v>2.3229166666666665</v>
          </cell>
          <cell r="N2465">
            <v>2016</v>
          </cell>
          <cell r="O2465">
            <v>496</v>
          </cell>
          <cell r="P2465">
            <v>4</v>
          </cell>
        </row>
        <row r="2466">
          <cell r="B2466" t="str">
            <v>Federal University of ParanÃ¡ (UFPR)</v>
          </cell>
          <cell r="C2466" t="str">
            <v>Brazil</v>
          </cell>
          <cell r="D2466" t="str">
            <v>601-800</v>
          </cell>
          <cell r="E2466">
            <v>15.5</v>
          </cell>
          <cell r="F2466">
            <v>9.6</v>
          </cell>
          <cell r="G2466">
            <v>7</v>
          </cell>
          <cell r="H2466" t="str">
            <v>-</v>
          </cell>
          <cell r="I2466" t="str">
            <v>-</v>
          </cell>
          <cell r="J2466">
            <v>21850</v>
          </cell>
          <cell r="K2466">
            <v>11.2</v>
          </cell>
          <cell r="L2466">
            <v>0.01</v>
          </cell>
          <cell r="N2466">
            <v>2016</v>
          </cell>
          <cell r="O2466" t="e">
            <v>#N/A</v>
          </cell>
          <cell r="P2466" t="e">
            <v>#N/A</v>
          </cell>
        </row>
        <row r="2467">
          <cell r="B2467" t="str">
            <v>Federal University of Rio Grande do Sul</v>
          </cell>
          <cell r="C2467" t="str">
            <v>Brazil</v>
          </cell>
          <cell r="D2467" t="str">
            <v>601-800</v>
          </cell>
          <cell r="E2467">
            <v>18.899999999999999</v>
          </cell>
          <cell r="F2467">
            <v>13.7</v>
          </cell>
          <cell r="G2467">
            <v>16.8</v>
          </cell>
          <cell r="H2467" t="str">
            <v>-</v>
          </cell>
          <cell r="I2467" t="str">
            <v>-</v>
          </cell>
          <cell r="J2467">
            <v>38743</v>
          </cell>
          <cell r="K2467">
            <v>14.8</v>
          </cell>
          <cell r="L2467">
            <v>0.01</v>
          </cell>
          <cell r="M2467">
            <v>2.1180555555555554</v>
          </cell>
          <cell r="N2467">
            <v>2016</v>
          </cell>
          <cell r="O2467">
            <v>585</v>
          </cell>
          <cell r="P2467">
            <v>5</v>
          </cell>
        </row>
        <row r="2468">
          <cell r="B2468" t="str">
            <v>Federal University of Santa Catarina</v>
          </cell>
          <cell r="C2468" t="str">
            <v>Brazil</v>
          </cell>
          <cell r="D2468" t="str">
            <v>601-800</v>
          </cell>
          <cell r="E2468">
            <v>21</v>
          </cell>
          <cell r="F2468">
            <v>12.2</v>
          </cell>
          <cell r="G2468">
            <v>14.2</v>
          </cell>
          <cell r="H2468">
            <v>42.9</v>
          </cell>
          <cell r="I2468" t="str">
            <v>-</v>
          </cell>
          <cell r="J2468">
            <v>26078</v>
          </cell>
          <cell r="K2468">
            <v>12.6</v>
          </cell>
          <cell r="L2468">
            <v>0.01</v>
          </cell>
          <cell r="M2468">
            <v>2.036111111111111</v>
          </cell>
          <cell r="N2468">
            <v>2016</v>
          </cell>
          <cell r="O2468">
            <v>898</v>
          </cell>
          <cell r="P2468">
            <v>11</v>
          </cell>
        </row>
        <row r="2469">
          <cell r="B2469" t="str">
            <v>Federal University of SÃ£o Carlos</v>
          </cell>
          <cell r="C2469" t="str">
            <v>Brazil</v>
          </cell>
          <cell r="D2469" t="str">
            <v>601-800</v>
          </cell>
          <cell r="E2469">
            <v>16.8</v>
          </cell>
          <cell r="F2469">
            <v>10.8</v>
          </cell>
          <cell r="G2469">
            <v>11.5</v>
          </cell>
          <cell r="H2469" t="str">
            <v>-</v>
          </cell>
          <cell r="I2469" t="str">
            <v>-</v>
          </cell>
          <cell r="J2469">
            <v>18587</v>
          </cell>
          <cell r="K2469">
            <v>16.899999999999999</v>
          </cell>
          <cell r="L2469">
            <v>0</v>
          </cell>
          <cell r="N2469">
            <v>2016</v>
          </cell>
          <cell r="O2469">
            <v>925</v>
          </cell>
          <cell r="P2469">
            <v>13</v>
          </cell>
        </row>
        <row r="2470">
          <cell r="B2470" t="str">
            <v>Federal University of ViÃ§osa</v>
          </cell>
          <cell r="C2470" t="str">
            <v>Brazil</v>
          </cell>
          <cell r="D2470" t="str">
            <v>601-800</v>
          </cell>
          <cell r="E2470">
            <v>15</v>
          </cell>
          <cell r="F2470">
            <v>14.5</v>
          </cell>
          <cell r="G2470">
            <v>3.9</v>
          </cell>
          <cell r="H2470">
            <v>59</v>
          </cell>
          <cell r="I2470" t="str">
            <v>-</v>
          </cell>
          <cell r="J2470">
            <v>13163</v>
          </cell>
          <cell r="K2470">
            <v>11.4</v>
          </cell>
          <cell r="L2470">
            <v>0.03</v>
          </cell>
          <cell r="M2470">
            <v>2.9375</v>
          </cell>
          <cell r="N2470">
            <v>2016</v>
          </cell>
          <cell r="O2470" t="e">
            <v>#N/A</v>
          </cell>
          <cell r="P2470" t="e">
            <v>#N/A</v>
          </cell>
        </row>
        <row r="2471">
          <cell r="B2471" t="str">
            <v>Federal University of Lavras</v>
          </cell>
          <cell r="C2471" t="str">
            <v>Brazil</v>
          </cell>
          <cell r="D2471" t="str">
            <v>601-800</v>
          </cell>
          <cell r="E2471">
            <v>14.5</v>
          </cell>
          <cell r="F2471">
            <v>16.399999999999999</v>
          </cell>
          <cell r="G2471">
            <v>3</v>
          </cell>
          <cell r="H2471" t="str">
            <v>-</v>
          </cell>
          <cell r="I2471" t="str">
            <v>-</v>
          </cell>
          <cell r="J2471">
            <v>10350</v>
          </cell>
          <cell r="K2471">
            <v>20.9</v>
          </cell>
          <cell r="L2471">
            <v>0.02</v>
          </cell>
          <cell r="M2471">
            <v>2.2409722222222221</v>
          </cell>
          <cell r="N2471">
            <v>2016</v>
          </cell>
          <cell r="O2471" t="e">
            <v>#N/A</v>
          </cell>
          <cell r="P2471" t="e">
            <v>#N/A</v>
          </cell>
        </row>
        <row r="2472">
          <cell r="B2472" t="str">
            <v>Feng Chia University</v>
          </cell>
          <cell r="C2472" t="str">
            <v>Taiwan</v>
          </cell>
          <cell r="D2472" t="str">
            <v>601-800</v>
          </cell>
          <cell r="E2472">
            <v>21.1</v>
          </cell>
          <cell r="F2472">
            <v>13.7</v>
          </cell>
          <cell r="G2472">
            <v>34.4</v>
          </cell>
          <cell r="H2472">
            <v>33.9</v>
          </cell>
          <cell r="I2472" t="str">
            <v>-</v>
          </cell>
          <cell r="J2472">
            <v>20213</v>
          </cell>
          <cell r="K2472">
            <v>23.9</v>
          </cell>
          <cell r="L2472">
            <v>7.0000000000000007E-2</v>
          </cell>
          <cell r="M2472" t="str">
            <v>36 : 64</v>
          </cell>
          <cell r="N2472">
            <v>2016</v>
          </cell>
          <cell r="O2472">
            <v>928</v>
          </cell>
          <cell r="P2472">
            <v>18</v>
          </cell>
        </row>
        <row r="2473">
          <cell r="B2473" t="str">
            <v>Florida Institute of Technology</v>
          </cell>
          <cell r="C2473" t="str">
            <v>United States of America</v>
          </cell>
          <cell r="D2473" t="str">
            <v>601-800</v>
          </cell>
          <cell r="E2473">
            <v>62.4</v>
          </cell>
          <cell r="F2473">
            <v>13.5</v>
          </cell>
          <cell r="G2473">
            <v>24.6</v>
          </cell>
          <cell r="H2473">
            <v>33.4</v>
          </cell>
          <cell r="I2473" t="str">
            <v>-</v>
          </cell>
          <cell r="J2473">
            <v>4408</v>
          </cell>
          <cell r="K2473">
            <v>13.7</v>
          </cell>
          <cell r="L2473">
            <v>0.26</v>
          </cell>
          <cell r="M2473" t="str">
            <v>34 : 66</v>
          </cell>
          <cell r="N2473">
            <v>2016</v>
          </cell>
          <cell r="O2473">
            <v>853</v>
          </cell>
          <cell r="P2473">
            <v>222</v>
          </cell>
        </row>
        <row r="2474">
          <cell r="B2474" t="str">
            <v>Fu Jen Catholic University</v>
          </cell>
          <cell r="C2474" t="str">
            <v>Taiwan</v>
          </cell>
          <cell r="D2474" t="str">
            <v>601-800</v>
          </cell>
          <cell r="E2474">
            <v>19.100000000000001</v>
          </cell>
          <cell r="F2474">
            <v>9.8000000000000007</v>
          </cell>
          <cell r="G2474">
            <v>18.2</v>
          </cell>
          <cell r="H2474">
            <v>47</v>
          </cell>
          <cell r="I2474" t="str">
            <v>-</v>
          </cell>
          <cell r="J2474">
            <v>25951</v>
          </cell>
          <cell r="K2474">
            <v>22.8</v>
          </cell>
          <cell r="L2474">
            <v>0.04</v>
          </cell>
          <cell r="M2474">
            <v>2.4868055555555557</v>
          </cell>
          <cell r="N2474">
            <v>2016</v>
          </cell>
          <cell r="O2474">
            <v>974</v>
          </cell>
          <cell r="P2474">
            <v>21</v>
          </cell>
        </row>
        <row r="2475">
          <cell r="B2475" t="str">
            <v>GdaÅ„sk University of Technology</v>
          </cell>
          <cell r="C2475" t="str">
            <v>Poland</v>
          </cell>
          <cell r="D2475" t="str">
            <v>601-800</v>
          </cell>
          <cell r="E2475">
            <v>16.100000000000001</v>
          </cell>
          <cell r="F2475">
            <v>9.5</v>
          </cell>
          <cell r="G2475">
            <v>15.2</v>
          </cell>
          <cell r="H2475">
            <v>36.799999999999997</v>
          </cell>
          <cell r="I2475" t="str">
            <v>-</v>
          </cell>
          <cell r="J2475">
            <v>25217</v>
          </cell>
          <cell r="K2475">
            <v>23.3</v>
          </cell>
          <cell r="L2475">
            <v>0.01</v>
          </cell>
          <cell r="M2475" t="str">
            <v>39 : 61</v>
          </cell>
          <cell r="N2475">
            <v>2016</v>
          </cell>
          <cell r="O2475" t="e">
            <v>#N/A</v>
          </cell>
          <cell r="P2475" t="e">
            <v>#N/A</v>
          </cell>
        </row>
        <row r="2476">
          <cell r="B2476" t="str">
            <v>University of Ghana</v>
          </cell>
          <cell r="C2476" t="str">
            <v>Ghana</v>
          </cell>
          <cell r="D2476" t="str">
            <v>601-800</v>
          </cell>
          <cell r="E2476">
            <v>48.4</v>
          </cell>
          <cell r="F2476">
            <v>15.6</v>
          </cell>
          <cell r="G2476">
            <v>19.5</v>
          </cell>
          <cell r="H2476" t="str">
            <v>-</v>
          </cell>
          <cell r="I2476" t="str">
            <v>-</v>
          </cell>
          <cell r="J2476">
            <v>37274</v>
          </cell>
          <cell r="K2476">
            <v>37.5</v>
          </cell>
          <cell r="L2476">
            <v>0.02</v>
          </cell>
          <cell r="M2476">
            <v>1.7493055555555554</v>
          </cell>
          <cell r="N2476">
            <v>2016</v>
          </cell>
          <cell r="O2476" t="e">
            <v>#N/A</v>
          </cell>
          <cell r="P2476" t="e">
            <v>#N/A</v>
          </cell>
        </row>
        <row r="2477">
          <cell r="B2477" t="str">
            <v>Gifu University</v>
          </cell>
          <cell r="C2477" t="str">
            <v>Japan</v>
          </cell>
          <cell r="D2477" t="str">
            <v>601-800</v>
          </cell>
          <cell r="E2477">
            <v>18.5</v>
          </cell>
          <cell r="F2477">
            <v>16.899999999999999</v>
          </cell>
          <cell r="G2477">
            <v>14.7</v>
          </cell>
          <cell r="H2477">
            <v>32.799999999999997</v>
          </cell>
          <cell r="I2477" t="str">
            <v>-</v>
          </cell>
          <cell r="J2477">
            <v>7318</v>
          </cell>
          <cell r="K2477">
            <v>12.4</v>
          </cell>
          <cell r="L2477">
            <v>0.04</v>
          </cell>
          <cell r="M2477" t="str">
            <v>35 : 65</v>
          </cell>
          <cell r="N2477">
            <v>2016</v>
          </cell>
          <cell r="O2477">
            <v>654</v>
          </cell>
          <cell r="P2477">
            <v>42</v>
          </cell>
        </row>
        <row r="2478">
          <cell r="B2478" t="str">
            <v>Glasgow Caledonian University</v>
          </cell>
          <cell r="C2478" t="str">
            <v>United Kingdom</v>
          </cell>
          <cell r="D2478" t="str">
            <v>601-800</v>
          </cell>
          <cell r="E2478">
            <v>55</v>
          </cell>
          <cell r="F2478">
            <v>10.4</v>
          </cell>
          <cell r="G2478">
            <v>24.2</v>
          </cell>
          <cell r="H2478">
            <v>29.9</v>
          </cell>
          <cell r="I2478" t="str">
            <v>-</v>
          </cell>
          <cell r="J2478">
            <v>13527</v>
          </cell>
          <cell r="K2478">
            <v>21.6</v>
          </cell>
          <cell r="L2478">
            <v>0.16</v>
          </cell>
          <cell r="M2478">
            <v>2.5277777777777777</v>
          </cell>
          <cell r="N2478">
            <v>2016</v>
          </cell>
          <cell r="O2478" t="e">
            <v>#N/A</v>
          </cell>
          <cell r="P2478" t="e">
            <v>#N/A</v>
          </cell>
        </row>
        <row r="2479">
          <cell r="B2479" t="str">
            <v>University of Greenwich</v>
          </cell>
          <cell r="C2479" t="str">
            <v>United Kingdom</v>
          </cell>
          <cell r="D2479" t="str">
            <v>601-800</v>
          </cell>
          <cell r="E2479">
            <v>81.8</v>
          </cell>
          <cell r="F2479">
            <v>9.5</v>
          </cell>
          <cell r="G2479">
            <v>17.7</v>
          </cell>
          <cell r="H2479">
            <v>30</v>
          </cell>
          <cell r="I2479" t="str">
            <v>-</v>
          </cell>
          <cell r="J2479">
            <v>18096</v>
          </cell>
          <cell r="K2479">
            <v>24.6</v>
          </cell>
          <cell r="L2479">
            <v>0.32</v>
          </cell>
          <cell r="M2479">
            <v>2.2409722222222221</v>
          </cell>
          <cell r="N2479">
            <v>2016</v>
          </cell>
          <cell r="O2479" t="e">
            <v>#N/A</v>
          </cell>
          <cell r="P2479" t="e">
            <v>#N/A</v>
          </cell>
        </row>
        <row r="2480">
          <cell r="B2480" t="str">
            <v>Hacettepe University</v>
          </cell>
          <cell r="C2480" t="str">
            <v>Turkey</v>
          </cell>
          <cell r="D2480" t="str">
            <v>601-800</v>
          </cell>
          <cell r="E2480">
            <v>19.600000000000001</v>
          </cell>
          <cell r="F2480">
            <v>11.8</v>
          </cell>
          <cell r="G2480">
            <v>19.7</v>
          </cell>
          <cell r="H2480">
            <v>28.2</v>
          </cell>
          <cell r="I2480" t="str">
            <v>-</v>
          </cell>
          <cell r="J2480">
            <v>39606</v>
          </cell>
          <cell r="K2480">
            <v>20.399999999999999</v>
          </cell>
          <cell r="L2480">
            <v>0.04</v>
          </cell>
          <cell r="M2480">
            <v>2.3638888888888889</v>
          </cell>
          <cell r="N2480">
            <v>2016</v>
          </cell>
          <cell r="O2480">
            <v>655</v>
          </cell>
          <cell r="P2480">
            <v>3</v>
          </cell>
        </row>
        <row r="2481">
          <cell r="B2481" t="str">
            <v>University of Huddersfield</v>
          </cell>
          <cell r="C2481" t="str">
            <v>United Kingdom</v>
          </cell>
          <cell r="D2481" t="str">
            <v>601-800</v>
          </cell>
          <cell r="E2481">
            <v>55.2</v>
          </cell>
          <cell r="F2481">
            <v>5.4</v>
          </cell>
          <cell r="G2481">
            <v>16.5</v>
          </cell>
          <cell r="H2481">
            <v>28</v>
          </cell>
          <cell r="I2481" t="str">
            <v>-</v>
          </cell>
          <cell r="J2481">
            <v>15436</v>
          </cell>
          <cell r="K2481">
            <v>18.100000000000001</v>
          </cell>
          <cell r="L2481">
            <v>0.25</v>
          </cell>
          <cell r="M2481">
            <v>2.2819444444444446</v>
          </cell>
          <cell r="N2481">
            <v>2016</v>
          </cell>
          <cell r="O2481" t="e">
            <v>#N/A</v>
          </cell>
          <cell r="P2481" t="e">
            <v>#N/A</v>
          </cell>
        </row>
        <row r="2482">
          <cell r="B2482" t="str">
            <v>Hunan University</v>
          </cell>
          <cell r="C2482" t="str">
            <v>China</v>
          </cell>
          <cell r="D2482" t="str">
            <v>601-800</v>
          </cell>
          <cell r="E2482">
            <v>14.8</v>
          </cell>
          <cell r="F2482">
            <v>15</v>
          </cell>
          <cell r="G2482">
            <v>21.2</v>
          </cell>
          <cell r="H2482">
            <v>46.7</v>
          </cell>
          <cell r="I2482" t="str">
            <v>-</v>
          </cell>
          <cell r="J2482">
            <v>42756</v>
          </cell>
          <cell r="K2482">
            <v>24.7</v>
          </cell>
          <cell r="L2482">
            <v>0.02</v>
          </cell>
          <cell r="M2482">
            <v>1.83125</v>
          </cell>
          <cell r="N2482">
            <v>2016</v>
          </cell>
          <cell r="O2482">
            <v>588</v>
          </cell>
          <cell r="P2482">
            <v>28</v>
          </cell>
        </row>
        <row r="2483">
          <cell r="B2483" t="str">
            <v>University of Ibadan</v>
          </cell>
          <cell r="C2483" t="str">
            <v>Nigeria</v>
          </cell>
          <cell r="D2483" t="str">
            <v>601-800</v>
          </cell>
          <cell r="E2483">
            <v>26.1</v>
          </cell>
          <cell r="F2483">
            <v>11.1</v>
          </cell>
          <cell r="G2483">
            <v>4.5999999999999996</v>
          </cell>
          <cell r="H2483">
            <v>29.2</v>
          </cell>
          <cell r="I2483" t="str">
            <v>-</v>
          </cell>
          <cell r="J2483">
            <v>26247</v>
          </cell>
          <cell r="K2483">
            <v>17.100000000000001</v>
          </cell>
          <cell r="L2483">
            <v>0.01</v>
          </cell>
          <cell r="M2483">
            <v>1.9131944444444444</v>
          </cell>
          <cell r="N2483">
            <v>2016</v>
          </cell>
          <cell r="O2483" t="e">
            <v>#N/A</v>
          </cell>
          <cell r="P2483" t="e">
            <v>#N/A</v>
          </cell>
        </row>
        <row r="2484">
          <cell r="B2484" t="str">
            <v>University of Indonesia</v>
          </cell>
          <cell r="C2484" t="str">
            <v>Indonesia</v>
          </cell>
          <cell r="D2484" t="str">
            <v>601-800</v>
          </cell>
          <cell r="E2484">
            <v>37.200000000000003</v>
          </cell>
          <cell r="F2484">
            <v>8</v>
          </cell>
          <cell r="G2484">
            <v>13.9</v>
          </cell>
          <cell r="H2484">
            <v>40</v>
          </cell>
          <cell r="I2484" t="str">
            <v>-</v>
          </cell>
          <cell r="J2484">
            <v>43565</v>
          </cell>
          <cell r="K2484">
            <v>15.8</v>
          </cell>
          <cell r="L2484">
            <v>0</v>
          </cell>
          <cell r="M2484">
            <v>2.1590277777777778</v>
          </cell>
          <cell r="N2484">
            <v>2016</v>
          </cell>
          <cell r="O2484" t="e">
            <v>#N/A</v>
          </cell>
          <cell r="P2484" t="e">
            <v>#N/A</v>
          </cell>
        </row>
        <row r="2485">
          <cell r="B2485" t="str">
            <v>Inha University</v>
          </cell>
          <cell r="C2485" t="str">
            <v>South Korea</v>
          </cell>
          <cell r="D2485" t="str">
            <v>601-800</v>
          </cell>
          <cell r="E2485">
            <v>23.5</v>
          </cell>
          <cell r="F2485">
            <v>20</v>
          </cell>
          <cell r="G2485">
            <v>22.5</v>
          </cell>
          <cell r="H2485">
            <v>64.7</v>
          </cell>
          <cell r="I2485" t="str">
            <v>-</v>
          </cell>
          <cell r="J2485">
            <v>20353</v>
          </cell>
          <cell r="K2485">
            <v>24.1</v>
          </cell>
          <cell r="L2485">
            <v>0.03</v>
          </cell>
          <cell r="M2485" t="str">
            <v>36 : 64</v>
          </cell>
          <cell r="N2485">
            <v>2016</v>
          </cell>
          <cell r="O2485">
            <v>615</v>
          </cell>
          <cell r="P2485">
            <v>22</v>
          </cell>
        </row>
        <row r="2486">
          <cell r="B2486" t="str">
            <v>I-Shou University</v>
          </cell>
          <cell r="C2486" t="str">
            <v>Taiwan</v>
          </cell>
          <cell r="D2486" t="str">
            <v>601-800</v>
          </cell>
          <cell r="E2486">
            <v>24.8</v>
          </cell>
          <cell r="F2486">
            <v>11.5</v>
          </cell>
          <cell r="G2486">
            <v>13.3</v>
          </cell>
          <cell r="H2486">
            <v>41</v>
          </cell>
          <cell r="I2486" t="str">
            <v>-</v>
          </cell>
          <cell r="J2486">
            <v>16263</v>
          </cell>
          <cell r="K2486">
            <v>29.9</v>
          </cell>
          <cell r="L2486">
            <v>0.1</v>
          </cell>
          <cell r="M2486">
            <v>1.9131944444444444</v>
          </cell>
          <cell r="N2486">
            <v>2016</v>
          </cell>
          <cell r="O2486">
            <v>994</v>
          </cell>
          <cell r="P2486">
            <v>23</v>
          </cell>
        </row>
        <row r="2487">
          <cell r="B2487" t="str">
            <v>Istanbul University</v>
          </cell>
          <cell r="C2487" t="str">
            <v>Turkey</v>
          </cell>
          <cell r="D2487" t="str">
            <v>601-800</v>
          </cell>
          <cell r="E2487">
            <v>20</v>
          </cell>
          <cell r="F2487">
            <v>23.3</v>
          </cell>
          <cell r="G2487">
            <v>10</v>
          </cell>
          <cell r="H2487">
            <v>100</v>
          </cell>
          <cell r="I2487" t="str">
            <v>-</v>
          </cell>
          <cell r="J2487">
            <v>82096</v>
          </cell>
          <cell r="K2487">
            <v>41.1</v>
          </cell>
          <cell r="L2487">
            <v>0.06</v>
          </cell>
          <cell r="M2487">
            <v>1.8722222222222222</v>
          </cell>
          <cell r="N2487">
            <v>2016</v>
          </cell>
          <cell r="O2487">
            <v>602</v>
          </cell>
          <cell r="P2487">
            <v>2</v>
          </cell>
        </row>
        <row r="2488">
          <cell r="B2488" t="str">
            <v>Jagiellonian University</v>
          </cell>
          <cell r="C2488" t="str">
            <v>Poland</v>
          </cell>
          <cell r="D2488" t="str">
            <v>601-800</v>
          </cell>
          <cell r="E2488">
            <v>33.5</v>
          </cell>
          <cell r="F2488">
            <v>14.4</v>
          </cell>
          <cell r="G2488">
            <v>30.7</v>
          </cell>
          <cell r="H2488">
            <v>28</v>
          </cell>
          <cell r="I2488" t="str">
            <v>-</v>
          </cell>
          <cell r="J2488">
            <v>42835</v>
          </cell>
          <cell r="K2488">
            <v>11.5</v>
          </cell>
          <cell r="L2488">
            <v>0.05</v>
          </cell>
          <cell r="M2488">
            <v>2.8145833333333332</v>
          </cell>
          <cell r="N2488">
            <v>2016</v>
          </cell>
          <cell r="O2488">
            <v>479</v>
          </cell>
          <cell r="P2488">
            <v>2</v>
          </cell>
        </row>
        <row r="2489">
          <cell r="B2489" t="str">
            <v>Jilin University</v>
          </cell>
          <cell r="C2489" t="str">
            <v>China</v>
          </cell>
          <cell r="D2489" t="str">
            <v>601-800</v>
          </cell>
          <cell r="E2489">
            <v>20.3</v>
          </cell>
          <cell r="F2489">
            <v>14.4</v>
          </cell>
          <cell r="G2489">
            <v>14.6</v>
          </cell>
          <cell r="H2489">
            <v>42.1</v>
          </cell>
          <cell r="I2489" t="str">
            <v>-</v>
          </cell>
          <cell r="J2489">
            <v>65605</v>
          </cell>
          <cell r="K2489">
            <v>13.6</v>
          </cell>
          <cell r="L2489">
            <v>0.03</v>
          </cell>
          <cell r="M2489">
            <v>1.9541666666666666</v>
          </cell>
          <cell r="N2489">
            <v>2016</v>
          </cell>
          <cell r="O2489">
            <v>435</v>
          </cell>
          <cell r="P2489">
            <v>18</v>
          </cell>
        </row>
        <row r="2490">
          <cell r="B2490" t="str">
            <v>University of Jordan</v>
          </cell>
          <cell r="C2490" t="str">
            <v>Jordan</v>
          </cell>
          <cell r="D2490" t="str">
            <v>601-800</v>
          </cell>
          <cell r="E2490">
            <v>53.7</v>
          </cell>
          <cell r="F2490">
            <v>7.7</v>
          </cell>
          <cell r="G2490">
            <v>7.8</v>
          </cell>
          <cell r="H2490">
            <v>28.8</v>
          </cell>
          <cell r="I2490" t="str">
            <v>-</v>
          </cell>
          <cell r="J2490">
            <v>35577</v>
          </cell>
          <cell r="K2490">
            <v>13.6</v>
          </cell>
          <cell r="L2490">
            <v>0.13</v>
          </cell>
          <cell r="M2490">
            <v>2.8145833333333332</v>
          </cell>
          <cell r="N2490">
            <v>2016</v>
          </cell>
          <cell r="O2490" t="e">
            <v>#N/A</v>
          </cell>
          <cell r="P2490" t="e">
            <v>#N/A</v>
          </cell>
        </row>
        <row r="2491">
          <cell r="B2491" t="str">
            <v>Jordan University of Science and Technology</v>
          </cell>
          <cell r="C2491" t="str">
            <v>Jordan</v>
          </cell>
          <cell r="D2491" t="str">
            <v>601-800</v>
          </cell>
          <cell r="E2491">
            <v>62.2</v>
          </cell>
          <cell r="F2491">
            <v>6.2</v>
          </cell>
          <cell r="G2491">
            <v>16.399999999999999</v>
          </cell>
          <cell r="H2491">
            <v>31.4</v>
          </cell>
          <cell r="I2491" t="str">
            <v>-</v>
          </cell>
          <cell r="J2491">
            <v>24686</v>
          </cell>
          <cell r="K2491">
            <v>16.399999999999999</v>
          </cell>
          <cell r="L2491">
            <v>0.23</v>
          </cell>
          <cell r="M2491">
            <v>2.3229166666666665</v>
          </cell>
          <cell r="N2491">
            <v>2016</v>
          </cell>
          <cell r="O2491" t="e">
            <v>#N/A</v>
          </cell>
          <cell r="P2491" t="e">
            <v>#N/A</v>
          </cell>
        </row>
        <row r="2492">
          <cell r="B2492" t="str">
            <v>Juntendo University</v>
          </cell>
          <cell r="C2492" t="str">
            <v>Japan</v>
          </cell>
          <cell r="D2492" t="str">
            <v>601-800</v>
          </cell>
          <cell r="E2492">
            <v>16.7</v>
          </cell>
          <cell r="F2492">
            <v>10.5</v>
          </cell>
          <cell r="G2492">
            <v>24</v>
          </cell>
          <cell r="H2492">
            <v>51.1</v>
          </cell>
          <cell r="I2492" t="str">
            <v>-</v>
          </cell>
          <cell r="J2492">
            <v>3955</v>
          </cell>
          <cell r="K2492">
            <v>3.7</v>
          </cell>
          <cell r="L2492">
            <v>0.01</v>
          </cell>
          <cell r="M2492">
            <v>2.2000000000000002</v>
          </cell>
          <cell r="N2492">
            <v>2016</v>
          </cell>
          <cell r="O2492">
            <v>484</v>
          </cell>
          <cell r="P2492">
            <v>27</v>
          </cell>
        </row>
        <row r="2493">
          <cell r="B2493" t="str">
            <v>K.N. Toosi University of Technology</v>
          </cell>
          <cell r="C2493" t="str">
            <v>Iran</v>
          </cell>
          <cell r="D2493" t="str">
            <v>601-800</v>
          </cell>
          <cell r="E2493">
            <v>7.1</v>
          </cell>
          <cell r="F2493">
            <v>18.100000000000001</v>
          </cell>
          <cell r="G2493">
            <v>22.5</v>
          </cell>
          <cell r="H2493">
            <v>45.5</v>
          </cell>
          <cell r="I2493" t="str">
            <v>-</v>
          </cell>
          <cell r="J2493">
            <v>7146</v>
          </cell>
          <cell r="K2493">
            <v>24.6</v>
          </cell>
          <cell r="L2493">
            <v>0</v>
          </cell>
          <cell r="M2493" t="str">
            <v>32 : 68</v>
          </cell>
          <cell r="N2493">
            <v>2016</v>
          </cell>
          <cell r="O2493" t="e">
            <v>#N/A</v>
          </cell>
          <cell r="P2493" t="e">
            <v>#N/A</v>
          </cell>
        </row>
        <row r="2494">
          <cell r="B2494" t="str">
            <v>Kaohsiung Medical University</v>
          </cell>
          <cell r="C2494" t="str">
            <v>Taiwan</v>
          </cell>
          <cell r="D2494" t="str">
            <v>601-800</v>
          </cell>
          <cell r="E2494">
            <v>19.899999999999999</v>
          </cell>
          <cell r="F2494">
            <v>22.2</v>
          </cell>
          <cell r="G2494">
            <v>20.5</v>
          </cell>
          <cell r="H2494">
            <v>33.200000000000003</v>
          </cell>
          <cell r="I2494" t="str">
            <v>-</v>
          </cell>
          <cell r="J2494">
            <v>7009</v>
          </cell>
          <cell r="K2494">
            <v>12.6</v>
          </cell>
          <cell r="L2494">
            <v>0.05</v>
          </cell>
          <cell r="M2494">
            <v>2.3638888888888889</v>
          </cell>
          <cell r="N2494">
            <v>2016</v>
          </cell>
          <cell r="O2494">
            <v>774</v>
          </cell>
          <cell r="P2494">
            <v>10</v>
          </cell>
        </row>
        <row r="2495">
          <cell r="B2495" t="str">
            <v>Khon Kaen University</v>
          </cell>
          <cell r="C2495" t="str">
            <v>Thailand</v>
          </cell>
          <cell r="D2495" t="str">
            <v>601-800</v>
          </cell>
          <cell r="E2495">
            <v>31.5</v>
          </cell>
          <cell r="F2495">
            <v>7.4</v>
          </cell>
          <cell r="G2495">
            <v>19.899999999999999</v>
          </cell>
          <cell r="H2495">
            <v>35.700000000000003</v>
          </cell>
          <cell r="I2495" t="str">
            <v>-</v>
          </cell>
          <cell r="J2495">
            <v>39669</v>
          </cell>
          <cell r="K2495">
            <v>16.899999999999999</v>
          </cell>
          <cell r="L2495">
            <v>0.01</v>
          </cell>
          <cell r="M2495">
            <v>2.6097222222222221</v>
          </cell>
          <cell r="N2495">
            <v>2016</v>
          </cell>
          <cell r="O2495" t="e">
            <v>#N/A</v>
          </cell>
          <cell r="P2495" t="e">
            <v>#N/A</v>
          </cell>
        </row>
        <row r="2496">
          <cell r="B2496" t="str">
            <v>King Mongkutâ€™s University of Technology Thonburi</v>
          </cell>
          <cell r="C2496" t="str">
            <v>Thailand</v>
          </cell>
          <cell r="D2496" t="str">
            <v>601-800</v>
          </cell>
          <cell r="E2496">
            <v>28.5</v>
          </cell>
          <cell r="F2496">
            <v>11.4</v>
          </cell>
          <cell r="G2496">
            <v>36.200000000000003</v>
          </cell>
          <cell r="H2496">
            <v>70.3</v>
          </cell>
          <cell r="I2496" t="str">
            <v>-</v>
          </cell>
          <cell r="J2496">
            <v>17791</v>
          </cell>
          <cell r="K2496">
            <v>23.7</v>
          </cell>
          <cell r="L2496">
            <v>0.01</v>
          </cell>
          <cell r="M2496">
            <v>1.7902777777777779</v>
          </cell>
          <cell r="N2496">
            <v>2016</v>
          </cell>
          <cell r="O2496" t="e">
            <v>#N/A</v>
          </cell>
          <cell r="P2496" t="e">
            <v>#N/A</v>
          </cell>
        </row>
        <row r="2497">
          <cell r="B2497" t="str">
            <v>Kingston University</v>
          </cell>
          <cell r="C2497" t="str">
            <v>United Kingdom</v>
          </cell>
          <cell r="D2497" t="str">
            <v>601-800</v>
          </cell>
          <cell r="E2497">
            <v>76.8</v>
          </cell>
          <cell r="F2497">
            <v>12.1</v>
          </cell>
          <cell r="G2497">
            <v>26.7</v>
          </cell>
          <cell r="H2497">
            <v>28.5</v>
          </cell>
          <cell r="I2497" t="str">
            <v>-</v>
          </cell>
          <cell r="J2497">
            <v>20778</v>
          </cell>
          <cell r="K2497">
            <v>20.9</v>
          </cell>
          <cell r="L2497">
            <v>0.34</v>
          </cell>
          <cell r="M2497">
            <v>2.2409722222222221</v>
          </cell>
          <cell r="N2497">
            <v>2016</v>
          </cell>
          <cell r="O2497" t="e">
            <v>#N/A</v>
          </cell>
          <cell r="P2497" t="e">
            <v>#N/A</v>
          </cell>
        </row>
        <row r="2498">
          <cell r="B2498" t="str">
            <v>Kinki University</v>
          </cell>
          <cell r="C2498" t="str">
            <v>Japan</v>
          </cell>
          <cell r="D2498" t="str">
            <v>601-800</v>
          </cell>
          <cell r="E2498">
            <v>17</v>
          </cell>
          <cell r="F2498">
            <v>7.9</v>
          </cell>
          <cell r="G2498">
            <v>30</v>
          </cell>
          <cell r="H2498">
            <v>33.200000000000003</v>
          </cell>
          <cell r="I2498" t="str">
            <v>-</v>
          </cell>
          <cell r="J2498">
            <v>31216</v>
          </cell>
          <cell r="K2498">
            <v>11.6</v>
          </cell>
          <cell r="L2498">
            <v>0.02</v>
          </cell>
          <cell r="N2498">
            <v>2016</v>
          </cell>
          <cell r="O2498" t="e">
            <v>#N/A</v>
          </cell>
          <cell r="P2498" t="e">
            <v>#N/A</v>
          </cell>
        </row>
        <row r="2499">
          <cell r="B2499" t="str">
            <v>Kobe University</v>
          </cell>
          <cell r="C2499" t="str">
            <v>Japan</v>
          </cell>
          <cell r="D2499" t="str">
            <v>601-800</v>
          </cell>
          <cell r="E2499">
            <v>21.1</v>
          </cell>
          <cell r="F2499">
            <v>15.4</v>
          </cell>
          <cell r="G2499">
            <v>24.3</v>
          </cell>
          <cell r="H2499">
            <v>45.1</v>
          </cell>
          <cell r="I2499" t="str">
            <v>-</v>
          </cell>
          <cell r="J2499">
            <v>15885</v>
          </cell>
          <cell r="K2499">
            <v>8.4</v>
          </cell>
          <cell r="L2499">
            <v>0.06</v>
          </cell>
          <cell r="M2499" t="str">
            <v>33 : 67</v>
          </cell>
          <cell r="N2499">
            <v>2016</v>
          </cell>
          <cell r="O2499">
            <v>153</v>
          </cell>
          <cell r="P2499">
            <v>11</v>
          </cell>
        </row>
        <row r="2500">
          <cell r="B2500" t="str">
            <v>Konkuk University</v>
          </cell>
          <cell r="C2500" t="str">
            <v>South Korea</v>
          </cell>
          <cell r="D2500" t="str">
            <v>601-800</v>
          </cell>
          <cell r="E2500">
            <v>22.6</v>
          </cell>
          <cell r="F2500">
            <v>19.600000000000001</v>
          </cell>
          <cell r="G2500">
            <v>17</v>
          </cell>
          <cell r="H2500">
            <v>36</v>
          </cell>
          <cell r="I2500" t="str">
            <v>-</v>
          </cell>
          <cell r="J2500">
            <v>26483</v>
          </cell>
          <cell r="K2500">
            <v>23.5</v>
          </cell>
          <cell r="L2500">
            <v>0.06</v>
          </cell>
          <cell r="M2500">
            <v>1.9951388888888888</v>
          </cell>
          <cell r="N2500">
            <v>2016</v>
          </cell>
          <cell r="O2500">
            <v>529</v>
          </cell>
          <cell r="P2500">
            <v>20</v>
          </cell>
        </row>
        <row r="2501">
          <cell r="B2501" t="str">
            <v>Kumamoto University</v>
          </cell>
          <cell r="C2501" t="str">
            <v>Japan</v>
          </cell>
          <cell r="D2501" t="str">
            <v>601-800</v>
          </cell>
          <cell r="E2501">
            <v>22.2</v>
          </cell>
          <cell r="F2501">
            <v>11.6</v>
          </cell>
          <cell r="G2501">
            <v>28.1</v>
          </cell>
          <cell r="H2501">
            <v>43.1</v>
          </cell>
          <cell r="I2501" t="str">
            <v>-</v>
          </cell>
          <cell r="J2501">
            <v>10226</v>
          </cell>
          <cell r="K2501">
            <v>7.6</v>
          </cell>
          <cell r="L2501">
            <v>0.05</v>
          </cell>
          <cell r="M2501" t="str">
            <v>37 : 63</v>
          </cell>
          <cell r="N2501">
            <v>2016</v>
          </cell>
          <cell r="O2501">
            <v>407</v>
          </cell>
          <cell r="P2501">
            <v>19</v>
          </cell>
        </row>
        <row r="2502">
          <cell r="B2502" t="str">
            <v>Kyungpook National University</v>
          </cell>
          <cell r="C2502" t="str">
            <v>South Korea</v>
          </cell>
          <cell r="D2502" t="str">
            <v>601-800</v>
          </cell>
          <cell r="E2502">
            <v>21.7</v>
          </cell>
          <cell r="F2502">
            <v>16</v>
          </cell>
          <cell r="G2502">
            <v>18.100000000000001</v>
          </cell>
          <cell r="H2502">
            <v>34.9</v>
          </cell>
          <cell r="I2502" t="str">
            <v>-</v>
          </cell>
          <cell r="J2502">
            <v>27152</v>
          </cell>
          <cell r="K2502">
            <v>14.4</v>
          </cell>
          <cell r="L2502">
            <v>0.04</v>
          </cell>
          <cell r="M2502">
            <v>1.7902777777777779</v>
          </cell>
          <cell r="N2502">
            <v>2016</v>
          </cell>
          <cell r="O2502">
            <v>314</v>
          </cell>
          <cell r="P2502">
            <v>8</v>
          </cell>
        </row>
        <row r="2503">
          <cell r="B2503" t="str">
            <v>Kyushu Institute of Technology</v>
          </cell>
          <cell r="C2503" t="str">
            <v>Japan</v>
          </cell>
          <cell r="D2503" t="str">
            <v>601-800</v>
          </cell>
          <cell r="E2503">
            <v>20.7</v>
          </cell>
          <cell r="F2503">
            <v>12.5</v>
          </cell>
          <cell r="G2503">
            <v>14.2</v>
          </cell>
          <cell r="H2503">
            <v>44.1</v>
          </cell>
          <cell r="I2503" t="str">
            <v>-</v>
          </cell>
          <cell r="J2503">
            <v>5890</v>
          </cell>
          <cell r="K2503">
            <v>12.1</v>
          </cell>
          <cell r="L2503">
            <v>0.04</v>
          </cell>
          <cell r="M2503">
            <v>0.52013888888888893</v>
          </cell>
          <cell r="N2503">
            <v>2016</v>
          </cell>
          <cell r="O2503" t="e">
            <v>#N/A</v>
          </cell>
          <cell r="P2503" t="e">
            <v>#N/A</v>
          </cell>
        </row>
        <row r="2504">
          <cell r="B2504" t="str">
            <v>University of Latvia</v>
          </cell>
          <cell r="C2504" t="str">
            <v>Latvia</v>
          </cell>
          <cell r="D2504" t="str">
            <v>601-800</v>
          </cell>
          <cell r="E2504">
            <v>31.5</v>
          </cell>
          <cell r="F2504">
            <v>10.199999999999999</v>
          </cell>
          <cell r="G2504">
            <v>20.9</v>
          </cell>
          <cell r="H2504">
            <v>28.3</v>
          </cell>
          <cell r="I2504" t="str">
            <v>-</v>
          </cell>
          <cell r="J2504">
            <v>15100</v>
          </cell>
          <cell r="K2504">
            <v>26.5</v>
          </cell>
          <cell r="L2504">
            <v>0.03</v>
          </cell>
          <cell r="M2504">
            <v>2.8555555555555556</v>
          </cell>
          <cell r="N2504">
            <v>2016</v>
          </cell>
          <cell r="O2504" t="e">
            <v>#N/A</v>
          </cell>
          <cell r="P2504" t="e">
            <v>#N/A</v>
          </cell>
        </row>
        <row r="2505">
          <cell r="B2505" t="str">
            <v>Lille 1 University â€“ Science and Technology</v>
          </cell>
          <cell r="C2505" t="str">
            <v>France</v>
          </cell>
          <cell r="D2505" t="str">
            <v>601-800</v>
          </cell>
          <cell r="E2505">
            <v>60.3</v>
          </cell>
          <cell r="F2505">
            <v>8.6</v>
          </cell>
          <cell r="G2505">
            <v>32.4</v>
          </cell>
          <cell r="H2505">
            <v>31.8</v>
          </cell>
          <cell r="I2505" t="str">
            <v>-</v>
          </cell>
          <cell r="J2505">
            <v>19599</v>
          </cell>
          <cell r="K2505">
            <v>14.5</v>
          </cell>
          <cell r="L2505">
            <v>0.18</v>
          </cell>
          <cell r="M2505">
            <v>1.7493055555555554</v>
          </cell>
          <cell r="N2505">
            <v>2016</v>
          </cell>
          <cell r="O2505" t="e">
            <v>#N/A</v>
          </cell>
          <cell r="P2505" t="e">
            <v>#N/A</v>
          </cell>
        </row>
        <row r="2506">
          <cell r="B2506" t="str">
            <v>University of Lincoln</v>
          </cell>
          <cell r="C2506" t="str">
            <v>United Kingdom</v>
          </cell>
          <cell r="D2506" t="str">
            <v>601-800</v>
          </cell>
          <cell r="E2506">
            <v>60.5</v>
          </cell>
          <cell r="F2506">
            <v>11.9</v>
          </cell>
          <cell r="G2506">
            <v>26.4</v>
          </cell>
          <cell r="H2506">
            <v>29.3</v>
          </cell>
          <cell r="I2506" t="str">
            <v>-</v>
          </cell>
          <cell r="J2506">
            <v>10665</v>
          </cell>
          <cell r="K2506">
            <v>18.899999999999999</v>
          </cell>
          <cell r="L2506">
            <v>0.11</v>
          </cell>
          <cell r="M2506">
            <v>2.2819444444444446</v>
          </cell>
          <cell r="N2506">
            <v>2016</v>
          </cell>
          <cell r="O2506" t="e">
            <v>#N/A</v>
          </cell>
          <cell r="P2506" t="e">
            <v>#N/A</v>
          </cell>
        </row>
        <row r="2507">
          <cell r="B2507" t="str">
            <v>University of Ljubljana</v>
          </cell>
          <cell r="C2507" t="str">
            <v>Slovenia</v>
          </cell>
          <cell r="D2507" t="str">
            <v>601-800</v>
          </cell>
          <cell r="E2507">
            <v>34.5</v>
          </cell>
          <cell r="F2507">
            <v>13.6</v>
          </cell>
          <cell r="G2507">
            <v>24</v>
          </cell>
          <cell r="H2507">
            <v>32.299999999999997</v>
          </cell>
          <cell r="I2507" t="str">
            <v>-</v>
          </cell>
          <cell r="J2507">
            <v>48821</v>
          </cell>
          <cell r="K2507">
            <v>17.600000000000001</v>
          </cell>
          <cell r="L2507">
            <v>0.04</v>
          </cell>
          <cell r="M2507">
            <v>2.5277777777777777</v>
          </cell>
          <cell r="N2507">
            <v>2016</v>
          </cell>
          <cell r="O2507">
            <v>525</v>
          </cell>
          <cell r="P2507">
            <v>1</v>
          </cell>
        </row>
        <row r="2508">
          <cell r="B2508" t="str">
            <v>University of Marrakech Cadi Ayyad</v>
          </cell>
          <cell r="C2508" t="str">
            <v>Morocco</v>
          </cell>
          <cell r="D2508" t="str">
            <v>601-800</v>
          </cell>
          <cell r="E2508">
            <v>42.7</v>
          </cell>
          <cell r="F2508">
            <v>6.3</v>
          </cell>
          <cell r="G2508">
            <v>12.1</v>
          </cell>
          <cell r="H2508">
            <v>29.2</v>
          </cell>
          <cell r="I2508" t="str">
            <v>-</v>
          </cell>
          <cell r="J2508">
            <v>56060</v>
          </cell>
          <cell r="K2508">
            <v>38.700000000000003</v>
          </cell>
          <cell r="L2508">
            <v>0.01</v>
          </cell>
          <cell r="M2508">
            <v>1.9541666666666666</v>
          </cell>
          <cell r="N2508">
            <v>2016</v>
          </cell>
          <cell r="O2508" t="e">
            <v>#N/A</v>
          </cell>
          <cell r="P2508" t="e">
            <v>#N/A</v>
          </cell>
        </row>
        <row r="2509">
          <cell r="B2509" t="str">
            <v>Miami University</v>
          </cell>
          <cell r="C2509" t="str">
            <v>United States of America</v>
          </cell>
          <cell r="D2509" t="str">
            <v>601-800</v>
          </cell>
          <cell r="E2509">
            <v>24.8</v>
          </cell>
          <cell r="F2509">
            <v>15.7</v>
          </cell>
          <cell r="G2509">
            <v>36.1</v>
          </cell>
          <cell r="H2509">
            <v>30.2</v>
          </cell>
          <cell r="I2509" t="str">
            <v>-</v>
          </cell>
          <cell r="J2509">
            <v>16370</v>
          </cell>
          <cell r="K2509">
            <v>20.5</v>
          </cell>
          <cell r="L2509">
            <v>7.0000000000000007E-2</v>
          </cell>
          <cell r="M2509">
            <v>2.2409722222222221</v>
          </cell>
          <cell r="N2509">
            <v>2016</v>
          </cell>
          <cell r="O2509">
            <v>443</v>
          </cell>
          <cell r="P2509">
            <v>145</v>
          </cell>
        </row>
        <row r="2510">
          <cell r="B2510" t="str">
            <v>Middlesex University</v>
          </cell>
          <cell r="C2510" t="str">
            <v>United Kingdom</v>
          </cell>
          <cell r="D2510" t="str">
            <v>601-800</v>
          </cell>
          <cell r="E2510">
            <v>81</v>
          </cell>
          <cell r="F2510">
            <v>10.6</v>
          </cell>
          <cell r="G2510">
            <v>25.7</v>
          </cell>
          <cell r="H2510" t="str">
            <v>-</v>
          </cell>
          <cell r="I2510" t="str">
            <v>-</v>
          </cell>
          <cell r="J2510">
            <v>17753</v>
          </cell>
          <cell r="K2510">
            <v>24.7</v>
          </cell>
          <cell r="L2510">
            <v>0.44</v>
          </cell>
          <cell r="M2510">
            <v>2.4868055555555557</v>
          </cell>
          <cell r="N2510">
            <v>2016</v>
          </cell>
          <cell r="O2510" t="e">
            <v>#N/A</v>
          </cell>
          <cell r="P2510" t="e">
            <v>#N/A</v>
          </cell>
        </row>
        <row r="2511">
          <cell r="B2511" t="str">
            <v>Moscow Institute of Physics and Technology</v>
          </cell>
          <cell r="C2511" t="str">
            <v>Russian Federation</v>
          </cell>
          <cell r="D2511" t="str">
            <v>601-800</v>
          </cell>
          <cell r="E2511">
            <v>44.4</v>
          </cell>
          <cell r="F2511">
            <v>16.3</v>
          </cell>
          <cell r="G2511">
            <v>15.5</v>
          </cell>
          <cell r="H2511">
            <v>28</v>
          </cell>
          <cell r="I2511" t="str">
            <v>-</v>
          </cell>
          <cell r="J2511">
            <v>5395</v>
          </cell>
          <cell r="K2511">
            <v>7</v>
          </cell>
          <cell r="L2511">
            <v>0.12</v>
          </cell>
          <cell r="N2511">
            <v>2016</v>
          </cell>
          <cell r="O2511">
            <v>250</v>
          </cell>
          <cell r="P2511">
            <v>2</v>
          </cell>
        </row>
        <row r="2512">
          <cell r="B2512" t="str">
            <v>University of Murcia</v>
          </cell>
          <cell r="C2512" t="str">
            <v>Spain</v>
          </cell>
          <cell r="D2512" t="str">
            <v>601-800</v>
          </cell>
          <cell r="E2512">
            <v>28.3</v>
          </cell>
          <cell r="F2512">
            <v>11.7</v>
          </cell>
          <cell r="G2512">
            <v>28</v>
          </cell>
          <cell r="H2512">
            <v>29.5</v>
          </cell>
          <cell r="I2512" t="str">
            <v>-</v>
          </cell>
          <cell r="J2512">
            <v>31460</v>
          </cell>
          <cell r="K2512">
            <v>15.8</v>
          </cell>
          <cell r="L2512">
            <v>0.06</v>
          </cell>
          <cell r="M2512">
            <v>2.6097222222222221</v>
          </cell>
          <cell r="N2512">
            <v>2016</v>
          </cell>
          <cell r="O2512">
            <v>803</v>
          </cell>
          <cell r="P2512">
            <v>30</v>
          </cell>
        </row>
        <row r="2513">
          <cell r="B2513" t="str">
            <v>Nagasaki University</v>
          </cell>
          <cell r="C2513" t="str">
            <v>Japan</v>
          </cell>
          <cell r="D2513" t="str">
            <v>601-800</v>
          </cell>
          <cell r="E2513">
            <v>21.9</v>
          </cell>
          <cell r="F2513">
            <v>10.8</v>
          </cell>
          <cell r="G2513">
            <v>14.3</v>
          </cell>
          <cell r="H2513" t="str">
            <v>-</v>
          </cell>
          <cell r="I2513" t="str">
            <v>-</v>
          </cell>
          <cell r="J2513">
            <v>9137</v>
          </cell>
          <cell r="K2513">
            <v>7.2</v>
          </cell>
          <cell r="L2513">
            <v>0.04</v>
          </cell>
          <cell r="M2513" t="str">
            <v>36 : 64</v>
          </cell>
          <cell r="N2513">
            <v>2016</v>
          </cell>
          <cell r="O2513">
            <v>417</v>
          </cell>
          <cell r="P2513">
            <v>21</v>
          </cell>
        </row>
        <row r="2514">
          <cell r="B2514" t="str">
            <v>University of Nairobi</v>
          </cell>
          <cell r="C2514" t="str">
            <v>Kenya</v>
          </cell>
          <cell r="D2514" t="str">
            <v>601-800</v>
          </cell>
          <cell r="E2514">
            <v>45.5</v>
          </cell>
          <cell r="F2514">
            <v>9</v>
          </cell>
          <cell r="G2514">
            <v>19.5</v>
          </cell>
          <cell r="H2514">
            <v>28</v>
          </cell>
          <cell r="I2514" t="str">
            <v>-</v>
          </cell>
          <cell r="J2514">
            <v>72676</v>
          </cell>
          <cell r="K2514">
            <v>47</v>
          </cell>
          <cell r="L2514">
            <v>0.01</v>
          </cell>
          <cell r="M2514" t="str">
            <v>40 : 60</v>
          </cell>
          <cell r="N2514">
            <v>2016</v>
          </cell>
          <cell r="O2514" t="e">
            <v>#N/A</v>
          </cell>
          <cell r="P2514" t="e">
            <v>#N/A</v>
          </cell>
        </row>
        <row r="2515">
          <cell r="B2515" t="str">
            <v>National Chengchi University</v>
          </cell>
          <cell r="C2515" t="str">
            <v>Taiwan</v>
          </cell>
          <cell r="D2515" t="str">
            <v>601-800</v>
          </cell>
          <cell r="E2515">
            <v>33.1</v>
          </cell>
          <cell r="F2515">
            <v>12.5</v>
          </cell>
          <cell r="G2515">
            <v>14</v>
          </cell>
          <cell r="H2515">
            <v>31.3</v>
          </cell>
          <cell r="I2515" t="str">
            <v>-</v>
          </cell>
          <cell r="J2515">
            <v>16867</v>
          </cell>
          <cell r="K2515">
            <v>18.399999999999999</v>
          </cell>
          <cell r="L2515">
            <v>0.1</v>
          </cell>
          <cell r="M2515">
            <v>2.4048611111111109</v>
          </cell>
          <cell r="N2515">
            <v>2016</v>
          </cell>
          <cell r="O2515" t="e">
            <v>#N/A</v>
          </cell>
          <cell r="P2515" t="e">
            <v>#N/A</v>
          </cell>
        </row>
        <row r="2516">
          <cell r="B2516" t="str">
            <v>National Chung Cheng University</v>
          </cell>
          <cell r="C2516" t="str">
            <v>Taiwan</v>
          </cell>
          <cell r="D2516" t="str">
            <v>601-800</v>
          </cell>
          <cell r="E2516">
            <v>14.2</v>
          </cell>
          <cell r="F2516">
            <v>20.3</v>
          </cell>
          <cell r="G2516">
            <v>15.7</v>
          </cell>
          <cell r="H2516">
            <v>40.799999999999997</v>
          </cell>
          <cell r="I2516" t="str">
            <v>-</v>
          </cell>
          <cell r="J2516">
            <v>11989</v>
          </cell>
          <cell r="K2516">
            <v>22.9</v>
          </cell>
          <cell r="L2516">
            <v>0.01</v>
          </cell>
          <cell r="N2516">
            <v>2016</v>
          </cell>
          <cell r="O2516">
            <v>855</v>
          </cell>
          <cell r="P2516">
            <v>14</v>
          </cell>
        </row>
        <row r="2517">
          <cell r="B2517" t="str">
            <v>National Chung Hsing University</v>
          </cell>
          <cell r="C2517" t="str">
            <v>Taiwan</v>
          </cell>
          <cell r="D2517" t="str">
            <v>601-800</v>
          </cell>
          <cell r="E2517">
            <v>16.899999999999999</v>
          </cell>
          <cell r="F2517">
            <v>16.8</v>
          </cell>
          <cell r="G2517">
            <v>24.5</v>
          </cell>
          <cell r="H2517">
            <v>42.5</v>
          </cell>
          <cell r="I2517" t="str">
            <v>-</v>
          </cell>
          <cell r="J2517">
            <v>15632</v>
          </cell>
          <cell r="K2517">
            <v>20.3</v>
          </cell>
          <cell r="L2517">
            <v>0.04</v>
          </cell>
          <cell r="M2517" t="str">
            <v>39 : 61</v>
          </cell>
          <cell r="N2517">
            <v>2016</v>
          </cell>
          <cell r="O2517">
            <v>635</v>
          </cell>
          <cell r="P2517">
            <v>8</v>
          </cell>
        </row>
        <row r="2518">
          <cell r="B2518" t="str">
            <v>National Taipei University of Technology</v>
          </cell>
          <cell r="C2518" t="str">
            <v>Taiwan</v>
          </cell>
          <cell r="D2518" t="str">
            <v>601-800</v>
          </cell>
          <cell r="E2518">
            <v>16</v>
          </cell>
          <cell r="F2518">
            <v>14.6</v>
          </cell>
          <cell r="G2518">
            <v>16.399999999999999</v>
          </cell>
          <cell r="H2518">
            <v>81.3</v>
          </cell>
          <cell r="I2518" t="str">
            <v>-</v>
          </cell>
          <cell r="J2518">
            <v>10227</v>
          </cell>
          <cell r="K2518">
            <v>16.5</v>
          </cell>
          <cell r="L2518">
            <v>0.03</v>
          </cell>
          <cell r="M2518" t="str">
            <v>25 : 75</v>
          </cell>
          <cell r="N2518">
            <v>2016</v>
          </cell>
          <cell r="O2518">
            <v>997</v>
          </cell>
          <cell r="P2518">
            <v>25</v>
          </cell>
        </row>
        <row r="2519">
          <cell r="B2519" t="str">
            <v>National Taiwan Ocean University</v>
          </cell>
          <cell r="C2519" t="str">
            <v>Taiwan</v>
          </cell>
          <cell r="D2519" t="str">
            <v>601-800</v>
          </cell>
          <cell r="E2519">
            <v>20.3</v>
          </cell>
          <cell r="F2519">
            <v>21</v>
          </cell>
          <cell r="G2519">
            <v>18.2</v>
          </cell>
          <cell r="H2519">
            <v>49.3</v>
          </cell>
          <cell r="I2519" t="str">
            <v>-</v>
          </cell>
          <cell r="J2519">
            <v>8240</v>
          </cell>
          <cell r="K2519">
            <v>20.9</v>
          </cell>
          <cell r="L2519">
            <v>0.05</v>
          </cell>
          <cell r="M2519" t="str">
            <v>30 : 70</v>
          </cell>
          <cell r="N2519">
            <v>2016</v>
          </cell>
          <cell r="O2519">
            <v>899</v>
          </cell>
          <cell r="P2519">
            <v>17</v>
          </cell>
        </row>
        <row r="2520">
          <cell r="B2520" t="str">
            <v>National University of CÃ³rdoba</v>
          </cell>
          <cell r="C2520" t="str">
            <v>Argentina</v>
          </cell>
          <cell r="D2520" t="str">
            <v>601-800</v>
          </cell>
          <cell r="E2520">
            <v>28.1</v>
          </cell>
          <cell r="F2520">
            <v>9</v>
          </cell>
          <cell r="G2520">
            <v>12.5</v>
          </cell>
          <cell r="H2520">
            <v>28.6</v>
          </cell>
          <cell r="I2520" t="str">
            <v>-</v>
          </cell>
          <cell r="J2520">
            <v>108373</v>
          </cell>
          <cell r="K2520">
            <v>38.1</v>
          </cell>
          <cell r="L2520">
            <v>0.02</v>
          </cell>
          <cell r="M2520">
            <v>2.6097222222222221</v>
          </cell>
          <cell r="N2520">
            <v>2016</v>
          </cell>
          <cell r="O2520">
            <v>897</v>
          </cell>
          <cell r="P2520">
            <v>3</v>
          </cell>
        </row>
        <row r="2521">
          <cell r="B2521" t="str">
            <v>National University of Science and Technology (MISiS)</v>
          </cell>
          <cell r="C2521" t="str">
            <v>Russian Federation</v>
          </cell>
          <cell r="D2521" t="str">
            <v>601-800</v>
          </cell>
          <cell r="E2521">
            <v>33.700000000000003</v>
          </cell>
          <cell r="F2521">
            <v>17.5</v>
          </cell>
          <cell r="G2521">
            <v>10.8</v>
          </cell>
          <cell r="H2521">
            <v>67.2</v>
          </cell>
          <cell r="I2521" t="str">
            <v>-</v>
          </cell>
          <cell r="J2521">
            <v>4441</v>
          </cell>
          <cell r="K2521">
            <v>6.7</v>
          </cell>
          <cell r="L2521">
            <v>0.13</v>
          </cell>
          <cell r="M2521">
            <v>1.83125</v>
          </cell>
          <cell r="N2521">
            <v>2016</v>
          </cell>
          <cell r="O2521" t="e">
            <v>#N/A</v>
          </cell>
          <cell r="P2521" t="e">
            <v>#N/A</v>
          </cell>
        </row>
        <row r="2522">
          <cell r="B2522" t="str">
            <v>National University of Sciences and Technology</v>
          </cell>
          <cell r="C2522" t="str">
            <v>Pakistan</v>
          </cell>
          <cell r="D2522" t="str">
            <v>601-800</v>
          </cell>
          <cell r="E2522">
            <v>31.3</v>
          </cell>
          <cell r="F2522">
            <v>7</v>
          </cell>
          <cell r="G2522">
            <v>35</v>
          </cell>
          <cell r="H2522">
            <v>31.3</v>
          </cell>
          <cell r="I2522" t="str">
            <v>-</v>
          </cell>
          <cell r="J2522">
            <v>9808</v>
          </cell>
          <cell r="K2522">
            <v>7.8</v>
          </cell>
          <cell r="L2522">
            <v>0.03</v>
          </cell>
          <cell r="M2522" t="str">
            <v>27 : 73</v>
          </cell>
          <cell r="N2522">
            <v>2016</v>
          </cell>
          <cell r="O2522" t="e">
            <v>#N/A</v>
          </cell>
          <cell r="P2522" t="e">
            <v>#N/A</v>
          </cell>
        </row>
        <row r="2523">
          <cell r="B2523" t="str">
            <v>Niigata University</v>
          </cell>
          <cell r="C2523" t="str">
            <v>Japan</v>
          </cell>
          <cell r="D2523" t="str">
            <v>601-800</v>
          </cell>
          <cell r="E2523">
            <v>19.3</v>
          </cell>
          <cell r="F2523">
            <v>10.1</v>
          </cell>
          <cell r="G2523">
            <v>17.5</v>
          </cell>
          <cell r="H2523">
            <v>33</v>
          </cell>
          <cell r="I2523" t="str">
            <v>-</v>
          </cell>
          <cell r="J2523">
            <v>12460</v>
          </cell>
          <cell r="K2523">
            <v>8.5</v>
          </cell>
          <cell r="L2523">
            <v>0.03</v>
          </cell>
          <cell r="M2523" t="str">
            <v>37 : 63</v>
          </cell>
          <cell r="N2523">
            <v>2016</v>
          </cell>
          <cell r="O2523">
            <v>424</v>
          </cell>
          <cell r="P2523">
            <v>22</v>
          </cell>
        </row>
        <row r="2524">
          <cell r="B2524" t="str">
            <v>Northumbria University</v>
          </cell>
          <cell r="C2524" t="str">
            <v>United Kingdom</v>
          </cell>
          <cell r="D2524" t="str">
            <v>601-800</v>
          </cell>
          <cell r="E2524">
            <v>55.1</v>
          </cell>
          <cell r="F2524">
            <v>10.9</v>
          </cell>
          <cell r="G2524">
            <v>29.2</v>
          </cell>
          <cell r="H2524">
            <v>29.1</v>
          </cell>
          <cell r="I2524" t="str">
            <v>-</v>
          </cell>
          <cell r="J2524">
            <v>22750</v>
          </cell>
          <cell r="K2524">
            <v>19.3</v>
          </cell>
          <cell r="L2524">
            <v>0.16</v>
          </cell>
          <cell r="M2524">
            <v>2.3229166666666665</v>
          </cell>
          <cell r="N2524">
            <v>2016</v>
          </cell>
          <cell r="O2524" t="e">
            <v>#N/A</v>
          </cell>
          <cell r="P2524" t="e">
            <v>#N/A</v>
          </cell>
        </row>
        <row r="2525">
          <cell r="B2525" t="str">
            <v>Northwestern Polytechnical University</v>
          </cell>
          <cell r="C2525" t="str">
            <v>China</v>
          </cell>
          <cell r="D2525" t="str">
            <v>601-800</v>
          </cell>
          <cell r="E2525">
            <v>15.2</v>
          </cell>
          <cell r="F2525">
            <v>15.4</v>
          </cell>
          <cell r="G2525">
            <v>3.5</v>
          </cell>
          <cell r="H2525">
            <v>28</v>
          </cell>
          <cell r="I2525" t="str">
            <v>-</v>
          </cell>
          <cell r="J2525">
            <v>23056</v>
          </cell>
          <cell r="K2525">
            <v>14.1</v>
          </cell>
          <cell r="L2525">
            <v>0.03</v>
          </cell>
          <cell r="M2525" t="str">
            <v>25 : 75</v>
          </cell>
          <cell r="N2525">
            <v>2016</v>
          </cell>
          <cell r="O2525">
            <v>947</v>
          </cell>
          <cell r="P2525">
            <v>67</v>
          </cell>
        </row>
        <row r="2526">
          <cell r="B2526" t="str">
            <v>Nottingham Trent University</v>
          </cell>
          <cell r="C2526" t="str">
            <v>United Kingdom</v>
          </cell>
          <cell r="D2526" t="str">
            <v>601-800</v>
          </cell>
          <cell r="E2526">
            <v>52.7</v>
          </cell>
          <cell r="F2526">
            <v>8.9</v>
          </cell>
          <cell r="G2526">
            <v>27.3</v>
          </cell>
          <cell r="H2526">
            <v>28.4</v>
          </cell>
          <cell r="I2526" t="str">
            <v>-</v>
          </cell>
          <cell r="J2526">
            <v>21852</v>
          </cell>
          <cell r="K2526">
            <v>17.399999999999999</v>
          </cell>
          <cell r="L2526">
            <v>0.18</v>
          </cell>
          <cell r="M2526">
            <v>2.3229166666666665</v>
          </cell>
          <cell r="N2526">
            <v>2016</v>
          </cell>
          <cell r="O2526" t="e">
            <v>#N/A</v>
          </cell>
          <cell r="P2526" t="e">
            <v>#N/A</v>
          </cell>
        </row>
        <row r="2527">
          <cell r="B2527" t="str">
            <v>Oakland University</v>
          </cell>
          <cell r="C2527" t="str">
            <v>United States of America</v>
          </cell>
          <cell r="D2527" t="str">
            <v>601-800</v>
          </cell>
          <cell r="E2527">
            <v>23.3</v>
          </cell>
          <cell r="F2527">
            <v>11.9</v>
          </cell>
          <cell r="G2527">
            <v>21.9</v>
          </cell>
          <cell r="H2527">
            <v>30.3</v>
          </cell>
          <cell r="I2527" t="str">
            <v>-</v>
          </cell>
          <cell r="J2527">
            <v>14584</v>
          </cell>
          <cell r="K2527">
            <v>19.8</v>
          </cell>
          <cell r="L2527">
            <v>0.02</v>
          </cell>
          <cell r="M2527">
            <v>2.5277777777777777</v>
          </cell>
          <cell r="N2527">
            <v>2016</v>
          </cell>
          <cell r="O2527">
            <v>864</v>
          </cell>
          <cell r="P2527">
            <v>223</v>
          </cell>
        </row>
        <row r="2528">
          <cell r="B2528" t="str">
            <v>Ocean University of China</v>
          </cell>
          <cell r="C2528" t="str">
            <v>China</v>
          </cell>
          <cell r="D2528" t="str">
            <v>601-800</v>
          </cell>
          <cell r="E2528">
            <v>15.6</v>
          </cell>
          <cell r="F2528">
            <v>10.7</v>
          </cell>
          <cell r="G2528">
            <v>12.9</v>
          </cell>
          <cell r="H2528">
            <v>50.1</v>
          </cell>
          <cell r="I2528" t="str">
            <v>-</v>
          </cell>
          <cell r="J2528">
            <v>36205</v>
          </cell>
          <cell r="K2528">
            <v>20.6</v>
          </cell>
          <cell r="L2528">
            <v>0.01</v>
          </cell>
          <cell r="M2528" t="str">
            <v>40 : 60</v>
          </cell>
          <cell r="N2528">
            <v>2016</v>
          </cell>
          <cell r="O2528">
            <v>870</v>
          </cell>
          <cell r="P2528">
            <v>51</v>
          </cell>
        </row>
        <row r="2529">
          <cell r="B2529" t="str">
            <v>Ohio University</v>
          </cell>
          <cell r="C2529" t="str">
            <v>United States of America</v>
          </cell>
          <cell r="D2529" t="str">
            <v>601-800</v>
          </cell>
          <cell r="E2529">
            <v>33.6</v>
          </cell>
          <cell r="F2529">
            <v>14.9</v>
          </cell>
          <cell r="G2529">
            <v>24.6</v>
          </cell>
          <cell r="H2529">
            <v>30.1</v>
          </cell>
          <cell r="I2529" t="str">
            <v>-</v>
          </cell>
          <cell r="J2529">
            <v>22224</v>
          </cell>
          <cell r="K2529">
            <v>20</v>
          </cell>
          <cell r="L2529">
            <v>0.1</v>
          </cell>
          <cell r="M2529">
            <v>2.1180555555555554</v>
          </cell>
          <cell r="N2529">
            <v>2016</v>
          </cell>
          <cell r="O2529">
            <v>464</v>
          </cell>
          <cell r="P2529">
            <v>149</v>
          </cell>
        </row>
        <row r="2530">
          <cell r="B2530" t="str">
            <v>Okayama University</v>
          </cell>
          <cell r="C2530" t="str">
            <v>Japan</v>
          </cell>
          <cell r="D2530" t="str">
            <v>601-800</v>
          </cell>
          <cell r="E2530">
            <v>20.6</v>
          </cell>
          <cell r="F2530">
            <v>14.9</v>
          </cell>
          <cell r="G2530">
            <v>25.3</v>
          </cell>
          <cell r="H2530">
            <v>48</v>
          </cell>
          <cell r="I2530" t="str">
            <v>-</v>
          </cell>
          <cell r="J2530">
            <v>13035</v>
          </cell>
          <cell r="K2530">
            <v>8.6</v>
          </cell>
          <cell r="L2530">
            <v>0.03</v>
          </cell>
          <cell r="M2530" t="str">
            <v>38 : 62</v>
          </cell>
          <cell r="N2530">
            <v>2016</v>
          </cell>
          <cell r="O2530">
            <v>281</v>
          </cell>
          <cell r="P2530">
            <v>15</v>
          </cell>
        </row>
        <row r="2531">
          <cell r="B2531" t="str">
            <v>Osaka Prefecture University</v>
          </cell>
          <cell r="C2531" t="str">
            <v>Japan</v>
          </cell>
          <cell r="D2531" t="str">
            <v>601-800</v>
          </cell>
          <cell r="E2531">
            <v>17.600000000000001</v>
          </cell>
          <cell r="F2531">
            <v>10.199999999999999</v>
          </cell>
          <cell r="G2531">
            <v>17.5</v>
          </cell>
          <cell r="H2531">
            <v>41.5</v>
          </cell>
          <cell r="I2531" t="str">
            <v>-</v>
          </cell>
          <cell r="J2531">
            <v>8051</v>
          </cell>
          <cell r="K2531">
            <v>7.5</v>
          </cell>
          <cell r="L2531">
            <v>0.03</v>
          </cell>
          <cell r="M2531" t="str">
            <v>36 : 64</v>
          </cell>
          <cell r="N2531">
            <v>2016</v>
          </cell>
          <cell r="O2531">
            <v>594</v>
          </cell>
          <cell r="P2531">
            <v>39</v>
          </cell>
        </row>
        <row r="2532">
          <cell r="B2532" t="str">
            <v>University of Pardubice</v>
          </cell>
          <cell r="C2532" t="str">
            <v>Czech Republic</v>
          </cell>
          <cell r="D2532" t="str">
            <v>601-800</v>
          </cell>
          <cell r="E2532">
            <v>23.4</v>
          </cell>
          <cell r="F2532">
            <v>11.9</v>
          </cell>
          <cell r="G2532">
            <v>11.1</v>
          </cell>
          <cell r="H2532">
            <v>28.3</v>
          </cell>
          <cell r="I2532" t="str">
            <v>-</v>
          </cell>
          <cell r="J2532">
            <v>10671</v>
          </cell>
          <cell r="K2532">
            <v>19.8</v>
          </cell>
          <cell r="L2532">
            <v>0.04</v>
          </cell>
          <cell r="M2532">
            <v>2.3229166666666665</v>
          </cell>
          <cell r="N2532">
            <v>2016</v>
          </cell>
          <cell r="O2532" t="e">
            <v>#N/A</v>
          </cell>
          <cell r="P2532" t="e">
            <v>#N/A</v>
          </cell>
        </row>
        <row r="2533">
          <cell r="B2533" t="str">
            <v>University of Paris North â€“ Paris 13</v>
          </cell>
          <cell r="C2533" t="str">
            <v>France</v>
          </cell>
          <cell r="D2533" t="str">
            <v>601-800</v>
          </cell>
          <cell r="E2533">
            <v>46.4</v>
          </cell>
          <cell r="F2533">
            <v>11.6</v>
          </cell>
          <cell r="G2533">
            <v>36.200000000000003</v>
          </cell>
          <cell r="H2533">
            <v>28</v>
          </cell>
          <cell r="I2533" t="str">
            <v>-</v>
          </cell>
          <cell r="J2533">
            <v>23026</v>
          </cell>
          <cell r="K2533">
            <v>23.4</v>
          </cell>
          <cell r="L2533">
            <v>0.22</v>
          </cell>
          <cell r="M2533">
            <v>2.5277777777777777</v>
          </cell>
          <cell r="N2533">
            <v>2016</v>
          </cell>
          <cell r="O2533" t="e">
            <v>#N/A</v>
          </cell>
          <cell r="P2533" t="e">
            <v>#N/A</v>
          </cell>
        </row>
        <row r="2534">
          <cell r="B2534" t="str">
            <v>Paris-Sorbonne University â€“ Paris 4</v>
          </cell>
          <cell r="C2534" t="str">
            <v>France</v>
          </cell>
          <cell r="D2534" t="str">
            <v>601-800</v>
          </cell>
          <cell r="E2534">
            <v>44.2</v>
          </cell>
          <cell r="F2534">
            <v>21.3</v>
          </cell>
          <cell r="G2534">
            <v>7.1</v>
          </cell>
          <cell r="H2534">
            <v>28.5</v>
          </cell>
          <cell r="I2534" t="str">
            <v>-</v>
          </cell>
          <cell r="J2534">
            <v>21580</v>
          </cell>
          <cell r="K2534">
            <v>27.4</v>
          </cell>
          <cell r="L2534">
            <v>0.21</v>
          </cell>
          <cell r="M2534">
            <v>2.8965277777777776</v>
          </cell>
          <cell r="N2534">
            <v>2016</v>
          </cell>
          <cell r="O2534" t="e">
            <v>#N/A</v>
          </cell>
          <cell r="P2534" t="e">
            <v>#N/A</v>
          </cell>
        </row>
        <row r="2535">
          <cell r="B2535" t="str">
            <v>University of Patras</v>
          </cell>
          <cell r="C2535" t="str">
            <v>Greece</v>
          </cell>
          <cell r="D2535" t="str">
            <v>601-800</v>
          </cell>
          <cell r="E2535">
            <v>30.6</v>
          </cell>
          <cell r="F2535">
            <v>12.1</v>
          </cell>
          <cell r="G2535">
            <v>28.8</v>
          </cell>
          <cell r="H2535">
            <v>48.3</v>
          </cell>
          <cell r="I2535" t="str">
            <v>-</v>
          </cell>
          <cell r="J2535">
            <v>29251</v>
          </cell>
          <cell r="K2535">
            <v>40.9</v>
          </cell>
          <cell r="L2535">
            <v>0.04</v>
          </cell>
          <cell r="M2535">
            <v>1.9541666666666666</v>
          </cell>
          <cell r="N2535">
            <v>2016</v>
          </cell>
          <cell r="O2535">
            <v>631</v>
          </cell>
          <cell r="P2535">
            <v>5</v>
          </cell>
        </row>
        <row r="2536">
          <cell r="B2536" t="str">
            <v>University of PÃ©cs</v>
          </cell>
          <cell r="C2536" t="str">
            <v>Hungary</v>
          </cell>
          <cell r="D2536" t="str">
            <v>601-800</v>
          </cell>
          <cell r="E2536">
            <v>50.8</v>
          </cell>
          <cell r="F2536">
            <v>9</v>
          </cell>
          <cell r="G2536">
            <v>23.4</v>
          </cell>
          <cell r="H2536">
            <v>28.4</v>
          </cell>
          <cell r="I2536" t="str">
            <v>-</v>
          </cell>
          <cell r="J2536">
            <v>21819</v>
          </cell>
          <cell r="K2536">
            <v>15.4</v>
          </cell>
          <cell r="L2536">
            <v>0.1</v>
          </cell>
          <cell r="N2536">
            <v>2016</v>
          </cell>
          <cell r="O2536">
            <v>862</v>
          </cell>
          <cell r="P2536">
            <v>6</v>
          </cell>
        </row>
        <row r="2537">
          <cell r="B2537" t="str">
            <v>Polytechnic University of Valencia</v>
          </cell>
          <cell r="C2537" t="str">
            <v>Spain</v>
          </cell>
          <cell r="D2537" t="str">
            <v>601-800</v>
          </cell>
          <cell r="E2537">
            <v>32.9</v>
          </cell>
          <cell r="F2537">
            <v>12.7</v>
          </cell>
          <cell r="G2537">
            <v>34.299999999999997</v>
          </cell>
          <cell r="H2537">
            <v>43.8</v>
          </cell>
          <cell r="I2537" t="str">
            <v>-</v>
          </cell>
          <cell r="J2537">
            <v>33172</v>
          </cell>
          <cell r="K2537">
            <v>13.6</v>
          </cell>
          <cell r="L2537">
            <v>7.0000000000000007E-2</v>
          </cell>
          <cell r="M2537" t="str">
            <v>36 : 64</v>
          </cell>
          <cell r="N2537">
            <v>2016</v>
          </cell>
          <cell r="O2537">
            <v>474</v>
          </cell>
          <cell r="P2537">
            <v>13</v>
          </cell>
        </row>
        <row r="2538">
          <cell r="B2538" t="str">
            <v>Pontifical Catholic University of ParanÃ¡</v>
          </cell>
          <cell r="C2538" t="str">
            <v>Brazil</v>
          </cell>
          <cell r="D2538" t="str">
            <v>601-800</v>
          </cell>
          <cell r="E2538">
            <v>18.600000000000001</v>
          </cell>
          <cell r="F2538">
            <v>6.5</v>
          </cell>
          <cell r="G2538">
            <v>32.200000000000003</v>
          </cell>
          <cell r="H2538">
            <v>28</v>
          </cell>
          <cell r="I2538" t="str">
            <v>-</v>
          </cell>
          <cell r="J2538">
            <v>7741</v>
          </cell>
          <cell r="K2538">
            <v>10.9</v>
          </cell>
          <cell r="L2538">
            <v>0.02</v>
          </cell>
          <cell r="M2538">
            <v>0.11041666666666666</v>
          </cell>
          <cell r="N2538">
            <v>2016</v>
          </cell>
          <cell r="O2538" t="e">
            <v>#N/A</v>
          </cell>
          <cell r="P2538" t="e">
            <v>#N/A</v>
          </cell>
        </row>
        <row r="2539">
          <cell r="B2539" t="str">
            <v>Pontifical Catholic University of Rio Grande do Sul (PUCRS)</v>
          </cell>
          <cell r="C2539" t="str">
            <v>Brazil</v>
          </cell>
          <cell r="D2539" t="str">
            <v>601-800</v>
          </cell>
          <cell r="E2539">
            <v>18.7</v>
          </cell>
          <cell r="F2539">
            <v>10.9</v>
          </cell>
          <cell r="G2539">
            <v>27.6</v>
          </cell>
          <cell r="H2539">
            <v>52.3</v>
          </cell>
          <cell r="I2539" t="str">
            <v>-</v>
          </cell>
          <cell r="J2539">
            <v>14797</v>
          </cell>
          <cell r="K2539">
            <v>10.1</v>
          </cell>
          <cell r="L2539">
            <v>0</v>
          </cell>
          <cell r="M2539">
            <v>2.1180555555555554</v>
          </cell>
          <cell r="N2539">
            <v>2016</v>
          </cell>
          <cell r="O2539" t="e">
            <v>#N/A</v>
          </cell>
          <cell r="P2539" t="e">
            <v>#N/A</v>
          </cell>
        </row>
        <row r="2540">
          <cell r="B2540" t="str">
            <v>Pontifical Catholic University of ValparaÃ­so</v>
          </cell>
          <cell r="C2540" t="str">
            <v>Chile</v>
          </cell>
          <cell r="D2540" t="str">
            <v>601-800</v>
          </cell>
          <cell r="E2540">
            <v>35.700000000000003</v>
          </cell>
          <cell r="F2540">
            <v>8</v>
          </cell>
          <cell r="G2540">
            <v>10.4</v>
          </cell>
          <cell r="H2540">
            <v>44.3</v>
          </cell>
          <cell r="I2540" t="str">
            <v>-</v>
          </cell>
          <cell r="J2540">
            <v>13493</v>
          </cell>
          <cell r="K2540">
            <v>10.4</v>
          </cell>
          <cell r="L2540">
            <v>0</v>
          </cell>
          <cell r="M2540">
            <v>1.9131944444444444</v>
          </cell>
          <cell r="N2540">
            <v>2016</v>
          </cell>
          <cell r="O2540" t="e">
            <v>#N/A</v>
          </cell>
          <cell r="P2540" t="e">
            <v>#N/A</v>
          </cell>
        </row>
        <row r="2541">
          <cell r="B2541" t="str">
            <v>Prince of Songkla University</v>
          </cell>
          <cell r="C2541" t="str">
            <v>Thailand</v>
          </cell>
          <cell r="D2541" t="str">
            <v>601-800</v>
          </cell>
          <cell r="E2541">
            <v>31</v>
          </cell>
          <cell r="F2541">
            <v>7</v>
          </cell>
          <cell r="G2541">
            <v>22.2</v>
          </cell>
          <cell r="H2541">
            <v>31.6</v>
          </cell>
          <cell r="I2541" t="str">
            <v>-</v>
          </cell>
          <cell r="J2541">
            <v>38274</v>
          </cell>
          <cell r="K2541">
            <v>16.100000000000001</v>
          </cell>
          <cell r="L2541">
            <v>0.01</v>
          </cell>
          <cell r="M2541">
            <v>2.8965277777777776</v>
          </cell>
          <cell r="N2541">
            <v>2016</v>
          </cell>
          <cell r="O2541" t="e">
            <v>#N/A</v>
          </cell>
          <cell r="P2541" t="e">
            <v>#N/A</v>
          </cell>
        </row>
        <row r="2542">
          <cell r="B2542" t="str">
            <v>Qatar University</v>
          </cell>
          <cell r="C2542" t="str">
            <v>Qatar</v>
          </cell>
          <cell r="D2542" t="str">
            <v>601-800</v>
          </cell>
          <cell r="E2542">
            <v>99.9</v>
          </cell>
          <cell r="F2542">
            <v>10.3</v>
          </cell>
          <cell r="G2542">
            <v>22.3</v>
          </cell>
          <cell r="H2542">
            <v>55.2</v>
          </cell>
          <cell r="I2542" t="str">
            <v>-</v>
          </cell>
          <cell r="J2542">
            <v>9583</v>
          </cell>
          <cell r="K2542">
            <v>19</v>
          </cell>
          <cell r="L2542">
            <v>0.42</v>
          </cell>
          <cell r="M2542">
            <v>3.1013888888888888</v>
          </cell>
          <cell r="N2542">
            <v>2016</v>
          </cell>
          <cell r="O2542" t="e">
            <v>#N/A</v>
          </cell>
          <cell r="P2542" t="e">
            <v>#N/A</v>
          </cell>
        </row>
        <row r="2543">
          <cell r="B2543" t="str">
            <v>Rio de Janeiro State University (UERJ)</v>
          </cell>
          <cell r="C2543" t="str">
            <v>Brazil</v>
          </cell>
          <cell r="D2543" t="str">
            <v>601-800</v>
          </cell>
          <cell r="E2543">
            <v>16.8</v>
          </cell>
          <cell r="F2543">
            <v>9.1</v>
          </cell>
          <cell r="G2543">
            <v>12.3</v>
          </cell>
          <cell r="H2543">
            <v>30.8</v>
          </cell>
          <cell r="I2543" t="str">
            <v>-</v>
          </cell>
          <cell r="J2543">
            <v>28757</v>
          </cell>
          <cell r="K2543">
            <v>10.1</v>
          </cell>
          <cell r="L2543">
            <v>0</v>
          </cell>
          <cell r="M2543">
            <v>1.9541666666666666</v>
          </cell>
          <cell r="N2543">
            <v>2016</v>
          </cell>
          <cell r="O2543" t="e">
            <v>#N/A</v>
          </cell>
          <cell r="P2543" t="e">
            <v>#N/A</v>
          </cell>
        </row>
        <row r="2544">
          <cell r="B2544" t="str">
            <v>Rochester Institute of Technology</v>
          </cell>
          <cell r="C2544" t="str">
            <v>United States of America</v>
          </cell>
          <cell r="D2544" t="str">
            <v>601-800</v>
          </cell>
          <cell r="E2544">
            <v>29.8</v>
          </cell>
          <cell r="F2544">
            <v>13.4</v>
          </cell>
          <cell r="G2544">
            <v>25.1</v>
          </cell>
          <cell r="H2544">
            <v>30.4</v>
          </cell>
          <cell r="I2544" t="str">
            <v>-</v>
          </cell>
          <cell r="J2544">
            <v>12965</v>
          </cell>
          <cell r="K2544">
            <v>13.5</v>
          </cell>
          <cell r="L2544">
            <v>0.13</v>
          </cell>
          <cell r="M2544" t="str">
            <v>34 : 66</v>
          </cell>
          <cell r="N2544">
            <v>2016</v>
          </cell>
          <cell r="O2544">
            <v>665</v>
          </cell>
          <cell r="P2544">
            <v>191</v>
          </cell>
        </row>
        <row r="2545">
          <cell r="B2545" t="str">
            <v>Saitama University</v>
          </cell>
          <cell r="C2545" t="str">
            <v>Japan</v>
          </cell>
          <cell r="D2545" t="str">
            <v>601-800</v>
          </cell>
          <cell r="E2545">
            <v>20.6</v>
          </cell>
          <cell r="F2545">
            <v>9.6</v>
          </cell>
          <cell r="G2545">
            <v>23.4</v>
          </cell>
          <cell r="H2545">
            <v>29.6</v>
          </cell>
          <cell r="I2545" t="str">
            <v>-</v>
          </cell>
          <cell r="J2545">
            <v>7469</v>
          </cell>
          <cell r="K2545">
            <v>11.7</v>
          </cell>
          <cell r="L2545">
            <v>0.02</v>
          </cell>
          <cell r="M2545" t="str">
            <v>33 : 67</v>
          </cell>
          <cell r="N2545">
            <v>2016</v>
          </cell>
          <cell r="O2545">
            <v>858</v>
          </cell>
          <cell r="P2545">
            <v>67</v>
          </cell>
        </row>
        <row r="2546">
          <cell r="B2546" t="str">
            <v>University of Salford</v>
          </cell>
          <cell r="C2546" t="str">
            <v>United Kingdom</v>
          </cell>
          <cell r="D2546" t="str">
            <v>601-800</v>
          </cell>
          <cell r="E2546">
            <v>66.400000000000006</v>
          </cell>
          <cell r="F2546">
            <v>12.1</v>
          </cell>
          <cell r="G2546">
            <v>21.2</v>
          </cell>
          <cell r="H2546">
            <v>28.8</v>
          </cell>
          <cell r="I2546" t="str">
            <v>-</v>
          </cell>
          <cell r="J2546">
            <v>16152</v>
          </cell>
          <cell r="K2546">
            <v>17</v>
          </cell>
          <cell r="L2546">
            <v>0.25</v>
          </cell>
          <cell r="M2546">
            <v>2.1590277777777778</v>
          </cell>
          <cell r="N2546">
            <v>2016</v>
          </cell>
          <cell r="O2546" t="e">
            <v>#N/A</v>
          </cell>
          <cell r="P2546" t="e">
            <v>#N/A</v>
          </cell>
        </row>
        <row r="2547">
          <cell r="B2547" t="str">
            <v>University of Santiago, Chile (USACH)</v>
          </cell>
          <cell r="C2547" t="str">
            <v>Chile</v>
          </cell>
          <cell r="D2547" t="str">
            <v>601-800</v>
          </cell>
          <cell r="E2547">
            <v>40.4</v>
          </cell>
          <cell r="F2547">
            <v>11.3</v>
          </cell>
          <cell r="G2547">
            <v>10.199999999999999</v>
          </cell>
          <cell r="H2547">
            <v>31</v>
          </cell>
          <cell r="I2547" t="str">
            <v>-</v>
          </cell>
          <cell r="J2547">
            <v>22739</v>
          </cell>
          <cell r="K2547">
            <v>23.6</v>
          </cell>
          <cell r="L2547">
            <v>0.01</v>
          </cell>
          <cell r="M2547" t="str">
            <v>39 : 61</v>
          </cell>
          <cell r="N2547">
            <v>2016</v>
          </cell>
          <cell r="O2547" t="e">
            <v>#N/A</v>
          </cell>
          <cell r="P2547" t="e">
            <v>#N/A</v>
          </cell>
        </row>
        <row r="2548">
          <cell r="B2548" t="str">
            <v>SÃ£o Paulo State University (UNESP)</v>
          </cell>
          <cell r="C2548" t="str">
            <v>Brazil</v>
          </cell>
          <cell r="D2548" t="str">
            <v>601-800</v>
          </cell>
          <cell r="E2548">
            <v>18.7</v>
          </cell>
          <cell r="F2548">
            <v>22.6</v>
          </cell>
          <cell r="G2548">
            <v>6.7</v>
          </cell>
          <cell r="H2548">
            <v>40.1</v>
          </cell>
          <cell r="I2548" t="str">
            <v>-</v>
          </cell>
          <cell r="J2548">
            <v>50594</v>
          </cell>
          <cell r="K2548">
            <v>13</v>
          </cell>
          <cell r="L2548">
            <v>0.05</v>
          </cell>
          <cell r="M2548">
            <v>2.2000000000000002</v>
          </cell>
          <cell r="N2548">
            <v>2016</v>
          </cell>
          <cell r="O2548" t="e">
            <v>#N/A</v>
          </cell>
          <cell r="P2548" t="e">
            <v>#N/A</v>
          </cell>
        </row>
        <row r="2549">
          <cell r="B2549" t="str">
            <v>Savitribai Phule Pune University</v>
          </cell>
          <cell r="C2549" t="str">
            <v>India</v>
          </cell>
          <cell r="D2549" t="str">
            <v>601-800</v>
          </cell>
          <cell r="E2549">
            <v>17.3</v>
          </cell>
          <cell r="F2549">
            <v>12.4</v>
          </cell>
          <cell r="G2549">
            <v>11.4</v>
          </cell>
          <cell r="H2549">
            <v>29.3</v>
          </cell>
          <cell r="I2549" t="str">
            <v>-</v>
          </cell>
          <cell r="J2549">
            <v>4858</v>
          </cell>
          <cell r="K2549">
            <v>14.6</v>
          </cell>
          <cell r="L2549">
            <v>0.03</v>
          </cell>
          <cell r="M2549" t="str">
            <v>25 : 75</v>
          </cell>
          <cell r="N2549">
            <v>2016</v>
          </cell>
          <cell r="O2549" t="e">
            <v>#N/A</v>
          </cell>
          <cell r="P2549" t="e">
            <v>#N/A</v>
          </cell>
        </row>
        <row r="2550">
          <cell r="B2550" t="str">
            <v>University of Science and Technology Beijing</v>
          </cell>
          <cell r="C2550" t="str">
            <v>China</v>
          </cell>
          <cell r="D2550" t="str">
            <v>601-800</v>
          </cell>
          <cell r="E2550">
            <v>15.6</v>
          </cell>
          <cell r="F2550">
            <v>22.4</v>
          </cell>
          <cell r="G2550">
            <v>6.9</v>
          </cell>
          <cell r="H2550">
            <v>89.7</v>
          </cell>
          <cell r="I2550" t="str">
            <v>-</v>
          </cell>
          <cell r="J2550">
            <v>22780</v>
          </cell>
          <cell r="K2550">
            <v>15.1</v>
          </cell>
          <cell r="L2550">
            <v>0.04</v>
          </cell>
          <cell r="M2550" t="str">
            <v>36 : 64</v>
          </cell>
          <cell r="N2550">
            <v>2016</v>
          </cell>
          <cell r="O2550">
            <v>599</v>
          </cell>
          <cell r="P2550">
            <v>29</v>
          </cell>
        </row>
        <row r="2551">
          <cell r="B2551" t="str">
            <v>Sejong University</v>
          </cell>
          <cell r="C2551" t="str">
            <v>South Korea</v>
          </cell>
          <cell r="D2551" t="str">
            <v>601-800</v>
          </cell>
          <cell r="E2551">
            <v>25.2</v>
          </cell>
          <cell r="F2551">
            <v>12.2</v>
          </cell>
          <cell r="G2551">
            <v>38.700000000000003</v>
          </cell>
          <cell r="H2551">
            <v>35.4</v>
          </cell>
          <cell r="I2551" t="str">
            <v>-</v>
          </cell>
          <cell r="J2551">
            <v>11704</v>
          </cell>
          <cell r="K2551">
            <v>15.5</v>
          </cell>
          <cell r="L2551">
            <v>0.03</v>
          </cell>
          <cell r="M2551">
            <v>1.83125</v>
          </cell>
          <cell r="N2551">
            <v>2016</v>
          </cell>
          <cell r="O2551">
            <v>832</v>
          </cell>
          <cell r="P2551">
            <v>29</v>
          </cell>
        </row>
        <row r="2552">
          <cell r="B2552" t="str">
            <v>University of Seoul</v>
          </cell>
          <cell r="C2552" t="str">
            <v>South Korea</v>
          </cell>
          <cell r="D2552" t="str">
            <v>601-800</v>
          </cell>
          <cell r="E2552">
            <v>18.7</v>
          </cell>
          <cell r="F2552">
            <v>17.5</v>
          </cell>
          <cell r="G2552">
            <v>21.4</v>
          </cell>
          <cell r="H2552">
            <v>28.9</v>
          </cell>
          <cell r="I2552" t="str">
            <v>-</v>
          </cell>
          <cell r="J2552">
            <v>10243</v>
          </cell>
          <cell r="K2552">
            <v>19</v>
          </cell>
          <cell r="L2552">
            <v>0.03</v>
          </cell>
          <cell r="M2552" t="str">
            <v>36 : 64</v>
          </cell>
          <cell r="N2552">
            <v>2016</v>
          </cell>
          <cell r="O2552">
            <v>970</v>
          </cell>
          <cell r="P2552">
            <v>34</v>
          </cell>
        </row>
        <row r="2553">
          <cell r="B2553" t="str">
            <v>Shahid Beheshti University</v>
          </cell>
          <cell r="C2553" t="str">
            <v>Iran</v>
          </cell>
          <cell r="D2553" t="str">
            <v>601-800</v>
          </cell>
          <cell r="E2553">
            <v>13.8</v>
          </cell>
          <cell r="F2553">
            <v>19</v>
          </cell>
          <cell r="G2553">
            <v>11.4</v>
          </cell>
          <cell r="H2553">
            <v>58.9</v>
          </cell>
          <cell r="I2553" t="str">
            <v>-</v>
          </cell>
          <cell r="J2553">
            <v>17800</v>
          </cell>
          <cell r="K2553">
            <v>24.9</v>
          </cell>
          <cell r="L2553">
            <v>0.01</v>
          </cell>
          <cell r="M2553">
            <v>2.2000000000000002</v>
          </cell>
          <cell r="N2553">
            <v>2016</v>
          </cell>
          <cell r="O2553" t="e">
            <v>#N/A</v>
          </cell>
          <cell r="P2553" t="e">
            <v>#N/A</v>
          </cell>
        </row>
        <row r="2554">
          <cell r="B2554" t="str">
            <v>Shanghai University</v>
          </cell>
          <cell r="C2554" t="str">
            <v>China</v>
          </cell>
          <cell r="D2554" t="str">
            <v>601-800</v>
          </cell>
          <cell r="E2554">
            <v>15.8</v>
          </cell>
          <cell r="F2554">
            <v>16.100000000000001</v>
          </cell>
          <cell r="G2554">
            <v>14.8</v>
          </cell>
          <cell r="H2554">
            <v>45.7</v>
          </cell>
          <cell r="I2554" t="str">
            <v>-</v>
          </cell>
          <cell r="J2554">
            <v>46044</v>
          </cell>
          <cell r="K2554">
            <v>17.5</v>
          </cell>
          <cell r="L2554">
            <v>0.03</v>
          </cell>
          <cell r="M2554">
            <v>2.036111111111111</v>
          </cell>
          <cell r="N2554">
            <v>2016</v>
          </cell>
          <cell r="O2554">
            <v>722</v>
          </cell>
          <cell r="P2554">
            <v>38</v>
          </cell>
        </row>
        <row r="2555">
          <cell r="B2555" t="str">
            <v>Shantou University</v>
          </cell>
          <cell r="C2555" t="str">
            <v>China</v>
          </cell>
          <cell r="D2555" t="str">
            <v>601-800</v>
          </cell>
          <cell r="E2555">
            <v>30.7</v>
          </cell>
          <cell r="F2555">
            <v>9.1</v>
          </cell>
          <cell r="G2555">
            <v>28.3</v>
          </cell>
          <cell r="H2555">
            <v>30.7</v>
          </cell>
          <cell r="I2555" t="str">
            <v>-</v>
          </cell>
          <cell r="J2555">
            <v>9593</v>
          </cell>
          <cell r="K2555">
            <v>13.5</v>
          </cell>
          <cell r="L2555">
            <v>0</v>
          </cell>
          <cell r="M2555">
            <v>2.036111111111111</v>
          </cell>
          <cell r="N2555">
            <v>2016</v>
          </cell>
          <cell r="O2555" t="e">
            <v>#N/A</v>
          </cell>
          <cell r="P2555" t="e">
            <v>#N/A</v>
          </cell>
        </row>
        <row r="2556">
          <cell r="B2556" t="str">
            <v>Sheffield Hallam University</v>
          </cell>
          <cell r="C2556" t="str">
            <v>United Kingdom</v>
          </cell>
          <cell r="D2556" t="str">
            <v>601-800</v>
          </cell>
          <cell r="E2556">
            <v>47</v>
          </cell>
          <cell r="F2556">
            <v>9.4</v>
          </cell>
          <cell r="G2556">
            <v>20.100000000000001</v>
          </cell>
          <cell r="H2556">
            <v>28.6</v>
          </cell>
          <cell r="I2556" t="str">
            <v>-</v>
          </cell>
          <cell r="J2556">
            <v>27477</v>
          </cell>
          <cell r="K2556">
            <v>18.8</v>
          </cell>
          <cell r="L2556">
            <v>0.15</v>
          </cell>
          <cell r="M2556">
            <v>2.2409722222222221</v>
          </cell>
          <cell r="N2556">
            <v>2016</v>
          </cell>
          <cell r="O2556" t="e">
            <v>#N/A</v>
          </cell>
          <cell r="P2556" t="e">
            <v>#N/A</v>
          </cell>
        </row>
        <row r="2557">
          <cell r="B2557" t="str">
            <v>Shinshu University</v>
          </cell>
          <cell r="C2557" t="str">
            <v>Japan</v>
          </cell>
          <cell r="D2557" t="str">
            <v>601-800</v>
          </cell>
          <cell r="E2557">
            <v>20.3</v>
          </cell>
          <cell r="F2557">
            <v>8.3000000000000007</v>
          </cell>
          <cell r="G2557">
            <v>22</v>
          </cell>
          <cell r="H2557">
            <v>31.6</v>
          </cell>
          <cell r="I2557" t="str">
            <v>-</v>
          </cell>
          <cell r="J2557">
            <v>11232</v>
          </cell>
          <cell r="K2557">
            <v>9.6</v>
          </cell>
          <cell r="L2557">
            <v>0.03</v>
          </cell>
          <cell r="N2557">
            <v>2016</v>
          </cell>
          <cell r="O2557">
            <v>471</v>
          </cell>
          <cell r="P2557">
            <v>26</v>
          </cell>
        </row>
        <row r="2558">
          <cell r="B2558" t="str">
            <v>Showa University</v>
          </cell>
          <cell r="C2558" t="str">
            <v>Japan</v>
          </cell>
          <cell r="D2558" t="str">
            <v>601-800</v>
          </cell>
          <cell r="E2558">
            <v>14</v>
          </cell>
          <cell r="F2558">
            <v>7.9</v>
          </cell>
          <cell r="G2558">
            <v>7</v>
          </cell>
          <cell r="H2558" t="str">
            <v>-</v>
          </cell>
          <cell r="I2558" t="str">
            <v>-</v>
          </cell>
          <cell r="J2558">
            <v>3675</v>
          </cell>
          <cell r="K2558">
            <v>2.5</v>
          </cell>
          <cell r="L2558">
            <v>0</v>
          </cell>
          <cell r="M2558">
            <v>2.4048611111111109</v>
          </cell>
          <cell r="N2558">
            <v>2016</v>
          </cell>
          <cell r="O2558">
            <v>745</v>
          </cell>
          <cell r="P2558">
            <v>53</v>
          </cell>
        </row>
        <row r="2559">
          <cell r="B2559" t="str">
            <v>Sichuan University</v>
          </cell>
          <cell r="C2559" t="str">
            <v>China</v>
          </cell>
          <cell r="D2559" t="str">
            <v>601-800</v>
          </cell>
          <cell r="E2559">
            <v>15.7</v>
          </cell>
          <cell r="F2559">
            <v>18.399999999999999</v>
          </cell>
          <cell r="G2559">
            <v>16.100000000000001</v>
          </cell>
          <cell r="H2559">
            <v>90.8</v>
          </cell>
          <cell r="I2559" t="str">
            <v>-</v>
          </cell>
          <cell r="J2559">
            <v>65035</v>
          </cell>
          <cell r="K2559">
            <v>14.5</v>
          </cell>
          <cell r="L2559">
            <v>0.02</v>
          </cell>
          <cell r="M2559">
            <v>2.036111111111111</v>
          </cell>
          <cell r="N2559">
            <v>2016</v>
          </cell>
          <cell r="O2559">
            <v>515</v>
          </cell>
          <cell r="P2559">
            <v>24</v>
          </cell>
        </row>
        <row r="2560">
          <cell r="B2560" t="str">
            <v>University of Silesia in Katowice</v>
          </cell>
          <cell r="C2560" t="str">
            <v>Poland</v>
          </cell>
          <cell r="D2560" t="str">
            <v>601-800</v>
          </cell>
          <cell r="E2560">
            <v>18.5</v>
          </cell>
          <cell r="F2560">
            <v>8</v>
          </cell>
          <cell r="G2560">
            <v>20.399999999999999</v>
          </cell>
          <cell r="H2560">
            <v>28.1</v>
          </cell>
          <cell r="I2560" t="str">
            <v>-</v>
          </cell>
          <cell r="J2560">
            <v>32764</v>
          </cell>
          <cell r="K2560">
            <v>17.3</v>
          </cell>
          <cell r="L2560">
            <v>0.01</v>
          </cell>
          <cell r="M2560">
            <v>2.7326388888888888</v>
          </cell>
          <cell r="N2560">
            <v>2016</v>
          </cell>
          <cell r="O2560" t="e">
            <v>#N/A</v>
          </cell>
          <cell r="P2560" t="e">
            <v>#N/A</v>
          </cell>
        </row>
        <row r="2561">
          <cell r="B2561" t="str">
            <v>Slovak University of Technology in Bratislava</v>
          </cell>
          <cell r="C2561" t="str">
            <v>Slovakia</v>
          </cell>
          <cell r="D2561" t="str">
            <v>601-800</v>
          </cell>
          <cell r="E2561">
            <v>30.6</v>
          </cell>
          <cell r="F2561">
            <v>8.6</v>
          </cell>
          <cell r="G2561">
            <v>24.9</v>
          </cell>
          <cell r="H2561">
            <v>33.200000000000003</v>
          </cell>
          <cell r="I2561" t="str">
            <v>-</v>
          </cell>
          <cell r="J2561">
            <v>16400</v>
          </cell>
          <cell r="K2561">
            <v>15.3</v>
          </cell>
          <cell r="L2561">
            <v>0.02</v>
          </cell>
          <cell r="M2561" t="str">
            <v>31 : 69</v>
          </cell>
          <cell r="N2561">
            <v>2016</v>
          </cell>
          <cell r="O2561" t="e">
            <v>#N/A</v>
          </cell>
          <cell r="P2561" t="e">
            <v>#N/A</v>
          </cell>
        </row>
        <row r="2562">
          <cell r="B2562" t="str">
            <v>Sogang University</v>
          </cell>
          <cell r="C2562" t="str">
            <v>South Korea</v>
          </cell>
          <cell r="D2562" t="str">
            <v>601-800</v>
          </cell>
          <cell r="E2562">
            <v>27.7</v>
          </cell>
          <cell r="F2562">
            <v>24.8</v>
          </cell>
          <cell r="G2562">
            <v>20.5</v>
          </cell>
          <cell r="H2562">
            <v>46.8</v>
          </cell>
          <cell r="I2562" t="str">
            <v>-</v>
          </cell>
          <cell r="J2562">
            <v>10625</v>
          </cell>
          <cell r="K2562">
            <v>24.1</v>
          </cell>
          <cell r="L2562">
            <v>7.0000000000000007E-2</v>
          </cell>
          <cell r="M2562">
            <v>1.83125</v>
          </cell>
          <cell r="N2562">
            <v>2016</v>
          </cell>
          <cell r="O2562">
            <v>428</v>
          </cell>
          <cell r="P2562">
            <v>14</v>
          </cell>
        </row>
        <row r="2563">
          <cell r="B2563" t="str">
            <v>Sophia University</v>
          </cell>
          <cell r="C2563" t="str">
            <v>Japan</v>
          </cell>
          <cell r="D2563" t="str">
            <v>601-800</v>
          </cell>
          <cell r="E2563">
            <v>32.799999999999997</v>
          </cell>
          <cell r="F2563">
            <v>9.4</v>
          </cell>
          <cell r="G2563">
            <v>5.3</v>
          </cell>
          <cell r="H2563">
            <v>29.5</v>
          </cell>
          <cell r="I2563" t="str">
            <v>-</v>
          </cell>
          <cell r="J2563">
            <v>12799</v>
          </cell>
          <cell r="K2563">
            <v>24.3</v>
          </cell>
          <cell r="L2563">
            <v>0.08</v>
          </cell>
          <cell r="M2563">
            <v>2.2409722222222221</v>
          </cell>
          <cell r="N2563">
            <v>2016</v>
          </cell>
          <cell r="O2563" t="e">
            <v>#N/A</v>
          </cell>
          <cell r="P2563" t="e">
            <v>#N/A</v>
          </cell>
        </row>
        <row r="2564">
          <cell r="B2564" t="str">
            <v>University of South Africa</v>
          </cell>
          <cell r="C2564" t="str">
            <v>South Africa</v>
          </cell>
          <cell r="D2564" t="str">
            <v>601-800</v>
          </cell>
          <cell r="E2564">
            <v>28.7</v>
          </cell>
          <cell r="F2564">
            <v>11.3</v>
          </cell>
          <cell r="G2564">
            <v>9.4</v>
          </cell>
          <cell r="H2564">
            <v>28.8</v>
          </cell>
          <cell r="I2564" t="str">
            <v>-</v>
          </cell>
          <cell r="J2564">
            <v>197102</v>
          </cell>
          <cell r="K2564">
            <v>108.5</v>
          </cell>
          <cell r="L2564">
            <v>0.09</v>
          </cell>
          <cell r="M2564">
            <v>2.7326388888888888</v>
          </cell>
          <cell r="N2564">
            <v>2016</v>
          </cell>
          <cell r="O2564" t="e">
            <v>#N/A</v>
          </cell>
          <cell r="P2564" t="e">
            <v>#N/A</v>
          </cell>
        </row>
        <row r="2565">
          <cell r="B2565" t="str">
            <v>Southern Federal University</v>
          </cell>
          <cell r="C2565" t="str">
            <v>Russian Federation</v>
          </cell>
          <cell r="D2565" t="str">
            <v>601-800</v>
          </cell>
          <cell r="E2565">
            <v>17.3</v>
          </cell>
          <cell r="F2565">
            <v>8.1999999999999993</v>
          </cell>
          <cell r="G2565">
            <v>9.1999999999999993</v>
          </cell>
          <cell r="H2565">
            <v>39.5</v>
          </cell>
          <cell r="I2565" t="str">
            <v>-</v>
          </cell>
          <cell r="J2565">
            <v>27556</v>
          </cell>
          <cell r="K2565">
            <v>9</v>
          </cell>
          <cell r="L2565">
            <v>0.03</v>
          </cell>
          <cell r="M2565">
            <v>2.3638888888888889</v>
          </cell>
          <cell r="N2565">
            <v>2016</v>
          </cell>
          <cell r="O2565" t="e">
            <v>#N/A</v>
          </cell>
          <cell r="P2565" t="e">
            <v>#N/A</v>
          </cell>
        </row>
        <row r="2566">
          <cell r="B2566" t="str">
            <v>University of Southern Mississippi</v>
          </cell>
          <cell r="C2566" t="str">
            <v>United States of America</v>
          </cell>
          <cell r="D2566" t="str">
            <v>601-800</v>
          </cell>
          <cell r="E2566">
            <v>20.8</v>
          </cell>
          <cell r="F2566">
            <v>11.8</v>
          </cell>
          <cell r="G2566">
            <v>20.100000000000001</v>
          </cell>
          <cell r="H2566">
            <v>39.9</v>
          </cell>
          <cell r="I2566" t="str">
            <v>-</v>
          </cell>
          <cell r="J2566">
            <v>14569</v>
          </cell>
          <cell r="K2566">
            <v>18.5</v>
          </cell>
          <cell r="L2566">
            <v>0.03</v>
          </cell>
          <cell r="M2566">
            <v>2.6506944444444445</v>
          </cell>
          <cell r="N2566">
            <v>2016</v>
          </cell>
          <cell r="O2566">
            <v>913</v>
          </cell>
          <cell r="P2566">
            <v>227</v>
          </cell>
        </row>
        <row r="2567">
          <cell r="B2567" t="str">
            <v>University of Southern Queensland</v>
          </cell>
          <cell r="C2567" t="str">
            <v>Australia</v>
          </cell>
          <cell r="D2567" t="str">
            <v>601-800</v>
          </cell>
          <cell r="E2567">
            <v>63</v>
          </cell>
          <cell r="F2567">
            <v>13.1</v>
          </cell>
          <cell r="G2567">
            <v>14.4</v>
          </cell>
          <cell r="H2567">
            <v>28.8</v>
          </cell>
          <cell r="I2567" t="str">
            <v>-</v>
          </cell>
          <cell r="J2567">
            <v>13761</v>
          </cell>
          <cell r="K2567">
            <v>29.2</v>
          </cell>
          <cell r="L2567">
            <v>0.21</v>
          </cell>
          <cell r="M2567">
            <v>2.3229166666666665</v>
          </cell>
          <cell r="N2567">
            <v>2016</v>
          </cell>
          <cell r="O2567" t="e">
            <v>#N/A</v>
          </cell>
          <cell r="P2567" t="e">
            <v>#N/A</v>
          </cell>
        </row>
        <row r="2568">
          <cell r="B2568" t="str">
            <v>Suez Canal University</v>
          </cell>
          <cell r="C2568" t="str">
            <v>Egypt</v>
          </cell>
          <cell r="D2568" t="str">
            <v>601-800</v>
          </cell>
          <cell r="E2568">
            <v>31.6</v>
          </cell>
          <cell r="F2568">
            <v>5.9</v>
          </cell>
          <cell r="G2568">
            <v>16</v>
          </cell>
          <cell r="H2568" t="str">
            <v>-</v>
          </cell>
          <cell r="I2568" t="str">
            <v>-</v>
          </cell>
          <cell r="J2568">
            <v>16817</v>
          </cell>
          <cell r="K2568">
            <v>6</v>
          </cell>
          <cell r="M2568">
            <v>2.7326388888888888</v>
          </cell>
          <cell r="N2568">
            <v>2016</v>
          </cell>
          <cell r="O2568" t="e">
            <v>#N/A</v>
          </cell>
          <cell r="P2568" t="e">
            <v>#N/A</v>
          </cell>
        </row>
        <row r="2569">
          <cell r="B2569" t="str">
            <v>Sultan Qaboos University</v>
          </cell>
          <cell r="C2569" t="str">
            <v>Oman</v>
          </cell>
          <cell r="D2569" t="str">
            <v>601-800</v>
          </cell>
          <cell r="E2569">
            <v>71.5</v>
          </cell>
          <cell r="F2569">
            <v>10.6</v>
          </cell>
          <cell r="G2569">
            <v>16</v>
          </cell>
          <cell r="H2569">
            <v>37.6</v>
          </cell>
          <cell r="I2569" t="str">
            <v>-</v>
          </cell>
          <cell r="J2569">
            <v>7089</v>
          </cell>
          <cell r="K2569">
            <v>9</v>
          </cell>
          <cell r="L2569">
            <v>0.03</v>
          </cell>
          <cell r="M2569">
            <v>2.1180555555555554</v>
          </cell>
          <cell r="N2569">
            <v>2016</v>
          </cell>
          <cell r="O2569" t="e">
            <v>#N/A</v>
          </cell>
          <cell r="P2569" t="e">
            <v>#N/A</v>
          </cell>
        </row>
        <row r="2570">
          <cell r="B2570" t="str">
            <v>Suranaree University of Technology</v>
          </cell>
          <cell r="C2570" t="str">
            <v>Thailand</v>
          </cell>
          <cell r="D2570" t="str">
            <v>601-800</v>
          </cell>
          <cell r="E2570">
            <v>25.9</v>
          </cell>
          <cell r="F2570">
            <v>11.6</v>
          </cell>
          <cell r="G2570">
            <v>18.399999999999999</v>
          </cell>
          <cell r="H2570">
            <v>38.1</v>
          </cell>
          <cell r="I2570" t="str">
            <v>-</v>
          </cell>
          <cell r="J2570">
            <v>12650</v>
          </cell>
          <cell r="K2570">
            <v>32.9</v>
          </cell>
          <cell r="L2570">
            <v>0.01</v>
          </cell>
          <cell r="M2570">
            <v>2.1180555555555554</v>
          </cell>
          <cell r="N2570">
            <v>2016</v>
          </cell>
          <cell r="O2570" t="e">
            <v>#N/A</v>
          </cell>
          <cell r="P2570" t="e">
            <v>#N/A</v>
          </cell>
        </row>
        <row r="2571">
          <cell r="B2571" t="str">
            <v>University of Szeged</v>
          </cell>
          <cell r="C2571" t="str">
            <v>Hungary</v>
          </cell>
          <cell r="D2571" t="str">
            <v>601-800</v>
          </cell>
          <cell r="E2571">
            <v>46.9</v>
          </cell>
          <cell r="F2571">
            <v>10.5</v>
          </cell>
          <cell r="G2571">
            <v>20.5</v>
          </cell>
          <cell r="H2571">
            <v>33.200000000000003</v>
          </cell>
          <cell r="I2571" t="str">
            <v>-</v>
          </cell>
          <cell r="J2571">
            <v>22684</v>
          </cell>
          <cell r="K2571">
            <v>13.8</v>
          </cell>
          <cell r="L2571">
            <v>0.09</v>
          </cell>
          <cell r="M2571">
            <v>2.4458333333333333</v>
          </cell>
          <cell r="N2571">
            <v>2016</v>
          </cell>
          <cell r="O2571">
            <v>712</v>
          </cell>
          <cell r="P2571">
            <v>4</v>
          </cell>
        </row>
        <row r="2572">
          <cell r="B2572" t="str">
            <v>Taipei Medical University</v>
          </cell>
          <cell r="C2572" t="str">
            <v>Taiwan</v>
          </cell>
          <cell r="D2572" t="str">
            <v>601-800</v>
          </cell>
          <cell r="E2572">
            <v>26.5</v>
          </cell>
          <cell r="F2572">
            <v>21.7</v>
          </cell>
          <cell r="G2572">
            <v>19</v>
          </cell>
          <cell r="H2572">
            <v>42.2</v>
          </cell>
          <cell r="I2572" t="str">
            <v>-</v>
          </cell>
          <cell r="J2572">
            <v>6001</v>
          </cell>
          <cell r="K2572">
            <v>11.1</v>
          </cell>
          <cell r="L2572">
            <v>0.06</v>
          </cell>
          <cell r="M2572">
            <v>2.4458333333333333</v>
          </cell>
          <cell r="N2572">
            <v>2016</v>
          </cell>
          <cell r="O2572">
            <v>805</v>
          </cell>
          <cell r="P2572">
            <v>13</v>
          </cell>
        </row>
        <row r="2573">
          <cell r="B2573" t="str">
            <v>Taras Shevchenko National University of Kyiv</v>
          </cell>
          <cell r="C2573" t="str">
            <v>Ukraine</v>
          </cell>
          <cell r="D2573" t="str">
            <v>601-800</v>
          </cell>
          <cell r="E2573">
            <v>28.2</v>
          </cell>
          <cell r="F2573">
            <v>11</v>
          </cell>
          <cell r="G2573">
            <v>4.2</v>
          </cell>
          <cell r="H2573">
            <v>28</v>
          </cell>
          <cell r="I2573" t="str">
            <v>-</v>
          </cell>
          <cell r="J2573">
            <v>22686</v>
          </cell>
          <cell r="K2573">
            <v>8.1999999999999993</v>
          </cell>
          <cell r="L2573">
            <v>0.02</v>
          </cell>
          <cell r="M2573">
            <v>1.9131944444444444</v>
          </cell>
          <cell r="N2573">
            <v>2016</v>
          </cell>
          <cell r="O2573" t="e">
            <v>#N/A</v>
          </cell>
          <cell r="P2573" t="e">
            <v>#N/A</v>
          </cell>
        </row>
        <row r="2574">
          <cell r="B2574" t="str">
            <v>Technical University of Madrid</v>
          </cell>
          <cell r="C2574" t="str">
            <v>Spain</v>
          </cell>
          <cell r="D2574" t="str">
            <v>601-800</v>
          </cell>
          <cell r="E2574">
            <v>39.5</v>
          </cell>
          <cell r="F2574">
            <v>14.6</v>
          </cell>
          <cell r="G2574">
            <v>24.5</v>
          </cell>
          <cell r="H2574">
            <v>38.299999999999997</v>
          </cell>
          <cell r="I2574" t="str">
            <v>-</v>
          </cell>
          <cell r="J2574">
            <v>41500</v>
          </cell>
          <cell r="K2574">
            <v>13.8</v>
          </cell>
          <cell r="L2574">
            <v>0.11</v>
          </cell>
          <cell r="M2574" t="str">
            <v>32 : 68</v>
          </cell>
          <cell r="N2574">
            <v>2016</v>
          </cell>
          <cell r="O2574">
            <v>416</v>
          </cell>
          <cell r="P2574">
            <v>10</v>
          </cell>
        </row>
        <row r="2575">
          <cell r="B2575" t="str">
            <v>University of Tehran</v>
          </cell>
          <cell r="C2575" t="str">
            <v>Iran</v>
          </cell>
          <cell r="D2575" t="str">
            <v>601-800</v>
          </cell>
          <cell r="E2575">
            <v>16.5</v>
          </cell>
          <cell r="F2575">
            <v>16.899999999999999</v>
          </cell>
          <cell r="G2575">
            <v>15.8</v>
          </cell>
          <cell r="H2575" t="str">
            <v>-</v>
          </cell>
          <cell r="I2575" t="str">
            <v>-</v>
          </cell>
          <cell r="J2575">
            <v>53802</v>
          </cell>
          <cell r="K2575">
            <v>27</v>
          </cell>
          <cell r="L2575">
            <v>0.01</v>
          </cell>
          <cell r="M2575">
            <v>1.9131944444444444</v>
          </cell>
          <cell r="N2575">
            <v>2016</v>
          </cell>
          <cell r="O2575">
            <v>749</v>
          </cell>
          <cell r="P2575">
            <v>1</v>
          </cell>
        </row>
        <row r="2576">
          <cell r="B2576" t="str">
            <v>University of Texas at El Paso</v>
          </cell>
          <cell r="C2576" t="str">
            <v>United States of America</v>
          </cell>
          <cell r="D2576" t="str">
            <v>601-800</v>
          </cell>
          <cell r="E2576">
            <v>30.4</v>
          </cell>
          <cell r="F2576">
            <v>18.7</v>
          </cell>
          <cell r="G2576">
            <v>18.399999999999999</v>
          </cell>
          <cell r="H2576" t="str">
            <v>-</v>
          </cell>
          <cell r="I2576" t="str">
            <v>-</v>
          </cell>
          <cell r="J2576">
            <v>19123</v>
          </cell>
          <cell r="K2576">
            <v>29</v>
          </cell>
          <cell r="L2576">
            <v>7.0000000000000007E-2</v>
          </cell>
          <cell r="M2576">
            <v>2.2819444444444446</v>
          </cell>
          <cell r="N2576">
            <v>2016</v>
          </cell>
          <cell r="O2576">
            <v>844</v>
          </cell>
          <cell r="P2576">
            <v>220</v>
          </cell>
        </row>
        <row r="2577">
          <cell r="B2577" t="str">
            <v>Texas Tech University</v>
          </cell>
          <cell r="C2577" t="str">
            <v>United States of America</v>
          </cell>
          <cell r="D2577" t="str">
            <v>601-800</v>
          </cell>
          <cell r="E2577">
            <v>36.799999999999997</v>
          </cell>
          <cell r="F2577">
            <v>17.2</v>
          </cell>
          <cell r="G2577">
            <v>22</v>
          </cell>
          <cell r="H2577" t="str">
            <v>-</v>
          </cell>
          <cell r="I2577" t="str">
            <v>-</v>
          </cell>
          <cell r="J2577">
            <v>29512</v>
          </cell>
          <cell r="K2577">
            <v>20.9</v>
          </cell>
          <cell r="L2577">
            <v>7.0000000000000007E-2</v>
          </cell>
          <cell r="M2577">
            <v>1.9541666666666666</v>
          </cell>
          <cell r="N2577">
            <v>2016</v>
          </cell>
          <cell r="O2577" t="e">
            <v>#N/A</v>
          </cell>
          <cell r="P2577" t="e">
            <v>#N/A</v>
          </cell>
        </row>
        <row r="2578">
          <cell r="B2578" t="str">
            <v>Tokai University</v>
          </cell>
          <cell r="C2578" t="str">
            <v>Japan</v>
          </cell>
          <cell r="D2578" t="str">
            <v>601-800</v>
          </cell>
          <cell r="E2578">
            <v>19.3</v>
          </cell>
          <cell r="F2578">
            <v>7.6</v>
          </cell>
          <cell r="G2578">
            <v>15.3</v>
          </cell>
          <cell r="H2578">
            <v>34.4</v>
          </cell>
          <cell r="I2578" t="str">
            <v>-</v>
          </cell>
          <cell r="J2578">
            <v>29700</v>
          </cell>
          <cell r="K2578">
            <v>12.7</v>
          </cell>
          <cell r="L2578">
            <v>0.01</v>
          </cell>
          <cell r="M2578" t="str">
            <v>27 : 73</v>
          </cell>
          <cell r="N2578">
            <v>2016</v>
          </cell>
          <cell r="O2578">
            <v>589</v>
          </cell>
          <cell r="P2578">
            <v>38</v>
          </cell>
        </row>
        <row r="2579">
          <cell r="B2579" t="str">
            <v>Tokushima University</v>
          </cell>
          <cell r="C2579" t="str">
            <v>Japan</v>
          </cell>
          <cell r="D2579" t="str">
            <v>601-800</v>
          </cell>
          <cell r="E2579">
            <v>16.8</v>
          </cell>
          <cell r="F2579">
            <v>21.6</v>
          </cell>
          <cell r="G2579">
            <v>12.8</v>
          </cell>
          <cell r="H2579">
            <v>59.6</v>
          </cell>
          <cell r="I2579" t="str">
            <v>-</v>
          </cell>
          <cell r="J2579">
            <v>7519</v>
          </cell>
          <cell r="K2579">
            <v>8.9</v>
          </cell>
          <cell r="L2579">
            <v>0.03</v>
          </cell>
          <cell r="M2579" t="str">
            <v>34 : 66</v>
          </cell>
          <cell r="N2579">
            <v>2016</v>
          </cell>
          <cell r="O2579" t="e">
            <v>#N/A</v>
          </cell>
          <cell r="P2579" t="e">
            <v>#N/A</v>
          </cell>
        </row>
        <row r="2580">
          <cell r="B2580" t="str">
            <v>Tokyo University of Marine Science and Technology</v>
          </cell>
          <cell r="C2580" t="str">
            <v>Japan</v>
          </cell>
          <cell r="D2580" t="str">
            <v>601-800</v>
          </cell>
          <cell r="E2580">
            <v>24.5</v>
          </cell>
          <cell r="F2580">
            <v>12.4</v>
          </cell>
          <cell r="G2580">
            <v>7.7</v>
          </cell>
          <cell r="H2580">
            <v>57.9</v>
          </cell>
          <cell r="I2580" t="str">
            <v>-</v>
          </cell>
          <cell r="J2580">
            <v>2597</v>
          </cell>
          <cell r="K2580">
            <v>11.1</v>
          </cell>
          <cell r="L2580">
            <v>7.0000000000000007E-2</v>
          </cell>
          <cell r="M2580" t="str">
            <v>34 : 66</v>
          </cell>
          <cell r="N2580">
            <v>2016</v>
          </cell>
          <cell r="O2580" t="e">
            <v>#N/A</v>
          </cell>
          <cell r="P2580" t="e">
            <v>#N/A</v>
          </cell>
        </row>
        <row r="2581">
          <cell r="B2581" t="str">
            <v>Tokyo University of Science</v>
          </cell>
          <cell r="C2581" t="str">
            <v>Japan</v>
          </cell>
          <cell r="D2581" t="str">
            <v>601-800</v>
          </cell>
          <cell r="E2581">
            <v>15.4</v>
          </cell>
          <cell r="F2581">
            <v>24.1</v>
          </cell>
          <cell r="G2581">
            <v>21.4</v>
          </cell>
          <cell r="H2581">
            <v>37.6</v>
          </cell>
          <cell r="I2581" t="str">
            <v>-</v>
          </cell>
          <cell r="J2581">
            <v>20243</v>
          </cell>
          <cell r="K2581">
            <v>25.7</v>
          </cell>
          <cell r="L2581">
            <v>0.02</v>
          </cell>
          <cell r="M2581">
            <v>0.88888888888888884</v>
          </cell>
          <cell r="N2581">
            <v>2016</v>
          </cell>
          <cell r="O2581">
            <v>413</v>
          </cell>
          <cell r="P2581">
            <v>20</v>
          </cell>
        </row>
        <row r="2582">
          <cell r="B2582" t="str">
            <v>Tomsk State University</v>
          </cell>
          <cell r="C2582" t="str">
            <v>Russian Federation</v>
          </cell>
          <cell r="D2582" t="str">
            <v>601-800</v>
          </cell>
          <cell r="E2582">
            <v>36.9</v>
          </cell>
          <cell r="F2582">
            <v>20.8</v>
          </cell>
          <cell r="G2582">
            <v>7.6</v>
          </cell>
          <cell r="H2582">
            <v>44</v>
          </cell>
          <cell r="I2582" t="str">
            <v>-</v>
          </cell>
          <cell r="J2582">
            <v>10413</v>
          </cell>
          <cell r="K2582">
            <v>9.9</v>
          </cell>
          <cell r="L2582">
            <v>0.12</v>
          </cell>
          <cell r="M2582">
            <v>2.5277777777777777</v>
          </cell>
          <cell r="N2582">
            <v>2016</v>
          </cell>
          <cell r="O2582" t="e">
            <v>#N/A</v>
          </cell>
          <cell r="P2582" t="e">
            <v>#N/A</v>
          </cell>
        </row>
        <row r="2583">
          <cell r="B2583" t="str">
            <v>Tottori University</v>
          </cell>
          <cell r="C2583" t="str">
            <v>Japan</v>
          </cell>
          <cell r="D2583" t="str">
            <v>601-800</v>
          </cell>
          <cell r="E2583">
            <v>16.7</v>
          </cell>
          <cell r="F2583">
            <v>10.1</v>
          </cell>
          <cell r="G2583">
            <v>9.6</v>
          </cell>
          <cell r="H2583">
            <v>34.5</v>
          </cell>
          <cell r="I2583" t="str">
            <v>-</v>
          </cell>
          <cell r="J2583">
            <v>6248</v>
          </cell>
          <cell r="K2583">
            <v>8.1999999999999993</v>
          </cell>
          <cell r="L2583">
            <v>0.02</v>
          </cell>
          <cell r="M2583" t="str">
            <v>34 : 66</v>
          </cell>
          <cell r="N2583">
            <v>2016</v>
          </cell>
          <cell r="O2583">
            <v>584</v>
          </cell>
          <cell r="P2583">
            <v>37</v>
          </cell>
        </row>
        <row r="2584">
          <cell r="B2584" t="str">
            <v>Toyohashi University of Technology</v>
          </cell>
          <cell r="C2584" t="str">
            <v>Japan</v>
          </cell>
          <cell r="D2584" t="str">
            <v>601-800</v>
          </cell>
          <cell r="E2584">
            <v>25.4</v>
          </cell>
          <cell r="F2584">
            <v>18.899999999999999</v>
          </cell>
          <cell r="G2584">
            <v>15.8</v>
          </cell>
          <cell r="H2584">
            <v>50.3</v>
          </cell>
          <cell r="I2584" t="str">
            <v>-</v>
          </cell>
          <cell r="J2584">
            <v>2153</v>
          </cell>
          <cell r="K2584">
            <v>9.3000000000000007</v>
          </cell>
          <cell r="L2584">
            <v>0.09</v>
          </cell>
          <cell r="M2584">
            <v>0.43819444444444444</v>
          </cell>
          <cell r="N2584">
            <v>2016</v>
          </cell>
          <cell r="O2584" t="e">
            <v>#N/A</v>
          </cell>
          <cell r="P2584" t="e">
            <v>#N/A</v>
          </cell>
        </row>
        <row r="2585">
          <cell r="B2585" t="str">
            <v>Universiti Kebangsaan Malaysia</v>
          </cell>
          <cell r="C2585" t="str">
            <v>Malaysia</v>
          </cell>
          <cell r="D2585" t="str">
            <v>601-800</v>
          </cell>
          <cell r="E2585">
            <v>29.7</v>
          </cell>
          <cell r="F2585">
            <v>15.9</v>
          </cell>
          <cell r="G2585">
            <v>10.9</v>
          </cell>
          <cell r="H2585">
            <v>28.4</v>
          </cell>
          <cell r="I2585" t="str">
            <v>-</v>
          </cell>
          <cell r="J2585">
            <v>24227</v>
          </cell>
          <cell r="K2585">
            <v>11.8</v>
          </cell>
          <cell r="L2585">
            <v>0.12</v>
          </cell>
          <cell r="M2585">
            <v>2.6097222222222221</v>
          </cell>
          <cell r="N2585">
            <v>2016</v>
          </cell>
          <cell r="O2585" t="e">
            <v>#N/A</v>
          </cell>
          <cell r="P2585" t="e">
            <v>#N/A</v>
          </cell>
        </row>
        <row r="2586">
          <cell r="B2586" t="str">
            <v>Universiti Putra Malaysia</v>
          </cell>
          <cell r="C2586" t="str">
            <v>Malaysia</v>
          </cell>
          <cell r="D2586" t="str">
            <v>601-800</v>
          </cell>
          <cell r="E2586">
            <v>50.1</v>
          </cell>
          <cell r="F2586">
            <v>20.9</v>
          </cell>
          <cell r="G2586">
            <v>10.199999999999999</v>
          </cell>
          <cell r="H2586">
            <v>34.200000000000003</v>
          </cell>
          <cell r="I2586" t="str">
            <v>-</v>
          </cell>
          <cell r="J2586">
            <v>23883</v>
          </cell>
          <cell r="K2586">
            <v>12.2</v>
          </cell>
          <cell r="L2586">
            <v>0.16</v>
          </cell>
          <cell r="M2586">
            <v>2.6506944444444445</v>
          </cell>
          <cell r="N2586">
            <v>2016</v>
          </cell>
          <cell r="O2586" t="e">
            <v>#N/A</v>
          </cell>
          <cell r="P2586" t="e">
            <v>#N/A</v>
          </cell>
        </row>
        <row r="2587">
          <cell r="B2587" t="str">
            <v>Universiti Sains Malaysia</v>
          </cell>
          <cell r="C2587" t="str">
            <v>Malaysia</v>
          </cell>
          <cell r="D2587" t="str">
            <v>601-800</v>
          </cell>
          <cell r="E2587">
            <v>44.2</v>
          </cell>
          <cell r="F2587">
            <v>16.600000000000001</v>
          </cell>
          <cell r="G2587">
            <v>12.4</v>
          </cell>
          <cell r="H2587">
            <v>34.4</v>
          </cell>
          <cell r="I2587" t="str">
            <v>-</v>
          </cell>
          <cell r="J2587">
            <v>28179</v>
          </cell>
          <cell r="K2587">
            <v>14.8</v>
          </cell>
          <cell r="L2587">
            <v>0.1</v>
          </cell>
          <cell r="M2587">
            <v>2.5687500000000001</v>
          </cell>
          <cell r="N2587">
            <v>2016</v>
          </cell>
          <cell r="O2587" t="e">
            <v>#N/A</v>
          </cell>
          <cell r="P2587" t="e">
            <v>#N/A</v>
          </cell>
        </row>
        <row r="2588">
          <cell r="B2588" t="str">
            <v>Universiti Teknologi MARA</v>
          </cell>
          <cell r="C2588" t="str">
            <v>Malaysia</v>
          </cell>
          <cell r="D2588" t="str">
            <v>601-800</v>
          </cell>
          <cell r="E2588">
            <v>14.8</v>
          </cell>
          <cell r="F2588">
            <v>7.7</v>
          </cell>
          <cell r="G2588">
            <v>18.2</v>
          </cell>
          <cell r="H2588">
            <v>28.3</v>
          </cell>
          <cell r="I2588" t="str">
            <v>-</v>
          </cell>
          <cell r="J2588">
            <v>69268</v>
          </cell>
          <cell r="K2588">
            <v>16.8</v>
          </cell>
          <cell r="L2588">
            <v>0</v>
          </cell>
          <cell r="M2588">
            <v>2.7326388888888888</v>
          </cell>
          <cell r="N2588">
            <v>2016</v>
          </cell>
          <cell r="O2588" t="e">
            <v>#N/A</v>
          </cell>
          <cell r="P2588" t="e">
            <v>#N/A</v>
          </cell>
        </row>
        <row r="2589">
          <cell r="B2589" t="str">
            <v>Ural Federal University</v>
          </cell>
          <cell r="C2589" t="str">
            <v>Russian Federation</v>
          </cell>
          <cell r="D2589" t="str">
            <v>601-800</v>
          </cell>
          <cell r="E2589">
            <v>17.3</v>
          </cell>
          <cell r="F2589">
            <v>10.6</v>
          </cell>
          <cell r="G2589">
            <v>16.8</v>
          </cell>
          <cell r="H2589">
            <v>35.6</v>
          </cell>
          <cell r="I2589" t="str">
            <v>-</v>
          </cell>
          <cell r="J2589">
            <v>28427</v>
          </cell>
          <cell r="K2589">
            <v>10.1</v>
          </cell>
          <cell r="L2589">
            <v>0.03</v>
          </cell>
          <cell r="M2589">
            <v>2.036111111111111</v>
          </cell>
          <cell r="N2589">
            <v>2016</v>
          </cell>
          <cell r="O2589" t="e">
            <v>#N/A</v>
          </cell>
          <cell r="P2589" t="e">
            <v>#N/A</v>
          </cell>
        </row>
        <row r="2590">
          <cell r="B2590" t="str">
            <v>V.N. Karazin Kharkiv National University</v>
          </cell>
          <cell r="C2590" t="str">
            <v>Ukraine</v>
          </cell>
          <cell r="D2590" t="str">
            <v>601-800</v>
          </cell>
          <cell r="E2590">
            <v>48.4</v>
          </cell>
          <cell r="F2590">
            <v>8.9</v>
          </cell>
          <cell r="G2590">
            <v>1.7</v>
          </cell>
          <cell r="H2590">
            <v>28.8</v>
          </cell>
          <cell r="I2590" t="str">
            <v>-</v>
          </cell>
          <cell r="J2590">
            <v>14410</v>
          </cell>
          <cell r="K2590">
            <v>9.6999999999999993</v>
          </cell>
          <cell r="L2590">
            <v>0.22</v>
          </cell>
          <cell r="M2590">
            <v>2.2409722222222221</v>
          </cell>
          <cell r="N2590">
            <v>2016</v>
          </cell>
          <cell r="O2590" t="e">
            <v>#N/A</v>
          </cell>
          <cell r="P2590" t="e">
            <v>#N/A</v>
          </cell>
        </row>
        <row r="2591">
          <cell r="B2591" t="str">
            <v>University of Vigo</v>
          </cell>
          <cell r="C2591" t="str">
            <v>Spain</v>
          </cell>
          <cell r="D2591" t="str">
            <v>601-800</v>
          </cell>
          <cell r="E2591">
            <v>30.7</v>
          </cell>
          <cell r="F2591">
            <v>10.5</v>
          </cell>
          <cell r="G2591">
            <v>31.8</v>
          </cell>
          <cell r="H2591">
            <v>38.1</v>
          </cell>
          <cell r="I2591" t="str">
            <v>-</v>
          </cell>
          <cell r="J2591">
            <v>22793</v>
          </cell>
          <cell r="K2591">
            <v>19</v>
          </cell>
          <cell r="L2591">
            <v>0.03</v>
          </cell>
          <cell r="M2591">
            <v>2.1590277777777778</v>
          </cell>
          <cell r="N2591">
            <v>2016</v>
          </cell>
          <cell r="O2591">
            <v>692</v>
          </cell>
          <cell r="P2591">
            <v>22</v>
          </cell>
        </row>
        <row r="2592">
          <cell r="B2592" t="str">
            <v>Vilnius University</v>
          </cell>
          <cell r="C2592" t="str">
            <v>Lithuania</v>
          </cell>
          <cell r="D2592" t="str">
            <v>601-800</v>
          </cell>
          <cell r="E2592">
            <v>40.799999999999997</v>
          </cell>
          <cell r="F2592">
            <v>13.6</v>
          </cell>
          <cell r="G2592">
            <v>26.1</v>
          </cell>
          <cell r="H2592">
            <v>41</v>
          </cell>
          <cell r="I2592" t="str">
            <v>-</v>
          </cell>
          <cell r="J2592">
            <v>19019</v>
          </cell>
          <cell r="K2592">
            <v>14.2</v>
          </cell>
          <cell r="L2592">
            <v>0.04</v>
          </cell>
          <cell r="M2592">
            <v>2.7326388888888888</v>
          </cell>
          <cell r="N2592">
            <v>2016</v>
          </cell>
          <cell r="O2592">
            <v>838</v>
          </cell>
          <cell r="P2592">
            <v>1</v>
          </cell>
        </row>
        <row r="2593">
          <cell r="B2593" t="str">
            <v>Warsaw University of Technology</v>
          </cell>
          <cell r="C2593" t="str">
            <v>Poland</v>
          </cell>
          <cell r="D2593" t="str">
            <v>601-800</v>
          </cell>
          <cell r="E2593">
            <v>20.7</v>
          </cell>
          <cell r="F2593">
            <v>8.5</v>
          </cell>
          <cell r="G2593">
            <v>40.299999999999997</v>
          </cell>
          <cell r="H2593">
            <v>47.4</v>
          </cell>
          <cell r="I2593" t="str">
            <v>-</v>
          </cell>
          <cell r="J2593">
            <v>34572</v>
          </cell>
          <cell r="K2593">
            <v>14.5</v>
          </cell>
          <cell r="L2593">
            <v>0.03</v>
          </cell>
          <cell r="M2593" t="str">
            <v>34 : 66</v>
          </cell>
          <cell r="N2593">
            <v>2016</v>
          </cell>
          <cell r="O2593">
            <v>688</v>
          </cell>
          <cell r="P2593">
            <v>4</v>
          </cell>
        </row>
        <row r="2594">
          <cell r="B2594" t="str">
            <v>Waseda University</v>
          </cell>
          <cell r="C2594" t="str">
            <v>Japan</v>
          </cell>
          <cell r="D2594" t="str">
            <v>601-800</v>
          </cell>
          <cell r="E2594">
            <v>29.7</v>
          </cell>
          <cell r="F2594">
            <v>14.6</v>
          </cell>
          <cell r="G2594">
            <v>29.4</v>
          </cell>
          <cell r="H2594">
            <v>32.4</v>
          </cell>
          <cell r="I2594" t="str">
            <v>-</v>
          </cell>
          <cell r="J2594">
            <v>52316</v>
          </cell>
          <cell r="K2594">
            <v>16.899999999999999</v>
          </cell>
          <cell r="L2594">
            <v>0.08</v>
          </cell>
          <cell r="M2594" t="str">
            <v>35 : 65</v>
          </cell>
          <cell r="N2594">
            <v>2016</v>
          </cell>
          <cell r="O2594">
            <v>40</v>
          </cell>
          <cell r="P2594">
            <v>4</v>
          </cell>
        </row>
        <row r="2595">
          <cell r="B2595" t="str">
            <v>University of West Bohemia</v>
          </cell>
          <cell r="C2595" t="str">
            <v>Czech Republic</v>
          </cell>
          <cell r="D2595" t="str">
            <v>601-800</v>
          </cell>
          <cell r="E2595">
            <v>23.1</v>
          </cell>
          <cell r="F2595">
            <v>9.6999999999999993</v>
          </cell>
          <cell r="G2595">
            <v>29.8</v>
          </cell>
          <cell r="H2595">
            <v>32.1</v>
          </cell>
          <cell r="I2595" t="str">
            <v>-</v>
          </cell>
          <cell r="J2595">
            <v>15639</v>
          </cell>
          <cell r="K2595">
            <v>21.5</v>
          </cell>
          <cell r="L2595">
            <v>0.02</v>
          </cell>
          <cell r="M2595">
            <v>2.2000000000000002</v>
          </cell>
          <cell r="N2595">
            <v>2016</v>
          </cell>
          <cell r="O2595" t="e">
            <v>#N/A</v>
          </cell>
          <cell r="P2595" t="e">
            <v>#N/A</v>
          </cell>
        </row>
        <row r="2596">
          <cell r="B2596" t="str">
            <v>University of the West of England</v>
          </cell>
          <cell r="C2596" t="str">
            <v>United Kingdom</v>
          </cell>
          <cell r="D2596" t="str">
            <v>601-800</v>
          </cell>
          <cell r="E2596">
            <v>48.5</v>
          </cell>
          <cell r="F2596">
            <v>11.2</v>
          </cell>
          <cell r="G2596">
            <v>34.6</v>
          </cell>
          <cell r="H2596">
            <v>28.5</v>
          </cell>
          <cell r="I2596" t="str">
            <v>-</v>
          </cell>
          <cell r="J2596">
            <v>22525</v>
          </cell>
          <cell r="K2596">
            <v>21.4</v>
          </cell>
          <cell r="L2596">
            <v>0.15</v>
          </cell>
          <cell r="M2596">
            <v>2.2409722222222221</v>
          </cell>
          <cell r="N2596">
            <v>2016</v>
          </cell>
          <cell r="O2596" t="e">
            <v>#N/A</v>
          </cell>
          <cell r="P2596" t="e">
            <v>#N/A</v>
          </cell>
        </row>
        <row r="2597">
          <cell r="B2597" t="str">
            <v>West University of TimiÅŸoara</v>
          </cell>
          <cell r="C2597" t="str">
            <v>Romania</v>
          </cell>
          <cell r="D2597" t="str">
            <v>601-800</v>
          </cell>
          <cell r="E2597">
            <v>21</v>
          </cell>
          <cell r="F2597">
            <v>3.9</v>
          </cell>
          <cell r="G2597">
            <v>22.4</v>
          </cell>
          <cell r="H2597" t="str">
            <v>-</v>
          </cell>
          <cell r="I2597" t="str">
            <v>-</v>
          </cell>
          <cell r="J2597">
            <v>12933</v>
          </cell>
          <cell r="K2597">
            <v>19</v>
          </cell>
          <cell r="L2597">
            <v>0.03</v>
          </cell>
          <cell r="M2597">
            <v>2.6097222222222221</v>
          </cell>
          <cell r="N2597">
            <v>2016</v>
          </cell>
          <cell r="O2597" t="e">
            <v>#N/A</v>
          </cell>
          <cell r="P2597" t="e">
            <v>#N/A</v>
          </cell>
        </row>
        <row r="2598">
          <cell r="B2598" t="str">
            <v>University of Westminster</v>
          </cell>
          <cell r="C2598" t="str">
            <v>United Kingdom</v>
          </cell>
          <cell r="D2598" t="str">
            <v>601-800</v>
          </cell>
          <cell r="E2598">
            <v>81.900000000000006</v>
          </cell>
          <cell r="F2598">
            <v>11.7</v>
          </cell>
          <cell r="G2598">
            <v>21.1</v>
          </cell>
          <cell r="H2598">
            <v>28.5</v>
          </cell>
          <cell r="I2598" t="str">
            <v>-</v>
          </cell>
          <cell r="J2598">
            <v>16609</v>
          </cell>
          <cell r="K2598">
            <v>21</v>
          </cell>
          <cell r="L2598">
            <v>0.43</v>
          </cell>
          <cell r="M2598">
            <v>2.4048611111111109</v>
          </cell>
          <cell r="N2598">
            <v>2016</v>
          </cell>
          <cell r="O2598" t="e">
            <v>#N/A</v>
          </cell>
          <cell r="P2598" t="e">
            <v>#N/A</v>
          </cell>
        </row>
        <row r="2599">
          <cell r="B2599" t="str">
            <v>Xidian University</v>
          </cell>
          <cell r="C2599" t="str">
            <v>China</v>
          </cell>
          <cell r="D2599" t="str">
            <v>601-800</v>
          </cell>
          <cell r="E2599">
            <v>12.8</v>
          </cell>
          <cell r="F2599">
            <v>12.1</v>
          </cell>
          <cell r="G2599">
            <v>8.9</v>
          </cell>
          <cell r="H2599">
            <v>83.7</v>
          </cell>
          <cell r="I2599" t="str">
            <v>-</v>
          </cell>
          <cell r="J2599">
            <v>31618</v>
          </cell>
          <cell r="K2599">
            <v>16.399999999999999</v>
          </cell>
          <cell r="L2599">
            <v>0.02</v>
          </cell>
          <cell r="M2599" t="str">
            <v>29 : 71</v>
          </cell>
          <cell r="N2599">
            <v>2016</v>
          </cell>
          <cell r="O2599">
            <v>980</v>
          </cell>
          <cell r="P2599">
            <v>73</v>
          </cell>
        </row>
        <row r="2600">
          <cell r="B2600" t="str">
            <v>Yeungnam University</v>
          </cell>
          <cell r="C2600" t="str">
            <v>South Korea</v>
          </cell>
          <cell r="D2600" t="str">
            <v>601-800</v>
          </cell>
          <cell r="E2600">
            <v>24.3</v>
          </cell>
          <cell r="F2600">
            <v>10.9</v>
          </cell>
          <cell r="G2600">
            <v>26.5</v>
          </cell>
          <cell r="H2600">
            <v>35.4</v>
          </cell>
          <cell r="I2600" t="str">
            <v>-</v>
          </cell>
          <cell r="J2600">
            <v>21958</v>
          </cell>
          <cell r="K2600">
            <v>15.3</v>
          </cell>
          <cell r="L2600">
            <v>0.03</v>
          </cell>
          <cell r="M2600">
            <v>2.036111111111111</v>
          </cell>
          <cell r="N2600">
            <v>2016</v>
          </cell>
          <cell r="O2600">
            <v>776</v>
          </cell>
          <cell r="P2600">
            <v>26</v>
          </cell>
        </row>
        <row r="2601">
          <cell r="B2601" t="str">
            <v>YÄ±ldÄ±z Technical University</v>
          </cell>
          <cell r="C2601" t="str">
            <v>Turkey</v>
          </cell>
          <cell r="D2601" t="str">
            <v>601-800</v>
          </cell>
          <cell r="E2601">
            <v>14.9</v>
          </cell>
          <cell r="F2601">
            <v>7.6</v>
          </cell>
          <cell r="G2601">
            <v>19.3</v>
          </cell>
          <cell r="H2601">
            <v>44</v>
          </cell>
          <cell r="I2601" t="str">
            <v>-</v>
          </cell>
          <cell r="J2601">
            <v>31268</v>
          </cell>
          <cell r="K2601">
            <v>28.7</v>
          </cell>
          <cell r="L2601">
            <v>0.02</v>
          </cell>
          <cell r="M2601" t="str">
            <v>36 : 64</v>
          </cell>
          <cell r="N2601">
            <v>2016</v>
          </cell>
          <cell r="O2601" t="e">
            <v>#N/A</v>
          </cell>
          <cell r="P2601" t="e">
            <v>#N/A</v>
          </cell>
        </row>
        <row r="2602">
          <cell r="B2602" t="str">
            <v>Yokohama City University</v>
          </cell>
          <cell r="C2602" t="str">
            <v>Japan</v>
          </cell>
          <cell r="D2602" t="str">
            <v>601-800</v>
          </cell>
          <cell r="E2602">
            <v>16.100000000000001</v>
          </cell>
          <cell r="F2602">
            <v>10.199999999999999</v>
          </cell>
          <cell r="G2602">
            <v>36.4</v>
          </cell>
          <cell r="H2602">
            <v>37.9</v>
          </cell>
          <cell r="I2602" t="str">
            <v>-</v>
          </cell>
          <cell r="J2602">
            <v>4122</v>
          </cell>
          <cell r="K2602">
            <v>3.7</v>
          </cell>
          <cell r="L2602">
            <v>0.03</v>
          </cell>
          <cell r="N2602">
            <v>2016</v>
          </cell>
          <cell r="O2602">
            <v>461</v>
          </cell>
          <cell r="P2602">
            <v>25</v>
          </cell>
        </row>
        <row r="2603">
          <cell r="B2603" t="str">
            <v>Yokohama National University</v>
          </cell>
          <cell r="C2603" t="str">
            <v>Japan</v>
          </cell>
          <cell r="D2603" t="str">
            <v>601-800</v>
          </cell>
          <cell r="E2603">
            <v>23.3</v>
          </cell>
          <cell r="F2603">
            <v>16</v>
          </cell>
          <cell r="G2603">
            <v>13.5</v>
          </cell>
          <cell r="H2603">
            <v>40.4</v>
          </cell>
          <cell r="I2603" t="str">
            <v>-</v>
          </cell>
          <cell r="J2603">
            <v>10117</v>
          </cell>
          <cell r="K2603">
            <v>12.1</v>
          </cell>
          <cell r="L2603">
            <v>0.08</v>
          </cell>
          <cell r="M2603" t="str">
            <v>28 : 72</v>
          </cell>
          <cell r="N2603">
            <v>2016</v>
          </cell>
          <cell r="O2603">
            <v>339</v>
          </cell>
          <cell r="P2603">
            <v>16</v>
          </cell>
        </row>
        <row r="2604">
          <cell r="B2604" t="str">
            <v>Yuan Ze University</v>
          </cell>
          <cell r="C2604" t="str">
            <v>Taiwan</v>
          </cell>
          <cell r="D2604" t="str">
            <v>601-800</v>
          </cell>
          <cell r="E2604">
            <v>17.7</v>
          </cell>
          <cell r="F2604">
            <v>18.3</v>
          </cell>
          <cell r="G2604">
            <v>28.6</v>
          </cell>
          <cell r="H2604">
            <v>39.799999999999997</v>
          </cell>
          <cell r="I2604" t="str">
            <v>-</v>
          </cell>
          <cell r="J2604">
            <v>8663</v>
          </cell>
          <cell r="K2604">
            <v>20.6</v>
          </cell>
          <cell r="L2604">
            <v>0.04</v>
          </cell>
          <cell r="M2604">
            <v>1.83125</v>
          </cell>
          <cell r="N2604">
            <v>2016</v>
          </cell>
          <cell r="O2604">
            <v>952</v>
          </cell>
          <cell r="P2604">
            <v>20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wurData"/>
      <sheetName val="Sheet1"/>
    </sheetNames>
    <sheetDataSet>
      <sheetData sheetId="0">
        <row r="1">
          <cell r="B1" t="str">
            <v>institution</v>
          </cell>
          <cell r="C1" t="str">
            <v>country</v>
          </cell>
          <cell r="D1" t="str">
            <v>national_rank</v>
          </cell>
          <cell r="E1" t="str">
            <v>quality_of_education</v>
          </cell>
          <cell r="F1" t="str">
            <v>alumni_employment</v>
          </cell>
          <cell r="G1" t="str">
            <v>quality_of_faculty</v>
          </cell>
          <cell r="H1" t="str">
            <v>publications</v>
          </cell>
          <cell r="I1" t="str">
            <v>influence</v>
          </cell>
          <cell r="J1" t="str">
            <v>citations</v>
          </cell>
          <cell r="K1" t="str">
            <v>broad_impact</v>
          </cell>
          <cell r="L1" t="str">
            <v>patents</v>
          </cell>
          <cell r="M1" t="str">
            <v>score</v>
          </cell>
          <cell r="N1" t="str">
            <v>year</v>
          </cell>
          <cell r="O1" t="str">
            <v>world_rank</v>
          </cell>
          <cell r="P1" t="str">
            <v>teaching</v>
          </cell>
        </row>
        <row r="2">
          <cell r="B2" t="str">
            <v>Harvard University</v>
          </cell>
          <cell r="C2" t="str">
            <v>USA</v>
          </cell>
          <cell r="D2">
            <v>1</v>
          </cell>
          <cell r="E2">
            <v>7</v>
          </cell>
          <cell r="F2">
            <v>9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L2">
            <v>5</v>
          </cell>
          <cell r="M2">
            <v>100</v>
          </cell>
          <cell r="N2">
            <v>2012</v>
          </cell>
          <cell r="O2">
            <v>1</v>
          </cell>
          <cell r="P2">
            <v>99.7</v>
          </cell>
        </row>
        <row r="3">
          <cell r="B3" t="str">
            <v>Massachusetts Institute of Technology</v>
          </cell>
          <cell r="C3" t="str">
            <v>USA</v>
          </cell>
          <cell r="D3">
            <v>2</v>
          </cell>
          <cell r="E3">
            <v>9</v>
          </cell>
          <cell r="F3">
            <v>17</v>
          </cell>
          <cell r="G3">
            <v>3</v>
          </cell>
          <cell r="H3">
            <v>12</v>
          </cell>
          <cell r="I3">
            <v>4</v>
          </cell>
          <cell r="J3">
            <v>4</v>
          </cell>
          <cell r="L3">
            <v>1</v>
          </cell>
          <cell r="M3">
            <v>91.67</v>
          </cell>
          <cell r="N3">
            <v>2012</v>
          </cell>
          <cell r="O3">
            <v>2</v>
          </cell>
          <cell r="P3">
            <v>97.8</v>
          </cell>
        </row>
        <row r="4">
          <cell r="B4" t="str">
            <v>Stanford University</v>
          </cell>
          <cell r="C4" t="str">
            <v>USA</v>
          </cell>
          <cell r="D4">
            <v>3</v>
          </cell>
          <cell r="E4">
            <v>17</v>
          </cell>
          <cell r="F4">
            <v>11</v>
          </cell>
          <cell r="G4">
            <v>5</v>
          </cell>
          <cell r="H4">
            <v>4</v>
          </cell>
          <cell r="I4">
            <v>2</v>
          </cell>
          <cell r="J4">
            <v>2</v>
          </cell>
          <cell r="L4">
            <v>15</v>
          </cell>
          <cell r="M4">
            <v>89.5</v>
          </cell>
          <cell r="N4">
            <v>2012</v>
          </cell>
          <cell r="O4">
            <v>3</v>
          </cell>
          <cell r="P4">
            <v>98.3</v>
          </cell>
        </row>
        <row r="5">
          <cell r="B5" t="str">
            <v>University of Cambridge</v>
          </cell>
          <cell r="C5" t="str">
            <v>United Kingdom</v>
          </cell>
          <cell r="D5">
            <v>1</v>
          </cell>
          <cell r="E5">
            <v>10</v>
          </cell>
          <cell r="F5">
            <v>24</v>
          </cell>
          <cell r="G5">
            <v>4</v>
          </cell>
          <cell r="H5">
            <v>16</v>
          </cell>
          <cell r="I5">
            <v>16</v>
          </cell>
          <cell r="J5">
            <v>11</v>
          </cell>
          <cell r="L5">
            <v>50</v>
          </cell>
          <cell r="M5">
            <v>86.17</v>
          </cell>
          <cell r="N5">
            <v>2012</v>
          </cell>
          <cell r="O5">
            <v>4</v>
          </cell>
          <cell r="P5">
            <v>90.5</v>
          </cell>
        </row>
        <row r="6">
          <cell r="B6" t="str">
            <v>California Institute of Technology</v>
          </cell>
          <cell r="C6" t="str">
            <v>USA</v>
          </cell>
          <cell r="D6">
            <v>4</v>
          </cell>
          <cell r="E6">
            <v>2</v>
          </cell>
          <cell r="F6">
            <v>29</v>
          </cell>
          <cell r="G6">
            <v>7</v>
          </cell>
          <cell r="H6">
            <v>37</v>
          </cell>
          <cell r="I6">
            <v>22</v>
          </cell>
          <cell r="J6">
            <v>22</v>
          </cell>
          <cell r="L6">
            <v>18</v>
          </cell>
          <cell r="M6">
            <v>85.21</v>
          </cell>
          <cell r="N6">
            <v>2012</v>
          </cell>
          <cell r="O6">
            <v>5</v>
          </cell>
          <cell r="P6">
            <v>97.7</v>
          </cell>
        </row>
        <row r="7">
          <cell r="B7" t="str">
            <v>Princeton University</v>
          </cell>
          <cell r="C7" t="str">
            <v>USA</v>
          </cell>
          <cell r="D7">
            <v>5</v>
          </cell>
          <cell r="E7">
            <v>8</v>
          </cell>
          <cell r="F7">
            <v>14</v>
          </cell>
          <cell r="G7">
            <v>2</v>
          </cell>
          <cell r="H7">
            <v>53</v>
          </cell>
          <cell r="I7">
            <v>33</v>
          </cell>
          <cell r="J7">
            <v>26</v>
          </cell>
          <cell r="L7">
            <v>101</v>
          </cell>
          <cell r="M7">
            <v>82.5</v>
          </cell>
          <cell r="N7">
            <v>2012</v>
          </cell>
          <cell r="O7">
            <v>6</v>
          </cell>
          <cell r="P7">
            <v>90.9</v>
          </cell>
        </row>
        <row r="8">
          <cell r="B8" t="str">
            <v>University of Oxford</v>
          </cell>
          <cell r="C8" t="str">
            <v>United Kingdom</v>
          </cell>
          <cell r="D8">
            <v>2</v>
          </cell>
          <cell r="E8">
            <v>13</v>
          </cell>
          <cell r="F8">
            <v>28</v>
          </cell>
          <cell r="G8">
            <v>9</v>
          </cell>
          <cell r="H8">
            <v>15</v>
          </cell>
          <cell r="I8">
            <v>13</v>
          </cell>
          <cell r="J8">
            <v>19</v>
          </cell>
          <cell r="L8">
            <v>26</v>
          </cell>
          <cell r="M8">
            <v>82.34</v>
          </cell>
          <cell r="N8">
            <v>2012</v>
          </cell>
          <cell r="O8">
            <v>7</v>
          </cell>
          <cell r="P8">
            <v>88.2</v>
          </cell>
        </row>
        <row r="9">
          <cell r="B9" t="str">
            <v>Yale University</v>
          </cell>
          <cell r="C9" t="str">
            <v>USA</v>
          </cell>
          <cell r="D9">
            <v>6</v>
          </cell>
          <cell r="E9">
            <v>14</v>
          </cell>
          <cell r="F9">
            <v>31</v>
          </cell>
          <cell r="G9">
            <v>12</v>
          </cell>
          <cell r="H9">
            <v>14</v>
          </cell>
          <cell r="I9">
            <v>6</v>
          </cell>
          <cell r="J9">
            <v>15</v>
          </cell>
          <cell r="L9">
            <v>66</v>
          </cell>
          <cell r="M9">
            <v>79.14</v>
          </cell>
          <cell r="N9">
            <v>2012</v>
          </cell>
          <cell r="O9">
            <v>8</v>
          </cell>
          <cell r="P9">
            <v>92.1</v>
          </cell>
        </row>
        <row r="10">
          <cell r="B10" t="str">
            <v>Columbia University</v>
          </cell>
          <cell r="C10" t="str">
            <v>USA</v>
          </cell>
          <cell r="D10">
            <v>7</v>
          </cell>
          <cell r="E10">
            <v>23</v>
          </cell>
          <cell r="F10">
            <v>21</v>
          </cell>
          <cell r="G10">
            <v>10</v>
          </cell>
          <cell r="H10">
            <v>13</v>
          </cell>
          <cell r="I10">
            <v>12</v>
          </cell>
          <cell r="J10">
            <v>14</v>
          </cell>
          <cell r="L10">
            <v>5</v>
          </cell>
          <cell r="M10">
            <v>78.86</v>
          </cell>
          <cell r="N10">
            <v>2012</v>
          </cell>
          <cell r="O10">
            <v>9</v>
          </cell>
          <cell r="P10">
            <v>73.8</v>
          </cell>
        </row>
        <row r="11">
          <cell r="B11" t="str">
            <v>University of California, Berkeley</v>
          </cell>
          <cell r="C11" t="str">
            <v>USA</v>
          </cell>
          <cell r="D11">
            <v>8</v>
          </cell>
          <cell r="E11">
            <v>16</v>
          </cell>
          <cell r="F11">
            <v>52</v>
          </cell>
          <cell r="G11">
            <v>6</v>
          </cell>
          <cell r="H11">
            <v>6</v>
          </cell>
          <cell r="I11">
            <v>5</v>
          </cell>
          <cell r="J11">
            <v>3</v>
          </cell>
          <cell r="L11">
            <v>16</v>
          </cell>
          <cell r="M11">
            <v>78.55</v>
          </cell>
          <cell r="N11">
            <v>2012</v>
          </cell>
          <cell r="O11">
            <v>10</v>
          </cell>
          <cell r="P11">
            <v>84.2</v>
          </cell>
        </row>
        <row r="12">
          <cell r="B12" t="str">
            <v>University of Chicago</v>
          </cell>
          <cell r="C12" t="str">
            <v>USA</v>
          </cell>
          <cell r="D12">
            <v>9</v>
          </cell>
          <cell r="E12">
            <v>15</v>
          </cell>
          <cell r="F12">
            <v>26</v>
          </cell>
          <cell r="G12">
            <v>8</v>
          </cell>
          <cell r="H12">
            <v>34</v>
          </cell>
          <cell r="I12">
            <v>20</v>
          </cell>
          <cell r="J12">
            <v>28</v>
          </cell>
          <cell r="L12">
            <v>101</v>
          </cell>
          <cell r="M12">
            <v>73.819999999999993</v>
          </cell>
          <cell r="N12">
            <v>2012</v>
          </cell>
          <cell r="O12">
            <v>11</v>
          </cell>
          <cell r="P12">
            <v>79.099999999999994</v>
          </cell>
        </row>
        <row r="13">
          <cell r="B13" t="str">
            <v>Cornell University</v>
          </cell>
          <cell r="C13" t="str">
            <v>USA</v>
          </cell>
          <cell r="D13">
            <v>10</v>
          </cell>
          <cell r="E13">
            <v>21</v>
          </cell>
          <cell r="F13">
            <v>42</v>
          </cell>
          <cell r="G13">
            <v>14</v>
          </cell>
          <cell r="H13">
            <v>22</v>
          </cell>
          <cell r="I13">
            <v>21</v>
          </cell>
          <cell r="J13">
            <v>16</v>
          </cell>
          <cell r="L13">
            <v>10</v>
          </cell>
          <cell r="M13">
            <v>73.69</v>
          </cell>
          <cell r="N13">
            <v>2012</v>
          </cell>
          <cell r="O13">
            <v>12</v>
          </cell>
          <cell r="P13">
            <v>82.2</v>
          </cell>
        </row>
        <row r="14">
          <cell r="B14" t="str">
            <v>University of Pennsylvania</v>
          </cell>
          <cell r="C14" t="str">
            <v>USA</v>
          </cell>
          <cell r="D14">
            <v>11</v>
          </cell>
          <cell r="E14">
            <v>31</v>
          </cell>
          <cell r="F14">
            <v>16</v>
          </cell>
          <cell r="G14">
            <v>24</v>
          </cell>
          <cell r="H14">
            <v>9</v>
          </cell>
          <cell r="I14">
            <v>10</v>
          </cell>
          <cell r="J14">
            <v>8</v>
          </cell>
          <cell r="L14">
            <v>9</v>
          </cell>
          <cell r="M14">
            <v>73.64</v>
          </cell>
          <cell r="N14">
            <v>2012</v>
          </cell>
          <cell r="O14">
            <v>13</v>
          </cell>
          <cell r="P14">
            <v>71.8</v>
          </cell>
        </row>
        <row r="15">
          <cell r="B15" t="str">
            <v>University of Tokyo</v>
          </cell>
          <cell r="C15" t="str">
            <v>Japan</v>
          </cell>
          <cell r="D15">
            <v>1</v>
          </cell>
          <cell r="E15">
            <v>32</v>
          </cell>
          <cell r="F15">
            <v>19</v>
          </cell>
          <cell r="G15">
            <v>31</v>
          </cell>
          <cell r="H15">
            <v>8</v>
          </cell>
          <cell r="I15">
            <v>19</v>
          </cell>
          <cell r="J15">
            <v>23</v>
          </cell>
          <cell r="L15">
            <v>3</v>
          </cell>
          <cell r="M15">
            <v>69.489999999999995</v>
          </cell>
          <cell r="N15">
            <v>2012</v>
          </cell>
          <cell r="O15">
            <v>14</v>
          </cell>
          <cell r="P15">
            <v>87.7</v>
          </cell>
        </row>
        <row r="16">
          <cell r="B16" t="str">
            <v>Johns Hopkins University</v>
          </cell>
          <cell r="C16" t="str">
            <v>USA</v>
          </cell>
          <cell r="D16">
            <v>12</v>
          </cell>
          <cell r="E16">
            <v>34</v>
          </cell>
          <cell r="F16">
            <v>77</v>
          </cell>
          <cell r="G16">
            <v>20</v>
          </cell>
          <cell r="H16">
            <v>11</v>
          </cell>
          <cell r="I16">
            <v>9</v>
          </cell>
          <cell r="J16">
            <v>9</v>
          </cell>
          <cell r="L16">
            <v>7</v>
          </cell>
          <cell r="M16">
            <v>66.94</v>
          </cell>
          <cell r="N16">
            <v>2012</v>
          </cell>
          <cell r="O16">
            <v>15</v>
          </cell>
          <cell r="P16">
            <v>80.900000000000006</v>
          </cell>
        </row>
        <row r="17">
          <cell r="B17" t="str">
            <v>Swiss Federal Institute of Technology in Zurich</v>
          </cell>
          <cell r="C17" t="str">
            <v>Switzerland</v>
          </cell>
          <cell r="D17">
            <v>1</v>
          </cell>
          <cell r="E17">
            <v>26</v>
          </cell>
          <cell r="F17">
            <v>66</v>
          </cell>
          <cell r="G17">
            <v>11</v>
          </cell>
          <cell r="H17">
            <v>40</v>
          </cell>
          <cell r="I17">
            <v>51</v>
          </cell>
          <cell r="J17">
            <v>44</v>
          </cell>
          <cell r="L17">
            <v>34</v>
          </cell>
          <cell r="M17">
            <v>66.69</v>
          </cell>
          <cell r="N17">
            <v>2012</v>
          </cell>
          <cell r="O17">
            <v>16</v>
          </cell>
          <cell r="P17" t="e">
            <v>#N/A</v>
          </cell>
        </row>
        <row r="18">
          <cell r="B18" t="str">
            <v>Kyoto University</v>
          </cell>
          <cell r="C18" t="str">
            <v>Japan</v>
          </cell>
          <cell r="D18">
            <v>2</v>
          </cell>
          <cell r="E18">
            <v>42</v>
          </cell>
          <cell r="F18">
            <v>38</v>
          </cell>
          <cell r="G18">
            <v>19</v>
          </cell>
          <cell r="H18">
            <v>25</v>
          </cell>
          <cell r="I18">
            <v>36</v>
          </cell>
          <cell r="J18">
            <v>43</v>
          </cell>
          <cell r="L18">
            <v>23</v>
          </cell>
          <cell r="M18">
            <v>65.760000000000005</v>
          </cell>
          <cell r="N18">
            <v>2012</v>
          </cell>
          <cell r="O18">
            <v>17</v>
          </cell>
          <cell r="P18">
            <v>78.900000000000006</v>
          </cell>
        </row>
        <row r="19">
          <cell r="B19" t="str">
            <v>Weizmann Institute of Science</v>
          </cell>
          <cell r="C19" t="str">
            <v>Israel</v>
          </cell>
          <cell r="D19">
            <v>1</v>
          </cell>
          <cell r="E19">
            <v>4</v>
          </cell>
          <cell r="F19">
            <v>101</v>
          </cell>
          <cell r="G19">
            <v>22</v>
          </cell>
          <cell r="H19">
            <v>101</v>
          </cell>
          <cell r="I19">
            <v>67</v>
          </cell>
          <cell r="J19">
            <v>101</v>
          </cell>
          <cell r="L19">
            <v>29</v>
          </cell>
          <cell r="M19">
            <v>65.09</v>
          </cell>
          <cell r="N19">
            <v>2012</v>
          </cell>
          <cell r="O19">
            <v>18</v>
          </cell>
          <cell r="P19" t="e">
            <v>#N/A</v>
          </cell>
        </row>
        <row r="20">
          <cell r="B20" t="str">
            <v>University of California, Los Angeles</v>
          </cell>
          <cell r="C20" t="str">
            <v>USA</v>
          </cell>
          <cell r="D20">
            <v>13</v>
          </cell>
          <cell r="E20">
            <v>62</v>
          </cell>
          <cell r="F20">
            <v>59</v>
          </cell>
          <cell r="G20">
            <v>23</v>
          </cell>
          <cell r="H20">
            <v>3</v>
          </cell>
          <cell r="I20">
            <v>11</v>
          </cell>
          <cell r="J20">
            <v>6</v>
          </cell>
          <cell r="L20">
            <v>13</v>
          </cell>
          <cell r="M20">
            <v>64.05</v>
          </cell>
          <cell r="N20">
            <v>2012</v>
          </cell>
          <cell r="O20">
            <v>19</v>
          </cell>
          <cell r="P20">
            <v>83</v>
          </cell>
        </row>
        <row r="21">
          <cell r="B21" t="str">
            <v>University of California, San Diego</v>
          </cell>
          <cell r="C21" t="str">
            <v>USA</v>
          </cell>
          <cell r="D21">
            <v>14</v>
          </cell>
          <cell r="E21">
            <v>61</v>
          </cell>
          <cell r="F21">
            <v>101</v>
          </cell>
          <cell r="G21">
            <v>15</v>
          </cell>
          <cell r="H21">
            <v>10</v>
          </cell>
          <cell r="I21">
            <v>8</v>
          </cell>
          <cell r="J21">
            <v>10</v>
          </cell>
          <cell r="L21">
            <v>22</v>
          </cell>
          <cell r="M21">
            <v>63.11</v>
          </cell>
          <cell r="N21">
            <v>2012</v>
          </cell>
          <cell r="O21">
            <v>20</v>
          </cell>
          <cell r="P21">
            <v>59.8</v>
          </cell>
        </row>
        <row r="22">
          <cell r="B22" t="str">
            <v>Rockefeller University</v>
          </cell>
          <cell r="C22" t="str">
            <v>USA</v>
          </cell>
          <cell r="D22">
            <v>15</v>
          </cell>
          <cell r="E22">
            <v>1</v>
          </cell>
          <cell r="F22">
            <v>101</v>
          </cell>
          <cell r="G22">
            <v>16</v>
          </cell>
          <cell r="H22">
            <v>101</v>
          </cell>
          <cell r="I22">
            <v>28</v>
          </cell>
          <cell r="J22">
            <v>96</v>
          </cell>
          <cell r="L22">
            <v>101</v>
          </cell>
          <cell r="M22">
            <v>61.74</v>
          </cell>
          <cell r="N22">
            <v>2012</v>
          </cell>
          <cell r="O22">
            <v>21</v>
          </cell>
          <cell r="P22" t="e">
            <v>#N/A</v>
          </cell>
        </row>
        <row r="23">
          <cell r="B23" t="str">
            <v>Hebrew University of Jerusalem</v>
          </cell>
          <cell r="C23" t="str">
            <v>Israel</v>
          </cell>
          <cell r="D23">
            <v>2</v>
          </cell>
          <cell r="E23">
            <v>24</v>
          </cell>
          <cell r="F23">
            <v>93</v>
          </cell>
          <cell r="G23">
            <v>13</v>
          </cell>
          <cell r="H23">
            <v>101</v>
          </cell>
          <cell r="I23">
            <v>91</v>
          </cell>
          <cell r="J23">
            <v>101</v>
          </cell>
          <cell r="L23">
            <v>28</v>
          </cell>
          <cell r="M23">
            <v>60.76</v>
          </cell>
          <cell r="N23">
            <v>2012</v>
          </cell>
          <cell r="O23">
            <v>22</v>
          </cell>
          <cell r="P23">
            <v>47.7</v>
          </cell>
        </row>
        <row r="24">
          <cell r="B24" t="str">
            <v>New York University</v>
          </cell>
          <cell r="C24" t="str">
            <v>USA</v>
          </cell>
          <cell r="D24">
            <v>16</v>
          </cell>
          <cell r="E24">
            <v>89</v>
          </cell>
          <cell r="F24">
            <v>75</v>
          </cell>
          <cell r="G24">
            <v>17</v>
          </cell>
          <cell r="H24">
            <v>42</v>
          </cell>
          <cell r="I24">
            <v>24</v>
          </cell>
          <cell r="J24">
            <v>34</v>
          </cell>
          <cell r="L24">
            <v>62</v>
          </cell>
          <cell r="M24">
            <v>60.55</v>
          </cell>
          <cell r="N24">
            <v>2012</v>
          </cell>
          <cell r="O24">
            <v>23</v>
          </cell>
          <cell r="P24">
            <v>62</v>
          </cell>
        </row>
        <row r="25">
          <cell r="B25" t="str">
            <v>University of California, San Francisco</v>
          </cell>
          <cell r="C25" t="str">
            <v>USA</v>
          </cell>
          <cell r="D25">
            <v>17</v>
          </cell>
          <cell r="E25">
            <v>101</v>
          </cell>
          <cell r="F25">
            <v>101</v>
          </cell>
          <cell r="G25">
            <v>21</v>
          </cell>
          <cell r="H25">
            <v>19</v>
          </cell>
          <cell r="I25">
            <v>3</v>
          </cell>
          <cell r="J25">
            <v>13</v>
          </cell>
          <cell r="L25">
            <v>33</v>
          </cell>
          <cell r="M25">
            <v>59.7</v>
          </cell>
          <cell r="N25">
            <v>2012</v>
          </cell>
          <cell r="O25">
            <v>24</v>
          </cell>
          <cell r="P25" t="e">
            <v>#N/A</v>
          </cell>
        </row>
        <row r="26">
          <cell r="B26" t="str">
            <v>University of Wisconsinâ€“Madison</v>
          </cell>
          <cell r="C26" t="str">
            <v>USA</v>
          </cell>
          <cell r="D26">
            <v>18</v>
          </cell>
          <cell r="E26">
            <v>64</v>
          </cell>
          <cell r="F26">
            <v>63</v>
          </cell>
          <cell r="G26">
            <v>33</v>
          </cell>
          <cell r="H26">
            <v>17</v>
          </cell>
          <cell r="I26">
            <v>30</v>
          </cell>
          <cell r="J26">
            <v>21</v>
          </cell>
          <cell r="L26">
            <v>21</v>
          </cell>
          <cell r="M26">
            <v>59.66</v>
          </cell>
          <cell r="N26">
            <v>2012</v>
          </cell>
          <cell r="O26">
            <v>25</v>
          </cell>
          <cell r="P26" t="e">
            <v>#N/A</v>
          </cell>
        </row>
        <row r="27">
          <cell r="B27" t="str">
            <v>University of Illinois at Urbanaâ€“Champaign</v>
          </cell>
          <cell r="C27" t="str">
            <v>USA</v>
          </cell>
          <cell r="D27">
            <v>19</v>
          </cell>
          <cell r="E27">
            <v>82</v>
          </cell>
          <cell r="F27">
            <v>101</v>
          </cell>
          <cell r="G27">
            <v>18</v>
          </cell>
          <cell r="H27">
            <v>35</v>
          </cell>
          <cell r="I27">
            <v>71</v>
          </cell>
          <cell r="J27">
            <v>39</v>
          </cell>
          <cell r="L27">
            <v>44</v>
          </cell>
          <cell r="M27">
            <v>59</v>
          </cell>
          <cell r="N27">
            <v>2012</v>
          </cell>
          <cell r="O27">
            <v>26</v>
          </cell>
          <cell r="P27" t="e">
            <v>#N/A</v>
          </cell>
        </row>
        <row r="28">
          <cell r="B28" t="str">
            <v>Duke University</v>
          </cell>
          <cell r="C28" t="str">
            <v>USA</v>
          </cell>
          <cell r="D28">
            <v>20</v>
          </cell>
          <cell r="E28">
            <v>65</v>
          </cell>
          <cell r="F28">
            <v>43</v>
          </cell>
          <cell r="G28">
            <v>55</v>
          </cell>
          <cell r="H28">
            <v>20</v>
          </cell>
          <cell r="I28">
            <v>15</v>
          </cell>
          <cell r="J28">
            <v>12</v>
          </cell>
          <cell r="L28">
            <v>20</v>
          </cell>
          <cell r="M28">
            <v>58.37</v>
          </cell>
          <cell r="N28">
            <v>2012</v>
          </cell>
          <cell r="O28">
            <v>27</v>
          </cell>
          <cell r="P28">
            <v>66.8</v>
          </cell>
        </row>
        <row r="29">
          <cell r="B29" t="str">
            <v>Imperial College London</v>
          </cell>
          <cell r="C29" t="str">
            <v>United Kingdom</v>
          </cell>
          <cell r="D29">
            <v>3</v>
          </cell>
          <cell r="E29">
            <v>84</v>
          </cell>
          <cell r="F29">
            <v>73</v>
          </cell>
          <cell r="G29">
            <v>35</v>
          </cell>
          <cell r="H29">
            <v>26</v>
          </cell>
          <cell r="I29">
            <v>26</v>
          </cell>
          <cell r="J29">
            <v>29</v>
          </cell>
          <cell r="L29">
            <v>41</v>
          </cell>
          <cell r="M29">
            <v>57.53</v>
          </cell>
          <cell r="N29">
            <v>2012</v>
          </cell>
          <cell r="O29">
            <v>28</v>
          </cell>
          <cell r="P29">
            <v>89.2</v>
          </cell>
        </row>
        <row r="30">
          <cell r="B30" t="str">
            <v>University of Texas Southwestern Medical Center</v>
          </cell>
          <cell r="C30" t="str">
            <v>USA</v>
          </cell>
          <cell r="D30">
            <v>21</v>
          </cell>
          <cell r="E30">
            <v>19</v>
          </cell>
          <cell r="F30">
            <v>101</v>
          </cell>
          <cell r="G30">
            <v>32</v>
          </cell>
          <cell r="H30">
            <v>101</v>
          </cell>
          <cell r="I30">
            <v>43</v>
          </cell>
          <cell r="J30">
            <v>84</v>
          </cell>
          <cell r="L30">
            <v>101</v>
          </cell>
          <cell r="M30">
            <v>56.43</v>
          </cell>
          <cell r="N30">
            <v>2012</v>
          </cell>
          <cell r="O30">
            <v>29</v>
          </cell>
          <cell r="P30" t="e">
            <v>#N/A</v>
          </cell>
        </row>
        <row r="31">
          <cell r="B31" t="str">
            <v>University of Texas at Austin</v>
          </cell>
          <cell r="C31" t="str">
            <v>USA</v>
          </cell>
          <cell r="D31">
            <v>22</v>
          </cell>
          <cell r="E31">
            <v>101</v>
          </cell>
          <cell r="F31">
            <v>78</v>
          </cell>
          <cell r="G31">
            <v>27</v>
          </cell>
          <cell r="H31">
            <v>41</v>
          </cell>
          <cell r="I31">
            <v>47</v>
          </cell>
          <cell r="J31">
            <v>40</v>
          </cell>
          <cell r="L31">
            <v>57</v>
          </cell>
          <cell r="M31">
            <v>56.18</v>
          </cell>
          <cell r="N31">
            <v>2012</v>
          </cell>
          <cell r="O31">
            <v>30</v>
          </cell>
          <cell r="P31">
            <v>69.5</v>
          </cell>
        </row>
        <row r="32">
          <cell r="B32" t="str">
            <v>University College London</v>
          </cell>
          <cell r="C32" t="str">
            <v>United Kingdom</v>
          </cell>
          <cell r="D32">
            <v>4</v>
          </cell>
          <cell r="E32">
            <v>35</v>
          </cell>
          <cell r="F32">
            <v>101</v>
          </cell>
          <cell r="G32">
            <v>45</v>
          </cell>
          <cell r="H32">
            <v>27</v>
          </cell>
          <cell r="I32">
            <v>23</v>
          </cell>
          <cell r="J32">
            <v>33</v>
          </cell>
          <cell r="L32">
            <v>86</v>
          </cell>
          <cell r="M32">
            <v>55.21</v>
          </cell>
          <cell r="N32">
            <v>2012</v>
          </cell>
          <cell r="O32">
            <v>31</v>
          </cell>
          <cell r="P32">
            <v>74</v>
          </cell>
        </row>
        <row r="33">
          <cell r="B33" t="str">
            <v>Osaka University</v>
          </cell>
          <cell r="C33" t="str">
            <v>Japan</v>
          </cell>
          <cell r="D33">
            <v>3</v>
          </cell>
          <cell r="E33">
            <v>77</v>
          </cell>
          <cell r="F33">
            <v>101</v>
          </cell>
          <cell r="G33">
            <v>44</v>
          </cell>
          <cell r="H33">
            <v>39</v>
          </cell>
          <cell r="I33">
            <v>44</v>
          </cell>
          <cell r="J33">
            <v>51</v>
          </cell>
          <cell r="L33">
            <v>11</v>
          </cell>
          <cell r="M33">
            <v>54.43</v>
          </cell>
          <cell r="N33">
            <v>2012</v>
          </cell>
          <cell r="O33">
            <v>32</v>
          </cell>
          <cell r="P33">
            <v>61.7</v>
          </cell>
        </row>
        <row r="34">
          <cell r="B34" t="str">
            <v>Northwestern University</v>
          </cell>
          <cell r="C34" t="str">
            <v>USA</v>
          </cell>
          <cell r="D34">
            <v>23</v>
          </cell>
          <cell r="E34">
            <v>101</v>
          </cell>
          <cell r="F34">
            <v>32</v>
          </cell>
          <cell r="G34">
            <v>101</v>
          </cell>
          <cell r="H34">
            <v>24</v>
          </cell>
          <cell r="I34">
            <v>25</v>
          </cell>
          <cell r="J34">
            <v>20</v>
          </cell>
          <cell r="L34">
            <v>35</v>
          </cell>
          <cell r="M34">
            <v>54.4</v>
          </cell>
          <cell r="N34">
            <v>2012</v>
          </cell>
          <cell r="O34">
            <v>33</v>
          </cell>
          <cell r="P34">
            <v>64.5</v>
          </cell>
        </row>
        <row r="35">
          <cell r="B35" t="str">
            <v>University of Michigan, Ann Arbor</v>
          </cell>
          <cell r="C35" t="str">
            <v>USA</v>
          </cell>
          <cell r="D35">
            <v>24</v>
          </cell>
          <cell r="E35">
            <v>68</v>
          </cell>
          <cell r="F35">
            <v>60</v>
          </cell>
          <cell r="G35">
            <v>101</v>
          </cell>
          <cell r="H35">
            <v>2</v>
          </cell>
          <cell r="I35">
            <v>17</v>
          </cell>
          <cell r="J35">
            <v>7</v>
          </cell>
          <cell r="L35">
            <v>8</v>
          </cell>
          <cell r="M35">
            <v>53.72</v>
          </cell>
          <cell r="N35">
            <v>2012</v>
          </cell>
          <cell r="O35">
            <v>34</v>
          </cell>
          <cell r="P35" t="e">
            <v>#N/A</v>
          </cell>
        </row>
        <row r="36">
          <cell r="B36" t="str">
            <v>University of Toronto</v>
          </cell>
          <cell r="C36" t="str">
            <v>Canada</v>
          </cell>
          <cell r="D36">
            <v>1</v>
          </cell>
          <cell r="E36">
            <v>101</v>
          </cell>
          <cell r="F36">
            <v>101</v>
          </cell>
          <cell r="G36">
            <v>34</v>
          </cell>
          <cell r="H36">
            <v>7</v>
          </cell>
          <cell r="I36">
            <v>14</v>
          </cell>
          <cell r="J36">
            <v>18</v>
          </cell>
          <cell r="L36">
            <v>101</v>
          </cell>
          <cell r="M36">
            <v>53.43</v>
          </cell>
          <cell r="N36">
            <v>2012</v>
          </cell>
          <cell r="O36">
            <v>35</v>
          </cell>
          <cell r="P36">
            <v>75.8</v>
          </cell>
        </row>
        <row r="37">
          <cell r="B37" t="str">
            <v>University of North Carolina at Chapel Hill</v>
          </cell>
          <cell r="C37" t="str">
            <v>USA</v>
          </cell>
          <cell r="D37">
            <v>25</v>
          </cell>
          <cell r="E37">
            <v>101</v>
          </cell>
          <cell r="F37">
            <v>86</v>
          </cell>
          <cell r="G37">
            <v>56</v>
          </cell>
          <cell r="H37">
            <v>31</v>
          </cell>
          <cell r="I37">
            <v>29</v>
          </cell>
          <cell r="J37">
            <v>31</v>
          </cell>
          <cell r="L37">
            <v>29</v>
          </cell>
          <cell r="M37">
            <v>53.09</v>
          </cell>
          <cell r="N37">
            <v>2012</v>
          </cell>
          <cell r="O37">
            <v>36</v>
          </cell>
          <cell r="P37">
            <v>70.900000000000006</v>
          </cell>
        </row>
        <row r="38">
          <cell r="B38" t="str">
            <v>Washington University in St. Louis</v>
          </cell>
          <cell r="C38" t="str">
            <v>USA</v>
          </cell>
          <cell r="D38">
            <v>26</v>
          </cell>
          <cell r="E38">
            <v>74</v>
          </cell>
          <cell r="F38">
            <v>62</v>
          </cell>
          <cell r="G38">
            <v>101</v>
          </cell>
          <cell r="H38">
            <v>32</v>
          </cell>
          <cell r="I38">
            <v>18</v>
          </cell>
          <cell r="J38">
            <v>30</v>
          </cell>
          <cell r="L38">
            <v>14</v>
          </cell>
          <cell r="M38">
            <v>52.9</v>
          </cell>
          <cell r="N38">
            <v>2012</v>
          </cell>
          <cell r="O38">
            <v>37</v>
          </cell>
          <cell r="P38" t="e">
            <v>#N/A</v>
          </cell>
        </row>
        <row r="39">
          <cell r="B39" t="str">
            <v>University of Utah</v>
          </cell>
          <cell r="C39" t="str">
            <v>USA</v>
          </cell>
          <cell r="D39">
            <v>27</v>
          </cell>
          <cell r="E39">
            <v>92</v>
          </cell>
          <cell r="F39">
            <v>101</v>
          </cell>
          <cell r="G39">
            <v>41</v>
          </cell>
          <cell r="H39">
            <v>74</v>
          </cell>
          <cell r="I39">
            <v>52</v>
          </cell>
          <cell r="J39">
            <v>67</v>
          </cell>
          <cell r="L39">
            <v>12</v>
          </cell>
          <cell r="M39">
            <v>52.64</v>
          </cell>
          <cell r="N39">
            <v>2012</v>
          </cell>
          <cell r="O39">
            <v>38</v>
          </cell>
          <cell r="P39">
            <v>55.8</v>
          </cell>
        </row>
        <row r="40">
          <cell r="B40" t="str">
            <v>University of Washington - Seattle</v>
          </cell>
          <cell r="C40" t="str">
            <v>USA</v>
          </cell>
          <cell r="D40">
            <v>28</v>
          </cell>
          <cell r="E40">
            <v>101</v>
          </cell>
          <cell r="F40">
            <v>101</v>
          </cell>
          <cell r="G40">
            <v>40</v>
          </cell>
          <cell r="H40">
            <v>5</v>
          </cell>
          <cell r="I40">
            <v>7</v>
          </cell>
          <cell r="J40">
            <v>5</v>
          </cell>
          <cell r="L40">
            <v>101</v>
          </cell>
          <cell r="M40">
            <v>52.25</v>
          </cell>
          <cell r="N40">
            <v>2012</v>
          </cell>
          <cell r="O40">
            <v>39</v>
          </cell>
          <cell r="P40" t="e">
            <v>#N/A</v>
          </cell>
        </row>
        <row r="41">
          <cell r="B41" t="str">
            <v>University of California, Santa Barbara</v>
          </cell>
          <cell r="C41" t="str">
            <v>USA</v>
          </cell>
          <cell r="D41">
            <v>29</v>
          </cell>
          <cell r="E41">
            <v>101</v>
          </cell>
          <cell r="F41">
            <v>101</v>
          </cell>
          <cell r="G41">
            <v>28</v>
          </cell>
          <cell r="H41">
            <v>68</v>
          </cell>
          <cell r="I41">
            <v>72</v>
          </cell>
          <cell r="J41">
            <v>36</v>
          </cell>
          <cell r="L41">
            <v>101</v>
          </cell>
          <cell r="M41">
            <v>52.15</v>
          </cell>
          <cell r="N41">
            <v>2012</v>
          </cell>
          <cell r="O41">
            <v>40</v>
          </cell>
          <cell r="P41">
            <v>56.6</v>
          </cell>
        </row>
        <row r="42">
          <cell r="B42" t="str">
            <v>McGill University</v>
          </cell>
          <cell r="C42" t="str">
            <v>Canada</v>
          </cell>
          <cell r="D42">
            <v>2</v>
          </cell>
          <cell r="E42">
            <v>70</v>
          </cell>
          <cell r="F42">
            <v>91</v>
          </cell>
          <cell r="G42">
            <v>54</v>
          </cell>
          <cell r="H42">
            <v>33</v>
          </cell>
          <cell r="I42">
            <v>39</v>
          </cell>
          <cell r="J42">
            <v>47</v>
          </cell>
          <cell r="L42">
            <v>101</v>
          </cell>
          <cell r="M42">
            <v>51.72</v>
          </cell>
          <cell r="N42">
            <v>2012</v>
          </cell>
          <cell r="O42">
            <v>41</v>
          </cell>
          <cell r="P42">
            <v>69</v>
          </cell>
        </row>
        <row r="43">
          <cell r="B43" t="str">
            <v>Purdue University, West Lafayette</v>
          </cell>
          <cell r="C43" t="str">
            <v>USA</v>
          </cell>
          <cell r="D43">
            <v>30</v>
          </cell>
          <cell r="E43">
            <v>95</v>
          </cell>
          <cell r="F43">
            <v>70</v>
          </cell>
          <cell r="G43">
            <v>49</v>
          </cell>
          <cell r="H43">
            <v>61</v>
          </cell>
          <cell r="I43">
            <v>101</v>
          </cell>
          <cell r="J43">
            <v>58</v>
          </cell>
          <cell r="L43">
            <v>19</v>
          </cell>
          <cell r="M43">
            <v>51.66</v>
          </cell>
          <cell r="N43">
            <v>2012</v>
          </cell>
          <cell r="O43">
            <v>42</v>
          </cell>
          <cell r="P43" t="e">
            <v>#N/A</v>
          </cell>
        </row>
        <row r="44">
          <cell r="B44" t="str">
            <v>Carnegie Mellon University</v>
          </cell>
          <cell r="C44" t="str">
            <v>USA</v>
          </cell>
          <cell r="D44">
            <v>31</v>
          </cell>
          <cell r="E44">
            <v>30</v>
          </cell>
          <cell r="F44">
            <v>81</v>
          </cell>
          <cell r="G44">
            <v>26</v>
          </cell>
          <cell r="H44">
            <v>101</v>
          </cell>
          <cell r="I44">
            <v>101</v>
          </cell>
          <cell r="J44">
            <v>61</v>
          </cell>
          <cell r="L44">
            <v>101</v>
          </cell>
          <cell r="M44">
            <v>51.6</v>
          </cell>
          <cell r="N44">
            <v>2012</v>
          </cell>
          <cell r="O44">
            <v>43</v>
          </cell>
          <cell r="P44">
            <v>70.3</v>
          </cell>
        </row>
        <row r="45">
          <cell r="B45" t="str">
            <v>University of Southern California</v>
          </cell>
          <cell r="C45" t="str">
            <v>USA</v>
          </cell>
          <cell r="D45">
            <v>32</v>
          </cell>
          <cell r="E45">
            <v>101</v>
          </cell>
          <cell r="F45">
            <v>101</v>
          </cell>
          <cell r="G45">
            <v>63</v>
          </cell>
          <cell r="H45">
            <v>46</v>
          </cell>
          <cell r="I45">
            <v>48</v>
          </cell>
          <cell r="J45">
            <v>32</v>
          </cell>
          <cell r="L45">
            <v>23</v>
          </cell>
          <cell r="M45">
            <v>51.38</v>
          </cell>
          <cell r="N45">
            <v>2012</v>
          </cell>
          <cell r="O45">
            <v>44</v>
          </cell>
          <cell r="P45">
            <v>65.400000000000006</v>
          </cell>
        </row>
        <row r="46">
          <cell r="B46" t="str">
            <v>University of California, Davis</v>
          </cell>
          <cell r="C46" t="str">
            <v>USA</v>
          </cell>
          <cell r="D46">
            <v>33</v>
          </cell>
          <cell r="E46">
            <v>79</v>
          </cell>
          <cell r="F46">
            <v>101</v>
          </cell>
          <cell r="G46">
            <v>92</v>
          </cell>
          <cell r="H46">
            <v>23</v>
          </cell>
          <cell r="I46">
            <v>40</v>
          </cell>
          <cell r="J46">
            <v>25</v>
          </cell>
          <cell r="L46">
            <v>32</v>
          </cell>
          <cell r="M46">
            <v>51.06</v>
          </cell>
          <cell r="N46">
            <v>2012</v>
          </cell>
          <cell r="O46">
            <v>45</v>
          </cell>
          <cell r="P46">
            <v>57.3</v>
          </cell>
        </row>
        <row r="47">
          <cell r="B47" t="str">
            <v>University of Colorado Boulder</v>
          </cell>
          <cell r="C47" t="str">
            <v>USA</v>
          </cell>
          <cell r="D47">
            <v>34</v>
          </cell>
          <cell r="E47">
            <v>83</v>
          </cell>
          <cell r="F47">
            <v>88</v>
          </cell>
          <cell r="G47">
            <v>48</v>
          </cell>
          <cell r="H47">
            <v>71</v>
          </cell>
          <cell r="I47">
            <v>54</v>
          </cell>
          <cell r="J47">
            <v>56</v>
          </cell>
          <cell r="L47">
            <v>101</v>
          </cell>
          <cell r="M47">
            <v>50.68</v>
          </cell>
          <cell r="N47">
            <v>2012</v>
          </cell>
          <cell r="O47">
            <v>46</v>
          </cell>
          <cell r="P47">
            <v>46.4</v>
          </cell>
        </row>
        <row r="48">
          <cell r="B48" t="str">
            <v>University of California, Irvine</v>
          </cell>
          <cell r="C48" t="str">
            <v>USA</v>
          </cell>
          <cell r="D48">
            <v>35</v>
          </cell>
          <cell r="E48">
            <v>101</v>
          </cell>
          <cell r="F48">
            <v>101</v>
          </cell>
          <cell r="G48">
            <v>38</v>
          </cell>
          <cell r="H48">
            <v>59</v>
          </cell>
          <cell r="I48">
            <v>57</v>
          </cell>
          <cell r="J48">
            <v>52</v>
          </cell>
          <cell r="L48">
            <v>65</v>
          </cell>
          <cell r="M48">
            <v>50.64</v>
          </cell>
          <cell r="N48">
            <v>2012</v>
          </cell>
          <cell r="O48">
            <v>47</v>
          </cell>
          <cell r="P48">
            <v>49.4</v>
          </cell>
        </row>
        <row r="49">
          <cell r="B49" t="str">
            <v>University of Paris-Sud</v>
          </cell>
          <cell r="C49" t="str">
            <v>France</v>
          </cell>
          <cell r="D49">
            <v>1</v>
          </cell>
          <cell r="E49">
            <v>48</v>
          </cell>
          <cell r="F49">
            <v>101</v>
          </cell>
          <cell r="G49">
            <v>25</v>
          </cell>
          <cell r="H49">
            <v>73</v>
          </cell>
          <cell r="I49">
            <v>96</v>
          </cell>
          <cell r="J49">
            <v>101</v>
          </cell>
          <cell r="L49">
            <v>101</v>
          </cell>
          <cell r="M49">
            <v>50.44</v>
          </cell>
          <cell r="N49">
            <v>2012</v>
          </cell>
          <cell r="O49">
            <v>48</v>
          </cell>
          <cell r="P49" t="e">
            <v>#N/A</v>
          </cell>
        </row>
        <row r="50">
          <cell r="B50" t="str">
            <v>University of Minnesota, Twin Cities</v>
          </cell>
          <cell r="C50" t="str">
            <v>USA</v>
          </cell>
          <cell r="D50">
            <v>36</v>
          </cell>
          <cell r="E50">
            <v>101</v>
          </cell>
          <cell r="F50">
            <v>101</v>
          </cell>
          <cell r="G50">
            <v>85</v>
          </cell>
          <cell r="H50">
            <v>18</v>
          </cell>
          <cell r="I50">
            <v>31</v>
          </cell>
          <cell r="J50">
            <v>17</v>
          </cell>
          <cell r="L50">
            <v>84</v>
          </cell>
          <cell r="M50">
            <v>50.3</v>
          </cell>
          <cell r="N50">
            <v>2012</v>
          </cell>
          <cell r="O50">
            <v>49</v>
          </cell>
          <cell r="P50" t="e">
            <v>#N/A</v>
          </cell>
        </row>
        <row r="51">
          <cell r="B51" t="str">
            <v>University of Arizona</v>
          </cell>
          <cell r="C51" t="str">
            <v>USA</v>
          </cell>
          <cell r="D51">
            <v>37</v>
          </cell>
          <cell r="E51">
            <v>101</v>
          </cell>
          <cell r="F51">
            <v>101</v>
          </cell>
          <cell r="G51">
            <v>88</v>
          </cell>
          <cell r="H51">
            <v>45</v>
          </cell>
          <cell r="I51">
            <v>42</v>
          </cell>
          <cell r="J51">
            <v>45</v>
          </cell>
          <cell r="L51">
            <v>27</v>
          </cell>
          <cell r="M51">
            <v>50.29</v>
          </cell>
          <cell r="N51">
            <v>2012</v>
          </cell>
          <cell r="O51">
            <v>50</v>
          </cell>
          <cell r="P51">
            <v>52.4</v>
          </cell>
        </row>
        <row r="52">
          <cell r="B52" t="str">
            <v>Technion â€“ Israel Institute of Technology</v>
          </cell>
          <cell r="C52" t="str">
            <v>Israel</v>
          </cell>
          <cell r="D52">
            <v>3</v>
          </cell>
          <cell r="E52">
            <v>45</v>
          </cell>
          <cell r="F52">
            <v>89</v>
          </cell>
          <cell r="G52">
            <v>36</v>
          </cell>
          <cell r="H52">
            <v>101</v>
          </cell>
          <cell r="I52">
            <v>101</v>
          </cell>
          <cell r="J52">
            <v>101</v>
          </cell>
          <cell r="L52">
            <v>51</v>
          </cell>
          <cell r="M52">
            <v>50.01</v>
          </cell>
          <cell r="N52">
            <v>2012</v>
          </cell>
          <cell r="O52">
            <v>51</v>
          </cell>
          <cell r="P52" t="e">
            <v>#N/A</v>
          </cell>
        </row>
        <row r="53">
          <cell r="B53" t="str">
            <v>Ohio State University, Columbus</v>
          </cell>
          <cell r="C53" t="str">
            <v>USA</v>
          </cell>
          <cell r="D53">
            <v>38</v>
          </cell>
          <cell r="E53">
            <v>101</v>
          </cell>
          <cell r="F53">
            <v>101</v>
          </cell>
          <cell r="G53">
            <v>83</v>
          </cell>
          <cell r="H53">
            <v>30</v>
          </cell>
          <cell r="I53">
            <v>50</v>
          </cell>
          <cell r="J53">
            <v>35</v>
          </cell>
          <cell r="L53">
            <v>54</v>
          </cell>
          <cell r="M53">
            <v>49.54</v>
          </cell>
          <cell r="N53">
            <v>2012</v>
          </cell>
          <cell r="O53">
            <v>52</v>
          </cell>
          <cell r="P53" t="e">
            <v>#N/A</v>
          </cell>
        </row>
        <row r="54">
          <cell r="B54" t="str">
            <v>University of Rochester</v>
          </cell>
          <cell r="C54" t="str">
            <v>USA</v>
          </cell>
          <cell r="D54">
            <v>39</v>
          </cell>
          <cell r="E54">
            <v>41</v>
          </cell>
          <cell r="F54">
            <v>54</v>
          </cell>
          <cell r="G54">
            <v>101</v>
          </cell>
          <cell r="H54">
            <v>82</v>
          </cell>
          <cell r="I54">
            <v>68</v>
          </cell>
          <cell r="J54">
            <v>54</v>
          </cell>
          <cell r="L54">
            <v>62</v>
          </cell>
          <cell r="M54">
            <v>49.51</v>
          </cell>
          <cell r="N54">
            <v>2012</v>
          </cell>
          <cell r="O54">
            <v>53</v>
          </cell>
          <cell r="P54">
            <v>47</v>
          </cell>
        </row>
        <row r="55">
          <cell r="B55" t="str">
            <v>Ã‰cole normale supÃ©rieure - Paris</v>
          </cell>
          <cell r="C55" t="str">
            <v>France</v>
          </cell>
          <cell r="D55">
            <v>2</v>
          </cell>
          <cell r="E55">
            <v>3</v>
          </cell>
          <cell r="F55">
            <v>61</v>
          </cell>
          <cell r="G55">
            <v>77</v>
          </cell>
          <cell r="H55">
            <v>101</v>
          </cell>
          <cell r="I55">
            <v>101</v>
          </cell>
          <cell r="J55">
            <v>101</v>
          </cell>
          <cell r="L55">
            <v>101</v>
          </cell>
          <cell r="M55">
            <v>49.1</v>
          </cell>
          <cell r="N55">
            <v>2012</v>
          </cell>
          <cell r="O55">
            <v>54</v>
          </cell>
          <cell r="P55" t="e">
            <v>#N/A</v>
          </cell>
        </row>
        <row r="56">
          <cell r="B56" t="str">
            <v>University of Florida</v>
          </cell>
          <cell r="C56" t="str">
            <v>USA</v>
          </cell>
          <cell r="D56">
            <v>40</v>
          </cell>
          <cell r="E56">
            <v>101</v>
          </cell>
          <cell r="F56">
            <v>101</v>
          </cell>
          <cell r="G56">
            <v>96</v>
          </cell>
          <cell r="H56">
            <v>29</v>
          </cell>
          <cell r="I56">
            <v>74</v>
          </cell>
          <cell r="J56">
            <v>42</v>
          </cell>
          <cell r="L56">
            <v>2</v>
          </cell>
          <cell r="M56">
            <v>48.8</v>
          </cell>
          <cell r="N56">
            <v>2012</v>
          </cell>
          <cell r="O56">
            <v>55</v>
          </cell>
          <cell r="P56">
            <v>46.7</v>
          </cell>
        </row>
        <row r="57">
          <cell r="B57" t="str">
            <v>Tel Aviv University</v>
          </cell>
          <cell r="C57" t="str">
            <v>Israel</v>
          </cell>
          <cell r="D57">
            <v>4</v>
          </cell>
          <cell r="E57">
            <v>97</v>
          </cell>
          <cell r="F57">
            <v>101</v>
          </cell>
          <cell r="G57">
            <v>51</v>
          </cell>
          <cell r="H57">
            <v>72</v>
          </cell>
          <cell r="I57">
            <v>101</v>
          </cell>
          <cell r="J57">
            <v>101</v>
          </cell>
          <cell r="L57">
            <v>35</v>
          </cell>
          <cell r="M57">
            <v>48.76</v>
          </cell>
          <cell r="N57">
            <v>2012</v>
          </cell>
          <cell r="O57">
            <v>56</v>
          </cell>
          <cell r="P57">
            <v>47.3</v>
          </cell>
        </row>
        <row r="58">
          <cell r="B58" t="str">
            <v>Rice University</v>
          </cell>
          <cell r="C58" t="str">
            <v>USA</v>
          </cell>
          <cell r="D58">
            <v>41</v>
          </cell>
          <cell r="E58">
            <v>28</v>
          </cell>
          <cell r="F58">
            <v>53</v>
          </cell>
          <cell r="G58">
            <v>94</v>
          </cell>
          <cell r="H58">
            <v>101</v>
          </cell>
          <cell r="I58">
            <v>101</v>
          </cell>
          <cell r="J58">
            <v>53</v>
          </cell>
          <cell r="L58">
            <v>101</v>
          </cell>
          <cell r="M58">
            <v>48.76</v>
          </cell>
          <cell r="N58">
            <v>2012</v>
          </cell>
          <cell r="O58">
            <v>57</v>
          </cell>
          <cell r="P58">
            <v>57.4</v>
          </cell>
        </row>
        <row r="59">
          <cell r="B59" t="str">
            <v>Dartmouth College</v>
          </cell>
          <cell r="C59" t="str">
            <v>USA</v>
          </cell>
          <cell r="D59">
            <v>42</v>
          </cell>
          <cell r="E59">
            <v>27</v>
          </cell>
          <cell r="F59">
            <v>13</v>
          </cell>
          <cell r="G59">
            <v>101</v>
          </cell>
          <cell r="H59">
            <v>101</v>
          </cell>
          <cell r="I59">
            <v>101</v>
          </cell>
          <cell r="J59">
            <v>101</v>
          </cell>
          <cell r="L59">
            <v>92</v>
          </cell>
          <cell r="M59">
            <v>48.5</v>
          </cell>
          <cell r="N59">
            <v>2012</v>
          </cell>
          <cell r="O59">
            <v>58</v>
          </cell>
          <cell r="P59">
            <v>44.7</v>
          </cell>
        </row>
        <row r="60">
          <cell r="B60" t="str">
            <v>Vanderbilt University</v>
          </cell>
          <cell r="C60" t="str">
            <v>USA</v>
          </cell>
          <cell r="D60">
            <v>43</v>
          </cell>
          <cell r="E60">
            <v>80</v>
          </cell>
          <cell r="F60">
            <v>72</v>
          </cell>
          <cell r="G60">
            <v>101</v>
          </cell>
          <cell r="H60">
            <v>50</v>
          </cell>
          <cell r="I60">
            <v>35</v>
          </cell>
          <cell r="J60">
            <v>49</v>
          </cell>
          <cell r="L60">
            <v>101</v>
          </cell>
          <cell r="M60">
            <v>48.44</v>
          </cell>
          <cell r="N60">
            <v>2012</v>
          </cell>
          <cell r="O60">
            <v>59</v>
          </cell>
          <cell r="P60">
            <v>64.900000000000006</v>
          </cell>
        </row>
        <row r="61">
          <cell r="B61" t="str">
            <v>University of Edinburgh</v>
          </cell>
          <cell r="C61" t="str">
            <v>United Kingdom</v>
          </cell>
          <cell r="D61">
            <v>1</v>
          </cell>
          <cell r="E61">
            <v>71</v>
          </cell>
          <cell r="F61">
            <v>101</v>
          </cell>
          <cell r="G61">
            <v>43</v>
          </cell>
          <cell r="H61">
            <v>64</v>
          </cell>
          <cell r="I61">
            <v>41</v>
          </cell>
          <cell r="J61">
            <v>70</v>
          </cell>
          <cell r="L61">
            <v>101</v>
          </cell>
          <cell r="M61">
            <v>48.43</v>
          </cell>
          <cell r="N61">
            <v>2012</v>
          </cell>
          <cell r="O61">
            <v>60</v>
          </cell>
          <cell r="P61">
            <v>59.9</v>
          </cell>
        </row>
        <row r="62">
          <cell r="B62" t="str">
            <v>Ã‰cole Polytechnique</v>
          </cell>
          <cell r="C62" t="str">
            <v>France</v>
          </cell>
          <cell r="D62">
            <v>3</v>
          </cell>
          <cell r="E62">
            <v>47</v>
          </cell>
          <cell r="F62">
            <v>3</v>
          </cell>
          <cell r="G62">
            <v>101</v>
          </cell>
          <cell r="H62">
            <v>101</v>
          </cell>
          <cell r="I62">
            <v>101</v>
          </cell>
          <cell r="J62">
            <v>101</v>
          </cell>
          <cell r="L62">
            <v>101</v>
          </cell>
          <cell r="M62">
            <v>48.33</v>
          </cell>
          <cell r="N62">
            <v>2012</v>
          </cell>
          <cell r="O62">
            <v>61</v>
          </cell>
          <cell r="P62">
            <v>57.9</v>
          </cell>
        </row>
        <row r="63">
          <cell r="B63" t="str">
            <v>Boston University</v>
          </cell>
          <cell r="C63" t="str">
            <v>USA</v>
          </cell>
          <cell r="D63">
            <v>44</v>
          </cell>
          <cell r="E63">
            <v>101</v>
          </cell>
          <cell r="F63">
            <v>101</v>
          </cell>
          <cell r="G63">
            <v>86</v>
          </cell>
          <cell r="H63">
            <v>48</v>
          </cell>
          <cell r="I63">
            <v>34</v>
          </cell>
          <cell r="J63">
            <v>37</v>
          </cell>
          <cell r="L63">
            <v>101</v>
          </cell>
          <cell r="M63">
            <v>48.31</v>
          </cell>
          <cell r="N63">
            <v>2012</v>
          </cell>
          <cell r="O63">
            <v>62</v>
          </cell>
          <cell r="P63">
            <v>53.6</v>
          </cell>
        </row>
        <row r="64">
          <cell r="B64" t="str">
            <v>Pierre-and-Marie-Curie University</v>
          </cell>
          <cell r="C64" t="str">
            <v>France</v>
          </cell>
          <cell r="D64">
            <v>4</v>
          </cell>
          <cell r="E64">
            <v>54</v>
          </cell>
          <cell r="F64">
            <v>101</v>
          </cell>
          <cell r="G64">
            <v>84</v>
          </cell>
          <cell r="H64">
            <v>36</v>
          </cell>
          <cell r="I64">
            <v>53</v>
          </cell>
          <cell r="J64">
            <v>78</v>
          </cell>
          <cell r="L64">
            <v>101</v>
          </cell>
          <cell r="M64">
            <v>48.26</v>
          </cell>
          <cell r="N64">
            <v>2012</v>
          </cell>
          <cell r="O64">
            <v>63</v>
          </cell>
          <cell r="P64" t="e">
            <v>#N/A</v>
          </cell>
        </row>
        <row r="65">
          <cell r="B65" t="str">
            <v>Pennsylvania State University, University Park</v>
          </cell>
          <cell r="C65" t="str">
            <v>USA</v>
          </cell>
          <cell r="D65">
            <v>45</v>
          </cell>
          <cell r="E65">
            <v>101</v>
          </cell>
          <cell r="F65">
            <v>94</v>
          </cell>
          <cell r="G65">
            <v>101</v>
          </cell>
          <cell r="H65">
            <v>38</v>
          </cell>
          <cell r="I65">
            <v>60</v>
          </cell>
          <cell r="J65">
            <v>27</v>
          </cell>
          <cell r="L65">
            <v>99</v>
          </cell>
          <cell r="M65">
            <v>48.15</v>
          </cell>
          <cell r="N65">
            <v>2012</v>
          </cell>
          <cell r="O65">
            <v>64</v>
          </cell>
          <cell r="P65" t="e">
            <v>#N/A</v>
          </cell>
        </row>
        <row r="66">
          <cell r="B66" t="str">
            <v>University of Geneva</v>
          </cell>
          <cell r="C66" t="str">
            <v>Switzerland</v>
          </cell>
          <cell r="D66">
            <v>2</v>
          </cell>
          <cell r="E66">
            <v>46</v>
          </cell>
          <cell r="F66">
            <v>101</v>
          </cell>
          <cell r="G66">
            <v>29</v>
          </cell>
          <cell r="H66">
            <v>101</v>
          </cell>
          <cell r="I66">
            <v>93</v>
          </cell>
          <cell r="J66">
            <v>101</v>
          </cell>
          <cell r="L66">
            <v>101</v>
          </cell>
          <cell r="M66">
            <v>47.94</v>
          </cell>
          <cell r="N66">
            <v>2012</v>
          </cell>
          <cell r="O66">
            <v>65</v>
          </cell>
          <cell r="P66">
            <v>46.6</v>
          </cell>
        </row>
        <row r="67">
          <cell r="B67" t="str">
            <v>Brown University</v>
          </cell>
          <cell r="C67" t="str">
            <v>USA</v>
          </cell>
          <cell r="D67">
            <v>46</v>
          </cell>
          <cell r="E67">
            <v>49</v>
          </cell>
          <cell r="F67">
            <v>37</v>
          </cell>
          <cell r="G67">
            <v>65</v>
          </cell>
          <cell r="H67">
            <v>101</v>
          </cell>
          <cell r="I67">
            <v>73</v>
          </cell>
          <cell r="J67">
            <v>92</v>
          </cell>
          <cell r="L67">
            <v>101</v>
          </cell>
          <cell r="M67">
            <v>47.91</v>
          </cell>
          <cell r="N67">
            <v>2012</v>
          </cell>
          <cell r="O67">
            <v>66</v>
          </cell>
          <cell r="P67">
            <v>59.7</v>
          </cell>
        </row>
        <row r="68">
          <cell r="B68" t="str">
            <v>University of British Columbia</v>
          </cell>
          <cell r="C68" t="str">
            <v>Canada</v>
          </cell>
          <cell r="D68">
            <v>3</v>
          </cell>
          <cell r="E68">
            <v>101</v>
          </cell>
          <cell r="F68">
            <v>101</v>
          </cell>
          <cell r="G68">
            <v>93</v>
          </cell>
          <cell r="H68">
            <v>28</v>
          </cell>
          <cell r="I68">
            <v>38</v>
          </cell>
          <cell r="J68">
            <v>48</v>
          </cell>
          <cell r="L68">
            <v>101</v>
          </cell>
          <cell r="M68">
            <v>47.74</v>
          </cell>
          <cell r="N68">
            <v>2012</v>
          </cell>
          <cell r="O68">
            <v>67</v>
          </cell>
          <cell r="P68">
            <v>65.099999999999994</v>
          </cell>
        </row>
        <row r="69">
          <cell r="B69" t="str">
            <v>University of Maryland, College Park</v>
          </cell>
          <cell r="C69" t="str">
            <v>USA</v>
          </cell>
          <cell r="D69">
            <v>47</v>
          </cell>
          <cell r="E69">
            <v>85</v>
          </cell>
          <cell r="F69">
            <v>101</v>
          </cell>
          <cell r="G69">
            <v>50</v>
          </cell>
          <cell r="H69">
            <v>47</v>
          </cell>
          <cell r="I69">
            <v>55</v>
          </cell>
          <cell r="J69">
            <v>41</v>
          </cell>
          <cell r="L69">
            <v>101</v>
          </cell>
          <cell r="M69">
            <v>47.69</v>
          </cell>
          <cell r="N69">
            <v>2012</v>
          </cell>
          <cell r="O69">
            <v>68</v>
          </cell>
          <cell r="P69">
            <v>45.4</v>
          </cell>
        </row>
        <row r="70">
          <cell r="B70" t="str">
            <v>Swiss Federal Institute of Technology in Lausanne</v>
          </cell>
          <cell r="C70" t="str">
            <v>Switzerland</v>
          </cell>
          <cell r="D70">
            <v>3</v>
          </cell>
          <cell r="E70">
            <v>101</v>
          </cell>
          <cell r="F70">
            <v>30</v>
          </cell>
          <cell r="G70">
            <v>82</v>
          </cell>
          <cell r="H70">
            <v>101</v>
          </cell>
          <cell r="I70">
            <v>101</v>
          </cell>
          <cell r="J70">
            <v>101</v>
          </cell>
          <cell r="L70">
            <v>74</v>
          </cell>
          <cell r="M70">
            <v>47.68</v>
          </cell>
          <cell r="N70">
            <v>2012</v>
          </cell>
          <cell r="O70">
            <v>69</v>
          </cell>
          <cell r="P70" t="e">
            <v>#N/A</v>
          </cell>
        </row>
        <row r="71">
          <cell r="B71" t="str">
            <v>Karolinska Institute</v>
          </cell>
          <cell r="C71" t="str">
            <v>Sweden</v>
          </cell>
          <cell r="D71">
            <v>1</v>
          </cell>
          <cell r="E71">
            <v>51</v>
          </cell>
          <cell r="F71">
            <v>101</v>
          </cell>
          <cell r="G71">
            <v>42</v>
          </cell>
          <cell r="H71">
            <v>84</v>
          </cell>
          <cell r="I71">
            <v>49</v>
          </cell>
          <cell r="J71">
            <v>95</v>
          </cell>
          <cell r="L71">
            <v>101</v>
          </cell>
          <cell r="M71">
            <v>47.61</v>
          </cell>
          <cell r="N71">
            <v>2012</v>
          </cell>
          <cell r="O71">
            <v>70</v>
          </cell>
          <cell r="P71">
            <v>65.8</v>
          </cell>
        </row>
        <row r="72">
          <cell r="B72" t="str">
            <v>University of Pittsburgh - Pittsburgh Campus</v>
          </cell>
          <cell r="C72" t="str">
            <v>USA</v>
          </cell>
          <cell r="D72">
            <v>48</v>
          </cell>
          <cell r="E72">
            <v>81</v>
          </cell>
          <cell r="F72">
            <v>101</v>
          </cell>
          <cell r="G72">
            <v>101</v>
          </cell>
          <cell r="H72">
            <v>21</v>
          </cell>
          <cell r="I72">
            <v>32</v>
          </cell>
          <cell r="J72">
            <v>24</v>
          </cell>
          <cell r="L72">
            <v>61</v>
          </cell>
          <cell r="M72">
            <v>47.59</v>
          </cell>
          <cell r="N72">
            <v>2012</v>
          </cell>
          <cell r="O72">
            <v>71</v>
          </cell>
          <cell r="P72" t="e">
            <v>#N/A</v>
          </cell>
        </row>
        <row r="73">
          <cell r="B73" t="str">
            <v>Rutgers University-New Brunswick</v>
          </cell>
          <cell r="C73" t="str">
            <v>USA</v>
          </cell>
          <cell r="D73">
            <v>49</v>
          </cell>
          <cell r="E73">
            <v>101</v>
          </cell>
          <cell r="F73">
            <v>101</v>
          </cell>
          <cell r="G73">
            <v>59</v>
          </cell>
          <cell r="H73">
            <v>80</v>
          </cell>
          <cell r="I73">
            <v>83</v>
          </cell>
          <cell r="J73">
            <v>72</v>
          </cell>
          <cell r="L73">
            <v>85</v>
          </cell>
          <cell r="M73">
            <v>47.5</v>
          </cell>
          <cell r="N73">
            <v>2012</v>
          </cell>
          <cell r="O73">
            <v>72</v>
          </cell>
          <cell r="P73" t="e">
            <v>#N/A</v>
          </cell>
        </row>
        <row r="74">
          <cell r="B74" t="str">
            <v>Texas A&amp;M University, College Station</v>
          </cell>
          <cell r="C74" t="str">
            <v>USA</v>
          </cell>
          <cell r="D74">
            <v>50</v>
          </cell>
          <cell r="E74">
            <v>101</v>
          </cell>
          <cell r="F74">
            <v>101</v>
          </cell>
          <cell r="G74">
            <v>46</v>
          </cell>
          <cell r="H74">
            <v>58</v>
          </cell>
          <cell r="I74">
            <v>101</v>
          </cell>
          <cell r="J74">
            <v>80</v>
          </cell>
          <cell r="L74">
            <v>101</v>
          </cell>
          <cell r="M74">
            <v>47.31</v>
          </cell>
          <cell r="N74">
            <v>2012</v>
          </cell>
          <cell r="O74">
            <v>73</v>
          </cell>
          <cell r="P74" t="e">
            <v>#N/A</v>
          </cell>
        </row>
        <row r="75">
          <cell r="B75" t="str">
            <v>Nagoya University</v>
          </cell>
          <cell r="C75" t="str">
            <v>Japan</v>
          </cell>
          <cell r="D75">
            <v>4</v>
          </cell>
          <cell r="E75">
            <v>56</v>
          </cell>
          <cell r="F75">
            <v>101</v>
          </cell>
          <cell r="G75">
            <v>69</v>
          </cell>
          <cell r="H75">
            <v>101</v>
          </cell>
          <cell r="I75">
            <v>101</v>
          </cell>
          <cell r="J75">
            <v>101</v>
          </cell>
          <cell r="L75">
            <v>46</v>
          </cell>
          <cell r="M75">
            <v>46.89</v>
          </cell>
          <cell r="N75">
            <v>2012</v>
          </cell>
          <cell r="O75">
            <v>74</v>
          </cell>
          <cell r="P75">
            <v>45.5</v>
          </cell>
        </row>
        <row r="76">
          <cell r="B76" t="str">
            <v>Seoul National University</v>
          </cell>
          <cell r="C76" t="str">
            <v>South Korea</v>
          </cell>
          <cell r="D76">
            <v>1</v>
          </cell>
          <cell r="E76">
            <v>101</v>
          </cell>
          <cell r="F76">
            <v>34</v>
          </cell>
          <cell r="G76">
            <v>101</v>
          </cell>
          <cell r="H76">
            <v>44</v>
          </cell>
          <cell r="I76">
            <v>101</v>
          </cell>
          <cell r="J76">
            <v>69</v>
          </cell>
          <cell r="L76">
            <v>4</v>
          </cell>
          <cell r="M76">
            <v>46.74</v>
          </cell>
          <cell r="N76">
            <v>2012</v>
          </cell>
          <cell r="O76">
            <v>75</v>
          </cell>
          <cell r="P76">
            <v>62.3</v>
          </cell>
        </row>
        <row r="77">
          <cell r="B77" t="str">
            <v>University of Manchester</v>
          </cell>
          <cell r="C77" t="str">
            <v>United Kingdom</v>
          </cell>
          <cell r="D77">
            <v>5</v>
          </cell>
          <cell r="E77">
            <v>101</v>
          </cell>
          <cell r="F77">
            <v>101</v>
          </cell>
          <cell r="G77">
            <v>75</v>
          </cell>
          <cell r="H77">
            <v>52</v>
          </cell>
          <cell r="I77">
            <v>70</v>
          </cell>
          <cell r="J77">
            <v>63</v>
          </cell>
          <cell r="L77">
            <v>101</v>
          </cell>
          <cell r="M77">
            <v>46.38</v>
          </cell>
          <cell r="N77">
            <v>2012</v>
          </cell>
          <cell r="O77">
            <v>76</v>
          </cell>
          <cell r="P77">
            <v>56.5</v>
          </cell>
        </row>
        <row r="78">
          <cell r="B78" t="str">
            <v>Sapienza University of Rome</v>
          </cell>
          <cell r="C78" t="str">
            <v>Italy</v>
          </cell>
          <cell r="D78">
            <v>1</v>
          </cell>
          <cell r="E78">
            <v>101</v>
          </cell>
          <cell r="F78">
            <v>101</v>
          </cell>
          <cell r="G78">
            <v>30</v>
          </cell>
          <cell r="H78">
            <v>70</v>
          </cell>
          <cell r="I78">
            <v>101</v>
          </cell>
          <cell r="J78">
            <v>101</v>
          </cell>
          <cell r="L78">
            <v>101</v>
          </cell>
          <cell r="M78">
            <v>46.34</v>
          </cell>
          <cell r="N78">
            <v>2012</v>
          </cell>
          <cell r="O78">
            <v>77</v>
          </cell>
          <cell r="P78">
            <v>29.6</v>
          </cell>
        </row>
        <row r="79">
          <cell r="B79" t="str">
            <v>Case Western Reserve University</v>
          </cell>
          <cell r="C79" t="str">
            <v>USA</v>
          </cell>
          <cell r="D79">
            <v>51</v>
          </cell>
          <cell r="E79">
            <v>33</v>
          </cell>
          <cell r="F79">
            <v>101</v>
          </cell>
          <cell r="G79">
            <v>101</v>
          </cell>
          <cell r="H79">
            <v>96</v>
          </cell>
          <cell r="I79">
            <v>63</v>
          </cell>
          <cell r="J79">
            <v>65</v>
          </cell>
          <cell r="L79">
            <v>101</v>
          </cell>
          <cell r="M79">
            <v>46.11</v>
          </cell>
          <cell r="N79">
            <v>2012</v>
          </cell>
          <cell r="O79">
            <v>78</v>
          </cell>
          <cell r="P79">
            <v>67.2</v>
          </cell>
        </row>
        <row r="80">
          <cell r="B80" t="str">
            <v>Tohoku University</v>
          </cell>
          <cell r="C80" t="str">
            <v>Japan</v>
          </cell>
          <cell r="D80">
            <v>5</v>
          </cell>
          <cell r="E80">
            <v>53</v>
          </cell>
          <cell r="F80">
            <v>101</v>
          </cell>
          <cell r="G80">
            <v>101</v>
          </cell>
          <cell r="H80">
            <v>49</v>
          </cell>
          <cell r="I80">
            <v>100</v>
          </cell>
          <cell r="J80">
            <v>67</v>
          </cell>
          <cell r="L80">
            <v>29</v>
          </cell>
          <cell r="M80">
            <v>45.82</v>
          </cell>
          <cell r="N80">
            <v>2012</v>
          </cell>
          <cell r="O80">
            <v>79</v>
          </cell>
          <cell r="P80">
            <v>60.3</v>
          </cell>
        </row>
        <row r="81">
          <cell r="B81" t="str">
            <v>Arizona State University</v>
          </cell>
          <cell r="C81" t="str">
            <v>USA</v>
          </cell>
          <cell r="D81">
            <v>52</v>
          </cell>
          <cell r="E81">
            <v>101</v>
          </cell>
          <cell r="F81">
            <v>101</v>
          </cell>
          <cell r="G81">
            <v>70</v>
          </cell>
          <cell r="H81">
            <v>101</v>
          </cell>
          <cell r="I81">
            <v>101</v>
          </cell>
          <cell r="J81">
            <v>77</v>
          </cell>
          <cell r="L81">
            <v>49</v>
          </cell>
          <cell r="M81">
            <v>45.7</v>
          </cell>
          <cell r="N81">
            <v>2012</v>
          </cell>
          <cell r="O81">
            <v>80</v>
          </cell>
          <cell r="P81">
            <v>43</v>
          </cell>
        </row>
        <row r="82">
          <cell r="B82" t="str">
            <v>Emory University</v>
          </cell>
          <cell r="C82" t="str">
            <v>USA</v>
          </cell>
          <cell r="D82">
            <v>53</v>
          </cell>
          <cell r="E82">
            <v>101</v>
          </cell>
          <cell r="F82">
            <v>97</v>
          </cell>
          <cell r="G82">
            <v>101</v>
          </cell>
          <cell r="H82">
            <v>54</v>
          </cell>
          <cell r="I82">
            <v>37</v>
          </cell>
          <cell r="J82">
            <v>50</v>
          </cell>
          <cell r="L82">
            <v>46</v>
          </cell>
          <cell r="M82">
            <v>45.47</v>
          </cell>
          <cell r="N82">
            <v>2012</v>
          </cell>
          <cell r="O82">
            <v>81</v>
          </cell>
          <cell r="P82">
            <v>63.4</v>
          </cell>
        </row>
        <row r="83">
          <cell r="B83" t="str">
            <v>Ruprecht Karl University of Heidelberg</v>
          </cell>
          <cell r="C83" t="str">
            <v>Germany</v>
          </cell>
          <cell r="D83">
            <v>1</v>
          </cell>
          <cell r="E83">
            <v>87</v>
          </cell>
          <cell r="F83">
            <v>101</v>
          </cell>
          <cell r="G83">
            <v>52</v>
          </cell>
          <cell r="H83">
            <v>86</v>
          </cell>
          <cell r="I83">
            <v>58</v>
          </cell>
          <cell r="J83">
            <v>100</v>
          </cell>
          <cell r="L83">
            <v>101</v>
          </cell>
          <cell r="M83">
            <v>45.33</v>
          </cell>
          <cell r="N83">
            <v>2012</v>
          </cell>
          <cell r="O83">
            <v>82</v>
          </cell>
          <cell r="P83" t="e">
            <v>#N/A</v>
          </cell>
        </row>
        <row r="84">
          <cell r="B84" t="str">
            <v>Ludwig Maximilian University of Munich</v>
          </cell>
          <cell r="C84" t="str">
            <v>Germany</v>
          </cell>
          <cell r="D84">
            <v>2</v>
          </cell>
          <cell r="E84">
            <v>90</v>
          </cell>
          <cell r="F84">
            <v>101</v>
          </cell>
          <cell r="G84">
            <v>90</v>
          </cell>
          <cell r="H84">
            <v>60</v>
          </cell>
          <cell r="I84">
            <v>45</v>
          </cell>
          <cell r="J84">
            <v>62</v>
          </cell>
          <cell r="L84">
            <v>101</v>
          </cell>
          <cell r="M84">
            <v>45.21</v>
          </cell>
          <cell r="N84">
            <v>2012</v>
          </cell>
          <cell r="O84">
            <v>83</v>
          </cell>
          <cell r="P84" t="e">
            <v>#N/A</v>
          </cell>
        </row>
        <row r="85">
          <cell r="B85" t="str">
            <v>University of Virginia</v>
          </cell>
          <cell r="C85" t="str">
            <v>USA</v>
          </cell>
          <cell r="D85">
            <v>54</v>
          </cell>
          <cell r="E85">
            <v>101</v>
          </cell>
          <cell r="F85">
            <v>50</v>
          </cell>
          <cell r="G85">
            <v>101</v>
          </cell>
          <cell r="H85">
            <v>76</v>
          </cell>
          <cell r="I85">
            <v>62</v>
          </cell>
          <cell r="J85">
            <v>57</v>
          </cell>
          <cell r="L85">
            <v>86</v>
          </cell>
          <cell r="M85">
            <v>45.2</v>
          </cell>
          <cell r="N85">
            <v>2012</v>
          </cell>
          <cell r="O85">
            <v>84</v>
          </cell>
          <cell r="P85">
            <v>62</v>
          </cell>
        </row>
        <row r="86">
          <cell r="B86" t="str">
            <v>Leiden University</v>
          </cell>
          <cell r="C86" t="str">
            <v>Netherlands</v>
          </cell>
          <cell r="D86">
            <v>1</v>
          </cell>
          <cell r="E86">
            <v>88</v>
          </cell>
          <cell r="F86">
            <v>101</v>
          </cell>
          <cell r="G86">
            <v>76</v>
          </cell>
          <cell r="H86">
            <v>81</v>
          </cell>
          <cell r="I86">
            <v>65</v>
          </cell>
          <cell r="J86">
            <v>101</v>
          </cell>
          <cell r="L86">
            <v>101</v>
          </cell>
          <cell r="M86">
            <v>45.13</v>
          </cell>
          <cell r="N86">
            <v>2012</v>
          </cell>
          <cell r="O86">
            <v>85</v>
          </cell>
          <cell r="P86">
            <v>47.3</v>
          </cell>
        </row>
        <row r="87">
          <cell r="B87" t="str">
            <v>Tufts University</v>
          </cell>
          <cell r="C87" t="str">
            <v>USA</v>
          </cell>
          <cell r="D87">
            <v>55</v>
          </cell>
          <cell r="E87">
            <v>60</v>
          </cell>
          <cell r="F87">
            <v>41</v>
          </cell>
          <cell r="G87">
            <v>101</v>
          </cell>
          <cell r="H87">
            <v>101</v>
          </cell>
          <cell r="I87">
            <v>95</v>
          </cell>
          <cell r="J87">
            <v>75</v>
          </cell>
          <cell r="L87">
            <v>101</v>
          </cell>
          <cell r="M87">
            <v>44.91</v>
          </cell>
          <cell r="N87">
            <v>2012</v>
          </cell>
          <cell r="O87">
            <v>86</v>
          </cell>
          <cell r="P87">
            <v>64.099999999999994</v>
          </cell>
        </row>
        <row r="88">
          <cell r="B88" t="str">
            <v>Georgia Institute of Technology</v>
          </cell>
          <cell r="C88" t="str">
            <v>USA</v>
          </cell>
          <cell r="D88">
            <v>56</v>
          </cell>
          <cell r="E88">
            <v>101</v>
          </cell>
          <cell r="F88">
            <v>67</v>
          </cell>
          <cell r="G88">
            <v>101</v>
          </cell>
          <cell r="H88">
            <v>79</v>
          </cell>
          <cell r="I88">
            <v>101</v>
          </cell>
          <cell r="J88">
            <v>46</v>
          </cell>
          <cell r="L88">
            <v>40</v>
          </cell>
          <cell r="M88">
            <v>44.71</v>
          </cell>
          <cell r="N88">
            <v>2012</v>
          </cell>
          <cell r="O88">
            <v>87</v>
          </cell>
          <cell r="P88">
            <v>67.900000000000006</v>
          </cell>
        </row>
        <row r="89">
          <cell r="B89" t="str">
            <v>University of Zurich</v>
          </cell>
          <cell r="C89" t="str">
            <v>Switzerland</v>
          </cell>
          <cell r="D89">
            <v>4</v>
          </cell>
          <cell r="E89">
            <v>101</v>
          </cell>
          <cell r="F89">
            <v>101</v>
          </cell>
          <cell r="G89">
            <v>80</v>
          </cell>
          <cell r="H89">
            <v>101</v>
          </cell>
          <cell r="I89">
            <v>69</v>
          </cell>
          <cell r="J89">
            <v>99</v>
          </cell>
          <cell r="L89">
            <v>101</v>
          </cell>
          <cell r="M89">
            <v>44.51</v>
          </cell>
          <cell r="N89">
            <v>2012</v>
          </cell>
          <cell r="O89">
            <v>88</v>
          </cell>
          <cell r="P89">
            <v>56.6</v>
          </cell>
        </row>
        <row r="90">
          <cell r="B90" t="str">
            <v>University of Helsinki</v>
          </cell>
          <cell r="C90" t="str">
            <v>Finland</v>
          </cell>
          <cell r="D90">
            <v>1</v>
          </cell>
          <cell r="E90">
            <v>96</v>
          </cell>
          <cell r="F90">
            <v>101</v>
          </cell>
          <cell r="G90">
            <v>79</v>
          </cell>
          <cell r="H90">
            <v>62</v>
          </cell>
          <cell r="I90">
            <v>64</v>
          </cell>
          <cell r="J90">
            <v>54</v>
          </cell>
          <cell r="L90">
            <v>101</v>
          </cell>
          <cell r="M90">
            <v>44.44</v>
          </cell>
          <cell r="N90">
            <v>2012</v>
          </cell>
          <cell r="O90">
            <v>89</v>
          </cell>
          <cell r="P90">
            <v>49</v>
          </cell>
        </row>
        <row r="91">
          <cell r="B91" t="str">
            <v>Technical University of Munich</v>
          </cell>
          <cell r="C91" t="str">
            <v>Germany</v>
          </cell>
          <cell r="D91">
            <v>3</v>
          </cell>
          <cell r="E91">
            <v>52</v>
          </cell>
          <cell r="F91">
            <v>101</v>
          </cell>
          <cell r="G91">
            <v>101</v>
          </cell>
          <cell r="H91">
            <v>91</v>
          </cell>
          <cell r="I91">
            <v>76</v>
          </cell>
          <cell r="J91">
            <v>94</v>
          </cell>
          <cell r="L91">
            <v>101</v>
          </cell>
          <cell r="M91">
            <v>44.32</v>
          </cell>
          <cell r="N91">
            <v>2012</v>
          </cell>
          <cell r="O91">
            <v>90</v>
          </cell>
          <cell r="P91">
            <v>50.4</v>
          </cell>
        </row>
        <row r="92">
          <cell r="B92" t="str">
            <v>University of Oslo</v>
          </cell>
          <cell r="C92" t="str">
            <v>Norway</v>
          </cell>
          <cell r="D92">
            <v>1</v>
          </cell>
          <cell r="E92">
            <v>101</v>
          </cell>
          <cell r="F92">
            <v>101</v>
          </cell>
          <cell r="G92">
            <v>39</v>
          </cell>
          <cell r="H92">
            <v>101</v>
          </cell>
          <cell r="I92">
            <v>101</v>
          </cell>
          <cell r="J92">
            <v>101</v>
          </cell>
          <cell r="L92">
            <v>101</v>
          </cell>
          <cell r="M92">
            <v>44.26</v>
          </cell>
          <cell r="N92">
            <v>2012</v>
          </cell>
          <cell r="O92">
            <v>91</v>
          </cell>
          <cell r="P92">
            <v>33.5</v>
          </cell>
        </row>
        <row r="93">
          <cell r="B93" t="str">
            <v>University of Queensland</v>
          </cell>
          <cell r="C93" t="str">
            <v>Australia</v>
          </cell>
          <cell r="D93">
            <v>1</v>
          </cell>
          <cell r="E93">
            <v>101</v>
          </cell>
          <cell r="F93">
            <v>101</v>
          </cell>
          <cell r="G93">
            <v>101</v>
          </cell>
          <cell r="H93">
            <v>67</v>
          </cell>
          <cell r="I93">
            <v>90</v>
          </cell>
          <cell r="J93">
            <v>89</v>
          </cell>
          <cell r="L93">
            <v>46</v>
          </cell>
          <cell r="M93">
            <v>44.18</v>
          </cell>
          <cell r="N93">
            <v>2012</v>
          </cell>
          <cell r="O93">
            <v>92</v>
          </cell>
          <cell r="P93" t="e">
            <v>#N/A</v>
          </cell>
        </row>
        <row r="94">
          <cell r="B94" t="str">
            <v>University of Copenhagen</v>
          </cell>
          <cell r="C94" t="str">
            <v>Denmark</v>
          </cell>
          <cell r="D94">
            <v>1</v>
          </cell>
          <cell r="E94">
            <v>101</v>
          </cell>
          <cell r="F94">
            <v>101</v>
          </cell>
          <cell r="G94">
            <v>60</v>
          </cell>
          <cell r="H94">
            <v>85</v>
          </cell>
          <cell r="I94">
            <v>66</v>
          </cell>
          <cell r="J94">
            <v>101</v>
          </cell>
          <cell r="L94">
            <v>101</v>
          </cell>
          <cell r="M94">
            <v>44.15</v>
          </cell>
          <cell r="N94">
            <v>2012</v>
          </cell>
          <cell r="O94">
            <v>93</v>
          </cell>
          <cell r="P94">
            <v>44.1</v>
          </cell>
        </row>
        <row r="95">
          <cell r="B95" t="str">
            <v>University of Sydney</v>
          </cell>
          <cell r="C95" t="str">
            <v>Australia</v>
          </cell>
          <cell r="D95">
            <v>2</v>
          </cell>
          <cell r="E95">
            <v>101</v>
          </cell>
          <cell r="F95">
            <v>101</v>
          </cell>
          <cell r="G95">
            <v>101</v>
          </cell>
          <cell r="H95">
            <v>56</v>
          </cell>
          <cell r="I95">
            <v>92</v>
          </cell>
          <cell r="J95">
            <v>85</v>
          </cell>
          <cell r="L95">
            <v>69</v>
          </cell>
          <cell r="M95">
            <v>44.13</v>
          </cell>
          <cell r="N95">
            <v>2012</v>
          </cell>
          <cell r="O95">
            <v>94</v>
          </cell>
          <cell r="P95">
            <v>49.8</v>
          </cell>
        </row>
        <row r="96">
          <cell r="B96" t="str">
            <v>Williams College</v>
          </cell>
          <cell r="C96" t="str">
            <v>USA</v>
          </cell>
          <cell r="D96">
            <v>57</v>
          </cell>
          <cell r="E96">
            <v>18</v>
          </cell>
          <cell r="F96">
            <v>15</v>
          </cell>
          <cell r="G96">
            <v>101</v>
          </cell>
          <cell r="H96">
            <v>101</v>
          </cell>
          <cell r="I96">
            <v>101</v>
          </cell>
          <cell r="J96">
            <v>101</v>
          </cell>
          <cell r="L96">
            <v>101</v>
          </cell>
          <cell r="M96">
            <v>43.89</v>
          </cell>
          <cell r="N96">
            <v>2012</v>
          </cell>
          <cell r="O96">
            <v>95</v>
          </cell>
          <cell r="P96" t="e">
            <v>#N/A</v>
          </cell>
        </row>
        <row r="97">
          <cell r="B97" t="str">
            <v>University of Texas MD Anderson Cancer Center</v>
          </cell>
          <cell r="C97" t="str">
            <v>USA</v>
          </cell>
          <cell r="D97">
            <v>58</v>
          </cell>
          <cell r="E97">
            <v>101</v>
          </cell>
          <cell r="F97">
            <v>101</v>
          </cell>
          <cell r="G97">
            <v>101</v>
          </cell>
          <cell r="H97">
            <v>95</v>
          </cell>
          <cell r="I97">
            <v>46</v>
          </cell>
          <cell r="J97">
            <v>66</v>
          </cell>
          <cell r="L97">
            <v>100</v>
          </cell>
          <cell r="M97">
            <v>43.88</v>
          </cell>
          <cell r="N97">
            <v>2012</v>
          </cell>
          <cell r="O97">
            <v>96</v>
          </cell>
          <cell r="P97" t="e">
            <v>#N/A</v>
          </cell>
        </row>
        <row r="98">
          <cell r="B98" t="str">
            <v>University of Nottingham</v>
          </cell>
          <cell r="C98" t="str">
            <v>United Kingdom</v>
          </cell>
          <cell r="D98">
            <v>6</v>
          </cell>
          <cell r="E98">
            <v>101</v>
          </cell>
          <cell r="F98">
            <v>101</v>
          </cell>
          <cell r="G98">
            <v>87</v>
          </cell>
          <cell r="H98">
            <v>101</v>
          </cell>
          <cell r="I98">
            <v>101</v>
          </cell>
          <cell r="J98">
            <v>101</v>
          </cell>
          <cell r="L98">
            <v>92</v>
          </cell>
          <cell r="M98">
            <v>43.79</v>
          </cell>
          <cell r="N98">
            <v>2012</v>
          </cell>
          <cell r="O98">
            <v>97</v>
          </cell>
          <cell r="P98">
            <v>46.8</v>
          </cell>
        </row>
        <row r="99">
          <cell r="B99" t="str">
            <v>University of Bristol</v>
          </cell>
          <cell r="C99" t="str">
            <v>United Kingdom</v>
          </cell>
          <cell r="D99">
            <v>7</v>
          </cell>
          <cell r="E99">
            <v>101</v>
          </cell>
          <cell r="F99">
            <v>101</v>
          </cell>
          <cell r="G99">
            <v>78</v>
          </cell>
          <cell r="H99">
            <v>75</v>
          </cell>
          <cell r="I99">
            <v>81</v>
          </cell>
          <cell r="J99">
            <v>86</v>
          </cell>
          <cell r="L99">
            <v>101</v>
          </cell>
          <cell r="M99">
            <v>43.77</v>
          </cell>
          <cell r="N99">
            <v>2012</v>
          </cell>
          <cell r="O99">
            <v>98</v>
          </cell>
          <cell r="P99">
            <v>49.6</v>
          </cell>
        </row>
        <row r="100">
          <cell r="B100" t="str">
            <v>Utrecht University</v>
          </cell>
          <cell r="C100" t="str">
            <v>Netherlands</v>
          </cell>
          <cell r="D100">
            <v>2</v>
          </cell>
          <cell r="E100">
            <v>100</v>
          </cell>
          <cell r="F100">
            <v>101</v>
          </cell>
          <cell r="G100">
            <v>101</v>
          </cell>
          <cell r="H100">
            <v>65</v>
          </cell>
          <cell r="I100">
            <v>101</v>
          </cell>
          <cell r="J100">
            <v>60</v>
          </cell>
          <cell r="L100">
            <v>101</v>
          </cell>
          <cell r="M100">
            <v>43.47</v>
          </cell>
          <cell r="N100">
            <v>2012</v>
          </cell>
          <cell r="O100">
            <v>99</v>
          </cell>
          <cell r="P100">
            <v>43.4</v>
          </cell>
        </row>
        <row r="101">
          <cell r="B101" t="str">
            <v>Mines ParisTech</v>
          </cell>
          <cell r="C101" t="str">
            <v>France</v>
          </cell>
          <cell r="D101">
            <v>5</v>
          </cell>
          <cell r="E101">
            <v>44</v>
          </cell>
          <cell r="F101">
            <v>4</v>
          </cell>
          <cell r="G101">
            <v>101</v>
          </cell>
          <cell r="H101">
            <v>101</v>
          </cell>
          <cell r="I101">
            <v>101</v>
          </cell>
          <cell r="J101">
            <v>101</v>
          </cell>
          <cell r="L101">
            <v>101</v>
          </cell>
          <cell r="M101">
            <v>43.36</v>
          </cell>
          <cell r="N101">
            <v>2012</v>
          </cell>
          <cell r="O101">
            <v>100</v>
          </cell>
          <cell r="P101">
            <v>39.5</v>
          </cell>
        </row>
        <row r="102">
          <cell r="B102" t="str">
            <v>Harvard University</v>
          </cell>
          <cell r="C102" t="str">
            <v>USA</v>
          </cell>
          <cell r="D102">
            <v>1</v>
          </cell>
          <cell r="E102">
            <v>1</v>
          </cell>
          <cell r="F102">
            <v>1</v>
          </cell>
          <cell r="G102">
            <v>1</v>
          </cell>
          <cell r="H102">
            <v>1</v>
          </cell>
          <cell r="I102">
            <v>1</v>
          </cell>
          <cell r="J102">
            <v>1</v>
          </cell>
          <cell r="L102">
            <v>7</v>
          </cell>
          <cell r="M102">
            <v>100</v>
          </cell>
          <cell r="N102">
            <v>2013</v>
          </cell>
          <cell r="O102">
            <v>1</v>
          </cell>
          <cell r="P102">
            <v>99.7</v>
          </cell>
        </row>
        <row r="103">
          <cell r="B103" t="str">
            <v>Stanford University</v>
          </cell>
          <cell r="C103" t="str">
            <v>USA</v>
          </cell>
          <cell r="D103">
            <v>2</v>
          </cell>
          <cell r="E103">
            <v>11</v>
          </cell>
          <cell r="F103">
            <v>2</v>
          </cell>
          <cell r="G103">
            <v>4</v>
          </cell>
          <cell r="H103">
            <v>6</v>
          </cell>
          <cell r="I103">
            <v>2</v>
          </cell>
          <cell r="J103">
            <v>2</v>
          </cell>
          <cell r="L103">
            <v>11</v>
          </cell>
          <cell r="M103">
            <v>93.94</v>
          </cell>
          <cell r="N103">
            <v>2013</v>
          </cell>
          <cell r="O103">
            <v>2</v>
          </cell>
          <cell r="P103">
            <v>98.3</v>
          </cell>
        </row>
        <row r="104">
          <cell r="B104" t="str">
            <v>University of Oxford</v>
          </cell>
          <cell r="C104" t="str">
            <v>United Kingdom</v>
          </cell>
          <cell r="D104">
            <v>1</v>
          </cell>
          <cell r="E104">
            <v>7</v>
          </cell>
          <cell r="F104">
            <v>12</v>
          </cell>
          <cell r="G104">
            <v>10</v>
          </cell>
          <cell r="H104">
            <v>11</v>
          </cell>
          <cell r="I104">
            <v>7</v>
          </cell>
          <cell r="J104">
            <v>13</v>
          </cell>
          <cell r="L104">
            <v>15</v>
          </cell>
          <cell r="M104">
            <v>92.54</v>
          </cell>
          <cell r="N104">
            <v>2013</v>
          </cell>
          <cell r="O104">
            <v>3</v>
          </cell>
          <cell r="P104">
            <v>88.2</v>
          </cell>
        </row>
        <row r="105">
          <cell r="B105" t="str">
            <v>Massachusetts Institute of Technology</v>
          </cell>
          <cell r="C105" t="str">
            <v>USA</v>
          </cell>
          <cell r="D105">
            <v>3</v>
          </cell>
          <cell r="E105">
            <v>2</v>
          </cell>
          <cell r="F105">
            <v>16</v>
          </cell>
          <cell r="G105">
            <v>2</v>
          </cell>
          <cell r="H105">
            <v>16</v>
          </cell>
          <cell r="I105">
            <v>3</v>
          </cell>
          <cell r="J105">
            <v>3</v>
          </cell>
          <cell r="L105">
            <v>1</v>
          </cell>
          <cell r="M105">
            <v>91.45</v>
          </cell>
          <cell r="N105">
            <v>2013</v>
          </cell>
          <cell r="O105">
            <v>4</v>
          </cell>
          <cell r="P105">
            <v>97.8</v>
          </cell>
        </row>
        <row r="106">
          <cell r="B106" t="str">
            <v>University of Cambridge</v>
          </cell>
          <cell r="C106" t="str">
            <v>United Kingdom</v>
          </cell>
          <cell r="D106">
            <v>2</v>
          </cell>
          <cell r="E106">
            <v>3</v>
          </cell>
          <cell r="F106">
            <v>15</v>
          </cell>
          <cell r="G106">
            <v>5</v>
          </cell>
          <cell r="H106">
            <v>9</v>
          </cell>
          <cell r="I106">
            <v>11</v>
          </cell>
          <cell r="J106">
            <v>10</v>
          </cell>
          <cell r="L106">
            <v>39</v>
          </cell>
          <cell r="M106">
            <v>90.24</v>
          </cell>
          <cell r="N106">
            <v>2013</v>
          </cell>
          <cell r="O106">
            <v>5</v>
          </cell>
          <cell r="P106">
            <v>90.5</v>
          </cell>
        </row>
        <row r="107">
          <cell r="B107" t="str">
            <v>Columbia University</v>
          </cell>
          <cell r="C107" t="str">
            <v>USA</v>
          </cell>
          <cell r="D107">
            <v>4</v>
          </cell>
          <cell r="E107">
            <v>13</v>
          </cell>
          <cell r="F107">
            <v>8</v>
          </cell>
          <cell r="G107">
            <v>9</v>
          </cell>
          <cell r="H107">
            <v>13</v>
          </cell>
          <cell r="I107">
            <v>9</v>
          </cell>
          <cell r="J107">
            <v>11</v>
          </cell>
          <cell r="L107">
            <v>10</v>
          </cell>
          <cell r="M107">
            <v>88.21</v>
          </cell>
          <cell r="N107">
            <v>2013</v>
          </cell>
          <cell r="O107">
            <v>6</v>
          </cell>
          <cell r="P107">
            <v>73.8</v>
          </cell>
        </row>
        <row r="108">
          <cell r="B108" t="str">
            <v>University of California, Berkeley</v>
          </cell>
          <cell r="C108" t="str">
            <v>USA</v>
          </cell>
          <cell r="D108">
            <v>5</v>
          </cell>
          <cell r="E108">
            <v>6</v>
          </cell>
          <cell r="F108">
            <v>28</v>
          </cell>
          <cell r="G108">
            <v>6</v>
          </cell>
          <cell r="H108">
            <v>8</v>
          </cell>
          <cell r="I108">
            <v>6</v>
          </cell>
          <cell r="J108">
            <v>4</v>
          </cell>
          <cell r="L108">
            <v>19</v>
          </cell>
          <cell r="M108">
            <v>85.07</v>
          </cell>
          <cell r="N108">
            <v>2013</v>
          </cell>
          <cell r="O108">
            <v>7</v>
          </cell>
          <cell r="P108">
            <v>84.2</v>
          </cell>
        </row>
        <row r="109">
          <cell r="B109" t="str">
            <v>Princeton University</v>
          </cell>
          <cell r="C109" t="str">
            <v>USA</v>
          </cell>
          <cell r="D109">
            <v>6</v>
          </cell>
          <cell r="E109">
            <v>4</v>
          </cell>
          <cell r="F109">
            <v>14</v>
          </cell>
          <cell r="G109">
            <v>3</v>
          </cell>
          <cell r="H109">
            <v>58</v>
          </cell>
          <cell r="I109">
            <v>35</v>
          </cell>
          <cell r="J109">
            <v>27</v>
          </cell>
          <cell r="L109">
            <v>101</v>
          </cell>
          <cell r="M109">
            <v>82.17</v>
          </cell>
          <cell r="N109">
            <v>2013</v>
          </cell>
          <cell r="O109">
            <v>8</v>
          </cell>
          <cell r="P109">
            <v>90.9</v>
          </cell>
        </row>
        <row r="110">
          <cell r="B110" t="str">
            <v>University of Chicago</v>
          </cell>
          <cell r="C110" t="str">
            <v>USA</v>
          </cell>
          <cell r="D110">
            <v>7</v>
          </cell>
          <cell r="E110">
            <v>9</v>
          </cell>
          <cell r="F110">
            <v>19</v>
          </cell>
          <cell r="G110">
            <v>8</v>
          </cell>
          <cell r="H110">
            <v>37</v>
          </cell>
          <cell r="I110">
            <v>21</v>
          </cell>
          <cell r="J110">
            <v>30</v>
          </cell>
          <cell r="L110">
            <v>101</v>
          </cell>
          <cell r="M110">
            <v>79.16</v>
          </cell>
          <cell r="N110">
            <v>2013</v>
          </cell>
          <cell r="O110">
            <v>9</v>
          </cell>
          <cell r="P110">
            <v>79.099999999999994</v>
          </cell>
        </row>
        <row r="111">
          <cell r="B111" t="str">
            <v>Yale University</v>
          </cell>
          <cell r="C111" t="str">
            <v>USA</v>
          </cell>
          <cell r="D111">
            <v>8</v>
          </cell>
          <cell r="E111">
            <v>10</v>
          </cell>
          <cell r="F111">
            <v>25</v>
          </cell>
          <cell r="G111">
            <v>13</v>
          </cell>
          <cell r="H111">
            <v>20</v>
          </cell>
          <cell r="I111">
            <v>12</v>
          </cell>
          <cell r="J111">
            <v>22</v>
          </cell>
          <cell r="L111">
            <v>42</v>
          </cell>
          <cell r="M111">
            <v>78.83</v>
          </cell>
          <cell r="N111">
            <v>2013</v>
          </cell>
          <cell r="O111">
            <v>10</v>
          </cell>
          <cell r="P111">
            <v>92.1</v>
          </cell>
        </row>
        <row r="112">
          <cell r="B112" t="str">
            <v>California Institute of Technology</v>
          </cell>
          <cell r="C112" t="str">
            <v>USA</v>
          </cell>
          <cell r="D112">
            <v>9</v>
          </cell>
          <cell r="E112">
            <v>5</v>
          </cell>
          <cell r="F112">
            <v>101</v>
          </cell>
          <cell r="G112">
            <v>7</v>
          </cell>
          <cell r="H112">
            <v>38</v>
          </cell>
          <cell r="I112">
            <v>24</v>
          </cell>
          <cell r="J112">
            <v>25</v>
          </cell>
          <cell r="L112">
            <v>17</v>
          </cell>
          <cell r="M112">
            <v>77.59</v>
          </cell>
          <cell r="N112">
            <v>2013</v>
          </cell>
          <cell r="O112">
            <v>11</v>
          </cell>
          <cell r="P112">
            <v>97.7</v>
          </cell>
        </row>
        <row r="113">
          <cell r="B113" t="str">
            <v>University of Pennsylvania</v>
          </cell>
          <cell r="C113" t="str">
            <v>USA</v>
          </cell>
          <cell r="D113">
            <v>10</v>
          </cell>
          <cell r="E113">
            <v>22</v>
          </cell>
          <cell r="F113">
            <v>5</v>
          </cell>
          <cell r="G113">
            <v>25</v>
          </cell>
          <cell r="H113">
            <v>10</v>
          </cell>
          <cell r="I113">
            <v>10</v>
          </cell>
          <cell r="J113">
            <v>9</v>
          </cell>
          <cell r="L113">
            <v>14</v>
          </cell>
          <cell r="M113">
            <v>77.239999999999995</v>
          </cell>
          <cell r="N113">
            <v>2013</v>
          </cell>
          <cell r="O113">
            <v>12</v>
          </cell>
          <cell r="P113">
            <v>71.8</v>
          </cell>
        </row>
        <row r="114">
          <cell r="B114" t="str">
            <v>Cornell University</v>
          </cell>
          <cell r="C114" t="str">
            <v>USA</v>
          </cell>
          <cell r="D114">
            <v>11</v>
          </cell>
          <cell r="E114">
            <v>12</v>
          </cell>
          <cell r="F114">
            <v>23</v>
          </cell>
          <cell r="G114">
            <v>18</v>
          </cell>
          <cell r="H114">
            <v>21</v>
          </cell>
          <cell r="I114">
            <v>19</v>
          </cell>
          <cell r="J114">
            <v>15</v>
          </cell>
          <cell r="L114">
            <v>7</v>
          </cell>
          <cell r="M114">
            <v>76.989999999999995</v>
          </cell>
          <cell r="N114">
            <v>2013</v>
          </cell>
          <cell r="O114">
            <v>13</v>
          </cell>
          <cell r="P114">
            <v>82.2</v>
          </cell>
        </row>
        <row r="115">
          <cell r="B115" t="str">
            <v>University of Tokyo</v>
          </cell>
          <cell r="C115" t="str">
            <v>Japan</v>
          </cell>
          <cell r="D115">
            <v>1</v>
          </cell>
          <cell r="E115">
            <v>17</v>
          </cell>
          <cell r="F115">
            <v>3</v>
          </cell>
          <cell r="G115">
            <v>32</v>
          </cell>
          <cell r="H115">
            <v>14</v>
          </cell>
          <cell r="I115">
            <v>23</v>
          </cell>
          <cell r="J115">
            <v>29</v>
          </cell>
          <cell r="L115">
            <v>5</v>
          </cell>
          <cell r="M115">
            <v>76.23</v>
          </cell>
          <cell r="N115">
            <v>2013</v>
          </cell>
          <cell r="O115">
            <v>14</v>
          </cell>
          <cell r="P115">
            <v>87.7</v>
          </cell>
        </row>
        <row r="116">
          <cell r="B116" t="str">
            <v>Kyoto University</v>
          </cell>
          <cell r="C116" t="str">
            <v>Japan</v>
          </cell>
          <cell r="D116">
            <v>2</v>
          </cell>
          <cell r="E116">
            <v>32</v>
          </cell>
          <cell r="F116">
            <v>17</v>
          </cell>
          <cell r="G116">
            <v>14</v>
          </cell>
          <cell r="H116">
            <v>28</v>
          </cell>
          <cell r="I116">
            <v>46</v>
          </cell>
          <cell r="J116">
            <v>58</v>
          </cell>
          <cell r="L116">
            <v>13</v>
          </cell>
          <cell r="M116">
            <v>69.459999999999994</v>
          </cell>
          <cell r="N116">
            <v>2013</v>
          </cell>
          <cell r="O116">
            <v>15</v>
          </cell>
          <cell r="P116">
            <v>78.900000000000006</v>
          </cell>
        </row>
        <row r="117">
          <cell r="B117" t="str">
            <v>University of California, Los Angeles</v>
          </cell>
          <cell r="C117" t="str">
            <v>USA</v>
          </cell>
          <cell r="D117">
            <v>12</v>
          </cell>
          <cell r="E117">
            <v>38</v>
          </cell>
          <cell r="F117">
            <v>35</v>
          </cell>
          <cell r="G117">
            <v>12</v>
          </cell>
          <cell r="H117">
            <v>5</v>
          </cell>
          <cell r="I117">
            <v>15</v>
          </cell>
          <cell r="J117">
            <v>6</v>
          </cell>
          <cell r="L117">
            <v>12</v>
          </cell>
          <cell r="M117">
            <v>67.84</v>
          </cell>
          <cell r="N117">
            <v>2013</v>
          </cell>
          <cell r="O117">
            <v>16</v>
          </cell>
          <cell r="P117">
            <v>83</v>
          </cell>
        </row>
        <row r="118">
          <cell r="B118" t="str">
            <v>Johns Hopkins University</v>
          </cell>
          <cell r="C118" t="str">
            <v>USA</v>
          </cell>
          <cell r="D118">
            <v>13</v>
          </cell>
          <cell r="E118">
            <v>23</v>
          </cell>
          <cell r="F118">
            <v>96</v>
          </cell>
          <cell r="G118">
            <v>21</v>
          </cell>
          <cell r="H118">
            <v>4</v>
          </cell>
          <cell r="I118">
            <v>5</v>
          </cell>
          <cell r="J118">
            <v>7</v>
          </cell>
          <cell r="L118">
            <v>2</v>
          </cell>
          <cell r="M118">
            <v>65.64</v>
          </cell>
          <cell r="N118">
            <v>2013</v>
          </cell>
          <cell r="O118">
            <v>17</v>
          </cell>
          <cell r="P118">
            <v>80.900000000000006</v>
          </cell>
        </row>
        <row r="119">
          <cell r="B119" t="str">
            <v>Swiss Federal Institute of Technology in Zurich</v>
          </cell>
          <cell r="C119" t="str">
            <v>Switzerland</v>
          </cell>
          <cell r="D119">
            <v>1</v>
          </cell>
          <cell r="E119">
            <v>16</v>
          </cell>
          <cell r="F119">
            <v>60</v>
          </cell>
          <cell r="G119">
            <v>11</v>
          </cell>
          <cell r="H119">
            <v>40</v>
          </cell>
          <cell r="I119">
            <v>53</v>
          </cell>
          <cell r="J119">
            <v>55</v>
          </cell>
          <cell r="L119">
            <v>60</v>
          </cell>
          <cell r="M119">
            <v>64.989999999999995</v>
          </cell>
          <cell r="N119">
            <v>2013</v>
          </cell>
          <cell r="O119">
            <v>18</v>
          </cell>
          <cell r="P119" t="e">
            <v>#N/A</v>
          </cell>
        </row>
        <row r="120">
          <cell r="B120" t="str">
            <v>New York University</v>
          </cell>
          <cell r="C120" t="str">
            <v>USA</v>
          </cell>
          <cell r="D120">
            <v>14</v>
          </cell>
          <cell r="E120">
            <v>37</v>
          </cell>
          <cell r="F120">
            <v>31</v>
          </cell>
          <cell r="G120">
            <v>16</v>
          </cell>
          <cell r="H120">
            <v>41</v>
          </cell>
          <cell r="I120">
            <v>25</v>
          </cell>
          <cell r="J120">
            <v>33</v>
          </cell>
          <cell r="L120">
            <v>51</v>
          </cell>
          <cell r="M120">
            <v>63.99</v>
          </cell>
          <cell r="N120">
            <v>2013</v>
          </cell>
          <cell r="O120">
            <v>19</v>
          </cell>
          <cell r="P120">
            <v>62</v>
          </cell>
        </row>
        <row r="121">
          <cell r="B121" t="str">
            <v>University of California, San Diego</v>
          </cell>
          <cell r="C121" t="str">
            <v>USA</v>
          </cell>
          <cell r="D121">
            <v>15</v>
          </cell>
          <cell r="E121">
            <v>33</v>
          </cell>
          <cell r="F121">
            <v>101</v>
          </cell>
          <cell r="G121">
            <v>19</v>
          </cell>
          <cell r="H121">
            <v>15</v>
          </cell>
          <cell r="I121">
            <v>14</v>
          </cell>
          <cell r="J121">
            <v>14</v>
          </cell>
          <cell r="L121">
            <v>22</v>
          </cell>
          <cell r="M121">
            <v>63.12</v>
          </cell>
          <cell r="N121">
            <v>2013</v>
          </cell>
          <cell r="O121">
            <v>20</v>
          </cell>
          <cell r="P121">
            <v>59.8</v>
          </cell>
        </row>
        <row r="122">
          <cell r="B122" t="str">
            <v>Hebrew University of Jerusalem</v>
          </cell>
          <cell r="C122" t="str">
            <v>Israel</v>
          </cell>
          <cell r="D122">
            <v>1</v>
          </cell>
          <cell r="E122">
            <v>15</v>
          </cell>
          <cell r="F122">
            <v>101</v>
          </cell>
          <cell r="G122">
            <v>15</v>
          </cell>
          <cell r="H122">
            <v>101</v>
          </cell>
          <cell r="I122">
            <v>96</v>
          </cell>
          <cell r="J122">
            <v>101</v>
          </cell>
          <cell r="L122">
            <v>24</v>
          </cell>
          <cell r="M122">
            <v>59.98</v>
          </cell>
          <cell r="N122">
            <v>2013</v>
          </cell>
          <cell r="O122">
            <v>21</v>
          </cell>
          <cell r="P122">
            <v>47.7</v>
          </cell>
        </row>
        <row r="123">
          <cell r="B123" t="str">
            <v>University of California, San Francisco</v>
          </cell>
          <cell r="C123" t="str">
            <v>USA</v>
          </cell>
          <cell r="D123">
            <v>16</v>
          </cell>
          <cell r="E123">
            <v>101</v>
          </cell>
          <cell r="F123">
            <v>101</v>
          </cell>
          <cell r="G123">
            <v>22</v>
          </cell>
          <cell r="H123">
            <v>23</v>
          </cell>
          <cell r="I123">
            <v>4</v>
          </cell>
          <cell r="J123">
            <v>18</v>
          </cell>
          <cell r="L123">
            <v>63</v>
          </cell>
          <cell r="M123">
            <v>59.38</v>
          </cell>
          <cell r="N123">
            <v>2013</v>
          </cell>
          <cell r="O123">
            <v>22</v>
          </cell>
          <cell r="P123" t="e">
            <v>#N/A</v>
          </cell>
        </row>
        <row r="124">
          <cell r="B124" t="str">
            <v>University of Wisconsinâ€“Madison</v>
          </cell>
          <cell r="C124" t="str">
            <v>USA</v>
          </cell>
          <cell r="D124">
            <v>17</v>
          </cell>
          <cell r="E124">
            <v>31</v>
          </cell>
          <cell r="F124">
            <v>55</v>
          </cell>
          <cell r="G124">
            <v>33</v>
          </cell>
          <cell r="H124">
            <v>19</v>
          </cell>
          <cell r="I124">
            <v>29</v>
          </cell>
          <cell r="J124">
            <v>20</v>
          </cell>
          <cell r="L124">
            <v>30</v>
          </cell>
          <cell r="M124">
            <v>58.94</v>
          </cell>
          <cell r="N124">
            <v>2013</v>
          </cell>
          <cell r="O124">
            <v>23</v>
          </cell>
          <cell r="P124" t="e">
            <v>#N/A</v>
          </cell>
        </row>
        <row r="125">
          <cell r="B125" t="str">
            <v>University of Illinois at Urbanaâ€“Champaign</v>
          </cell>
          <cell r="C125" t="str">
            <v>USA</v>
          </cell>
          <cell r="D125">
            <v>18</v>
          </cell>
          <cell r="E125">
            <v>65</v>
          </cell>
          <cell r="F125">
            <v>101</v>
          </cell>
          <cell r="G125">
            <v>20</v>
          </cell>
          <cell r="H125">
            <v>33</v>
          </cell>
          <cell r="I125">
            <v>66</v>
          </cell>
          <cell r="J125">
            <v>34</v>
          </cell>
          <cell r="L125">
            <v>67</v>
          </cell>
          <cell r="M125">
            <v>58.33</v>
          </cell>
          <cell r="N125">
            <v>2013</v>
          </cell>
          <cell r="O125">
            <v>24</v>
          </cell>
          <cell r="P125" t="e">
            <v>#N/A</v>
          </cell>
        </row>
        <row r="126">
          <cell r="B126" t="str">
            <v>Duke University</v>
          </cell>
          <cell r="C126" t="str">
            <v>USA</v>
          </cell>
          <cell r="D126">
            <v>19</v>
          </cell>
          <cell r="E126">
            <v>89</v>
          </cell>
          <cell r="F126">
            <v>42</v>
          </cell>
          <cell r="G126">
            <v>46</v>
          </cell>
          <cell r="H126">
            <v>22</v>
          </cell>
          <cell r="I126">
            <v>17</v>
          </cell>
          <cell r="J126">
            <v>17</v>
          </cell>
          <cell r="L126">
            <v>24</v>
          </cell>
          <cell r="M126">
            <v>57.72</v>
          </cell>
          <cell r="N126">
            <v>2013</v>
          </cell>
          <cell r="O126">
            <v>25</v>
          </cell>
          <cell r="P126">
            <v>66.8</v>
          </cell>
        </row>
        <row r="127">
          <cell r="B127" t="str">
            <v>University of Texas at Austin</v>
          </cell>
          <cell r="C127" t="str">
            <v>USA</v>
          </cell>
          <cell r="D127">
            <v>20</v>
          </cell>
          <cell r="E127">
            <v>101</v>
          </cell>
          <cell r="F127">
            <v>56</v>
          </cell>
          <cell r="G127">
            <v>24</v>
          </cell>
          <cell r="H127">
            <v>46</v>
          </cell>
          <cell r="I127">
            <v>84</v>
          </cell>
          <cell r="J127">
            <v>37</v>
          </cell>
          <cell r="L127">
            <v>20</v>
          </cell>
          <cell r="M127">
            <v>57.71</v>
          </cell>
          <cell r="N127">
            <v>2013</v>
          </cell>
          <cell r="O127">
            <v>26</v>
          </cell>
          <cell r="P127">
            <v>69.5</v>
          </cell>
        </row>
        <row r="128">
          <cell r="B128" t="str">
            <v>Imperial College London</v>
          </cell>
          <cell r="C128" t="str">
            <v>United Kingdom</v>
          </cell>
          <cell r="D128">
            <v>3</v>
          </cell>
          <cell r="E128">
            <v>101</v>
          </cell>
          <cell r="F128">
            <v>92</v>
          </cell>
          <cell r="G128">
            <v>35</v>
          </cell>
          <cell r="H128">
            <v>17</v>
          </cell>
          <cell r="I128">
            <v>22</v>
          </cell>
          <cell r="J128">
            <v>19</v>
          </cell>
          <cell r="L128">
            <v>48</v>
          </cell>
          <cell r="M128">
            <v>56.75</v>
          </cell>
          <cell r="N128">
            <v>2013</v>
          </cell>
          <cell r="O128">
            <v>27</v>
          </cell>
          <cell r="P128">
            <v>89.2</v>
          </cell>
        </row>
        <row r="129">
          <cell r="B129" t="str">
            <v>Northwestern University</v>
          </cell>
          <cell r="C129" t="str">
            <v>USA</v>
          </cell>
          <cell r="D129">
            <v>21</v>
          </cell>
          <cell r="E129">
            <v>101</v>
          </cell>
          <cell r="F129">
            <v>21</v>
          </cell>
          <cell r="G129">
            <v>101</v>
          </cell>
          <cell r="H129">
            <v>27</v>
          </cell>
          <cell r="I129">
            <v>26</v>
          </cell>
          <cell r="J129">
            <v>24</v>
          </cell>
          <cell r="L129">
            <v>30</v>
          </cell>
          <cell r="M129">
            <v>56.12</v>
          </cell>
          <cell r="N129">
            <v>2013</v>
          </cell>
          <cell r="O129">
            <v>28</v>
          </cell>
          <cell r="P129">
            <v>64.5</v>
          </cell>
        </row>
        <row r="130">
          <cell r="B130" t="str">
            <v>University of Toronto</v>
          </cell>
          <cell r="C130" t="str">
            <v>Canada</v>
          </cell>
          <cell r="D130">
            <v>1</v>
          </cell>
          <cell r="E130">
            <v>91</v>
          </cell>
          <cell r="F130">
            <v>81</v>
          </cell>
          <cell r="G130">
            <v>34</v>
          </cell>
          <cell r="H130">
            <v>2</v>
          </cell>
          <cell r="I130">
            <v>13</v>
          </cell>
          <cell r="J130">
            <v>12</v>
          </cell>
          <cell r="L130">
            <v>101</v>
          </cell>
          <cell r="M130">
            <v>56.11</v>
          </cell>
          <cell r="N130">
            <v>2013</v>
          </cell>
          <cell r="O130">
            <v>29</v>
          </cell>
          <cell r="P130">
            <v>75.8</v>
          </cell>
        </row>
        <row r="131">
          <cell r="B131" t="str">
            <v>University College London</v>
          </cell>
          <cell r="C131" t="str">
            <v>United Kingdom</v>
          </cell>
          <cell r="D131">
            <v>4</v>
          </cell>
          <cell r="E131">
            <v>24</v>
          </cell>
          <cell r="F131">
            <v>101</v>
          </cell>
          <cell r="G131">
            <v>49</v>
          </cell>
          <cell r="H131">
            <v>12</v>
          </cell>
          <cell r="I131">
            <v>16</v>
          </cell>
          <cell r="J131">
            <v>21</v>
          </cell>
          <cell r="L131">
            <v>73</v>
          </cell>
          <cell r="M131">
            <v>56</v>
          </cell>
          <cell r="N131">
            <v>2013</v>
          </cell>
          <cell r="O131">
            <v>30</v>
          </cell>
          <cell r="P131">
            <v>74</v>
          </cell>
        </row>
        <row r="132">
          <cell r="B132" t="str">
            <v>University of Washington - Seattle</v>
          </cell>
          <cell r="C132" t="str">
            <v>USA</v>
          </cell>
          <cell r="D132">
            <v>22</v>
          </cell>
          <cell r="E132">
            <v>101</v>
          </cell>
          <cell r="F132">
            <v>101</v>
          </cell>
          <cell r="G132">
            <v>41</v>
          </cell>
          <cell r="H132">
            <v>7</v>
          </cell>
          <cell r="I132">
            <v>8</v>
          </cell>
          <cell r="J132">
            <v>5</v>
          </cell>
          <cell r="L132">
            <v>51</v>
          </cell>
          <cell r="M132">
            <v>55.79</v>
          </cell>
          <cell r="N132">
            <v>2013</v>
          </cell>
          <cell r="O132">
            <v>31</v>
          </cell>
          <cell r="P132" t="e">
            <v>#N/A</v>
          </cell>
        </row>
        <row r="133">
          <cell r="B133" t="str">
            <v>University of Michigan, Ann Arbor</v>
          </cell>
          <cell r="C133" t="str">
            <v>USA</v>
          </cell>
          <cell r="D133">
            <v>23</v>
          </cell>
          <cell r="E133">
            <v>35</v>
          </cell>
          <cell r="F133">
            <v>27</v>
          </cell>
          <cell r="G133">
            <v>101</v>
          </cell>
          <cell r="H133">
            <v>3</v>
          </cell>
          <cell r="I133">
            <v>18</v>
          </cell>
          <cell r="J133">
            <v>8</v>
          </cell>
          <cell r="L133">
            <v>6</v>
          </cell>
          <cell r="M133">
            <v>55.77</v>
          </cell>
          <cell r="N133">
            <v>2013</v>
          </cell>
          <cell r="O133">
            <v>32</v>
          </cell>
          <cell r="P133" t="e">
            <v>#N/A</v>
          </cell>
        </row>
        <row r="134">
          <cell r="B134" t="str">
            <v>Weizmann Institute of Science</v>
          </cell>
          <cell r="C134" t="str">
            <v>Israel</v>
          </cell>
          <cell r="D134">
            <v>2</v>
          </cell>
          <cell r="E134">
            <v>18</v>
          </cell>
          <cell r="F134">
            <v>101</v>
          </cell>
          <cell r="G134">
            <v>23</v>
          </cell>
          <cell r="H134">
            <v>101</v>
          </cell>
          <cell r="I134">
            <v>85</v>
          </cell>
          <cell r="J134">
            <v>101</v>
          </cell>
          <cell r="L134">
            <v>48</v>
          </cell>
          <cell r="M134">
            <v>54.34</v>
          </cell>
          <cell r="N134">
            <v>2013</v>
          </cell>
          <cell r="O134">
            <v>33</v>
          </cell>
          <cell r="P134" t="e">
            <v>#N/A</v>
          </cell>
        </row>
        <row r="135">
          <cell r="B135" t="str">
            <v>University of North Carolina at Chapel Hill</v>
          </cell>
          <cell r="C135" t="str">
            <v>USA</v>
          </cell>
          <cell r="D135">
            <v>24</v>
          </cell>
          <cell r="E135">
            <v>101</v>
          </cell>
          <cell r="F135">
            <v>101</v>
          </cell>
          <cell r="G135">
            <v>60</v>
          </cell>
          <cell r="H135">
            <v>30</v>
          </cell>
          <cell r="I135">
            <v>27</v>
          </cell>
          <cell r="J135">
            <v>26</v>
          </cell>
          <cell r="L135">
            <v>42</v>
          </cell>
          <cell r="M135">
            <v>52.87</v>
          </cell>
          <cell r="N135">
            <v>2013</v>
          </cell>
          <cell r="O135">
            <v>34</v>
          </cell>
          <cell r="P135">
            <v>70.900000000000006</v>
          </cell>
        </row>
        <row r="136">
          <cell r="B136" t="str">
            <v>Osaka University</v>
          </cell>
          <cell r="C136" t="str">
            <v>Japan</v>
          </cell>
          <cell r="D136">
            <v>3</v>
          </cell>
          <cell r="E136">
            <v>77</v>
          </cell>
          <cell r="F136">
            <v>91</v>
          </cell>
          <cell r="G136">
            <v>44</v>
          </cell>
          <cell r="H136">
            <v>55</v>
          </cell>
          <cell r="I136">
            <v>56</v>
          </cell>
          <cell r="J136">
            <v>72</v>
          </cell>
          <cell r="L136">
            <v>17</v>
          </cell>
          <cell r="M136">
            <v>52.79</v>
          </cell>
          <cell r="N136">
            <v>2013</v>
          </cell>
          <cell r="O136">
            <v>35</v>
          </cell>
          <cell r="P136">
            <v>61.7</v>
          </cell>
        </row>
        <row r="137">
          <cell r="B137" t="str">
            <v>University of Paris-Sud</v>
          </cell>
          <cell r="C137" t="str">
            <v>France</v>
          </cell>
          <cell r="D137">
            <v>1</v>
          </cell>
          <cell r="E137">
            <v>26</v>
          </cell>
          <cell r="F137">
            <v>101</v>
          </cell>
          <cell r="G137">
            <v>26</v>
          </cell>
          <cell r="H137">
            <v>73</v>
          </cell>
          <cell r="I137">
            <v>101</v>
          </cell>
          <cell r="J137">
            <v>101</v>
          </cell>
          <cell r="L137">
            <v>101</v>
          </cell>
          <cell r="M137">
            <v>51.72</v>
          </cell>
          <cell r="N137">
            <v>2013</v>
          </cell>
          <cell r="O137">
            <v>36</v>
          </cell>
          <cell r="P137" t="e">
            <v>#N/A</v>
          </cell>
        </row>
        <row r="138">
          <cell r="B138" t="str">
            <v>University of California, Santa Barbara</v>
          </cell>
          <cell r="C138" t="str">
            <v>USA</v>
          </cell>
          <cell r="D138">
            <v>25</v>
          </cell>
          <cell r="E138">
            <v>101</v>
          </cell>
          <cell r="F138">
            <v>101</v>
          </cell>
          <cell r="G138">
            <v>28</v>
          </cell>
          <cell r="H138">
            <v>89</v>
          </cell>
          <cell r="I138">
            <v>91</v>
          </cell>
          <cell r="J138">
            <v>38</v>
          </cell>
          <cell r="L138">
            <v>101</v>
          </cell>
          <cell r="M138">
            <v>51.67</v>
          </cell>
          <cell r="N138">
            <v>2013</v>
          </cell>
          <cell r="O138">
            <v>37</v>
          </cell>
          <cell r="P138">
            <v>56.6</v>
          </cell>
        </row>
        <row r="139">
          <cell r="B139" t="str">
            <v>Purdue University, West Lafayette</v>
          </cell>
          <cell r="C139" t="str">
            <v>USA</v>
          </cell>
          <cell r="D139">
            <v>26</v>
          </cell>
          <cell r="E139">
            <v>95</v>
          </cell>
          <cell r="F139">
            <v>39</v>
          </cell>
          <cell r="G139">
            <v>52</v>
          </cell>
          <cell r="H139">
            <v>71</v>
          </cell>
          <cell r="I139">
            <v>101</v>
          </cell>
          <cell r="J139">
            <v>65</v>
          </cell>
          <cell r="L139">
            <v>36</v>
          </cell>
          <cell r="M139">
            <v>51.59</v>
          </cell>
          <cell r="N139">
            <v>2013</v>
          </cell>
          <cell r="O139">
            <v>38</v>
          </cell>
          <cell r="P139" t="e">
            <v>#N/A</v>
          </cell>
        </row>
        <row r="140">
          <cell r="B140" t="str">
            <v>University of Southern California</v>
          </cell>
          <cell r="C140" t="str">
            <v>USA</v>
          </cell>
          <cell r="D140">
            <v>27</v>
          </cell>
          <cell r="E140">
            <v>101</v>
          </cell>
          <cell r="F140">
            <v>99</v>
          </cell>
          <cell r="G140">
            <v>56</v>
          </cell>
          <cell r="H140">
            <v>56</v>
          </cell>
          <cell r="I140">
            <v>52</v>
          </cell>
          <cell r="J140">
            <v>36</v>
          </cell>
          <cell r="L140">
            <v>40</v>
          </cell>
          <cell r="M140">
            <v>51.56</v>
          </cell>
          <cell r="N140">
            <v>2013</v>
          </cell>
          <cell r="O140">
            <v>39</v>
          </cell>
          <cell r="P140">
            <v>65.400000000000006</v>
          </cell>
        </row>
        <row r="141">
          <cell r="B141" t="str">
            <v>Seoul National University</v>
          </cell>
          <cell r="C141" t="str">
            <v>South Korea</v>
          </cell>
          <cell r="D141">
            <v>1</v>
          </cell>
          <cell r="E141">
            <v>101</v>
          </cell>
          <cell r="F141">
            <v>13</v>
          </cell>
          <cell r="G141">
            <v>101</v>
          </cell>
          <cell r="H141">
            <v>48</v>
          </cell>
          <cell r="I141">
            <v>101</v>
          </cell>
          <cell r="J141">
            <v>76</v>
          </cell>
          <cell r="L141">
            <v>4</v>
          </cell>
          <cell r="M141">
            <v>51.31</v>
          </cell>
          <cell r="N141">
            <v>2013</v>
          </cell>
          <cell r="O141">
            <v>40</v>
          </cell>
          <cell r="P141">
            <v>62.3</v>
          </cell>
        </row>
        <row r="142">
          <cell r="B142" t="str">
            <v>University of Colorado Boulder</v>
          </cell>
          <cell r="C142" t="str">
            <v>USA</v>
          </cell>
          <cell r="D142">
            <v>28</v>
          </cell>
          <cell r="E142">
            <v>82</v>
          </cell>
          <cell r="F142">
            <v>84</v>
          </cell>
          <cell r="G142">
            <v>38</v>
          </cell>
          <cell r="H142">
            <v>75</v>
          </cell>
          <cell r="I142">
            <v>68</v>
          </cell>
          <cell r="J142">
            <v>54</v>
          </cell>
          <cell r="L142">
            <v>101</v>
          </cell>
          <cell r="M142">
            <v>51.16</v>
          </cell>
          <cell r="N142">
            <v>2013</v>
          </cell>
          <cell r="O142">
            <v>41</v>
          </cell>
          <cell r="P142">
            <v>46.4</v>
          </cell>
        </row>
        <row r="143">
          <cell r="B143" t="str">
            <v>University of Utah</v>
          </cell>
          <cell r="C143" t="str">
            <v>USA</v>
          </cell>
          <cell r="D143">
            <v>29</v>
          </cell>
          <cell r="E143">
            <v>101</v>
          </cell>
          <cell r="F143">
            <v>101</v>
          </cell>
          <cell r="G143">
            <v>42</v>
          </cell>
          <cell r="H143">
            <v>93</v>
          </cell>
          <cell r="I143">
            <v>61</v>
          </cell>
          <cell r="J143">
            <v>85</v>
          </cell>
          <cell r="L143">
            <v>27</v>
          </cell>
          <cell r="M143">
            <v>51.14</v>
          </cell>
          <cell r="N143">
            <v>2013</v>
          </cell>
          <cell r="O143">
            <v>42</v>
          </cell>
          <cell r="P143">
            <v>55.8</v>
          </cell>
        </row>
        <row r="144">
          <cell r="B144" t="str">
            <v>Rutgers University-New Brunswick</v>
          </cell>
          <cell r="C144" t="str">
            <v>USA</v>
          </cell>
          <cell r="D144">
            <v>30</v>
          </cell>
          <cell r="E144">
            <v>101</v>
          </cell>
          <cell r="F144">
            <v>101</v>
          </cell>
          <cell r="G144">
            <v>48</v>
          </cell>
          <cell r="H144">
            <v>43</v>
          </cell>
          <cell r="I144">
            <v>58</v>
          </cell>
          <cell r="J144">
            <v>45</v>
          </cell>
          <cell r="L144">
            <v>96</v>
          </cell>
          <cell r="M144">
            <v>51.09</v>
          </cell>
          <cell r="N144">
            <v>2013</v>
          </cell>
          <cell r="O144">
            <v>43</v>
          </cell>
          <cell r="P144" t="e">
            <v>#N/A</v>
          </cell>
        </row>
        <row r="145">
          <cell r="B145" t="str">
            <v>University of Minnesota, Twin Cities</v>
          </cell>
          <cell r="C145" t="str">
            <v>USA</v>
          </cell>
          <cell r="D145">
            <v>31</v>
          </cell>
          <cell r="E145">
            <v>101</v>
          </cell>
          <cell r="F145">
            <v>101</v>
          </cell>
          <cell r="G145">
            <v>87</v>
          </cell>
          <cell r="H145">
            <v>18</v>
          </cell>
          <cell r="I145">
            <v>31</v>
          </cell>
          <cell r="J145">
            <v>16</v>
          </cell>
          <cell r="L145">
            <v>67</v>
          </cell>
          <cell r="M145">
            <v>50.98</v>
          </cell>
          <cell r="N145">
            <v>2013</v>
          </cell>
          <cell r="O145">
            <v>44</v>
          </cell>
          <cell r="P145" t="e">
            <v>#N/A</v>
          </cell>
        </row>
        <row r="146">
          <cell r="B146" t="str">
            <v>University of Edinburgh</v>
          </cell>
          <cell r="C146" t="str">
            <v>United Kingdom</v>
          </cell>
          <cell r="D146">
            <v>5</v>
          </cell>
          <cell r="E146">
            <v>47</v>
          </cell>
          <cell r="F146">
            <v>101</v>
          </cell>
          <cell r="G146">
            <v>45</v>
          </cell>
          <cell r="H146">
            <v>52</v>
          </cell>
          <cell r="I146">
            <v>36</v>
          </cell>
          <cell r="J146">
            <v>63</v>
          </cell>
          <cell r="L146">
            <v>101</v>
          </cell>
          <cell r="M146">
            <v>50.98</v>
          </cell>
          <cell r="N146">
            <v>2013</v>
          </cell>
          <cell r="O146">
            <v>45</v>
          </cell>
          <cell r="P146">
            <v>59.9</v>
          </cell>
        </row>
        <row r="147">
          <cell r="B147" t="str">
            <v>University of Texas Southwestern Medical Center</v>
          </cell>
          <cell r="C147" t="str">
            <v>USA</v>
          </cell>
          <cell r="D147">
            <v>32</v>
          </cell>
          <cell r="E147">
            <v>46</v>
          </cell>
          <cell r="F147">
            <v>101</v>
          </cell>
          <cell r="G147">
            <v>29</v>
          </cell>
          <cell r="H147">
            <v>101</v>
          </cell>
          <cell r="I147">
            <v>28</v>
          </cell>
          <cell r="J147">
            <v>82</v>
          </cell>
          <cell r="L147">
            <v>101</v>
          </cell>
          <cell r="M147">
            <v>50.79</v>
          </cell>
          <cell r="N147">
            <v>2013</v>
          </cell>
          <cell r="O147">
            <v>46</v>
          </cell>
          <cell r="P147" t="e">
            <v>#N/A</v>
          </cell>
        </row>
        <row r="148">
          <cell r="B148" t="str">
            <v>McGill University</v>
          </cell>
          <cell r="C148" t="str">
            <v>Canada</v>
          </cell>
          <cell r="D148">
            <v>2</v>
          </cell>
          <cell r="E148">
            <v>54</v>
          </cell>
          <cell r="F148">
            <v>62</v>
          </cell>
          <cell r="G148">
            <v>59</v>
          </cell>
          <cell r="H148">
            <v>34</v>
          </cell>
          <cell r="I148">
            <v>42</v>
          </cell>
          <cell r="J148">
            <v>48</v>
          </cell>
          <cell r="L148">
            <v>101</v>
          </cell>
          <cell r="M148">
            <v>50.77</v>
          </cell>
          <cell r="N148">
            <v>2013</v>
          </cell>
          <cell r="O148">
            <v>47</v>
          </cell>
          <cell r="P148">
            <v>69</v>
          </cell>
        </row>
        <row r="149">
          <cell r="B149" t="str">
            <v>Pierre-and-Marie-Curie University</v>
          </cell>
          <cell r="C149" t="str">
            <v>France</v>
          </cell>
          <cell r="D149">
            <v>2</v>
          </cell>
          <cell r="E149">
            <v>19</v>
          </cell>
          <cell r="F149">
            <v>101</v>
          </cell>
          <cell r="G149">
            <v>84</v>
          </cell>
          <cell r="H149">
            <v>31</v>
          </cell>
          <cell r="I149">
            <v>50</v>
          </cell>
          <cell r="J149">
            <v>78</v>
          </cell>
          <cell r="L149">
            <v>81</v>
          </cell>
          <cell r="M149">
            <v>50.58</v>
          </cell>
          <cell r="N149">
            <v>2013</v>
          </cell>
          <cell r="O149">
            <v>48</v>
          </cell>
          <cell r="P149" t="e">
            <v>#N/A</v>
          </cell>
        </row>
        <row r="150">
          <cell r="B150" t="str">
            <v>Rockefeller University</v>
          </cell>
          <cell r="C150" t="str">
            <v>USA</v>
          </cell>
          <cell r="D150">
            <v>33</v>
          </cell>
          <cell r="E150">
            <v>55</v>
          </cell>
          <cell r="F150">
            <v>101</v>
          </cell>
          <cell r="G150">
            <v>17</v>
          </cell>
          <cell r="H150">
            <v>101</v>
          </cell>
          <cell r="I150">
            <v>34</v>
          </cell>
          <cell r="J150">
            <v>101</v>
          </cell>
          <cell r="L150">
            <v>101</v>
          </cell>
          <cell r="M150">
            <v>50.43</v>
          </cell>
          <cell r="N150">
            <v>2013</v>
          </cell>
          <cell r="O150">
            <v>49</v>
          </cell>
          <cell r="P150" t="e">
            <v>#N/A</v>
          </cell>
        </row>
        <row r="151">
          <cell r="B151" t="str">
            <v>Pennsylvania State University, University Park</v>
          </cell>
          <cell r="C151" t="str">
            <v>USA</v>
          </cell>
          <cell r="D151">
            <v>34</v>
          </cell>
          <cell r="E151">
            <v>101</v>
          </cell>
          <cell r="F151">
            <v>72</v>
          </cell>
          <cell r="G151">
            <v>101</v>
          </cell>
          <cell r="H151">
            <v>29</v>
          </cell>
          <cell r="I151">
            <v>54</v>
          </cell>
          <cell r="J151">
            <v>23</v>
          </cell>
          <cell r="L151">
            <v>67</v>
          </cell>
          <cell r="M151">
            <v>49.84</v>
          </cell>
          <cell r="N151">
            <v>2013</v>
          </cell>
          <cell r="O151">
            <v>50</v>
          </cell>
          <cell r="P151" t="e">
            <v>#N/A</v>
          </cell>
        </row>
        <row r="152">
          <cell r="B152" t="str">
            <v>Carnegie Mellon University</v>
          </cell>
          <cell r="C152" t="str">
            <v>USA</v>
          </cell>
          <cell r="D152">
            <v>35</v>
          </cell>
          <cell r="E152">
            <v>30</v>
          </cell>
          <cell r="F152">
            <v>101</v>
          </cell>
          <cell r="G152">
            <v>27</v>
          </cell>
          <cell r="H152">
            <v>101</v>
          </cell>
          <cell r="I152">
            <v>101</v>
          </cell>
          <cell r="J152">
            <v>74</v>
          </cell>
          <cell r="L152">
            <v>101</v>
          </cell>
          <cell r="M152">
            <v>49.56</v>
          </cell>
          <cell r="N152">
            <v>2013</v>
          </cell>
          <cell r="O152">
            <v>51</v>
          </cell>
          <cell r="P152">
            <v>70.3</v>
          </cell>
        </row>
        <row r="153">
          <cell r="B153" t="str">
            <v>Ohio State University, Columbus</v>
          </cell>
          <cell r="C153" t="str">
            <v>USA</v>
          </cell>
          <cell r="D153">
            <v>36</v>
          </cell>
          <cell r="E153">
            <v>101</v>
          </cell>
          <cell r="F153">
            <v>101</v>
          </cell>
          <cell r="G153">
            <v>86</v>
          </cell>
          <cell r="H153">
            <v>32</v>
          </cell>
          <cell r="I153">
            <v>55</v>
          </cell>
          <cell r="J153">
            <v>35</v>
          </cell>
          <cell r="L153">
            <v>60</v>
          </cell>
          <cell r="M153">
            <v>49.41</v>
          </cell>
          <cell r="N153">
            <v>2013</v>
          </cell>
          <cell r="O153">
            <v>52</v>
          </cell>
          <cell r="P153" t="e">
            <v>#N/A</v>
          </cell>
        </row>
        <row r="154">
          <cell r="B154" t="str">
            <v>University of California, Davis</v>
          </cell>
          <cell r="C154" t="str">
            <v>USA</v>
          </cell>
          <cell r="D154">
            <v>37</v>
          </cell>
          <cell r="E154">
            <v>60</v>
          </cell>
          <cell r="F154">
            <v>101</v>
          </cell>
          <cell r="G154">
            <v>94</v>
          </cell>
          <cell r="H154">
            <v>26</v>
          </cell>
          <cell r="I154">
            <v>47</v>
          </cell>
          <cell r="J154">
            <v>31</v>
          </cell>
          <cell r="L154">
            <v>90</v>
          </cell>
          <cell r="M154">
            <v>49.16</v>
          </cell>
          <cell r="N154">
            <v>2013</v>
          </cell>
          <cell r="O154">
            <v>53</v>
          </cell>
          <cell r="P154">
            <v>57.3</v>
          </cell>
        </row>
        <row r="155">
          <cell r="B155" t="str">
            <v>Boston University</v>
          </cell>
          <cell r="C155" t="str">
            <v>USA</v>
          </cell>
          <cell r="D155">
            <v>38</v>
          </cell>
          <cell r="E155">
            <v>101</v>
          </cell>
          <cell r="F155">
            <v>69</v>
          </cell>
          <cell r="G155">
            <v>88</v>
          </cell>
          <cell r="H155">
            <v>54</v>
          </cell>
          <cell r="I155">
            <v>37</v>
          </cell>
          <cell r="J155">
            <v>41</v>
          </cell>
          <cell r="L155">
            <v>100</v>
          </cell>
          <cell r="M155">
            <v>48.96</v>
          </cell>
          <cell r="N155">
            <v>2013</v>
          </cell>
          <cell r="O155">
            <v>54</v>
          </cell>
          <cell r="P155">
            <v>53.6</v>
          </cell>
        </row>
        <row r="156">
          <cell r="B156" t="str">
            <v>University of Florida</v>
          </cell>
          <cell r="C156" t="str">
            <v>USA</v>
          </cell>
          <cell r="D156">
            <v>39</v>
          </cell>
          <cell r="E156">
            <v>101</v>
          </cell>
          <cell r="F156">
            <v>101</v>
          </cell>
          <cell r="G156">
            <v>98</v>
          </cell>
          <cell r="H156">
            <v>35</v>
          </cell>
          <cell r="I156">
            <v>92</v>
          </cell>
          <cell r="J156">
            <v>42</v>
          </cell>
          <cell r="L156">
            <v>9</v>
          </cell>
          <cell r="M156">
            <v>48.93</v>
          </cell>
          <cell r="N156">
            <v>2013</v>
          </cell>
          <cell r="O156">
            <v>55</v>
          </cell>
          <cell r="P156">
            <v>46.7</v>
          </cell>
        </row>
        <row r="157">
          <cell r="B157" t="str">
            <v>University of Geneva</v>
          </cell>
          <cell r="C157" t="str">
            <v>Switzerland</v>
          </cell>
          <cell r="D157">
            <v>2</v>
          </cell>
          <cell r="E157">
            <v>52</v>
          </cell>
          <cell r="F157">
            <v>101</v>
          </cell>
          <cell r="G157">
            <v>30</v>
          </cell>
          <cell r="H157">
            <v>101</v>
          </cell>
          <cell r="I157">
            <v>78</v>
          </cell>
          <cell r="J157">
            <v>101</v>
          </cell>
          <cell r="L157">
            <v>101</v>
          </cell>
          <cell r="M157">
            <v>48.83</v>
          </cell>
          <cell r="N157">
            <v>2013</v>
          </cell>
          <cell r="O157">
            <v>56</v>
          </cell>
          <cell r="P157">
            <v>46.6</v>
          </cell>
        </row>
        <row r="158">
          <cell r="B158" t="str">
            <v>Tel Aviv University</v>
          </cell>
          <cell r="C158" t="str">
            <v>Israel</v>
          </cell>
          <cell r="D158">
            <v>3</v>
          </cell>
          <cell r="E158">
            <v>84</v>
          </cell>
          <cell r="F158">
            <v>101</v>
          </cell>
          <cell r="G158">
            <v>54</v>
          </cell>
          <cell r="H158">
            <v>83</v>
          </cell>
          <cell r="I158">
            <v>101</v>
          </cell>
          <cell r="J158">
            <v>101</v>
          </cell>
          <cell r="L158">
            <v>32</v>
          </cell>
          <cell r="M158">
            <v>48.72</v>
          </cell>
          <cell r="N158">
            <v>2013</v>
          </cell>
          <cell r="O158">
            <v>57</v>
          </cell>
          <cell r="P158">
            <v>47.3</v>
          </cell>
        </row>
        <row r="159">
          <cell r="B159" t="str">
            <v>University of British Columbia</v>
          </cell>
          <cell r="C159" t="str">
            <v>Canada</v>
          </cell>
          <cell r="D159">
            <v>3</v>
          </cell>
          <cell r="E159">
            <v>101</v>
          </cell>
          <cell r="F159">
            <v>101</v>
          </cell>
          <cell r="G159">
            <v>95</v>
          </cell>
          <cell r="H159">
            <v>25</v>
          </cell>
          <cell r="I159">
            <v>39</v>
          </cell>
          <cell r="J159">
            <v>39</v>
          </cell>
          <cell r="L159">
            <v>100</v>
          </cell>
          <cell r="M159">
            <v>48.51</v>
          </cell>
          <cell r="N159">
            <v>2013</v>
          </cell>
          <cell r="O159">
            <v>58</v>
          </cell>
          <cell r="P159">
            <v>65.099999999999994</v>
          </cell>
        </row>
        <row r="160">
          <cell r="B160" t="str">
            <v>University of Maryland, College Park</v>
          </cell>
          <cell r="C160" t="str">
            <v>USA</v>
          </cell>
          <cell r="D160">
            <v>40</v>
          </cell>
          <cell r="E160">
            <v>79</v>
          </cell>
          <cell r="F160">
            <v>101</v>
          </cell>
          <cell r="G160">
            <v>53</v>
          </cell>
          <cell r="H160">
            <v>49</v>
          </cell>
          <cell r="I160">
            <v>77</v>
          </cell>
          <cell r="J160">
            <v>40</v>
          </cell>
          <cell r="L160">
            <v>101</v>
          </cell>
          <cell r="M160">
            <v>48.39</v>
          </cell>
          <cell r="N160">
            <v>2013</v>
          </cell>
          <cell r="O160">
            <v>59</v>
          </cell>
          <cell r="P160">
            <v>45.4</v>
          </cell>
        </row>
        <row r="161">
          <cell r="B161" t="str">
            <v>Karolinska Institute</v>
          </cell>
          <cell r="C161" t="str">
            <v>Sweden</v>
          </cell>
          <cell r="D161">
            <v>1</v>
          </cell>
          <cell r="E161">
            <v>101</v>
          </cell>
          <cell r="F161">
            <v>101</v>
          </cell>
          <cell r="G161">
            <v>47</v>
          </cell>
          <cell r="H161">
            <v>64</v>
          </cell>
          <cell r="I161">
            <v>38</v>
          </cell>
          <cell r="J161">
            <v>62</v>
          </cell>
          <cell r="L161">
            <v>101</v>
          </cell>
          <cell r="M161">
            <v>47.98</v>
          </cell>
          <cell r="N161">
            <v>2013</v>
          </cell>
          <cell r="O161">
            <v>60</v>
          </cell>
          <cell r="P161">
            <v>65.8</v>
          </cell>
        </row>
        <row r="162">
          <cell r="B162" t="str">
            <v>Vanderbilt University</v>
          </cell>
          <cell r="C162" t="str">
            <v>USA</v>
          </cell>
          <cell r="D162">
            <v>41</v>
          </cell>
          <cell r="E162">
            <v>101</v>
          </cell>
          <cell r="F162">
            <v>101</v>
          </cell>
          <cell r="G162">
            <v>101</v>
          </cell>
          <cell r="H162">
            <v>53</v>
          </cell>
          <cell r="I162">
            <v>40</v>
          </cell>
          <cell r="J162">
            <v>60</v>
          </cell>
          <cell r="L162">
            <v>40</v>
          </cell>
          <cell r="M162">
            <v>47.8</v>
          </cell>
          <cell r="N162">
            <v>2013</v>
          </cell>
          <cell r="O162">
            <v>61</v>
          </cell>
          <cell r="P162">
            <v>64.900000000000006</v>
          </cell>
        </row>
        <row r="163">
          <cell r="B163" t="str">
            <v>Sapienza University of Rome</v>
          </cell>
          <cell r="C163" t="str">
            <v>Italy</v>
          </cell>
          <cell r="D163">
            <v>1</v>
          </cell>
          <cell r="E163">
            <v>101</v>
          </cell>
          <cell r="F163">
            <v>101</v>
          </cell>
          <cell r="G163">
            <v>31</v>
          </cell>
          <cell r="H163">
            <v>76</v>
          </cell>
          <cell r="I163">
            <v>101</v>
          </cell>
          <cell r="J163">
            <v>101</v>
          </cell>
          <cell r="L163">
            <v>101</v>
          </cell>
          <cell r="M163">
            <v>47.75</v>
          </cell>
          <cell r="N163">
            <v>2013</v>
          </cell>
          <cell r="O163">
            <v>62</v>
          </cell>
          <cell r="P163">
            <v>29.6</v>
          </cell>
        </row>
        <row r="164">
          <cell r="B164" t="str">
            <v>Washington University in St. Louis</v>
          </cell>
          <cell r="C164" t="str">
            <v>USA</v>
          </cell>
          <cell r="D164">
            <v>42</v>
          </cell>
          <cell r="E164">
            <v>101</v>
          </cell>
          <cell r="F164">
            <v>101</v>
          </cell>
          <cell r="G164">
            <v>101</v>
          </cell>
          <cell r="H164">
            <v>36</v>
          </cell>
          <cell r="I164">
            <v>20</v>
          </cell>
          <cell r="J164">
            <v>32</v>
          </cell>
          <cell r="L164">
            <v>101</v>
          </cell>
          <cell r="M164">
            <v>47.72</v>
          </cell>
          <cell r="N164">
            <v>2013</v>
          </cell>
          <cell r="O164">
            <v>63</v>
          </cell>
          <cell r="P164" t="e">
            <v>#N/A</v>
          </cell>
        </row>
        <row r="165">
          <cell r="B165" t="str">
            <v>Ã‰cole normale supÃ©rieure - Paris</v>
          </cell>
          <cell r="C165" t="str">
            <v>France</v>
          </cell>
          <cell r="D165">
            <v>3</v>
          </cell>
          <cell r="E165">
            <v>8</v>
          </cell>
          <cell r="F165">
            <v>101</v>
          </cell>
          <cell r="G165">
            <v>57</v>
          </cell>
          <cell r="H165">
            <v>101</v>
          </cell>
          <cell r="I165">
            <v>101</v>
          </cell>
          <cell r="J165">
            <v>101</v>
          </cell>
          <cell r="L165">
            <v>101</v>
          </cell>
          <cell r="M165">
            <v>47.7</v>
          </cell>
          <cell r="N165">
            <v>2013</v>
          </cell>
          <cell r="O165">
            <v>64</v>
          </cell>
          <cell r="P165" t="e">
            <v>#N/A</v>
          </cell>
        </row>
        <row r="166">
          <cell r="B166" t="str">
            <v>University of California, Irvine</v>
          </cell>
          <cell r="C166" t="str">
            <v>USA</v>
          </cell>
          <cell r="D166">
            <v>43</v>
          </cell>
          <cell r="E166">
            <v>101</v>
          </cell>
          <cell r="F166">
            <v>101</v>
          </cell>
          <cell r="G166">
            <v>39</v>
          </cell>
          <cell r="H166">
            <v>69</v>
          </cell>
          <cell r="I166">
            <v>67</v>
          </cell>
          <cell r="J166">
            <v>61</v>
          </cell>
          <cell r="L166">
            <v>101</v>
          </cell>
          <cell r="M166">
            <v>47.52</v>
          </cell>
          <cell r="N166">
            <v>2013</v>
          </cell>
          <cell r="O166">
            <v>65</v>
          </cell>
          <cell r="P166">
            <v>49.4</v>
          </cell>
        </row>
        <row r="167">
          <cell r="B167" t="str">
            <v>Technion â€“ Israel Institute of Technology</v>
          </cell>
          <cell r="C167" t="str">
            <v>Israel</v>
          </cell>
          <cell r="D167">
            <v>4</v>
          </cell>
          <cell r="E167">
            <v>50</v>
          </cell>
          <cell r="F167">
            <v>101</v>
          </cell>
          <cell r="G167">
            <v>36</v>
          </cell>
          <cell r="H167">
            <v>101</v>
          </cell>
          <cell r="I167">
            <v>101</v>
          </cell>
          <cell r="J167">
            <v>101</v>
          </cell>
          <cell r="L167">
            <v>73</v>
          </cell>
          <cell r="M167">
            <v>47.45</v>
          </cell>
          <cell r="N167">
            <v>2013</v>
          </cell>
          <cell r="O167">
            <v>66</v>
          </cell>
          <cell r="P167" t="e">
            <v>#N/A</v>
          </cell>
        </row>
        <row r="168">
          <cell r="B168" t="str">
            <v>Ludwig Maximilian University of Munich</v>
          </cell>
          <cell r="C168" t="str">
            <v>Germany</v>
          </cell>
          <cell r="D168">
            <v>1</v>
          </cell>
          <cell r="E168">
            <v>62</v>
          </cell>
          <cell r="F168">
            <v>101</v>
          </cell>
          <cell r="G168">
            <v>92</v>
          </cell>
          <cell r="H168">
            <v>67</v>
          </cell>
          <cell r="I168">
            <v>49</v>
          </cell>
          <cell r="J168">
            <v>67</v>
          </cell>
          <cell r="L168">
            <v>101</v>
          </cell>
          <cell r="M168">
            <v>47.25</v>
          </cell>
          <cell r="N168">
            <v>2013</v>
          </cell>
          <cell r="O168">
            <v>67</v>
          </cell>
          <cell r="P168" t="e">
            <v>#N/A</v>
          </cell>
        </row>
        <row r="169">
          <cell r="B169" t="str">
            <v>University of Copenhagen</v>
          </cell>
          <cell r="C169" t="str">
            <v>Denmark</v>
          </cell>
          <cell r="D169">
            <v>1</v>
          </cell>
          <cell r="E169">
            <v>101</v>
          </cell>
          <cell r="F169">
            <v>101</v>
          </cell>
          <cell r="G169">
            <v>63</v>
          </cell>
          <cell r="H169">
            <v>42</v>
          </cell>
          <cell r="I169">
            <v>43</v>
          </cell>
          <cell r="J169">
            <v>51</v>
          </cell>
          <cell r="L169">
            <v>101</v>
          </cell>
          <cell r="M169">
            <v>47.12</v>
          </cell>
          <cell r="N169">
            <v>2013</v>
          </cell>
          <cell r="O169">
            <v>68</v>
          </cell>
          <cell r="P169">
            <v>44.1</v>
          </cell>
        </row>
        <row r="170">
          <cell r="B170" t="str">
            <v>University of Pittsburgh - Pittsburgh Campus</v>
          </cell>
          <cell r="C170" t="str">
            <v>USA</v>
          </cell>
          <cell r="D170">
            <v>44</v>
          </cell>
          <cell r="E170">
            <v>80</v>
          </cell>
          <cell r="F170">
            <v>101</v>
          </cell>
          <cell r="G170">
            <v>101</v>
          </cell>
          <cell r="H170">
            <v>24</v>
          </cell>
          <cell r="I170">
            <v>33</v>
          </cell>
          <cell r="J170">
            <v>28</v>
          </cell>
          <cell r="L170">
            <v>44</v>
          </cell>
          <cell r="M170">
            <v>47.08</v>
          </cell>
          <cell r="N170">
            <v>2013</v>
          </cell>
          <cell r="O170">
            <v>69</v>
          </cell>
          <cell r="P170" t="e">
            <v>#N/A</v>
          </cell>
        </row>
        <row r="171">
          <cell r="B171" t="str">
            <v>Keio University</v>
          </cell>
          <cell r="C171" t="str">
            <v>Japan</v>
          </cell>
          <cell r="D171">
            <v>4</v>
          </cell>
          <cell r="E171">
            <v>101</v>
          </cell>
          <cell r="F171">
            <v>6</v>
          </cell>
          <cell r="G171">
            <v>101</v>
          </cell>
          <cell r="H171">
            <v>101</v>
          </cell>
          <cell r="I171">
            <v>101</v>
          </cell>
          <cell r="J171">
            <v>101</v>
          </cell>
          <cell r="L171">
            <v>73</v>
          </cell>
          <cell r="M171">
            <v>47.05</v>
          </cell>
          <cell r="N171">
            <v>2013</v>
          </cell>
          <cell r="O171">
            <v>70</v>
          </cell>
          <cell r="P171">
            <v>32.299999999999997</v>
          </cell>
        </row>
        <row r="172">
          <cell r="B172" t="str">
            <v>University of Virginia</v>
          </cell>
          <cell r="C172" t="str">
            <v>USA</v>
          </cell>
          <cell r="D172">
            <v>45</v>
          </cell>
          <cell r="E172">
            <v>101</v>
          </cell>
          <cell r="F172">
            <v>24</v>
          </cell>
          <cell r="G172">
            <v>101</v>
          </cell>
          <cell r="H172">
            <v>88</v>
          </cell>
          <cell r="I172">
            <v>73</v>
          </cell>
          <cell r="J172">
            <v>68</v>
          </cell>
          <cell r="L172">
            <v>63</v>
          </cell>
          <cell r="M172">
            <v>46.92</v>
          </cell>
          <cell r="N172">
            <v>2013</v>
          </cell>
          <cell r="O172">
            <v>71</v>
          </cell>
          <cell r="P172">
            <v>62</v>
          </cell>
        </row>
        <row r="173">
          <cell r="B173" t="str">
            <v>University of Manchester</v>
          </cell>
          <cell r="C173" t="str">
            <v>United Kingdom</v>
          </cell>
          <cell r="D173">
            <v>6</v>
          </cell>
          <cell r="E173">
            <v>101</v>
          </cell>
          <cell r="F173">
            <v>101</v>
          </cell>
          <cell r="G173">
            <v>76</v>
          </cell>
          <cell r="H173">
            <v>47</v>
          </cell>
          <cell r="I173">
            <v>63</v>
          </cell>
          <cell r="J173">
            <v>57</v>
          </cell>
          <cell r="L173">
            <v>101</v>
          </cell>
          <cell r="M173">
            <v>46.85</v>
          </cell>
          <cell r="N173">
            <v>2013</v>
          </cell>
          <cell r="O173">
            <v>72</v>
          </cell>
          <cell r="P173">
            <v>56.5</v>
          </cell>
        </row>
        <row r="174">
          <cell r="B174" t="str">
            <v>Arizona State University</v>
          </cell>
          <cell r="C174" t="str">
            <v>USA</v>
          </cell>
          <cell r="D174">
            <v>46</v>
          </cell>
          <cell r="E174">
            <v>101</v>
          </cell>
          <cell r="F174">
            <v>101</v>
          </cell>
          <cell r="G174">
            <v>73</v>
          </cell>
          <cell r="H174">
            <v>101</v>
          </cell>
          <cell r="I174">
            <v>101</v>
          </cell>
          <cell r="J174">
            <v>89</v>
          </cell>
          <cell r="L174">
            <v>20</v>
          </cell>
          <cell r="M174">
            <v>46.72</v>
          </cell>
          <cell r="N174">
            <v>2013</v>
          </cell>
          <cell r="O174">
            <v>73</v>
          </cell>
          <cell r="P174">
            <v>43</v>
          </cell>
        </row>
        <row r="175">
          <cell r="B175" t="str">
            <v>University of Zurich</v>
          </cell>
          <cell r="C175" t="str">
            <v>Switzerland</v>
          </cell>
          <cell r="D175">
            <v>3</v>
          </cell>
          <cell r="E175">
            <v>101</v>
          </cell>
          <cell r="F175">
            <v>101</v>
          </cell>
          <cell r="G175">
            <v>82</v>
          </cell>
          <cell r="H175">
            <v>59</v>
          </cell>
          <cell r="I175">
            <v>48</v>
          </cell>
          <cell r="J175">
            <v>52</v>
          </cell>
          <cell r="L175">
            <v>101</v>
          </cell>
          <cell r="M175">
            <v>46.54</v>
          </cell>
          <cell r="N175">
            <v>2013</v>
          </cell>
          <cell r="O175">
            <v>74</v>
          </cell>
          <cell r="P175">
            <v>56.6</v>
          </cell>
        </row>
        <row r="176">
          <cell r="B176" t="str">
            <v>King's College London</v>
          </cell>
          <cell r="C176" t="str">
            <v>United Kingdom</v>
          </cell>
          <cell r="D176">
            <v>7</v>
          </cell>
          <cell r="E176">
            <v>41</v>
          </cell>
          <cell r="F176">
            <v>101</v>
          </cell>
          <cell r="G176">
            <v>101</v>
          </cell>
          <cell r="H176">
            <v>45</v>
          </cell>
          <cell r="I176">
            <v>45</v>
          </cell>
          <cell r="J176">
            <v>44</v>
          </cell>
          <cell r="L176">
            <v>101</v>
          </cell>
          <cell r="M176">
            <v>46.53</v>
          </cell>
          <cell r="N176">
            <v>2013</v>
          </cell>
          <cell r="O176">
            <v>75</v>
          </cell>
          <cell r="P176" t="e">
            <v>#N/A</v>
          </cell>
        </row>
        <row r="177">
          <cell r="B177" t="str">
            <v>University of Rochester</v>
          </cell>
          <cell r="C177" t="str">
            <v>USA</v>
          </cell>
          <cell r="D177">
            <v>47</v>
          </cell>
          <cell r="E177">
            <v>63</v>
          </cell>
          <cell r="F177">
            <v>80</v>
          </cell>
          <cell r="G177">
            <v>101</v>
          </cell>
          <cell r="H177">
            <v>101</v>
          </cell>
          <cell r="I177">
            <v>86</v>
          </cell>
          <cell r="J177">
            <v>66</v>
          </cell>
          <cell r="L177">
            <v>51</v>
          </cell>
          <cell r="M177">
            <v>46.44</v>
          </cell>
          <cell r="N177">
            <v>2013</v>
          </cell>
          <cell r="O177">
            <v>76</v>
          </cell>
          <cell r="P177">
            <v>47</v>
          </cell>
        </row>
        <row r="178">
          <cell r="B178" t="str">
            <v>Brown University</v>
          </cell>
          <cell r="C178" t="str">
            <v>USA</v>
          </cell>
          <cell r="D178">
            <v>48</v>
          </cell>
          <cell r="E178">
            <v>59</v>
          </cell>
          <cell r="F178">
            <v>52</v>
          </cell>
          <cell r="G178">
            <v>67</v>
          </cell>
          <cell r="H178">
            <v>101</v>
          </cell>
          <cell r="I178">
            <v>89</v>
          </cell>
          <cell r="J178">
            <v>96</v>
          </cell>
          <cell r="L178">
            <v>101</v>
          </cell>
          <cell r="M178">
            <v>46.43</v>
          </cell>
          <cell r="N178">
            <v>2013</v>
          </cell>
          <cell r="O178">
            <v>77</v>
          </cell>
          <cell r="P178">
            <v>59.7</v>
          </cell>
        </row>
        <row r="179">
          <cell r="B179" t="str">
            <v>University of Arizona</v>
          </cell>
          <cell r="C179" t="str">
            <v>USA</v>
          </cell>
          <cell r="D179">
            <v>49</v>
          </cell>
          <cell r="E179">
            <v>101</v>
          </cell>
          <cell r="F179">
            <v>101</v>
          </cell>
          <cell r="G179">
            <v>90</v>
          </cell>
          <cell r="H179">
            <v>60</v>
          </cell>
          <cell r="I179">
            <v>57</v>
          </cell>
          <cell r="J179">
            <v>49</v>
          </cell>
          <cell r="L179">
            <v>101</v>
          </cell>
          <cell r="M179">
            <v>46.39</v>
          </cell>
          <cell r="N179">
            <v>2013</v>
          </cell>
          <cell r="O179">
            <v>78</v>
          </cell>
          <cell r="P179">
            <v>52.4</v>
          </cell>
        </row>
        <row r="180">
          <cell r="B180" t="str">
            <v>Ruprecht Karl University of Heidelberg</v>
          </cell>
          <cell r="C180" t="str">
            <v>Germany</v>
          </cell>
          <cell r="D180">
            <v>2</v>
          </cell>
          <cell r="E180">
            <v>73</v>
          </cell>
          <cell r="F180">
            <v>101</v>
          </cell>
          <cell r="G180">
            <v>55</v>
          </cell>
          <cell r="H180">
            <v>82</v>
          </cell>
          <cell r="I180">
            <v>59</v>
          </cell>
          <cell r="J180">
            <v>100</v>
          </cell>
          <cell r="L180">
            <v>101</v>
          </cell>
          <cell r="M180">
            <v>46.24</v>
          </cell>
          <cell r="N180">
            <v>2013</v>
          </cell>
          <cell r="O180">
            <v>79</v>
          </cell>
          <cell r="P180" t="e">
            <v>#N/A</v>
          </cell>
        </row>
        <row r="181">
          <cell r="B181" t="str">
            <v>Texas A&amp;M University, College Station</v>
          </cell>
          <cell r="C181" t="str">
            <v>USA</v>
          </cell>
          <cell r="D181">
            <v>50</v>
          </cell>
          <cell r="E181">
            <v>101</v>
          </cell>
          <cell r="F181">
            <v>101</v>
          </cell>
          <cell r="G181">
            <v>50</v>
          </cell>
          <cell r="H181">
            <v>72</v>
          </cell>
          <cell r="I181">
            <v>101</v>
          </cell>
          <cell r="J181">
            <v>88</v>
          </cell>
          <cell r="L181">
            <v>101</v>
          </cell>
          <cell r="M181">
            <v>46.17</v>
          </cell>
          <cell r="N181">
            <v>2013</v>
          </cell>
          <cell r="O181">
            <v>80</v>
          </cell>
          <cell r="P181" t="e">
            <v>#N/A</v>
          </cell>
        </row>
        <row r="182">
          <cell r="B182" t="str">
            <v>University of Oslo</v>
          </cell>
          <cell r="C182" t="str">
            <v>Norway</v>
          </cell>
          <cell r="D182">
            <v>1</v>
          </cell>
          <cell r="E182">
            <v>101</v>
          </cell>
          <cell r="F182">
            <v>101</v>
          </cell>
          <cell r="G182">
            <v>40</v>
          </cell>
          <cell r="H182">
            <v>101</v>
          </cell>
          <cell r="I182">
            <v>101</v>
          </cell>
          <cell r="J182">
            <v>101</v>
          </cell>
          <cell r="L182">
            <v>101</v>
          </cell>
          <cell r="M182">
            <v>46.1</v>
          </cell>
          <cell r="N182">
            <v>2013</v>
          </cell>
          <cell r="O182">
            <v>81</v>
          </cell>
          <cell r="P182">
            <v>33.5</v>
          </cell>
        </row>
        <row r="183">
          <cell r="B183" t="str">
            <v>Dartmouth College</v>
          </cell>
          <cell r="C183" t="str">
            <v>USA</v>
          </cell>
          <cell r="D183">
            <v>51</v>
          </cell>
          <cell r="E183">
            <v>45</v>
          </cell>
          <cell r="F183">
            <v>20</v>
          </cell>
          <cell r="G183">
            <v>101</v>
          </cell>
          <cell r="H183">
            <v>101</v>
          </cell>
          <cell r="I183">
            <v>101</v>
          </cell>
          <cell r="J183">
            <v>101</v>
          </cell>
          <cell r="L183">
            <v>78</v>
          </cell>
          <cell r="M183">
            <v>46.04</v>
          </cell>
          <cell r="N183">
            <v>2013</v>
          </cell>
          <cell r="O183">
            <v>82</v>
          </cell>
          <cell r="P183">
            <v>44.7</v>
          </cell>
        </row>
        <row r="184">
          <cell r="B184" t="str">
            <v>Swiss Federal Institute of Technology in Lausanne</v>
          </cell>
          <cell r="C184" t="str">
            <v>Switzerland</v>
          </cell>
          <cell r="D184">
            <v>4</v>
          </cell>
          <cell r="E184">
            <v>101</v>
          </cell>
          <cell r="F184">
            <v>101</v>
          </cell>
          <cell r="G184">
            <v>85</v>
          </cell>
          <cell r="H184">
            <v>101</v>
          </cell>
          <cell r="I184">
            <v>101</v>
          </cell>
          <cell r="J184">
            <v>83</v>
          </cell>
          <cell r="L184">
            <v>54</v>
          </cell>
          <cell r="M184">
            <v>45.73</v>
          </cell>
          <cell r="N184">
            <v>2013</v>
          </cell>
          <cell r="O184">
            <v>83</v>
          </cell>
          <cell r="P184" t="e">
            <v>#N/A</v>
          </cell>
        </row>
        <row r="185">
          <cell r="B185" t="str">
            <v>Utrecht University</v>
          </cell>
          <cell r="C185" t="str">
            <v>Netherlands</v>
          </cell>
          <cell r="D185">
            <v>1</v>
          </cell>
          <cell r="E185">
            <v>101</v>
          </cell>
          <cell r="F185">
            <v>101</v>
          </cell>
          <cell r="G185">
            <v>101</v>
          </cell>
          <cell r="H185">
            <v>39</v>
          </cell>
          <cell r="I185">
            <v>44</v>
          </cell>
          <cell r="J185">
            <v>47</v>
          </cell>
          <cell r="L185">
            <v>101</v>
          </cell>
          <cell r="M185">
            <v>45.73</v>
          </cell>
          <cell r="N185">
            <v>2013</v>
          </cell>
          <cell r="O185">
            <v>84</v>
          </cell>
          <cell r="P185">
            <v>43.4</v>
          </cell>
        </row>
        <row r="186">
          <cell r="B186" t="str">
            <v>Indiana University - Bloomington</v>
          </cell>
          <cell r="C186" t="str">
            <v>USA</v>
          </cell>
          <cell r="D186">
            <v>52</v>
          </cell>
          <cell r="E186">
            <v>101</v>
          </cell>
          <cell r="F186">
            <v>48</v>
          </cell>
          <cell r="G186">
            <v>101</v>
          </cell>
          <cell r="H186">
            <v>50</v>
          </cell>
          <cell r="I186">
            <v>72</v>
          </cell>
          <cell r="J186">
            <v>59</v>
          </cell>
          <cell r="L186">
            <v>101</v>
          </cell>
          <cell r="M186">
            <v>45.71</v>
          </cell>
          <cell r="N186">
            <v>2013</v>
          </cell>
          <cell r="O186">
            <v>85</v>
          </cell>
          <cell r="P186" t="e">
            <v>#N/A</v>
          </cell>
        </row>
        <row r="187">
          <cell r="B187" t="str">
            <v>Ã‰cole Polytechnique</v>
          </cell>
          <cell r="C187" t="str">
            <v>France</v>
          </cell>
          <cell r="D187">
            <v>4</v>
          </cell>
          <cell r="E187">
            <v>101</v>
          </cell>
          <cell r="F187">
            <v>4</v>
          </cell>
          <cell r="G187">
            <v>101</v>
          </cell>
          <cell r="H187">
            <v>101</v>
          </cell>
          <cell r="I187">
            <v>101</v>
          </cell>
          <cell r="J187">
            <v>101</v>
          </cell>
          <cell r="L187">
            <v>101</v>
          </cell>
          <cell r="M187">
            <v>45.38</v>
          </cell>
          <cell r="N187">
            <v>2013</v>
          </cell>
          <cell r="O187">
            <v>86</v>
          </cell>
          <cell r="P187">
            <v>57.9</v>
          </cell>
        </row>
        <row r="188">
          <cell r="B188" t="str">
            <v>National University of Singapore</v>
          </cell>
          <cell r="C188" t="str">
            <v>Singapore</v>
          </cell>
          <cell r="D188">
            <v>1</v>
          </cell>
          <cell r="E188">
            <v>101</v>
          </cell>
          <cell r="F188">
            <v>101</v>
          </cell>
          <cell r="G188">
            <v>101</v>
          </cell>
          <cell r="H188">
            <v>44</v>
          </cell>
          <cell r="I188">
            <v>101</v>
          </cell>
          <cell r="J188">
            <v>50</v>
          </cell>
          <cell r="L188">
            <v>27</v>
          </cell>
          <cell r="M188">
            <v>45.2</v>
          </cell>
          <cell r="N188">
            <v>2013</v>
          </cell>
          <cell r="O188">
            <v>87</v>
          </cell>
          <cell r="P188">
            <v>65.5</v>
          </cell>
        </row>
        <row r="189">
          <cell r="B189" t="str">
            <v>University of Texas MD Anderson Cancer Center</v>
          </cell>
          <cell r="C189" t="str">
            <v>USA</v>
          </cell>
          <cell r="D189">
            <v>53</v>
          </cell>
          <cell r="E189">
            <v>101</v>
          </cell>
          <cell r="F189">
            <v>101</v>
          </cell>
          <cell r="G189">
            <v>101</v>
          </cell>
          <cell r="H189">
            <v>90</v>
          </cell>
          <cell r="I189">
            <v>32</v>
          </cell>
          <cell r="J189">
            <v>56</v>
          </cell>
          <cell r="L189">
            <v>101</v>
          </cell>
          <cell r="M189">
            <v>45.12</v>
          </cell>
          <cell r="N189">
            <v>2013</v>
          </cell>
          <cell r="O189">
            <v>88</v>
          </cell>
          <cell r="P189" t="e">
            <v>#N/A</v>
          </cell>
        </row>
        <row r="190">
          <cell r="B190" t="str">
            <v>Stony Brook University</v>
          </cell>
          <cell r="C190" t="str">
            <v>USA</v>
          </cell>
          <cell r="D190">
            <v>54</v>
          </cell>
          <cell r="E190">
            <v>101</v>
          </cell>
          <cell r="F190">
            <v>101</v>
          </cell>
          <cell r="G190">
            <v>68</v>
          </cell>
          <cell r="H190">
            <v>101</v>
          </cell>
          <cell r="I190">
            <v>101</v>
          </cell>
          <cell r="J190">
            <v>98</v>
          </cell>
          <cell r="L190">
            <v>90</v>
          </cell>
          <cell r="M190">
            <v>45.01</v>
          </cell>
          <cell r="N190">
            <v>2013</v>
          </cell>
          <cell r="O190">
            <v>89</v>
          </cell>
          <cell r="P190">
            <v>48.5</v>
          </cell>
        </row>
        <row r="191">
          <cell r="B191" t="str">
            <v>Lomonosov Moscow State University</v>
          </cell>
          <cell r="C191" t="str">
            <v>Russia</v>
          </cell>
          <cell r="D191">
            <v>1</v>
          </cell>
          <cell r="E191">
            <v>14</v>
          </cell>
          <cell r="F191">
            <v>101</v>
          </cell>
          <cell r="G191">
            <v>51</v>
          </cell>
          <cell r="H191">
            <v>101</v>
          </cell>
          <cell r="I191">
            <v>101</v>
          </cell>
          <cell r="J191">
            <v>101</v>
          </cell>
          <cell r="L191">
            <v>101</v>
          </cell>
          <cell r="M191">
            <v>44.93</v>
          </cell>
          <cell r="N191">
            <v>2013</v>
          </cell>
          <cell r="O191">
            <v>90</v>
          </cell>
          <cell r="P191">
            <v>47.9</v>
          </cell>
        </row>
        <row r="192">
          <cell r="B192" t="str">
            <v>Nagoya University</v>
          </cell>
          <cell r="C192" t="str">
            <v>Japan</v>
          </cell>
          <cell r="D192">
            <v>5</v>
          </cell>
          <cell r="E192">
            <v>72</v>
          </cell>
          <cell r="F192">
            <v>101</v>
          </cell>
          <cell r="G192">
            <v>71</v>
          </cell>
          <cell r="H192">
            <v>101</v>
          </cell>
          <cell r="I192">
            <v>101</v>
          </cell>
          <cell r="J192">
            <v>101</v>
          </cell>
          <cell r="L192">
            <v>58</v>
          </cell>
          <cell r="M192">
            <v>44.78</v>
          </cell>
          <cell r="N192">
            <v>2013</v>
          </cell>
          <cell r="O192">
            <v>91</v>
          </cell>
          <cell r="P192">
            <v>45.5</v>
          </cell>
        </row>
        <row r="193">
          <cell r="B193" t="str">
            <v>University of Sydney</v>
          </cell>
          <cell r="C193" t="str">
            <v>Australia</v>
          </cell>
          <cell r="D193">
            <v>1</v>
          </cell>
          <cell r="E193">
            <v>101</v>
          </cell>
          <cell r="F193">
            <v>101</v>
          </cell>
          <cell r="G193">
            <v>101</v>
          </cell>
          <cell r="H193">
            <v>61</v>
          </cell>
          <cell r="I193">
            <v>101</v>
          </cell>
          <cell r="J193">
            <v>101</v>
          </cell>
          <cell r="L193">
            <v>48</v>
          </cell>
          <cell r="M193">
            <v>44.77</v>
          </cell>
          <cell r="N193">
            <v>2013</v>
          </cell>
          <cell r="O193">
            <v>92</v>
          </cell>
          <cell r="P193">
            <v>49.8</v>
          </cell>
        </row>
        <row r="194">
          <cell r="B194" t="str">
            <v>Emory University</v>
          </cell>
          <cell r="C194" t="str">
            <v>USA</v>
          </cell>
          <cell r="D194">
            <v>55</v>
          </cell>
          <cell r="E194">
            <v>101</v>
          </cell>
          <cell r="F194">
            <v>101</v>
          </cell>
          <cell r="G194">
            <v>101</v>
          </cell>
          <cell r="H194">
            <v>66</v>
          </cell>
          <cell r="I194">
            <v>41</v>
          </cell>
          <cell r="J194">
            <v>53</v>
          </cell>
          <cell r="L194">
            <v>81</v>
          </cell>
          <cell r="M194">
            <v>44.53</v>
          </cell>
          <cell r="N194">
            <v>2013</v>
          </cell>
          <cell r="O194">
            <v>93</v>
          </cell>
          <cell r="P194">
            <v>63.4</v>
          </cell>
        </row>
        <row r="195">
          <cell r="B195" t="str">
            <v>Rice University</v>
          </cell>
          <cell r="C195" t="str">
            <v>USA</v>
          </cell>
          <cell r="D195">
            <v>56</v>
          </cell>
          <cell r="E195">
            <v>51</v>
          </cell>
          <cell r="F195">
            <v>101</v>
          </cell>
          <cell r="G195">
            <v>97</v>
          </cell>
          <cell r="H195">
            <v>101</v>
          </cell>
          <cell r="I195">
            <v>101</v>
          </cell>
          <cell r="J195">
            <v>64</v>
          </cell>
          <cell r="L195">
            <v>81</v>
          </cell>
          <cell r="M195">
            <v>44.53</v>
          </cell>
          <cell r="N195">
            <v>2013</v>
          </cell>
          <cell r="O195">
            <v>94</v>
          </cell>
          <cell r="P195">
            <v>57.4</v>
          </cell>
        </row>
        <row r="196">
          <cell r="B196" t="str">
            <v>Tohoku University</v>
          </cell>
          <cell r="C196" t="str">
            <v>Japan</v>
          </cell>
          <cell r="D196">
            <v>6</v>
          </cell>
          <cell r="E196">
            <v>43</v>
          </cell>
          <cell r="F196">
            <v>101</v>
          </cell>
          <cell r="G196">
            <v>101</v>
          </cell>
          <cell r="H196">
            <v>65</v>
          </cell>
          <cell r="I196">
            <v>101</v>
          </cell>
          <cell r="J196">
            <v>91</v>
          </cell>
          <cell r="L196">
            <v>26</v>
          </cell>
          <cell r="M196">
            <v>44.52</v>
          </cell>
          <cell r="N196">
            <v>2013</v>
          </cell>
          <cell r="O196">
            <v>95</v>
          </cell>
          <cell r="P196">
            <v>60.3</v>
          </cell>
        </row>
        <row r="197">
          <cell r="B197" t="str">
            <v>Australian National University</v>
          </cell>
          <cell r="C197" t="str">
            <v>Australia</v>
          </cell>
          <cell r="D197">
            <v>2</v>
          </cell>
          <cell r="E197">
            <v>101</v>
          </cell>
          <cell r="F197">
            <v>101</v>
          </cell>
          <cell r="G197">
            <v>43</v>
          </cell>
          <cell r="H197">
            <v>101</v>
          </cell>
          <cell r="I197">
            <v>101</v>
          </cell>
          <cell r="J197">
            <v>101</v>
          </cell>
          <cell r="L197">
            <v>101</v>
          </cell>
          <cell r="M197">
            <v>44.5</v>
          </cell>
          <cell r="N197">
            <v>2013</v>
          </cell>
          <cell r="O197">
            <v>96</v>
          </cell>
          <cell r="P197">
            <v>51.9</v>
          </cell>
        </row>
        <row r="198">
          <cell r="B198" t="str">
            <v>University of Alberta</v>
          </cell>
          <cell r="C198" t="str">
            <v>Canada</v>
          </cell>
          <cell r="D198">
            <v>4</v>
          </cell>
          <cell r="E198">
            <v>101</v>
          </cell>
          <cell r="F198">
            <v>101</v>
          </cell>
          <cell r="G198">
            <v>101</v>
          </cell>
          <cell r="H198">
            <v>68</v>
          </cell>
          <cell r="I198">
            <v>101</v>
          </cell>
          <cell r="J198">
            <v>92</v>
          </cell>
          <cell r="L198">
            <v>81</v>
          </cell>
          <cell r="M198">
            <v>44.5</v>
          </cell>
          <cell r="N198">
            <v>2013</v>
          </cell>
          <cell r="O198">
            <v>97</v>
          </cell>
          <cell r="P198">
            <v>53.7</v>
          </cell>
        </row>
        <row r="199">
          <cell r="B199" t="str">
            <v>University of Helsinki</v>
          </cell>
          <cell r="C199" t="str">
            <v>Finland</v>
          </cell>
          <cell r="D199">
            <v>1</v>
          </cell>
          <cell r="E199">
            <v>69</v>
          </cell>
          <cell r="F199">
            <v>101</v>
          </cell>
          <cell r="G199">
            <v>81</v>
          </cell>
          <cell r="H199">
            <v>74</v>
          </cell>
          <cell r="I199">
            <v>79</v>
          </cell>
          <cell r="J199">
            <v>71</v>
          </cell>
          <cell r="L199">
            <v>101</v>
          </cell>
          <cell r="M199">
            <v>44.39</v>
          </cell>
          <cell r="N199">
            <v>2013</v>
          </cell>
          <cell r="O199">
            <v>98</v>
          </cell>
          <cell r="P199">
            <v>49</v>
          </cell>
        </row>
        <row r="200">
          <cell r="B200" t="str">
            <v>Paris Diderot University - Paris 7</v>
          </cell>
          <cell r="C200" t="str">
            <v>France</v>
          </cell>
          <cell r="D200">
            <v>5</v>
          </cell>
          <cell r="E200">
            <v>28</v>
          </cell>
          <cell r="F200">
            <v>101</v>
          </cell>
          <cell r="G200">
            <v>72</v>
          </cell>
          <cell r="H200">
            <v>101</v>
          </cell>
          <cell r="I200">
            <v>87</v>
          </cell>
          <cell r="J200">
            <v>101</v>
          </cell>
          <cell r="L200">
            <v>101</v>
          </cell>
          <cell r="M200">
            <v>44.36</v>
          </cell>
          <cell r="N200">
            <v>2013</v>
          </cell>
          <cell r="O200">
            <v>99</v>
          </cell>
          <cell r="P200" t="e">
            <v>#N/A</v>
          </cell>
        </row>
        <row r="201">
          <cell r="B201" t="str">
            <v>Georgia Institute of Technology</v>
          </cell>
          <cell r="C201" t="str">
            <v>USA</v>
          </cell>
          <cell r="D201">
            <v>57</v>
          </cell>
          <cell r="E201">
            <v>101</v>
          </cell>
          <cell r="F201">
            <v>85</v>
          </cell>
          <cell r="G201">
            <v>101</v>
          </cell>
          <cell r="H201">
            <v>97</v>
          </cell>
          <cell r="I201">
            <v>101</v>
          </cell>
          <cell r="J201">
            <v>43</v>
          </cell>
          <cell r="L201">
            <v>32</v>
          </cell>
          <cell r="M201">
            <v>44.26</v>
          </cell>
          <cell r="N201">
            <v>2013</v>
          </cell>
          <cell r="O201">
            <v>100</v>
          </cell>
          <cell r="P201">
            <v>67.900000000000006</v>
          </cell>
        </row>
        <row r="202">
          <cell r="B202" t="str">
            <v>Harvard University</v>
          </cell>
          <cell r="C202" t="str">
            <v>USA</v>
          </cell>
          <cell r="D202">
            <v>1</v>
          </cell>
          <cell r="E202">
            <v>1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J202">
            <v>1</v>
          </cell>
          <cell r="K202">
            <v>1</v>
          </cell>
          <cell r="L202">
            <v>2</v>
          </cell>
          <cell r="M202">
            <v>100</v>
          </cell>
          <cell r="N202">
            <v>2014</v>
          </cell>
          <cell r="O202">
            <v>1</v>
          </cell>
          <cell r="P202">
            <v>99.7</v>
          </cell>
        </row>
        <row r="203">
          <cell r="B203" t="str">
            <v>Stanford University</v>
          </cell>
          <cell r="C203" t="str">
            <v>USA</v>
          </cell>
          <cell r="D203">
            <v>2</v>
          </cell>
          <cell r="E203">
            <v>11</v>
          </cell>
          <cell r="F203">
            <v>2</v>
          </cell>
          <cell r="G203">
            <v>4</v>
          </cell>
          <cell r="H203">
            <v>5</v>
          </cell>
          <cell r="I203">
            <v>3</v>
          </cell>
          <cell r="J203">
            <v>3</v>
          </cell>
          <cell r="K203">
            <v>4</v>
          </cell>
          <cell r="L203">
            <v>6</v>
          </cell>
          <cell r="M203">
            <v>99.09</v>
          </cell>
          <cell r="N203">
            <v>2014</v>
          </cell>
          <cell r="O203">
            <v>2</v>
          </cell>
          <cell r="P203">
            <v>98.3</v>
          </cell>
        </row>
        <row r="204">
          <cell r="B204" t="str">
            <v>Massachusetts Institute of Technology</v>
          </cell>
          <cell r="C204" t="str">
            <v>USA</v>
          </cell>
          <cell r="D204">
            <v>3</v>
          </cell>
          <cell r="E204">
            <v>3</v>
          </cell>
          <cell r="F204">
            <v>11</v>
          </cell>
          <cell r="G204">
            <v>2</v>
          </cell>
          <cell r="H204">
            <v>15</v>
          </cell>
          <cell r="I204">
            <v>2</v>
          </cell>
          <cell r="J204">
            <v>2</v>
          </cell>
          <cell r="K204">
            <v>2</v>
          </cell>
          <cell r="L204">
            <v>1</v>
          </cell>
          <cell r="M204">
            <v>98.69</v>
          </cell>
          <cell r="N204">
            <v>2014</v>
          </cell>
          <cell r="O204">
            <v>3</v>
          </cell>
          <cell r="P204">
            <v>97.8</v>
          </cell>
        </row>
        <row r="205">
          <cell r="B205" t="str">
            <v>University of Cambridge</v>
          </cell>
          <cell r="C205" t="str">
            <v>United Kingdom</v>
          </cell>
          <cell r="D205">
            <v>1</v>
          </cell>
          <cell r="E205">
            <v>2</v>
          </cell>
          <cell r="F205">
            <v>10</v>
          </cell>
          <cell r="G205">
            <v>5</v>
          </cell>
          <cell r="H205">
            <v>10</v>
          </cell>
          <cell r="I205">
            <v>9</v>
          </cell>
          <cell r="J205">
            <v>12</v>
          </cell>
          <cell r="K205">
            <v>13</v>
          </cell>
          <cell r="L205">
            <v>48</v>
          </cell>
          <cell r="M205">
            <v>97.64</v>
          </cell>
          <cell r="N205">
            <v>2014</v>
          </cell>
          <cell r="O205">
            <v>4</v>
          </cell>
          <cell r="P205">
            <v>90.5</v>
          </cell>
        </row>
        <row r="206">
          <cell r="B206" t="str">
            <v>University of Oxford</v>
          </cell>
          <cell r="C206" t="str">
            <v>United Kingdom</v>
          </cell>
          <cell r="D206">
            <v>2</v>
          </cell>
          <cell r="E206">
            <v>7</v>
          </cell>
          <cell r="F206">
            <v>12</v>
          </cell>
          <cell r="G206">
            <v>10</v>
          </cell>
          <cell r="H206">
            <v>11</v>
          </cell>
          <cell r="I206">
            <v>12</v>
          </cell>
          <cell r="J206">
            <v>11</v>
          </cell>
          <cell r="K206">
            <v>12</v>
          </cell>
          <cell r="L206">
            <v>16</v>
          </cell>
          <cell r="M206">
            <v>97.51</v>
          </cell>
          <cell r="N206">
            <v>2014</v>
          </cell>
          <cell r="O206">
            <v>5</v>
          </cell>
          <cell r="P206">
            <v>88.2</v>
          </cell>
        </row>
        <row r="207">
          <cell r="B207" t="str">
            <v>Columbia University</v>
          </cell>
          <cell r="C207" t="str">
            <v>USA</v>
          </cell>
          <cell r="D207">
            <v>4</v>
          </cell>
          <cell r="E207">
            <v>13</v>
          </cell>
          <cell r="F207">
            <v>8</v>
          </cell>
          <cell r="G207">
            <v>9</v>
          </cell>
          <cell r="H207">
            <v>14</v>
          </cell>
          <cell r="I207">
            <v>13</v>
          </cell>
          <cell r="J207">
            <v>9</v>
          </cell>
          <cell r="K207">
            <v>13</v>
          </cell>
          <cell r="L207">
            <v>4</v>
          </cell>
          <cell r="M207">
            <v>97.41</v>
          </cell>
          <cell r="N207">
            <v>2014</v>
          </cell>
          <cell r="O207">
            <v>6</v>
          </cell>
          <cell r="P207">
            <v>73.8</v>
          </cell>
        </row>
        <row r="208">
          <cell r="B208" t="str">
            <v>University of California, Berkeley</v>
          </cell>
          <cell r="C208" t="str">
            <v>USA</v>
          </cell>
          <cell r="D208">
            <v>5</v>
          </cell>
          <cell r="E208">
            <v>4</v>
          </cell>
          <cell r="F208">
            <v>22</v>
          </cell>
          <cell r="G208">
            <v>6</v>
          </cell>
          <cell r="H208">
            <v>7</v>
          </cell>
          <cell r="I208">
            <v>4</v>
          </cell>
          <cell r="J208">
            <v>3</v>
          </cell>
          <cell r="K208">
            <v>7</v>
          </cell>
          <cell r="L208">
            <v>28</v>
          </cell>
          <cell r="M208">
            <v>92.84</v>
          </cell>
          <cell r="N208">
            <v>2014</v>
          </cell>
          <cell r="O208">
            <v>7</v>
          </cell>
          <cell r="P208">
            <v>84.2</v>
          </cell>
        </row>
        <row r="209">
          <cell r="B209" t="str">
            <v>University of Chicago</v>
          </cell>
          <cell r="C209" t="str">
            <v>USA</v>
          </cell>
          <cell r="D209">
            <v>6</v>
          </cell>
          <cell r="E209">
            <v>10</v>
          </cell>
          <cell r="F209">
            <v>14</v>
          </cell>
          <cell r="G209">
            <v>8</v>
          </cell>
          <cell r="H209">
            <v>17</v>
          </cell>
          <cell r="I209">
            <v>19</v>
          </cell>
          <cell r="J209">
            <v>10</v>
          </cell>
          <cell r="K209">
            <v>18</v>
          </cell>
          <cell r="L209">
            <v>149</v>
          </cell>
          <cell r="M209">
            <v>92.03</v>
          </cell>
          <cell r="N209">
            <v>2014</v>
          </cell>
          <cell r="O209">
            <v>8</v>
          </cell>
          <cell r="P209">
            <v>79.099999999999994</v>
          </cell>
        </row>
        <row r="210">
          <cell r="B210" t="str">
            <v>Princeton University</v>
          </cell>
          <cell r="C210" t="str">
            <v>USA</v>
          </cell>
          <cell r="D210">
            <v>7</v>
          </cell>
          <cell r="E210">
            <v>5</v>
          </cell>
          <cell r="F210">
            <v>16</v>
          </cell>
          <cell r="G210">
            <v>3</v>
          </cell>
          <cell r="H210">
            <v>70</v>
          </cell>
          <cell r="I210">
            <v>25</v>
          </cell>
          <cell r="J210">
            <v>19</v>
          </cell>
          <cell r="K210">
            <v>41</v>
          </cell>
          <cell r="L210">
            <v>204</v>
          </cell>
          <cell r="M210">
            <v>88.56</v>
          </cell>
          <cell r="N210">
            <v>2014</v>
          </cell>
          <cell r="O210">
            <v>9</v>
          </cell>
          <cell r="P210">
            <v>90.9</v>
          </cell>
        </row>
        <row r="211">
          <cell r="B211" t="str">
            <v>Yale University</v>
          </cell>
          <cell r="C211" t="str">
            <v>USA</v>
          </cell>
          <cell r="D211">
            <v>8</v>
          </cell>
          <cell r="E211">
            <v>9</v>
          </cell>
          <cell r="F211">
            <v>25</v>
          </cell>
          <cell r="G211">
            <v>11</v>
          </cell>
          <cell r="H211">
            <v>18</v>
          </cell>
          <cell r="I211">
            <v>7</v>
          </cell>
          <cell r="J211">
            <v>32</v>
          </cell>
          <cell r="K211">
            <v>19</v>
          </cell>
          <cell r="L211">
            <v>45</v>
          </cell>
          <cell r="M211">
            <v>88.11</v>
          </cell>
          <cell r="N211">
            <v>2014</v>
          </cell>
          <cell r="O211">
            <v>10</v>
          </cell>
          <cell r="P211">
            <v>92.1</v>
          </cell>
        </row>
        <row r="212">
          <cell r="B212" t="str">
            <v>Cornell University</v>
          </cell>
          <cell r="C212" t="str">
            <v>USA</v>
          </cell>
          <cell r="D212">
            <v>9</v>
          </cell>
          <cell r="E212">
            <v>12</v>
          </cell>
          <cell r="F212">
            <v>18</v>
          </cell>
          <cell r="G212">
            <v>19</v>
          </cell>
          <cell r="H212">
            <v>23</v>
          </cell>
          <cell r="I212">
            <v>15</v>
          </cell>
          <cell r="J212">
            <v>23</v>
          </cell>
          <cell r="K212">
            <v>23</v>
          </cell>
          <cell r="L212">
            <v>12</v>
          </cell>
          <cell r="M212">
            <v>85.8</v>
          </cell>
          <cell r="N212">
            <v>2014</v>
          </cell>
          <cell r="O212">
            <v>11</v>
          </cell>
          <cell r="P212">
            <v>82.2</v>
          </cell>
        </row>
        <row r="213">
          <cell r="B213" t="str">
            <v>California Institute of Technology</v>
          </cell>
          <cell r="C213" t="str">
            <v>USA</v>
          </cell>
          <cell r="D213">
            <v>10</v>
          </cell>
          <cell r="E213">
            <v>6</v>
          </cell>
          <cell r="F213">
            <v>303</v>
          </cell>
          <cell r="G213">
            <v>7</v>
          </cell>
          <cell r="H213">
            <v>48</v>
          </cell>
          <cell r="I213">
            <v>6</v>
          </cell>
          <cell r="J213">
            <v>16</v>
          </cell>
          <cell r="K213">
            <v>24</v>
          </cell>
          <cell r="L213">
            <v>9</v>
          </cell>
          <cell r="M213">
            <v>85.5</v>
          </cell>
          <cell r="N213">
            <v>2014</v>
          </cell>
          <cell r="O213">
            <v>12</v>
          </cell>
          <cell r="P213">
            <v>97.7</v>
          </cell>
        </row>
        <row r="214">
          <cell r="B214" t="str">
            <v>University of Tokyo</v>
          </cell>
          <cell r="C214" t="str">
            <v>Japan</v>
          </cell>
          <cell r="D214">
            <v>1</v>
          </cell>
          <cell r="E214">
            <v>17</v>
          </cell>
          <cell r="F214">
            <v>3</v>
          </cell>
          <cell r="G214">
            <v>33</v>
          </cell>
          <cell r="H214">
            <v>12</v>
          </cell>
          <cell r="I214">
            <v>16</v>
          </cell>
          <cell r="J214">
            <v>28</v>
          </cell>
          <cell r="K214">
            <v>26</v>
          </cell>
          <cell r="L214">
            <v>14</v>
          </cell>
          <cell r="M214">
            <v>80.64</v>
          </cell>
          <cell r="N214">
            <v>2014</v>
          </cell>
          <cell r="O214">
            <v>13</v>
          </cell>
          <cell r="P214">
            <v>87.7</v>
          </cell>
        </row>
        <row r="215">
          <cell r="B215" t="str">
            <v>University of Pennsylvania</v>
          </cell>
          <cell r="C215" t="str">
            <v>USA</v>
          </cell>
          <cell r="D215">
            <v>11</v>
          </cell>
          <cell r="E215">
            <v>21</v>
          </cell>
          <cell r="F215">
            <v>4</v>
          </cell>
          <cell r="G215">
            <v>26</v>
          </cell>
          <cell r="H215">
            <v>8</v>
          </cell>
          <cell r="I215">
            <v>17</v>
          </cell>
          <cell r="J215">
            <v>13</v>
          </cell>
          <cell r="K215">
            <v>10</v>
          </cell>
          <cell r="L215">
            <v>28</v>
          </cell>
          <cell r="M215">
            <v>79.3</v>
          </cell>
          <cell r="N215">
            <v>2014</v>
          </cell>
          <cell r="O215">
            <v>14</v>
          </cell>
          <cell r="P215">
            <v>71.8</v>
          </cell>
        </row>
        <row r="216">
          <cell r="B216" t="str">
            <v>University of California, Los Angeles</v>
          </cell>
          <cell r="C216" t="str">
            <v>USA</v>
          </cell>
          <cell r="D216">
            <v>12</v>
          </cell>
          <cell r="E216">
            <v>27</v>
          </cell>
          <cell r="F216">
            <v>27</v>
          </cell>
          <cell r="G216">
            <v>12</v>
          </cell>
          <cell r="H216">
            <v>6</v>
          </cell>
          <cell r="I216">
            <v>14</v>
          </cell>
          <cell r="J216">
            <v>7</v>
          </cell>
          <cell r="K216">
            <v>6</v>
          </cell>
          <cell r="L216">
            <v>10</v>
          </cell>
          <cell r="M216">
            <v>78.349999999999994</v>
          </cell>
          <cell r="N216">
            <v>2014</v>
          </cell>
          <cell r="O216">
            <v>15</v>
          </cell>
          <cell r="P216">
            <v>83</v>
          </cell>
        </row>
        <row r="217">
          <cell r="B217" t="str">
            <v>Kyoto University</v>
          </cell>
          <cell r="C217" t="str">
            <v>Japan</v>
          </cell>
          <cell r="D217">
            <v>2</v>
          </cell>
          <cell r="E217">
            <v>30</v>
          </cell>
          <cell r="F217">
            <v>23</v>
          </cell>
          <cell r="G217">
            <v>15</v>
          </cell>
          <cell r="H217">
            <v>27</v>
          </cell>
          <cell r="I217">
            <v>41</v>
          </cell>
          <cell r="J217">
            <v>61</v>
          </cell>
          <cell r="K217">
            <v>51</v>
          </cell>
          <cell r="L217">
            <v>18</v>
          </cell>
          <cell r="M217">
            <v>73.209999999999994</v>
          </cell>
          <cell r="N217">
            <v>2014</v>
          </cell>
          <cell r="O217">
            <v>16</v>
          </cell>
          <cell r="P217">
            <v>78.900000000000006</v>
          </cell>
        </row>
        <row r="218">
          <cell r="B218" t="str">
            <v>New York University</v>
          </cell>
          <cell r="C218" t="str">
            <v>USA</v>
          </cell>
          <cell r="D218">
            <v>13</v>
          </cell>
          <cell r="E218">
            <v>33</v>
          </cell>
          <cell r="F218">
            <v>21</v>
          </cell>
          <cell r="G218">
            <v>17</v>
          </cell>
          <cell r="H218">
            <v>49</v>
          </cell>
          <cell r="I218">
            <v>29</v>
          </cell>
          <cell r="J218">
            <v>32</v>
          </cell>
          <cell r="K218">
            <v>31</v>
          </cell>
          <cell r="L218">
            <v>48</v>
          </cell>
          <cell r="M218">
            <v>72.290000000000006</v>
          </cell>
          <cell r="N218">
            <v>2014</v>
          </cell>
          <cell r="O218">
            <v>17</v>
          </cell>
          <cell r="P218">
            <v>62</v>
          </cell>
        </row>
        <row r="219">
          <cell r="B219" t="str">
            <v>Swiss Federal Institute of Technology in Zurich</v>
          </cell>
          <cell r="C219" t="str">
            <v>Switzerland</v>
          </cell>
          <cell r="D219">
            <v>1</v>
          </cell>
          <cell r="E219">
            <v>16</v>
          </cell>
          <cell r="F219">
            <v>105</v>
          </cell>
          <cell r="G219">
            <v>13</v>
          </cell>
          <cell r="H219">
            <v>42</v>
          </cell>
          <cell r="I219">
            <v>28</v>
          </cell>
          <cell r="J219">
            <v>45</v>
          </cell>
          <cell r="K219">
            <v>86</v>
          </cell>
          <cell r="L219">
            <v>84</v>
          </cell>
          <cell r="M219">
            <v>72.180000000000007</v>
          </cell>
          <cell r="N219">
            <v>2014</v>
          </cell>
          <cell r="O219">
            <v>18</v>
          </cell>
          <cell r="P219" t="e">
            <v>#N/A</v>
          </cell>
        </row>
        <row r="220">
          <cell r="B220" t="str">
            <v>Johns Hopkins University</v>
          </cell>
          <cell r="C220" t="str">
            <v>USA</v>
          </cell>
          <cell r="D220">
            <v>14</v>
          </cell>
          <cell r="E220">
            <v>24</v>
          </cell>
          <cell r="F220">
            <v>75</v>
          </cell>
          <cell r="G220">
            <v>18</v>
          </cell>
          <cell r="H220">
            <v>4</v>
          </cell>
          <cell r="I220">
            <v>10</v>
          </cell>
          <cell r="J220">
            <v>6</v>
          </cell>
          <cell r="K220">
            <v>3</v>
          </cell>
          <cell r="L220">
            <v>3</v>
          </cell>
          <cell r="M220">
            <v>71.17</v>
          </cell>
          <cell r="N220">
            <v>2014</v>
          </cell>
          <cell r="O220">
            <v>19</v>
          </cell>
          <cell r="P220">
            <v>80.900000000000006</v>
          </cell>
        </row>
        <row r="221">
          <cell r="B221" t="str">
            <v>University of California, San Diego</v>
          </cell>
          <cell r="C221" t="str">
            <v>USA</v>
          </cell>
          <cell r="D221">
            <v>15</v>
          </cell>
          <cell r="E221">
            <v>32</v>
          </cell>
          <cell r="F221">
            <v>478</v>
          </cell>
          <cell r="G221">
            <v>20</v>
          </cell>
          <cell r="H221">
            <v>16</v>
          </cell>
          <cell r="I221">
            <v>5</v>
          </cell>
          <cell r="J221">
            <v>19</v>
          </cell>
          <cell r="K221">
            <v>16</v>
          </cell>
          <cell r="L221">
            <v>13</v>
          </cell>
          <cell r="M221">
            <v>68.36</v>
          </cell>
          <cell r="N221">
            <v>2014</v>
          </cell>
          <cell r="O221">
            <v>20</v>
          </cell>
          <cell r="P221">
            <v>59.8</v>
          </cell>
        </row>
        <row r="222">
          <cell r="B222" t="str">
            <v>University of Michigan, Ann Arbor</v>
          </cell>
          <cell r="C222" t="str">
            <v>USA</v>
          </cell>
          <cell r="D222">
            <v>16</v>
          </cell>
          <cell r="E222">
            <v>29</v>
          </cell>
          <cell r="F222">
            <v>19</v>
          </cell>
          <cell r="G222">
            <v>131</v>
          </cell>
          <cell r="H222">
            <v>3</v>
          </cell>
          <cell r="I222">
            <v>20</v>
          </cell>
          <cell r="J222">
            <v>5</v>
          </cell>
          <cell r="K222">
            <v>10</v>
          </cell>
          <cell r="L222">
            <v>19</v>
          </cell>
          <cell r="M222">
            <v>68.27</v>
          </cell>
          <cell r="N222">
            <v>2014</v>
          </cell>
          <cell r="O222">
            <v>21</v>
          </cell>
          <cell r="P222" t="e">
            <v>#N/A</v>
          </cell>
        </row>
        <row r="223">
          <cell r="B223" t="str">
            <v>Hebrew University of Jerusalem</v>
          </cell>
          <cell r="C223" t="str">
            <v>Israel</v>
          </cell>
          <cell r="D223">
            <v>1</v>
          </cell>
          <cell r="E223">
            <v>15</v>
          </cell>
          <cell r="F223">
            <v>255</v>
          </cell>
          <cell r="G223">
            <v>16</v>
          </cell>
          <cell r="H223">
            <v>114</v>
          </cell>
          <cell r="I223">
            <v>94</v>
          </cell>
          <cell r="J223">
            <v>493</v>
          </cell>
          <cell r="K223">
            <v>151</v>
          </cell>
          <cell r="L223">
            <v>40</v>
          </cell>
          <cell r="M223">
            <v>66.760000000000005</v>
          </cell>
          <cell r="N223">
            <v>2014</v>
          </cell>
          <cell r="O223">
            <v>22</v>
          </cell>
          <cell r="P223">
            <v>47.7</v>
          </cell>
        </row>
        <row r="224">
          <cell r="B224" t="str">
            <v>Northwestern University</v>
          </cell>
          <cell r="C224" t="str">
            <v>USA</v>
          </cell>
          <cell r="D224">
            <v>17</v>
          </cell>
          <cell r="E224">
            <v>151</v>
          </cell>
          <cell r="F224">
            <v>13</v>
          </cell>
          <cell r="G224">
            <v>105</v>
          </cell>
          <cell r="H224">
            <v>28</v>
          </cell>
          <cell r="I224">
            <v>32</v>
          </cell>
          <cell r="J224">
            <v>25</v>
          </cell>
          <cell r="K224">
            <v>27</v>
          </cell>
          <cell r="L224">
            <v>61</v>
          </cell>
          <cell r="M224">
            <v>66.180000000000007</v>
          </cell>
          <cell r="N224">
            <v>2014</v>
          </cell>
          <cell r="O224">
            <v>23</v>
          </cell>
          <cell r="P224">
            <v>64.5</v>
          </cell>
        </row>
        <row r="225">
          <cell r="B225" t="str">
            <v>Seoul National University</v>
          </cell>
          <cell r="C225" t="str">
            <v>South Korea</v>
          </cell>
          <cell r="D225">
            <v>1</v>
          </cell>
          <cell r="E225">
            <v>355</v>
          </cell>
          <cell r="F225">
            <v>9</v>
          </cell>
          <cell r="G225">
            <v>210</v>
          </cell>
          <cell r="H225">
            <v>38</v>
          </cell>
          <cell r="I225">
            <v>165</v>
          </cell>
          <cell r="J225">
            <v>87</v>
          </cell>
          <cell r="K225">
            <v>107</v>
          </cell>
          <cell r="L225">
            <v>5</v>
          </cell>
          <cell r="M225">
            <v>66.06</v>
          </cell>
          <cell r="N225">
            <v>2014</v>
          </cell>
          <cell r="O225">
            <v>24</v>
          </cell>
          <cell r="P225">
            <v>62.3</v>
          </cell>
        </row>
        <row r="226">
          <cell r="B226" t="str">
            <v>University of Wisconsinâ€“Madison</v>
          </cell>
          <cell r="C226" t="str">
            <v>USA</v>
          </cell>
          <cell r="D226">
            <v>18</v>
          </cell>
          <cell r="E226">
            <v>31</v>
          </cell>
          <cell r="F226">
            <v>28</v>
          </cell>
          <cell r="G226">
            <v>34</v>
          </cell>
          <cell r="H226">
            <v>21</v>
          </cell>
          <cell r="I226">
            <v>24</v>
          </cell>
          <cell r="J226">
            <v>23</v>
          </cell>
          <cell r="K226">
            <v>28</v>
          </cell>
          <cell r="L226">
            <v>28</v>
          </cell>
          <cell r="M226">
            <v>65.77</v>
          </cell>
          <cell r="N226">
            <v>2014</v>
          </cell>
          <cell r="O226">
            <v>25</v>
          </cell>
          <cell r="P226" t="e">
            <v>#N/A</v>
          </cell>
        </row>
        <row r="227">
          <cell r="B227" t="str">
            <v>Duke University</v>
          </cell>
          <cell r="C227" t="str">
            <v>USA</v>
          </cell>
          <cell r="D227">
            <v>19</v>
          </cell>
          <cell r="E227">
            <v>65</v>
          </cell>
          <cell r="F227">
            <v>30</v>
          </cell>
          <cell r="G227">
            <v>49</v>
          </cell>
          <cell r="H227">
            <v>22</v>
          </cell>
          <cell r="I227">
            <v>23</v>
          </cell>
          <cell r="J227">
            <v>13</v>
          </cell>
          <cell r="K227">
            <v>15</v>
          </cell>
          <cell r="L227">
            <v>42</v>
          </cell>
          <cell r="M227">
            <v>63.56</v>
          </cell>
          <cell r="N227">
            <v>2014</v>
          </cell>
          <cell r="O227">
            <v>26</v>
          </cell>
          <cell r="P227">
            <v>66.8</v>
          </cell>
        </row>
        <row r="228">
          <cell r="B228" t="str">
            <v>University of California, San Francisco</v>
          </cell>
          <cell r="C228" t="str">
            <v>USA</v>
          </cell>
          <cell r="D228">
            <v>20</v>
          </cell>
          <cell r="E228">
            <v>355</v>
          </cell>
          <cell r="F228">
            <v>478</v>
          </cell>
          <cell r="G228">
            <v>23</v>
          </cell>
          <cell r="H228">
            <v>24</v>
          </cell>
          <cell r="I228">
            <v>8</v>
          </cell>
          <cell r="J228">
            <v>17</v>
          </cell>
          <cell r="K228">
            <v>9</v>
          </cell>
          <cell r="L228">
            <v>57</v>
          </cell>
          <cell r="M228">
            <v>63.36</v>
          </cell>
          <cell r="N228">
            <v>2014</v>
          </cell>
          <cell r="O228">
            <v>27</v>
          </cell>
          <cell r="P228" t="e">
            <v>#N/A</v>
          </cell>
        </row>
        <row r="229">
          <cell r="B229" t="str">
            <v>University of Illinois at Urbanaâ€“Champaign</v>
          </cell>
          <cell r="C229" t="str">
            <v>USA</v>
          </cell>
          <cell r="D229">
            <v>21</v>
          </cell>
          <cell r="E229">
            <v>34</v>
          </cell>
          <cell r="F229">
            <v>80</v>
          </cell>
          <cell r="G229">
            <v>21</v>
          </cell>
          <cell r="H229">
            <v>36</v>
          </cell>
          <cell r="I229">
            <v>45</v>
          </cell>
          <cell r="J229">
            <v>38</v>
          </cell>
          <cell r="K229">
            <v>68</v>
          </cell>
          <cell r="L229">
            <v>64</v>
          </cell>
          <cell r="M229">
            <v>62.89</v>
          </cell>
          <cell r="N229">
            <v>2014</v>
          </cell>
          <cell r="O229">
            <v>28</v>
          </cell>
          <cell r="P229" t="e">
            <v>#N/A</v>
          </cell>
        </row>
        <row r="230">
          <cell r="B230" t="str">
            <v>University of Texas at Austin</v>
          </cell>
          <cell r="C230" t="str">
            <v>USA</v>
          </cell>
          <cell r="D230">
            <v>22</v>
          </cell>
          <cell r="E230">
            <v>92</v>
          </cell>
          <cell r="F230">
            <v>39</v>
          </cell>
          <cell r="G230">
            <v>24</v>
          </cell>
          <cell r="H230">
            <v>51</v>
          </cell>
          <cell r="I230">
            <v>54</v>
          </cell>
          <cell r="J230">
            <v>26</v>
          </cell>
          <cell r="K230">
            <v>74</v>
          </cell>
          <cell r="L230">
            <v>45</v>
          </cell>
          <cell r="M230">
            <v>62.57</v>
          </cell>
          <cell r="N230">
            <v>2014</v>
          </cell>
          <cell r="O230">
            <v>29</v>
          </cell>
          <cell r="P230">
            <v>69.5</v>
          </cell>
        </row>
        <row r="231">
          <cell r="B231" t="str">
            <v>University College London</v>
          </cell>
          <cell r="C231" t="str">
            <v>United Kingdom</v>
          </cell>
          <cell r="D231">
            <v>3</v>
          </cell>
          <cell r="E231">
            <v>20</v>
          </cell>
          <cell r="F231">
            <v>406</v>
          </cell>
          <cell r="G231">
            <v>52</v>
          </cell>
          <cell r="H231">
            <v>13</v>
          </cell>
          <cell r="I231">
            <v>22</v>
          </cell>
          <cell r="J231">
            <v>18</v>
          </cell>
          <cell r="K231">
            <v>21</v>
          </cell>
          <cell r="L231">
            <v>121</v>
          </cell>
          <cell r="M231">
            <v>61.05</v>
          </cell>
          <cell r="N231">
            <v>2014</v>
          </cell>
          <cell r="O231">
            <v>30</v>
          </cell>
          <cell r="P231">
            <v>74</v>
          </cell>
        </row>
        <row r="232">
          <cell r="B232" t="str">
            <v>University of Toronto</v>
          </cell>
          <cell r="C232" t="str">
            <v>Canada</v>
          </cell>
          <cell r="D232">
            <v>1</v>
          </cell>
          <cell r="E232">
            <v>71</v>
          </cell>
          <cell r="F232">
            <v>45</v>
          </cell>
          <cell r="G232">
            <v>35</v>
          </cell>
          <cell r="H232">
            <v>2</v>
          </cell>
          <cell r="I232">
            <v>18</v>
          </cell>
          <cell r="J232">
            <v>13</v>
          </cell>
          <cell r="K232">
            <v>8</v>
          </cell>
          <cell r="L232">
            <v>149</v>
          </cell>
          <cell r="M232">
            <v>60.87</v>
          </cell>
          <cell r="N232">
            <v>2014</v>
          </cell>
          <cell r="O232">
            <v>31</v>
          </cell>
          <cell r="P232">
            <v>75.8</v>
          </cell>
        </row>
        <row r="233">
          <cell r="B233" t="str">
            <v>University of Washington - Seattle</v>
          </cell>
          <cell r="C233" t="str">
            <v>USA</v>
          </cell>
          <cell r="D233">
            <v>23</v>
          </cell>
          <cell r="E233">
            <v>89</v>
          </cell>
          <cell r="F233">
            <v>107</v>
          </cell>
          <cell r="G233">
            <v>46</v>
          </cell>
          <cell r="H233">
            <v>9</v>
          </cell>
          <cell r="I233">
            <v>11</v>
          </cell>
          <cell r="J233">
            <v>8</v>
          </cell>
          <cell r="K233">
            <v>5</v>
          </cell>
          <cell r="L233">
            <v>54</v>
          </cell>
          <cell r="M233">
            <v>60.28</v>
          </cell>
          <cell r="N233">
            <v>2014</v>
          </cell>
          <cell r="O233">
            <v>32</v>
          </cell>
          <cell r="P233" t="e">
            <v>#N/A</v>
          </cell>
        </row>
        <row r="234">
          <cell r="B234" t="str">
            <v>Rutgers University-New Brunswick</v>
          </cell>
          <cell r="C234" t="str">
            <v>USA</v>
          </cell>
          <cell r="D234">
            <v>24</v>
          </cell>
          <cell r="E234">
            <v>91</v>
          </cell>
          <cell r="F234">
            <v>33</v>
          </cell>
          <cell r="G234">
            <v>31</v>
          </cell>
          <cell r="H234">
            <v>52</v>
          </cell>
          <cell r="I234">
            <v>47</v>
          </cell>
          <cell r="J234">
            <v>38</v>
          </cell>
          <cell r="K234">
            <v>51</v>
          </cell>
          <cell r="L234">
            <v>54</v>
          </cell>
          <cell r="M234">
            <v>60</v>
          </cell>
          <cell r="N234">
            <v>2014</v>
          </cell>
          <cell r="O234">
            <v>33</v>
          </cell>
          <cell r="P234" t="e">
            <v>#N/A</v>
          </cell>
        </row>
        <row r="235">
          <cell r="B235" t="str">
            <v>Keio University</v>
          </cell>
          <cell r="C235" t="str">
            <v>Japan</v>
          </cell>
          <cell r="D235">
            <v>3</v>
          </cell>
          <cell r="E235">
            <v>271</v>
          </cell>
          <cell r="F235">
            <v>5</v>
          </cell>
          <cell r="G235">
            <v>210</v>
          </cell>
          <cell r="H235">
            <v>299</v>
          </cell>
          <cell r="I235">
            <v>243</v>
          </cell>
          <cell r="J235">
            <v>310</v>
          </cell>
          <cell r="K235">
            <v>266</v>
          </cell>
          <cell r="L235">
            <v>159</v>
          </cell>
          <cell r="M235">
            <v>59.84</v>
          </cell>
          <cell r="N235">
            <v>2014</v>
          </cell>
          <cell r="O235">
            <v>34</v>
          </cell>
          <cell r="P235">
            <v>32.299999999999997</v>
          </cell>
        </row>
        <row r="236">
          <cell r="B236" t="str">
            <v>Ã‰cole normale supÃ©rieure - Paris</v>
          </cell>
          <cell r="C236" t="str">
            <v>France</v>
          </cell>
          <cell r="D236">
            <v>1</v>
          </cell>
          <cell r="E236">
            <v>8</v>
          </cell>
          <cell r="F236">
            <v>478</v>
          </cell>
          <cell r="G236">
            <v>59</v>
          </cell>
          <cell r="H236">
            <v>362</v>
          </cell>
          <cell r="I236">
            <v>156</v>
          </cell>
          <cell r="J236">
            <v>493</v>
          </cell>
          <cell r="K236">
            <v>311</v>
          </cell>
          <cell r="L236">
            <v>737</v>
          </cell>
          <cell r="M236">
            <v>59.72</v>
          </cell>
          <cell r="N236">
            <v>2014</v>
          </cell>
          <cell r="O236">
            <v>35</v>
          </cell>
          <cell r="P236" t="e">
            <v>#N/A</v>
          </cell>
        </row>
        <row r="237">
          <cell r="B237" t="str">
            <v>Ã‰cole Polytechnique</v>
          </cell>
          <cell r="C237" t="str">
            <v>France</v>
          </cell>
          <cell r="D237">
            <v>2</v>
          </cell>
          <cell r="E237">
            <v>150</v>
          </cell>
          <cell r="F237">
            <v>6</v>
          </cell>
          <cell r="G237">
            <v>208</v>
          </cell>
          <cell r="H237">
            <v>323</v>
          </cell>
          <cell r="I237">
            <v>282</v>
          </cell>
          <cell r="J237">
            <v>250</v>
          </cell>
          <cell r="K237">
            <v>295</v>
          </cell>
          <cell r="L237">
            <v>181</v>
          </cell>
          <cell r="M237">
            <v>59.54</v>
          </cell>
          <cell r="N237">
            <v>2014</v>
          </cell>
          <cell r="O237">
            <v>36</v>
          </cell>
          <cell r="P237">
            <v>57.9</v>
          </cell>
        </row>
        <row r="238">
          <cell r="B238" t="str">
            <v>Rockefeller University</v>
          </cell>
          <cell r="C238" t="str">
            <v>USA</v>
          </cell>
          <cell r="D238">
            <v>25</v>
          </cell>
          <cell r="E238">
            <v>72</v>
          </cell>
          <cell r="F238">
            <v>478</v>
          </cell>
          <cell r="G238">
            <v>14</v>
          </cell>
          <cell r="H238">
            <v>347</v>
          </cell>
          <cell r="I238">
            <v>26</v>
          </cell>
          <cell r="J238">
            <v>107</v>
          </cell>
          <cell r="K238">
            <v>62</v>
          </cell>
          <cell r="L238">
            <v>227</v>
          </cell>
          <cell r="M238">
            <v>59.49</v>
          </cell>
          <cell r="N238">
            <v>2014</v>
          </cell>
          <cell r="O238">
            <v>37</v>
          </cell>
          <cell r="P238" t="e">
            <v>#N/A</v>
          </cell>
        </row>
        <row r="239">
          <cell r="B239" t="str">
            <v>Weizmann Institute of Science</v>
          </cell>
          <cell r="C239" t="str">
            <v>Israel</v>
          </cell>
          <cell r="D239">
            <v>2</v>
          </cell>
          <cell r="E239">
            <v>18</v>
          </cell>
          <cell r="F239">
            <v>478</v>
          </cell>
          <cell r="G239">
            <v>22</v>
          </cell>
          <cell r="H239">
            <v>233</v>
          </cell>
          <cell r="I239">
            <v>63</v>
          </cell>
          <cell r="J239">
            <v>250</v>
          </cell>
          <cell r="K239">
            <v>137</v>
          </cell>
          <cell r="L239">
            <v>51</v>
          </cell>
          <cell r="M239">
            <v>59.17</v>
          </cell>
          <cell r="N239">
            <v>2014</v>
          </cell>
          <cell r="O239">
            <v>38</v>
          </cell>
          <cell r="P239" t="e">
            <v>#N/A</v>
          </cell>
        </row>
        <row r="240">
          <cell r="B240" t="str">
            <v>Imperial College London</v>
          </cell>
          <cell r="C240" t="str">
            <v>United Kingdom</v>
          </cell>
          <cell r="D240">
            <v>4</v>
          </cell>
          <cell r="E240">
            <v>121</v>
          </cell>
          <cell r="F240">
            <v>98</v>
          </cell>
          <cell r="G240">
            <v>38</v>
          </cell>
          <cell r="H240">
            <v>20</v>
          </cell>
          <cell r="I240">
            <v>27</v>
          </cell>
          <cell r="J240">
            <v>31</v>
          </cell>
          <cell r="K240">
            <v>17</v>
          </cell>
          <cell r="L240">
            <v>34</v>
          </cell>
          <cell r="M240">
            <v>58.85</v>
          </cell>
          <cell r="N240">
            <v>2014</v>
          </cell>
          <cell r="O240">
            <v>39</v>
          </cell>
          <cell r="P240">
            <v>89.2</v>
          </cell>
        </row>
        <row r="241">
          <cell r="B241" t="str">
            <v>Waseda University</v>
          </cell>
          <cell r="C241" t="str">
            <v>Japan</v>
          </cell>
          <cell r="D241">
            <v>4</v>
          </cell>
          <cell r="E241">
            <v>355</v>
          </cell>
          <cell r="F241">
            <v>7</v>
          </cell>
          <cell r="G241">
            <v>210</v>
          </cell>
          <cell r="H241">
            <v>391</v>
          </cell>
          <cell r="I241">
            <v>384</v>
          </cell>
          <cell r="J241">
            <v>283</v>
          </cell>
          <cell r="K241">
            <v>380</v>
          </cell>
          <cell r="L241">
            <v>204</v>
          </cell>
          <cell r="M241">
            <v>58.69</v>
          </cell>
          <cell r="N241">
            <v>2014</v>
          </cell>
          <cell r="O241">
            <v>40</v>
          </cell>
          <cell r="P241">
            <v>25.4</v>
          </cell>
        </row>
        <row r="242">
          <cell r="B242" t="str">
            <v>University of Virginia</v>
          </cell>
          <cell r="C242" t="str">
            <v>USA</v>
          </cell>
          <cell r="D242">
            <v>26</v>
          </cell>
          <cell r="E242">
            <v>194</v>
          </cell>
          <cell r="F242">
            <v>17</v>
          </cell>
          <cell r="G242">
            <v>117</v>
          </cell>
          <cell r="H242">
            <v>93</v>
          </cell>
          <cell r="I242">
            <v>71</v>
          </cell>
          <cell r="J242">
            <v>55</v>
          </cell>
          <cell r="K242">
            <v>89</v>
          </cell>
          <cell r="L242">
            <v>94</v>
          </cell>
          <cell r="M242">
            <v>58.6</v>
          </cell>
          <cell r="N242">
            <v>2014</v>
          </cell>
          <cell r="O242">
            <v>41</v>
          </cell>
          <cell r="P242">
            <v>62</v>
          </cell>
        </row>
        <row r="243">
          <cell r="B243" t="str">
            <v>McGill University</v>
          </cell>
          <cell r="C243" t="str">
            <v>Canada</v>
          </cell>
          <cell r="D243">
            <v>2</v>
          </cell>
          <cell r="E243">
            <v>45</v>
          </cell>
          <cell r="F243">
            <v>32</v>
          </cell>
          <cell r="G243">
            <v>60</v>
          </cell>
          <cell r="H243">
            <v>35</v>
          </cell>
          <cell r="I243">
            <v>59</v>
          </cell>
          <cell r="J243">
            <v>34</v>
          </cell>
          <cell r="K243">
            <v>32</v>
          </cell>
          <cell r="L243">
            <v>204</v>
          </cell>
          <cell r="M243">
            <v>58.39</v>
          </cell>
          <cell r="N243">
            <v>2014</v>
          </cell>
          <cell r="O243">
            <v>42</v>
          </cell>
          <cell r="P243">
            <v>69</v>
          </cell>
        </row>
        <row r="244">
          <cell r="B244" t="str">
            <v>Osaka University</v>
          </cell>
          <cell r="C244" t="str">
            <v>Japan</v>
          </cell>
          <cell r="D244">
            <v>5</v>
          </cell>
          <cell r="E244">
            <v>69</v>
          </cell>
          <cell r="F244">
            <v>36</v>
          </cell>
          <cell r="G244">
            <v>48</v>
          </cell>
          <cell r="H244">
            <v>43</v>
          </cell>
          <cell r="I244">
            <v>55</v>
          </cell>
          <cell r="J244">
            <v>114</v>
          </cell>
          <cell r="K244">
            <v>56</v>
          </cell>
          <cell r="L244">
            <v>34</v>
          </cell>
          <cell r="M244">
            <v>58.35</v>
          </cell>
          <cell r="N244">
            <v>2014</v>
          </cell>
          <cell r="O244">
            <v>43</v>
          </cell>
          <cell r="P244">
            <v>61.7</v>
          </cell>
        </row>
        <row r="245">
          <cell r="B245" t="str">
            <v>Dartmouth College</v>
          </cell>
          <cell r="C245" t="str">
            <v>USA</v>
          </cell>
          <cell r="D245">
            <v>27</v>
          </cell>
          <cell r="E245">
            <v>46</v>
          </cell>
          <cell r="F245">
            <v>15</v>
          </cell>
          <cell r="G245">
            <v>210</v>
          </cell>
          <cell r="H245">
            <v>246</v>
          </cell>
          <cell r="I245">
            <v>164</v>
          </cell>
          <cell r="J245">
            <v>125</v>
          </cell>
          <cell r="K245">
            <v>132</v>
          </cell>
          <cell r="L245">
            <v>74</v>
          </cell>
          <cell r="M245">
            <v>58</v>
          </cell>
          <cell r="N245">
            <v>2014</v>
          </cell>
          <cell r="O245">
            <v>44</v>
          </cell>
          <cell r="P245">
            <v>44.7</v>
          </cell>
        </row>
        <row r="246">
          <cell r="B246" t="str">
            <v>University of North Carolina at Chapel Hill</v>
          </cell>
          <cell r="C246" t="str">
            <v>USA</v>
          </cell>
          <cell r="D246">
            <v>28</v>
          </cell>
          <cell r="E246">
            <v>179</v>
          </cell>
          <cell r="F246">
            <v>86</v>
          </cell>
          <cell r="G246">
            <v>61</v>
          </cell>
          <cell r="H246">
            <v>32</v>
          </cell>
          <cell r="I246">
            <v>37</v>
          </cell>
          <cell r="J246">
            <v>22</v>
          </cell>
          <cell r="K246">
            <v>22</v>
          </cell>
          <cell r="L246">
            <v>38</v>
          </cell>
          <cell r="M246">
            <v>57.51</v>
          </cell>
          <cell r="N246">
            <v>2014</v>
          </cell>
          <cell r="O246">
            <v>45</v>
          </cell>
          <cell r="P246">
            <v>70.900000000000006</v>
          </cell>
        </row>
        <row r="247">
          <cell r="B247" t="str">
            <v>Pennsylvania State University, University Park</v>
          </cell>
          <cell r="C247" t="str">
            <v>USA</v>
          </cell>
          <cell r="D247">
            <v>29</v>
          </cell>
          <cell r="E247">
            <v>226</v>
          </cell>
          <cell r="F247">
            <v>42</v>
          </cell>
          <cell r="G247">
            <v>65</v>
          </cell>
          <cell r="H247">
            <v>33</v>
          </cell>
          <cell r="I247">
            <v>36</v>
          </cell>
          <cell r="J247">
            <v>26</v>
          </cell>
          <cell r="K247">
            <v>33</v>
          </cell>
          <cell r="L247">
            <v>100</v>
          </cell>
          <cell r="M247">
            <v>57.19</v>
          </cell>
          <cell r="N247">
            <v>2014</v>
          </cell>
          <cell r="O247">
            <v>46</v>
          </cell>
          <cell r="P247" t="e">
            <v>#N/A</v>
          </cell>
        </row>
        <row r="248">
          <cell r="B248" t="str">
            <v>Ohio State University, Columbus</v>
          </cell>
          <cell r="C248" t="str">
            <v>USA</v>
          </cell>
          <cell r="D248">
            <v>30</v>
          </cell>
          <cell r="E248">
            <v>93</v>
          </cell>
          <cell r="F248">
            <v>65</v>
          </cell>
          <cell r="G248">
            <v>81</v>
          </cell>
          <cell r="H248">
            <v>30</v>
          </cell>
          <cell r="I248">
            <v>52</v>
          </cell>
          <cell r="J248">
            <v>30</v>
          </cell>
          <cell r="K248">
            <v>37</v>
          </cell>
          <cell r="L248">
            <v>38</v>
          </cell>
          <cell r="M248">
            <v>57.01</v>
          </cell>
          <cell r="N248">
            <v>2014</v>
          </cell>
          <cell r="O248">
            <v>47</v>
          </cell>
          <cell r="P248" t="e">
            <v>#N/A</v>
          </cell>
        </row>
        <row r="249">
          <cell r="B249" t="str">
            <v>Lomonosov Moscow State University</v>
          </cell>
          <cell r="C249" t="str">
            <v>Russia</v>
          </cell>
          <cell r="D249">
            <v>1</v>
          </cell>
          <cell r="E249">
            <v>14</v>
          </cell>
          <cell r="F249">
            <v>210</v>
          </cell>
          <cell r="G249">
            <v>50</v>
          </cell>
          <cell r="H249">
            <v>264</v>
          </cell>
          <cell r="I249">
            <v>247</v>
          </cell>
          <cell r="J249">
            <v>310</v>
          </cell>
          <cell r="K249">
            <v>361</v>
          </cell>
          <cell r="L249">
            <v>737</v>
          </cell>
          <cell r="M249">
            <v>56.42</v>
          </cell>
          <cell r="N249">
            <v>2014</v>
          </cell>
          <cell r="O249">
            <v>48</v>
          </cell>
          <cell r="P249">
            <v>47.9</v>
          </cell>
        </row>
        <row r="250">
          <cell r="B250" t="str">
            <v>University of Minnesota, Twin Cities</v>
          </cell>
          <cell r="C250" t="str">
            <v>USA</v>
          </cell>
          <cell r="D250">
            <v>31</v>
          </cell>
          <cell r="E250">
            <v>61</v>
          </cell>
          <cell r="F250">
            <v>159</v>
          </cell>
          <cell r="G250">
            <v>83</v>
          </cell>
          <cell r="H250">
            <v>19</v>
          </cell>
          <cell r="I250">
            <v>38</v>
          </cell>
          <cell r="J250">
            <v>29</v>
          </cell>
          <cell r="K250">
            <v>29</v>
          </cell>
          <cell r="L250">
            <v>68</v>
          </cell>
          <cell r="M250">
            <v>56.13</v>
          </cell>
          <cell r="N250">
            <v>2014</v>
          </cell>
          <cell r="O250">
            <v>49</v>
          </cell>
          <cell r="P250" t="e">
            <v>#N/A</v>
          </cell>
        </row>
        <row r="251">
          <cell r="B251" t="str">
            <v>University of Paris-Sud</v>
          </cell>
          <cell r="C251" t="str">
            <v>France</v>
          </cell>
          <cell r="D251">
            <v>3</v>
          </cell>
          <cell r="E251">
            <v>26</v>
          </cell>
          <cell r="F251">
            <v>410</v>
          </cell>
          <cell r="G251">
            <v>25</v>
          </cell>
          <cell r="H251">
            <v>69</v>
          </cell>
          <cell r="I251">
            <v>89</v>
          </cell>
          <cell r="J251">
            <v>114</v>
          </cell>
          <cell r="K251">
            <v>102</v>
          </cell>
          <cell r="L251">
            <v>338</v>
          </cell>
          <cell r="M251">
            <v>56.06</v>
          </cell>
          <cell r="N251">
            <v>2014</v>
          </cell>
          <cell r="O251">
            <v>50</v>
          </cell>
          <cell r="P251" t="e">
            <v>#N/A</v>
          </cell>
        </row>
        <row r="252">
          <cell r="B252" t="str">
            <v>University of Southern California</v>
          </cell>
          <cell r="C252" t="str">
            <v>USA</v>
          </cell>
          <cell r="D252">
            <v>32</v>
          </cell>
          <cell r="E252">
            <v>148</v>
          </cell>
          <cell r="F252">
            <v>74</v>
          </cell>
          <cell r="G252">
            <v>43</v>
          </cell>
          <cell r="H252">
            <v>59</v>
          </cell>
          <cell r="I252">
            <v>64</v>
          </cell>
          <cell r="J252">
            <v>61</v>
          </cell>
          <cell r="K252">
            <v>54</v>
          </cell>
          <cell r="L252">
            <v>33</v>
          </cell>
          <cell r="M252">
            <v>55.7</v>
          </cell>
          <cell r="N252">
            <v>2014</v>
          </cell>
          <cell r="O252">
            <v>51</v>
          </cell>
          <cell r="P252">
            <v>65.400000000000006</v>
          </cell>
        </row>
        <row r="253">
          <cell r="B253" t="str">
            <v>Purdue University, West Lafayette</v>
          </cell>
          <cell r="C253" t="str">
            <v>USA</v>
          </cell>
          <cell r="D253">
            <v>33</v>
          </cell>
          <cell r="E253">
            <v>81</v>
          </cell>
          <cell r="F253">
            <v>52</v>
          </cell>
          <cell r="G253">
            <v>54</v>
          </cell>
          <cell r="H253">
            <v>72</v>
          </cell>
          <cell r="I253">
            <v>87</v>
          </cell>
          <cell r="J253">
            <v>73</v>
          </cell>
          <cell r="K253">
            <v>121</v>
          </cell>
          <cell r="L253">
            <v>20</v>
          </cell>
          <cell r="M253">
            <v>55.67</v>
          </cell>
          <cell r="N253">
            <v>2014</v>
          </cell>
          <cell r="O253">
            <v>52</v>
          </cell>
          <cell r="P253" t="e">
            <v>#N/A</v>
          </cell>
        </row>
        <row r="254">
          <cell r="B254" t="str">
            <v>University of Pittsburgh - Pittsburgh Campus</v>
          </cell>
          <cell r="C254" t="str">
            <v>USA</v>
          </cell>
          <cell r="D254">
            <v>34</v>
          </cell>
          <cell r="E254">
            <v>76</v>
          </cell>
          <cell r="F254">
            <v>195</v>
          </cell>
          <cell r="G254">
            <v>210</v>
          </cell>
          <cell r="H254">
            <v>25</v>
          </cell>
          <cell r="I254">
            <v>58</v>
          </cell>
          <cell r="J254">
            <v>21</v>
          </cell>
          <cell r="K254">
            <v>24</v>
          </cell>
          <cell r="L254">
            <v>64</v>
          </cell>
          <cell r="M254">
            <v>55.67</v>
          </cell>
          <cell r="N254">
            <v>2014</v>
          </cell>
          <cell r="O254">
            <v>53</v>
          </cell>
          <cell r="P254" t="e">
            <v>#N/A</v>
          </cell>
        </row>
        <row r="255">
          <cell r="B255" t="str">
            <v>Carnegie Mellon University</v>
          </cell>
          <cell r="C255" t="str">
            <v>USA</v>
          </cell>
          <cell r="D255">
            <v>35</v>
          </cell>
          <cell r="E255">
            <v>25</v>
          </cell>
          <cell r="F255">
            <v>219</v>
          </cell>
          <cell r="G255">
            <v>27</v>
          </cell>
          <cell r="H255">
            <v>207</v>
          </cell>
          <cell r="I255">
            <v>234</v>
          </cell>
          <cell r="J255">
            <v>52</v>
          </cell>
          <cell r="K255">
            <v>144</v>
          </cell>
          <cell r="L255">
            <v>170</v>
          </cell>
          <cell r="M255">
            <v>55.3</v>
          </cell>
          <cell r="N255">
            <v>2014</v>
          </cell>
          <cell r="O255">
            <v>54</v>
          </cell>
          <cell r="P255">
            <v>70.3</v>
          </cell>
        </row>
        <row r="256">
          <cell r="B256" t="str">
            <v>Peking University</v>
          </cell>
          <cell r="C256" t="str">
            <v>China</v>
          </cell>
          <cell r="D256">
            <v>1</v>
          </cell>
          <cell r="E256">
            <v>355</v>
          </cell>
          <cell r="F256">
            <v>35</v>
          </cell>
          <cell r="G256">
            <v>210</v>
          </cell>
          <cell r="H256">
            <v>65</v>
          </cell>
          <cell r="I256">
            <v>155</v>
          </cell>
          <cell r="J256">
            <v>250</v>
          </cell>
          <cell r="K256">
            <v>155</v>
          </cell>
          <cell r="L256">
            <v>7</v>
          </cell>
          <cell r="M256">
            <v>55.3</v>
          </cell>
          <cell r="N256">
            <v>2014</v>
          </cell>
          <cell r="O256">
            <v>55</v>
          </cell>
          <cell r="P256">
            <v>76.400000000000006</v>
          </cell>
        </row>
        <row r="257">
          <cell r="B257" t="str">
            <v>University of Edinburgh</v>
          </cell>
          <cell r="C257" t="str">
            <v>United Kingdom</v>
          </cell>
          <cell r="D257">
            <v>5</v>
          </cell>
          <cell r="E257">
            <v>42</v>
          </cell>
          <cell r="F257">
            <v>131</v>
          </cell>
          <cell r="G257">
            <v>36</v>
          </cell>
          <cell r="H257">
            <v>54</v>
          </cell>
          <cell r="I257">
            <v>42</v>
          </cell>
          <cell r="J257">
            <v>55</v>
          </cell>
          <cell r="K257">
            <v>46</v>
          </cell>
          <cell r="L257">
            <v>307</v>
          </cell>
          <cell r="M257">
            <v>55.2</v>
          </cell>
          <cell r="N257">
            <v>2014</v>
          </cell>
          <cell r="O257">
            <v>56</v>
          </cell>
          <cell r="P257">
            <v>59.9</v>
          </cell>
        </row>
        <row r="258">
          <cell r="B258" t="str">
            <v>University of California, Davis</v>
          </cell>
          <cell r="C258" t="str">
            <v>USA</v>
          </cell>
          <cell r="D258">
            <v>36</v>
          </cell>
          <cell r="E258">
            <v>47</v>
          </cell>
          <cell r="F258">
            <v>192</v>
          </cell>
          <cell r="G258">
            <v>90</v>
          </cell>
          <cell r="H258">
            <v>29</v>
          </cell>
          <cell r="I258">
            <v>31</v>
          </cell>
          <cell r="J258">
            <v>38</v>
          </cell>
          <cell r="K258">
            <v>50</v>
          </cell>
          <cell r="L258">
            <v>68</v>
          </cell>
          <cell r="M258">
            <v>55.18</v>
          </cell>
          <cell r="N258">
            <v>2014</v>
          </cell>
          <cell r="O258">
            <v>57</v>
          </cell>
          <cell r="P258">
            <v>57.3</v>
          </cell>
        </row>
        <row r="259">
          <cell r="B259" t="str">
            <v>Washington University in St. Louis</v>
          </cell>
          <cell r="C259" t="str">
            <v>USA</v>
          </cell>
          <cell r="D259">
            <v>37</v>
          </cell>
          <cell r="E259">
            <v>96</v>
          </cell>
          <cell r="F259">
            <v>145</v>
          </cell>
          <cell r="G259">
            <v>112</v>
          </cell>
          <cell r="H259">
            <v>39</v>
          </cell>
          <cell r="I259">
            <v>21</v>
          </cell>
          <cell r="J259">
            <v>34</v>
          </cell>
          <cell r="K259">
            <v>19</v>
          </cell>
          <cell r="L259">
            <v>181</v>
          </cell>
          <cell r="M259">
            <v>54.93</v>
          </cell>
          <cell r="N259">
            <v>2014</v>
          </cell>
          <cell r="O259">
            <v>58</v>
          </cell>
          <cell r="P259" t="e">
            <v>#N/A</v>
          </cell>
        </row>
        <row r="260">
          <cell r="B260" t="str">
            <v>University of Florida</v>
          </cell>
          <cell r="C260" t="str">
            <v>USA</v>
          </cell>
          <cell r="D260">
            <v>38</v>
          </cell>
          <cell r="E260">
            <v>212</v>
          </cell>
          <cell r="F260">
            <v>299</v>
          </cell>
          <cell r="G260">
            <v>95</v>
          </cell>
          <cell r="H260">
            <v>34</v>
          </cell>
          <cell r="I260">
            <v>70</v>
          </cell>
          <cell r="J260">
            <v>52</v>
          </cell>
          <cell r="K260">
            <v>63</v>
          </cell>
          <cell r="L260">
            <v>8</v>
          </cell>
          <cell r="M260">
            <v>54.76</v>
          </cell>
          <cell r="N260">
            <v>2014</v>
          </cell>
          <cell r="O260">
            <v>59</v>
          </cell>
          <cell r="P260">
            <v>46.7</v>
          </cell>
        </row>
        <row r="261">
          <cell r="B261" t="str">
            <v>University of California, Santa Barbara</v>
          </cell>
          <cell r="C261" t="str">
            <v>USA</v>
          </cell>
          <cell r="D261">
            <v>39</v>
          </cell>
          <cell r="E261">
            <v>124</v>
          </cell>
          <cell r="F261">
            <v>252</v>
          </cell>
          <cell r="G261">
            <v>28</v>
          </cell>
          <cell r="H261">
            <v>105</v>
          </cell>
          <cell r="I261">
            <v>53</v>
          </cell>
          <cell r="J261">
            <v>48</v>
          </cell>
          <cell r="K261">
            <v>56</v>
          </cell>
          <cell r="L261">
            <v>68</v>
          </cell>
          <cell r="M261">
            <v>54.76</v>
          </cell>
          <cell r="N261">
            <v>2014</v>
          </cell>
          <cell r="O261">
            <v>60</v>
          </cell>
          <cell r="P261">
            <v>56.6</v>
          </cell>
        </row>
        <row r="262">
          <cell r="B262" t="str">
            <v>University of British Columbia</v>
          </cell>
          <cell r="C262" t="str">
            <v>Canada</v>
          </cell>
          <cell r="D262">
            <v>3</v>
          </cell>
          <cell r="E262">
            <v>85</v>
          </cell>
          <cell r="F262">
            <v>298</v>
          </cell>
          <cell r="G262">
            <v>92</v>
          </cell>
          <cell r="H262">
            <v>26</v>
          </cell>
          <cell r="I262">
            <v>34</v>
          </cell>
          <cell r="J262">
            <v>36</v>
          </cell>
          <cell r="K262">
            <v>41</v>
          </cell>
          <cell r="L262">
            <v>78</v>
          </cell>
          <cell r="M262">
            <v>54.75</v>
          </cell>
          <cell r="N262">
            <v>2014</v>
          </cell>
          <cell r="O262">
            <v>61</v>
          </cell>
          <cell r="P262">
            <v>65.099999999999994</v>
          </cell>
        </row>
        <row r="263">
          <cell r="B263" t="str">
            <v>University of Utah</v>
          </cell>
          <cell r="C263" t="str">
            <v>USA</v>
          </cell>
          <cell r="D263">
            <v>40</v>
          </cell>
          <cell r="E263">
            <v>88</v>
          </cell>
          <cell r="F263">
            <v>91</v>
          </cell>
          <cell r="G263">
            <v>45</v>
          </cell>
          <cell r="H263">
            <v>99</v>
          </cell>
          <cell r="I263">
            <v>62</v>
          </cell>
          <cell r="J263">
            <v>114</v>
          </cell>
          <cell r="K263">
            <v>94</v>
          </cell>
          <cell r="L263">
            <v>22</v>
          </cell>
          <cell r="M263">
            <v>54.67</v>
          </cell>
          <cell r="N263">
            <v>2014</v>
          </cell>
          <cell r="O263">
            <v>62</v>
          </cell>
          <cell r="P263">
            <v>55.8</v>
          </cell>
        </row>
        <row r="264">
          <cell r="B264" t="str">
            <v>University of Colorado Boulder</v>
          </cell>
          <cell r="C264" t="str">
            <v>USA</v>
          </cell>
          <cell r="D264">
            <v>41</v>
          </cell>
          <cell r="E264">
            <v>75</v>
          </cell>
          <cell r="F264">
            <v>56</v>
          </cell>
          <cell r="G264">
            <v>41</v>
          </cell>
          <cell r="H264">
            <v>97</v>
          </cell>
          <cell r="I264">
            <v>35</v>
          </cell>
          <cell r="J264">
            <v>75</v>
          </cell>
          <cell r="K264">
            <v>77</v>
          </cell>
          <cell r="L264">
            <v>128</v>
          </cell>
          <cell r="M264">
            <v>54.5</v>
          </cell>
          <cell r="N264">
            <v>2014</v>
          </cell>
          <cell r="O264">
            <v>63</v>
          </cell>
          <cell r="P264">
            <v>46.4</v>
          </cell>
        </row>
        <row r="265">
          <cell r="B265" t="str">
            <v>University of Notre Dame</v>
          </cell>
          <cell r="C265" t="str">
            <v>USA</v>
          </cell>
          <cell r="D265">
            <v>42</v>
          </cell>
          <cell r="E265">
            <v>197</v>
          </cell>
          <cell r="F265">
            <v>20</v>
          </cell>
          <cell r="G265">
            <v>150</v>
          </cell>
          <cell r="H265">
            <v>241</v>
          </cell>
          <cell r="I265">
            <v>230</v>
          </cell>
          <cell r="J265">
            <v>159</v>
          </cell>
          <cell r="K265">
            <v>238</v>
          </cell>
          <cell r="L265">
            <v>307</v>
          </cell>
          <cell r="M265">
            <v>54.25</v>
          </cell>
          <cell r="N265">
            <v>2014</v>
          </cell>
          <cell r="O265">
            <v>64</v>
          </cell>
          <cell r="P265">
            <v>56.4</v>
          </cell>
        </row>
        <row r="266">
          <cell r="B266" t="str">
            <v>National Taiwan University</v>
          </cell>
          <cell r="C266" t="str">
            <v>Taiwan</v>
          </cell>
          <cell r="D266">
            <v>1</v>
          </cell>
          <cell r="E266">
            <v>113</v>
          </cell>
          <cell r="F266">
            <v>24</v>
          </cell>
          <cell r="G266">
            <v>210</v>
          </cell>
          <cell r="H266">
            <v>46</v>
          </cell>
          <cell r="I266">
            <v>216</v>
          </cell>
          <cell r="J266">
            <v>283</v>
          </cell>
          <cell r="K266">
            <v>215</v>
          </cell>
          <cell r="L266">
            <v>637</v>
          </cell>
          <cell r="M266">
            <v>54.19</v>
          </cell>
          <cell r="N266">
            <v>2014</v>
          </cell>
          <cell r="O266">
            <v>65</v>
          </cell>
          <cell r="P266">
            <v>50.3</v>
          </cell>
        </row>
        <row r="267">
          <cell r="B267" t="str">
            <v>University of Texas Southwestern Medical Center</v>
          </cell>
          <cell r="C267" t="str">
            <v>USA</v>
          </cell>
          <cell r="D267">
            <v>43</v>
          </cell>
          <cell r="E267">
            <v>50</v>
          </cell>
          <cell r="F267">
            <v>478</v>
          </cell>
          <cell r="G267">
            <v>29</v>
          </cell>
          <cell r="H267">
            <v>127</v>
          </cell>
          <cell r="I267">
            <v>30</v>
          </cell>
          <cell r="J267">
            <v>81</v>
          </cell>
          <cell r="K267">
            <v>34</v>
          </cell>
          <cell r="L267">
            <v>181</v>
          </cell>
          <cell r="M267">
            <v>54.07</v>
          </cell>
          <cell r="N267">
            <v>2014</v>
          </cell>
          <cell r="O267">
            <v>66</v>
          </cell>
          <cell r="P267" t="e">
            <v>#N/A</v>
          </cell>
        </row>
        <row r="268">
          <cell r="B268" t="str">
            <v>Boston University</v>
          </cell>
          <cell r="C268" t="str">
            <v>USA</v>
          </cell>
          <cell r="D268">
            <v>44</v>
          </cell>
          <cell r="E268">
            <v>291</v>
          </cell>
          <cell r="F268">
            <v>47</v>
          </cell>
          <cell r="G268">
            <v>84</v>
          </cell>
          <cell r="H268">
            <v>60</v>
          </cell>
          <cell r="I268">
            <v>46</v>
          </cell>
          <cell r="J268">
            <v>43</v>
          </cell>
          <cell r="K268">
            <v>37</v>
          </cell>
          <cell r="L268">
            <v>227</v>
          </cell>
          <cell r="M268">
            <v>53.96</v>
          </cell>
          <cell r="N268">
            <v>2014</v>
          </cell>
          <cell r="O268">
            <v>67</v>
          </cell>
          <cell r="P268">
            <v>53.6</v>
          </cell>
        </row>
        <row r="269">
          <cell r="B269" t="str">
            <v>Pierre-and-Marie-Curie University</v>
          </cell>
          <cell r="C269" t="str">
            <v>France</v>
          </cell>
          <cell r="D269">
            <v>4</v>
          </cell>
          <cell r="E269">
            <v>36</v>
          </cell>
          <cell r="F269">
            <v>431</v>
          </cell>
          <cell r="G269">
            <v>86</v>
          </cell>
          <cell r="H269">
            <v>31</v>
          </cell>
          <cell r="I269">
            <v>39</v>
          </cell>
          <cell r="J269">
            <v>99</v>
          </cell>
          <cell r="K269">
            <v>66</v>
          </cell>
          <cell r="L269">
            <v>100</v>
          </cell>
          <cell r="M269">
            <v>53.91</v>
          </cell>
          <cell r="N269">
            <v>2014</v>
          </cell>
          <cell r="O269">
            <v>68</v>
          </cell>
          <cell r="P269" t="e">
            <v>#N/A</v>
          </cell>
        </row>
        <row r="270">
          <cell r="B270" t="str">
            <v>University of Manchester</v>
          </cell>
          <cell r="C270" t="str">
            <v>United Kingdom</v>
          </cell>
          <cell r="D270">
            <v>6</v>
          </cell>
          <cell r="E270">
            <v>98</v>
          </cell>
          <cell r="F270">
            <v>73</v>
          </cell>
          <cell r="G270">
            <v>74</v>
          </cell>
          <cell r="H270">
            <v>41</v>
          </cell>
          <cell r="I270">
            <v>68</v>
          </cell>
          <cell r="J270">
            <v>43</v>
          </cell>
          <cell r="K270">
            <v>59</v>
          </cell>
          <cell r="L270">
            <v>94</v>
          </cell>
          <cell r="M270">
            <v>53.9</v>
          </cell>
          <cell r="N270">
            <v>2014</v>
          </cell>
          <cell r="O270">
            <v>69</v>
          </cell>
          <cell r="P270">
            <v>56.5</v>
          </cell>
        </row>
        <row r="271">
          <cell r="B271" t="str">
            <v>University of Arizona</v>
          </cell>
          <cell r="C271" t="str">
            <v>USA</v>
          </cell>
          <cell r="D271">
            <v>45</v>
          </cell>
          <cell r="E271">
            <v>99</v>
          </cell>
          <cell r="F271">
            <v>62</v>
          </cell>
          <cell r="G271">
            <v>87</v>
          </cell>
          <cell r="H271">
            <v>67</v>
          </cell>
          <cell r="I271">
            <v>33</v>
          </cell>
          <cell r="J271">
            <v>37</v>
          </cell>
          <cell r="K271">
            <v>46</v>
          </cell>
          <cell r="L271">
            <v>307</v>
          </cell>
          <cell r="M271">
            <v>53.77</v>
          </cell>
          <cell r="N271">
            <v>2014</v>
          </cell>
          <cell r="O271">
            <v>70</v>
          </cell>
          <cell r="P271">
            <v>52.4</v>
          </cell>
        </row>
        <row r="272">
          <cell r="B272" t="str">
            <v>Vanderbilt University</v>
          </cell>
          <cell r="C272" t="str">
            <v>USA</v>
          </cell>
          <cell r="D272">
            <v>46</v>
          </cell>
          <cell r="E272">
            <v>108</v>
          </cell>
          <cell r="F272">
            <v>90</v>
          </cell>
          <cell r="G272">
            <v>113</v>
          </cell>
          <cell r="H272">
            <v>58</v>
          </cell>
          <cell r="I272">
            <v>57</v>
          </cell>
          <cell r="J272">
            <v>52</v>
          </cell>
          <cell r="K272">
            <v>40</v>
          </cell>
          <cell r="L272">
            <v>51</v>
          </cell>
          <cell r="M272">
            <v>53.69</v>
          </cell>
          <cell r="N272">
            <v>2014</v>
          </cell>
          <cell r="O272">
            <v>71</v>
          </cell>
          <cell r="P272">
            <v>64.900000000000006</v>
          </cell>
        </row>
        <row r="273">
          <cell r="B273" t="str">
            <v>Tohoku University</v>
          </cell>
          <cell r="C273" t="str">
            <v>Japan</v>
          </cell>
          <cell r="D273">
            <v>6</v>
          </cell>
          <cell r="E273">
            <v>40</v>
          </cell>
          <cell r="F273">
            <v>241</v>
          </cell>
          <cell r="G273">
            <v>210</v>
          </cell>
          <cell r="H273">
            <v>56</v>
          </cell>
          <cell r="I273">
            <v>112</v>
          </cell>
          <cell r="J273">
            <v>107</v>
          </cell>
          <cell r="K273">
            <v>112</v>
          </cell>
          <cell r="L273">
            <v>21</v>
          </cell>
          <cell r="M273">
            <v>53.65</v>
          </cell>
          <cell r="N273">
            <v>2014</v>
          </cell>
          <cell r="O273">
            <v>72</v>
          </cell>
          <cell r="P273">
            <v>60.3</v>
          </cell>
        </row>
        <row r="274">
          <cell r="B274" t="str">
            <v>Karolinska Institute</v>
          </cell>
          <cell r="C274" t="str">
            <v>Sweden</v>
          </cell>
          <cell r="D274">
            <v>1</v>
          </cell>
          <cell r="E274">
            <v>126</v>
          </cell>
          <cell r="F274">
            <v>478</v>
          </cell>
          <cell r="G274">
            <v>37</v>
          </cell>
          <cell r="H274">
            <v>55</v>
          </cell>
          <cell r="I274">
            <v>61</v>
          </cell>
          <cell r="J274">
            <v>38</v>
          </cell>
          <cell r="K274">
            <v>36</v>
          </cell>
          <cell r="L274">
            <v>737</v>
          </cell>
          <cell r="M274">
            <v>53.64</v>
          </cell>
          <cell r="N274">
            <v>2014</v>
          </cell>
          <cell r="O274">
            <v>73</v>
          </cell>
          <cell r="P274">
            <v>65.8</v>
          </cell>
        </row>
        <row r="275">
          <cell r="B275" t="str">
            <v>National University of Singapore</v>
          </cell>
          <cell r="C275" t="str">
            <v>Singapore</v>
          </cell>
          <cell r="D275">
            <v>1</v>
          </cell>
          <cell r="E275">
            <v>355</v>
          </cell>
          <cell r="F275">
            <v>99</v>
          </cell>
          <cell r="G275">
            <v>210</v>
          </cell>
          <cell r="H275">
            <v>37</v>
          </cell>
          <cell r="I275">
            <v>136</v>
          </cell>
          <cell r="J275">
            <v>114</v>
          </cell>
          <cell r="K275">
            <v>102</v>
          </cell>
          <cell r="L275">
            <v>23</v>
          </cell>
          <cell r="M275">
            <v>53.52</v>
          </cell>
          <cell r="N275">
            <v>2014</v>
          </cell>
          <cell r="O275">
            <v>74</v>
          </cell>
          <cell r="P275">
            <v>65.5</v>
          </cell>
        </row>
        <row r="276">
          <cell r="B276" t="str">
            <v>University of Geneva</v>
          </cell>
          <cell r="C276" t="str">
            <v>Switzerland</v>
          </cell>
          <cell r="D276">
            <v>2</v>
          </cell>
          <cell r="E276">
            <v>48</v>
          </cell>
          <cell r="F276">
            <v>151</v>
          </cell>
          <cell r="G276">
            <v>30</v>
          </cell>
          <cell r="H276">
            <v>121</v>
          </cell>
          <cell r="I276">
            <v>75</v>
          </cell>
          <cell r="J276">
            <v>99</v>
          </cell>
          <cell r="K276">
            <v>79</v>
          </cell>
          <cell r="L276">
            <v>194</v>
          </cell>
          <cell r="M276">
            <v>53.5</v>
          </cell>
          <cell r="N276">
            <v>2014</v>
          </cell>
          <cell r="O276">
            <v>75</v>
          </cell>
          <cell r="P276">
            <v>46.6</v>
          </cell>
        </row>
        <row r="277">
          <cell r="B277" t="str">
            <v>University of Maryland, College Park</v>
          </cell>
          <cell r="C277" t="str">
            <v>USA</v>
          </cell>
          <cell r="D277">
            <v>47</v>
          </cell>
          <cell r="E277">
            <v>63</v>
          </cell>
          <cell r="F277">
            <v>198</v>
          </cell>
          <cell r="G277">
            <v>51</v>
          </cell>
          <cell r="H277">
            <v>57</v>
          </cell>
          <cell r="I277">
            <v>49</v>
          </cell>
          <cell r="J277">
            <v>38</v>
          </cell>
          <cell r="K277">
            <v>73</v>
          </cell>
          <cell r="L277">
            <v>338</v>
          </cell>
          <cell r="M277">
            <v>53.46</v>
          </cell>
          <cell r="N277">
            <v>2014</v>
          </cell>
          <cell r="O277">
            <v>76</v>
          </cell>
          <cell r="P277">
            <v>45.4</v>
          </cell>
        </row>
        <row r="278">
          <cell r="B278" t="str">
            <v>University of Rochester</v>
          </cell>
          <cell r="C278" t="str">
            <v>USA</v>
          </cell>
          <cell r="D278">
            <v>48</v>
          </cell>
          <cell r="E278">
            <v>60</v>
          </cell>
          <cell r="F278">
            <v>50</v>
          </cell>
          <cell r="G278">
            <v>116</v>
          </cell>
          <cell r="H278">
            <v>112</v>
          </cell>
          <cell r="I278">
            <v>104</v>
          </cell>
          <cell r="J278">
            <v>69</v>
          </cell>
          <cell r="K278">
            <v>70</v>
          </cell>
          <cell r="L278">
            <v>76</v>
          </cell>
          <cell r="M278">
            <v>53.06</v>
          </cell>
          <cell r="N278">
            <v>2014</v>
          </cell>
          <cell r="O278">
            <v>77</v>
          </cell>
          <cell r="P278">
            <v>47</v>
          </cell>
        </row>
        <row r="279">
          <cell r="B279" t="str">
            <v>Emory University</v>
          </cell>
          <cell r="C279" t="str">
            <v>USA</v>
          </cell>
          <cell r="D279">
            <v>49</v>
          </cell>
          <cell r="E279">
            <v>355</v>
          </cell>
          <cell r="F279">
            <v>97</v>
          </cell>
          <cell r="G279">
            <v>210</v>
          </cell>
          <cell r="H279">
            <v>66</v>
          </cell>
          <cell r="I279">
            <v>65</v>
          </cell>
          <cell r="J279">
            <v>73</v>
          </cell>
          <cell r="K279">
            <v>37</v>
          </cell>
          <cell r="L279">
            <v>45</v>
          </cell>
          <cell r="M279">
            <v>53.01</v>
          </cell>
          <cell r="N279">
            <v>2014</v>
          </cell>
          <cell r="O279">
            <v>78</v>
          </cell>
          <cell r="P279">
            <v>63.4</v>
          </cell>
        </row>
        <row r="280">
          <cell r="B280" t="str">
            <v>University of Copenhagen</v>
          </cell>
          <cell r="C280" t="str">
            <v>Denmark</v>
          </cell>
          <cell r="D280">
            <v>1</v>
          </cell>
          <cell r="E280">
            <v>111</v>
          </cell>
          <cell r="F280">
            <v>143</v>
          </cell>
          <cell r="G280">
            <v>63</v>
          </cell>
          <cell r="H280">
            <v>44</v>
          </cell>
          <cell r="I280">
            <v>44</v>
          </cell>
          <cell r="J280">
            <v>61</v>
          </cell>
          <cell r="K280">
            <v>34</v>
          </cell>
          <cell r="L280">
            <v>481</v>
          </cell>
          <cell r="M280">
            <v>52.94</v>
          </cell>
          <cell r="N280">
            <v>2014</v>
          </cell>
          <cell r="O280">
            <v>79</v>
          </cell>
          <cell r="P280">
            <v>44.1</v>
          </cell>
        </row>
        <row r="281">
          <cell r="B281" t="str">
            <v>University of California, Irvine</v>
          </cell>
          <cell r="C281" t="str">
            <v>USA</v>
          </cell>
          <cell r="D281">
            <v>50</v>
          </cell>
          <cell r="E281">
            <v>217</v>
          </cell>
          <cell r="F281">
            <v>478</v>
          </cell>
          <cell r="G281">
            <v>42</v>
          </cell>
          <cell r="H281">
            <v>76</v>
          </cell>
          <cell r="I281">
            <v>48</v>
          </cell>
          <cell r="J281">
            <v>48</v>
          </cell>
          <cell r="K281">
            <v>51</v>
          </cell>
          <cell r="L281">
            <v>138</v>
          </cell>
          <cell r="M281">
            <v>52.93</v>
          </cell>
          <cell r="N281">
            <v>2014</v>
          </cell>
          <cell r="O281">
            <v>80</v>
          </cell>
          <cell r="P281">
            <v>49.4</v>
          </cell>
        </row>
        <row r="282">
          <cell r="B282" t="str">
            <v>Brown University</v>
          </cell>
          <cell r="C282" t="str">
            <v>USA</v>
          </cell>
          <cell r="D282">
            <v>51</v>
          </cell>
          <cell r="E282">
            <v>56</v>
          </cell>
          <cell r="F282">
            <v>46</v>
          </cell>
          <cell r="G282">
            <v>67</v>
          </cell>
          <cell r="H282">
            <v>123</v>
          </cell>
          <cell r="I282">
            <v>66</v>
          </cell>
          <cell r="J282">
            <v>55</v>
          </cell>
          <cell r="K282">
            <v>97</v>
          </cell>
          <cell r="L282">
            <v>170</v>
          </cell>
          <cell r="M282">
            <v>52.92</v>
          </cell>
          <cell r="N282">
            <v>2014</v>
          </cell>
          <cell r="O282">
            <v>81</v>
          </cell>
          <cell r="P282">
            <v>59.7</v>
          </cell>
        </row>
        <row r="283">
          <cell r="B283" t="str">
            <v>Ludwig Maximilian University of Munich</v>
          </cell>
          <cell r="C283" t="str">
            <v>Germany</v>
          </cell>
          <cell r="D283">
            <v>1</v>
          </cell>
          <cell r="E283">
            <v>43</v>
          </cell>
          <cell r="F283">
            <v>156</v>
          </cell>
          <cell r="G283">
            <v>91</v>
          </cell>
          <cell r="H283">
            <v>64</v>
          </cell>
          <cell r="I283">
            <v>56</v>
          </cell>
          <cell r="J283">
            <v>69</v>
          </cell>
          <cell r="K283">
            <v>48</v>
          </cell>
          <cell r="L283">
            <v>181</v>
          </cell>
          <cell r="M283">
            <v>52.75</v>
          </cell>
          <cell r="N283">
            <v>2014</v>
          </cell>
          <cell r="O283">
            <v>82</v>
          </cell>
          <cell r="P283" t="e">
            <v>#N/A</v>
          </cell>
        </row>
        <row r="284">
          <cell r="B284" t="str">
            <v>Georgia Institute of Technology</v>
          </cell>
          <cell r="C284" t="str">
            <v>USA</v>
          </cell>
          <cell r="D284">
            <v>52</v>
          </cell>
          <cell r="E284">
            <v>123</v>
          </cell>
          <cell r="F284">
            <v>77</v>
          </cell>
          <cell r="G284">
            <v>210</v>
          </cell>
          <cell r="H284">
            <v>104</v>
          </cell>
          <cell r="I284">
            <v>154</v>
          </cell>
          <cell r="J284">
            <v>79</v>
          </cell>
          <cell r="K284">
            <v>101</v>
          </cell>
          <cell r="L284">
            <v>24</v>
          </cell>
          <cell r="M284">
            <v>52.74</v>
          </cell>
          <cell r="N284">
            <v>2014</v>
          </cell>
          <cell r="O284">
            <v>83</v>
          </cell>
          <cell r="P284">
            <v>67.900000000000006</v>
          </cell>
        </row>
        <row r="285">
          <cell r="B285" t="str">
            <v>Tufts University</v>
          </cell>
          <cell r="C285" t="str">
            <v>USA</v>
          </cell>
          <cell r="D285">
            <v>53</v>
          </cell>
          <cell r="E285">
            <v>68</v>
          </cell>
          <cell r="F285">
            <v>43</v>
          </cell>
          <cell r="G285">
            <v>178</v>
          </cell>
          <cell r="H285">
            <v>164</v>
          </cell>
          <cell r="I285">
            <v>148</v>
          </cell>
          <cell r="J285">
            <v>79</v>
          </cell>
          <cell r="K285">
            <v>81</v>
          </cell>
          <cell r="L285">
            <v>84</v>
          </cell>
          <cell r="M285">
            <v>52.71</v>
          </cell>
          <cell r="N285">
            <v>2014</v>
          </cell>
          <cell r="O285">
            <v>84</v>
          </cell>
          <cell r="P285">
            <v>64.099999999999994</v>
          </cell>
        </row>
        <row r="286">
          <cell r="B286" t="str">
            <v>University of Zurich</v>
          </cell>
          <cell r="C286" t="str">
            <v>Switzerland</v>
          </cell>
          <cell r="D286">
            <v>3</v>
          </cell>
          <cell r="E286">
            <v>110</v>
          </cell>
          <cell r="F286">
            <v>404</v>
          </cell>
          <cell r="G286">
            <v>82</v>
          </cell>
          <cell r="H286">
            <v>47</v>
          </cell>
          <cell r="I286">
            <v>43</v>
          </cell>
          <cell r="J286">
            <v>55</v>
          </cell>
          <cell r="K286">
            <v>56</v>
          </cell>
          <cell r="L286">
            <v>94</v>
          </cell>
          <cell r="M286">
            <v>52.69</v>
          </cell>
          <cell r="N286">
            <v>2014</v>
          </cell>
          <cell r="O286">
            <v>85</v>
          </cell>
          <cell r="P286">
            <v>56.6</v>
          </cell>
        </row>
        <row r="287">
          <cell r="B287" t="str">
            <v>Tel Aviv University</v>
          </cell>
          <cell r="C287" t="str">
            <v>Israel</v>
          </cell>
          <cell r="D287">
            <v>3</v>
          </cell>
          <cell r="E287">
            <v>74</v>
          </cell>
          <cell r="F287">
            <v>122</v>
          </cell>
          <cell r="G287">
            <v>56</v>
          </cell>
          <cell r="H287">
            <v>95</v>
          </cell>
          <cell r="I287">
            <v>116</v>
          </cell>
          <cell r="J287">
            <v>176</v>
          </cell>
          <cell r="K287">
            <v>151</v>
          </cell>
          <cell r="L287">
            <v>28</v>
          </cell>
          <cell r="M287">
            <v>52.63</v>
          </cell>
          <cell r="N287">
            <v>2014</v>
          </cell>
          <cell r="O287">
            <v>86</v>
          </cell>
          <cell r="P287">
            <v>47.3</v>
          </cell>
        </row>
        <row r="288">
          <cell r="B288" t="str">
            <v>Tsinghua University</v>
          </cell>
          <cell r="C288" t="str">
            <v>China</v>
          </cell>
          <cell r="D288">
            <v>2</v>
          </cell>
          <cell r="E288">
            <v>294</v>
          </cell>
          <cell r="F288">
            <v>63</v>
          </cell>
          <cell r="G288">
            <v>210</v>
          </cell>
          <cell r="H288">
            <v>79</v>
          </cell>
          <cell r="I288">
            <v>192</v>
          </cell>
          <cell r="J288">
            <v>134</v>
          </cell>
          <cell r="K288">
            <v>162</v>
          </cell>
          <cell r="L288">
            <v>16</v>
          </cell>
          <cell r="M288">
            <v>52.6</v>
          </cell>
          <cell r="N288">
            <v>2014</v>
          </cell>
          <cell r="O288">
            <v>87</v>
          </cell>
          <cell r="P288">
            <v>74.900000000000006</v>
          </cell>
        </row>
        <row r="289">
          <cell r="B289" t="str">
            <v>Utrecht University</v>
          </cell>
          <cell r="C289" t="str">
            <v>Netherlands</v>
          </cell>
          <cell r="D289">
            <v>1</v>
          </cell>
          <cell r="E289">
            <v>102</v>
          </cell>
          <cell r="F289">
            <v>181</v>
          </cell>
          <cell r="G289">
            <v>101</v>
          </cell>
          <cell r="H289">
            <v>40</v>
          </cell>
          <cell r="I289">
            <v>51</v>
          </cell>
          <cell r="J289">
            <v>55</v>
          </cell>
          <cell r="K289">
            <v>49</v>
          </cell>
          <cell r="L289">
            <v>338</v>
          </cell>
          <cell r="M289">
            <v>52.42</v>
          </cell>
          <cell r="N289">
            <v>2014</v>
          </cell>
          <cell r="O289">
            <v>88</v>
          </cell>
          <cell r="P289">
            <v>43.4</v>
          </cell>
        </row>
        <row r="290">
          <cell r="B290" t="str">
            <v>Ruprecht Karl University of Heidelberg</v>
          </cell>
          <cell r="C290" t="str">
            <v>Germany</v>
          </cell>
          <cell r="D290">
            <v>2</v>
          </cell>
          <cell r="E290">
            <v>57</v>
          </cell>
          <cell r="F290">
            <v>426</v>
          </cell>
          <cell r="G290">
            <v>58</v>
          </cell>
          <cell r="H290">
            <v>68</v>
          </cell>
          <cell r="I290">
            <v>67</v>
          </cell>
          <cell r="J290">
            <v>61</v>
          </cell>
          <cell r="K290">
            <v>54</v>
          </cell>
          <cell r="L290">
            <v>159</v>
          </cell>
          <cell r="M290">
            <v>52.4</v>
          </cell>
          <cell r="N290">
            <v>2014</v>
          </cell>
          <cell r="O290">
            <v>89</v>
          </cell>
          <cell r="P290" t="e">
            <v>#N/A</v>
          </cell>
        </row>
        <row r="291">
          <cell r="B291" t="str">
            <v>King's College London</v>
          </cell>
          <cell r="C291" t="str">
            <v>United Kingdom</v>
          </cell>
          <cell r="D291">
            <v>7</v>
          </cell>
          <cell r="E291">
            <v>28</v>
          </cell>
          <cell r="F291">
            <v>173</v>
          </cell>
          <cell r="G291">
            <v>114</v>
          </cell>
          <cell r="H291">
            <v>84</v>
          </cell>
          <cell r="I291">
            <v>132</v>
          </cell>
          <cell r="J291">
            <v>87</v>
          </cell>
          <cell r="K291">
            <v>77</v>
          </cell>
          <cell r="L291">
            <v>181</v>
          </cell>
          <cell r="M291">
            <v>52.31</v>
          </cell>
          <cell r="N291">
            <v>2014</v>
          </cell>
          <cell r="O291">
            <v>90</v>
          </cell>
          <cell r="P291" t="e">
            <v>#N/A</v>
          </cell>
        </row>
        <row r="292">
          <cell r="B292" t="str">
            <v>Sapienza University of Rome</v>
          </cell>
          <cell r="C292" t="str">
            <v>Italy</v>
          </cell>
          <cell r="D292">
            <v>1</v>
          </cell>
          <cell r="E292">
            <v>66</v>
          </cell>
          <cell r="F292">
            <v>178</v>
          </cell>
          <cell r="G292">
            <v>32</v>
          </cell>
          <cell r="H292">
            <v>78</v>
          </cell>
          <cell r="I292">
            <v>162</v>
          </cell>
          <cell r="J292">
            <v>250</v>
          </cell>
          <cell r="K292">
            <v>145</v>
          </cell>
          <cell r="L292">
            <v>373</v>
          </cell>
          <cell r="M292">
            <v>52.12</v>
          </cell>
          <cell r="N292">
            <v>2014</v>
          </cell>
          <cell r="O292">
            <v>91</v>
          </cell>
          <cell r="P292">
            <v>29.6</v>
          </cell>
        </row>
        <row r="293">
          <cell r="B293" t="str">
            <v>Kyushu University</v>
          </cell>
          <cell r="C293" t="str">
            <v>Japan</v>
          </cell>
          <cell r="D293">
            <v>7</v>
          </cell>
          <cell r="E293">
            <v>355</v>
          </cell>
          <cell r="F293">
            <v>41</v>
          </cell>
          <cell r="G293">
            <v>210</v>
          </cell>
          <cell r="H293">
            <v>135</v>
          </cell>
          <cell r="I293">
            <v>170</v>
          </cell>
          <cell r="J293">
            <v>283</v>
          </cell>
          <cell r="K293">
            <v>207</v>
          </cell>
          <cell r="L293">
            <v>27</v>
          </cell>
          <cell r="M293">
            <v>51.96</v>
          </cell>
          <cell r="N293">
            <v>2014</v>
          </cell>
          <cell r="O293">
            <v>92</v>
          </cell>
          <cell r="P293">
            <v>46.8</v>
          </cell>
        </row>
        <row r="294">
          <cell r="B294" t="str">
            <v>Swiss Federal Institute of Technology in Lausanne</v>
          </cell>
          <cell r="C294" t="str">
            <v>Switzerland</v>
          </cell>
          <cell r="D294">
            <v>4</v>
          </cell>
          <cell r="E294">
            <v>355</v>
          </cell>
          <cell r="F294">
            <v>130</v>
          </cell>
          <cell r="G294">
            <v>80</v>
          </cell>
          <cell r="H294">
            <v>126</v>
          </cell>
          <cell r="I294">
            <v>121</v>
          </cell>
          <cell r="J294">
            <v>48</v>
          </cell>
          <cell r="K294">
            <v>124</v>
          </cell>
          <cell r="L294">
            <v>41</v>
          </cell>
          <cell r="M294">
            <v>51.8</v>
          </cell>
          <cell r="N294">
            <v>2014</v>
          </cell>
          <cell r="O294">
            <v>93</v>
          </cell>
          <cell r="P294" t="e">
            <v>#N/A</v>
          </cell>
        </row>
        <row r="295">
          <cell r="B295" t="str">
            <v>Katholieke Universiteit Leuven</v>
          </cell>
          <cell r="C295" t="str">
            <v>Belgium</v>
          </cell>
          <cell r="D295">
            <v>1</v>
          </cell>
          <cell r="E295">
            <v>355</v>
          </cell>
          <cell r="F295">
            <v>225</v>
          </cell>
          <cell r="G295">
            <v>210</v>
          </cell>
          <cell r="H295">
            <v>53</v>
          </cell>
          <cell r="I295">
            <v>111</v>
          </cell>
          <cell r="J295">
            <v>75</v>
          </cell>
          <cell r="K295">
            <v>59</v>
          </cell>
          <cell r="L295">
            <v>64</v>
          </cell>
          <cell r="M295">
            <v>51.72</v>
          </cell>
          <cell r="N295">
            <v>2014</v>
          </cell>
          <cell r="O295">
            <v>94</v>
          </cell>
          <cell r="P295" t="e">
            <v>#N/A</v>
          </cell>
        </row>
        <row r="296">
          <cell r="B296" t="str">
            <v>University of Sydney</v>
          </cell>
          <cell r="C296" t="str">
            <v>Australia</v>
          </cell>
          <cell r="D296">
            <v>1</v>
          </cell>
          <cell r="E296">
            <v>127</v>
          </cell>
          <cell r="F296">
            <v>158</v>
          </cell>
          <cell r="G296">
            <v>162</v>
          </cell>
          <cell r="H296">
            <v>50</v>
          </cell>
          <cell r="I296">
            <v>117</v>
          </cell>
          <cell r="J296">
            <v>61</v>
          </cell>
          <cell r="K296">
            <v>94</v>
          </cell>
          <cell r="L296">
            <v>100</v>
          </cell>
          <cell r="M296">
            <v>51.58</v>
          </cell>
          <cell r="N296">
            <v>2014</v>
          </cell>
          <cell r="O296">
            <v>95</v>
          </cell>
          <cell r="P296">
            <v>49.8</v>
          </cell>
        </row>
        <row r="297">
          <cell r="B297" t="str">
            <v>Tokyo Institute of Technology</v>
          </cell>
          <cell r="C297" t="str">
            <v>Japan</v>
          </cell>
          <cell r="D297">
            <v>8</v>
          </cell>
          <cell r="E297">
            <v>208</v>
          </cell>
          <cell r="F297">
            <v>48</v>
          </cell>
          <cell r="G297">
            <v>119</v>
          </cell>
          <cell r="H297">
            <v>150</v>
          </cell>
          <cell r="I297">
            <v>157</v>
          </cell>
          <cell r="J297">
            <v>87</v>
          </cell>
          <cell r="K297">
            <v>180</v>
          </cell>
          <cell r="L297">
            <v>44</v>
          </cell>
          <cell r="M297">
            <v>51.53</v>
          </cell>
          <cell r="N297">
            <v>2014</v>
          </cell>
          <cell r="O297">
            <v>96</v>
          </cell>
          <cell r="P297">
            <v>62.9</v>
          </cell>
        </row>
        <row r="298">
          <cell r="B298" t="str">
            <v>University of Melbourne</v>
          </cell>
          <cell r="C298" t="str">
            <v>Australia</v>
          </cell>
          <cell r="D298">
            <v>2</v>
          </cell>
          <cell r="E298">
            <v>136</v>
          </cell>
          <cell r="F298">
            <v>101</v>
          </cell>
          <cell r="G298">
            <v>210</v>
          </cell>
          <cell r="H298">
            <v>45</v>
          </cell>
          <cell r="I298">
            <v>74</v>
          </cell>
          <cell r="J298">
            <v>87</v>
          </cell>
          <cell r="K298">
            <v>81</v>
          </cell>
          <cell r="L298">
            <v>194</v>
          </cell>
          <cell r="M298">
            <v>51.43</v>
          </cell>
          <cell r="N298">
            <v>2014</v>
          </cell>
          <cell r="O298">
            <v>97</v>
          </cell>
          <cell r="P298">
            <v>58.7</v>
          </cell>
        </row>
        <row r="299">
          <cell r="B299" t="str">
            <v>University of Bonn</v>
          </cell>
          <cell r="C299" t="str">
            <v>Germany</v>
          </cell>
          <cell r="D299">
            <v>3</v>
          </cell>
          <cell r="E299">
            <v>23</v>
          </cell>
          <cell r="F299">
            <v>275</v>
          </cell>
          <cell r="G299">
            <v>70</v>
          </cell>
          <cell r="H299">
            <v>156</v>
          </cell>
          <cell r="I299">
            <v>125</v>
          </cell>
          <cell r="J299">
            <v>187</v>
          </cell>
          <cell r="K299">
            <v>145</v>
          </cell>
          <cell r="L299">
            <v>227</v>
          </cell>
          <cell r="M299">
            <v>51.37</v>
          </cell>
          <cell r="N299">
            <v>2014</v>
          </cell>
          <cell r="O299">
            <v>98</v>
          </cell>
          <cell r="P299">
            <v>46.8</v>
          </cell>
        </row>
        <row r="300">
          <cell r="B300" t="str">
            <v>Technical University of Munich</v>
          </cell>
          <cell r="C300" t="str">
            <v>Germany</v>
          </cell>
          <cell r="D300">
            <v>4</v>
          </cell>
          <cell r="E300">
            <v>38</v>
          </cell>
          <cell r="F300">
            <v>138</v>
          </cell>
          <cell r="G300">
            <v>173</v>
          </cell>
          <cell r="H300">
            <v>106</v>
          </cell>
          <cell r="I300">
            <v>92</v>
          </cell>
          <cell r="J300">
            <v>187</v>
          </cell>
          <cell r="K300">
            <v>97</v>
          </cell>
          <cell r="L300">
            <v>100</v>
          </cell>
          <cell r="M300">
            <v>51.34</v>
          </cell>
          <cell r="N300">
            <v>2014</v>
          </cell>
          <cell r="O300">
            <v>99</v>
          </cell>
          <cell r="P300">
            <v>50.4</v>
          </cell>
        </row>
        <row r="301">
          <cell r="B301" t="str">
            <v>Royal Institute of Technology</v>
          </cell>
          <cell r="C301" t="str">
            <v>Sweden</v>
          </cell>
          <cell r="D301">
            <v>2</v>
          </cell>
          <cell r="E301">
            <v>185</v>
          </cell>
          <cell r="F301">
            <v>26</v>
          </cell>
          <cell r="G301">
            <v>106</v>
          </cell>
          <cell r="H301">
            <v>223</v>
          </cell>
          <cell r="I301">
            <v>312</v>
          </cell>
          <cell r="J301">
            <v>310</v>
          </cell>
          <cell r="K301">
            <v>326</v>
          </cell>
          <cell r="L301">
            <v>637</v>
          </cell>
          <cell r="M301">
            <v>51.34</v>
          </cell>
          <cell r="N301">
            <v>2014</v>
          </cell>
          <cell r="O301">
            <v>100</v>
          </cell>
          <cell r="P301" t="e">
            <v>#N/A</v>
          </cell>
        </row>
        <row r="302">
          <cell r="B302" t="str">
            <v>Erasmus University Rotterdam</v>
          </cell>
          <cell r="C302" t="str">
            <v>Netherlands</v>
          </cell>
          <cell r="D302">
            <v>2</v>
          </cell>
          <cell r="E302">
            <v>355</v>
          </cell>
          <cell r="F302">
            <v>66</v>
          </cell>
          <cell r="G302">
            <v>184</v>
          </cell>
          <cell r="H302">
            <v>88</v>
          </cell>
          <cell r="I302">
            <v>142</v>
          </cell>
          <cell r="J302">
            <v>75</v>
          </cell>
          <cell r="K302">
            <v>45</v>
          </cell>
          <cell r="L302">
            <v>227</v>
          </cell>
          <cell r="M302">
            <v>51.29</v>
          </cell>
          <cell r="N302">
            <v>2014</v>
          </cell>
          <cell r="O302">
            <v>101</v>
          </cell>
          <cell r="P302">
            <v>39.4</v>
          </cell>
        </row>
        <row r="303">
          <cell r="B303" t="str">
            <v>Case Western Reserve University</v>
          </cell>
          <cell r="C303" t="str">
            <v>USA</v>
          </cell>
          <cell r="D303">
            <v>54</v>
          </cell>
          <cell r="E303">
            <v>44</v>
          </cell>
          <cell r="F303">
            <v>208</v>
          </cell>
          <cell r="G303">
            <v>189</v>
          </cell>
          <cell r="H303">
            <v>134</v>
          </cell>
          <cell r="I303">
            <v>97</v>
          </cell>
          <cell r="J303">
            <v>60</v>
          </cell>
          <cell r="K303">
            <v>70</v>
          </cell>
          <cell r="L303">
            <v>100</v>
          </cell>
          <cell r="M303">
            <v>51.27</v>
          </cell>
          <cell r="N303">
            <v>2014</v>
          </cell>
          <cell r="O303">
            <v>102</v>
          </cell>
          <cell r="P303">
            <v>67.2</v>
          </cell>
        </row>
        <row r="304">
          <cell r="B304" t="str">
            <v>University of Alberta</v>
          </cell>
          <cell r="C304" t="str">
            <v>Canada</v>
          </cell>
          <cell r="D304">
            <v>4</v>
          </cell>
          <cell r="E304">
            <v>163</v>
          </cell>
          <cell r="F304">
            <v>144</v>
          </cell>
          <cell r="G304">
            <v>148</v>
          </cell>
          <cell r="H304">
            <v>61</v>
          </cell>
          <cell r="I304">
            <v>105</v>
          </cell>
          <cell r="J304">
            <v>81</v>
          </cell>
          <cell r="K304">
            <v>99</v>
          </cell>
          <cell r="L304">
            <v>84</v>
          </cell>
          <cell r="M304">
            <v>51.23</v>
          </cell>
          <cell r="N304">
            <v>2014</v>
          </cell>
          <cell r="O304">
            <v>103</v>
          </cell>
          <cell r="P304">
            <v>53.7</v>
          </cell>
        </row>
        <row r="305">
          <cell r="B305" t="str">
            <v>University of Texas MD Anderson Cancer Center</v>
          </cell>
          <cell r="C305" t="str">
            <v>USA</v>
          </cell>
          <cell r="D305">
            <v>55</v>
          </cell>
          <cell r="E305">
            <v>355</v>
          </cell>
          <cell r="F305">
            <v>478</v>
          </cell>
          <cell r="G305">
            <v>136</v>
          </cell>
          <cell r="H305">
            <v>92</v>
          </cell>
          <cell r="I305">
            <v>76</v>
          </cell>
          <cell r="J305">
            <v>61</v>
          </cell>
          <cell r="K305">
            <v>30</v>
          </cell>
          <cell r="L305">
            <v>78</v>
          </cell>
          <cell r="M305">
            <v>51.19</v>
          </cell>
          <cell r="N305">
            <v>2014</v>
          </cell>
          <cell r="O305">
            <v>104</v>
          </cell>
          <cell r="P305" t="e">
            <v>#N/A</v>
          </cell>
        </row>
        <row r="306">
          <cell r="B306" t="str">
            <v>Texas A&amp;M University, College Station</v>
          </cell>
          <cell r="C306" t="str">
            <v>USA</v>
          </cell>
          <cell r="D306">
            <v>56</v>
          </cell>
          <cell r="E306">
            <v>328</v>
          </cell>
          <cell r="F306">
            <v>94</v>
          </cell>
          <cell r="G306">
            <v>53</v>
          </cell>
          <cell r="H306">
            <v>73</v>
          </cell>
          <cell r="I306">
            <v>90</v>
          </cell>
          <cell r="J306">
            <v>87</v>
          </cell>
          <cell r="K306">
            <v>137</v>
          </cell>
          <cell r="L306">
            <v>280</v>
          </cell>
          <cell r="M306">
            <v>51.18</v>
          </cell>
          <cell r="N306">
            <v>2014</v>
          </cell>
          <cell r="O306">
            <v>105</v>
          </cell>
          <cell r="P306" t="e">
            <v>#N/A</v>
          </cell>
        </row>
        <row r="307">
          <cell r="B307" t="str">
            <v>Arizona State University</v>
          </cell>
          <cell r="C307" t="str">
            <v>USA</v>
          </cell>
          <cell r="D307">
            <v>57</v>
          </cell>
          <cell r="E307">
            <v>355</v>
          </cell>
          <cell r="F307">
            <v>478</v>
          </cell>
          <cell r="G307">
            <v>72</v>
          </cell>
          <cell r="H307">
            <v>141</v>
          </cell>
          <cell r="I307">
            <v>79</v>
          </cell>
          <cell r="J307">
            <v>69</v>
          </cell>
          <cell r="K307">
            <v>145</v>
          </cell>
          <cell r="L307">
            <v>34</v>
          </cell>
          <cell r="M307">
            <v>51.14</v>
          </cell>
          <cell r="N307">
            <v>2014</v>
          </cell>
          <cell r="O307">
            <v>106</v>
          </cell>
          <cell r="P307">
            <v>43</v>
          </cell>
        </row>
        <row r="308">
          <cell r="B308" t="str">
            <v>Yonsei University</v>
          </cell>
          <cell r="C308" t="str">
            <v>South Korea</v>
          </cell>
          <cell r="D308">
            <v>2</v>
          </cell>
          <cell r="E308">
            <v>355</v>
          </cell>
          <cell r="F308">
            <v>61</v>
          </cell>
          <cell r="G308">
            <v>210</v>
          </cell>
          <cell r="H308">
            <v>143</v>
          </cell>
          <cell r="I308">
            <v>330</v>
          </cell>
          <cell r="J308">
            <v>250</v>
          </cell>
          <cell r="K308">
            <v>251</v>
          </cell>
          <cell r="L308">
            <v>15</v>
          </cell>
          <cell r="M308">
            <v>50.95</v>
          </cell>
          <cell r="N308">
            <v>2014</v>
          </cell>
          <cell r="O308">
            <v>107</v>
          </cell>
          <cell r="P308">
            <v>43</v>
          </cell>
        </row>
        <row r="309">
          <cell r="B309" t="str">
            <v>Rice University</v>
          </cell>
          <cell r="C309" t="str">
            <v>USA</v>
          </cell>
          <cell r="D309">
            <v>58</v>
          </cell>
          <cell r="E309">
            <v>54</v>
          </cell>
          <cell r="F309">
            <v>313</v>
          </cell>
          <cell r="G309">
            <v>94</v>
          </cell>
          <cell r="H309">
            <v>252</v>
          </cell>
          <cell r="I309">
            <v>144</v>
          </cell>
          <cell r="J309">
            <v>45</v>
          </cell>
          <cell r="K309">
            <v>121</v>
          </cell>
          <cell r="L309">
            <v>61</v>
          </cell>
          <cell r="M309">
            <v>50.94</v>
          </cell>
          <cell r="N309">
            <v>2014</v>
          </cell>
          <cell r="O309">
            <v>108</v>
          </cell>
          <cell r="P309">
            <v>57.4</v>
          </cell>
        </row>
        <row r="310">
          <cell r="B310" t="str">
            <v>Technion â€“ Israel Institute of Technology</v>
          </cell>
          <cell r="C310" t="str">
            <v>Israel</v>
          </cell>
          <cell r="D310">
            <v>4</v>
          </cell>
          <cell r="E310">
            <v>41</v>
          </cell>
          <cell r="F310">
            <v>221</v>
          </cell>
          <cell r="G310">
            <v>39</v>
          </cell>
          <cell r="H310">
            <v>180</v>
          </cell>
          <cell r="I310">
            <v>226</v>
          </cell>
          <cell r="J310">
            <v>187</v>
          </cell>
          <cell r="K310">
            <v>207</v>
          </cell>
          <cell r="L310">
            <v>100</v>
          </cell>
          <cell r="M310">
            <v>50.89</v>
          </cell>
          <cell r="N310">
            <v>2014</v>
          </cell>
          <cell r="O310">
            <v>109</v>
          </cell>
          <cell r="P310" t="e">
            <v>#N/A</v>
          </cell>
        </row>
        <row r="311">
          <cell r="B311" t="str">
            <v>University of Helsinki</v>
          </cell>
          <cell r="C311" t="str">
            <v>Finland</v>
          </cell>
          <cell r="D311">
            <v>1</v>
          </cell>
          <cell r="E311">
            <v>53</v>
          </cell>
          <cell r="F311">
            <v>478</v>
          </cell>
          <cell r="G311">
            <v>77</v>
          </cell>
          <cell r="H311">
            <v>80</v>
          </cell>
          <cell r="I311">
            <v>88</v>
          </cell>
          <cell r="J311">
            <v>99</v>
          </cell>
          <cell r="K311">
            <v>74</v>
          </cell>
          <cell r="L311">
            <v>481</v>
          </cell>
          <cell r="M311">
            <v>50.76</v>
          </cell>
          <cell r="N311">
            <v>2014</v>
          </cell>
          <cell r="O311">
            <v>110</v>
          </cell>
          <cell r="P311">
            <v>49</v>
          </cell>
        </row>
        <row r="312">
          <cell r="B312" t="str">
            <v>University of Oslo</v>
          </cell>
          <cell r="C312" t="str">
            <v>Norway</v>
          </cell>
          <cell r="D312">
            <v>1</v>
          </cell>
          <cell r="E312">
            <v>139</v>
          </cell>
          <cell r="F312">
            <v>266</v>
          </cell>
          <cell r="G312">
            <v>44</v>
          </cell>
          <cell r="H312">
            <v>108</v>
          </cell>
          <cell r="I312">
            <v>126</v>
          </cell>
          <cell r="J312">
            <v>130</v>
          </cell>
          <cell r="K312">
            <v>100</v>
          </cell>
          <cell r="L312">
            <v>373</v>
          </cell>
          <cell r="M312">
            <v>50.7</v>
          </cell>
          <cell r="N312">
            <v>2014</v>
          </cell>
          <cell r="O312">
            <v>111</v>
          </cell>
          <cell r="P312">
            <v>33.5</v>
          </cell>
        </row>
        <row r="313">
          <cell r="B313" t="str">
            <v>Michigan State University</v>
          </cell>
          <cell r="C313" t="str">
            <v>USA</v>
          </cell>
          <cell r="D313">
            <v>59</v>
          </cell>
          <cell r="E313">
            <v>112</v>
          </cell>
          <cell r="F313">
            <v>214</v>
          </cell>
          <cell r="G313">
            <v>210</v>
          </cell>
          <cell r="H313">
            <v>85</v>
          </cell>
          <cell r="I313">
            <v>115</v>
          </cell>
          <cell r="J313">
            <v>45</v>
          </cell>
          <cell r="K313">
            <v>106</v>
          </cell>
          <cell r="L313">
            <v>128</v>
          </cell>
          <cell r="M313">
            <v>50.69</v>
          </cell>
          <cell r="N313">
            <v>2014</v>
          </cell>
          <cell r="O313">
            <v>112</v>
          </cell>
          <cell r="P313">
            <v>50.4</v>
          </cell>
        </row>
        <row r="314">
          <cell r="B314" t="str">
            <v>Indiana University - Bloomington</v>
          </cell>
          <cell r="C314" t="str">
            <v>USA</v>
          </cell>
          <cell r="D314">
            <v>60</v>
          </cell>
          <cell r="E314">
            <v>211</v>
          </cell>
          <cell r="F314">
            <v>38</v>
          </cell>
          <cell r="G314">
            <v>175</v>
          </cell>
          <cell r="H314">
            <v>166</v>
          </cell>
          <cell r="I314">
            <v>769</v>
          </cell>
          <cell r="J314">
            <v>176</v>
          </cell>
          <cell r="K314">
            <v>195</v>
          </cell>
          <cell r="L314">
            <v>204</v>
          </cell>
          <cell r="M314">
            <v>50.53</v>
          </cell>
          <cell r="N314">
            <v>2014</v>
          </cell>
          <cell r="O314">
            <v>113</v>
          </cell>
          <cell r="P314" t="e">
            <v>#N/A</v>
          </cell>
        </row>
        <row r="315">
          <cell r="B315" t="str">
            <v>University of the Witwatersrand</v>
          </cell>
          <cell r="C315" t="str">
            <v>South Africa</v>
          </cell>
          <cell r="D315">
            <v>1</v>
          </cell>
          <cell r="E315">
            <v>79</v>
          </cell>
          <cell r="F315">
            <v>29</v>
          </cell>
          <cell r="G315">
            <v>169</v>
          </cell>
          <cell r="H315">
            <v>456</v>
          </cell>
          <cell r="I315">
            <v>241</v>
          </cell>
          <cell r="J315">
            <v>310</v>
          </cell>
          <cell r="K315">
            <v>472</v>
          </cell>
          <cell r="L315">
            <v>259</v>
          </cell>
          <cell r="M315">
            <v>50.4</v>
          </cell>
          <cell r="N315">
            <v>2014</v>
          </cell>
          <cell r="O315">
            <v>114</v>
          </cell>
          <cell r="P315">
            <v>25.6</v>
          </cell>
        </row>
        <row r="316">
          <cell r="B316" t="str">
            <v>University of Queensland</v>
          </cell>
          <cell r="C316" t="str">
            <v>Australia</v>
          </cell>
          <cell r="D316">
            <v>3</v>
          </cell>
          <cell r="E316">
            <v>265</v>
          </cell>
          <cell r="F316">
            <v>295</v>
          </cell>
          <cell r="G316">
            <v>134</v>
          </cell>
          <cell r="H316">
            <v>75</v>
          </cell>
          <cell r="I316">
            <v>96</v>
          </cell>
          <cell r="J316">
            <v>125</v>
          </cell>
          <cell r="K316">
            <v>102</v>
          </cell>
          <cell r="L316">
            <v>78</v>
          </cell>
          <cell r="M316">
            <v>50.37</v>
          </cell>
          <cell r="N316">
            <v>2014</v>
          </cell>
          <cell r="O316">
            <v>115</v>
          </cell>
          <cell r="P316" t="e">
            <v>#N/A</v>
          </cell>
        </row>
        <row r="317">
          <cell r="B317" t="str">
            <v>Lund University</v>
          </cell>
          <cell r="C317" t="str">
            <v>Sweden</v>
          </cell>
          <cell r="D317">
            <v>3</v>
          </cell>
          <cell r="E317">
            <v>132</v>
          </cell>
          <cell r="F317">
            <v>478</v>
          </cell>
          <cell r="G317">
            <v>165</v>
          </cell>
          <cell r="H317">
            <v>81</v>
          </cell>
          <cell r="I317">
            <v>133</v>
          </cell>
          <cell r="J317">
            <v>48</v>
          </cell>
          <cell r="K317">
            <v>70</v>
          </cell>
          <cell r="L317">
            <v>737</v>
          </cell>
          <cell r="M317">
            <v>50.34</v>
          </cell>
          <cell r="N317">
            <v>2014</v>
          </cell>
          <cell r="O317">
            <v>116</v>
          </cell>
          <cell r="P317">
            <v>46.3</v>
          </cell>
        </row>
        <row r="318">
          <cell r="B318" t="str">
            <v>Leiden University</v>
          </cell>
          <cell r="C318" t="str">
            <v>Netherlands</v>
          </cell>
          <cell r="D318">
            <v>3</v>
          </cell>
          <cell r="E318">
            <v>107</v>
          </cell>
          <cell r="F318">
            <v>478</v>
          </cell>
          <cell r="G318">
            <v>78</v>
          </cell>
          <cell r="H318">
            <v>82</v>
          </cell>
          <cell r="I318">
            <v>91</v>
          </cell>
          <cell r="J318">
            <v>114</v>
          </cell>
          <cell r="K318">
            <v>66</v>
          </cell>
          <cell r="L318">
            <v>227</v>
          </cell>
          <cell r="M318">
            <v>50.29</v>
          </cell>
          <cell r="N318">
            <v>2014</v>
          </cell>
          <cell r="O318">
            <v>117</v>
          </cell>
          <cell r="P318">
            <v>47.3</v>
          </cell>
        </row>
        <row r="319">
          <cell r="B319" t="str">
            <v>Georgetown University</v>
          </cell>
          <cell r="C319" t="str">
            <v>USA</v>
          </cell>
          <cell r="D319">
            <v>61</v>
          </cell>
          <cell r="E319">
            <v>146</v>
          </cell>
          <cell r="F319">
            <v>37</v>
          </cell>
          <cell r="G319">
            <v>210</v>
          </cell>
          <cell r="H319">
            <v>295</v>
          </cell>
          <cell r="I319">
            <v>323</v>
          </cell>
          <cell r="J319">
            <v>310</v>
          </cell>
          <cell r="K319">
            <v>211</v>
          </cell>
          <cell r="L319">
            <v>159</v>
          </cell>
          <cell r="M319">
            <v>50.28</v>
          </cell>
          <cell r="N319">
            <v>2014</v>
          </cell>
          <cell r="O319">
            <v>118</v>
          </cell>
          <cell r="P319">
            <v>65.099999999999994</v>
          </cell>
        </row>
        <row r="320">
          <cell r="B320" t="str">
            <v>Aarhus University</v>
          </cell>
          <cell r="C320" t="str">
            <v>Denmark</v>
          </cell>
          <cell r="D320">
            <v>2</v>
          </cell>
          <cell r="E320">
            <v>292</v>
          </cell>
          <cell r="F320">
            <v>188</v>
          </cell>
          <cell r="G320">
            <v>107</v>
          </cell>
          <cell r="H320">
            <v>90</v>
          </cell>
          <cell r="I320">
            <v>78</v>
          </cell>
          <cell r="J320">
            <v>81</v>
          </cell>
          <cell r="K320">
            <v>90</v>
          </cell>
          <cell r="L320">
            <v>194</v>
          </cell>
          <cell r="M320">
            <v>50.17</v>
          </cell>
          <cell r="N320">
            <v>2014</v>
          </cell>
          <cell r="O320">
            <v>119</v>
          </cell>
          <cell r="P320">
            <v>38.1</v>
          </cell>
        </row>
        <row r="321">
          <cell r="B321" t="str">
            <v>University of Barcelona</v>
          </cell>
          <cell r="C321" t="str">
            <v>Spain</v>
          </cell>
          <cell r="D321">
            <v>1</v>
          </cell>
          <cell r="E321">
            <v>355</v>
          </cell>
          <cell r="F321">
            <v>207</v>
          </cell>
          <cell r="G321">
            <v>210</v>
          </cell>
          <cell r="H321">
            <v>63</v>
          </cell>
          <cell r="I321">
            <v>107</v>
          </cell>
          <cell r="J321">
            <v>81</v>
          </cell>
          <cell r="K321">
            <v>88</v>
          </cell>
          <cell r="L321">
            <v>259</v>
          </cell>
          <cell r="M321">
            <v>50.17</v>
          </cell>
          <cell r="N321">
            <v>2014</v>
          </cell>
          <cell r="O321">
            <v>120</v>
          </cell>
          <cell r="P321">
            <v>34.1</v>
          </cell>
        </row>
        <row r="322">
          <cell r="B322" t="str">
            <v>Baylor College of Medicine</v>
          </cell>
          <cell r="C322" t="str">
            <v>USA</v>
          </cell>
          <cell r="D322">
            <v>62</v>
          </cell>
          <cell r="E322">
            <v>355</v>
          </cell>
          <cell r="F322">
            <v>478</v>
          </cell>
          <cell r="G322">
            <v>210</v>
          </cell>
          <cell r="H322">
            <v>111</v>
          </cell>
          <cell r="I322">
            <v>40</v>
          </cell>
          <cell r="J322">
            <v>107</v>
          </cell>
          <cell r="K322">
            <v>41</v>
          </cell>
          <cell r="L322">
            <v>194</v>
          </cell>
          <cell r="M322">
            <v>50.12</v>
          </cell>
          <cell r="N322">
            <v>2014</v>
          </cell>
          <cell r="O322">
            <v>121</v>
          </cell>
          <cell r="P322" t="e">
            <v>#N/A</v>
          </cell>
        </row>
        <row r="323">
          <cell r="B323" t="str">
            <v>University of Amsterdam</v>
          </cell>
          <cell r="C323" t="str">
            <v>Netherlands</v>
          </cell>
          <cell r="D323">
            <v>4</v>
          </cell>
          <cell r="E323">
            <v>182</v>
          </cell>
          <cell r="F323">
            <v>438</v>
          </cell>
          <cell r="G323">
            <v>204</v>
          </cell>
          <cell r="H323">
            <v>74</v>
          </cell>
          <cell r="I323">
            <v>86</v>
          </cell>
          <cell r="J323">
            <v>87</v>
          </cell>
          <cell r="K323">
            <v>68</v>
          </cell>
          <cell r="L323">
            <v>338</v>
          </cell>
          <cell r="M323">
            <v>49.97</v>
          </cell>
          <cell r="N323">
            <v>2014</v>
          </cell>
          <cell r="O323">
            <v>122</v>
          </cell>
          <cell r="P323">
            <v>42.5</v>
          </cell>
        </row>
        <row r="324">
          <cell r="B324" t="str">
            <v>University of Bristol</v>
          </cell>
          <cell r="C324" t="str">
            <v>United Kingdom</v>
          </cell>
          <cell r="D324">
            <v>8</v>
          </cell>
          <cell r="E324">
            <v>177</v>
          </cell>
          <cell r="F324">
            <v>242</v>
          </cell>
          <cell r="G324">
            <v>76</v>
          </cell>
          <cell r="H324">
            <v>87</v>
          </cell>
          <cell r="I324">
            <v>69</v>
          </cell>
          <cell r="J324">
            <v>99</v>
          </cell>
          <cell r="K324">
            <v>110</v>
          </cell>
          <cell r="L324">
            <v>338</v>
          </cell>
          <cell r="M324">
            <v>49.97</v>
          </cell>
          <cell r="N324">
            <v>2014</v>
          </cell>
          <cell r="O324">
            <v>123</v>
          </cell>
          <cell r="P324">
            <v>49.6</v>
          </cell>
        </row>
        <row r="325">
          <cell r="B325" t="str">
            <v>Uppsala University</v>
          </cell>
          <cell r="C325" t="str">
            <v>Sweden</v>
          </cell>
          <cell r="D325">
            <v>4</v>
          </cell>
          <cell r="E325">
            <v>62</v>
          </cell>
          <cell r="F325">
            <v>336</v>
          </cell>
          <cell r="G325">
            <v>111</v>
          </cell>
          <cell r="H325">
            <v>94</v>
          </cell>
          <cell r="I325">
            <v>77</v>
          </cell>
          <cell r="J325">
            <v>99</v>
          </cell>
          <cell r="K325">
            <v>102</v>
          </cell>
          <cell r="L325">
            <v>737</v>
          </cell>
          <cell r="M325">
            <v>49.96</v>
          </cell>
          <cell r="N325">
            <v>2014</v>
          </cell>
          <cell r="O325">
            <v>124</v>
          </cell>
          <cell r="P325">
            <v>49.6</v>
          </cell>
        </row>
        <row r="326">
          <cell r="B326" t="str">
            <v>University of Iowa</v>
          </cell>
          <cell r="C326" t="str">
            <v>USA</v>
          </cell>
          <cell r="D326">
            <v>63</v>
          </cell>
          <cell r="E326">
            <v>223</v>
          </cell>
          <cell r="F326">
            <v>184</v>
          </cell>
          <cell r="G326">
            <v>163</v>
          </cell>
          <cell r="H326">
            <v>103</v>
          </cell>
          <cell r="I326">
            <v>81</v>
          </cell>
          <cell r="J326">
            <v>87</v>
          </cell>
          <cell r="K326">
            <v>110</v>
          </cell>
          <cell r="L326">
            <v>115</v>
          </cell>
          <cell r="M326">
            <v>49.95</v>
          </cell>
          <cell r="N326">
            <v>2014</v>
          </cell>
          <cell r="O326">
            <v>125</v>
          </cell>
          <cell r="P326">
            <v>48.6</v>
          </cell>
        </row>
        <row r="327">
          <cell r="B327" t="str">
            <v>Stony Brook University</v>
          </cell>
          <cell r="C327" t="str">
            <v>USA</v>
          </cell>
          <cell r="D327">
            <v>64</v>
          </cell>
          <cell r="E327">
            <v>170</v>
          </cell>
          <cell r="F327">
            <v>478</v>
          </cell>
          <cell r="G327">
            <v>68</v>
          </cell>
          <cell r="H327">
            <v>161</v>
          </cell>
          <cell r="I327">
            <v>73</v>
          </cell>
          <cell r="J327">
            <v>69</v>
          </cell>
          <cell r="K327">
            <v>118</v>
          </cell>
          <cell r="L327">
            <v>100</v>
          </cell>
          <cell r="M327">
            <v>49.92</v>
          </cell>
          <cell r="N327">
            <v>2014</v>
          </cell>
          <cell r="O327">
            <v>126</v>
          </cell>
          <cell r="P327">
            <v>48.5</v>
          </cell>
        </row>
        <row r="328">
          <cell r="B328" t="str">
            <v>University of Groningen</v>
          </cell>
          <cell r="C328" t="str">
            <v>Netherlands</v>
          </cell>
          <cell r="D328">
            <v>5</v>
          </cell>
          <cell r="E328">
            <v>293</v>
          </cell>
          <cell r="F328">
            <v>265</v>
          </cell>
          <cell r="G328">
            <v>190</v>
          </cell>
          <cell r="H328">
            <v>71</v>
          </cell>
          <cell r="I328">
            <v>103</v>
          </cell>
          <cell r="J328">
            <v>107</v>
          </cell>
          <cell r="K328">
            <v>79</v>
          </cell>
          <cell r="L328">
            <v>338</v>
          </cell>
          <cell r="M328">
            <v>49.89</v>
          </cell>
          <cell r="N328">
            <v>2014</v>
          </cell>
          <cell r="O328">
            <v>127</v>
          </cell>
          <cell r="P328">
            <v>41.7</v>
          </cell>
        </row>
        <row r="329">
          <cell r="B329" t="str">
            <v>Korea Advanced Institute of Science and Technology (KAIST)</v>
          </cell>
          <cell r="C329" t="str">
            <v>South Korea</v>
          </cell>
          <cell r="D329">
            <v>3</v>
          </cell>
          <cell r="E329">
            <v>355</v>
          </cell>
          <cell r="F329">
            <v>85</v>
          </cell>
          <cell r="G329">
            <v>210</v>
          </cell>
          <cell r="H329">
            <v>186</v>
          </cell>
          <cell r="I329">
            <v>262</v>
          </cell>
          <cell r="J329">
            <v>363</v>
          </cell>
          <cell r="K329">
            <v>306</v>
          </cell>
          <cell r="L329">
            <v>11</v>
          </cell>
          <cell r="M329">
            <v>49.88</v>
          </cell>
          <cell r="N329">
            <v>2014</v>
          </cell>
          <cell r="O329">
            <v>128</v>
          </cell>
          <cell r="P329">
            <v>71.3</v>
          </cell>
        </row>
        <row r="330">
          <cell r="B330" t="str">
            <v>Radboud University Nijmegen</v>
          </cell>
          <cell r="C330" t="str">
            <v>Netherlands</v>
          </cell>
          <cell r="D330">
            <v>6</v>
          </cell>
          <cell r="E330">
            <v>118</v>
          </cell>
          <cell r="F330">
            <v>155</v>
          </cell>
          <cell r="G330">
            <v>210</v>
          </cell>
          <cell r="H330">
            <v>91</v>
          </cell>
          <cell r="I330">
            <v>120</v>
          </cell>
          <cell r="J330">
            <v>114</v>
          </cell>
          <cell r="K330">
            <v>81</v>
          </cell>
          <cell r="L330">
            <v>552</v>
          </cell>
          <cell r="M330">
            <v>49.85</v>
          </cell>
          <cell r="N330">
            <v>2014</v>
          </cell>
          <cell r="O330">
            <v>129</v>
          </cell>
          <cell r="P330">
            <v>27.7</v>
          </cell>
        </row>
        <row r="331">
          <cell r="B331" t="str">
            <v>Korea University</v>
          </cell>
          <cell r="C331" t="str">
            <v>South Korea</v>
          </cell>
          <cell r="D331">
            <v>4</v>
          </cell>
          <cell r="E331">
            <v>355</v>
          </cell>
          <cell r="F331">
            <v>58</v>
          </cell>
          <cell r="G331">
            <v>210</v>
          </cell>
          <cell r="H331">
            <v>182</v>
          </cell>
          <cell r="I331">
            <v>428</v>
          </cell>
          <cell r="J331">
            <v>220</v>
          </cell>
          <cell r="K331">
            <v>293</v>
          </cell>
          <cell r="L331">
            <v>34</v>
          </cell>
          <cell r="M331">
            <v>49.84</v>
          </cell>
          <cell r="N331">
            <v>2014</v>
          </cell>
          <cell r="O331">
            <v>130</v>
          </cell>
          <cell r="P331">
            <v>39.5</v>
          </cell>
        </row>
        <row r="332">
          <cell r="B332" t="str">
            <v>University of SÃ£o Paulo</v>
          </cell>
          <cell r="C332" t="str">
            <v>Brazil</v>
          </cell>
          <cell r="D332">
            <v>1</v>
          </cell>
          <cell r="E332">
            <v>302</v>
          </cell>
          <cell r="F332">
            <v>70</v>
          </cell>
          <cell r="G332">
            <v>210</v>
          </cell>
          <cell r="H332">
            <v>62</v>
          </cell>
          <cell r="I332">
            <v>182</v>
          </cell>
          <cell r="J332">
            <v>114</v>
          </cell>
          <cell r="K332">
            <v>162</v>
          </cell>
          <cell r="L332">
            <v>737</v>
          </cell>
          <cell r="M332">
            <v>49.82</v>
          </cell>
          <cell r="N332">
            <v>2014</v>
          </cell>
          <cell r="O332">
            <v>131</v>
          </cell>
          <cell r="P332">
            <v>61.7</v>
          </cell>
        </row>
        <row r="333">
          <cell r="B333" t="str">
            <v>Nagoya University</v>
          </cell>
          <cell r="C333" t="str">
            <v>Japan</v>
          </cell>
          <cell r="D333">
            <v>9</v>
          </cell>
          <cell r="E333">
            <v>67</v>
          </cell>
          <cell r="F333">
            <v>356</v>
          </cell>
          <cell r="G333">
            <v>69</v>
          </cell>
          <cell r="H333">
            <v>119</v>
          </cell>
          <cell r="I333">
            <v>141</v>
          </cell>
          <cell r="J333">
            <v>134</v>
          </cell>
          <cell r="K333">
            <v>192</v>
          </cell>
          <cell r="L333">
            <v>68</v>
          </cell>
          <cell r="M333">
            <v>49.82</v>
          </cell>
          <cell r="N333">
            <v>2014</v>
          </cell>
          <cell r="O333">
            <v>132</v>
          </cell>
          <cell r="P333">
            <v>45.5</v>
          </cell>
        </row>
        <row r="334">
          <cell r="B334" t="str">
            <v>University of Colorado Denver</v>
          </cell>
          <cell r="C334" t="str">
            <v>USA</v>
          </cell>
          <cell r="D334">
            <v>65</v>
          </cell>
          <cell r="E334">
            <v>355</v>
          </cell>
          <cell r="F334">
            <v>478</v>
          </cell>
          <cell r="G334">
            <v>131</v>
          </cell>
          <cell r="H334">
            <v>140</v>
          </cell>
          <cell r="I334">
            <v>118</v>
          </cell>
          <cell r="J334">
            <v>150</v>
          </cell>
          <cell r="K334">
            <v>61</v>
          </cell>
          <cell r="L334">
            <v>78</v>
          </cell>
          <cell r="M334">
            <v>49.79</v>
          </cell>
          <cell r="N334">
            <v>2014</v>
          </cell>
          <cell r="O334">
            <v>133</v>
          </cell>
          <cell r="P334" t="e">
            <v>#N/A</v>
          </cell>
        </row>
        <row r="335">
          <cell r="B335" t="str">
            <v>University of Montreal</v>
          </cell>
          <cell r="C335" t="str">
            <v>Canada</v>
          </cell>
          <cell r="D335">
            <v>5</v>
          </cell>
          <cell r="E335">
            <v>309</v>
          </cell>
          <cell r="F335">
            <v>460</v>
          </cell>
          <cell r="G335">
            <v>210</v>
          </cell>
          <cell r="H335">
            <v>77</v>
          </cell>
          <cell r="I335">
            <v>110</v>
          </cell>
          <cell r="J335">
            <v>87</v>
          </cell>
          <cell r="K335">
            <v>64</v>
          </cell>
          <cell r="L335">
            <v>426</v>
          </cell>
          <cell r="M335">
            <v>49.79</v>
          </cell>
          <cell r="N335">
            <v>2014</v>
          </cell>
          <cell r="O335">
            <v>134</v>
          </cell>
          <cell r="P335">
            <v>56.1</v>
          </cell>
        </row>
        <row r="336">
          <cell r="B336" t="str">
            <v>Albert Ludwig University of Freiburg</v>
          </cell>
          <cell r="C336" t="str">
            <v>Germany</v>
          </cell>
          <cell r="D336">
            <v>5</v>
          </cell>
          <cell r="E336">
            <v>137</v>
          </cell>
          <cell r="F336">
            <v>113</v>
          </cell>
          <cell r="G336">
            <v>187</v>
          </cell>
          <cell r="H336">
            <v>155</v>
          </cell>
          <cell r="I336">
            <v>106</v>
          </cell>
          <cell r="J336">
            <v>159</v>
          </cell>
          <cell r="K336">
            <v>137</v>
          </cell>
          <cell r="L336">
            <v>64</v>
          </cell>
          <cell r="M336">
            <v>49.78</v>
          </cell>
          <cell r="N336">
            <v>2014</v>
          </cell>
          <cell r="O336">
            <v>135</v>
          </cell>
          <cell r="P336" t="e">
            <v>#N/A</v>
          </cell>
        </row>
        <row r="337">
          <cell r="B337" t="str">
            <v>Ghent University</v>
          </cell>
          <cell r="C337" t="str">
            <v>Belgium</v>
          </cell>
          <cell r="D337">
            <v>2</v>
          </cell>
          <cell r="E337">
            <v>115</v>
          </cell>
          <cell r="F337">
            <v>282</v>
          </cell>
          <cell r="G337">
            <v>139</v>
          </cell>
          <cell r="H337">
            <v>89</v>
          </cell>
          <cell r="I337">
            <v>158</v>
          </cell>
          <cell r="J337">
            <v>81</v>
          </cell>
          <cell r="K337">
            <v>129</v>
          </cell>
          <cell r="L337">
            <v>121</v>
          </cell>
          <cell r="M337">
            <v>49.73</v>
          </cell>
          <cell r="N337">
            <v>2014</v>
          </cell>
          <cell r="O337">
            <v>136</v>
          </cell>
          <cell r="P337">
            <v>52.8</v>
          </cell>
        </row>
        <row r="338">
          <cell r="B338" t="str">
            <v>University of Glasgow</v>
          </cell>
          <cell r="C338" t="str">
            <v>United Kingdom</v>
          </cell>
          <cell r="D338">
            <v>9</v>
          </cell>
          <cell r="E338">
            <v>219</v>
          </cell>
          <cell r="F338">
            <v>112</v>
          </cell>
          <cell r="G338">
            <v>210</v>
          </cell>
          <cell r="H338">
            <v>118</v>
          </cell>
          <cell r="I338">
            <v>131</v>
          </cell>
          <cell r="J338">
            <v>87</v>
          </cell>
          <cell r="K338">
            <v>92</v>
          </cell>
          <cell r="L338">
            <v>280</v>
          </cell>
          <cell r="M338">
            <v>49.64</v>
          </cell>
          <cell r="N338">
            <v>2014</v>
          </cell>
          <cell r="O338">
            <v>137</v>
          </cell>
          <cell r="P338">
            <v>45.6</v>
          </cell>
        </row>
        <row r="339">
          <cell r="B339" t="str">
            <v>University of Miami</v>
          </cell>
          <cell r="C339" t="str">
            <v>USA</v>
          </cell>
          <cell r="D339">
            <v>66</v>
          </cell>
          <cell r="E339">
            <v>355</v>
          </cell>
          <cell r="F339">
            <v>152</v>
          </cell>
          <cell r="G339">
            <v>210</v>
          </cell>
          <cell r="H339">
            <v>159</v>
          </cell>
          <cell r="I339">
            <v>128</v>
          </cell>
          <cell r="J339">
            <v>87</v>
          </cell>
          <cell r="K339">
            <v>114</v>
          </cell>
          <cell r="L339">
            <v>78</v>
          </cell>
          <cell r="M339">
            <v>49.62</v>
          </cell>
          <cell r="N339">
            <v>2014</v>
          </cell>
          <cell r="O339">
            <v>138</v>
          </cell>
          <cell r="P339">
            <v>45.7</v>
          </cell>
        </row>
        <row r="340">
          <cell r="B340" t="str">
            <v>UniversitÃ© libre de Bruxelles</v>
          </cell>
          <cell r="C340" t="str">
            <v>Belgium</v>
          </cell>
          <cell r="D340">
            <v>3</v>
          </cell>
          <cell r="E340">
            <v>165</v>
          </cell>
          <cell r="F340">
            <v>167</v>
          </cell>
          <cell r="G340">
            <v>57</v>
          </cell>
          <cell r="H340">
            <v>221</v>
          </cell>
          <cell r="I340">
            <v>196</v>
          </cell>
          <cell r="J340">
            <v>81</v>
          </cell>
          <cell r="K340">
            <v>158</v>
          </cell>
          <cell r="L340">
            <v>115</v>
          </cell>
          <cell r="M340">
            <v>49.6</v>
          </cell>
          <cell r="N340">
            <v>2014</v>
          </cell>
          <cell r="O340">
            <v>139</v>
          </cell>
          <cell r="P340">
            <v>23.6</v>
          </cell>
        </row>
        <row r="341">
          <cell r="B341" t="str">
            <v>Paris Diderot University - Paris 7</v>
          </cell>
          <cell r="C341" t="str">
            <v>France</v>
          </cell>
          <cell r="D341">
            <v>5</v>
          </cell>
          <cell r="E341">
            <v>117</v>
          </cell>
          <cell r="F341">
            <v>478</v>
          </cell>
          <cell r="G341">
            <v>73</v>
          </cell>
          <cell r="H341">
            <v>107</v>
          </cell>
          <cell r="I341">
            <v>60</v>
          </cell>
          <cell r="J341">
            <v>159</v>
          </cell>
          <cell r="K341">
            <v>107</v>
          </cell>
          <cell r="L341">
            <v>426</v>
          </cell>
          <cell r="M341">
            <v>49.53</v>
          </cell>
          <cell r="N341">
            <v>2014</v>
          </cell>
          <cell r="O341">
            <v>140</v>
          </cell>
          <cell r="P341" t="e">
            <v>#N/A</v>
          </cell>
        </row>
        <row r="342">
          <cell r="B342" t="str">
            <v>McMaster University</v>
          </cell>
          <cell r="C342" t="str">
            <v>Canada</v>
          </cell>
          <cell r="D342">
            <v>6</v>
          </cell>
          <cell r="E342">
            <v>210</v>
          </cell>
          <cell r="F342">
            <v>271</v>
          </cell>
          <cell r="G342">
            <v>159</v>
          </cell>
          <cell r="H342">
            <v>128</v>
          </cell>
          <cell r="I342">
            <v>159</v>
          </cell>
          <cell r="J342">
            <v>87</v>
          </cell>
          <cell r="K342">
            <v>81</v>
          </cell>
          <cell r="L342">
            <v>159</v>
          </cell>
          <cell r="M342">
            <v>49.51</v>
          </cell>
          <cell r="N342">
            <v>2014</v>
          </cell>
          <cell r="O342">
            <v>141</v>
          </cell>
          <cell r="P342">
            <v>44.7</v>
          </cell>
        </row>
        <row r="343">
          <cell r="B343" t="str">
            <v>University of Birmingham</v>
          </cell>
          <cell r="C343" t="str">
            <v>United Kingdom</v>
          </cell>
          <cell r="D343">
            <v>10</v>
          </cell>
          <cell r="E343">
            <v>58</v>
          </cell>
          <cell r="F343">
            <v>119</v>
          </cell>
          <cell r="G343">
            <v>198</v>
          </cell>
          <cell r="H343">
            <v>116</v>
          </cell>
          <cell r="I343">
            <v>160</v>
          </cell>
          <cell r="J343">
            <v>150</v>
          </cell>
          <cell r="K343">
            <v>135</v>
          </cell>
          <cell r="L343">
            <v>204</v>
          </cell>
          <cell r="M343">
            <v>49.48</v>
          </cell>
          <cell r="N343">
            <v>2014</v>
          </cell>
          <cell r="O343">
            <v>142</v>
          </cell>
          <cell r="P343">
            <v>50.3</v>
          </cell>
        </row>
        <row r="344">
          <cell r="B344" t="str">
            <v>University of Texas at Dallas</v>
          </cell>
          <cell r="C344" t="str">
            <v>USA</v>
          </cell>
          <cell r="D344">
            <v>67</v>
          </cell>
          <cell r="E344">
            <v>355</v>
          </cell>
          <cell r="F344">
            <v>244</v>
          </cell>
          <cell r="G344">
            <v>210</v>
          </cell>
          <cell r="H344">
            <v>219</v>
          </cell>
          <cell r="I344">
            <v>100</v>
          </cell>
          <cell r="J344">
            <v>61</v>
          </cell>
          <cell r="K344">
            <v>44</v>
          </cell>
          <cell r="L344">
            <v>307</v>
          </cell>
          <cell r="M344">
            <v>49.47</v>
          </cell>
          <cell r="N344">
            <v>2014</v>
          </cell>
          <cell r="O344">
            <v>143</v>
          </cell>
          <cell r="P344">
            <v>23.6</v>
          </cell>
        </row>
        <row r="345">
          <cell r="B345" t="str">
            <v>VU University Amsterdam</v>
          </cell>
          <cell r="C345" t="str">
            <v>Netherlands</v>
          </cell>
          <cell r="D345">
            <v>7</v>
          </cell>
          <cell r="E345">
            <v>355</v>
          </cell>
          <cell r="F345">
            <v>398</v>
          </cell>
          <cell r="G345">
            <v>210</v>
          </cell>
          <cell r="H345">
            <v>83</v>
          </cell>
          <cell r="I345">
            <v>123</v>
          </cell>
          <cell r="J345">
            <v>87</v>
          </cell>
          <cell r="K345">
            <v>86</v>
          </cell>
          <cell r="L345">
            <v>737</v>
          </cell>
          <cell r="M345">
            <v>49.47</v>
          </cell>
          <cell r="N345">
            <v>2014</v>
          </cell>
          <cell r="O345">
            <v>144</v>
          </cell>
          <cell r="P345">
            <v>47.6</v>
          </cell>
        </row>
        <row r="346">
          <cell r="B346" t="str">
            <v>Wake Forest University</v>
          </cell>
          <cell r="C346" t="str">
            <v>USA</v>
          </cell>
          <cell r="D346">
            <v>68</v>
          </cell>
          <cell r="E346">
            <v>242</v>
          </cell>
          <cell r="F346">
            <v>59</v>
          </cell>
          <cell r="G346">
            <v>210</v>
          </cell>
          <cell r="H346">
            <v>251</v>
          </cell>
          <cell r="I346">
            <v>236</v>
          </cell>
          <cell r="J346">
            <v>150</v>
          </cell>
          <cell r="K346">
            <v>126</v>
          </cell>
          <cell r="L346">
            <v>128</v>
          </cell>
          <cell r="M346">
            <v>49.46</v>
          </cell>
          <cell r="N346">
            <v>2014</v>
          </cell>
          <cell r="O346">
            <v>145</v>
          </cell>
          <cell r="P346">
            <v>54.6</v>
          </cell>
        </row>
        <row r="347">
          <cell r="B347" t="str">
            <v>University of Southampton</v>
          </cell>
          <cell r="C347" t="str">
            <v>United Kingdom</v>
          </cell>
          <cell r="D347">
            <v>11</v>
          </cell>
          <cell r="E347">
            <v>315</v>
          </cell>
          <cell r="F347">
            <v>81</v>
          </cell>
          <cell r="G347">
            <v>210</v>
          </cell>
          <cell r="H347">
            <v>115</v>
          </cell>
          <cell r="I347">
            <v>129</v>
          </cell>
          <cell r="J347">
            <v>107</v>
          </cell>
          <cell r="K347">
            <v>129</v>
          </cell>
          <cell r="L347">
            <v>259</v>
          </cell>
          <cell r="M347">
            <v>49.42</v>
          </cell>
          <cell r="N347">
            <v>2014</v>
          </cell>
          <cell r="O347">
            <v>146</v>
          </cell>
          <cell r="P347">
            <v>50.8</v>
          </cell>
        </row>
        <row r="348">
          <cell r="B348" t="str">
            <v>University of Nottingham</v>
          </cell>
          <cell r="C348" t="str">
            <v>United Kingdom</v>
          </cell>
          <cell r="D348">
            <v>12</v>
          </cell>
          <cell r="E348">
            <v>128</v>
          </cell>
          <cell r="F348">
            <v>148</v>
          </cell>
          <cell r="G348">
            <v>85</v>
          </cell>
          <cell r="H348">
            <v>113</v>
          </cell>
          <cell r="I348">
            <v>174</v>
          </cell>
          <cell r="J348">
            <v>150</v>
          </cell>
          <cell r="K348">
            <v>135</v>
          </cell>
          <cell r="L348">
            <v>159</v>
          </cell>
          <cell r="M348">
            <v>49.41</v>
          </cell>
          <cell r="N348">
            <v>2014</v>
          </cell>
          <cell r="O348">
            <v>147</v>
          </cell>
          <cell r="P348">
            <v>46.8</v>
          </cell>
        </row>
        <row r="349">
          <cell r="B349" t="str">
            <v>Nanyang Technological University</v>
          </cell>
          <cell r="C349" t="str">
            <v>Singapore</v>
          </cell>
          <cell r="D349">
            <v>2</v>
          </cell>
          <cell r="E349">
            <v>355</v>
          </cell>
          <cell r="F349">
            <v>478</v>
          </cell>
          <cell r="G349">
            <v>210</v>
          </cell>
          <cell r="H349">
            <v>110</v>
          </cell>
          <cell r="I349">
            <v>387</v>
          </cell>
          <cell r="J349">
            <v>220</v>
          </cell>
          <cell r="K349">
            <v>251</v>
          </cell>
          <cell r="L349">
            <v>26</v>
          </cell>
          <cell r="M349">
            <v>49.35</v>
          </cell>
          <cell r="N349">
            <v>2014</v>
          </cell>
          <cell r="O349">
            <v>148</v>
          </cell>
          <cell r="P349">
            <v>43.6</v>
          </cell>
        </row>
        <row r="350">
          <cell r="B350" t="str">
            <v>University of New South Wales</v>
          </cell>
          <cell r="C350" t="str">
            <v>Australia</v>
          </cell>
          <cell r="D350">
            <v>4</v>
          </cell>
          <cell r="E350">
            <v>172</v>
          </cell>
          <cell r="F350">
            <v>114</v>
          </cell>
          <cell r="G350">
            <v>210</v>
          </cell>
          <cell r="H350">
            <v>100</v>
          </cell>
          <cell r="I350">
            <v>194</v>
          </cell>
          <cell r="J350">
            <v>99</v>
          </cell>
          <cell r="K350">
            <v>164</v>
          </cell>
          <cell r="L350">
            <v>138</v>
          </cell>
          <cell r="M350">
            <v>49.29</v>
          </cell>
          <cell r="N350">
            <v>2014</v>
          </cell>
          <cell r="O350">
            <v>149</v>
          </cell>
          <cell r="P350">
            <v>49.5</v>
          </cell>
        </row>
        <row r="351">
          <cell r="B351" t="str">
            <v>Osaka City University</v>
          </cell>
          <cell r="C351" t="str">
            <v>Japan</v>
          </cell>
          <cell r="D351">
            <v>10</v>
          </cell>
          <cell r="E351">
            <v>19</v>
          </cell>
          <cell r="F351">
            <v>320</v>
          </cell>
          <cell r="G351">
            <v>210</v>
          </cell>
          <cell r="H351">
            <v>460</v>
          </cell>
          <cell r="I351">
            <v>520</v>
          </cell>
          <cell r="J351">
            <v>283</v>
          </cell>
          <cell r="K351">
            <v>437</v>
          </cell>
          <cell r="L351">
            <v>373</v>
          </cell>
          <cell r="M351">
            <v>49.25</v>
          </cell>
          <cell r="N351">
            <v>2014</v>
          </cell>
          <cell r="O351">
            <v>150</v>
          </cell>
          <cell r="P351">
            <v>26.3</v>
          </cell>
        </row>
        <row r="352">
          <cell r="B352" t="str">
            <v>University of Leeds</v>
          </cell>
          <cell r="C352" t="str">
            <v>United Kingdom</v>
          </cell>
          <cell r="D352">
            <v>13</v>
          </cell>
          <cell r="E352">
            <v>84</v>
          </cell>
          <cell r="F352">
            <v>93</v>
          </cell>
          <cell r="G352">
            <v>210</v>
          </cell>
          <cell r="H352">
            <v>132</v>
          </cell>
          <cell r="I352">
            <v>134</v>
          </cell>
          <cell r="J352">
            <v>134</v>
          </cell>
          <cell r="K352">
            <v>151</v>
          </cell>
          <cell r="L352">
            <v>280</v>
          </cell>
          <cell r="M352">
            <v>49.23</v>
          </cell>
          <cell r="N352">
            <v>2014</v>
          </cell>
          <cell r="O352">
            <v>151</v>
          </cell>
          <cell r="P352">
            <v>46.2</v>
          </cell>
        </row>
        <row r="353">
          <cell r="B353" t="str">
            <v>Western University (The University of Western Ontario)</v>
          </cell>
          <cell r="C353" t="str">
            <v>Canada</v>
          </cell>
          <cell r="D353">
            <v>7</v>
          </cell>
          <cell r="E353">
            <v>355</v>
          </cell>
          <cell r="F353">
            <v>49</v>
          </cell>
          <cell r="G353">
            <v>210</v>
          </cell>
          <cell r="H353">
            <v>154</v>
          </cell>
          <cell r="I353">
            <v>198</v>
          </cell>
          <cell r="J353">
            <v>250</v>
          </cell>
          <cell r="K353">
            <v>176</v>
          </cell>
          <cell r="L353">
            <v>426</v>
          </cell>
          <cell r="M353">
            <v>49.18</v>
          </cell>
          <cell r="N353">
            <v>2014</v>
          </cell>
          <cell r="O353">
            <v>152</v>
          </cell>
          <cell r="P353" t="e">
            <v>#N/A</v>
          </cell>
        </row>
        <row r="354">
          <cell r="B354" t="str">
            <v>Kobe University</v>
          </cell>
          <cell r="C354" t="str">
            <v>Japan</v>
          </cell>
          <cell r="D354">
            <v>11</v>
          </cell>
          <cell r="E354">
            <v>22</v>
          </cell>
          <cell r="F354">
            <v>362</v>
          </cell>
          <cell r="G354">
            <v>96</v>
          </cell>
          <cell r="H354">
            <v>349</v>
          </cell>
          <cell r="I354">
            <v>259</v>
          </cell>
          <cell r="J354">
            <v>283</v>
          </cell>
          <cell r="K354">
            <v>318</v>
          </cell>
          <cell r="L354">
            <v>307</v>
          </cell>
          <cell r="M354">
            <v>49.18</v>
          </cell>
          <cell r="N354">
            <v>2014</v>
          </cell>
          <cell r="O354">
            <v>153</v>
          </cell>
          <cell r="P354">
            <v>28.3</v>
          </cell>
        </row>
        <row r="355">
          <cell r="B355" t="str">
            <v>University of Basel</v>
          </cell>
          <cell r="C355" t="str">
            <v>Switzerland</v>
          </cell>
          <cell r="D355">
            <v>5</v>
          </cell>
          <cell r="E355">
            <v>77</v>
          </cell>
          <cell r="F355">
            <v>222</v>
          </cell>
          <cell r="G355">
            <v>66</v>
          </cell>
          <cell r="H355">
            <v>168</v>
          </cell>
          <cell r="I355">
            <v>113</v>
          </cell>
          <cell r="J355">
            <v>134</v>
          </cell>
          <cell r="K355">
            <v>141</v>
          </cell>
          <cell r="L355">
            <v>426</v>
          </cell>
          <cell r="M355">
            <v>49.17</v>
          </cell>
          <cell r="N355">
            <v>2014</v>
          </cell>
          <cell r="O355">
            <v>154</v>
          </cell>
          <cell r="P355">
            <v>50.2</v>
          </cell>
        </row>
        <row r="356">
          <cell r="B356" t="str">
            <v>University of Hong Kong</v>
          </cell>
          <cell r="C356" t="str">
            <v>Hong Kong</v>
          </cell>
          <cell r="D356">
            <v>1</v>
          </cell>
          <cell r="E356">
            <v>272</v>
          </cell>
          <cell r="F356">
            <v>116</v>
          </cell>
          <cell r="G356">
            <v>210</v>
          </cell>
          <cell r="H356">
            <v>98</v>
          </cell>
          <cell r="I356">
            <v>195</v>
          </cell>
          <cell r="J356">
            <v>176</v>
          </cell>
          <cell r="K356">
            <v>118</v>
          </cell>
          <cell r="L356">
            <v>481</v>
          </cell>
          <cell r="M356">
            <v>49.1</v>
          </cell>
          <cell r="N356">
            <v>2014</v>
          </cell>
          <cell r="O356">
            <v>155</v>
          </cell>
          <cell r="P356">
            <v>68.400000000000006</v>
          </cell>
        </row>
        <row r="357">
          <cell r="B357" t="str">
            <v>Indiana University-Purdue University Indianapolis</v>
          </cell>
          <cell r="C357" t="str">
            <v>USA</v>
          </cell>
          <cell r="D357">
            <v>69</v>
          </cell>
          <cell r="E357">
            <v>355</v>
          </cell>
          <cell r="F357">
            <v>424</v>
          </cell>
          <cell r="G357">
            <v>210</v>
          </cell>
          <cell r="H357">
            <v>195</v>
          </cell>
          <cell r="I357">
            <v>351</v>
          </cell>
          <cell r="J357">
            <v>134</v>
          </cell>
          <cell r="K357">
            <v>121</v>
          </cell>
          <cell r="L357">
            <v>57</v>
          </cell>
          <cell r="M357">
            <v>49.08</v>
          </cell>
          <cell r="N357">
            <v>2014</v>
          </cell>
          <cell r="O357">
            <v>156</v>
          </cell>
          <cell r="P357" t="e">
            <v>#N/A</v>
          </cell>
        </row>
        <row r="358">
          <cell r="B358" t="str">
            <v>Humboldt University of Berlin</v>
          </cell>
          <cell r="C358" t="str">
            <v>Germany</v>
          </cell>
          <cell r="D358">
            <v>6</v>
          </cell>
          <cell r="E358">
            <v>275</v>
          </cell>
          <cell r="F358">
            <v>478</v>
          </cell>
          <cell r="G358">
            <v>110</v>
          </cell>
          <cell r="H358">
            <v>117</v>
          </cell>
          <cell r="I358">
            <v>84</v>
          </cell>
          <cell r="J358">
            <v>159</v>
          </cell>
          <cell r="K358">
            <v>81</v>
          </cell>
          <cell r="L358">
            <v>373</v>
          </cell>
          <cell r="M358">
            <v>49.03</v>
          </cell>
          <cell r="N358">
            <v>2014</v>
          </cell>
          <cell r="O358">
            <v>157</v>
          </cell>
          <cell r="P358">
            <v>50.9</v>
          </cell>
        </row>
        <row r="359">
          <cell r="B359" t="str">
            <v>Free University of Berlin</v>
          </cell>
          <cell r="C359" t="str">
            <v>Germany</v>
          </cell>
          <cell r="D359">
            <v>7</v>
          </cell>
          <cell r="E359">
            <v>94</v>
          </cell>
          <cell r="F359">
            <v>478</v>
          </cell>
          <cell r="G359">
            <v>119</v>
          </cell>
          <cell r="H359">
            <v>122</v>
          </cell>
          <cell r="I359">
            <v>82</v>
          </cell>
          <cell r="J359">
            <v>250</v>
          </cell>
          <cell r="K359">
            <v>90</v>
          </cell>
          <cell r="L359">
            <v>481</v>
          </cell>
          <cell r="M359">
            <v>49.02</v>
          </cell>
          <cell r="N359">
            <v>2014</v>
          </cell>
          <cell r="O359">
            <v>158</v>
          </cell>
          <cell r="P359">
            <v>46.3</v>
          </cell>
        </row>
        <row r="360">
          <cell r="B360" t="str">
            <v>University of TÃ¼bingen</v>
          </cell>
          <cell r="C360" t="str">
            <v>Germany</v>
          </cell>
          <cell r="D360">
            <v>8</v>
          </cell>
          <cell r="E360">
            <v>64</v>
          </cell>
          <cell r="F360">
            <v>478</v>
          </cell>
          <cell r="G360">
            <v>102</v>
          </cell>
          <cell r="H360">
            <v>158</v>
          </cell>
          <cell r="I360">
            <v>143</v>
          </cell>
          <cell r="J360">
            <v>159</v>
          </cell>
          <cell r="K360">
            <v>117</v>
          </cell>
          <cell r="L360">
            <v>227</v>
          </cell>
          <cell r="M360">
            <v>48.99</v>
          </cell>
          <cell r="N360">
            <v>2014</v>
          </cell>
          <cell r="O360">
            <v>159</v>
          </cell>
          <cell r="P360">
            <v>45.9</v>
          </cell>
        </row>
        <row r="361">
          <cell r="B361" t="str">
            <v>Australian National University</v>
          </cell>
          <cell r="C361" t="str">
            <v>Australia</v>
          </cell>
          <cell r="D361">
            <v>5</v>
          </cell>
          <cell r="E361">
            <v>186</v>
          </cell>
          <cell r="F361">
            <v>377</v>
          </cell>
          <cell r="G361">
            <v>47</v>
          </cell>
          <cell r="H361">
            <v>137</v>
          </cell>
          <cell r="I361">
            <v>95</v>
          </cell>
          <cell r="J361">
            <v>187</v>
          </cell>
          <cell r="K361">
            <v>196</v>
          </cell>
          <cell r="L361">
            <v>426</v>
          </cell>
          <cell r="M361">
            <v>48.96</v>
          </cell>
          <cell r="N361">
            <v>2014</v>
          </cell>
          <cell r="O361">
            <v>160</v>
          </cell>
          <cell r="P361">
            <v>51.9</v>
          </cell>
        </row>
        <row r="362">
          <cell r="B362" t="str">
            <v>Goethe University Frankfurt</v>
          </cell>
          <cell r="C362" t="str">
            <v>Germany</v>
          </cell>
          <cell r="D362">
            <v>9</v>
          </cell>
          <cell r="E362">
            <v>105</v>
          </cell>
          <cell r="F362">
            <v>291</v>
          </cell>
          <cell r="G362">
            <v>62</v>
          </cell>
          <cell r="H362">
            <v>175</v>
          </cell>
          <cell r="I362">
            <v>151</v>
          </cell>
          <cell r="J362">
            <v>200</v>
          </cell>
          <cell r="K362">
            <v>124</v>
          </cell>
          <cell r="L362">
            <v>280</v>
          </cell>
          <cell r="M362">
            <v>48.93</v>
          </cell>
          <cell r="N362">
            <v>2014</v>
          </cell>
          <cell r="O362">
            <v>161</v>
          </cell>
          <cell r="P362">
            <v>39.200000000000003</v>
          </cell>
        </row>
        <row r="363">
          <cell r="B363" t="str">
            <v>University of Houston</v>
          </cell>
          <cell r="C363" t="str">
            <v>USA</v>
          </cell>
          <cell r="D363">
            <v>70</v>
          </cell>
          <cell r="E363">
            <v>355</v>
          </cell>
          <cell r="F363">
            <v>40</v>
          </cell>
          <cell r="G363">
            <v>210</v>
          </cell>
          <cell r="H363">
            <v>315</v>
          </cell>
          <cell r="I363">
            <v>291</v>
          </cell>
          <cell r="J363">
            <v>493</v>
          </cell>
          <cell r="K363">
            <v>355</v>
          </cell>
          <cell r="L363">
            <v>89</v>
          </cell>
          <cell r="M363">
            <v>48.91</v>
          </cell>
          <cell r="N363">
            <v>2014</v>
          </cell>
          <cell r="O363">
            <v>162</v>
          </cell>
          <cell r="P363">
            <v>36.5</v>
          </cell>
        </row>
        <row r="364">
          <cell r="B364" t="str">
            <v>University of California, Santa Cruz</v>
          </cell>
          <cell r="C364" t="str">
            <v>USA</v>
          </cell>
          <cell r="D364">
            <v>71</v>
          </cell>
          <cell r="E364">
            <v>160</v>
          </cell>
          <cell r="F364">
            <v>478</v>
          </cell>
          <cell r="G364">
            <v>99</v>
          </cell>
          <cell r="H364">
            <v>239</v>
          </cell>
          <cell r="I364">
            <v>50</v>
          </cell>
          <cell r="J364">
            <v>114</v>
          </cell>
          <cell r="K364">
            <v>107</v>
          </cell>
          <cell r="L364">
            <v>227</v>
          </cell>
          <cell r="M364">
            <v>48.89</v>
          </cell>
          <cell r="N364">
            <v>2014</v>
          </cell>
          <cell r="O364">
            <v>163</v>
          </cell>
          <cell r="P364">
            <v>38.299999999999997</v>
          </cell>
        </row>
        <row r="365">
          <cell r="B365" t="str">
            <v>University of Alabama at Birmingham</v>
          </cell>
          <cell r="C365" t="str">
            <v>USA</v>
          </cell>
          <cell r="D365">
            <v>72</v>
          </cell>
          <cell r="E365">
            <v>355</v>
          </cell>
          <cell r="F365">
            <v>478</v>
          </cell>
          <cell r="G365">
            <v>210</v>
          </cell>
          <cell r="H365">
            <v>139</v>
          </cell>
          <cell r="I365">
            <v>114</v>
          </cell>
          <cell r="J365">
            <v>134</v>
          </cell>
          <cell r="K365">
            <v>74</v>
          </cell>
          <cell r="L365">
            <v>194</v>
          </cell>
          <cell r="M365">
            <v>48.88</v>
          </cell>
          <cell r="N365">
            <v>2014</v>
          </cell>
          <cell r="O365">
            <v>164</v>
          </cell>
          <cell r="P365" t="e">
            <v>#N/A</v>
          </cell>
        </row>
        <row r="366">
          <cell r="B366" t="str">
            <v>Icahn School of Medicine at Mount Sinai</v>
          </cell>
          <cell r="C366" t="str">
            <v>USA</v>
          </cell>
          <cell r="D366">
            <v>73</v>
          </cell>
          <cell r="E366">
            <v>355</v>
          </cell>
          <cell r="F366">
            <v>478</v>
          </cell>
          <cell r="G366">
            <v>210</v>
          </cell>
          <cell r="H366">
            <v>169</v>
          </cell>
          <cell r="I366">
            <v>80</v>
          </cell>
          <cell r="J366">
            <v>176</v>
          </cell>
          <cell r="K366">
            <v>64</v>
          </cell>
          <cell r="L366">
            <v>159</v>
          </cell>
          <cell r="M366">
            <v>48.85</v>
          </cell>
          <cell r="N366">
            <v>2014</v>
          </cell>
          <cell r="O366">
            <v>165</v>
          </cell>
          <cell r="P366" t="e">
            <v>#N/A</v>
          </cell>
        </row>
        <row r="367">
          <cell r="B367" t="str">
            <v>University of Calgary</v>
          </cell>
          <cell r="C367" t="str">
            <v>Canada</v>
          </cell>
          <cell r="D367">
            <v>8</v>
          </cell>
          <cell r="E367">
            <v>355</v>
          </cell>
          <cell r="F367">
            <v>89</v>
          </cell>
          <cell r="G367">
            <v>210</v>
          </cell>
          <cell r="H367">
            <v>147</v>
          </cell>
          <cell r="I367">
            <v>171</v>
          </cell>
          <cell r="J367">
            <v>114</v>
          </cell>
          <cell r="K367">
            <v>132</v>
          </cell>
          <cell r="L367">
            <v>737</v>
          </cell>
          <cell r="M367">
            <v>48.84</v>
          </cell>
          <cell r="N367">
            <v>2014</v>
          </cell>
          <cell r="O367">
            <v>166</v>
          </cell>
          <cell r="P367">
            <v>34</v>
          </cell>
        </row>
        <row r="368">
          <cell r="B368" t="str">
            <v>Mines ParisTech</v>
          </cell>
          <cell r="C368" t="str">
            <v>France</v>
          </cell>
          <cell r="D368">
            <v>6</v>
          </cell>
          <cell r="E368">
            <v>249</v>
          </cell>
          <cell r="F368">
            <v>31</v>
          </cell>
          <cell r="G368">
            <v>165</v>
          </cell>
          <cell r="H368">
            <v>980</v>
          </cell>
          <cell r="I368">
            <v>825</v>
          </cell>
          <cell r="J368">
            <v>609</v>
          </cell>
          <cell r="K368">
            <v>917</v>
          </cell>
          <cell r="L368">
            <v>737</v>
          </cell>
          <cell r="M368">
            <v>48.81</v>
          </cell>
          <cell r="N368">
            <v>2014</v>
          </cell>
          <cell r="O368">
            <v>167</v>
          </cell>
          <cell r="P368">
            <v>39.5</v>
          </cell>
        </row>
        <row r="369">
          <cell r="B369" t="str">
            <v>University of Gothenburg</v>
          </cell>
          <cell r="C369" t="str">
            <v>Sweden</v>
          </cell>
          <cell r="D369">
            <v>5</v>
          </cell>
          <cell r="E369">
            <v>248</v>
          </cell>
          <cell r="F369">
            <v>321</v>
          </cell>
          <cell r="G369">
            <v>71</v>
          </cell>
          <cell r="H369">
            <v>177</v>
          </cell>
          <cell r="I369">
            <v>186</v>
          </cell>
          <cell r="J369">
            <v>107</v>
          </cell>
          <cell r="K369">
            <v>112</v>
          </cell>
          <cell r="L369">
            <v>737</v>
          </cell>
          <cell r="M369">
            <v>48.79</v>
          </cell>
          <cell r="N369">
            <v>2014</v>
          </cell>
          <cell r="O369">
            <v>168</v>
          </cell>
          <cell r="P369">
            <v>25.8</v>
          </cell>
        </row>
        <row r="370">
          <cell r="B370" t="str">
            <v>University of GÃ¶ttingen</v>
          </cell>
          <cell r="C370" t="str">
            <v>Germany</v>
          </cell>
          <cell r="D370">
            <v>10</v>
          </cell>
          <cell r="E370">
            <v>39</v>
          </cell>
          <cell r="F370">
            <v>174</v>
          </cell>
          <cell r="G370">
            <v>172</v>
          </cell>
          <cell r="H370">
            <v>172</v>
          </cell>
          <cell r="I370">
            <v>152</v>
          </cell>
          <cell r="J370">
            <v>310</v>
          </cell>
          <cell r="K370">
            <v>196</v>
          </cell>
          <cell r="L370">
            <v>373</v>
          </cell>
          <cell r="M370">
            <v>48.77</v>
          </cell>
          <cell r="N370">
            <v>2014</v>
          </cell>
          <cell r="O370">
            <v>169</v>
          </cell>
          <cell r="P370">
            <v>57.3</v>
          </cell>
        </row>
        <row r="371">
          <cell r="B371" t="str">
            <v>Monash University</v>
          </cell>
          <cell r="C371" t="str">
            <v>Australia</v>
          </cell>
          <cell r="D371">
            <v>6</v>
          </cell>
          <cell r="E371">
            <v>277</v>
          </cell>
          <cell r="F371">
            <v>134</v>
          </cell>
          <cell r="G371">
            <v>210</v>
          </cell>
          <cell r="H371">
            <v>96</v>
          </cell>
          <cell r="I371">
            <v>146</v>
          </cell>
          <cell r="J371">
            <v>250</v>
          </cell>
          <cell r="K371">
            <v>173</v>
          </cell>
          <cell r="L371">
            <v>159</v>
          </cell>
          <cell r="M371">
            <v>48.71</v>
          </cell>
          <cell r="N371">
            <v>2014</v>
          </cell>
          <cell r="O371">
            <v>170</v>
          </cell>
          <cell r="P371">
            <v>39.4</v>
          </cell>
        </row>
        <row r="372">
          <cell r="B372" t="str">
            <v>Southern Methodist University</v>
          </cell>
          <cell r="C372" t="str">
            <v>USA</v>
          </cell>
          <cell r="D372">
            <v>74</v>
          </cell>
          <cell r="E372">
            <v>157</v>
          </cell>
          <cell r="F372">
            <v>34</v>
          </cell>
          <cell r="G372">
            <v>210</v>
          </cell>
          <cell r="H372">
            <v>632</v>
          </cell>
          <cell r="I372">
            <v>677</v>
          </cell>
          <cell r="J372">
            <v>406</v>
          </cell>
          <cell r="K372">
            <v>628</v>
          </cell>
          <cell r="L372">
            <v>737</v>
          </cell>
          <cell r="M372">
            <v>48.69</v>
          </cell>
          <cell r="N372">
            <v>2014</v>
          </cell>
          <cell r="O372">
            <v>171</v>
          </cell>
          <cell r="P372">
            <v>18.600000000000001</v>
          </cell>
        </row>
        <row r="373">
          <cell r="B373" t="str">
            <v>Yeshiva University</v>
          </cell>
          <cell r="C373" t="str">
            <v>USA</v>
          </cell>
          <cell r="D373">
            <v>75</v>
          </cell>
          <cell r="E373">
            <v>174</v>
          </cell>
          <cell r="F373">
            <v>478</v>
          </cell>
          <cell r="G373">
            <v>210</v>
          </cell>
          <cell r="H373">
            <v>188</v>
          </cell>
          <cell r="I373">
            <v>85</v>
          </cell>
          <cell r="J373">
            <v>159</v>
          </cell>
          <cell r="K373">
            <v>94</v>
          </cell>
          <cell r="L373">
            <v>138</v>
          </cell>
          <cell r="M373">
            <v>48.67</v>
          </cell>
          <cell r="N373">
            <v>2014</v>
          </cell>
          <cell r="O373">
            <v>172</v>
          </cell>
          <cell r="P373">
            <v>63.5</v>
          </cell>
        </row>
        <row r="374">
          <cell r="B374" t="str">
            <v>University of South Florida - Tampa</v>
          </cell>
          <cell r="C374" t="str">
            <v>USA</v>
          </cell>
          <cell r="D374">
            <v>76</v>
          </cell>
          <cell r="E374">
            <v>355</v>
          </cell>
          <cell r="F374">
            <v>284</v>
          </cell>
          <cell r="G374">
            <v>210</v>
          </cell>
          <cell r="H374">
            <v>242</v>
          </cell>
          <cell r="I374">
            <v>263</v>
          </cell>
          <cell r="J374">
            <v>159</v>
          </cell>
          <cell r="K374">
            <v>164</v>
          </cell>
          <cell r="L374">
            <v>51</v>
          </cell>
          <cell r="M374">
            <v>48.65</v>
          </cell>
          <cell r="N374">
            <v>2014</v>
          </cell>
          <cell r="O374">
            <v>173</v>
          </cell>
          <cell r="P374" t="e">
            <v>#N/A</v>
          </cell>
        </row>
        <row r="375">
          <cell r="B375" t="str">
            <v>Hanyang University</v>
          </cell>
          <cell r="C375" t="str">
            <v>South Korea</v>
          </cell>
          <cell r="D375">
            <v>5</v>
          </cell>
          <cell r="E375">
            <v>355</v>
          </cell>
          <cell r="F375">
            <v>69</v>
          </cell>
          <cell r="G375">
            <v>210</v>
          </cell>
          <cell r="H375">
            <v>292</v>
          </cell>
          <cell r="I375">
            <v>481</v>
          </cell>
          <cell r="J375">
            <v>406</v>
          </cell>
          <cell r="K375">
            <v>415</v>
          </cell>
          <cell r="L375">
            <v>28</v>
          </cell>
          <cell r="M375">
            <v>48.63</v>
          </cell>
          <cell r="N375">
            <v>2014</v>
          </cell>
          <cell r="O375">
            <v>174</v>
          </cell>
          <cell r="P375">
            <v>30.4</v>
          </cell>
        </row>
        <row r="376">
          <cell r="B376" t="str">
            <v>Oregon Health &amp; Science University</v>
          </cell>
          <cell r="C376" t="str">
            <v>USA</v>
          </cell>
          <cell r="D376">
            <v>77</v>
          </cell>
          <cell r="E376">
            <v>355</v>
          </cell>
          <cell r="F376">
            <v>478</v>
          </cell>
          <cell r="G376">
            <v>119</v>
          </cell>
          <cell r="H376">
            <v>191</v>
          </cell>
          <cell r="I376">
            <v>124</v>
          </cell>
          <cell r="J376">
            <v>107</v>
          </cell>
          <cell r="K376">
            <v>92</v>
          </cell>
          <cell r="L376">
            <v>227</v>
          </cell>
          <cell r="M376">
            <v>48.61</v>
          </cell>
          <cell r="N376">
            <v>2014</v>
          </cell>
          <cell r="O376">
            <v>175</v>
          </cell>
          <cell r="P376" t="e">
            <v>#N/A</v>
          </cell>
        </row>
        <row r="377">
          <cell r="B377" t="str">
            <v>University of Strasbourg</v>
          </cell>
          <cell r="C377" t="str">
            <v>France</v>
          </cell>
          <cell r="D377">
            <v>7</v>
          </cell>
          <cell r="E377">
            <v>59</v>
          </cell>
          <cell r="F377">
            <v>478</v>
          </cell>
          <cell r="G377">
            <v>55</v>
          </cell>
          <cell r="H377">
            <v>190</v>
          </cell>
          <cell r="I377">
            <v>135</v>
          </cell>
          <cell r="J377">
            <v>250</v>
          </cell>
          <cell r="K377">
            <v>224</v>
          </cell>
          <cell r="L377">
            <v>204</v>
          </cell>
          <cell r="M377">
            <v>48.61</v>
          </cell>
          <cell r="N377">
            <v>2014</v>
          </cell>
          <cell r="O377">
            <v>176</v>
          </cell>
          <cell r="P377">
            <v>26.7</v>
          </cell>
        </row>
        <row r="378">
          <cell r="B378" t="str">
            <v>University of Cincinnati</v>
          </cell>
          <cell r="C378" t="str">
            <v>USA</v>
          </cell>
          <cell r="D378">
            <v>78</v>
          </cell>
          <cell r="E378">
            <v>305</v>
          </cell>
          <cell r="F378">
            <v>132</v>
          </cell>
          <cell r="G378">
            <v>210</v>
          </cell>
          <cell r="H378">
            <v>145</v>
          </cell>
          <cell r="I378">
            <v>166</v>
          </cell>
          <cell r="J378">
            <v>159</v>
          </cell>
          <cell r="K378">
            <v>129</v>
          </cell>
          <cell r="L378">
            <v>204</v>
          </cell>
          <cell r="M378">
            <v>48.6</v>
          </cell>
          <cell r="N378">
            <v>2014</v>
          </cell>
          <cell r="O378">
            <v>177</v>
          </cell>
          <cell r="P378">
            <v>43.6</v>
          </cell>
        </row>
        <row r="379">
          <cell r="B379" t="str">
            <v>University of Sheffield</v>
          </cell>
          <cell r="C379" t="str">
            <v>United Kingdom</v>
          </cell>
          <cell r="D379">
            <v>14</v>
          </cell>
          <cell r="E379">
            <v>131</v>
          </cell>
          <cell r="F379">
            <v>257</v>
          </cell>
          <cell r="G379">
            <v>190</v>
          </cell>
          <cell r="H379">
            <v>124</v>
          </cell>
          <cell r="I379">
            <v>127</v>
          </cell>
          <cell r="J379">
            <v>114</v>
          </cell>
          <cell r="K379">
            <v>145</v>
          </cell>
          <cell r="L379">
            <v>227</v>
          </cell>
          <cell r="M379">
            <v>48.55</v>
          </cell>
          <cell r="N379">
            <v>2014</v>
          </cell>
          <cell r="O379">
            <v>178</v>
          </cell>
          <cell r="P379">
            <v>48.9</v>
          </cell>
        </row>
        <row r="380">
          <cell r="B380" t="str">
            <v>University of Hamburg</v>
          </cell>
          <cell r="C380" t="str">
            <v>Germany</v>
          </cell>
          <cell r="D380">
            <v>11</v>
          </cell>
          <cell r="E380">
            <v>304</v>
          </cell>
          <cell r="F380">
            <v>146</v>
          </cell>
          <cell r="G380">
            <v>126</v>
          </cell>
          <cell r="H380">
            <v>152</v>
          </cell>
          <cell r="I380">
            <v>138</v>
          </cell>
          <cell r="J380">
            <v>134</v>
          </cell>
          <cell r="K380">
            <v>132</v>
          </cell>
          <cell r="L380">
            <v>637</v>
          </cell>
          <cell r="M380">
            <v>48.54</v>
          </cell>
          <cell r="N380">
            <v>2014</v>
          </cell>
          <cell r="O380">
            <v>179</v>
          </cell>
          <cell r="P380">
            <v>35.200000000000003</v>
          </cell>
        </row>
        <row r="381">
          <cell r="B381" t="str">
            <v>George Washington University</v>
          </cell>
          <cell r="C381" t="str">
            <v>USA</v>
          </cell>
          <cell r="D381">
            <v>79</v>
          </cell>
          <cell r="E381">
            <v>176</v>
          </cell>
          <cell r="F381">
            <v>53</v>
          </cell>
          <cell r="G381">
            <v>210</v>
          </cell>
          <cell r="H381">
            <v>312</v>
          </cell>
          <cell r="I381">
            <v>229</v>
          </cell>
          <cell r="J381">
            <v>187</v>
          </cell>
          <cell r="K381">
            <v>203</v>
          </cell>
          <cell r="L381">
            <v>307</v>
          </cell>
          <cell r="M381">
            <v>48.48</v>
          </cell>
          <cell r="N381">
            <v>2014</v>
          </cell>
          <cell r="O381">
            <v>180</v>
          </cell>
          <cell r="P381">
            <v>60.6</v>
          </cell>
        </row>
        <row r="382">
          <cell r="B382" t="str">
            <v>University of Milan</v>
          </cell>
          <cell r="C382" t="str">
            <v>Italy</v>
          </cell>
          <cell r="D382">
            <v>2</v>
          </cell>
          <cell r="E382">
            <v>162</v>
          </cell>
          <cell r="F382">
            <v>467</v>
          </cell>
          <cell r="G382">
            <v>178</v>
          </cell>
          <cell r="H382">
            <v>109</v>
          </cell>
          <cell r="I382">
            <v>183</v>
          </cell>
          <cell r="J382">
            <v>200</v>
          </cell>
          <cell r="K382">
            <v>114</v>
          </cell>
          <cell r="L382">
            <v>481</v>
          </cell>
          <cell r="M382">
            <v>48.48</v>
          </cell>
          <cell r="N382">
            <v>2014</v>
          </cell>
          <cell r="O382">
            <v>181</v>
          </cell>
          <cell r="P382">
            <v>37.1</v>
          </cell>
        </row>
        <row r="383">
          <cell r="B383" t="str">
            <v>Iowa State University</v>
          </cell>
          <cell r="C383" t="str">
            <v>USA</v>
          </cell>
          <cell r="D383">
            <v>80</v>
          </cell>
          <cell r="E383">
            <v>273</v>
          </cell>
          <cell r="F383">
            <v>190</v>
          </cell>
          <cell r="G383">
            <v>109</v>
          </cell>
          <cell r="H383">
            <v>142</v>
          </cell>
          <cell r="I383">
            <v>173</v>
          </cell>
          <cell r="J383">
            <v>75</v>
          </cell>
          <cell r="K383">
            <v>176</v>
          </cell>
          <cell r="L383">
            <v>338</v>
          </cell>
          <cell r="M383">
            <v>48.47</v>
          </cell>
          <cell r="N383">
            <v>2014</v>
          </cell>
          <cell r="O383">
            <v>182</v>
          </cell>
          <cell r="P383">
            <v>49.3</v>
          </cell>
        </row>
        <row r="384">
          <cell r="B384" t="str">
            <v>University of Maryland, Baltimore</v>
          </cell>
          <cell r="C384" t="str">
            <v>USA</v>
          </cell>
          <cell r="D384">
            <v>81</v>
          </cell>
          <cell r="E384">
            <v>355</v>
          </cell>
          <cell r="F384">
            <v>478</v>
          </cell>
          <cell r="G384">
            <v>210</v>
          </cell>
          <cell r="H384">
            <v>125</v>
          </cell>
          <cell r="I384">
            <v>102</v>
          </cell>
          <cell r="J384">
            <v>134</v>
          </cell>
          <cell r="K384">
            <v>114</v>
          </cell>
          <cell r="L384">
            <v>280</v>
          </cell>
          <cell r="M384">
            <v>48.4</v>
          </cell>
          <cell r="N384">
            <v>2014</v>
          </cell>
          <cell r="O384">
            <v>183</v>
          </cell>
          <cell r="P384" t="e">
            <v>#N/A</v>
          </cell>
        </row>
        <row r="385">
          <cell r="B385" t="str">
            <v>University of Padua</v>
          </cell>
          <cell r="C385" t="str">
            <v>Italy</v>
          </cell>
          <cell r="D385">
            <v>3</v>
          </cell>
          <cell r="E385">
            <v>278</v>
          </cell>
          <cell r="F385">
            <v>478</v>
          </cell>
          <cell r="G385">
            <v>210</v>
          </cell>
          <cell r="H385">
            <v>101</v>
          </cell>
          <cell r="I385">
            <v>99</v>
          </cell>
          <cell r="J385">
            <v>176</v>
          </cell>
          <cell r="K385">
            <v>126</v>
          </cell>
          <cell r="L385">
            <v>737</v>
          </cell>
          <cell r="M385">
            <v>48.4</v>
          </cell>
          <cell r="N385">
            <v>2014</v>
          </cell>
          <cell r="O385">
            <v>184</v>
          </cell>
          <cell r="P385">
            <v>24.2</v>
          </cell>
        </row>
        <row r="386">
          <cell r="B386" t="str">
            <v>University of New Mexico</v>
          </cell>
          <cell r="C386" t="str">
            <v>USA</v>
          </cell>
          <cell r="D386">
            <v>82</v>
          </cell>
          <cell r="E386">
            <v>355</v>
          </cell>
          <cell r="F386">
            <v>478</v>
          </cell>
          <cell r="G386">
            <v>210</v>
          </cell>
          <cell r="H386">
            <v>227</v>
          </cell>
          <cell r="I386">
            <v>168</v>
          </cell>
          <cell r="J386">
            <v>61</v>
          </cell>
          <cell r="K386">
            <v>137</v>
          </cell>
          <cell r="L386">
            <v>149</v>
          </cell>
          <cell r="M386">
            <v>48.36</v>
          </cell>
          <cell r="N386">
            <v>2014</v>
          </cell>
          <cell r="O386">
            <v>185</v>
          </cell>
          <cell r="P386">
            <v>29.6</v>
          </cell>
        </row>
        <row r="387">
          <cell r="B387" t="str">
            <v>Pohang University of Science and Technology</v>
          </cell>
          <cell r="C387" t="str">
            <v>South Korea</v>
          </cell>
          <cell r="D387">
            <v>6</v>
          </cell>
          <cell r="E387">
            <v>355</v>
          </cell>
          <cell r="F387">
            <v>478</v>
          </cell>
          <cell r="G387">
            <v>210</v>
          </cell>
          <cell r="H387">
            <v>279</v>
          </cell>
          <cell r="I387">
            <v>346</v>
          </cell>
          <cell r="J387">
            <v>220</v>
          </cell>
          <cell r="K387">
            <v>295</v>
          </cell>
          <cell r="L387">
            <v>25</v>
          </cell>
          <cell r="M387">
            <v>48.35</v>
          </cell>
          <cell r="N387">
            <v>2014</v>
          </cell>
          <cell r="O387">
            <v>186</v>
          </cell>
          <cell r="P387">
            <v>69.5</v>
          </cell>
        </row>
        <row r="388">
          <cell r="B388" t="str">
            <v>Stockholm University</v>
          </cell>
          <cell r="C388" t="str">
            <v>Sweden</v>
          </cell>
          <cell r="D388">
            <v>6</v>
          </cell>
          <cell r="E388">
            <v>184</v>
          </cell>
          <cell r="F388">
            <v>106</v>
          </cell>
          <cell r="G388">
            <v>183</v>
          </cell>
          <cell r="H388">
            <v>202</v>
          </cell>
          <cell r="I388">
            <v>93</v>
          </cell>
          <cell r="J388">
            <v>99</v>
          </cell>
          <cell r="K388">
            <v>185</v>
          </cell>
          <cell r="L388">
            <v>637</v>
          </cell>
          <cell r="M388">
            <v>48.27</v>
          </cell>
          <cell r="N388">
            <v>2014</v>
          </cell>
          <cell r="O388">
            <v>187</v>
          </cell>
          <cell r="P388">
            <v>36.9</v>
          </cell>
        </row>
        <row r="389">
          <cell r="B389" t="str">
            <v>Hokkaido University</v>
          </cell>
          <cell r="C389" t="str">
            <v>Japan</v>
          </cell>
          <cell r="D389">
            <v>12</v>
          </cell>
          <cell r="E389">
            <v>260</v>
          </cell>
          <cell r="F389">
            <v>378</v>
          </cell>
          <cell r="G389">
            <v>126</v>
          </cell>
          <cell r="H389">
            <v>138</v>
          </cell>
          <cell r="I389">
            <v>172</v>
          </cell>
          <cell r="J389">
            <v>283</v>
          </cell>
          <cell r="K389">
            <v>251</v>
          </cell>
          <cell r="L389">
            <v>61</v>
          </cell>
          <cell r="M389">
            <v>48.18</v>
          </cell>
          <cell r="N389">
            <v>2014</v>
          </cell>
          <cell r="O389">
            <v>188</v>
          </cell>
          <cell r="P389">
            <v>44.5</v>
          </cell>
        </row>
        <row r="390">
          <cell r="B390" t="str">
            <v>Fudan University</v>
          </cell>
          <cell r="C390" t="str">
            <v>China</v>
          </cell>
          <cell r="D390">
            <v>3</v>
          </cell>
          <cell r="E390">
            <v>355</v>
          </cell>
          <cell r="F390">
            <v>126</v>
          </cell>
          <cell r="G390">
            <v>210</v>
          </cell>
          <cell r="H390">
            <v>120</v>
          </cell>
          <cell r="I390">
            <v>264</v>
          </cell>
          <cell r="J390">
            <v>310</v>
          </cell>
          <cell r="K390">
            <v>230</v>
          </cell>
          <cell r="L390">
            <v>100</v>
          </cell>
          <cell r="M390">
            <v>48.14</v>
          </cell>
          <cell r="N390">
            <v>2014</v>
          </cell>
          <cell r="O390">
            <v>189</v>
          </cell>
          <cell r="P390">
            <v>42.4</v>
          </cell>
        </row>
        <row r="391">
          <cell r="B391" t="str">
            <v>University of Sussex</v>
          </cell>
          <cell r="C391" t="str">
            <v>United Kingdom</v>
          </cell>
          <cell r="D391">
            <v>15</v>
          </cell>
          <cell r="E391">
            <v>138</v>
          </cell>
          <cell r="F391">
            <v>218</v>
          </cell>
          <cell r="G391">
            <v>40</v>
          </cell>
          <cell r="H391">
            <v>368</v>
          </cell>
          <cell r="I391">
            <v>261</v>
          </cell>
          <cell r="J391">
            <v>176</v>
          </cell>
          <cell r="K391">
            <v>306</v>
          </cell>
          <cell r="L391">
            <v>481</v>
          </cell>
          <cell r="M391">
            <v>48.12</v>
          </cell>
          <cell r="N391">
            <v>2014</v>
          </cell>
          <cell r="O391">
            <v>190</v>
          </cell>
          <cell r="P391">
            <v>42.4</v>
          </cell>
        </row>
        <row r="392">
          <cell r="B392" t="str">
            <v>UniversitÃ© catholique de Louvain</v>
          </cell>
          <cell r="C392" t="str">
            <v>Belgium</v>
          </cell>
          <cell r="D392">
            <v>4</v>
          </cell>
          <cell r="E392">
            <v>355</v>
          </cell>
          <cell r="F392">
            <v>269</v>
          </cell>
          <cell r="G392">
            <v>103</v>
          </cell>
          <cell r="H392">
            <v>179</v>
          </cell>
          <cell r="I392">
            <v>286</v>
          </cell>
          <cell r="J392">
            <v>134</v>
          </cell>
          <cell r="K392">
            <v>160</v>
          </cell>
          <cell r="L392">
            <v>181</v>
          </cell>
          <cell r="M392">
            <v>48.08</v>
          </cell>
          <cell r="N392">
            <v>2014</v>
          </cell>
          <cell r="O392">
            <v>191</v>
          </cell>
          <cell r="P392">
            <v>29.2</v>
          </cell>
        </row>
        <row r="393">
          <cell r="B393" t="str">
            <v>Wayne State University</v>
          </cell>
          <cell r="C393" t="str">
            <v>USA</v>
          </cell>
          <cell r="D393">
            <v>83</v>
          </cell>
          <cell r="E393">
            <v>355</v>
          </cell>
          <cell r="F393">
            <v>186</v>
          </cell>
          <cell r="G393">
            <v>210</v>
          </cell>
          <cell r="H393">
            <v>187</v>
          </cell>
          <cell r="I393">
            <v>258</v>
          </cell>
          <cell r="J393">
            <v>125</v>
          </cell>
          <cell r="K393">
            <v>155</v>
          </cell>
          <cell r="L393">
            <v>181</v>
          </cell>
          <cell r="M393">
            <v>48.07</v>
          </cell>
          <cell r="N393">
            <v>2014</v>
          </cell>
          <cell r="O393">
            <v>192</v>
          </cell>
          <cell r="P393">
            <v>34.700000000000003</v>
          </cell>
        </row>
        <row r="394">
          <cell r="B394" t="str">
            <v>University of Massachusetts Medical School</v>
          </cell>
          <cell r="C394" t="str">
            <v>USA</v>
          </cell>
          <cell r="D394">
            <v>84</v>
          </cell>
          <cell r="E394">
            <v>355</v>
          </cell>
          <cell r="F394">
            <v>478</v>
          </cell>
          <cell r="G394">
            <v>136</v>
          </cell>
          <cell r="H394">
            <v>288</v>
          </cell>
          <cell r="I394">
            <v>72</v>
          </cell>
          <cell r="J394">
            <v>187</v>
          </cell>
          <cell r="K394">
            <v>118</v>
          </cell>
          <cell r="L394">
            <v>170</v>
          </cell>
          <cell r="M394">
            <v>48.06</v>
          </cell>
          <cell r="N394">
            <v>2014</v>
          </cell>
          <cell r="O394">
            <v>193</v>
          </cell>
          <cell r="P394" t="e">
            <v>#N/A</v>
          </cell>
        </row>
        <row r="395">
          <cell r="B395" t="str">
            <v>University of Lausanne</v>
          </cell>
          <cell r="C395" t="str">
            <v>Switzerland</v>
          </cell>
          <cell r="D395">
            <v>6</v>
          </cell>
          <cell r="E395">
            <v>95</v>
          </cell>
          <cell r="F395">
            <v>338</v>
          </cell>
          <cell r="G395">
            <v>210</v>
          </cell>
          <cell r="H395">
            <v>237</v>
          </cell>
          <cell r="I395">
            <v>108</v>
          </cell>
          <cell r="J395">
            <v>134</v>
          </cell>
          <cell r="K395">
            <v>128</v>
          </cell>
          <cell r="L395">
            <v>637</v>
          </cell>
          <cell r="M395">
            <v>48.05</v>
          </cell>
          <cell r="N395">
            <v>2014</v>
          </cell>
          <cell r="O395">
            <v>194</v>
          </cell>
          <cell r="P395">
            <v>43.1</v>
          </cell>
        </row>
        <row r="396">
          <cell r="B396" t="str">
            <v>Shanghai Jiao Tong University</v>
          </cell>
          <cell r="C396" t="str">
            <v>China</v>
          </cell>
          <cell r="D396">
            <v>4</v>
          </cell>
          <cell r="E396">
            <v>325</v>
          </cell>
          <cell r="F396">
            <v>149</v>
          </cell>
          <cell r="G396">
            <v>210</v>
          </cell>
          <cell r="H396">
            <v>102</v>
          </cell>
          <cell r="I396">
            <v>250</v>
          </cell>
          <cell r="J396">
            <v>250</v>
          </cell>
          <cell r="K396">
            <v>234</v>
          </cell>
          <cell r="L396">
            <v>138</v>
          </cell>
          <cell r="M396">
            <v>48.02</v>
          </cell>
          <cell r="N396">
            <v>2014</v>
          </cell>
          <cell r="O396">
            <v>195</v>
          </cell>
          <cell r="P396">
            <v>39.4</v>
          </cell>
        </row>
        <row r="397">
          <cell r="B397" t="str">
            <v>University of Missouriâ€“Columbia</v>
          </cell>
          <cell r="C397" t="str">
            <v>USA</v>
          </cell>
          <cell r="D397">
            <v>85</v>
          </cell>
          <cell r="E397">
            <v>243</v>
          </cell>
          <cell r="F397">
            <v>96</v>
          </cell>
          <cell r="G397">
            <v>97</v>
          </cell>
          <cell r="H397">
            <v>220</v>
          </cell>
          <cell r="I397">
            <v>213</v>
          </cell>
          <cell r="J397">
            <v>220</v>
          </cell>
          <cell r="K397">
            <v>234</v>
          </cell>
          <cell r="L397">
            <v>149</v>
          </cell>
          <cell r="M397">
            <v>48.02</v>
          </cell>
          <cell r="N397">
            <v>2014</v>
          </cell>
          <cell r="O397">
            <v>196</v>
          </cell>
          <cell r="P397" t="e">
            <v>#N/A</v>
          </cell>
        </row>
        <row r="398">
          <cell r="B398" t="str">
            <v>Technical University of Denmark</v>
          </cell>
          <cell r="C398" t="str">
            <v>Denmark</v>
          </cell>
          <cell r="D398">
            <v>3</v>
          </cell>
          <cell r="E398">
            <v>339</v>
          </cell>
          <cell r="F398">
            <v>478</v>
          </cell>
          <cell r="G398">
            <v>195</v>
          </cell>
          <cell r="H398">
            <v>240</v>
          </cell>
          <cell r="I398">
            <v>257</v>
          </cell>
          <cell r="J398">
            <v>200</v>
          </cell>
          <cell r="K398">
            <v>238</v>
          </cell>
          <cell r="L398">
            <v>48</v>
          </cell>
          <cell r="M398">
            <v>47.98</v>
          </cell>
          <cell r="N398">
            <v>2014</v>
          </cell>
          <cell r="O398">
            <v>197</v>
          </cell>
          <cell r="P398">
            <v>46.2</v>
          </cell>
        </row>
        <row r="399">
          <cell r="B399" t="str">
            <v>Complutense University of Madrid</v>
          </cell>
          <cell r="C399" t="str">
            <v>Spain</v>
          </cell>
          <cell r="D399">
            <v>2</v>
          </cell>
          <cell r="E399">
            <v>86</v>
          </cell>
          <cell r="F399">
            <v>55</v>
          </cell>
          <cell r="G399">
            <v>206</v>
          </cell>
          <cell r="H399">
            <v>213</v>
          </cell>
          <cell r="I399">
            <v>309</v>
          </cell>
          <cell r="J399">
            <v>406</v>
          </cell>
          <cell r="K399">
            <v>339</v>
          </cell>
          <cell r="L399">
            <v>204</v>
          </cell>
          <cell r="M399">
            <v>47.97</v>
          </cell>
          <cell r="N399">
            <v>2014</v>
          </cell>
          <cell r="O399">
            <v>198</v>
          </cell>
          <cell r="P399">
            <v>33.200000000000003</v>
          </cell>
        </row>
        <row r="400">
          <cell r="B400" t="str">
            <v>University of Cologne</v>
          </cell>
          <cell r="C400" t="str">
            <v>Germany</v>
          </cell>
          <cell r="D400">
            <v>12</v>
          </cell>
          <cell r="E400">
            <v>355</v>
          </cell>
          <cell r="F400">
            <v>109</v>
          </cell>
          <cell r="G400">
            <v>194</v>
          </cell>
          <cell r="H400">
            <v>215</v>
          </cell>
          <cell r="I400">
            <v>150</v>
          </cell>
          <cell r="J400">
            <v>187</v>
          </cell>
          <cell r="K400">
            <v>161</v>
          </cell>
          <cell r="L400">
            <v>426</v>
          </cell>
          <cell r="M400">
            <v>47.97</v>
          </cell>
          <cell r="N400">
            <v>2014</v>
          </cell>
          <cell r="O400">
            <v>199</v>
          </cell>
          <cell r="P400">
            <v>29.7</v>
          </cell>
        </row>
        <row r="401">
          <cell r="B401" t="str">
            <v>Trinity College, Dublin</v>
          </cell>
          <cell r="C401" t="str">
            <v>Ireland</v>
          </cell>
          <cell r="D401">
            <v>1</v>
          </cell>
          <cell r="E401">
            <v>319</v>
          </cell>
          <cell r="F401">
            <v>68</v>
          </cell>
          <cell r="G401">
            <v>193</v>
          </cell>
          <cell r="H401">
            <v>301</v>
          </cell>
          <cell r="I401">
            <v>249</v>
          </cell>
          <cell r="J401">
            <v>150</v>
          </cell>
          <cell r="K401">
            <v>201</v>
          </cell>
          <cell r="L401">
            <v>227</v>
          </cell>
          <cell r="M401">
            <v>47.96</v>
          </cell>
          <cell r="N401">
            <v>2014</v>
          </cell>
          <cell r="O401">
            <v>200</v>
          </cell>
          <cell r="P401" t="e">
            <v>#N/A</v>
          </cell>
        </row>
        <row r="402">
          <cell r="B402" t="str">
            <v>University of Bern</v>
          </cell>
          <cell r="C402" t="str">
            <v>Switzerland</v>
          </cell>
          <cell r="D402">
            <v>7</v>
          </cell>
          <cell r="E402">
            <v>166</v>
          </cell>
          <cell r="F402">
            <v>478</v>
          </cell>
          <cell r="G402">
            <v>205</v>
          </cell>
          <cell r="H402">
            <v>167</v>
          </cell>
          <cell r="I402">
            <v>119</v>
          </cell>
          <cell r="J402">
            <v>99</v>
          </cell>
          <cell r="K402">
            <v>155</v>
          </cell>
          <cell r="L402">
            <v>426</v>
          </cell>
          <cell r="M402">
            <v>47.93</v>
          </cell>
          <cell r="N402">
            <v>2014</v>
          </cell>
          <cell r="O402">
            <v>201</v>
          </cell>
          <cell r="P402">
            <v>43</v>
          </cell>
        </row>
        <row r="403">
          <cell r="B403" t="str">
            <v>Chinese University of Hong Kong</v>
          </cell>
          <cell r="C403" t="str">
            <v>Hong Kong</v>
          </cell>
          <cell r="D403">
            <v>2</v>
          </cell>
          <cell r="E403">
            <v>90</v>
          </cell>
          <cell r="F403">
            <v>478</v>
          </cell>
          <cell r="G403">
            <v>88</v>
          </cell>
          <cell r="H403">
            <v>171</v>
          </cell>
          <cell r="I403">
            <v>386</v>
          </cell>
          <cell r="J403">
            <v>159</v>
          </cell>
          <cell r="K403">
            <v>203</v>
          </cell>
          <cell r="L403">
            <v>204</v>
          </cell>
          <cell r="M403">
            <v>47.83</v>
          </cell>
          <cell r="N403">
            <v>2014</v>
          </cell>
          <cell r="O403">
            <v>202</v>
          </cell>
          <cell r="P403">
            <v>47</v>
          </cell>
        </row>
        <row r="404">
          <cell r="B404" t="str">
            <v>University of Kansas</v>
          </cell>
          <cell r="C404" t="str">
            <v>USA</v>
          </cell>
          <cell r="D404">
            <v>86</v>
          </cell>
          <cell r="E404">
            <v>216</v>
          </cell>
          <cell r="F404">
            <v>83</v>
          </cell>
          <cell r="G404">
            <v>210</v>
          </cell>
          <cell r="H404">
            <v>209</v>
          </cell>
          <cell r="I404">
            <v>161</v>
          </cell>
          <cell r="J404">
            <v>159</v>
          </cell>
          <cell r="K404">
            <v>234</v>
          </cell>
          <cell r="L404">
            <v>194</v>
          </cell>
          <cell r="M404">
            <v>47.82</v>
          </cell>
          <cell r="N404">
            <v>2014</v>
          </cell>
          <cell r="O404">
            <v>203</v>
          </cell>
          <cell r="P404">
            <v>33.200000000000003</v>
          </cell>
        </row>
        <row r="405">
          <cell r="B405" t="str">
            <v>Sungkyunkwan University</v>
          </cell>
          <cell r="C405" t="str">
            <v>South Korea</v>
          </cell>
          <cell r="D405">
            <v>7</v>
          </cell>
          <cell r="E405">
            <v>355</v>
          </cell>
          <cell r="F405">
            <v>191</v>
          </cell>
          <cell r="G405">
            <v>210</v>
          </cell>
          <cell r="H405">
            <v>206</v>
          </cell>
          <cell r="I405">
            <v>331</v>
          </cell>
          <cell r="J405">
            <v>187</v>
          </cell>
          <cell r="K405">
            <v>295</v>
          </cell>
          <cell r="L405">
            <v>54</v>
          </cell>
          <cell r="M405">
            <v>47.79</v>
          </cell>
          <cell r="N405">
            <v>2014</v>
          </cell>
          <cell r="O405">
            <v>204</v>
          </cell>
          <cell r="P405" t="e">
            <v>#N/A</v>
          </cell>
        </row>
        <row r="406">
          <cell r="B406" t="str">
            <v>University of Vienna</v>
          </cell>
          <cell r="C406" t="str">
            <v>Austria</v>
          </cell>
          <cell r="D406">
            <v>1</v>
          </cell>
          <cell r="E406">
            <v>200</v>
          </cell>
          <cell r="F406">
            <v>160</v>
          </cell>
          <cell r="G406">
            <v>100</v>
          </cell>
          <cell r="H406">
            <v>225</v>
          </cell>
          <cell r="I406">
            <v>147</v>
          </cell>
          <cell r="J406">
            <v>150</v>
          </cell>
          <cell r="K406">
            <v>192</v>
          </cell>
          <cell r="L406">
            <v>737</v>
          </cell>
          <cell r="M406">
            <v>47.78</v>
          </cell>
          <cell r="N406">
            <v>2014</v>
          </cell>
          <cell r="O406">
            <v>205</v>
          </cell>
          <cell r="P406">
            <v>47.6</v>
          </cell>
        </row>
        <row r="407">
          <cell r="B407" t="str">
            <v>Zhejiang University</v>
          </cell>
          <cell r="C407" t="str">
            <v>China</v>
          </cell>
          <cell r="D407">
            <v>5</v>
          </cell>
          <cell r="E407">
            <v>355</v>
          </cell>
          <cell r="F407">
            <v>293</v>
          </cell>
          <cell r="G407">
            <v>210</v>
          </cell>
          <cell r="H407">
            <v>86</v>
          </cell>
          <cell r="I407">
            <v>318</v>
          </cell>
          <cell r="J407">
            <v>493</v>
          </cell>
          <cell r="K407">
            <v>290</v>
          </cell>
          <cell r="L407">
            <v>94</v>
          </cell>
          <cell r="M407">
            <v>47.76</v>
          </cell>
          <cell r="N407">
            <v>2014</v>
          </cell>
          <cell r="O407">
            <v>206</v>
          </cell>
          <cell r="P407">
            <v>54.6</v>
          </cell>
        </row>
        <row r="408">
          <cell r="B408" t="str">
            <v>University of Georgia</v>
          </cell>
          <cell r="C408" t="str">
            <v>USA</v>
          </cell>
          <cell r="D408">
            <v>87</v>
          </cell>
          <cell r="E408">
            <v>104</v>
          </cell>
          <cell r="F408">
            <v>193</v>
          </cell>
          <cell r="G408">
            <v>169</v>
          </cell>
          <cell r="H408">
            <v>176</v>
          </cell>
          <cell r="I408">
            <v>122</v>
          </cell>
          <cell r="J408">
            <v>187</v>
          </cell>
          <cell r="K408">
            <v>247</v>
          </cell>
          <cell r="L408">
            <v>128</v>
          </cell>
          <cell r="M408">
            <v>47.75</v>
          </cell>
          <cell r="N408">
            <v>2014</v>
          </cell>
          <cell r="O408">
            <v>207</v>
          </cell>
          <cell r="P408">
            <v>44.4</v>
          </cell>
        </row>
        <row r="409">
          <cell r="B409" t="str">
            <v>University of Massachusetts Amherst</v>
          </cell>
          <cell r="C409" t="str">
            <v>USA</v>
          </cell>
          <cell r="D409">
            <v>88</v>
          </cell>
          <cell r="E409">
            <v>199</v>
          </cell>
          <cell r="F409">
            <v>118</v>
          </cell>
          <cell r="G409">
            <v>154</v>
          </cell>
          <cell r="H409">
            <v>194</v>
          </cell>
          <cell r="I409">
            <v>190</v>
          </cell>
          <cell r="J409">
            <v>159</v>
          </cell>
          <cell r="K409">
            <v>201</v>
          </cell>
          <cell r="L409">
            <v>373</v>
          </cell>
          <cell r="M409">
            <v>47.74</v>
          </cell>
          <cell r="N409">
            <v>2014</v>
          </cell>
          <cell r="O409">
            <v>208</v>
          </cell>
          <cell r="P409" t="e">
            <v>#N/A</v>
          </cell>
        </row>
        <row r="410">
          <cell r="B410" t="str">
            <v>Cardiff University</v>
          </cell>
          <cell r="C410" t="str">
            <v>United Kingdom</v>
          </cell>
          <cell r="D410">
            <v>16</v>
          </cell>
          <cell r="E410">
            <v>306</v>
          </cell>
          <cell r="F410">
            <v>183</v>
          </cell>
          <cell r="G410">
            <v>135</v>
          </cell>
          <cell r="H410">
            <v>183</v>
          </cell>
          <cell r="I410">
            <v>153</v>
          </cell>
          <cell r="J410">
            <v>310</v>
          </cell>
          <cell r="K410">
            <v>189</v>
          </cell>
          <cell r="L410">
            <v>170</v>
          </cell>
          <cell r="M410">
            <v>47.74</v>
          </cell>
          <cell r="N410">
            <v>2014</v>
          </cell>
          <cell r="O410">
            <v>209</v>
          </cell>
          <cell r="P410">
            <v>28.9</v>
          </cell>
        </row>
        <row r="411">
          <cell r="B411" t="str">
            <v>University of MÃ¼nster</v>
          </cell>
          <cell r="C411" t="str">
            <v>Germany</v>
          </cell>
          <cell r="D411">
            <v>13</v>
          </cell>
          <cell r="E411">
            <v>114</v>
          </cell>
          <cell r="F411">
            <v>456</v>
          </cell>
          <cell r="G411">
            <v>171</v>
          </cell>
          <cell r="H411">
            <v>173</v>
          </cell>
          <cell r="I411">
            <v>197</v>
          </cell>
          <cell r="J411">
            <v>114</v>
          </cell>
          <cell r="K411">
            <v>180</v>
          </cell>
          <cell r="L411">
            <v>338</v>
          </cell>
          <cell r="M411">
            <v>47.73</v>
          </cell>
          <cell r="N411">
            <v>2014</v>
          </cell>
          <cell r="O411">
            <v>210</v>
          </cell>
          <cell r="P411">
            <v>27.8</v>
          </cell>
        </row>
        <row r="412">
          <cell r="B412" t="str">
            <v>University of Liverpool</v>
          </cell>
          <cell r="C412" t="str">
            <v>United Kingdom</v>
          </cell>
          <cell r="D412">
            <v>17</v>
          </cell>
          <cell r="E412">
            <v>159</v>
          </cell>
          <cell r="F412">
            <v>248</v>
          </cell>
          <cell r="G412">
            <v>200</v>
          </cell>
          <cell r="H412">
            <v>149</v>
          </cell>
          <cell r="I412">
            <v>163</v>
          </cell>
          <cell r="J412">
            <v>134</v>
          </cell>
          <cell r="K412">
            <v>189</v>
          </cell>
          <cell r="L412">
            <v>373</v>
          </cell>
          <cell r="M412">
            <v>47.69</v>
          </cell>
          <cell r="N412">
            <v>2014</v>
          </cell>
          <cell r="O412">
            <v>211</v>
          </cell>
          <cell r="P412">
            <v>40.799999999999997</v>
          </cell>
        </row>
        <row r="413">
          <cell r="B413" t="str">
            <v>University of Ottawa</v>
          </cell>
          <cell r="C413" t="str">
            <v>Canada</v>
          </cell>
          <cell r="D413">
            <v>9</v>
          </cell>
          <cell r="E413">
            <v>355</v>
          </cell>
          <cell r="F413">
            <v>287</v>
          </cell>
          <cell r="G413">
            <v>210</v>
          </cell>
          <cell r="H413">
            <v>185</v>
          </cell>
          <cell r="I413">
            <v>191</v>
          </cell>
          <cell r="J413">
            <v>159</v>
          </cell>
          <cell r="K413">
            <v>141</v>
          </cell>
          <cell r="L413">
            <v>481</v>
          </cell>
          <cell r="M413">
            <v>47.69</v>
          </cell>
          <cell r="N413">
            <v>2014</v>
          </cell>
          <cell r="O413">
            <v>212</v>
          </cell>
          <cell r="P413">
            <v>38.9</v>
          </cell>
        </row>
        <row r="414">
          <cell r="B414" t="str">
            <v>University of Erlangen-Nuremberg</v>
          </cell>
          <cell r="C414" t="str">
            <v>Germany</v>
          </cell>
          <cell r="D414">
            <v>14</v>
          </cell>
          <cell r="E414">
            <v>222</v>
          </cell>
          <cell r="F414">
            <v>478</v>
          </cell>
          <cell r="G414">
            <v>210</v>
          </cell>
          <cell r="H414">
            <v>170</v>
          </cell>
          <cell r="I414">
            <v>208</v>
          </cell>
          <cell r="J414">
            <v>134</v>
          </cell>
          <cell r="K414">
            <v>145</v>
          </cell>
          <cell r="L414">
            <v>307</v>
          </cell>
          <cell r="M414">
            <v>47.69</v>
          </cell>
          <cell r="N414">
            <v>2014</v>
          </cell>
          <cell r="O414">
            <v>213</v>
          </cell>
          <cell r="P414">
            <v>35</v>
          </cell>
        </row>
        <row r="415">
          <cell r="B415" t="str">
            <v>Queen Mary University of London</v>
          </cell>
          <cell r="C415" t="str">
            <v>United Kingdom</v>
          </cell>
          <cell r="D415">
            <v>18</v>
          </cell>
          <cell r="E415">
            <v>133</v>
          </cell>
          <cell r="F415">
            <v>348</v>
          </cell>
          <cell r="G415">
            <v>210</v>
          </cell>
          <cell r="H415">
            <v>231</v>
          </cell>
          <cell r="I415">
            <v>181</v>
          </cell>
          <cell r="J415">
            <v>220</v>
          </cell>
          <cell r="K415">
            <v>141</v>
          </cell>
          <cell r="L415">
            <v>227</v>
          </cell>
          <cell r="M415">
            <v>47.67</v>
          </cell>
          <cell r="N415">
            <v>2014</v>
          </cell>
          <cell r="O415">
            <v>214</v>
          </cell>
          <cell r="P415">
            <v>39.700000000000003</v>
          </cell>
        </row>
        <row r="416">
          <cell r="B416" t="str">
            <v>Karlsruhe Institute of Technology</v>
          </cell>
          <cell r="C416" t="str">
            <v>Germany</v>
          </cell>
          <cell r="D416">
            <v>15</v>
          </cell>
          <cell r="E416">
            <v>343</v>
          </cell>
          <cell r="F416">
            <v>170</v>
          </cell>
          <cell r="G416">
            <v>122</v>
          </cell>
          <cell r="H416">
            <v>193</v>
          </cell>
          <cell r="I416">
            <v>271</v>
          </cell>
          <cell r="J416">
            <v>150</v>
          </cell>
          <cell r="K416">
            <v>249</v>
          </cell>
          <cell r="L416">
            <v>109</v>
          </cell>
          <cell r="M416">
            <v>47.67</v>
          </cell>
          <cell r="N416">
            <v>2014</v>
          </cell>
          <cell r="O416">
            <v>215</v>
          </cell>
          <cell r="P416">
            <v>45</v>
          </cell>
        </row>
        <row r="417">
          <cell r="B417" t="str">
            <v>Louisiana State University - Baton Rouge</v>
          </cell>
          <cell r="C417" t="str">
            <v>USA</v>
          </cell>
          <cell r="D417">
            <v>89</v>
          </cell>
          <cell r="E417">
            <v>256</v>
          </cell>
          <cell r="F417">
            <v>179</v>
          </cell>
          <cell r="G417">
            <v>210</v>
          </cell>
          <cell r="H417">
            <v>162</v>
          </cell>
          <cell r="I417">
            <v>179</v>
          </cell>
          <cell r="J417">
            <v>159</v>
          </cell>
          <cell r="K417">
            <v>176</v>
          </cell>
          <cell r="L417">
            <v>481</v>
          </cell>
          <cell r="M417">
            <v>47.67</v>
          </cell>
          <cell r="N417">
            <v>2014</v>
          </cell>
          <cell r="O417">
            <v>216</v>
          </cell>
          <cell r="P417" t="e">
            <v>#N/A</v>
          </cell>
        </row>
        <row r="418">
          <cell r="B418" t="str">
            <v>Nanjing University</v>
          </cell>
          <cell r="C418" t="str">
            <v>China</v>
          </cell>
          <cell r="D418">
            <v>6</v>
          </cell>
          <cell r="E418">
            <v>331</v>
          </cell>
          <cell r="F418">
            <v>447</v>
          </cell>
          <cell r="G418">
            <v>210</v>
          </cell>
          <cell r="H418">
            <v>148</v>
          </cell>
          <cell r="I418">
            <v>371</v>
          </cell>
          <cell r="J418">
            <v>363</v>
          </cell>
          <cell r="K418">
            <v>288</v>
          </cell>
          <cell r="L418">
            <v>57</v>
          </cell>
          <cell r="M418">
            <v>47.67</v>
          </cell>
          <cell r="N418">
            <v>2014</v>
          </cell>
          <cell r="O418">
            <v>217</v>
          </cell>
          <cell r="P418">
            <v>52.2</v>
          </cell>
        </row>
        <row r="419">
          <cell r="B419" t="str">
            <v>University of Illinois at Chicago</v>
          </cell>
          <cell r="C419" t="str">
            <v>USA</v>
          </cell>
          <cell r="D419">
            <v>90</v>
          </cell>
          <cell r="E419">
            <v>355</v>
          </cell>
          <cell r="F419">
            <v>416</v>
          </cell>
          <cell r="G419">
            <v>210</v>
          </cell>
          <cell r="H419">
            <v>131</v>
          </cell>
          <cell r="I419">
            <v>189</v>
          </cell>
          <cell r="J419">
            <v>220</v>
          </cell>
          <cell r="K419">
            <v>185</v>
          </cell>
          <cell r="L419">
            <v>170</v>
          </cell>
          <cell r="M419">
            <v>47.63</v>
          </cell>
          <cell r="N419">
            <v>2014</v>
          </cell>
          <cell r="O419">
            <v>218</v>
          </cell>
          <cell r="P419">
            <v>57.8</v>
          </cell>
        </row>
        <row r="420">
          <cell r="B420" t="str">
            <v>University of Bologna</v>
          </cell>
          <cell r="C420" t="str">
            <v>Italy</v>
          </cell>
          <cell r="D420">
            <v>4</v>
          </cell>
          <cell r="E420">
            <v>342</v>
          </cell>
          <cell r="F420">
            <v>319</v>
          </cell>
          <cell r="G420">
            <v>210</v>
          </cell>
          <cell r="H420">
            <v>130</v>
          </cell>
          <cell r="I420">
            <v>283</v>
          </cell>
          <cell r="J420">
            <v>187</v>
          </cell>
          <cell r="K420">
            <v>169</v>
          </cell>
          <cell r="L420">
            <v>552</v>
          </cell>
          <cell r="M420">
            <v>47.59</v>
          </cell>
          <cell r="N420">
            <v>2014</v>
          </cell>
          <cell r="O420">
            <v>219</v>
          </cell>
          <cell r="P420">
            <v>32.700000000000003</v>
          </cell>
        </row>
        <row r="421">
          <cell r="B421" t="str">
            <v>University of Manitoba</v>
          </cell>
          <cell r="C421" t="str">
            <v>Canada</v>
          </cell>
          <cell r="D421">
            <v>10</v>
          </cell>
          <cell r="E421">
            <v>149</v>
          </cell>
          <cell r="F421">
            <v>84</v>
          </cell>
          <cell r="G421">
            <v>150</v>
          </cell>
          <cell r="H421">
            <v>257</v>
          </cell>
          <cell r="I421">
            <v>297</v>
          </cell>
          <cell r="J421">
            <v>220</v>
          </cell>
          <cell r="K421">
            <v>249</v>
          </cell>
          <cell r="L421">
            <v>227</v>
          </cell>
          <cell r="M421">
            <v>47.56</v>
          </cell>
          <cell r="N421">
            <v>2014</v>
          </cell>
          <cell r="O421">
            <v>220</v>
          </cell>
          <cell r="P421">
            <v>29.5</v>
          </cell>
        </row>
        <row r="422">
          <cell r="B422" t="str">
            <v>Joseph Fourier University</v>
          </cell>
          <cell r="C422" t="str">
            <v>France</v>
          </cell>
          <cell r="D422">
            <v>8</v>
          </cell>
          <cell r="E422">
            <v>181</v>
          </cell>
          <cell r="F422">
            <v>478</v>
          </cell>
          <cell r="G422">
            <v>210</v>
          </cell>
          <cell r="H422">
            <v>136</v>
          </cell>
          <cell r="I422">
            <v>101</v>
          </cell>
          <cell r="J422">
            <v>220</v>
          </cell>
          <cell r="K422">
            <v>207</v>
          </cell>
          <cell r="L422">
            <v>159</v>
          </cell>
          <cell r="M422">
            <v>47.54</v>
          </cell>
          <cell r="N422">
            <v>2014</v>
          </cell>
          <cell r="O422">
            <v>221</v>
          </cell>
          <cell r="P422">
            <v>36.6</v>
          </cell>
        </row>
        <row r="423">
          <cell r="B423" t="str">
            <v>University of California, Riverside</v>
          </cell>
          <cell r="C423" t="str">
            <v>USA</v>
          </cell>
          <cell r="D423">
            <v>91</v>
          </cell>
          <cell r="E423">
            <v>228</v>
          </cell>
          <cell r="F423">
            <v>478</v>
          </cell>
          <cell r="G423">
            <v>210</v>
          </cell>
          <cell r="H423">
            <v>199</v>
          </cell>
          <cell r="I423">
            <v>98</v>
          </cell>
          <cell r="J423">
            <v>134</v>
          </cell>
          <cell r="K423">
            <v>169</v>
          </cell>
          <cell r="L423">
            <v>259</v>
          </cell>
          <cell r="M423">
            <v>47.53</v>
          </cell>
          <cell r="N423">
            <v>2014</v>
          </cell>
          <cell r="O423">
            <v>222</v>
          </cell>
          <cell r="P423">
            <v>38.6</v>
          </cell>
        </row>
        <row r="424">
          <cell r="B424" t="str">
            <v>Julius-Maximilian's University of WÃ¼rzburg</v>
          </cell>
          <cell r="C424" t="str">
            <v>Germany</v>
          </cell>
          <cell r="D424">
            <v>16</v>
          </cell>
          <cell r="E424">
            <v>100</v>
          </cell>
          <cell r="F424">
            <v>407</v>
          </cell>
          <cell r="G424">
            <v>164</v>
          </cell>
          <cell r="H424">
            <v>216</v>
          </cell>
          <cell r="I424">
            <v>178</v>
          </cell>
          <cell r="J424">
            <v>200</v>
          </cell>
          <cell r="K424">
            <v>173</v>
          </cell>
          <cell r="L424">
            <v>481</v>
          </cell>
          <cell r="M424">
            <v>47.5</v>
          </cell>
          <cell r="N424">
            <v>2014</v>
          </cell>
          <cell r="O424">
            <v>223</v>
          </cell>
          <cell r="P424" t="e">
            <v>#N/A</v>
          </cell>
        </row>
        <row r="425">
          <cell r="B425" t="str">
            <v>Aix-Marseille University</v>
          </cell>
          <cell r="C425" t="str">
            <v>France</v>
          </cell>
          <cell r="D425">
            <v>9</v>
          </cell>
          <cell r="E425">
            <v>220</v>
          </cell>
          <cell r="F425">
            <v>472</v>
          </cell>
          <cell r="G425">
            <v>210</v>
          </cell>
          <cell r="H425">
            <v>129</v>
          </cell>
          <cell r="I425">
            <v>83</v>
          </cell>
          <cell r="J425">
            <v>176</v>
          </cell>
          <cell r="K425">
            <v>215</v>
          </cell>
          <cell r="L425">
            <v>227</v>
          </cell>
          <cell r="M425">
            <v>47.48</v>
          </cell>
          <cell r="N425">
            <v>2014</v>
          </cell>
          <cell r="O425">
            <v>224</v>
          </cell>
          <cell r="P425">
            <v>36.700000000000003</v>
          </cell>
        </row>
        <row r="426">
          <cell r="B426" t="str">
            <v>University of Western Australia</v>
          </cell>
          <cell r="C426" t="str">
            <v>Australia</v>
          </cell>
          <cell r="D426">
            <v>7</v>
          </cell>
          <cell r="E426">
            <v>145</v>
          </cell>
          <cell r="F426">
            <v>397</v>
          </cell>
          <cell r="G426">
            <v>140</v>
          </cell>
          <cell r="H426">
            <v>165</v>
          </cell>
          <cell r="I426">
            <v>214</v>
          </cell>
          <cell r="J426">
            <v>283</v>
          </cell>
          <cell r="K426">
            <v>176</v>
          </cell>
          <cell r="L426">
            <v>373</v>
          </cell>
          <cell r="M426">
            <v>47.47</v>
          </cell>
          <cell r="N426">
            <v>2014</v>
          </cell>
          <cell r="O426">
            <v>225</v>
          </cell>
          <cell r="P426">
            <v>32.1</v>
          </cell>
        </row>
        <row r="427">
          <cell r="B427" t="str">
            <v>Laval University</v>
          </cell>
          <cell r="C427" t="str">
            <v>Canada</v>
          </cell>
          <cell r="D427">
            <v>11</v>
          </cell>
          <cell r="E427">
            <v>285</v>
          </cell>
          <cell r="F427">
            <v>296</v>
          </cell>
          <cell r="G427">
            <v>210</v>
          </cell>
          <cell r="H427">
            <v>212</v>
          </cell>
          <cell r="I427">
            <v>270</v>
          </cell>
          <cell r="J427">
            <v>220</v>
          </cell>
          <cell r="K427">
            <v>200</v>
          </cell>
          <cell r="L427">
            <v>109</v>
          </cell>
          <cell r="M427">
            <v>47.47</v>
          </cell>
          <cell r="N427">
            <v>2014</v>
          </cell>
          <cell r="O427">
            <v>226</v>
          </cell>
          <cell r="P427">
            <v>36.4</v>
          </cell>
        </row>
        <row r="428">
          <cell r="B428" t="str">
            <v>University of Tennessee, Knoxville</v>
          </cell>
          <cell r="C428" t="str">
            <v>USA</v>
          </cell>
          <cell r="D428">
            <v>92</v>
          </cell>
          <cell r="E428">
            <v>300</v>
          </cell>
          <cell r="F428">
            <v>117</v>
          </cell>
          <cell r="G428">
            <v>210</v>
          </cell>
          <cell r="H428">
            <v>192</v>
          </cell>
          <cell r="I428">
            <v>177</v>
          </cell>
          <cell r="J428">
            <v>134</v>
          </cell>
          <cell r="K428">
            <v>224</v>
          </cell>
          <cell r="L428">
            <v>481</v>
          </cell>
          <cell r="M428">
            <v>47.45</v>
          </cell>
          <cell r="N428">
            <v>2014</v>
          </cell>
          <cell r="O428">
            <v>227</v>
          </cell>
          <cell r="P428">
            <v>29.5</v>
          </cell>
        </row>
        <row r="429">
          <cell r="B429" t="str">
            <v>North Carolina State University</v>
          </cell>
          <cell r="C429" t="str">
            <v>USA</v>
          </cell>
          <cell r="D429">
            <v>93</v>
          </cell>
          <cell r="E429">
            <v>245</v>
          </cell>
          <cell r="F429">
            <v>194</v>
          </cell>
          <cell r="G429">
            <v>210</v>
          </cell>
          <cell r="H429">
            <v>151</v>
          </cell>
          <cell r="I429">
            <v>202</v>
          </cell>
          <cell r="J429">
            <v>159</v>
          </cell>
          <cell r="K429">
            <v>238</v>
          </cell>
          <cell r="L429">
            <v>181</v>
          </cell>
          <cell r="M429">
            <v>47.43</v>
          </cell>
          <cell r="N429">
            <v>2014</v>
          </cell>
          <cell r="O429">
            <v>228</v>
          </cell>
          <cell r="P429">
            <v>34.799999999999997</v>
          </cell>
        </row>
        <row r="430">
          <cell r="B430" t="str">
            <v>Newcastle University</v>
          </cell>
          <cell r="C430" t="str">
            <v>United Kingdom</v>
          </cell>
          <cell r="D430">
            <v>19</v>
          </cell>
          <cell r="E430">
            <v>355</v>
          </cell>
          <cell r="F430">
            <v>250</v>
          </cell>
          <cell r="G430">
            <v>210</v>
          </cell>
          <cell r="H430">
            <v>200</v>
          </cell>
          <cell r="I430">
            <v>149</v>
          </cell>
          <cell r="J430">
            <v>200</v>
          </cell>
          <cell r="K430">
            <v>164</v>
          </cell>
          <cell r="L430">
            <v>481</v>
          </cell>
          <cell r="M430">
            <v>47.42</v>
          </cell>
          <cell r="N430">
            <v>2014</v>
          </cell>
          <cell r="O430">
            <v>229</v>
          </cell>
          <cell r="P430">
            <v>42.7</v>
          </cell>
        </row>
        <row r="431">
          <cell r="B431" t="str">
            <v>Claude Bernard University Lyon 1</v>
          </cell>
          <cell r="C431" t="str">
            <v>France</v>
          </cell>
          <cell r="D431">
            <v>10</v>
          </cell>
          <cell r="E431">
            <v>355</v>
          </cell>
          <cell r="F431">
            <v>478</v>
          </cell>
          <cell r="G431">
            <v>210</v>
          </cell>
          <cell r="H431">
            <v>133</v>
          </cell>
          <cell r="I431">
            <v>130</v>
          </cell>
          <cell r="J431">
            <v>220</v>
          </cell>
          <cell r="K431">
            <v>196</v>
          </cell>
          <cell r="L431">
            <v>204</v>
          </cell>
          <cell r="M431">
            <v>47.42</v>
          </cell>
          <cell r="N431">
            <v>2014</v>
          </cell>
          <cell r="O431">
            <v>230</v>
          </cell>
          <cell r="P431">
            <v>23.6</v>
          </cell>
        </row>
        <row r="432">
          <cell r="B432" t="str">
            <v>University of Turin</v>
          </cell>
          <cell r="C432" t="str">
            <v>Italy</v>
          </cell>
          <cell r="D432">
            <v>5</v>
          </cell>
          <cell r="E432">
            <v>311</v>
          </cell>
          <cell r="F432">
            <v>471</v>
          </cell>
          <cell r="G432">
            <v>159</v>
          </cell>
          <cell r="H432">
            <v>214</v>
          </cell>
          <cell r="I432">
            <v>272</v>
          </cell>
          <cell r="J432">
            <v>220</v>
          </cell>
          <cell r="K432">
            <v>151</v>
          </cell>
          <cell r="L432">
            <v>552</v>
          </cell>
          <cell r="M432">
            <v>47.4</v>
          </cell>
          <cell r="N432">
            <v>2014</v>
          </cell>
          <cell r="O432">
            <v>231</v>
          </cell>
          <cell r="P432">
            <v>22.6</v>
          </cell>
        </row>
        <row r="433">
          <cell r="B433" t="str">
            <v>University of Kiel</v>
          </cell>
          <cell r="C433" t="str">
            <v>Germany</v>
          </cell>
          <cell r="D433">
            <v>17</v>
          </cell>
          <cell r="E433">
            <v>180</v>
          </cell>
          <cell r="F433">
            <v>396</v>
          </cell>
          <cell r="G433">
            <v>192</v>
          </cell>
          <cell r="H433">
            <v>236</v>
          </cell>
          <cell r="I433">
            <v>185</v>
          </cell>
          <cell r="J433">
            <v>220</v>
          </cell>
          <cell r="K433">
            <v>158</v>
          </cell>
          <cell r="L433">
            <v>280</v>
          </cell>
          <cell r="M433">
            <v>47.39</v>
          </cell>
          <cell r="N433">
            <v>2014</v>
          </cell>
          <cell r="O433">
            <v>232</v>
          </cell>
          <cell r="P433">
            <v>29.3</v>
          </cell>
        </row>
        <row r="434">
          <cell r="B434" t="str">
            <v>University of Connecticut</v>
          </cell>
          <cell r="C434" t="str">
            <v>USA</v>
          </cell>
          <cell r="D434">
            <v>94</v>
          </cell>
          <cell r="E434">
            <v>282</v>
          </cell>
          <cell r="F434">
            <v>402</v>
          </cell>
          <cell r="G434">
            <v>210</v>
          </cell>
          <cell r="H434">
            <v>160</v>
          </cell>
          <cell r="I434">
            <v>187</v>
          </cell>
          <cell r="J434">
            <v>200</v>
          </cell>
          <cell r="K434">
            <v>185</v>
          </cell>
          <cell r="L434">
            <v>204</v>
          </cell>
          <cell r="M434">
            <v>47.35</v>
          </cell>
          <cell r="N434">
            <v>2014</v>
          </cell>
          <cell r="O434">
            <v>233</v>
          </cell>
          <cell r="P434">
            <v>42.5</v>
          </cell>
        </row>
        <row r="435">
          <cell r="B435" t="str">
            <v>Tulane University</v>
          </cell>
          <cell r="C435" t="str">
            <v>USA</v>
          </cell>
          <cell r="D435">
            <v>95</v>
          </cell>
          <cell r="E435">
            <v>298</v>
          </cell>
          <cell r="F435">
            <v>92</v>
          </cell>
          <cell r="G435">
            <v>210</v>
          </cell>
          <cell r="H435">
            <v>363</v>
          </cell>
          <cell r="I435">
            <v>298</v>
          </cell>
          <cell r="J435">
            <v>283</v>
          </cell>
          <cell r="K435">
            <v>215</v>
          </cell>
          <cell r="L435">
            <v>194</v>
          </cell>
          <cell r="M435">
            <v>47.34</v>
          </cell>
          <cell r="N435">
            <v>2014</v>
          </cell>
          <cell r="O435">
            <v>234</v>
          </cell>
          <cell r="P435">
            <v>28</v>
          </cell>
        </row>
        <row r="436">
          <cell r="B436" t="str">
            <v>University of Oklahoma - Norman Campus</v>
          </cell>
          <cell r="C436" t="str">
            <v>USA</v>
          </cell>
          <cell r="D436">
            <v>96</v>
          </cell>
          <cell r="E436">
            <v>355</v>
          </cell>
          <cell r="F436">
            <v>124</v>
          </cell>
          <cell r="G436">
            <v>210</v>
          </cell>
          <cell r="H436">
            <v>238</v>
          </cell>
          <cell r="I436">
            <v>223</v>
          </cell>
          <cell r="J436">
            <v>176</v>
          </cell>
          <cell r="K436">
            <v>203</v>
          </cell>
          <cell r="L436">
            <v>307</v>
          </cell>
          <cell r="M436">
            <v>47.33</v>
          </cell>
          <cell r="N436">
            <v>2014</v>
          </cell>
          <cell r="O436">
            <v>235</v>
          </cell>
          <cell r="P436" t="e">
            <v>#N/A</v>
          </cell>
        </row>
        <row r="437">
          <cell r="B437" t="str">
            <v>Brandeis University</v>
          </cell>
          <cell r="C437" t="str">
            <v>USA</v>
          </cell>
          <cell r="D437">
            <v>97</v>
          </cell>
          <cell r="E437">
            <v>49</v>
          </cell>
          <cell r="F437">
            <v>311</v>
          </cell>
          <cell r="G437">
            <v>79</v>
          </cell>
          <cell r="H437">
            <v>527</v>
          </cell>
          <cell r="I437">
            <v>169</v>
          </cell>
          <cell r="J437">
            <v>493</v>
          </cell>
          <cell r="K437">
            <v>322</v>
          </cell>
          <cell r="L437">
            <v>128</v>
          </cell>
          <cell r="M437">
            <v>47.31</v>
          </cell>
          <cell r="N437">
            <v>2014</v>
          </cell>
          <cell r="O437">
            <v>236</v>
          </cell>
          <cell r="P437">
            <v>25.3</v>
          </cell>
        </row>
        <row r="438">
          <cell r="B438" t="str">
            <v>Dresden University of Technology</v>
          </cell>
          <cell r="C438" t="str">
            <v>Germany</v>
          </cell>
          <cell r="D438">
            <v>18</v>
          </cell>
          <cell r="E438">
            <v>355</v>
          </cell>
          <cell r="F438">
            <v>478</v>
          </cell>
          <cell r="G438">
            <v>210</v>
          </cell>
          <cell r="H438">
            <v>218</v>
          </cell>
          <cell r="I438">
            <v>227</v>
          </cell>
          <cell r="J438">
            <v>176</v>
          </cell>
          <cell r="K438">
            <v>211</v>
          </cell>
          <cell r="L438">
            <v>109</v>
          </cell>
          <cell r="M438">
            <v>47.26</v>
          </cell>
          <cell r="N438">
            <v>2014</v>
          </cell>
          <cell r="O438">
            <v>237</v>
          </cell>
          <cell r="P438" t="e">
            <v>#N/A</v>
          </cell>
        </row>
        <row r="439">
          <cell r="B439" t="str">
            <v>RWTH Aachen University</v>
          </cell>
          <cell r="C439" t="str">
            <v>Germany</v>
          </cell>
          <cell r="D439">
            <v>19</v>
          </cell>
          <cell r="E439">
            <v>346</v>
          </cell>
          <cell r="F439">
            <v>286</v>
          </cell>
          <cell r="G439">
            <v>122</v>
          </cell>
          <cell r="H439">
            <v>197</v>
          </cell>
          <cell r="I439">
            <v>364</v>
          </cell>
          <cell r="J439">
            <v>187</v>
          </cell>
          <cell r="K439">
            <v>230</v>
          </cell>
          <cell r="L439">
            <v>138</v>
          </cell>
          <cell r="M439">
            <v>47.26</v>
          </cell>
          <cell r="N439">
            <v>2014</v>
          </cell>
          <cell r="O439">
            <v>238</v>
          </cell>
          <cell r="P439">
            <v>50</v>
          </cell>
        </row>
        <row r="440">
          <cell r="B440" t="str">
            <v>University of Texas Health Science Center at San Antonio</v>
          </cell>
          <cell r="C440" t="str">
            <v>USA</v>
          </cell>
          <cell r="D440">
            <v>98</v>
          </cell>
          <cell r="E440">
            <v>355</v>
          </cell>
          <cell r="F440">
            <v>478</v>
          </cell>
          <cell r="G440">
            <v>210</v>
          </cell>
          <cell r="H440">
            <v>314</v>
          </cell>
          <cell r="I440">
            <v>224</v>
          </cell>
          <cell r="J440">
            <v>130</v>
          </cell>
          <cell r="K440">
            <v>145</v>
          </cell>
          <cell r="L440">
            <v>373</v>
          </cell>
          <cell r="M440">
            <v>47.26</v>
          </cell>
          <cell r="N440">
            <v>2014</v>
          </cell>
          <cell r="O440">
            <v>239</v>
          </cell>
          <cell r="P440" t="e">
            <v>#N/A</v>
          </cell>
        </row>
        <row r="441">
          <cell r="B441" t="str">
            <v>Virginia Commonwealth University</v>
          </cell>
          <cell r="C441" t="str">
            <v>USA</v>
          </cell>
          <cell r="D441">
            <v>99</v>
          </cell>
          <cell r="E441">
            <v>355</v>
          </cell>
          <cell r="F441">
            <v>428</v>
          </cell>
          <cell r="G441">
            <v>145</v>
          </cell>
          <cell r="H441">
            <v>263</v>
          </cell>
          <cell r="I441">
            <v>233</v>
          </cell>
          <cell r="J441">
            <v>200</v>
          </cell>
          <cell r="K441">
            <v>189</v>
          </cell>
          <cell r="L441">
            <v>149</v>
          </cell>
          <cell r="M441">
            <v>47.26</v>
          </cell>
          <cell r="N441">
            <v>2014</v>
          </cell>
          <cell r="O441">
            <v>240</v>
          </cell>
          <cell r="P441" t="e">
            <v>#N/A</v>
          </cell>
        </row>
        <row r="442">
          <cell r="B442" t="str">
            <v>University of Montpellier 2</v>
          </cell>
          <cell r="C442" t="str">
            <v>France</v>
          </cell>
          <cell r="D442">
            <v>11</v>
          </cell>
          <cell r="E442">
            <v>355</v>
          </cell>
          <cell r="F442">
            <v>358</v>
          </cell>
          <cell r="G442">
            <v>165</v>
          </cell>
          <cell r="H442">
            <v>174</v>
          </cell>
          <cell r="I442">
            <v>137</v>
          </cell>
          <cell r="J442">
            <v>200</v>
          </cell>
          <cell r="K442">
            <v>196</v>
          </cell>
          <cell r="L442">
            <v>280</v>
          </cell>
          <cell r="M442">
            <v>47.25</v>
          </cell>
          <cell r="N442">
            <v>2014</v>
          </cell>
          <cell r="O442">
            <v>241</v>
          </cell>
          <cell r="P442" t="e">
            <v>#N/A</v>
          </cell>
        </row>
        <row r="443">
          <cell r="B443" t="str">
            <v>Dalian University of Technology</v>
          </cell>
          <cell r="C443" t="str">
            <v>China</v>
          </cell>
          <cell r="D443">
            <v>7</v>
          </cell>
          <cell r="E443">
            <v>355</v>
          </cell>
          <cell r="F443">
            <v>67</v>
          </cell>
          <cell r="G443">
            <v>210</v>
          </cell>
          <cell r="H443">
            <v>326</v>
          </cell>
          <cell r="I443">
            <v>666</v>
          </cell>
          <cell r="J443">
            <v>406</v>
          </cell>
          <cell r="K443">
            <v>472</v>
          </cell>
          <cell r="L443">
            <v>74</v>
          </cell>
          <cell r="M443">
            <v>47.22</v>
          </cell>
          <cell r="N443">
            <v>2014</v>
          </cell>
          <cell r="O443">
            <v>242</v>
          </cell>
          <cell r="P443">
            <v>22.6</v>
          </cell>
        </row>
        <row r="444">
          <cell r="B444" t="str">
            <v>Rensselaer Polytechnic Institute</v>
          </cell>
          <cell r="C444" t="str">
            <v>USA</v>
          </cell>
          <cell r="D444">
            <v>100</v>
          </cell>
          <cell r="E444">
            <v>120</v>
          </cell>
          <cell r="F444">
            <v>121</v>
          </cell>
          <cell r="G444">
            <v>210</v>
          </cell>
          <cell r="H444">
            <v>375</v>
          </cell>
          <cell r="I444">
            <v>344</v>
          </cell>
          <cell r="J444">
            <v>159</v>
          </cell>
          <cell r="K444">
            <v>272</v>
          </cell>
          <cell r="L444">
            <v>138</v>
          </cell>
          <cell r="M444">
            <v>47.2</v>
          </cell>
          <cell r="N444">
            <v>2014</v>
          </cell>
          <cell r="O444">
            <v>243</v>
          </cell>
          <cell r="P444">
            <v>50.5</v>
          </cell>
        </row>
        <row r="445">
          <cell r="B445" t="str">
            <v>Paul Sabatier University - Toulouse III</v>
          </cell>
          <cell r="C445" t="str">
            <v>France</v>
          </cell>
          <cell r="D445">
            <v>12</v>
          </cell>
          <cell r="E445">
            <v>355</v>
          </cell>
          <cell r="F445">
            <v>478</v>
          </cell>
          <cell r="G445">
            <v>210</v>
          </cell>
          <cell r="H445">
            <v>153</v>
          </cell>
          <cell r="I445">
            <v>109</v>
          </cell>
          <cell r="J445">
            <v>250</v>
          </cell>
          <cell r="K445">
            <v>192</v>
          </cell>
          <cell r="L445">
            <v>426</v>
          </cell>
          <cell r="M445">
            <v>47.19</v>
          </cell>
          <cell r="N445">
            <v>2014</v>
          </cell>
          <cell r="O445">
            <v>244</v>
          </cell>
          <cell r="P445" t="e">
            <v>#N/A</v>
          </cell>
        </row>
        <row r="446">
          <cell r="B446" t="str">
            <v>Paris Descartes University</v>
          </cell>
          <cell r="C446" t="str">
            <v>France</v>
          </cell>
          <cell r="D446">
            <v>13</v>
          </cell>
          <cell r="E446">
            <v>202</v>
          </cell>
          <cell r="F446">
            <v>478</v>
          </cell>
          <cell r="G446">
            <v>210</v>
          </cell>
          <cell r="H446">
            <v>189</v>
          </cell>
          <cell r="I446">
            <v>139</v>
          </cell>
          <cell r="J446">
            <v>363</v>
          </cell>
          <cell r="K446">
            <v>173</v>
          </cell>
          <cell r="L446">
            <v>426</v>
          </cell>
          <cell r="M446">
            <v>47.18</v>
          </cell>
          <cell r="N446">
            <v>2014</v>
          </cell>
          <cell r="O446">
            <v>245</v>
          </cell>
          <cell r="P446">
            <v>24.6</v>
          </cell>
        </row>
        <row r="447">
          <cell r="B447" t="str">
            <v>National Cheng Kung University</v>
          </cell>
          <cell r="C447" t="str">
            <v>Taiwan</v>
          </cell>
          <cell r="D447">
            <v>2</v>
          </cell>
          <cell r="E447">
            <v>355</v>
          </cell>
          <cell r="F447">
            <v>60</v>
          </cell>
          <cell r="G447">
            <v>210</v>
          </cell>
          <cell r="H447">
            <v>157</v>
          </cell>
          <cell r="I447">
            <v>545</v>
          </cell>
          <cell r="J447">
            <v>800</v>
          </cell>
          <cell r="K447">
            <v>395</v>
          </cell>
          <cell r="L447">
            <v>307</v>
          </cell>
          <cell r="M447">
            <v>47.16</v>
          </cell>
          <cell r="N447">
            <v>2014</v>
          </cell>
          <cell r="O447">
            <v>246</v>
          </cell>
          <cell r="P447">
            <v>33.1</v>
          </cell>
        </row>
        <row r="448">
          <cell r="B448" t="str">
            <v>University of Delaware</v>
          </cell>
          <cell r="C448" t="str">
            <v>USA</v>
          </cell>
          <cell r="D448">
            <v>101</v>
          </cell>
          <cell r="E448">
            <v>297</v>
          </cell>
          <cell r="F448">
            <v>386</v>
          </cell>
          <cell r="G448">
            <v>126</v>
          </cell>
          <cell r="H448">
            <v>265</v>
          </cell>
          <cell r="I448">
            <v>305</v>
          </cell>
          <cell r="J448">
            <v>250</v>
          </cell>
          <cell r="K448">
            <v>277</v>
          </cell>
          <cell r="L448">
            <v>76</v>
          </cell>
          <cell r="M448">
            <v>47.16</v>
          </cell>
          <cell r="N448">
            <v>2014</v>
          </cell>
          <cell r="O448">
            <v>247</v>
          </cell>
          <cell r="P448">
            <v>38.4</v>
          </cell>
        </row>
        <row r="449">
          <cell r="B449" t="str">
            <v>Vrije Universiteit Brussel</v>
          </cell>
          <cell r="C449" t="str">
            <v>Belgium</v>
          </cell>
          <cell r="D449">
            <v>5</v>
          </cell>
          <cell r="E449">
            <v>73</v>
          </cell>
          <cell r="F449">
            <v>478</v>
          </cell>
          <cell r="G449">
            <v>210</v>
          </cell>
          <cell r="H449">
            <v>271</v>
          </cell>
          <cell r="I449">
            <v>276</v>
          </cell>
          <cell r="J449">
            <v>130</v>
          </cell>
          <cell r="K449">
            <v>220</v>
          </cell>
          <cell r="L449">
            <v>552</v>
          </cell>
          <cell r="M449">
            <v>47.14</v>
          </cell>
          <cell r="N449">
            <v>2014</v>
          </cell>
          <cell r="O449">
            <v>248</v>
          </cell>
          <cell r="P449">
            <v>23.4</v>
          </cell>
        </row>
        <row r="450">
          <cell r="B450" t="str">
            <v>Johannes Gutenberg University of Mainz</v>
          </cell>
          <cell r="C450" t="str">
            <v>Germany</v>
          </cell>
          <cell r="D450">
            <v>20</v>
          </cell>
          <cell r="E450">
            <v>355</v>
          </cell>
          <cell r="F450">
            <v>478</v>
          </cell>
          <cell r="G450">
            <v>188</v>
          </cell>
          <cell r="H450">
            <v>204</v>
          </cell>
          <cell r="I450">
            <v>167</v>
          </cell>
          <cell r="J450">
            <v>250</v>
          </cell>
          <cell r="K450">
            <v>164</v>
          </cell>
          <cell r="L450">
            <v>637</v>
          </cell>
          <cell r="M450">
            <v>47.14</v>
          </cell>
          <cell r="N450">
            <v>2014</v>
          </cell>
          <cell r="O450">
            <v>249</v>
          </cell>
          <cell r="P450">
            <v>33.5</v>
          </cell>
        </row>
        <row r="451">
          <cell r="B451" t="str">
            <v>Maastricht University</v>
          </cell>
          <cell r="C451" t="str">
            <v>Netherlands</v>
          </cell>
          <cell r="D451">
            <v>8</v>
          </cell>
          <cell r="E451">
            <v>355</v>
          </cell>
          <cell r="F451">
            <v>478</v>
          </cell>
          <cell r="G451">
            <v>210</v>
          </cell>
          <cell r="H451">
            <v>208</v>
          </cell>
          <cell r="I451">
            <v>376</v>
          </cell>
          <cell r="J451">
            <v>283</v>
          </cell>
          <cell r="K451">
            <v>164</v>
          </cell>
          <cell r="L451">
            <v>307</v>
          </cell>
          <cell r="M451">
            <v>47.11</v>
          </cell>
          <cell r="N451">
            <v>2014</v>
          </cell>
          <cell r="O451">
            <v>250</v>
          </cell>
          <cell r="P451">
            <v>30.6</v>
          </cell>
        </row>
        <row r="452">
          <cell r="B452" t="str">
            <v>University of DÃ¼sseldorf</v>
          </cell>
          <cell r="C452" t="str">
            <v>Germany</v>
          </cell>
          <cell r="D452">
            <v>21</v>
          </cell>
          <cell r="E452">
            <v>168</v>
          </cell>
          <cell r="F452">
            <v>478</v>
          </cell>
          <cell r="G452">
            <v>210</v>
          </cell>
          <cell r="H452">
            <v>298</v>
          </cell>
          <cell r="I452">
            <v>207</v>
          </cell>
          <cell r="J452">
            <v>159</v>
          </cell>
          <cell r="K452">
            <v>169</v>
          </cell>
          <cell r="L452">
            <v>637</v>
          </cell>
          <cell r="M452">
            <v>47.05</v>
          </cell>
          <cell r="N452">
            <v>2014</v>
          </cell>
          <cell r="O452">
            <v>251</v>
          </cell>
          <cell r="P452" t="e">
            <v>#N/A</v>
          </cell>
        </row>
        <row r="453">
          <cell r="B453" t="str">
            <v>University of Dundee</v>
          </cell>
          <cell r="C453" t="str">
            <v>United Kingdom</v>
          </cell>
          <cell r="D453">
            <v>20</v>
          </cell>
          <cell r="E453">
            <v>164</v>
          </cell>
          <cell r="F453">
            <v>478</v>
          </cell>
          <cell r="G453">
            <v>210</v>
          </cell>
          <cell r="H453">
            <v>354</v>
          </cell>
          <cell r="I453">
            <v>200</v>
          </cell>
          <cell r="J453">
            <v>134</v>
          </cell>
          <cell r="K453">
            <v>184</v>
          </cell>
          <cell r="L453">
            <v>227</v>
          </cell>
          <cell r="M453">
            <v>47.04</v>
          </cell>
          <cell r="N453">
            <v>2014</v>
          </cell>
          <cell r="O453">
            <v>252</v>
          </cell>
          <cell r="P453">
            <v>34.1</v>
          </cell>
        </row>
        <row r="454">
          <cell r="B454" t="str">
            <v>University of Tsukuba</v>
          </cell>
          <cell r="C454" t="str">
            <v>Japan</v>
          </cell>
          <cell r="D454">
            <v>13</v>
          </cell>
          <cell r="E454">
            <v>183</v>
          </cell>
          <cell r="F454">
            <v>478</v>
          </cell>
          <cell r="G454">
            <v>108</v>
          </cell>
          <cell r="H454">
            <v>226</v>
          </cell>
          <cell r="I454">
            <v>239</v>
          </cell>
          <cell r="J454">
            <v>176</v>
          </cell>
          <cell r="K454">
            <v>220</v>
          </cell>
          <cell r="L454">
            <v>259</v>
          </cell>
          <cell r="M454">
            <v>47</v>
          </cell>
          <cell r="N454">
            <v>2014</v>
          </cell>
          <cell r="O454">
            <v>253</v>
          </cell>
          <cell r="P454">
            <v>37.200000000000003</v>
          </cell>
        </row>
        <row r="455">
          <cell r="B455" t="str">
            <v>Autonomous University of Barcelona</v>
          </cell>
          <cell r="C455" t="str">
            <v>Spain</v>
          </cell>
          <cell r="D455">
            <v>3</v>
          </cell>
          <cell r="E455">
            <v>355</v>
          </cell>
          <cell r="F455">
            <v>478</v>
          </cell>
          <cell r="G455">
            <v>210</v>
          </cell>
          <cell r="H455">
            <v>146</v>
          </cell>
          <cell r="I455">
            <v>218</v>
          </cell>
          <cell r="J455">
            <v>250</v>
          </cell>
          <cell r="K455">
            <v>224</v>
          </cell>
          <cell r="L455">
            <v>204</v>
          </cell>
          <cell r="M455">
            <v>46.99</v>
          </cell>
          <cell r="N455">
            <v>2014</v>
          </cell>
          <cell r="O455">
            <v>254</v>
          </cell>
          <cell r="P455">
            <v>33.700000000000003</v>
          </cell>
        </row>
        <row r="456">
          <cell r="B456" t="str">
            <v>Florida State University</v>
          </cell>
          <cell r="C456" t="str">
            <v>USA</v>
          </cell>
          <cell r="D456">
            <v>102</v>
          </cell>
          <cell r="E456">
            <v>355</v>
          </cell>
          <cell r="F456">
            <v>288</v>
          </cell>
          <cell r="G456">
            <v>210</v>
          </cell>
          <cell r="H456">
            <v>201</v>
          </cell>
          <cell r="I456">
            <v>180</v>
          </cell>
          <cell r="J456">
            <v>134</v>
          </cell>
          <cell r="K456">
            <v>220</v>
          </cell>
          <cell r="L456">
            <v>338</v>
          </cell>
          <cell r="M456">
            <v>46.98</v>
          </cell>
          <cell r="N456">
            <v>2014</v>
          </cell>
          <cell r="O456">
            <v>255</v>
          </cell>
          <cell r="P456">
            <v>38.5</v>
          </cell>
        </row>
        <row r="457">
          <cell r="B457" t="str">
            <v>University of Texas at San Antonio</v>
          </cell>
          <cell r="C457" t="str">
            <v>USA</v>
          </cell>
          <cell r="D457">
            <v>103</v>
          </cell>
          <cell r="E457">
            <v>355</v>
          </cell>
          <cell r="F457">
            <v>478</v>
          </cell>
          <cell r="G457">
            <v>210</v>
          </cell>
          <cell r="H457">
            <v>410</v>
          </cell>
          <cell r="I457">
            <v>334</v>
          </cell>
          <cell r="J457">
            <v>125</v>
          </cell>
          <cell r="K457">
            <v>180</v>
          </cell>
          <cell r="L457">
            <v>227</v>
          </cell>
          <cell r="M457">
            <v>46.95</v>
          </cell>
          <cell r="N457">
            <v>2014</v>
          </cell>
          <cell r="O457">
            <v>256</v>
          </cell>
          <cell r="P457">
            <v>14.1</v>
          </cell>
        </row>
        <row r="458">
          <cell r="B458" t="str">
            <v>London School of Hygiene &amp; Tropical Medicine</v>
          </cell>
          <cell r="C458" t="str">
            <v>United Kingdom</v>
          </cell>
          <cell r="D458">
            <v>21</v>
          </cell>
          <cell r="E458">
            <v>355</v>
          </cell>
          <cell r="F458">
            <v>478</v>
          </cell>
          <cell r="G458">
            <v>154</v>
          </cell>
          <cell r="H458">
            <v>302</v>
          </cell>
          <cell r="I458">
            <v>306</v>
          </cell>
          <cell r="J458">
            <v>250</v>
          </cell>
          <cell r="K458">
            <v>169</v>
          </cell>
          <cell r="L458">
            <v>737</v>
          </cell>
          <cell r="M458">
            <v>46.93</v>
          </cell>
          <cell r="N458">
            <v>2014</v>
          </cell>
          <cell r="O458">
            <v>257</v>
          </cell>
          <cell r="P458" t="e">
            <v>#N/A</v>
          </cell>
        </row>
        <row r="459">
          <cell r="B459" t="str">
            <v>Lehigh University</v>
          </cell>
          <cell r="C459" t="str">
            <v>USA</v>
          </cell>
          <cell r="D459">
            <v>104</v>
          </cell>
          <cell r="E459">
            <v>355</v>
          </cell>
          <cell r="F459">
            <v>44</v>
          </cell>
          <cell r="G459">
            <v>210</v>
          </cell>
          <cell r="H459">
            <v>594</v>
          </cell>
          <cell r="I459">
            <v>512</v>
          </cell>
          <cell r="J459">
            <v>609</v>
          </cell>
          <cell r="K459">
            <v>523</v>
          </cell>
          <cell r="L459">
            <v>481</v>
          </cell>
          <cell r="M459">
            <v>46.91</v>
          </cell>
          <cell r="N459">
            <v>2014</v>
          </cell>
          <cell r="O459">
            <v>258</v>
          </cell>
          <cell r="P459">
            <v>20.2</v>
          </cell>
        </row>
        <row r="460">
          <cell r="B460" t="str">
            <v>University of Kentucky</v>
          </cell>
          <cell r="C460" t="str">
            <v>USA</v>
          </cell>
          <cell r="D460">
            <v>105</v>
          </cell>
          <cell r="E460">
            <v>317</v>
          </cell>
          <cell r="F460">
            <v>270</v>
          </cell>
          <cell r="G460">
            <v>210</v>
          </cell>
          <cell r="H460">
            <v>184</v>
          </cell>
          <cell r="I460">
            <v>219</v>
          </cell>
          <cell r="J460">
            <v>250</v>
          </cell>
          <cell r="K460">
            <v>220</v>
          </cell>
          <cell r="L460">
            <v>338</v>
          </cell>
          <cell r="M460">
            <v>46.9</v>
          </cell>
          <cell r="N460">
            <v>2014</v>
          </cell>
          <cell r="O460">
            <v>259</v>
          </cell>
          <cell r="P460">
            <v>38.700000000000003</v>
          </cell>
        </row>
        <row r="461">
          <cell r="B461" t="str">
            <v>Thomas Jefferson University</v>
          </cell>
          <cell r="C461" t="str">
            <v>USA</v>
          </cell>
          <cell r="D461">
            <v>106</v>
          </cell>
          <cell r="E461">
            <v>134</v>
          </cell>
          <cell r="F461">
            <v>478</v>
          </cell>
          <cell r="G461">
            <v>210</v>
          </cell>
          <cell r="H461">
            <v>331</v>
          </cell>
          <cell r="I461">
            <v>302</v>
          </cell>
          <cell r="J461">
            <v>200</v>
          </cell>
          <cell r="K461">
            <v>180</v>
          </cell>
          <cell r="L461">
            <v>373</v>
          </cell>
          <cell r="M461">
            <v>46.89</v>
          </cell>
          <cell r="N461">
            <v>2014</v>
          </cell>
          <cell r="O461">
            <v>260</v>
          </cell>
          <cell r="P461" t="e">
            <v>#N/A</v>
          </cell>
        </row>
        <row r="462">
          <cell r="B462" t="str">
            <v>Drexel University</v>
          </cell>
          <cell r="C462" t="str">
            <v>USA</v>
          </cell>
          <cell r="D462">
            <v>107</v>
          </cell>
          <cell r="E462">
            <v>355</v>
          </cell>
          <cell r="F462">
            <v>262</v>
          </cell>
          <cell r="G462">
            <v>210</v>
          </cell>
          <cell r="H462">
            <v>366</v>
          </cell>
          <cell r="I462">
            <v>322</v>
          </cell>
          <cell r="J462">
            <v>220</v>
          </cell>
          <cell r="K462">
            <v>266</v>
          </cell>
          <cell r="L462">
            <v>89</v>
          </cell>
          <cell r="M462">
            <v>46.89</v>
          </cell>
          <cell r="N462">
            <v>2014</v>
          </cell>
          <cell r="O462">
            <v>261</v>
          </cell>
          <cell r="P462">
            <v>45</v>
          </cell>
        </row>
        <row r="463">
          <cell r="B463" t="str">
            <v>Colorado State University - Fort Collins</v>
          </cell>
          <cell r="C463" t="str">
            <v>USA</v>
          </cell>
          <cell r="D463">
            <v>108</v>
          </cell>
          <cell r="E463">
            <v>203</v>
          </cell>
          <cell r="F463">
            <v>478</v>
          </cell>
          <cell r="G463">
            <v>143</v>
          </cell>
          <cell r="H463">
            <v>234</v>
          </cell>
          <cell r="I463">
            <v>201</v>
          </cell>
          <cell r="J463">
            <v>250</v>
          </cell>
          <cell r="K463">
            <v>211</v>
          </cell>
          <cell r="L463">
            <v>259</v>
          </cell>
          <cell r="M463">
            <v>46.88</v>
          </cell>
          <cell r="N463">
            <v>2014</v>
          </cell>
          <cell r="O463">
            <v>262</v>
          </cell>
          <cell r="P463" t="e">
            <v>#N/A</v>
          </cell>
        </row>
        <row r="464">
          <cell r="B464" t="str">
            <v>University of Leicester</v>
          </cell>
          <cell r="C464" t="str">
            <v>United Kingdom</v>
          </cell>
          <cell r="D464">
            <v>22</v>
          </cell>
          <cell r="E464">
            <v>355</v>
          </cell>
          <cell r="F464">
            <v>478</v>
          </cell>
          <cell r="G464">
            <v>210</v>
          </cell>
          <cell r="H464">
            <v>254</v>
          </cell>
          <cell r="I464">
            <v>140</v>
          </cell>
          <cell r="J464">
            <v>220</v>
          </cell>
          <cell r="K464">
            <v>185</v>
          </cell>
          <cell r="L464">
            <v>373</v>
          </cell>
          <cell r="M464">
            <v>46.87</v>
          </cell>
          <cell r="N464">
            <v>2014</v>
          </cell>
          <cell r="O464">
            <v>263</v>
          </cell>
          <cell r="P464">
            <v>27.6</v>
          </cell>
        </row>
        <row r="465">
          <cell r="B465" t="str">
            <v>Durham University</v>
          </cell>
          <cell r="C465" t="str">
            <v>United Kingdom</v>
          </cell>
          <cell r="D465">
            <v>23</v>
          </cell>
          <cell r="E465">
            <v>122</v>
          </cell>
          <cell r="F465">
            <v>237</v>
          </cell>
          <cell r="G465">
            <v>210</v>
          </cell>
          <cell r="H465">
            <v>250</v>
          </cell>
          <cell r="I465">
            <v>203</v>
          </cell>
          <cell r="J465">
            <v>250</v>
          </cell>
          <cell r="K465">
            <v>230</v>
          </cell>
          <cell r="L465">
            <v>373</v>
          </cell>
          <cell r="M465">
            <v>46.87</v>
          </cell>
          <cell r="N465">
            <v>2014</v>
          </cell>
          <cell r="O465">
            <v>264</v>
          </cell>
          <cell r="P465">
            <v>39.799999999999997</v>
          </cell>
        </row>
        <row r="466">
          <cell r="B466" t="str">
            <v>Oregon State University</v>
          </cell>
          <cell r="C466" t="str">
            <v>USA</v>
          </cell>
          <cell r="D466">
            <v>109</v>
          </cell>
          <cell r="E466">
            <v>175</v>
          </cell>
          <cell r="F466">
            <v>268</v>
          </cell>
          <cell r="G466">
            <v>210</v>
          </cell>
          <cell r="H466">
            <v>247</v>
          </cell>
          <cell r="I466">
            <v>145</v>
          </cell>
          <cell r="J466">
            <v>176</v>
          </cell>
          <cell r="K466">
            <v>238</v>
          </cell>
          <cell r="L466">
            <v>338</v>
          </cell>
          <cell r="M466">
            <v>46.82</v>
          </cell>
          <cell r="N466">
            <v>2014</v>
          </cell>
          <cell r="O466">
            <v>265</v>
          </cell>
          <cell r="P466">
            <v>27.1</v>
          </cell>
        </row>
        <row r="467">
          <cell r="B467" t="str">
            <v>University of Florence</v>
          </cell>
          <cell r="C467" t="str">
            <v>Italy</v>
          </cell>
          <cell r="D467">
            <v>6</v>
          </cell>
          <cell r="E467">
            <v>316</v>
          </cell>
          <cell r="F467">
            <v>304</v>
          </cell>
          <cell r="G467">
            <v>93</v>
          </cell>
          <cell r="H467">
            <v>211</v>
          </cell>
          <cell r="I467">
            <v>256</v>
          </cell>
          <cell r="J467">
            <v>200</v>
          </cell>
          <cell r="K467">
            <v>261</v>
          </cell>
          <cell r="L467">
            <v>637</v>
          </cell>
          <cell r="M467">
            <v>46.8</v>
          </cell>
          <cell r="N467">
            <v>2014</v>
          </cell>
          <cell r="O467">
            <v>266</v>
          </cell>
          <cell r="P467">
            <v>17.7</v>
          </cell>
        </row>
        <row r="468">
          <cell r="B468" t="str">
            <v>University of Cape Town</v>
          </cell>
          <cell r="C468" t="str">
            <v>South Africa</v>
          </cell>
          <cell r="D468">
            <v>2</v>
          </cell>
          <cell r="E468">
            <v>97</v>
          </cell>
          <cell r="F468">
            <v>169</v>
          </cell>
          <cell r="G468">
            <v>142</v>
          </cell>
          <cell r="H468">
            <v>333</v>
          </cell>
          <cell r="I468">
            <v>244</v>
          </cell>
          <cell r="J468">
            <v>220</v>
          </cell>
          <cell r="K468">
            <v>274</v>
          </cell>
          <cell r="L468">
            <v>552</v>
          </cell>
          <cell r="M468">
            <v>46.78</v>
          </cell>
          <cell r="N468">
            <v>2014</v>
          </cell>
          <cell r="O468">
            <v>267</v>
          </cell>
          <cell r="P468">
            <v>36.6</v>
          </cell>
        </row>
        <row r="469">
          <cell r="B469" t="str">
            <v>University at Buffalo, The State University of New York</v>
          </cell>
          <cell r="C469" t="str">
            <v>USA</v>
          </cell>
          <cell r="D469">
            <v>110</v>
          </cell>
          <cell r="E469">
            <v>355</v>
          </cell>
          <cell r="F469">
            <v>418</v>
          </cell>
          <cell r="G469">
            <v>210</v>
          </cell>
          <cell r="H469">
            <v>203</v>
          </cell>
          <cell r="I469">
            <v>285</v>
          </cell>
          <cell r="J469">
            <v>200</v>
          </cell>
          <cell r="K469">
            <v>230</v>
          </cell>
          <cell r="L469">
            <v>204</v>
          </cell>
          <cell r="M469">
            <v>46.78</v>
          </cell>
          <cell r="N469">
            <v>2014</v>
          </cell>
          <cell r="O469">
            <v>268</v>
          </cell>
          <cell r="P469" t="e">
            <v>#N/A</v>
          </cell>
        </row>
        <row r="470">
          <cell r="B470" t="str">
            <v>University College Dublin</v>
          </cell>
          <cell r="C470" t="str">
            <v>Ireland</v>
          </cell>
          <cell r="D470">
            <v>2</v>
          </cell>
          <cell r="E470">
            <v>227</v>
          </cell>
          <cell r="F470">
            <v>182</v>
          </cell>
          <cell r="G470">
            <v>210</v>
          </cell>
          <cell r="H470">
            <v>276</v>
          </cell>
          <cell r="I470">
            <v>280</v>
          </cell>
          <cell r="J470">
            <v>150</v>
          </cell>
          <cell r="K470">
            <v>251</v>
          </cell>
          <cell r="L470">
            <v>307</v>
          </cell>
          <cell r="M470">
            <v>46.77</v>
          </cell>
          <cell r="N470">
            <v>2014</v>
          </cell>
          <cell r="O470">
            <v>269</v>
          </cell>
          <cell r="P470">
            <v>42.4</v>
          </cell>
        </row>
        <row r="471">
          <cell r="B471" t="str">
            <v>University of Science and Technology of China</v>
          </cell>
          <cell r="C471" t="str">
            <v>China</v>
          </cell>
          <cell r="D471">
            <v>8</v>
          </cell>
          <cell r="E471">
            <v>355</v>
          </cell>
          <cell r="F471">
            <v>238</v>
          </cell>
          <cell r="G471">
            <v>210</v>
          </cell>
          <cell r="H471">
            <v>144</v>
          </cell>
          <cell r="I471">
            <v>275</v>
          </cell>
          <cell r="J471">
            <v>363</v>
          </cell>
          <cell r="K471">
            <v>266</v>
          </cell>
          <cell r="L471">
            <v>481</v>
          </cell>
          <cell r="M471">
            <v>46.75</v>
          </cell>
          <cell r="N471">
            <v>2014</v>
          </cell>
          <cell r="O471">
            <v>270</v>
          </cell>
          <cell r="P471">
            <v>57.5</v>
          </cell>
        </row>
        <row r="472">
          <cell r="B472" t="str">
            <v>Virginia Polytechnic Institute and State University</v>
          </cell>
          <cell r="C472" t="str">
            <v>USA</v>
          </cell>
          <cell r="D472">
            <v>111</v>
          </cell>
          <cell r="E472">
            <v>270</v>
          </cell>
          <cell r="F472">
            <v>185</v>
          </cell>
          <cell r="G472">
            <v>210</v>
          </cell>
          <cell r="H472">
            <v>196</v>
          </cell>
          <cell r="I472">
            <v>267</v>
          </cell>
          <cell r="J472">
            <v>200</v>
          </cell>
          <cell r="K472">
            <v>281</v>
          </cell>
          <cell r="L472">
            <v>227</v>
          </cell>
          <cell r="M472">
            <v>46.72</v>
          </cell>
          <cell r="N472">
            <v>2014</v>
          </cell>
          <cell r="O472">
            <v>271</v>
          </cell>
          <cell r="P472">
            <v>36.9</v>
          </cell>
        </row>
        <row r="473">
          <cell r="B473" t="str">
            <v>University of Naples Federico II</v>
          </cell>
          <cell r="C473" t="str">
            <v>Italy</v>
          </cell>
          <cell r="D473">
            <v>7</v>
          </cell>
          <cell r="E473">
            <v>324</v>
          </cell>
          <cell r="F473">
            <v>475</v>
          </cell>
          <cell r="G473">
            <v>210</v>
          </cell>
          <cell r="H473">
            <v>163</v>
          </cell>
          <cell r="I473">
            <v>333</v>
          </cell>
          <cell r="J473">
            <v>200</v>
          </cell>
          <cell r="K473">
            <v>238</v>
          </cell>
          <cell r="L473">
            <v>737</v>
          </cell>
          <cell r="M473">
            <v>46.67</v>
          </cell>
          <cell r="N473">
            <v>2014</v>
          </cell>
          <cell r="O473">
            <v>272</v>
          </cell>
          <cell r="P473">
            <v>24.7</v>
          </cell>
        </row>
        <row r="474">
          <cell r="B474" t="str">
            <v>University of Auckland</v>
          </cell>
          <cell r="C474" t="str">
            <v>New Zealand</v>
          </cell>
          <cell r="D474">
            <v>1</v>
          </cell>
          <cell r="E474">
            <v>230</v>
          </cell>
          <cell r="F474">
            <v>455</v>
          </cell>
          <cell r="G474">
            <v>210</v>
          </cell>
          <cell r="H474">
            <v>266</v>
          </cell>
          <cell r="I474">
            <v>235</v>
          </cell>
          <cell r="J474">
            <v>283</v>
          </cell>
          <cell r="K474">
            <v>251</v>
          </cell>
          <cell r="L474">
            <v>138</v>
          </cell>
          <cell r="M474">
            <v>46.65</v>
          </cell>
          <cell r="N474">
            <v>2014</v>
          </cell>
          <cell r="O474">
            <v>273</v>
          </cell>
          <cell r="P474">
            <v>34.799999999999997</v>
          </cell>
        </row>
        <row r="475">
          <cell r="B475" t="str">
            <v>University of Texas Health Science Center at Houston</v>
          </cell>
          <cell r="C475" t="str">
            <v>USA</v>
          </cell>
          <cell r="D475">
            <v>112</v>
          </cell>
          <cell r="E475">
            <v>355</v>
          </cell>
          <cell r="F475">
            <v>478</v>
          </cell>
          <cell r="G475">
            <v>150</v>
          </cell>
          <cell r="H475">
            <v>267</v>
          </cell>
          <cell r="I475">
            <v>175</v>
          </cell>
          <cell r="J475">
            <v>220</v>
          </cell>
          <cell r="K475">
            <v>215</v>
          </cell>
          <cell r="L475">
            <v>373</v>
          </cell>
          <cell r="M475">
            <v>46.64</v>
          </cell>
          <cell r="N475">
            <v>2014</v>
          </cell>
          <cell r="O475">
            <v>274</v>
          </cell>
          <cell r="P475" t="e">
            <v>#N/A</v>
          </cell>
        </row>
        <row r="476">
          <cell r="B476" t="str">
            <v>Delft University of Technology</v>
          </cell>
          <cell r="C476" t="str">
            <v>Netherlands</v>
          </cell>
          <cell r="D476">
            <v>9</v>
          </cell>
          <cell r="E476">
            <v>289</v>
          </cell>
          <cell r="F476">
            <v>374</v>
          </cell>
          <cell r="G476">
            <v>210</v>
          </cell>
          <cell r="H476">
            <v>222</v>
          </cell>
          <cell r="I476">
            <v>212</v>
          </cell>
          <cell r="J476">
            <v>250</v>
          </cell>
          <cell r="K476">
            <v>245</v>
          </cell>
          <cell r="L476">
            <v>227</v>
          </cell>
          <cell r="M476">
            <v>46.63</v>
          </cell>
          <cell r="N476">
            <v>2014</v>
          </cell>
          <cell r="O476">
            <v>275</v>
          </cell>
          <cell r="P476">
            <v>55.5</v>
          </cell>
        </row>
        <row r="477">
          <cell r="B477" t="str">
            <v>University of Aberdeen</v>
          </cell>
          <cell r="C477" t="str">
            <v>United Kingdom</v>
          </cell>
          <cell r="D477">
            <v>24</v>
          </cell>
          <cell r="E477">
            <v>347</v>
          </cell>
          <cell r="F477">
            <v>223</v>
          </cell>
          <cell r="G477">
            <v>210</v>
          </cell>
          <cell r="H477">
            <v>282</v>
          </cell>
          <cell r="I477">
            <v>217</v>
          </cell>
          <cell r="J477">
            <v>250</v>
          </cell>
          <cell r="K477">
            <v>224</v>
          </cell>
          <cell r="L477">
            <v>481</v>
          </cell>
          <cell r="M477">
            <v>46.63</v>
          </cell>
          <cell r="N477">
            <v>2014</v>
          </cell>
          <cell r="O477">
            <v>276</v>
          </cell>
          <cell r="P477">
            <v>37.799999999999997</v>
          </cell>
        </row>
        <row r="478">
          <cell r="B478" t="str">
            <v>Queen's University</v>
          </cell>
          <cell r="C478" t="str">
            <v>Canada</v>
          </cell>
          <cell r="D478">
            <v>12</v>
          </cell>
          <cell r="E478">
            <v>301</v>
          </cell>
          <cell r="F478">
            <v>172</v>
          </cell>
          <cell r="G478">
            <v>210</v>
          </cell>
          <cell r="H478">
            <v>253</v>
          </cell>
          <cell r="I478">
            <v>273</v>
          </cell>
          <cell r="J478">
            <v>220</v>
          </cell>
          <cell r="K478">
            <v>281</v>
          </cell>
          <cell r="L478">
            <v>204</v>
          </cell>
          <cell r="M478">
            <v>46.59</v>
          </cell>
          <cell r="N478">
            <v>2014</v>
          </cell>
          <cell r="O478">
            <v>277</v>
          </cell>
          <cell r="P478" t="e">
            <v>#N/A</v>
          </cell>
        </row>
        <row r="479">
          <cell r="B479" t="str">
            <v>University of Lisbon</v>
          </cell>
          <cell r="C479" t="str">
            <v>Portugal</v>
          </cell>
          <cell r="D479">
            <v>1</v>
          </cell>
          <cell r="E479">
            <v>327</v>
          </cell>
          <cell r="F479">
            <v>478</v>
          </cell>
          <cell r="G479">
            <v>147</v>
          </cell>
          <cell r="H479">
            <v>178</v>
          </cell>
          <cell r="I479">
            <v>321</v>
          </cell>
          <cell r="J479">
            <v>220</v>
          </cell>
          <cell r="K479">
            <v>256</v>
          </cell>
          <cell r="L479">
            <v>426</v>
          </cell>
          <cell r="M479">
            <v>46.59</v>
          </cell>
          <cell r="N479">
            <v>2014</v>
          </cell>
          <cell r="O479">
            <v>278</v>
          </cell>
          <cell r="P479">
            <v>30.1</v>
          </cell>
        </row>
        <row r="480">
          <cell r="B480" t="str">
            <v>Hiroshima University</v>
          </cell>
          <cell r="C480" t="str">
            <v>Japan</v>
          </cell>
          <cell r="D480">
            <v>14</v>
          </cell>
          <cell r="E480">
            <v>355</v>
          </cell>
          <cell r="F480">
            <v>478</v>
          </cell>
          <cell r="G480">
            <v>210</v>
          </cell>
          <cell r="H480">
            <v>294</v>
          </cell>
          <cell r="I480">
            <v>274</v>
          </cell>
          <cell r="J480">
            <v>283</v>
          </cell>
          <cell r="K480">
            <v>266</v>
          </cell>
          <cell r="L480">
            <v>109</v>
          </cell>
          <cell r="M480">
            <v>46.59</v>
          </cell>
          <cell r="N480">
            <v>2014</v>
          </cell>
          <cell r="O480">
            <v>279</v>
          </cell>
          <cell r="P480">
            <v>27.7</v>
          </cell>
        </row>
        <row r="481">
          <cell r="B481" t="str">
            <v>University of Waterloo</v>
          </cell>
          <cell r="C481" t="str">
            <v>Canada</v>
          </cell>
          <cell r="D481">
            <v>13</v>
          </cell>
          <cell r="E481">
            <v>355</v>
          </cell>
          <cell r="F481">
            <v>125</v>
          </cell>
          <cell r="G481">
            <v>210</v>
          </cell>
          <cell r="H481">
            <v>205</v>
          </cell>
          <cell r="I481">
            <v>352</v>
          </cell>
          <cell r="J481">
            <v>283</v>
          </cell>
          <cell r="K481">
            <v>306</v>
          </cell>
          <cell r="L481">
            <v>637</v>
          </cell>
          <cell r="M481">
            <v>46.58</v>
          </cell>
          <cell r="N481">
            <v>2014</v>
          </cell>
          <cell r="O481">
            <v>280</v>
          </cell>
          <cell r="P481">
            <v>35.799999999999997</v>
          </cell>
        </row>
        <row r="482">
          <cell r="B482" t="str">
            <v>Okayama University</v>
          </cell>
          <cell r="C482" t="str">
            <v>Japan</v>
          </cell>
          <cell r="D482">
            <v>15</v>
          </cell>
          <cell r="E482">
            <v>355</v>
          </cell>
          <cell r="F482">
            <v>226</v>
          </cell>
          <cell r="G482">
            <v>210</v>
          </cell>
          <cell r="H482">
            <v>332</v>
          </cell>
          <cell r="I482">
            <v>335</v>
          </cell>
          <cell r="J482">
            <v>250</v>
          </cell>
          <cell r="K482">
            <v>322</v>
          </cell>
          <cell r="L482">
            <v>94</v>
          </cell>
          <cell r="M482">
            <v>46.57</v>
          </cell>
          <cell r="N482">
            <v>2014</v>
          </cell>
          <cell r="O482">
            <v>281</v>
          </cell>
          <cell r="P482">
            <v>24.3</v>
          </cell>
        </row>
        <row r="483">
          <cell r="B483" t="str">
            <v>University of Ulm</v>
          </cell>
          <cell r="C483" t="str">
            <v>Germany</v>
          </cell>
          <cell r="D483">
            <v>22</v>
          </cell>
          <cell r="E483">
            <v>355</v>
          </cell>
          <cell r="F483">
            <v>478</v>
          </cell>
          <cell r="G483">
            <v>122</v>
          </cell>
          <cell r="H483">
            <v>285</v>
          </cell>
          <cell r="I483">
            <v>232</v>
          </cell>
          <cell r="J483">
            <v>310</v>
          </cell>
          <cell r="K483">
            <v>207</v>
          </cell>
          <cell r="L483">
            <v>737</v>
          </cell>
          <cell r="M483">
            <v>46.57</v>
          </cell>
          <cell r="N483">
            <v>2014</v>
          </cell>
          <cell r="O483">
            <v>282</v>
          </cell>
          <cell r="P483" t="e">
            <v>#N/A</v>
          </cell>
        </row>
        <row r="484">
          <cell r="B484" t="str">
            <v>Chulalongkorn University</v>
          </cell>
          <cell r="C484" t="str">
            <v>Thailand</v>
          </cell>
          <cell r="D484">
            <v>1</v>
          </cell>
          <cell r="E484">
            <v>355</v>
          </cell>
          <cell r="F484">
            <v>51</v>
          </cell>
          <cell r="G484">
            <v>210</v>
          </cell>
          <cell r="H484">
            <v>580</v>
          </cell>
          <cell r="I484">
            <v>752</v>
          </cell>
          <cell r="J484">
            <v>406</v>
          </cell>
          <cell r="K484">
            <v>585</v>
          </cell>
          <cell r="L484">
            <v>737</v>
          </cell>
          <cell r="M484">
            <v>46.55</v>
          </cell>
          <cell r="N484">
            <v>2014</v>
          </cell>
          <cell r="O484">
            <v>283</v>
          </cell>
          <cell r="P484">
            <v>23.8</v>
          </cell>
        </row>
        <row r="485">
          <cell r="B485" t="str">
            <v>Dalhousie University</v>
          </cell>
          <cell r="C485" t="str">
            <v>Canada</v>
          </cell>
          <cell r="D485">
            <v>14</v>
          </cell>
          <cell r="E485">
            <v>355</v>
          </cell>
          <cell r="F485">
            <v>153</v>
          </cell>
          <cell r="G485">
            <v>210</v>
          </cell>
          <cell r="H485">
            <v>289</v>
          </cell>
          <cell r="I485">
            <v>251</v>
          </cell>
          <cell r="J485">
            <v>250</v>
          </cell>
          <cell r="K485">
            <v>272</v>
          </cell>
          <cell r="L485">
            <v>338</v>
          </cell>
          <cell r="M485">
            <v>46.52</v>
          </cell>
          <cell r="N485">
            <v>2014</v>
          </cell>
          <cell r="O485">
            <v>284</v>
          </cell>
          <cell r="P485">
            <v>41.6</v>
          </cell>
        </row>
        <row r="486">
          <cell r="B486" t="str">
            <v>Saint Petersburg State University</v>
          </cell>
          <cell r="C486" t="str">
            <v>Russia</v>
          </cell>
          <cell r="D486">
            <v>2</v>
          </cell>
          <cell r="E486">
            <v>37</v>
          </cell>
          <cell r="F486">
            <v>129</v>
          </cell>
          <cell r="G486">
            <v>210</v>
          </cell>
          <cell r="H486">
            <v>619</v>
          </cell>
          <cell r="I486">
            <v>620</v>
          </cell>
          <cell r="J486">
            <v>609</v>
          </cell>
          <cell r="K486">
            <v>756</v>
          </cell>
          <cell r="L486">
            <v>737</v>
          </cell>
          <cell r="M486">
            <v>46.49</v>
          </cell>
          <cell r="N486">
            <v>2014</v>
          </cell>
          <cell r="O486">
            <v>285</v>
          </cell>
          <cell r="P486">
            <v>37.6</v>
          </cell>
        </row>
        <row r="487">
          <cell r="B487" t="str">
            <v>Norwegian University of Science and Technology</v>
          </cell>
          <cell r="C487" t="str">
            <v>Norway</v>
          </cell>
          <cell r="D487">
            <v>2</v>
          </cell>
          <cell r="E487">
            <v>231</v>
          </cell>
          <cell r="F487">
            <v>163</v>
          </cell>
          <cell r="G487">
            <v>210</v>
          </cell>
          <cell r="H487">
            <v>274</v>
          </cell>
          <cell r="I487">
            <v>350</v>
          </cell>
          <cell r="J487">
            <v>220</v>
          </cell>
          <cell r="K487">
            <v>277</v>
          </cell>
          <cell r="L487">
            <v>373</v>
          </cell>
          <cell r="M487">
            <v>46.49</v>
          </cell>
          <cell r="N487">
            <v>2014</v>
          </cell>
          <cell r="O487">
            <v>286</v>
          </cell>
          <cell r="P487">
            <v>26.9</v>
          </cell>
        </row>
        <row r="488">
          <cell r="B488" t="str">
            <v>University of Reading</v>
          </cell>
          <cell r="C488" t="str">
            <v>United Kingdom</v>
          </cell>
          <cell r="D488">
            <v>25</v>
          </cell>
          <cell r="E488">
            <v>241</v>
          </cell>
          <cell r="F488">
            <v>78</v>
          </cell>
          <cell r="G488">
            <v>210</v>
          </cell>
          <cell r="H488">
            <v>393</v>
          </cell>
          <cell r="I488">
            <v>319</v>
          </cell>
          <cell r="J488">
            <v>220</v>
          </cell>
          <cell r="K488">
            <v>355</v>
          </cell>
          <cell r="L488">
            <v>481</v>
          </cell>
          <cell r="M488">
            <v>46.49</v>
          </cell>
          <cell r="N488">
            <v>2014</v>
          </cell>
          <cell r="O488">
            <v>287</v>
          </cell>
          <cell r="P488">
            <v>36.9</v>
          </cell>
        </row>
        <row r="489">
          <cell r="B489" t="str">
            <v>Wageningen University and Research Centre</v>
          </cell>
          <cell r="C489" t="str">
            <v>Netherlands</v>
          </cell>
          <cell r="D489">
            <v>10</v>
          </cell>
          <cell r="E489">
            <v>267</v>
          </cell>
          <cell r="F489">
            <v>478</v>
          </cell>
          <cell r="G489">
            <v>141</v>
          </cell>
          <cell r="H489">
            <v>217</v>
          </cell>
          <cell r="I489">
            <v>176</v>
          </cell>
          <cell r="J489">
            <v>363</v>
          </cell>
          <cell r="K489">
            <v>256</v>
          </cell>
          <cell r="L489">
            <v>552</v>
          </cell>
          <cell r="M489">
            <v>46.48</v>
          </cell>
          <cell r="N489">
            <v>2014</v>
          </cell>
          <cell r="O489">
            <v>288</v>
          </cell>
          <cell r="P489" t="e">
            <v>#N/A</v>
          </cell>
        </row>
        <row r="490">
          <cell r="B490" t="str">
            <v>UmeÃ¥ University</v>
          </cell>
          <cell r="C490" t="str">
            <v>Sweden</v>
          </cell>
          <cell r="D490">
            <v>7</v>
          </cell>
          <cell r="E490">
            <v>355</v>
          </cell>
          <cell r="F490">
            <v>478</v>
          </cell>
          <cell r="G490">
            <v>210</v>
          </cell>
          <cell r="H490">
            <v>277</v>
          </cell>
          <cell r="I490">
            <v>199</v>
          </cell>
          <cell r="J490">
            <v>220</v>
          </cell>
          <cell r="K490">
            <v>215</v>
          </cell>
          <cell r="L490">
            <v>737</v>
          </cell>
          <cell r="M490">
            <v>46.44</v>
          </cell>
          <cell r="N490">
            <v>2014</v>
          </cell>
          <cell r="O490">
            <v>289</v>
          </cell>
          <cell r="P490">
            <v>20.8</v>
          </cell>
        </row>
        <row r="491">
          <cell r="B491" t="str">
            <v>University of Porto</v>
          </cell>
          <cell r="C491" t="str">
            <v>Portugal</v>
          </cell>
          <cell r="D491">
            <v>2</v>
          </cell>
          <cell r="E491">
            <v>83</v>
          </cell>
          <cell r="F491">
            <v>427</v>
          </cell>
          <cell r="G491">
            <v>89</v>
          </cell>
          <cell r="H491">
            <v>269</v>
          </cell>
          <cell r="I491">
            <v>394</v>
          </cell>
          <cell r="J491">
            <v>250</v>
          </cell>
          <cell r="K491">
            <v>349</v>
          </cell>
          <cell r="L491">
            <v>426</v>
          </cell>
          <cell r="M491">
            <v>46.42</v>
          </cell>
          <cell r="N491">
            <v>2014</v>
          </cell>
          <cell r="O491">
            <v>290</v>
          </cell>
          <cell r="P491">
            <v>17.7</v>
          </cell>
        </row>
        <row r="492">
          <cell r="B492" t="str">
            <v>Hong Kong University of Science and Technology</v>
          </cell>
          <cell r="C492" t="str">
            <v>Hong Kong</v>
          </cell>
          <cell r="D492">
            <v>3</v>
          </cell>
          <cell r="E492">
            <v>355</v>
          </cell>
          <cell r="F492">
            <v>279</v>
          </cell>
          <cell r="G492">
            <v>210</v>
          </cell>
          <cell r="H492">
            <v>256</v>
          </cell>
          <cell r="I492">
            <v>469</v>
          </cell>
          <cell r="J492">
            <v>363</v>
          </cell>
          <cell r="K492">
            <v>295</v>
          </cell>
          <cell r="L492">
            <v>128</v>
          </cell>
          <cell r="M492">
            <v>46.42</v>
          </cell>
          <cell r="N492">
            <v>2014</v>
          </cell>
          <cell r="O492">
            <v>291</v>
          </cell>
          <cell r="P492">
            <v>50.4</v>
          </cell>
        </row>
        <row r="493">
          <cell r="B493" t="str">
            <v>Sun Yat-sen University</v>
          </cell>
          <cell r="C493" t="str">
            <v>China</v>
          </cell>
          <cell r="D493">
            <v>9</v>
          </cell>
          <cell r="E493">
            <v>355</v>
          </cell>
          <cell r="F493">
            <v>328</v>
          </cell>
          <cell r="G493">
            <v>210</v>
          </cell>
          <cell r="H493">
            <v>198</v>
          </cell>
          <cell r="I493">
            <v>424</v>
          </cell>
          <cell r="J493">
            <v>310</v>
          </cell>
          <cell r="K493">
            <v>313</v>
          </cell>
          <cell r="L493">
            <v>138</v>
          </cell>
          <cell r="M493">
            <v>46.42</v>
          </cell>
          <cell r="N493">
            <v>2014</v>
          </cell>
          <cell r="O493">
            <v>292</v>
          </cell>
          <cell r="P493">
            <v>46.2</v>
          </cell>
        </row>
        <row r="494">
          <cell r="B494" t="str">
            <v>Medical College of Wisconsin</v>
          </cell>
          <cell r="C494" t="str">
            <v>USA</v>
          </cell>
          <cell r="D494">
            <v>113</v>
          </cell>
          <cell r="E494">
            <v>355</v>
          </cell>
          <cell r="F494">
            <v>478</v>
          </cell>
          <cell r="G494">
            <v>210</v>
          </cell>
          <cell r="H494">
            <v>338</v>
          </cell>
          <cell r="I494">
            <v>279</v>
          </cell>
          <cell r="J494">
            <v>220</v>
          </cell>
          <cell r="K494">
            <v>203</v>
          </cell>
          <cell r="L494">
            <v>737</v>
          </cell>
          <cell r="M494">
            <v>46.42</v>
          </cell>
          <cell r="N494">
            <v>2014</v>
          </cell>
          <cell r="O494">
            <v>293</v>
          </cell>
          <cell r="P494">
            <v>25.4</v>
          </cell>
        </row>
        <row r="495">
          <cell r="B495" t="str">
            <v>City College of New York</v>
          </cell>
          <cell r="C495" t="str">
            <v>USA</v>
          </cell>
          <cell r="D495">
            <v>114</v>
          </cell>
          <cell r="E495">
            <v>35</v>
          </cell>
          <cell r="F495">
            <v>236</v>
          </cell>
          <cell r="G495">
            <v>210</v>
          </cell>
          <cell r="H495">
            <v>677</v>
          </cell>
          <cell r="I495">
            <v>444</v>
          </cell>
          <cell r="J495">
            <v>406</v>
          </cell>
          <cell r="K495">
            <v>569</v>
          </cell>
          <cell r="L495">
            <v>373</v>
          </cell>
          <cell r="M495">
            <v>46.41</v>
          </cell>
          <cell r="N495">
            <v>2014</v>
          </cell>
          <cell r="O495">
            <v>294</v>
          </cell>
          <cell r="P495" t="e">
            <v>#N/A</v>
          </cell>
        </row>
        <row r="496">
          <cell r="B496" t="str">
            <v>Hannover Medical School</v>
          </cell>
          <cell r="C496" t="str">
            <v>Germany</v>
          </cell>
          <cell r="D496">
            <v>23</v>
          </cell>
          <cell r="E496">
            <v>355</v>
          </cell>
          <cell r="F496">
            <v>478</v>
          </cell>
          <cell r="G496">
            <v>210</v>
          </cell>
          <cell r="H496">
            <v>324</v>
          </cell>
          <cell r="I496">
            <v>252</v>
          </cell>
          <cell r="J496">
            <v>363</v>
          </cell>
          <cell r="K496">
            <v>211</v>
          </cell>
          <cell r="L496">
            <v>280</v>
          </cell>
          <cell r="M496">
            <v>46.41</v>
          </cell>
          <cell r="N496">
            <v>2014</v>
          </cell>
          <cell r="O496">
            <v>295</v>
          </cell>
          <cell r="P496" t="e">
            <v>#N/A</v>
          </cell>
        </row>
        <row r="497">
          <cell r="B497" t="str">
            <v>Washington State University, Pullman</v>
          </cell>
          <cell r="C497" t="str">
            <v>USA</v>
          </cell>
          <cell r="D497">
            <v>115</v>
          </cell>
          <cell r="E497">
            <v>355</v>
          </cell>
          <cell r="F497">
            <v>267</v>
          </cell>
          <cell r="G497">
            <v>122</v>
          </cell>
          <cell r="H497">
            <v>293</v>
          </cell>
          <cell r="I497">
            <v>221</v>
          </cell>
          <cell r="J497">
            <v>310</v>
          </cell>
          <cell r="K497">
            <v>295</v>
          </cell>
          <cell r="L497">
            <v>170</v>
          </cell>
          <cell r="M497">
            <v>46.4</v>
          </cell>
          <cell r="N497">
            <v>2014</v>
          </cell>
          <cell r="O497">
            <v>296</v>
          </cell>
          <cell r="P497" t="e">
            <v>#N/A</v>
          </cell>
        </row>
        <row r="498">
          <cell r="B498" t="str">
            <v>Technical University of Berlin</v>
          </cell>
          <cell r="C498" t="str">
            <v>Germany</v>
          </cell>
          <cell r="D498">
            <v>24</v>
          </cell>
          <cell r="E498">
            <v>80</v>
          </cell>
          <cell r="F498">
            <v>276</v>
          </cell>
          <cell r="G498">
            <v>210</v>
          </cell>
          <cell r="H498">
            <v>353</v>
          </cell>
          <cell r="I498">
            <v>432</v>
          </cell>
          <cell r="J498">
            <v>406</v>
          </cell>
          <cell r="K498">
            <v>372</v>
          </cell>
          <cell r="L498">
            <v>115</v>
          </cell>
          <cell r="M498">
            <v>46.39</v>
          </cell>
          <cell r="N498">
            <v>2014</v>
          </cell>
          <cell r="O498">
            <v>297</v>
          </cell>
          <cell r="P498">
            <v>42.2</v>
          </cell>
        </row>
        <row r="499">
          <cell r="B499" t="str">
            <v>University of South Carolina - Columbia</v>
          </cell>
          <cell r="C499" t="str">
            <v>USA</v>
          </cell>
          <cell r="D499">
            <v>116</v>
          </cell>
          <cell r="E499">
            <v>355</v>
          </cell>
          <cell r="F499">
            <v>440</v>
          </cell>
          <cell r="G499">
            <v>182</v>
          </cell>
          <cell r="H499">
            <v>262</v>
          </cell>
          <cell r="I499">
            <v>353</v>
          </cell>
          <cell r="J499">
            <v>130</v>
          </cell>
          <cell r="K499">
            <v>266</v>
          </cell>
          <cell r="L499">
            <v>737</v>
          </cell>
          <cell r="M499">
            <v>46.37</v>
          </cell>
          <cell r="N499">
            <v>2014</v>
          </cell>
          <cell r="O499">
            <v>298</v>
          </cell>
          <cell r="P499" t="e">
            <v>#N/A</v>
          </cell>
        </row>
        <row r="500">
          <cell r="B500" t="str">
            <v>Leipzig University</v>
          </cell>
          <cell r="C500" t="str">
            <v>Germany</v>
          </cell>
          <cell r="D500">
            <v>25</v>
          </cell>
          <cell r="E500">
            <v>308</v>
          </cell>
          <cell r="F500">
            <v>478</v>
          </cell>
          <cell r="G500">
            <v>201</v>
          </cell>
          <cell r="H500">
            <v>287</v>
          </cell>
          <cell r="I500">
            <v>268</v>
          </cell>
          <cell r="J500">
            <v>800</v>
          </cell>
          <cell r="K500">
            <v>224</v>
          </cell>
          <cell r="L500">
            <v>307</v>
          </cell>
          <cell r="M500">
            <v>46.36</v>
          </cell>
          <cell r="N500">
            <v>2014</v>
          </cell>
          <cell r="O500">
            <v>299</v>
          </cell>
          <cell r="P500" t="e">
            <v>#N/A</v>
          </cell>
        </row>
        <row r="501">
          <cell r="B501" t="str">
            <v>University of Stuttgart</v>
          </cell>
          <cell r="C501" t="str">
            <v>Germany</v>
          </cell>
          <cell r="D501">
            <v>26</v>
          </cell>
          <cell r="E501">
            <v>78</v>
          </cell>
          <cell r="F501">
            <v>175</v>
          </cell>
          <cell r="G501">
            <v>210</v>
          </cell>
          <cell r="H501">
            <v>379</v>
          </cell>
          <cell r="I501">
            <v>367</v>
          </cell>
          <cell r="J501">
            <v>363</v>
          </cell>
          <cell r="K501">
            <v>346</v>
          </cell>
          <cell r="L501">
            <v>280</v>
          </cell>
          <cell r="M501">
            <v>46.34</v>
          </cell>
          <cell r="N501">
            <v>2014</v>
          </cell>
          <cell r="O501">
            <v>300</v>
          </cell>
          <cell r="P501">
            <v>30.6</v>
          </cell>
        </row>
        <row r="502">
          <cell r="B502" t="str">
            <v>University of Valencia</v>
          </cell>
          <cell r="C502" t="str">
            <v>Spain</v>
          </cell>
          <cell r="D502">
            <v>4</v>
          </cell>
          <cell r="E502">
            <v>355</v>
          </cell>
          <cell r="F502">
            <v>464</v>
          </cell>
          <cell r="G502">
            <v>210</v>
          </cell>
          <cell r="H502">
            <v>210</v>
          </cell>
          <cell r="I502">
            <v>342</v>
          </cell>
          <cell r="J502">
            <v>220</v>
          </cell>
          <cell r="K502">
            <v>261</v>
          </cell>
          <cell r="L502">
            <v>552</v>
          </cell>
          <cell r="M502">
            <v>46.34</v>
          </cell>
          <cell r="N502">
            <v>2014</v>
          </cell>
          <cell r="O502">
            <v>301</v>
          </cell>
          <cell r="P502">
            <v>15.8</v>
          </cell>
        </row>
        <row r="503">
          <cell r="B503" t="str">
            <v>LinkÃ¶ping University</v>
          </cell>
          <cell r="C503" t="str">
            <v>Sweden</v>
          </cell>
          <cell r="D503">
            <v>8</v>
          </cell>
          <cell r="E503">
            <v>355</v>
          </cell>
          <cell r="F503">
            <v>177</v>
          </cell>
          <cell r="G503">
            <v>210</v>
          </cell>
          <cell r="H503">
            <v>290</v>
          </cell>
          <cell r="I503">
            <v>345</v>
          </cell>
          <cell r="J503">
            <v>310</v>
          </cell>
          <cell r="K503">
            <v>274</v>
          </cell>
          <cell r="L503">
            <v>737</v>
          </cell>
          <cell r="M503">
            <v>46.32</v>
          </cell>
          <cell r="N503">
            <v>2014</v>
          </cell>
          <cell r="O503">
            <v>302</v>
          </cell>
          <cell r="P503">
            <v>19.600000000000001</v>
          </cell>
        </row>
        <row r="504">
          <cell r="B504" t="str">
            <v>University of Duisburg-Essen</v>
          </cell>
          <cell r="C504" t="str">
            <v>Germany</v>
          </cell>
          <cell r="D504">
            <v>27</v>
          </cell>
          <cell r="E504">
            <v>355</v>
          </cell>
          <cell r="F504">
            <v>453</v>
          </cell>
          <cell r="G504">
            <v>210</v>
          </cell>
          <cell r="H504">
            <v>284</v>
          </cell>
          <cell r="I504">
            <v>288</v>
          </cell>
          <cell r="J504">
            <v>406</v>
          </cell>
          <cell r="K504">
            <v>234</v>
          </cell>
          <cell r="L504">
            <v>426</v>
          </cell>
          <cell r="M504">
            <v>46.31</v>
          </cell>
          <cell r="N504">
            <v>2014</v>
          </cell>
          <cell r="O504">
            <v>303</v>
          </cell>
          <cell r="P504">
            <v>24.4</v>
          </cell>
        </row>
        <row r="505">
          <cell r="B505" t="str">
            <v>Ruhr University Bochum</v>
          </cell>
          <cell r="C505" t="str">
            <v>Germany</v>
          </cell>
          <cell r="D505">
            <v>28</v>
          </cell>
          <cell r="E505">
            <v>355</v>
          </cell>
          <cell r="F505">
            <v>283</v>
          </cell>
          <cell r="G505">
            <v>210</v>
          </cell>
          <cell r="H505">
            <v>235</v>
          </cell>
          <cell r="I505">
            <v>222</v>
          </cell>
          <cell r="J505">
            <v>406</v>
          </cell>
          <cell r="K505">
            <v>265</v>
          </cell>
          <cell r="L505">
            <v>637</v>
          </cell>
          <cell r="M505">
            <v>46.31</v>
          </cell>
          <cell r="N505">
            <v>2014</v>
          </cell>
          <cell r="O505">
            <v>304</v>
          </cell>
          <cell r="P505">
            <v>34.9</v>
          </cell>
        </row>
        <row r="506">
          <cell r="B506" t="str">
            <v>University of Bergen</v>
          </cell>
          <cell r="C506" t="str">
            <v>Norway</v>
          </cell>
          <cell r="D506">
            <v>3</v>
          </cell>
          <cell r="E506">
            <v>355</v>
          </cell>
          <cell r="F506">
            <v>478</v>
          </cell>
          <cell r="G506">
            <v>210</v>
          </cell>
          <cell r="H506">
            <v>249</v>
          </cell>
          <cell r="I506">
            <v>206</v>
          </cell>
          <cell r="J506">
            <v>283</v>
          </cell>
          <cell r="K506">
            <v>245</v>
          </cell>
          <cell r="L506">
            <v>737</v>
          </cell>
          <cell r="M506">
            <v>46.31</v>
          </cell>
          <cell r="N506">
            <v>2014</v>
          </cell>
          <cell r="O506">
            <v>305</v>
          </cell>
          <cell r="P506">
            <v>39.9</v>
          </cell>
        </row>
        <row r="507">
          <cell r="B507" t="str">
            <v>London School of Economics</v>
          </cell>
          <cell r="C507" t="str">
            <v>United Kingdom</v>
          </cell>
          <cell r="D507">
            <v>26</v>
          </cell>
          <cell r="E507">
            <v>70</v>
          </cell>
          <cell r="F507">
            <v>139</v>
          </cell>
          <cell r="G507">
            <v>75</v>
          </cell>
          <cell r="H507">
            <v>520</v>
          </cell>
          <cell r="I507">
            <v>742</v>
          </cell>
          <cell r="J507">
            <v>310</v>
          </cell>
          <cell r="K507">
            <v>596</v>
          </cell>
          <cell r="L507">
            <v>737</v>
          </cell>
          <cell r="M507">
            <v>46.3</v>
          </cell>
          <cell r="N507">
            <v>2014</v>
          </cell>
          <cell r="O507">
            <v>306</v>
          </cell>
          <cell r="P507" t="e">
            <v>#N/A</v>
          </cell>
        </row>
        <row r="508">
          <cell r="B508" t="str">
            <v>Wesleyan University</v>
          </cell>
          <cell r="C508" t="str">
            <v>USA</v>
          </cell>
          <cell r="D508">
            <v>117</v>
          </cell>
          <cell r="E508">
            <v>130</v>
          </cell>
          <cell r="F508">
            <v>54</v>
          </cell>
          <cell r="G508">
            <v>210</v>
          </cell>
          <cell r="H508">
            <v>986</v>
          </cell>
          <cell r="I508">
            <v>538</v>
          </cell>
          <cell r="J508">
            <v>609</v>
          </cell>
          <cell r="K508">
            <v>832</v>
          </cell>
          <cell r="L508">
            <v>737</v>
          </cell>
          <cell r="M508">
            <v>46.3</v>
          </cell>
          <cell r="N508">
            <v>2014</v>
          </cell>
          <cell r="O508">
            <v>307</v>
          </cell>
          <cell r="P508" t="e">
            <v>#N/A</v>
          </cell>
        </row>
        <row r="509">
          <cell r="B509" t="str">
            <v>University of Pisa</v>
          </cell>
          <cell r="C509" t="str">
            <v>Italy</v>
          </cell>
          <cell r="D509">
            <v>8</v>
          </cell>
          <cell r="E509">
            <v>268</v>
          </cell>
          <cell r="F509">
            <v>465</v>
          </cell>
          <cell r="G509">
            <v>210</v>
          </cell>
          <cell r="H509">
            <v>229</v>
          </cell>
          <cell r="I509">
            <v>368</v>
          </cell>
          <cell r="J509">
            <v>200</v>
          </cell>
          <cell r="K509">
            <v>266</v>
          </cell>
          <cell r="L509">
            <v>426</v>
          </cell>
          <cell r="M509">
            <v>46.3</v>
          </cell>
          <cell r="N509">
            <v>2014</v>
          </cell>
          <cell r="O509">
            <v>308</v>
          </cell>
          <cell r="P509">
            <v>18.3</v>
          </cell>
        </row>
        <row r="510">
          <cell r="B510" t="str">
            <v>Autonomous University of Madrid</v>
          </cell>
          <cell r="C510" t="str">
            <v>Spain</v>
          </cell>
          <cell r="D510">
            <v>5</v>
          </cell>
          <cell r="E510">
            <v>355</v>
          </cell>
          <cell r="F510">
            <v>449</v>
          </cell>
          <cell r="G510">
            <v>210</v>
          </cell>
          <cell r="H510">
            <v>228</v>
          </cell>
          <cell r="I510">
            <v>245</v>
          </cell>
          <cell r="J510">
            <v>310</v>
          </cell>
          <cell r="K510">
            <v>261</v>
          </cell>
          <cell r="L510">
            <v>426</v>
          </cell>
          <cell r="M510">
            <v>46.29</v>
          </cell>
          <cell r="N510">
            <v>2014</v>
          </cell>
          <cell r="O510">
            <v>309</v>
          </cell>
          <cell r="P510">
            <v>28.8</v>
          </cell>
        </row>
        <row r="511">
          <cell r="B511" t="str">
            <v>Medical University of Vienna</v>
          </cell>
          <cell r="C511" t="str">
            <v>Austria</v>
          </cell>
          <cell r="D511">
            <v>2</v>
          </cell>
          <cell r="E511">
            <v>355</v>
          </cell>
          <cell r="F511">
            <v>478</v>
          </cell>
          <cell r="G511">
            <v>210</v>
          </cell>
          <cell r="H511">
            <v>275</v>
          </cell>
          <cell r="I511">
            <v>242</v>
          </cell>
          <cell r="J511">
            <v>283</v>
          </cell>
          <cell r="K511">
            <v>238</v>
          </cell>
          <cell r="L511">
            <v>426</v>
          </cell>
          <cell r="M511">
            <v>46.29</v>
          </cell>
          <cell r="N511">
            <v>2014</v>
          </cell>
          <cell r="O511">
            <v>310</v>
          </cell>
          <cell r="P511">
            <v>23.7</v>
          </cell>
        </row>
        <row r="512">
          <cell r="B512" t="str">
            <v>Stellenbosch University</v>
          </cell>
          <cell r="C512" t="str">
            <v>South Africa</v>
          </cell>
          <cell r="D512">
            <v>3</v>
          </cell>
          <cell r="E512">
            <v>355</v>
          </cell>
          <cell r="F512">
            <v>64</v>
          </cell>
          <cell r="G512">
            <v>210</v>
          </cell>
          <cell r="H512">
            <v>545</v>
          </cell>
          <cell r="I512">
            <v>494</v>
          </cell>
          <cell r="J512">
            <v>310</v>
          </cell>
          <cell r="K512">
            <v>504</v>
          </cell>
          <cell r="L512">
            <v>259</v>
          </cell>
          <cell r="M512">
            <v>46.26</v>
          </cell>
          <cell r="N512">
            <v>2014</v>
          </cell>
          <cell r="O512">
            <v>311</v>
          </cell>
          <cell r="P512">
            <v>25.4</v>
          </cell>
        </row>
        <row r="513">
          <cell r="B513" t="str">
            <v>Medical University of South Carolina</v>
          </cell>
          <cell r="C513" t="str">
            <v>USA</v>
          </cell>
          <cell r="D513">
            <v>118</v>
          </cell>
          <cell r="E513">
            <v>355</v>
          </cell>
          <cell r="F513">
            <v>478</v>
          </cell>
          <cell r="G513">
            <v>210</v>
          </cell>
          <cell r="H513">
            <v>322</v>
          </cell>
          <cell r="I513">
            <v>357</v>
          </cell>
          <cell r="J513">
            <v>310</v>
          </cell>
          <cell r="K513">
            <v>224</v>
          </cell>
          <cell r="L513">
            <v>552</v>
          </cell>
          <cell r="M513">
            <v>46.25</v>
          </cell>
          <cell r="N513">
            <v>2014</v>
          </cell>
          <cell r="O513">
            <v>312</v>
          </cell>
          <cell r="P513">
            <v>43.9</v>
          </cell>
        </row>
        <row r="514">
          <cell r="B514" t="str">
            <v>Charles University in Prague</v>
          </cell>
          <cell r="C514" t="str">
            <v>Czech Republic</v>
          </cell>
          <cell r="D514">
            <v>1</v>
          </cell>
          <cell r="E514">
            <v>337</v>
          </cell>
          <cell r="F514">
            <v>478</v>
          </cell>
          <cell r="G514">
            <v>210</v>
          </cell>
          <cell r="H514">
            <v>243</v>
          </cell>
          <cell r="I514">
            <v>231</v>
          </cell>
          <cell r="J514">
            <v>220</v>
          </cell>
          <cell r="K514">
            <v>256</v>
          </cell>
          <cell r="L514">
            <v>637</v>
          </cell>
          <cell r="M514">
            <v>46.23</v>
          </cell>
          <cell r="N514">
            <v>2014</v>
          </cell>
          <cell r="O514">
            <v>313</v>
          </cell>
          <cell r="P514">
            <v>32.299999999999997</v>
          </cell>
        </row>
        <row r="515">
          <cell r="B515" t="str">
            <v>Kyungpook National University</v>
          </cell>
          <cell r="C515" t="str">
            <v>South Korea</v>
          </cell>
          <cell r="D515">
            <v>8</v>
          </cell>
          <cell r="E515">
            <v>355</v>
          </cell>
          <cell r="F515">
            <v>446</v>
          </cell>
          <cell r="G515">
            <v>210</v>
          </cell>
          <cell r="H515">
            <v>358</v>
          </cell>
          <cell r="I515">
            <v>661</v>
          </cell>
          <cell r="J515">
            <v>283</v>
          </cell>
          <cell r="K515">
            <v>420</v>
          </cell>
          <cell r="L515">
            <v>68</v>
          </cell>
          <cell r="M515">
            <v>46.23</v>
          </cell>
          <cell r="N515">
            <v>2014</v>
          </cell>
          <cell r="O515">
            <v>314</v>
          </cell>
          <cell r="P515">
            <v>21.1</v>
          </cell>
        </row>
        <row r="516">
          <cell r="B516" t="str">
            <v>University of Science, Malaysia</v>
          </cell>
          <cell r="C516" t="str">
            <v>Malaysia</v>
          </cell>
          <cell r="D516">
            <v>1</v>
          </cell>
          <cell r="E516">
            <v>355</v>
          </cell>
          <cell r="F516">
            <v>478</v>
          </cell>
          <cell r="G516">
            <v>210</v>
          </cell>
          <cell r="H516">
            <v>700</v>
          </cell>
          <cell r="I516">
            <v>877</v>
          </cell>
          <cell r="J516">
            <v>609</v>
          </cell>
          <cell r="K516">
            <v>819</v>
          </cell>
          <cell r="L516">
            <v>42</v>
          </cell>
          <cell r="M516">
            <v>46.23</v>
          </cell>
          <cell r="N516">
            <v>2014</v>
          </cell>
          <cell r="O516">
            <v>315</v>
          </cell>
          <cell r="P516" t="e">
            <v>#N/A</v>
          </cell>
        </row>
        <row r="517">
          <cell r="B517" t="str">
            <v>University of LiÃ¨ge</v>
          </cell>
          <cell r="C517" t="str">
            <v>Belgium</v>
          </cell>
          <cell r="D517">
            <v>6</v>
          </cell>
          <cell r="E517">
            <v>135</v>
          </cell>
          <cell r="F517">
            <v>478</v>
          </cell>
          <cell r="G517">
            <v>136</v>
          </cell>
          <cell r="H517">
            <v>313</v>
          </cell>
          <cell r="I517">
            <v>215</v>
          </cell>
          <cell r="J517">
            <v>310</v>
          </cell>
          <cell r="K517">
            <v>295</v>
          </cell>
          <cell r="L517">
            <v>227</v>
          </cell>
          <cell r="M517">
            <v>46.21</v>
          </cell>
          <cell r="N517">
            <v>2014</v>
          </cell>
          <cell r="O517">
            <v>316</v>
          </cell>
          <cell r="P517">
            <v>23.5</v>
          </cell>
        </row>
        <row r="518">
          <cell r="B518" t="str">
            <v>University of Hull</v>
          </cell>
          <cell r="C518" t="str">
            <v>United Kingdom</v>
          </cell>
          <cell r="D518">
            <v>27</v>
          </cell>
          <cell r="E518">
            <v>287</v>
          </cell>
          <cell r="F518">
            <v>253</v>
          </cell>
          <cell r="G518">
            <v>158</v>
          </cell>
          <cell r="H518">
            <v>612</v>
          </cell>
          <cell r="I518">
            <v>554</v>
          </cell>
          <cell r="J518">
            <v>493</v>
          </cell>
          <cell r="K518">
            <v>256</v>
          </cell>
          <cell r="L518">
            <v>552</v>
          </cell>
          <cell r="M518">
            <v>46.21</v>
          </cell>
          <cell r="N518">
            <v>2014</v>
          </cell>
          <cell r="O518">
            <v>317</v>
          </cell>
          <cell r="P518">
            <v>14.5</v>
          </cell>
        </row>
        <row r="519">
          <cell r="B519" t="str">
            <v>Northeastern University</v>
          </cell>
          <cell r="C519" t="str">
            <v>USA</v>
          </cell>
          <cell r="D519">
            <v>119</v>
          </cell>
          <cell r="E519">
            <v>295</v>
          </cell>
          <cell r="F519">
            <v>171</v>
          </cell>
          <cell r="G519">
            <v>210</v>
          </cell>
          <cell r="H519">
            <v>383</v>
          </cell>
          <cell r="I519">
            <v>307</v>
          </cell>
          <cell r="J519">
            <v>250</v>
          </cell>
          <cell r="K519">
            <v>375</v>
          </cell>
          <cell r="L519">
            <v>115</v>
          </cell>
          <cell r="M519">
            <v>46.2</v>
          </cell>
          <cell r="N519">
            <v>2014</v>
          </cell>
          <cell r="O519">
            <v>318</v>
          </cell>
          <cell r="P519">
            <v>30.4</v>
          </cell>
        </row>
        <row r="520">
          <cell r="B520" t="str">
            <v>Kansas State University</v>
          </cell>
          <cell r="C520" t="str">
            <v>USA</v>
          </cell>
          <cell r="D520">
            <v>120</v>
          </cell>
          <cell r="E520">
            <v>116</v>
          </cell>
          <cell r="F520">
            <v>165</v>
          </cell>
          <cell r="G520">
            <v>210</v>
          </cell>
          <cell r="H520">
            <v>348</v>
          </cell>
          <cell r="I520">
            <v>313</v>
          </cell>
          <cell r="J520">
            <v>220</v>
          </cell>
          <cell r="K520">
            <v>346</v>
          </cell>
          <cell r="L520">
            <v>259</v>
          </cell>
          <cell r="M520">
            <v>46.2</v>
          </cell>
          <cell r="N520">
            <v>2014</v>
          </cell>
          <cell r="O520">
            <v>319</v>
          </cell>
          <cell r="P520">
            <v>20.9</v>
          </cell>
        </row>
        <row r="521">
          <cell r="B521" t="str">
            <v>University of Vermont</v>
          </cell>
          <cell r="C521" t="str">
            <v>USA</v>
          </cell>
          <cell r="D521">
            <v>121</v>
          </cell>
          <cell r="E521">
            <v>178</v>
          </cell>
          <cell r="F521">
            <v>215</v>
          </cell>
          <cell r="G521">
            <v>210</v>
          </cell>
          <cell r="H521">
            <v>364</v>
          </cell>
          <cell r="I521">
            <v>300</v>
          </cell>
          <cell r="J521">
            <v>406</v>
          </cell>
          <cell r="K521">
            <v>277</v>
          </cell>
          <cell r="L521">
            <v>373</v>
          </cell>
          <cell r="M521">
            <v>46.2</v>
          </cell>
          <cell r="N521">
            <v>2014</v>
          </cell>
          <cell r="O521">
            <v>320</v>
          </cell>
          <cell r="P521">
            <v>28.5</v>
          </cell>
        </row>
        <row r="522">
          <cell r="B522" t="str">
            <v>Rush University</v>
          </cell>
          <cell r="C522" t="str">
            <v>USA</v>
          </cell>
          <cell r="D522">
            <v>122</v>
          </cell>
          <cell r="E522">
            <v>355</v>
          </cell>
          <cell r="F522">
            <v>478</v>
          </cell>
          <cell r="G522">
            <v>210</v>
          </cell>
          <cell r="H522">
            <v>424</v>
          </cell>
          <cell r="I522">
            <v>412</v>
          </cell>
          <cell r="J522">
            <v>150</v>
          </cell>
          <cell r="K522">
            <v>247</v>
          </cell>
          <cell r="L522">
            <v>737</v>
          </cell>
          <cell r="M522">
            <v>46.18</v>
          </cell>
          <cell r="N522">
            <v>2014</v>
          </cell>
          <cell r="O522">
            <v>321</v>
          </cell>
          <cell r="P522">
            <v>37.700000000000003</v>
          </cell>
        </row>
        <row r="523">
          <cell r="B523" t="str">
            <v>University of Louisville</v>
          </cell>
          <cell r="C523" t="str">
            <v>USA</v>
          </cell>
          <cell r="D523">
            <v>123</v>
          </cell>
          <cell r="E523">
            <v>355</v>
          </cell>
          <cell r="F523">
            <v>389</v>
          </cell>
          <cell r="G523">
            <v>210</v>
          </cell>
          <cell r="H523">
            <v>335</v>
          </cell>
          <cell r="I523">
            <v>383</v>
          </cell>
          <cell r="J523">
            <v>406</v>
          </cell>
          <cell r="K523">
            <v>295</v>
          </cell>
          <cell r="L523">
            <v>138</v>
          </cell>
          <cell r="M523">
            <v>46.15</v>
          </cell>
          <cell r="N523">
            <v>2014</v>
          </cell>
          <cell r="O523">
            <v>322</v>
          </cell>
          <cell r="P523" t="e">
            <v>#N/A</v>
          </cell>
        </row>
        <row r="524">
          <cell r="B524" t="str">
            <v>University of St Andrews</v>
          </cell>
          <cell r="C524" t="str">
            <v>United Kingdom</v>
          </cell>
          <cell r="D524">
            <v>28</v>
          </cell>
          <cell r="E524">
            <v>125</v>
          </cell>
          <cell r="F524">
            <v>478</v>
          </cell>
          <cell r="G524">
            <v>210</v>
          </cell>
          <cell r="H524">
            <v>317</v>
          </cell>
          <cell r="I524">
            <v>193</v>
          </cell>
          <cell r="J524">
            <v>363</v>
          </cell>
          <cell r="K524">
            <v>281</v>
          </cell>
          <cell r="L524">
            <v>280</v>
          </cell>
          <cell r="M524">
            <v>46.15</v>
          </cell>
          <cell r="N524">
            <v>2014</v>
          </cell>
          <cell r="O524">
            <v>323</v>
          </cell>
          <cell r="P524">
            <v>44.8</v>
          </cell>
        </row>
        <row r="525">
          <cell r="B525" t="str">
            <v>University of Warwick</v>
          </cell>
          <cell r="C525" t="str">
            <v>United Kingdom</v>
          </cell>
          <cell r="D525">
            <v>29</v>
          </cell>
          <cell r="E525">
            <v>198</v>
          </cell>
          <cell r="F525">
            <v>394</v>
          </cell>
          <cell r="G525">
            <v>210</v>
          </cell>
          <cell r="H525">
            <v>224</v>
          </cell>
          <cell r="I525">
            <v>253</v>
          </cell>
          <cell r="J525">
            <v>200</v>
          </cell>
          <cell r="K525">
            <v>326</v>
          </cell>
          <cell r="L525">
            <v>259</v>
          </cell>
          <cell r="M525">
            <v>46.13</v>
          </cell>
          <cell r="N525">
            <v>2014</v>
          </cell>
          <cell r="O525">
            <v>324</v>
          </cell>
          <cell r="P525">
            <v>39.700000000000003</v>
          </cell>
        </row>
        <row r="526">
          <cell r="B526" t="str">
            <v>University of Rome Tor Vergata</v>
          </cell>
          <cell r="C526" t="str">
            <v>Italy</v>
          </cell>
          <cell r="D526">
            <v>9</v>
          </cell>
          <cell r="E526">
            <v>355</v>
          </cell>
          <cell r="F526">
            <v>478</v>
          </cell>
          <cell r="G526">
            <v>210</v>
          </cell>
          <cell r="H526">
            <v>260</v>
          </cell>
          <cell r="I526">
            <v>260</v>
          </cell>
          <cell r="J526">
            <v>283</v>
          </cell>
          <cell r="K526">
            <v>261</v>
          </cell>
          <cell r="L526">
            <v>737</v>
          </cell>
          <cell r="M526">
            <v>46.13</v>
          </cell>
          <cell r="N526">
            <v>2014</v>
          </cell>
          <cell r="O526">
            <v>325</v>
          </cell>
          <cell r="P526" t="e">
            <v>#N/A</v>
          </cell>
        </row>
        <row r="527">
          <cell r="B527" t="str">
            <v>University of Innsbruck</v>
          </cell>
          <cell r="C527" t="str">
            <v>Austria</v>
          </cell>
          <cell r="D527">
            <v>3</v>
          </cell>
          <cell r="E527">
            <v>190</v>
          </cell>
          <cell r="F527">
            <v>415</v>
          </cell>
          <cell r="G527">
            <v>115</v>
          </cell>
          <cell r="H527">
            <v>413</v>
          </cell>
          <cell r="I527">
            <v>225</v>
          </cell>
          <cell r="J527">
            <v>310</v>
          </cell>
          <cell r="K527">
            <v>281</v>
          </cell>
          <cell r="L527">
            <v>373</v>
          </cell>
          <cell r="M527">
            <v>46.12</v>
          </cell>
          <cell r="N527">
            <v>2014</v>
          </cell>
          <cell r="O527">
            <v>326</v>
          </cell>
          <cell r="P527">
            <v>37.9</v>
          </cell>
        </row>
        <row r="528">
          <cell r="B528" t="str">
            <v>Darmstadt University of Technology</v>
          </cell>
          <cell r="C528" t="str">
            <v>Germany</v>
          </cell>
          <cell r="D528">
            <v>29</v>
          </cell>
          <cell r="E528">
            <v>55</v>
          </cell>
          <cell r="F528">
            <v>258</v>
          </cell>
          <cell r="G528">
            <v>210</v>
          </cell>
          <cell r="H528">
            <v>374</v>
          </cell>
          <cell r="I528">
            <v>417</v>
          </cell>
          <cell r="J528">
            <v>493</v>
          </cell>
          <cell r="K528">
            <v>420</v>
          </cell>
          <cell r="L528">
            <v>227</v>
          </cell>
          <cell r="M528">
            <v>46.11</v>
          </cell>
          <cell r="N528">
            <v>2014</v>
          </cell>
          <cell r="O528">
            <v>327</v>
          </cell>
          <cell r="P528" t="e">
            <v>#N/A</v>
          </cell>
        </row>
        <row r="529">
          <cell r="B529" t="str">
            <v>Indian Institute of Technology Delhi</v>
          </cell>
          <cell r="C529" t="str">
            <v>India</v>
          </cell>
          <cell r="D529">
            <v>1</v>
          </cell>
          <cell r="E529">
            <v>355</v>
          </cell>
          <cell r="F529">
            <v>57</v>
          </cell>
          <cell r="G529">
            <v>210</v>
          </cell>
          <cell r="H529">
            <v>644</v>
          </cell>
          <cell r="I529">
            <v>928</v>
          </cell>
          <cell r="J529">
            <v>800</v>
          </cell>
          <cell r="K529">
            <v>756</v>
          </cell>
          <cell r="L529">
            <v>426</v>
          </cell>
          <cell r="M529">
            <v>46.1</v>
          </cell>
          <cell r="N529">
            <v>2014</v>
          </cell>
          <cell r="O529">
            <v>328</v>
          </cell>
          <cell r="P529">
            <v>33.799999999999997</v>
          </cell>
        </row>
        <row r="530">
          <cell r="B530" t="str">
            <v>Federal University of Rio de Janeiro</v>
          </cell>
          <cell r="C530" t="str">
            <v>Brazil</v>
          </cell>
          <cell r="D530">
            <v>2</v>
          </cell>
          <cell r="E530">
            <v>261</v>
          </cell>
          <cell r="F530">
            <v>120</v>
          </cell>
          <cell r="G530">
            <v>210</v>
          </cell>
          <cell r="H530">
            <v>304</v>
          </cell>
          <cell r="I530">
            <v>326</v>
          </cell>
          <cell r="J530">
            <v>493</v>
          </cell>
          <cell r="K530">
            <v>402</v>
          </cell>
          <cell r="L530">
            <v>181</v>
          </cell>
          <cell r="M530">
            <v>46.08</v>
          </cell>
          <cell r="N530">
            <v>2014</v>
          </cell>
          <cell r="O530">
            <v>329</v>
          </cell>
          <cell r="P530">
            <v>32.4</v>
          </cell>
        </row>
        <row r="531">
          <cell r="B531" t="str">
            <v>University of Antwerp</v>
          </cell>
          <cell r="C531" t="str">
            <v>Belgium</v>
          </cell>
          <cell r="D531">
            <v>7</v>
          </cell>
          <cell r="E531">
            <v>355</v>
          </cell>
          <cell r="F531">
            <v>478</v>
          </cell>
          <cell r="G531">
            <v>210</v>
          </cell>
          <cell r="H531">
            <v>258</v>
          </cell>
          <cell r="I531">
            <v>314</v>
          </cell>
          <cell r="J531">
            <v>220</v>
          </cell>
          <cell r="K531">
            <v>274</v>
          </cell>
          <cell r="L531">
            <v>373</v>
          </cell>
          <cell r="M531">
            <v>46.08</v>
          </cell>
          <cell r="N531">
            <v>2014</v>
          </cell>
          <cell r="O531">
            <v>330</v>
          </cell>
          <cell r="P531">
            <v>21.8</v>
          </cell>
        </row>
        <row r="532">
          <cell r="B532" t="str">
            <v>National and Kapodistrian University of Athens</v>
          </cell>
          <cell r="C532" t="str">
            <v>Greece</v>
          </cell>
          <cell r="D532">
            <v>1</v>
          </cell>
          <cell r="E532">
            <v>355</v>
          </cell>
          <cell r="F532">
            <v>246</v>
          </cell>
          <cell r="G532">
            <v>210</v>
          </cell>
          <cell r="H532">
            <v>248</v>
          </cell>
          <cell r="I532">
            <v>433</v>
          </cell>
          <cell r="J532">
            <v>310</v>
          </cell>
          <cell r="K532">
            <v>306</v>
          </cell>
          <cell r="L532">
            <v>737</v>
          </cell>
          <cell r="M532">
            <v>46.06</v>
          </cell>
          <cell r="N532">
            <v>2014</v>
          </cell>
          <cell r="O532">
            <v>331</v>
          </cell>
          <cell r="P532">
            <v>26.7</v>
          </cell>
        </row>
        <row r="533">
          <cell r="B533" t="str">
            <v>Boston College</v>
          </cell>
          <cell r="C533" t="str">
            <v>USA</v>
          </cell>
          <cell r="D533">
            <v>124</v>
          </cell>
          <cell r="E533">
            <v>355</v>
          </cell>
          <cell r="F533">
            <v>95</v>
          </cell>
          <cell r="G533">
            <v>210</v>
          </cell>
          <cell r="H533">
            <v>548</v>
          </cell>
          <cell r="I533">
            <v>380</v>
          </cell>
          <cell r="J533">
            <v>200</v>
          </cell>
          <cell r="K533">
            <v>386</v>
          </cell>
          <cell r="L533">
            <v>338</v>
          </cell>
          <cell r="M533">
            <v>46.06</v>
          </cell>
          <cell r="N533">
            <v>2014</v>
          </cell>
          <cell r="O533">
            <v>332</v>
          </cell>
          <cell r="P533">
            <v>40.1</v>
          </cell>
        </row>
        <row r="534">
          <cell r="B534" t="str">
            <v>Vita-Salute San Raffaele University</v>
          </cell>
          <cell r="C534" t="str">
            <v>Italy</v>
          </cell>
          <cell r="D534">
            <v>10</v>
          </cell>
          <cell r="E534">
            <v>355</v>
          </cell>
          <cell r="F534">
            <v>478</v>
          </cell>
          <cell r="G534">
            <v>210</v>
          </cell>
          <cell r="H534">
            <v>484</v>
          </cell>
          <cell r="I534">
            <v>303</v>
          </cell>
          <cell r="J534">
            <v>310</v>
          </cell>
          <cell r="K534">
            <v>238</v>
          </cell>
          <cell r="L534">
            <v>737</v>
          </cell>
          <cell r="M534">
            <v>46.06</v>
          </cell>
          <cell r="N534">
            <v>2014</v>
          </cell>
          <cell r="O534">
            <v>333</v>
          </cell>
          <cell r="P534" t="e">
            <v>#N/A</v>
          </cell>
        </row>
        <row r="535">
          <cell r="B535" t="str">
            <v>Gwangju Institute of Science and Technology</v>
          </cell>
          <cell r="C535" t="str">
            <v>South Korea</v>
          </cell>
          <cell r="D535">
            <v>9</v>
          </cell>
          <cell r="E535">
            <v>355</v>
          </cell>
          <cell r="F535">
            <v>478</v>
          </cell>
          <cell r="G535">
            <v>210</v>
          </cell>
          <cell r="H535">
            <v>528</v>
          </cell>
          <cell r="I535">
            <v>565</v>
          </cell>
          <cell r="J535">
            <v>406</v>
          </cell>
          <cell r="K535">
            <v>543</v>
          </cell>
          <cell r="L535">
            <v>57</v>
          </cell>
          <cell r="M535">
            <v>46.02</v>
          </cell>
          <cell r="N535">
            <v>2014</v>
          </cell>
          <cell r="O535">
            <v>334</v>
          </cell>
          <cell r="P535">
            <v>35.200000000000003</v>
          </cell>
        </row>
        <row r="536">
          <cell r="B536" t="str">
            <v>University of Nebraskaâ€“Lincoln</v>
          </cell>
          <cell r="C536" t="str">
            <v>USA</v>
          </cell>
          <cell r="D536">
            <v>125</v>
          </cell>
          <cell r="E536">
            <v>154</v>
          </cell>
          <cell r="F536">
            <v>256</v>
          </cell>
          <cell r="G536">
            <v>210</v>
          </cell>
          <cell r="H536">
            <v>272</v>
          </cell>
          <cell r="I536">
            <v>246</v>
          </cell>
          <cell r="J536">
            <v>250</v>
          </cell>
          <cell r="K536">
            <v>337</v>
          </cell>
          <cell r="L536">
            <v>426</v>
          </cell>
          <cell r="M536">
            <v>46.02</v>
          </cell>
          <cell r="N536">
            <v>2014</v>
          </cell>
          <cell r="O536">
            <v>335</v>
          </cell>
          <cell r="P536" t="e">
            <v>#N/A</v>
          </cell>
        </row>
        <row r="537">
          <cell r="B537" t="str">
            <v>University of York</v>
          </cell>
          <cell r="C537" t="str">
            <v>United Kingdom</v>
          </cell>
          <cell r="D537">
            <v>30</v>
          </cell>
          <cell r="E537">
            <v>355</v>
          </cell>
          <cell r="F537">
            <v>478</v>
          </cell>
          <cell r="G537">
            <v>210</v>
          </cell>
          <cell r="H537">
            <v>272</v>
          </cell>
          <cell r="I537">
            <v>209</v>
          </cell>
          <cell r="J537">
            <v>159</v>
          </cell>
          <cell r="K537">
            <v>295</v>
          </cell>
          <cell r="L537">
            <v>481</v>
          </cell>
          <cell r="M537">
            <v>45.99</v>
          </cell>
          <cell r="N537">
            <v>2014</v>
          </cell>
          <cell r="O537">
            <v>336</v>
          </cell>
          <cell r="P537">
            <v>47.9</v>
          </cell>
        </row>
        <row r="538">
          <cell r="B538" t="str">
            <v>National Autonomous University of Mexico</v>
          </cell>
          <cell r="C538" t="str">
            <v>Mexico</v>
          </cell>
          <cell r="D538">
            <v>1</v>
          </cell>
          <cell r="E538">
            <v>299</v>
          </cell>
          <cell r="F538">
            <v>478</v>
          </cell>
          <cell r="G538">
            <v>210</v>
          </cell>
          <cell r="H538">
            <v>181</v>
          </cell>
          <cell r="I538">
            <v>204</v>
          </cell>
          <cell r="J538">
            <v>406</v>
          </cell>
          <cell r="K538">
            <v>326</v>
          </cell>
          <cell r="L538">
            <v>481</v>
          </cell>
          <cell r="M538">
            <v>45.99</v>
          </cell>
          <cell r="N538">
            <v>2014</v>
          </cell>
          <cell r="O538">
            <v>337</v>
          </cell>
          <cell r="P538">
            <v>31</v>
          </cell>
        </row>
        <row r="539">
          <cell r="B539" t="str">
            <v>University of Regensburg</v>
          </cell>
          <cell r="C539" t="str">
            <v>Germany</v>
          </cell>
          <cell r="D539">
            <v>30</v>
          </cell>
          <cell r="E539">
            <v>355</v>
          </cell>
          <cell r="F539">
            <v>382</v>
          </cell>
          <cell r="G539">
            <v>210</v>
          </cell>
          <cell r="H539">
            <v>303</v>
          </cell>
          <cell r="I539">
            <v>248</v>
          </cell>
          <cell r="J539">
            <v>310</v>
          </cell>
          <cell r="K539">
            <v>277</v>
          </cell>
          <cell r="L539">
            <v>737</v>
          </cell>
          <cell r="M539">
            <v>45.98</v>
          </cell>
          <cell r="N539">
            <v>2014</v>
          </cell>
          <cell r="O539">
            <v>338</v>
          </cell>
          <cell r="P539" t="e">
            <v>#N/A</v>
          </cell>
        </row>
        <row r="540">
          <cell r="B540" t="str">
            <v>Yokohama National University</v>
          </cell>
          <cell r="C540" t="str">
            <v>Japan</v>
          </cell>
          <cell r="D540">
            <v>16</v>
          </cell>
          <cell r="E540">
            <v>52</v>
          </cell>
          <cell r="F540">
            <v>135</v>
          </cell>
          <cell r="G540">
            <v>126</v>
          </cell>
          <cell r="H540">
            <v>841</v>
          </cell>
          <cell r="I540">
            <v>812</v>
          </cell>
          <cell r="J540">
            <v>609</v>
          </cell>
          <cell r="K540">
            <v>749</v>
          </cell>
          <cell r="L540">
            <v>338</v>
          </cell>
          <cell r="M540">
            <v>45.97</v>
          </cell>
          <cell r="N540">
            <v>2014</v>
          </cell>
          <cell r="O540">
            <v>339</v>
          </cell>
          <cell r="P540">
            <v>20.100000000000001</v>
          </cell>
        </row>
        <row r="541">
          <cell r="B541" t="str">
            <v>University of Adelaide</v>
          </cell>
          <cell r="C541" t="str">
            <v>Australia</v>
          </cell>
          <cell r="D541">
            <v>8</v>
          </cell>
          <cell r="E541">
            <v>201</v>
          </cell>
          <cell r="F541">
            <v>400</v>
          </cell>
          <cell r="G541">
            <v>210</v>
          </cell>
          <cell r="H541">
            <v>244</v>
          </cell>
          <cell r="I541">
            <v>254</v>
          </cell>
          <cell r="J541">
            <v>283</v>
          </cell>
          <cell r="K541">
            <v>313</v>
          </cell>
          <cell r="L541">
            <v>737</v>
          </cell>
          <cell r="M541">
            <v>45.97</v>
          </cell>
          <cell r="N541">
            <v>2014</v>
          </cell>
          <cell r="O541">
            <v>340</v>
          </cell>
          <cell r="P541">
            <v>46.5</v>
          </cell>
        </row>
        <row r="542">
          <cell r="B542" t="str">
            <v>University of Genoa</v>
          </cell>
          <cell r="C542" t="str">
            <v>Italy</v>
          </cell>
          <cell r="D542">
            <v>11</v>
          </cell>
          <cell r="E542">
            <v>355</v>
          </cell>
          <cell r="F542">
            <v>478</v>
          </cell>
          <cell r="G542">
            <v>210</v>
          </cell>
          <cell r="H542">
            <v>291</v>
          </cell>
          <cell r="I542">
            <v>429</v>
          </cell>
          <cell r="J542">
            <v>250</v>
          </cell>
          <cell r="K542">
            <v>281</v>
          </cell>
          <cell r="L542">
            <v>373</v>
          </cell>
          <cell r="M542">
            <v>45.95</v>
          </cell>
          <cell r="N542">
            <v>2014</v>
          </cell>
          <cell r="O542">
            <v>341</v>
          </cell>
          <cell r="P542">
            <v>27.2</v>
          </cell>
        </row>
        <row r="543">
          <cell r="B543" t="str">
            <v>Queen's University Belfast</v>
          </cell>
          <cell r="C543" t="str">
            <v>United Kingdom</v>
          </cell>
          <cell r="D543">
            <v>31</v>
          </cell>
          <cell r="E543">
            <v>169</v>
          </cell>
          <cell r="F543">
            <v>399</v>
          </cell>
          <cell r="G543">
            <v>210</v>
          </cell>
          <cell r="H543">
            <v>308</v>
          </cell>
          <cell r="I543">
            <v>284</v>
          </cell>
          <cell r="J543">
            <v>283</v>
          </cell>
          <cell r="K543">
            <v>295</v>
          </cell>
          <cell r="L543">
            <v>737</v>
          </cell>
          <cell r="M543">
            <v>45.95</v>
          </cell>
          <cell r="N543">
            <v>2014</v>
          </cell>
          <cell r="O543">
            <v>342</v>
          </cell>
          <cell r="P543" t="e">
            <v>#N/A</v>
          </cell>
        </row>
        <row r="544">
          <cell r="B544" t="str">
            <v>University of Marburg</v>
          </cell>
          <cell r="C544" t="str">
            <v>Germany</v>
          </cell>
          <cell r="D544">
            <v>31</v>
          </cell>
          <cell r="E544">
            <v>290</v>
          </cell>
          <cell r="F544">
            <v>478</v>
          </cell>
          <cell r="G544">
            <v>209</v>
          </cell>
          <cell r="H544">
            <v>328</v>
          </cell>
          <cell r="I544">
            <v>237</v>
          </cell>
          <cell r="J544">
            <v>283</v>
          </cell>
          <cell r="K544">
            <v>293</v>
          </cell>
          <cell r="L544">
            <v>259</v>
          </cell>
          <cell r="M544">
            <v>45.92</v>
          </cell>
          <cell r="N544">
            <v>2014</v>
          </cell>
          <cell r="O544">
            <v>343</v>
          </cell>
          <cell r="P544" t="e">
            <v>#N/A</v>
          </cell>
        </row>
        <row r="545">
          <cell r="B545" t="str">
            <v>University of Pavia</v>
          </cell>
          <cell r="C545" t="str">
            <v>Italy</v>
          </cell>
          <cell r="D545">
            <v>12</v>
          </cell>
          <cell r="E545">
            <v>276</v>
          </cell>
          <cell r="F545">
            <v>385</v>
          </cell>
          <cell r="G545">
            <v>206</v>
          </cell>
          <cell r="H545">
            <v>329</v>
          </cell>
          <cell r="I545">
            <v>359</v>
          </cell>
          <cell r="J545">
            <v>283</v>
          </cell>
          <cell r="K545">
            <v>288</v>
          </cell>
          <cell r="L545">
            <v>637</v>
          </cell>
          <cell r="M545">
            <v>45.92</v>
          </cell>
          <cell r="N545">
            <v>2014</v>
          </cell>
          <cell r="O545">
            <v>344</v>
          </cell>
          <cell r="P545">
            <v>25.6</v>
          </cell>
        </row>
        <row r="546">
          <cell r="B546" t="str">
            <v>St George's, University of London</v>
          </cell>
          <cell r="C546" t="str">
            <v>United Kingdom</v>
          </cell>
          <cell r="D546">
            <v>32</v>
          </cell>
          <cell r="E546">
            <v>355</v>
          </cell>
          <cell r="F546">
            <v>478</v>
          </cell>
          <cell r="G546">
            <v>210</v>
          </cell>
          <cell r="H546">
            <v>525</v>
          </cell>
          <cell r="I546">
            <v>459</v>
          </cell>
          <cell r="J546">
            <v>310</v>
          </cell>
          <cell r="K546">
            <v>256</v>
          </cell>
          <cell r="L546">
            <v>552</v>
          </cell>
          <cell r="M546">
            <v>45.91</v>
          </cell>
          <cell r="N546">
            <v>2014</v>
          </cell>
          <cell r="O546">
            <v>345</v>
          </cell>
          <cell r="P546" t="e">
            <v>#N/A</v>
          </cell>
        </row>
        <row r="547">
          <cell r="B547" t="str">
            <v>University of Oregon</v>
          </cell>
          <cell r="C547" t="str">
            <v>USA</v>
          </cell>
          <cell r="D547">
            <v>126</v>
          </cell>
          <cell r="E547">
            <v>334</v>
          </cell>
          <cell r="F547">
            <v>478</v>
          </cell>
          <cell r="G547">
            <v>210</v>
          </cell>
          <cell r="H547">
            <v>370</v>
          </cell>
          <cell r="I547">
            <v>205</v>
          </cell>
          <cell r="J547">
            <v>200</v>
          </cell>
          <cell r="K547">
            <v>281</v>
          </cell>
          <cell r="L547">
            <v>637</v>
          </cell>
          <cell r="M547">
            <v>45.89</v>
          </cell>
          <cell r="N547">
            <v>2014</v>
          </cell>
          <cell r="O547">
            <v>346</v>
          </cell>
          <cell r="P547">
            <v>31.5</v>
          </cell>
        </row>
        <row r="548">
          <cell r="B548" t="str">
            <v>University of Navarra</v>
          </cell>
          <cell r="C548" t="str">
            <v>Spain</v>
          </cell>
          <cell r="D548">
            <v>6</v>
          </cell>
          <cell r="E548">
            <v>355</v>
          </cell>
          <cell r="F548">
            <v>72</v>
          </cell>
          <cell r="G548">
            <v>210</v>
          </cell>
          <cell r="H548">
            <v>582</v>
          </cell>
          <cell r="I548">
            <v>734</v>
          </cell>
          <cell r="J548">
            <v>800</v>
          </cell>
          <cell r="K548">
            <v>523</v>
          </cell>
          <cell r="L548">
            <v>426</v>
          </cell>
          <cell r="M548">
            <v>45.88</v>
          </cell>
          <cell r="N548">
            <v>2014</v>
          </cell>
          <cell r="O548">
            <v>347</v>
          </cell>
          <cell r="P548">
            <v>27.3</v>
          </cell>
        </row>
        <row r="549">
          <cell r="B549" t="str">
            <v>San Diego State University</v>
          </cell>
          <cell r="C549" t="str">
            <v>USA</v>
          </cell>
          <cell r="D549">
            <v>127</v>
          </cell>
          <cell r="E549">
            <v>240</v>
          </cell>
          <cell r="F549">
            <v>187</v>
          </cell>
          <cell r="G549">
            <v>210</v>
          </cell>
          <cell r="H549">
            <v>480</v>
          </cell>
          <cell r="I549">
            <v>290</v>
          </cell>
          <cell r="J549">
            <v>200</v>
          </cell>
          <cell r="K549">
            <v>341</v>
          </cell>
          <cell r="L549">
            <v>481</v>
          </cell>
          <cell r="M549">
            <v>45.88</v>
          </cell>
          <cell r="N549">
            <v>2014</v>
          </cell>
          <cell r="O549">
            <v>348</v>
          </cell>
          <cell r="P549">
            <v>15</v>
          </cell>
        </row>
        <row r="550">
          <cell r="B550" t="str">
            <v>Nankai University</v>
          </cell>
          <cell r="C550" t="str">
            <v>China</v>
          </cell>
          <cell r="D550">
            <v>10</v>
          </cell>
          <cell r="E550">
            <v>318</v>
          </cell>
          <cell r="F550">
            <v>168</v>
          </cell>
          <cell r="G550">
            <v>210</v>
          </cell>
          <cell r="H550">
            <v>311</v>
          </cell>
          <cell r="I550">
            <v>456</v>
          </cell>
          <cell r="J550">
            <v>493</v>
          </cell>
          <cell r="K550">
            <v>361</v>
          </cell>
          <cell r="L550">
            <v>280</v>
          </cell>
          <cell r="M550">
            <v>45.87</v>
          </cell>
          <cell r="N550">
            <v>2014</v>
          </cell>
          <cell r="O550">
            <v>349</v>
          </cell>
          <cell r="P550" t="e">
            <v>#N/A</v>
          </cell>
        </row>
        <row r="551">
          <cell r="B551" t="str">
            <v>University of East Anglia</v>
          </cell>
          <cell r="C551" t="str">
            <v>United Kingdom</v>
          </cell>
          <cell r="D551">
            <v>33</v>
          </cell>
          <cell r="E551">
            <v>187</v>
          </cell>
          <cell r="F551">
            <v>478</v>
          </cell>
          <cell r="G551">
            <v>174</v>
          </cell>
          <cell r="H551">
            <v>356</v>
          </cell>
          <cell r="I551">
            <v>210</v>
          </cell>
          <cell r="J551">
            <v>187</v>
          </cell>
          <cell r="K551">
            <v>318</v>
          </cell>
          <cell r="L551">
            <v>637</v>
          </cell>
          <cell r="M551">
            <v>45.87</v>
          </cell>
          <cell r="N551">
            <v>2014</v>
          </cell>
          <cell r="O551">
            <v>350</v>
          </cell>
          <cell r="P551">
            <v>42.1</v>
          </cell>
        </row>
        <row r="552">
          <cell r="B552" t="str">
            <v>University of Nebraska Medical Center</v>
          </cell>
          <cell r="C552" t="str">
            <v>USA</v>
          </cell>
          <cell r="D552">
            <v>128</v>
          </cell>
          <cell r="E552">
            <v>355</v>
          </cell>
          <cell r="F552">
            <v>478</v>
          </cell>
          <cell r="G552">
            <v>210</v>
          </cell>
          <cell r="H552">
            <v>469</v>
          </cell>
          <cell r="I552">
            <v>395</v>
          </cell>
          <cell r="J552">
            <v>363</v>
          </cell>
          <cell r="K552">
            <v>339</v>
          </cell>
          <cell r="L552">
            <v>128</v>
          </cell>
          <cell r="M552">
            <v>45.83</v>
          </cell>
          <cell r="N552">
            <v>2014</v>
          </cell>
          <cell r="O552">
            <v>351</v>
          </cell>
          <cell r="P552">
            <v>36.4</v>
          </cell>
        </row>
        <row r="553">
          <cell r="B553" t="str">
            <v>University of Southern Denmark</v>
          </cell>
          <cell r="C553" t="str">
            <v>Denmark</v>
          </cell>
          <cell r="D553">
            <v>4</v>
          </cell>
          <cell r="E553">
            <v>355</v>
          </cell>
          <cell r="F553">
            <v>478</v>
          </cell>
          <cell r="G553">
            <v>210</v>
          </cell>
          <cell r="H553">
            <v>380</v>
          </cell>
          <cell r="I553">
            <v>316</v>
          </cell>
          <cell r="J553">
            <v>310</v>
          </cell>
          <cell r="K553">
            <v>290</v>
          </cell>
          <cell r="L553">
            <v>280</v>
          </cell>
          <cell r="M553">
            <v>45.83</v>
          </cell>
          <cell r="N553">
            <v>2014</v>
          </cell>
          <cell r="O553">
            <v>352</v>
          </cell>
          <cell r="P553">
            <v>19.7</v>
          </cell>
        </row>
        <row r="554">
          <cell r="B554" t="str">
            <v>Eindhoven University of Technology</v>
          </cell>
          <cell r="C554" t="str">
            <v>Netherlands</v>
          </cell>
          <cell r="D554">
            <v>11</v>
          </cell>
          <cell r="E554">
            <v>355</v>
          </cell>
          <cell r="F554">
            <v>315</v>
          </cell>
          <cell r="G554">
            <v>181</v>
          </cell>
          <cell r="H554">
            <v>296</v>
          </cell>
          <cell r="I554">
            <v>555</v>
          </cell>
          <cell r="J554">
            <v>310</v>
          </cell>
          <cell r="K554">
            <v>334</v>
          </cell>
          <cell r="L554">
            <v>307</v>
          </cell>
          <cell r="M554">
            <v>45.82</v>
          </cell>
          <cell r="N554">
            <v>2014</v>
          </cell>
          <cell r="O554">
            <v>353</v>
          </cell>
          <cell r="P554">
            <v>55.4</v>
          </cell>
        </row>
        <row r="555">
          <cell r="B555" t="str">
            <v>Xiamen University</v>
          </cell>
          <cell r="C555" t="str">
            <v>China</v>
          </cell>
          <cell r="D555">
            <v>11</v>
          </cell>
          <cell r="E555">
            <v>355</v>
          </cell>
          <cell r="F555">
            <v>100</v>
          </cell>
          <cell r="G555">
            <v>210</v>
          </cell>
          <cell r="H555">
            <v>371</v>
          </cell>
          <cell r="I555">
            <v>507</v>
          </cell>
          <cell r="J555">
            <v>609</v>
          </cell>
          <cell r="K555">
            <v>472</v>
          </cell>
          <cell r="L555">
            <v>307</v>
          </cell>
          <cell r="M555">
            <v>45.8</v>
          </cell>
          <cell r="N555">
            <v>2014</v>
          </cell>
          <cell r="O555">
            <v>354</v>
          </cell>
          <cell r="P555">
            <v>26.7</v>
          </cell>
        </row>
        <row r="556">
          <cell r="B556" t="str">
            <v>University of Otago</v>
          </cell>
          <cell r="C556" t="str">
            <v>New Zealand</v>
          </cell>
          <cell r="D556">
            <v>2</v>
          </cell>
          <cell r="E556">
            <v>355</v>
          </cell>
          <cell r="F556">
            <v>372</v>
          </cell>
          <cell r="G556">
            <v>210</v>
          </cell>
          <cell r="H556">
            <v>318</v>
          </cell>
          <cell r="I556">
            <v>338</v>
          </cell>
          <cell r="J556">
            <v>220</v>
          </cell>
          <cell r="K556">
            <v>313</v>
          </cell>
          <cell r="L556">
            <v>637</v>
          </cell>
          <cell r="M556">
            <v>45.8</v>
          </cell>
          <cell r="N556">
            <v>2014</v>
          </cell>
          <cell r="O556">
            <v>355</v>
          </cell>
          <cell r="P556">
            <v>24.5</v>
          </cell>
        </row>
        <row r="557">
          <cell r="B557" t="str">
            <v>University of Santiago de Compostela</v>
          </cell>
          <cell r="C557" t="str">
            <v>Spain</v>
          </cell>
          <cell r="D557">
            <v>7</v>
          </cell>
          <cell r="E557">
            <v>355</v>
          </cell>
          <cell r="F557">
            <v>478</v>
          </cell>
          <cell r="G557">
            <v>210</v>
          </cell>
          <cell r="H557">
            <v>373</v>
          </cell>
          <cell r="I557">
            <v>634</v>
          </cell>
          <cell r="J557">
            <v>406</v>
          </cell>
          <cell r="K557">
            <v>386</v>
          </cell>
          <cell r="L557">
            <v>100</v>
          </cell>
          <cell r="M557">
            <v>45.79</v>
          </cell>
          <cell r="N557">
            <v>2014</v>
          </cell>
          <cell r="O557">
            <v>356</v>
          </cell>
          <cell r="P557">
            <v>22.9</v>
          </cell>
        </row>
        <row r="558">
          <cell r="B558" t="str">
            <v>University of Exeter</v>
          </cell>
          <cell r="C558" t="str">
            <v>United Kingdom</v>
          </cell>
          <cell r="D558">
            <v>34</v>
          </cell>
          <cell r="E558">
            <v>250</v>
          </cell>
          <cell r="F558">
            <v>371</v>
          </cell>
          <cell r="G558">
            <v>210</v>
          </cell>
          <cell r="H558">
            <v>309</v>
          </cell>
          <cell r="I558">
            <v>188</v>
          </cell>
          <cell r="J558">
            <v>406</v>
          </cell>
          <cell r="K558">
            <v>322</v>
          </cell>
          <cell r="L558">
            <v>481</v>
          </cell>
          <cell r="M558">
            <v>45.79</v>
          </cell>
          <cell r="N558">
            <v>2014</v>
          </cell>
          <cell r="O558">
            <v>357</v>
          </cell>
          <cell r="P558">
            <v>40.4</v>
          </cell>
        </row>
        <row r="559">
          <cell r="B559" t="str">
            <v>University of Jena</v>
          </cell>
          <cell r="C559" t="str">
            <v>Germany</v>
          </cell>
          <cell r="D559">
            <v>32</v>
          </cell>
          <cell r="E559">
            <v>355</v>
          </cell>
          <cell r="F559">
            <v>478</v>
          </cell>
          <cell r="G559">
            <v>210</v>
          </cell>
          <cell r="H559">
            <v>278</v>
          </cell>
          <cell r="I559">
            <v>255</v>
          </cell>
          <cell r="J559">
            <v>363</v>
          </cell>
          <cell r="K559">
            <v>311</v>
          </cell>
          <cell r="L559">
            <v>426</v>
          </cell>
          <cell r="M559">
            <v>45.79</v>
          </cell>
          <cell r="N559">
            <v>2014</v>
          </cell>
          <cell r="O559">
            <v>358</v>
          </cell>
          <cell r="P559" t="e">
            <v>#N/A</v>
          </cell>
        </row>
        <row r="560">
          <cell r="B560" t="str">
            <v>University of Perugia</v>
          </cell>
          <cell r="C560" t="str">
            <v>Italy</v>
          </cell>
          <cell r="D560">
            <v>13</v>
          </cell>
          <cell r="E560">
            <v>355</v>
          </cell>
          <cell r="F560">
            <v>478</v>
          </cell>
          <cell r="G560">
            <v>210</v>
          </cell>
          <cell r="H560">
            <v>367</v>
          </cell>
          <cell r="I560">
            <v>341</v>
          </cell>
          <cell r="J560">
            <v>406</v>
          </cell>
          <cell r="K560">
            <v>281</v>
          </cell>
          <cell r="L560">
            <v>637</v>
          </cell>
          <cell r="M560">
            <v>45.78</v>
          </cell>
          <cell r="N560">
            <v>2014</v>
          </cell>
          <cell r="O560">
            <v>359</v>
          </cell>
          <cell r="P560" t="e">
            <v>#N/A</v>
          </cell>
        </row>
        <row r="561">
          <cell r="B561" t="str">
            <v>Justus Liebig University Giessen</v>
          </cell>
          <cell r="C561" t="str">
            <v>Germany</v>
          </cell>
          <cell r="D561">
            <v>33</v>
          </cell>
          <cell r="E561">
            <v>355</v>
          </cell>
          <cell r="F561">
            <v>478</v>
          </cell>
          <cell r="G561">
            <v>210</v>
          </cell>
          <cell r="H561">
            <v>336</v>
          </cell>
          <cell r="I561">
            <v>349</v>
          </cell>
          <cell r="J561">
            <v>363</v>
          </cell>
          <cell r="K561">
            <v>318</v>
          </cell>
          <cell r="L561">
            <v>204</v>
          </cell>
          <cell r="M561">
            <v>45.78</v>
          </cell>
          <cell r="N561">
            <v>2014</v>
          </cell>
          <cell r="O561">
            <v>360</v>
          </cell>
          <cell r="P561">
            <v>32.9</v>
          </cell>
        </row>
        <row r="562">
          <cell r="B562" t="str">
            <v>College of William and Mary</v>
          </cell>
          <cell r="C562" t="str">
            <v>USA</v>
          </cell>
          <cell r="D562">
            <v>129</v>
          </cell>
          <cell r="E562">
            <v>355</v>
          </cell>
          <cell r="F562">
            <v>82</v>
          </cell>
          <cell r="G562">
            <v>210</v>
          </cell>
          <cell r="H562">
            <v>639</v>
          </cell>
          <cell r="I562">
            <v>442</v>
          </cell>
          <cell r="J562">
            <v>310</v>
          </cell>
          <cell r="K562">
            <v>523</v>
          </cell>
          <cell r="L562">
            <v>637</v>
          </cell>
          <cell r="M562">
            <v>45.77</v>
          </cell>
          <cell r="N562">
            <v>2014</v>
          </cell>
          <cell r="O562">
            <v>361</v>
          </cell>
          <cell r="P562" t="e">
            <v>#N/A</v>
          </cell>
        </row>
        <row r="563">
          <cell r="B563" t="str">
            <v>Ben-Gurion University of the Negev</v>
          </cell>
          <cell r="C563" t="str">
            <v>Israel</v>
          </cell>
          <cell r="D563">
            <v>5</v>
          </cell>
          <cell r="E563">
            <v>355</v>
          </cell>
          <cell r="F563">
            <v>478</v>
          </cell>
          <cell r="G563">
            <v>165</v>
          </cell>
          <cell r="H563">
            <v>280</v>
          </cell>
          <cell r="I563">
            <v>382</v>
          </cell>
          <cell r="J563">
            <v>406</v>
          </cell>
          <cell r="K563">
            <v>386</v>
          </cell>
          <cell r="L563">
            <v>138</v>
          </cell>
          <cell r="M563">
            <v>45.76</v>
          </cell>
          <cell r="N563">
            <v>2014</v>
          </cell>
          <cell r="O563">
            <v>362</v>
          </cell>
          <cell r="P563">
            <v>25.1</v>
          </cell>
        </row>
        <row r="564">
          <cell r="B564" t="str">
            <v>Saint Louis University</v>
          </cell>
          <cell r="C564" t="str">
            <v>USA</v>
          </cell>
          <cell r="D564">
            <v>130</v>
          </cell>
          <cell r="E564">
            <v>355</v>
          </cell>
          <cell r="F564">
            <v>342</v>
          </cell>
          <cell r="G564">
            <v>195</v>
          </cell>
          <cell r="H564">
            <v>468</v>
          </cell>
          <cell r="I564">
            <v>287</v>
          </cell>
          <cell r="J564">
            <v>493</v>
          </cell>
          <cell r="K564">
            <v>318</v>
          </cell>
          <cell r="L564">
            <v>227</v>
          </cell>
          <cell r="M564">
            <v>45.75</v>
          </cell>
          <cell r="N564">
            <v>2014</v>
          </cell>
          <cell r="O564">
            <v>363</v>
          </cell>
          <cell r="P564">
            <v>36.9</v>
          </cell>
        </row>
        <row r="565">
          <cell r="B565" t="str">
            <v>Colorado School of Mines</v>
          </cell>
          <cell r="C565" t="str">
            <v>USA</v>
          </cell>
          <cell r="D565">
            <v>131</v>
          </cell>
          <cell r="E565">
            <v>355</v>
          </cell>
          <cell r="F565">
            <v>76</v>
          </cell>
          <cell r="G565">
            <v>210</v>
          </cell>
          <cell r="H565">
            <v>653</v>
          </cell>
          <cell r="I565">
            <v>577</v>
          </cell>
          <cell r="J565">
            <v>310</v>
          </cell>
          <cell r="K565">
            <v>596</v>
          </cell>
          <cell r="L565">
            <v>637</v>
          </cell>
          <cell r="M565">
            <v>45.74</v>
          </cell>
          <cell r="N565">
            <v>2014</v>
          </cell>
          <cell r="O565">
            <v>364</v>
          </cell>
          <cell r="P565">
            <v>24.6</v>
          </cell>
        </row>
        <row r="566">
          <cell r="B566" t="str">
            <v>Oklahoma State Universityâ€“Stillwater</v>
          </cell>
          <cell r="C566" t="str">
            <v>USA</v>
          </cell>
          <cell r="D566">
            <v>132</v>
          </cell>
          <cell r="E566">
            <v>221</v>
          </cell>
          <cell r="F566">
            <v>111</v>
          </cell>
          <cell r="G566">
            <v>210</v>
          </cell>
          <cell r="H566">
            <v>427</v>
          </cell>
          <cell r="I566">
            <v>623</v>
          </cell>
          <cell r="J566">
            <v>310</v>
          </cell>
          <cell r="K566">
            <v>472</v>
          </cell>
          <cell r="L566">
            <v>307</v>
          </cell>
          <cell r="M566">
            <v>45.74</v>
          </cell>
          <cell r="N566">
            <v>2014</v>
          </cell>
          <cell r="O566">
            <v>365</v>
          </cell>
          <cell r="P566" t="e">
            <v>#N/A</v>
          </cell>
        </row>
        <row r="567">
          <cell r="B567" t="str">
            <v>University of Guelph</v>
          </cell>
          <cell r="C567" t="str">
            <v>Canada</v>
          </cell>
          <cell r="D567">
            <v>15</v>
          </cell>
          <cell r="E567">
            <v>355</v>
          </cell>
          <cell r="F567">
            <v>478</v>
          </cell>
          <cell r="G567">
            <v>210</v>
          </cell>
          <cell r="H567">
            <v>319</v>
          </cell>
          <cell r="I567">
            <v>289</v>
          </cell>
          <cell r="J567">
            <v>125</v>
          </cell>
          <cell r="K567">
            <v>349</v>
          </cell>
          <cell r="L567">
            <v>373</v>
          </cell>
          <cell r="M567">
            <v>45.74</v>
          </cell>
          <cell r="N567">
            <v>2014</v>
          </cell>
          <cell r="O567">
            <v>366</v>
          </cell>
          <cell r="P567">
            <v>24.2</v>
          </cell>
        </row>
        <row r="568">
          <cell r="B568" t="str">
            <v>University of Trieste</v>
          </cell>
          <cell r="C568" t="str">
            <v>Italy</v>
          </cell>
          <cell r="D568">
            <v>14</v>
          </cell>
          <cell r="E568">
            <v>355</v>
          </cell>
          <cell r="F568">
            <v>478</v>
          </cell>
          <cell r="G568">
            <v>210</v>
          </cell>
          <cell r="H568">
            <v>378</v>
          </cell>
          <cell r="I568">
            <v>295</v>
          </cell>
          <cell r="J568">
            <v>283</v>
          </cell>
          <cell r="K568">
            <v>295</v>
          </cell>
          <cell r="L568">
            <v>426</v>
          </cell>
          <cell r="M568">
            <v>45.73</v>
          </cell>
          <cell r="N568">
            <v>2014</v>
          </cell>
          <cell r="O568">
            <v>367</v>
          </cell>
          <cell r="P568">
            <v>16.7</v>
          </cell>
        </row>
        <row r="569">
          <cell r="B569" t="str">
            <v>University of Verona</v>
          </cell>
          <cell r="C569" t="str">
            <v>Italy</v>
          </cell>
          <cell r="D569">
            <v>15</v>
          </cell>
          <cell r="E569">
            <v>355</v>
          </cell>
          <cell r="F569">
            <v>478</v>
          </cell>
          <cell r="G569">
            <v>210</v>
          </cell>
          <cell r="H569">
            <v>509</v>
          </cell>
          <cell r="I569">
            <v>489</v>
          </cell>
          <cell r="J569">
            <v>220</v>
          </cell>
          <cell r="K569">
            <v>290</v>
          </cell>
          <cell r="L569">
            <v>737</v>
          </cell>
          <cell r="M569">
            <v>45.71</v>
          </cell>
          <cell r="N569">
            <v>2014</v>
          </cell>
          <cell r="O569">
            <v>368</v>
          </cell>
          <cell r="P569" t="e">
            <v>#N/A</v>
          </cell>
        </row>
        <row r="570">
          <cell r="B570" t="str">
            <v>University at Albany, SUNY</v>
          </cell>
          <cell r="C570" t="str">
            <v>USA</v>
          </cell>
          <cell r="D570">
            <v>133</v>
          </cell>
          <cell r="E570">
            <v>161</v>
          </cell>
          <cell r="F570">
            <v>478</v>
          </cell>
          <cell r="G570">
            <v>161</v>
          </cell>
          <cell r="H570">
            <v>402</v>
          </cell>
          <cell r="I570">
            <v>372</v>
          </cell>
          <cell r="J570">
            <v>187</v>
          </cell>
          <cell r="K570">
            <v>355</v>
          </cell>
          <cell r="L570">
            <v>338</v>
          </cell>
          <cell r="M570">
            <v>45.7</v>
          </cell>
          <cell r="N570">
            <v>2014</v>
          </cell>
          <cell r="O570">
            <v>369</v>
          </cell>
          <cell r="P570" t="e">
            <v>#N/A</v>
          </cell>
        </row>
        <row r="571">
          <cell r="B571" t="str">
            <v>Tongji University</v>
          </cell>
          <cell r="C571" t="str">
            <v>China</v>
          </cell>
          <cell r="D571">
            <v>12</v>
          </cell>
          <cell r="E571">
            <v>152</v>
          </cell>
          <cell r="F571">
            <v>102</v>
          </cell>
          <cell r="G571">
            <v>210</v>
          </cell>
          <cell r="H571">
            <v>401</v>
          </cell>
          <cell r="I571">
            <v>547</v>
          </cell>
          <cell r="J571">
            <v>609</v>
          </cell>
          <cell r="K571">
            <v>690</v>
          </cell>
          <cell r="L571">
            <v>204</v>
          </cell>
          <cell r="M571">
            <v>45.7</v>
          </cell>
          <cell r="N571">
            <v>2014</v>
          </cell>
          <cell r="O571">
            <v>370</v>
          </cell>
          <cell r="P571">
            <v>28.9</v>
          </cell>
        </row>
        <row r="572">
          <cell r="B572" t="str">
            <v>EÃ¶tvÃ¶s LorÃ¡nd University</v>
          </cell>
          <cell r="C572" t="str">
            <v>Hungary</v>
          </cell>
          <cell r="D572">
            <v>1</v>
          </cell>
          <cell r="E572">
            <v>87</v>
          </cell>
          <cell r="F572">
            <v>478</v>
          </cell>
          <cell r="G572">
            <v>104</v>
          </cell>
          <cell r="H572">
            <v>539</v>
          </cell>
          <cell r="I572">
            <v>403</v>
          </cell>
          <cell r="J572">
            <v>250</v>
          </cell>
          <cell r="K572">
            <v>430</v>
          </cell>
          <cell r="L572">
            <v>637</v>
          </cell>
          <cell r="M572">
            <v>45.69</v>
          </cell>
          <cell r="N572">
            <v>2014</v>
          </cell>
          <cell r="O572">
            <v>371</v>
          </cell>
          <cell r="P572">
            <v>21.3</v>
          </cell>
        </row>
        <row r="573">
          <cell r="B573" t="str">
            <v>University of Alabama - Tuscaloosa</v>
          </cell>
          <cell r="C573" t="str">
            <v>USA</v>
          </cell>
          <cell r="D573">
            <v>134</v>
          </cell>
          <cell r="E573">
            <v>312</v>
          </cell>
          <cell r="F573">
            <v>137</v>
          </cell>
          <cell r="G573">
            <v>210</v>
          </cell>
          <cell r="H573">
            <v>513</v>
          </cell>
          <cell r="I573">
            <v>499</v>
          </cell>
          <cell r="J573">
            <v>283</v>
          </cell>
          <cell r="K573">
            <v>409</v>
          </cell>
          <cell r="L573">
            <v>338</v>
          </cell>
          <cell r="M573">
            <v>45.69</v>
          </cell>
          <cell r="N573">
            <v>2014</v>
          </cell>
          <cell r="O573">
            <v>372</v>
          </cell>
          <cell r="P573" t="e">
            <v>#N/A</v>
          </cell>
        </row>
        <row r="574">
          <cell r="B574" t="str">
            <v>University of Eastern Finland</v>
          </cell>
          <cell r="C574" t="str">
            <v>Finland</v>
          </cell>
          <cell r="D574">
            <v>2</v>
          </cell>
          <cell r="E574">
            <v>355</v>
          </cell>
          <cell r="F574">
            <v>478</v>
          </cell>
          <cell r="G574">
            <v>210</v>
          </cell>
          <cell r="H574">
            <v>377</v>
          </cell>
          <cell r="I574">
            <v>410</v>
          </cell>
          <cell r="J574">
            <v>310</v>
          </cell>
          <cell r="K574">
            <v>295</v>
          </cell>
          <cell r="L574">
            <v>737</v>
          </cell>
          <cell r="M574">
            <v>45.69</v>
          </cell>
          <cell r="N574">
            <v>2014</v>
          </cell>
          <cell r="O574">
            <v>373</v>
          </cell>
          <cell r="P574">
            <v>23.2</v>
          </cell>
        </row>
        <row r="575">
          <cell r="B575" t="str">
            <v>Ewha Womans University</v>
          </cell>
          <cell r="C575" t="str">
            <v>South Korea</v>
          </cell>
          <cell r="D575">
            <v>10</v>
          </cell>
          <cell r="E575">
            <v>355</v>
          </cell>
          <cell r="F575">
            <v>478</v>
          </cell>
          <cell r="G575">
            <v>210</v>
          </cell>
          <cell r="H575">
            <v>474</v>
          </cell>
          <cell r="I575">
            <v>505</v>
          </cell>
          <cell r="J575">
            <v>609</v>
          </cell>
          <cell r="K575">
            <v>452</v>
          </cell>
          <cell r="L575">
            <v>89</v>
          </cell>
          <cell r="M575">
            <v>45.67</v>
          </cell>
          <cell r="N575">
            <v>2014</v>
          </cell>
          <cell r="O575">
            <v>374</v>
          </cell>
          <cell r="P575">
            <v>23.5</v>
          </cell>
        </row>
        <row r="576">
          <cell r="B576" t="str">
            <v>City University of Hong Kong</v>
          </cell>
          <cell r="C576" t="str">
            <v>Hong Kong</v>
          </cell>
          <cell r="D576">
            <v>4</v>
          </cell>
          <cell r="E576">
            <v>355</v>
          </cell>
          <cell r="F576">
            <v>478</v>
          </cell>
          <cell r="G576">
            <v>210</v>
          </cell>
          <cell r="H576">
            <v>255</v>
          </cell>
          <cell r="I576">
            <v>893</v>
          </cell>
          <cell r="J576">
            <v>493</v>
          </cell>
          <cell r="K576">
            <v>343</v>
          </cell>
          <cell r="L576">
            <v>259</v>
          </cell>
          <cell r="M576">
            <v>45.67</v>
          </cell>
          <cell r="N576">
            <v>2014</v>
          </cell>
          <cell r="O576">
            <v>375</v>
          </cell>
          <cell r="P576">
            <v>30.2</v>
          </cell>
        </row>
        <row r="577">
          <cell r="B577" t="str">
            <v>Tokyo Medical and Dental University</v>
          </cell>
          <cell r="C577" t="str">
            <v>Japan</v>
          </cell>
          <cell r="D577">
            <v>17</v>
          </cell>
          <cell r="E577">
            <v>355</v>
          </cell>
          <cell r="F577">
            <v>478</v>
          </cell>
          <cell r="G577">
            <v>210</v>
          </cell>
          <cell r="H577">
            <v>442</v>
          </cell>
          <cell r="I577">
            <v>299</v>
          </cell>
          <cell r="J577">
            <v>609</v>
          </cell>
          <cell r="K577">
            <v>306</v>
          </cell>
          <cell r="L577">
            <v>307</v>
          </cell>
          <cell r="M577">
            <v>45.67</v>
          </cell>
          <cell r="N577">
            <v>2014</v>
          </cell>
          <cell r="O577">
            <v>376</v>
          </cell>
          <cell r="P577" t="e">
            <v>#N/A</v>
          </cell>
        </row>
        <row r="578">
          <cell r="B578" t="str">
            <v>University of Victoria</v>
          </cell>
          <cell r="C578" t="str">
            <v>Canada</v>
          </cell>
          <cell r="D578">
            <v>16</v>
          </cell>
          <cell r="E578">
            <v>355</v>
          </cell>
          <cell r="F578">
            <v>478</v>
          </cell>
          <cell r="G578">
            <v>210</v>
          </cell>
          <cell r="H578">
            <v>320</v>
          </cell>
          <cell r="I578">
            <v>337</v>
          </cell>
          <cell r="J578">
            <v>363</v>
          </cell>
          <cell r="K578">
            <v>313</v>
          </cell>
          <cell r="L578">
            <v>737</v>
          </cell>
          <cell r="M578">
            <v>45.66</v>
          </cell>
          <cell r="N578">
            <v>2014</v>
          </cell>
          <cell r="O578">
            <v>377</v>
          </cell>
          <cell r="P578">
            <v>32.9</v>
          </cell>
        </row>
        <row r="579">
          <cell r="B579" t="str">
            <v>University of Buenos Aires</v>
          </cell>
          <cell r="C579" t="str">
            <v>Argentina</v>
          </cell>
          <cell r="D579">
            <v>1</v>
          </cell>
          <cell r="E579">
            <v>192</v>
          </cell>
          <cell r="F579">
            <v>477</v>
          </cell>
          <cell r="G579">
            <v>176</v>
          </cell>
          <cell r="H579">
            <v>268</v>
          </cell>
          <cell r="I579">
            <v>348</v>
          </cell>
          <cell r="J579">
            <v>363</v>
          </cell>
          <cell r="K579">
            <v>349</v>
          </cell>
          <cell r="L579">
            <v>737</v>
          </cell>
          <cell r="M579">
            <v>45.66</v>
          </cell>
          <cell r="N579">
            <v>2014</v>
          </cell>
          <cell r="O579">
            <v>378</v>
          </cell>
          <cell r="P579" t="e">
            <v>#N/A</v>
          </cell>
        </row>
        <row r="580">
          <cell r="B580" t="str">
            <v>University of Texas Medical Branch at Galveston</v>
          </cell>
          <cell r="C580" t="str">
            <v>USA</v>
          </cell>
          <cell r="D580">
            <v>135</v>
          </cell>
          <cell r="E580">
            <v>355</v>
          </cell>
          <cell r="F580">
            <v>478</v>
          </cell>
          <cell r="G580">
            <v>210</v>
          </cell>
          <cell r="H580">
            <v>365</v>
          </cell>
          <cell r="I580">
            <v>294</v>
          </cell>
          <cell r="J580">
            <v>363</v>
          </cell>
          <cell r="K580">
            <v>334</v>
          </cell>
          <cell r="L580">
            <v>227</v>
          </cell>
          <cell r="M580">
            <v>45.66</v>
          </cell>
          <cell r="N580">
            <v>2014</v>
          </cell>
          <cell r="O580">
            <v>379</v>
          </cell>
          <cell r="P580" t="e">
            <v>#N/A</v>
          </cell>
        </row>
        <row r="581">
          <cell r="B581" t="str">
            <v>Kyung Hee University</v>
          </cell>
          <cell r="C581" t="str">
            <v>South Korea</v>
          </cell>
          <cell r="D581">
            <v>11</v>
          </cell>
          <cell r="E581">
            <v>239</v>
          </cell>
          <cell r="F581">
            <v>445</v>
          </cell>
          <cell r="G581">
            <v>210</v>
          </cell>
          <cell r="H581">
            <v>398</v>
          </cell>
          <cell r="I581">
            <v>626</v>
          </cell>
          <cell r="J581">
            <v>609</v>
          </cell>
          <cell r="K581">
            <v>569</v>
          </cell>
          <cell r="L581">
            <v>84</v>
          </cell>
          <cell r="M581">
            <v>45.66</v>
          </cell>
          <cell r="N581">
            <v>2014</v>
          </cell>
          <cell r="O581">
            <v>380</v>
          </cell>
          <cell r="P581">
            <v>37.1</v>
          </cell>
        </row>
        <row r="582">
          <cell r="B582" t="str">
            <v>Hong Kong Polytechnic University</v>
          </cell>
          <cell r="C582" t="str">
            <v>Hong Kong</v>
          </cell>
          <cell r="D582">
            <v>5</v>
          </cell>
          <cell r="E582">
            <v>355</v>
          </cell>
          <cell r="F582">
            <v>189</v>
          </cell>
          <cell r="G582">
            <v>210</v>
          </cell>
          <cell r="H582">
            <v>261</v>
          </cell>
          <cell r="I582">
            <v>764</v>
          </cell>
          <cell r="J582">
            <v>406</v>
          </cell>
          <cell r="K582">
            <v>395</v>
          </cell>
          <cell r="L582">
            <v>481</v>
          </cell>
          <cell r="M582">
            <v>45.65</v>
          </cell>
          <cell r="N582">
            <v>2014</v>
          </cell>
          <cell r="O582">
            <v>381</v>
          </cell>
          <cell r="P582">
            <v>39.4</v>
          </cell>
        </row>
        <row r="583">
          <cell r="B583" t="str">
            <v>Saarland University</v>
          </cell>
          <cell r="C583" t="str">
            <v>Germany</v>
          </cell>
          <cell r="D583">
            <v>34</v>
          </cell>
          <cell r="E583">
            <v>355</v>
          </cell>
          <cell r="F583">
            <v>370</v>
          </cell>
          <cell r="G583">
            <v>210</v>
          </cell>
          <cell r="H583">
            <v>390</v>
          </cell>
          <cell r="I583">
            <v>402</v>
          </cell>
          <cell r="J583">
            <v>493</v>
          </cell>
          <cell r="K583">
            <v>326</v>
          </cell>
          <cell r="L583">
            <v>307</v>
          </cell>
          <cell r="M583">
            <v>45.65</v>
          </cell>
          <cell r="N583">
            <v>2014</v>
          </cell>
          <cell r="O583">
            <v>382</v>
          </cell>
          <cell r="P583" t="e">
            <v>#N/A</v>
          </cell>
        </row>
        <row r="584">
          <cell r="B584" t="str">
            <v>Scuola Normale Superiore di Pisa</v>
          </cell>
          <cell r="C584" t="str">
            <v>Italy</v>
          </cell>
          <cell r="D584">
            <v>16</v>
          </cell>
          <cell r="E584">
            <v>229</v>
          </cell>
          <cell r="F584">
            <v>478</v>
          </cell>
          <cell r="G584">
            <v>64</v>
          </cell>
          <cell r="H584">
            <v>530</v>
          </cell>
          <cell r="I584">
            <v>533</v>
          </cell>
          <cell r="J584">
            <v>363</v>
          </cell>
          <cell r="K584">
            <v>488</v>
          </cell>
          <cell r="L584">
            <v>737</v>
          </cell>
          <cell r="M584">
            <v>45.63</v>
          </cell>
          <cell r="N584">
            <v>2014</v>
          </cell>
          <cell r="O584">
            <v>383</v>
          </cell>
          <cell r="P584">
            <v>48.2</v>
          </cell>
        </row>
        <row r="585">
          <cell r="B585" t="str">
            <v>University of Seville</v>
          </cell>
          <cell r="C585" t="str">
            <v>Spain</v>
          </cell>
          <cell r="D585">
            <v>8</v>
          </cell>
          <cell r="E585">
            <v>355</v>
          </cell>
          <cell r="F585">
            <v>478</v>
          </cell>
          <cell r="G585">
            <v>210</v>
          </cell>
          <cell r="H585">
            <v>339</v>
          </cell>
          <cell r="I585">
            <v>556</v>
          </cell>
          <cell r="J585">
            <v>493</v>
          </cell>
          <cell r="K585">
            <v>523</v>
          </cell>
          <cell r="L585">
            <v>89</v>
          </cell>
          <cell r="M585">
            <v>45.63</v>
          </cell>
          <cell r="N585">
            <v>2014</v>
          </cell>
          <cell r="O585">
            <v>384</v>
          </cell>
          <cell r="P585">
            <v>21.5</v>
          </cell>
        </row>
        <row r="586">
          <cell r="B586" t="str">
            <v>Beijing Normal University</v>
          </cell>
          <cell r="C586" t="str">
            <v>China</v>
          </cell>
          <cell r="D586">
            <v>13</v>
          </cell>
          <cell r="E586">
            <v>51</v>
          </cell>
          <cell r="F586">
            <v>478</v>
          </cell>
          <cell r="G586">
            <v>210</v>
          </cell>
          <cell r="H586">
            <v>408</v>
          </cell>
          <cell r="I586">
            <v>490</v>
          </cell>
          <cell r="J586">
            <v>406</v>
          </cell>
          <cell r="K586">
            <v>504</v>
          </cell>
          <cell r="L586">
            <v>737</v>
          </cell>
          <cell r="M586">
            <v>45.61</v>
          </cell>
          <cell r="N586">
            <v>2014</v>
          </cell>
          <cell r="O586">
            <v>385</v>
          </cell>
          <cell r="P586" t="e">
            <v>#N/A</v>
          </cell>
        </row>
        <row r="587">
          <cell r="B587" t="str">
            <v>Chiba University</v>
          </cell>
          <cell r="C587" t="str">
            <v>Japan</v>
          </cell>
          <cell r="D587">
            <v>18</v>
          </cell>
          <cell r="E587">
            <v>355</v>
          </cell>
          <cell r="F587">
            <v>478</v>
          </cell>
          <cell r="G587">
            <v>210</v>
          </cell>
          <cell r="H587">
            <v>342</v>
          </cell>
          <cell r="I587">
            <v>315</v>
          </cell>
          <cell r="J587">
            <v>406</v>
          </cell>
          <cell r="K587">
            <v>343</v>
          </cell>
          <cell r="L587">
            <v>204</v>
          </cell>
          <cell r="M587">
            <v>45.6</v>
          </cell>
          <cell r="N587">
            <v>2014</v>
          </cell>
          <cell r="O587">
            <v>386</v>
          </cell>
          <cell r="P587">
            <v>26.9</v>
          </cell>
        </row>
        <row r="588">
          <cell r="B588" t="str">
            <v>University of Ferrara</v>
          </cell>
          <cell r="C588" t="str">
            <v>Italy</v>
          </cell>
          <cell r="D588">
            <v>17</v>
          </cell>
          <cell r="E588">
            <v>355</v>
          </cell>
          <cell r="F588">
            <v>478</v>
          </cell>
          <cell r="G588">
            <v>210</v>
          </cell>
          <cell r="H588">
            <v>399</v>
          </cell>
          <cell r="I588">
            <v>393</v>
          </cell>
          <cell r="J588">
            <v>310</v>
          </cell>
          <cell r="K588">
            <v>313</v>
          </cell>
          <cell r="L588">
            <v>552</v>
          </cell>
          <cell r="M588">
            <v>45.6</v>
          </cell>
          <cell r="N588">
            <v>2014</v>
          </cell>
          <cell r="O588">
            <v>387</v>
          </cell>
          <cell r="P588">
            <v>15.8</v>
          </cell>
        </row>
        <row r="589">
          <cell r="B589" t="str">
            <v>University of Bari Aldo Moro</v>
          </cell>
          <cell r="C589" t="str">
            <v>Italy</v>
          </cell>
          <cell r="D589">
            <v>18</v>
          </cell>
          <cell r="E589">
            <v>355</v>
          </cell>
          <cell r="F589">
            <v>478</v>
          </cell>
          <cell r="G589">
            <v>210</v>
          </cell>
          <cell r="H589">
            <v>345</v>
          </cell>
          <cell r="I589">
            <v>336</v>
          </cell>
          <cell r="J589">
            <v>493</v>
          </cell>
          <cell r="K589">
            <v>326</v>
          </cell>
          <cell r="L589">
            <v>338</v>
          </cell>
          <cell r="M589">
            <v>45.6</v>
          </cell>
          <cell r="N589">
            <v>2014</v>
          </cell>
          <cell r="O589">
            <v>388</v>
          </cell>
          <cell r="P589">
            <v>23.1</v>
          </cell>
        </row>
        <row r="590">
          <cell r="B590" t="str">
            <v>Polytechnic University of Milan</v>
          </cell>
          <cell r="C590" t="str">
            <v>Italy</v>
          </cell>
          <cell r="D590">
            <v>19</v>
          </cell>
          <cell r="E590">
            <v>101</v>
          </cell>
          <cell r="F590">
            <v>203</v>
          </cell>
          <cell r="G590">
            <v>186</v>
          </cell>
          <cell r="H590">
            <v>360</v>
          </cell>
          <cell r="I590">
            <v>532</v>
          </cell>
          <cell r="J590">
            <v>609</v>
          </cell>
          <cell r="K590">
            <v>504</v>
          </cell>
          <cell r="L590">
            <v>280</v>
          </cell>
          <cell r="M590">
            <v>45.59</v>
          </cell>
          <cell r="N590">
            <v>2014</v>
          </cell>
          <cell r="O590">
            <v>389</v>
          </cell>
          <cell r="P590">
            <v>24.1</v>
          </cell>
        </row>
        <row r="591">
          <cell r="B591" t="str">
            <v>Temple University</v>
          </cell>
          <cell r="C591" t="str">
            <v>USA</v>
          </cell>
          <cell r="D591">
            <v>136</v>
          </cell>
          <cell r="E591">
            <v>262</v>
          </cell>
          <cell r="F591">
            <v>478</v>
          </cell>
          <cell r="G591">
            <v>210</v>
          </cell>
          <cell r="H591">
            <v>341</v>
          </cell>
          <cell r="I591">
            <v>378</v>
          </cell>
          <cell r="J591">
            <v>493</v>
          </cell>
          <cell r="K591">
            <v>355</v>
          </cell>
          <cell r="L591">
            <v>194</v>
          </cell>
          <cell r="M591">
            <v>45.59</v>
          </cell>
          <cell r="N591">
            <v>2014</v>
          </cell>
          <cell r="O591">
            <v>390</v>
          </cell>
          <cell r="P591">
            <v>37.200000000000003</v>
          </cell>
        </row>
        <row r="592">
          <cell r="B592" t="str">
            <v>University of Turku</v>
          </cell>
          <cell r="C592" t="str">
            <v>Finland</v>
          </cell>
          <cell r="D592">
            <v>3</v>
          </cell>
          <cell r="E592">
            <v>355</v>
          </cell>
          <cell r="F592">
            <v>478</v>
          </cell>
          <cell r="G592">
            <v>210</v>
          </cell>
          <cell r="H592">
            <v>320</v>
          </cell>
          <cell r="I592">
            <v>332</v>
          </cell>
          <cell r="J592">
            <v>609</v>
          </cell>
          <cell r="K592">
            <v>326</v>
          </cell>
          <cell r="L592">
            <v>481</v>
          </cell>
          <cell r="M592">
            <v>45.58</v>
          </cell>
          <cell r="N592">
            <v>2014</v>
          </cell>
          <cell r="O592">
            <v>391</v>
          </cell>
          <cell r="P592">
            <v>20.399999999999999</v>
          </cell>
        </row>
        <row r="593">
          <cell r="B593" t="str">
            <v>Aalto University</v>
          </cell>
          <cell r="C593" t="str">
            <v>Finland</v>
          </cell>
          <cell r="D593">
            <v>4</v>
          </cell>
          <cell r="E593">
            <v>355</v>
          </cell>
          <cell r="F593">
            <v>251</v>
          </cell>
          <cell r="G593">
            <v>210</v>
          </cell>
          <cell r="H593">
            <v>344</v>
          </cell>
          <cell r="I593">
            <v>434</v>
          </cell>
          <cell r="J593">
            <v>609</v>
          </cell>
          <cell r="K593">
            <v>460</v>
          </cell>
          <cell r="L593">
            <v>138</v>
          </cell>
          <cell r="M593">
            <v>45.58</v>
          </cell>
          <cell r="N593">
            <v>2014</v>
          </cell>
          <cell r="O593">
            <v>392</v>
          </cell>
          <cell r="P593">
            <v>26.2</v>
          </cell>
        </row>
        <row r="594">
          <cell r="B594" t="str">
            <v>Simon Fraser University</v>
          </cell>
          <cell r="C594" t="str">
            <v>Canada</v>
          </cell>
          <cell r="D594">
            <v>17</v>
          </cell>
          <cell r="E594">
            <v>355</v>
          </cell>
          <cell r="F594">
            <v>478</v>
          </cell>
          <cell r="G594">
            <v>210</v>
          </cell>
          <cell r="H594">
            <v>286</v>
          </cell>
          <cell r="I594">
            <v>281</v>
          </cell>
          <cell r="J594">
            <v>406</v>
          </cell>
          <cell r="K594">
            <v>341</v>
          </cell>
          <cell r="L594">
            <v>373</v>
          </cell>
          <cell r="M594">
            <v>45.58</v>
          </cell>
          <cell r="N594">
            <v>2014</v>
          </cell>
          <cell r="O594">
            <v>393</v>
          </cell>
          <cell r="P594">
            <v>32.9</v>
          </cell>
        </row>
        <row r="595">
          <cell r="B595" t="str">
            <v>Tianjin University</v>
          </cell>
          <cell r="C595" t="str">
            <v>China</v>
          </cell>
          <cell r="D595">
            <v>14</v>
          </cell>
          <cell r="E595">
            <v>355</v>
          </cell>
          <cell r="F595">
            <v>87</v>
          </cell>
          <cell r="G595">
            <v>210</v>
          </cell>
          <cell r="H595">
            <v>406</v>
          </cell>
          <cell r="I595">
            <v>926</v>
          </cell>
          <cell r="J595">
            <v>800</v>
          </cell>
          <cell r="K595">
            <v>663</v>
          </cell>
          <cell r="L595">
            <v>426</v>
          </cell>
          <cell r="M595">
            <v>45.57</v>
          </cell>
          <cell r="N595">
            <v>2014</v>
          </cell>
          <cell r="O595">
            <v>394</v>
          </cell>
          <cell r="P595">
            <v>36.5</v>
          </cell>
        </row>
        <row r="596">
          <cell r="B596" t="str">
            <v>Chalmers University of Technology</v>
          </cell>
          <cell r="C596" t="str">
            <v>Sweden</v>
          </cell>
          <cell r="D596">
            <v>9</v>
          </cell>
          <cell r="E596">
            <v>349</v>
          </cell>
          <cell r="F596">
            <v>332</v>
          </cell>
          <cell r="G596">
            <v>210</v>
          </cell>
          <cell r="H596">
            <v>359</v>
          </cell>
          <cell r="I596">
            <v>435</v>
          </cell>
          <cell r="J596">
            <v>493</v>
          </cell>
          <cell r="K596">
            <v>337</v>
          </cell>
          <cell r="L596">
            <v>737</v>
          </cell>
          <cell r="M596">
            <v>45.57</v>
          </cell>
          <cell r="N596">
            <v>2014</v>
          </cell>
          <cell r="O596">
            <v>395</v>
          </cell>
          <cell r="P596">
            <v>25.9</v>
          </cell>
        </row>
        <row r="597">
          <cell r="B597" t="str">
            <v>Middle East Technical University</v>
          </cell>
          <cell r="C597" t="str">
            <v>Turkey</v>
          </cell>
          <cell r="D597">
            <v>1</v>
          </cell>
          <cell r="E597">
            <v>355</v>
          </cell>
          <cell r="F597">
            <v>79</v>
          </cell>
          <cell r="G597">
            <v>210</v>
          </cell>
          <cell r="H597">
            <v>529</v>
          </cell>
          <cell r="I597">
            <v>904</v>
          </cell>
          <cell r="J597">
            <v>493</v>
          </cell>
          <cell r="K597">
            <v>724</v>
          </cell>
          <cell r="L597">
            <v>737</v>
          </cell>
          <cell r="M597">
            <v>45.57</v>
          </cell>
          <cell r="N597">
            <v>2014</v>
          </cell>
          <cell r="O597">
            <v>396</v>
          </cell>
          <cell r="P597">
            <v>39.5</v>
          </cell>
        </row>
        <row r="598">
          <cell r="B598" t="str">
            <v>Cranfield University</v>
          </cell>
          <cell r="C598" t="str">
            <v>United Kingdom</v>
          </cell>
          <cell r="D598">
            <v>35</v>
          </cell>
          <cell r="E598">
            <v>355</v>
          </cell>
          <cell r="F598">
            <v>71</v>
          </cell>
          <cell r="G598">
            <v>210</v>
          </cell>
          <cell r="H598">
            <v>728</v>
          </cell>
          <cell r="I598">
            <v>731</v>
          </cell>
          <cell r="J598">
            <v>800</v>
          </cell>
          <cell r="K598">
            <v>769</v>
          </cell>
          <cell r="L598">
            <v>737</v>
          </cell>
          <cell r="M598">
            <v>45.56</v>
          </cell>
          <cell r="N598">
            <v>2014</v>
          </cell>
          <cell r="O598">
            <v>397</v>
          </cell>
          <cell r="P598" t="e">
            <v>#N/A</v>
          </cell>
        </row>
        <row r="599">
          <cell r="B599" t="str">
            <v>York University</v>
          </cell>
          <cell r="C599" t="str">
            <v>Canada</v>
          </cell>
          <cell r="D599">
            <v>18</v>
          </cell>
          <cell r="E599">
            <v>355</v>
          </cell>
          <cell r="F599">
            <v>164</v>
          </cell>
          <cell r="G599">
            <v>210</v>
          </cell>
          <cell r="H599">
            <v>397</v>
          </cell>
          <cell r="I599">
            <v>396</v>
          </cell>
          <cell r="J599">
            <v>250</v>
          </cell>
          <cell r="K599">
            <v>409</v>
          </cell>
          <cell r="L599">
            <v>737</v>
          </cell>
          <cell r="M599">
            <v>45.55</v>
          </cell>
          <cell r="N599">
            <v>2014</v>
          </cell>
          <cell r="O599">
            <v>398</v>
          </cell>
          <cell r="P599">
            <v>19.899999999999999</v>
          </cell>
        </row>
        <row r="600">
          <cell r="B600" t="str">
            <v>Xi'an Jiaotong University</v>
          </cell>
          <cell r="C600" t="str">
            <v>China</v>
          </cell>
          <cell r="D600">
            <v>15</v>
          </cell>
          <cell r="E600">
            <v>355</v>
          </cell>
          <cell r="F600">
            <v>127</v>
          </cell>
          <cell r="G600">
            <v>210</v>
          </cell>
          <cell r="H600">
            <v>307</v>
          </cell>
          <cell r="I600">
            <v>595</v>
          </cell>
          <cell r="J600">
            <v>800</v>
          </cell>
          <cell r="K600">
            <v>642</v>
          </cell>
          <cell r="L600">
            <v>181</v>
          </cell>
          <cell r="M600">
            <v>45.55</v>
          </cell>
          <cell r="N600">
            <v>2014</v>
          </cell>
          <cell r="O600">
            <v>399</v>
          </cell>
          <cell r="P600" t="e">
            <v>#N/A</v>
          </cell>
        </row>
        <row r="601">
          <cell r="B601" t="str">
            <v>Chonnam National University</v>
          </cell>
          <cell r="C601" t="str">
            <v>South Korea</v>
          </cell>
          <cell r="D601">
            <v>12</v>
          </cell>
          <cell r="E601">
            <v>355</v>
          </cell>
          <cell r="F601">
            <v>478</v>
          </cell>
          <cell r="G601">
            <v>210</v>
          </cell>
          <cell r="H601">
            <v>411</v>
          </cell>
          <cell r="I601">
            <v>652</v>
          </cell>
          <cell r="J601">
            <v>363</v>
          </cell>
          <cell r="K601">
            <v>430</v>
          </cell>
          <cell r="L601">
            <v>115</v>
          </cell>
          <cell r="M601">
            <v>45.55</v>
          </cell>
          <cell r="N601">
            <v>2014</v>
          </cell>
          <cell r="O601">
            <v>400</v>
          </cell>
          <cell r="P601">
            <v>17.5</v>
          </cell>
        </row>
        <row r="602">
          <cell r="B602" t="str">
            <v>University of Central Florida</v>
          </cell>
          <cell r="C602" t="str">
            <v>USA</v>
          </cell>
          <cell r="D602">
            <v>137</v>
          </cell>
          <cell r="E602">
            <v>355</v>
          </cell>
          <cell r="F602">
            <v>468</v>
          </cell>
          <cell r="G602">
            <v>210</v>
          </cell>
          <cell r="H602">
            <v>388</v>
          </cell>
          <cell r="I602">
            <v>391</v>
          </cell>
          <cell r="J602">
            <v>493</v>
          </cell>
          <cell r="K602">
            <v>380</v>
          </cell>
          <cell r="L602">
            <v>149</v>
          </cell>
          <cell r="M602">
            <v>45.55</v>
          </cell>
          <cell r="N602">
            <v>2014</v>
          </cell>
          <cell r="O602">
            <v>401</v>
          </cell>
          <cell r="P602" t="e">
            <v>#N/A</v>
          </cell>
        </row>
        <row r="603">
          <cell r="B603" t="str">
            <v>University of Lorraine</v>
          </cell>
          <cell r="C603" t="str">
            <v>France</v>
          </cell>
          <cell r="D603">
            <v>14</v>
          </cell>
          <cell r="E603">
            <v>213</v>
          </cell>
          <cell r="F603">
            <v>301</v>
          </cell>
          <cell r="G603">
            <v>185</v>
          </cell>
          <cell r="H603">
            <v>300</v>
          </cell>
          <cell r="I603">
            <v>361</v>
          </cell>
          <cell r="J603">
            <v>493</v>
          </cell>
          <cell r="K603">
            <v>442</v>
          </cell>
          <cell r="L603">
            <v>181</v>
          </cell>
          <cell r="M603">
            <v>45.55</v>
          </cell>
          <cell r="N603">
            <v>2014</v>
          </cell>
          <cell r="O603">
            <v>402</v>
          </cell>
          <cell r="P603" t="e">
            <v>#N/A</v>
          </cell>
        </row>
        <row r="604">
          <cell r="B604" t="str">
            <v>University of Bordeaux II</v>
          </cell>
          <cell r="C604" t="str">
            <v>France</v>
          </cell>
          <cell r="D604">
            <v>15</v>
          </cell>
          <cell r="E604">
            <v>355</v>
          </cell>
          <cell r="F604">
            <v>478</v>
          </cell>
          <cell r="G604">
            <v>210</v>
          </cell>
          <cell r="H604">
            <v>440</v>
          </cell>
          <cell r="I604">
            <v>385</v>
          </cell>
          <cell r="J604">
            <v>363</v>
          </cell>
          <cell r="K604">
            <v>322</v>
          </cell>
          <cell r="L604">
            <v>426</v>
          </cell>
          <cell r="M604">
            <v>45.54</v>
          </cell>
          <cell r="N604">
            <v>2014</v>
          </cell>
          <cell r="O604">
            <v>403</v>
          </cell>
          <cell r="P604" t="e">
            <v>#N/A</v>
          </cell>
        </row>
        <row r="605">
          <cell r="B605" t="str">
            <v>University of New Hampshire</v>
          </cell>
          <cell r="C605" t="str">
            <v>USA</v>
          </cell>
          <cell r="D605">
            <v>138</v>
          </cell>
          <cell r="E605">
            <v>355</v>
          </cell>
          <cell r="F605">
            <v>346</v>
          </cell>
          <cell r="G605">
            <v>131</v>
          </cell>
          <cell r="H605">
            <v>511</v>
          </cell>
          <cell r="I605">
            <v>277</v>
          </cell>
          <cell r="J605">
            <v>200</v>
          </cell>
          <cell r="K605">
            <v>366</v>
          </cell>
          <cell r="L605">
            <v>637</v>
          </cell>
          <cell r="M605">
            <v>45.53</v>
          </cell>
          <cell r="N605">
            <v>2014</v>
          </cell>
          <cell r="O605">
            <v>404</v>
          </cell>
          <cell r="P605" t="e">
            <v>#N/A</v>
          </cell>
        </row>
        <row r="606">
          <cell r="B606" t="str">
            <v>Versailles Saint-Quentin-en-Yvelines University</v>
          </cell>
          <cell r="C606" t="str">
            <v>France</v>
          </cell>
          <cell r="D606">
            <v>16</v>
          </cell>
          <cell r="E606">
            <v>355</v>
          </cell>
          <cell r="F606">
            <v>478</v>
          </cell>
          <cell r="G606">
            <v>210</v>
          </cell>
          <cell r="H606">
            <v>452</v>
          </cell>
          <cell r="I606">
            <v>240</v>
          </cell>
          <cell r="J606">
            <v>283</v>
          </cell>
          <cell r="K606">
            <v>326</v>
          </cell>
          <cell r="L606">
            <v>637</v>
          </cell>
          <cell r="M606">
            <v>45.53</v>
          </cell>
          <cell r="N606">
            <v>2014</v>
          </cell>
          <cell r="O606">
            <v>405</v>
          </cell>
          <cell r="P606" t="e">
            <v>#N/A</v>
          </cell>
        </row>
        <row r="607">
          <cell r="B607" t="str">
            <v>Chonbuk National University</v>
          </cell>
          <cell r="C607" t="str">
            <v>South Korea</v>
          </cell>
          <cell r="D607">
            <v>13</v>
          </cell>
          <cell r="E607">
            <v>355</v>
          </cell>
          <cell r="F607">
            <v>478</v>
          </cell>
          <cell r="G607">
            <v>210</v>
          </cell>
          <cell r="H607">
            <v>512</v>
          </cell>
          <cell r="I607">
            <v>741</v>
          </cell>
          <cell r="J607">
            <v>800</v>
          </cell>
          <cell r="K607">
            <v>618</v>
          </cell>
          <cell r="L607">
            <v>78</v>
          </cell>
          <cell r="M607">
            <v>45.51</v>
          </cell>
          <cell r="N607">
            <v>2014</v>
          </cell>
          <cell r="O607">
            <v>406</v>
          </cell>
          <cell r="P607">
            <v>19.7</v>
          </cell>
        </row>
        <row r="608">
          <cell r="B608" t="str">
            <v>Kumamoto University</v>
          </cell>
          <cell r="C608" t="str">
            <v>Japan</v>
          </cell>
          <cell r="D608">
            <v>19</v>
          </cell>
          <cell r="E608">
            <v>279</v>
          </cell>
          <cell r="F608">
            <v>325</v>
          </cell>
          <cell r="G608">
            <v>210</v>
          </cell>
          <cell r="H608">
            <v>473</v>
          </cell>
          <cell r="I608">
            <v>400</v>
          </cell>
          <cell r="J608">
            <v>493</v>
          </cell>
          <cell r="K608">
            <v>380</v>
          </cell>
          <cell r="L608">
            <v>170</v>
          </cell>
          <cell r="M608">
            <v>45.51</v>
          </cell>
          <cell r="N608">
            <v>2014</v>
          </cell>
          <cell r="O608">
            <v>407</v>
          </cell>
          <cell r="P608">
            <v>23.4</v>
          </cell>
        </row>
        <row r="609">
          <cell r="B609" t="str">
            <v>Huazhong University of Science and Technology</v>
          </cell>
          <cell r="C609" t="str">
            <v>China</v>
          </cell>
          <cell r="D609">
            <v>16</v>
          </cell>
          <cell r="E609">
            <v>355</v>
          </cell>
          <cell r="F609">
            <v>232</v>
          </cell>
          <cell r="G609">
            <v>210</v>
          </cell>
          <cell r="H609">
            <v>259</v>
          </cell>
          <cell r="I609">
            <v>656</v>
          </cell>
          <cell r="J609">
            <v>609</v>
          </cell>
          <cell r="K609">
            <v>504</v>
          </cell>
          <cell r="L609">
            <v>181</v>
          </cell>
          <cell r="M609">
            <v>45.5</v>
          </cell>
          <cell r="N609">
            <v>2014</v>
          </cell>
          <cell r="O609">
            <v>408</v>
          </cell>
          <cell r="P609">
            <v>29.3</v>
          </cell>
        </row>
        <row r="610">
          <cell r="B610" t="str">
            <v>Brunel University</v>
          </cell>
          <cell r="C610" t="str">
            <v>United Kingdom</v>
          </cell>
          <cell r="D610">
            <v>36</v>
          </cell>
          <cell r="E610">
            <v>355</v>
          </cell>
          <cell r="F610">
            <v>147</v>
          </cell>
          <cell r="G610">
            <v>210</v>
          </cell>
          <cell r="H610">
            <v>486</v>
          </cell>
          <cell r="I610">
            <v>612</v>
          </cell>
          <cell r="J610">
            <v>609</v>
          </cell>
          <cell r="K610">
            <v>420</v>
          </cell>
          <cell r="L610">
            <v>481</v>
          </cell>
          <cell r="M610">
            <v>45.5</v>
          </cell>
          <cell r="N610">
            <v>2014</v>
          </cell>
          <cell r="O610">
            <v>409</v>
          </cell>
          <cell r="P610" t="e">
            <v>#N/A</v>
          </cell>
        </row>
        <row r="611">
          <cell r="B611" t="str">
            <v>Polytechnic University of Catalonia</v>
          </cell>
          <cell r="C611" t="str">
            <v>Spain</v>
          </cell>
          <cell r="D611">
            <v>9</v>
          </cell>
          <cell r="E611">
            <v>355</v>
          </cell>
          <cell r="F611">
            <v>451</v>
          </cell>
          <cell r="G611">
            <v>210</v>
          </cell>
          <cell r="H611">
            <v>386</v>
          </cell>
          <cell r="I611">
            <v>583</v>
          </cell>
          <cell r="J611">
            <v>406</v>
          </cell>
          <cell r="K611">
            <v>514</v>
          </cell>
          <cell r="L611">
            <v>109</v>
          </cell>
          <cell r="M611">
            <v>45.49</v>
          </cell>
          <cell r="N611">
            <v>2014</v>
          </cell>
          <cell r="O611">
            <v>410</v>
          </cell>
          <cell r="P611">
            <v>23</v>
          </cell>
        </row>
        <row r="612">
          <cell r="B612" t="str">
            <v>National Chiao Tung University</v>
          </cell>
          <cell r="C612" t="str">
            <v>Taiwan</v>
          </cell>
          <cell r="D612">
            <v>3</v>
          </cell>
          <cell r="E612">
            <v>355</v>
          </cell>
          <cell r="F612">
            <v>220</v>
          </cell>
          <cell r="G612">
            <v>210</v>
          </cell>
          <cell r="H612">
            <v>232</v>
          </cell>
          <cell r="I612">
            <v>638</v>
          </cell>
          <cell r="J612">
            <v>609</v>
          </cell>
          <cell r="K612">
            <v>442</v>
          </cell>
          <cell r="L612">
            <v>737</v>
          </cell>
          <cell r="M612">
            <v>45.49</v>
          </cell>
          <cell r="N612">
            <v>2014</v>
          </cell>
          <cell r="O612">
            <v>411</v>
          </cell>
          <cell r="P612">
            <v>53.2</v>
          </cell>
        </row>
        <row r="613">
          <cell r="B613" t="str">
            <v>Southeast University</v>
          </cell>
          <cell r="C613" t="str">
            <v>China</v>
          </cell>
          <cell r="D613">
            <v>17</v>
          </cell>
          <cell r="E613">
            <v>158</v>
          </cell>
          <cell r="F613">
            <v>409</v>
          </cell>
          <cell r="G613">
            <v>210</v>
          </cell>
          <cell r="H613">
            <v>412</v>
          </cell>
          <cell r="I613">
            <v>695</v>
          </cell>
          <cell r="J613">
            <v>609</v>
          </cell>
          <cell r="K613">
            <v>514</v>
          </cell>
          <cell r="L613">
            <v>121</v>
          </cell>
          <cell r="M613">
            <v>45.49</v>
          </cell>
          <cell r="N613">
            <v>2014</v>
          </cell>
          <cell r="O613">
            <v>412</v>
          </cell>
          <cell r="P613" t="e">
            <v>#N/A</v>
          </cell>
        </row>
        <row r="614">
          <cell r="B614" t="str">
            <v>Tokyo University of Science</v>
          </cell>
          <cell r="C614" t="str">
            <v>Japan</v>
          </cell>
          <cell r="D614">
            <v>20</v>
          </cell>
          <cell r="E614">
            <v>355</v>
          </cell>
          <cell r="F614">
            <v>478</v>
          </cell>
          <cell r="G614">
            <v>210</v>
          </cell>
          <cell r="H614">
            <v>504</v>
          </cell>
          <cell r="I614">
            <v>516</v>
          </cell>
          <cell r="J614">
            <v>406</v>
          </cell>
          <cell r="K614">
            <v>402</v>
          </cell>
          <cell r="L614">
            <v>128</v>
          </cell>
          <cell r="M614">
            <v>45.48</v>
          </cell>
          <cell r="N614">
            <v>2014</v>
          </cell>
          <cell r="O614">
            <v>413</v>
          </cell>
          <cell r="P614">
            <v>23</v>
          </cell>
        </row>
        <row r="615">
          <cell r="B615" t="str">
            <v>Catholic University of the Sacred Heart</v>
          </cell>
          <cell r="C615" t="str">
            <v>Italy</v>
          </cell>
          <cell r="D615">
            <v>20</v>
          </cell>
          <cell r="E615">
            <v>355</v>
          </cell>
          <cell r="F615">
            <v>478</v>
          </cell>
          <cell r="G615">
            <v>210</v>
          </cell>
          <cell r="H615">
            <v>422</v>
          </cell>
          <cell r="I615">
            <v>500</v>
          </cell>
          <cell r="J615">
            <v>609</v>
          </cell>
          <cell r="K615">
            <v>326</v>
          </cell>
          <cell r="L615">
            <v>737</v>
          </cell>
          <cell r="M615">
            <v>45.47</v>
          </cell>
          <cell r="N615">
            <v>2014</v>
          </cell>
          <cell r="O615">
            <v>414</v>
          </cell>
          <cell r="P615">
            <v>18.600000000000001</v>
          </cell>
        </row>
        <row r="616">
          <cell r="B616" t="str">
            <v>Brigham Young University</v>
          </cell>
          <cell r="C616" t="str">
            <v>USA</v>
          </cell>
          <cell r="D616">
            <v>139</v>
          </cell>
          <cell r="E616">
            <v>288</v>
          </cell>
          <cell r="F616">
            <v>444</v>
          </cell>
          <cell r="G616">
            <v>210</v>
          </cell>
          <cell r="H616">
            <v>495</v>
          </cell>
          <cell r="I616">
            <v>423</v>
          </cell>
          <cell r="J616">
            <v>283</v>
          </cell>
          <cell r="K616">
            <v>415</v>
          </cell>
          <cell r="L616">
            <v>149</v>
          </cell>
          <cell r="M616">
            <v>45.47</v>
          </cell>
          <cell r="N616">
            <v>2014</v>
          </cell>
          <cell r="O616">
            <v>415</v>
          </cell>
          <cell r="P616" t="e">
            <v>#N/A</v>
          </cell>
        </row>
        <row r="617">
          <cell r="B617" t="str">
            <v>Technical University of Madrid</v>
          </cell>
          <cell r="C617" t="str">
            <v>Spain</v>
          </cell>
          <cell r="D617">
            <v>10</v>
          </cell>
          <cell r="E617">
            <v>206</v>
          </cell>
          <cell r="F617">
            <v>200</v>
          </cell>
          <cell r="G617">
            <v>210</v>
          </cell>
          <cell r="H617">
            <v>478</v>
          </cell>
          <cell r="I617">
            <v>672</v>
          </cell>
          <cell r="J617">
            <v>609</v>
          </cell>
          <cell r="K617">
            <v>749</v>
          </cell>
          <cell r="L617">
            <v>109</v>
          </cell>
          <cell r="M617">
            <v>45.47</v>
          </cell>
          <cell r="N617">
            <v>2014</v>
          </cell>
          <cell r="O617">
            <v>416</v>
          </cell>
          <cell r="P617">
            <v>21.8</v>
          </cell>
        </row>
        <row r="618">
          <cell r="B618" t="str">
            <v>Nagasaki University</v>
          </cell>
          <cell r="C618" t="str">
            <v>Japan</v>
          </cell>
          <cell r="D618">
            <v>21</v>
          </cell>
          <cell r="E618">
            <v>274</v>
          </cell>
          <cell r="F618">
            <v>128</v>
          </cell>
          <cell r="G618">
            <v>210</v>
          </cell>
          <cell r="H618">
            <v>567</v>
          </cell>
          <cell r="I618">
            <v>579</v>
          </cell>
          <cell r="J618">
            <v>493</v>
          </cell>
          <cell r="K618">
            <v>514</v>
          </cell>
          <cell r="L618">
            <v>307</v>
          </cell>
          <cell r="M618">
            <v>45.46</v>
          </cell>
          <cell r="N618">
            <v>2014</v>
          </cell>
          <cell r="O618">
            <v>417</v>
          </cell>
          <cell r="P618">
            <v>22.8</v>
          </cell>
        </row>
        <row r="619">
          <cell r="B619" t="str">
            <v>National Tsing Hua University</v>
          </cell>
          <cell r="C619" t="str">
            <v>Taiwan</v>
          </cell>
          <cell r="D619">
            <v>4</v>
          </cell>
          <cell r="E619">
            <v>244</v>
          </cell>
          <cell r="F619">
            <v>478</v>
          </cell>
          <cell r="G619">
            <v>210</v>
          </cell>
          <cell r="H619">
            <v>230</v>
          </cell>
          <cell r="I619">
            <v>406</v>
          </cell>
          <cell r="J619">
            <v>493</v>
          </cell>
          <cell r="K619">
            <v>386</v>
          </cell>
          <cell r="L619">
            <v>552</v>
          </cell>
          <cell r="M619">
            <v>45.46</v>
          </cell>
          <cell r="N619">
            <v>2014</v>
          </cell>
          <cell r="O619">
            <v>418</v>
          </cell>
          <cell r="P619">
            <v>52.2</v>
          </cell>
        </row>
        <row r="620">
          <cell r="B620" t="str">
            <v>University of Warsaw</v>
          </cell>
          <cell r="C620" t="str">
            <v>Poland</v>
          </cell>
          <cell r="D620">
            <v>1</v>
          </cell>
          <cell r="E620">
            <v>119</v>
          </cell>
          <cell r="F620">
            <v>478</v>
          </cell>
          <cell r="G620">
            <v>145</v>
          </cell>
          <cell r="H620">
            <v>400</v>
          </cell>
          <cell r="I620">
            <v>488</v>
          </cell>
          <cell r="J620">
            <v>363</v>
          </cell>
          <cell r="K620">
            <v>402</v>
          </cell>
          <cell r="L620">
            <v>637</v>
          </cell>
          <cell r="M620">
            <v>45.45</v>
          </cell>
          <cell r="N620">
            <v>2014</v>
          </cell>
          <cell r="O620">
            <v>419</v>
          </cell>
          <cell r="P620">
            <v>21.6</v>
          </cell>
        </row>
        <row r="621">
          <cell r="B621" t="str">
            <v>King Saud University</v>
          </cell>
          <cell r="C621" t="str">
            <v>Saudi Arabia</v>
          </cell>
          <cell r="D621">
            <v>1</v>
          </cell>
          <cell r="E621">
            <v>355</v>
          </cell>
          <cell r="F621">
            <v>133</v>
          </cell>
          <cell r="G621">
            <v>210</v>
          </cell>
          <cell r="H621">
            <v>611</v>
          </cell>
          <cell r="I621">
            <v>537</v>
          </cell>
          <cell r="J621">
            <v>800</v>
          </cell>
          <cell r="K621">
            <v>897</v>
          </cell>
          <cell r="L621">
            <v>115</v>
          </cell>
          <cell r="M621">
            <v>45.45</v>
          </cell>
          <cell r="N621">
            <v>2014</v>
          </cell>
          <cell r="O621">
            <v>420</v>
          </cell>
          <cell r="P621">
            <v>21.4</v>
          </cell>
        </row>
        <row r="622">
          <cell r="B622" t="str">
            <v>University of Bath</v>
          </cell>
          <cell r="C622" t="str">
            <v>United Kingdom</v>
          </cell>
          <cell r="D622">
            <v>37</v>
          </cell>
          <cell r="E622">
            <v>355</v>
          </cell>
          <cell r="F622">
            <v>352</v>
          </cell>
          <cell r="G622">
            <v>210</v>
          </cell>
          <cell r="H622">
            <v>387</v>
          </cell>
          <cell r="I622">
            <v>379</v>
          </cell>
          <cell r="J622">
            <v>310</v>
          </cell>
          <cell r="K622">
            <v>355</v>
          </cell>
          <cell r="L622">
            <v>552</v>
          </cell>
          <cell r="M622">
            <v>45.44</v>
          </cell>
          <cell r="N622">
            <v>2014</v>
          </cell>
          <cell r="O622">
            <v>421</v>
          </cell>
          <cell r="P622">
            <v>25.2</v>
          </cell>
        </row>
        <row r="623">
          <cell r="B623" t="str">
            <v>Concordia University</v>
          </cell>
          <cell r="C623" t="str">
            <v>Canada</v>
          </cell>
          <cell r="D623">
            <v>19</v>
          </cell>
          <cell r="E623">
            <v>355</v>
          </cell>
          <cell r="F623">
            <v>110</v>
          </cell>
          <cell r="G623">
            <v>210</v>
          </cell>
          <cell r="H623">
            <v>540</v>
          </cell>
          <cell r="I623">
            <v>687</v>
          </cell>
          <cell r="J623">
            <v>493</v>
          </cell>
          <cell r="K623">
            <v>543</v>
          </cell>
          <cell r="L623">
            <v>552</v>
          </cell>
          <cell r="M623">
            <v>45.44</v>
          </cell>
          <cell r="N623">
            <v>2014</v>
          </cell>
          <cell r="O623">
            <v>422</v>
          </cell>
          <cell r="P623">
            <v>19.3</v>
          </cell>
        </row>
        <row r="624">
          <cell r="B624" t="str">
            <v>Georgia Regents University</v>
          </cell>
          <cell r="C624" t="str">
            <v>USA</v>
          </cell>
          <cell r="D624">
            <v>140</v>
          </cell>
          <cell r="E624">
            <v>355</v>
          </cell>
          <cell r="F624">
            <v>478</v>
          </cell>
          <cell r="G624">
            <v>210</v>
          </cell>
          <cell r="H624">
            <v>579</v>
          </cell>
          <cell r="I624">
            <v>471</v>
          </cell>
          <cell r="J624">
            <v>310</v>
          </cell>
          <cell r="K624">
            <v>334</v>
          </cell>
          <cell r="L624">
            <v>737</v>
          </cell>
          <cell r="M624">
            <v>45.43</v>
          </cell>
          <cell r="N624">
            <v>2014</v>
          </cell>
          <cell r="O624">
            <v>423</v>
          </cell>
          <cell r="P624" t="e">
            <v>#N/A</v>
          </cell>
        </row>
        <row r="625">
          <cell r="B625" t="str">
            <v>Niigata University</v>
          </cell>
          <cell r="C625" t="str">
            <v>Japan</v>
          </cell>
          <cell r="D625">
            <v>22</v>
          </cell>
          <cell r="E625">
            <v>355</v>
          </cell>
          <cell r="F625">
            <v>217</v>
          </cell>
          <cell r="G625">
            <v>210</v>
          </cell>
          <cell r="H625">
            <v>503</v>
          </cell>
          <cell r="I625">
            <v>506</v>
          </cell>
          <cell r="J625">
            <v>363</v>
          </cell>
          <cell r="K625">
            <v>420</v>
          </cell>
          <cell r="L625">
            <v>204</v>
          </cell>
          <cell r="M625">
            <v>45.43</v>
          </cell>
          <cell r="N625">
            <v>2014</v>
          </cell>
          <cell r="O625">
            <v>424</v>
          </cell>
          <cell r="P625">
            <v>21.9</v>
          </cell>
        </row>
        <row r="626">
          <cell r="B626" t="str">
            <v>University of Oulu</v>
          </cell>
          <cell r="C626" t="str">
            <v>Finland</v>
          </cell>
          <cell r="D626">
            <v>5</v>
          </cell>
          <cell r="E626">
            <v>253</v>
          </cell>
          <cell r="F626">
            <v>354</v>
          </cell>
          <cell r="G626">
            <v>210</v>
          </cell>
          <cell r="H626">
            <v>426</v>
          </cell>
          <cell r="I626">
            <v>360</v>
          </cell>
          <cell r="J626">
            <v>493</v>
          </cell>
          <cell r="K626">
            <v>361</v>
          </cell>
          <cell r="L626">
            <v>373</v>
          </cell>
          <cell r="M626">
            <v>45.43</v>
          </cell>
          <cell r="N626">
            <v>2014</v>
          </cell>
          <cell r="O626">
            <v>425</v>
          </cell>
          <cell r="P626">
            <v>23.1</v>
          </cell>
        </row>
        <row r="627">
          <cell r="B627" t="str">
            <v>Pompeu Fabra University</v>
          </cell>
          <cell r="C627" t="str">
            <v>Spain</v>
          </cell>
          <cell r="D627">
            <v>11</v>
          </cell>
          <cell r="E627">
            <v>355</v>
          </cell>
          <cell r="F627">
            <v>478</v>
          </cell>
          <cell r="G627">
            <v>210</v>
          </cell>
          <cell r="H627">
            <v>409</v>
          </cell>
          <cell r="I627">
            <v>184</v>
          </cell>
          <cell r="J627">
            <v>609</v>
          </cell>
          <cell r="K627">
            <v>343</v>
          </cell>
          <cell r="L627">
            <v>481</v>
          </cell>
          <cell r="M627">
            <v>45.43</v>
          </cell>
          <cell r="N627">
            <v>2014</v>
          </cell>
          <cell r="O627">
            <v>426</v>
          </cell>
          <cell r="P627">
            <v>35</v>
          </cell>
        </row>
        <row r="628">
          <cell r="B628" t="str">
            <v>Vienna University of Technology</v>
          </cell>
          <cell r="C628" t="str">
            <v>Austria</v>
          </cell>
          <cell r="D628">
            <v>4</v>
          </cell>
          <cell r="E628">
            <v>351</v>
          </cell>
          <cell r="F628">
            <v>413</v>
          </cell>
          <cell r="G628">
            <v>210</v>
          </cell>
          <cell r="H628">
            <v>381</v>
          </cell>
          <cell r="I628">
            <v>365</v>
          </cell>
          <cell r="J628">
            <v>406</v>
          </cell>
          <cell r="K628">
            <v>420</v>
          </cell>
          <cell r="L628">
            <v>159</v>
          </cell>
          <cell r="M628">
            <v>45.43</v>
          </cell>
          <cell r="N628">
            <v>2014</v>
          </cell>
          <cell r="O628">
            <v>427</v>
          </cell>
          <cell r="P628">
            <v>26.3</v>
          </cell>
        </row>
        <row r="629">
          <cell r="B629" t="str">
            <v>Sogang University</v>
          </cell>
          <cell r="C629" t="str">
            <v>South Korea</v>
          </cell>
          <cell r="D629">
            <v>14</v>
          </cell>
          <cell r="E629">
            <v>355</v>
          </cell>
          <cell r="F629">
            <v>478</v>
          </cell>
          <cell r="G629">
            <v>210</v>
          </cell>
          <cell r="H629">
            <v>781</v>
          </cell>
          <cell r="I629">
            <v>792</v>
          </cell>
          <cell r="J629">
            <v>800</v>
          </cell>
          <cell r="K629">
            <v>889</v>
          </cell>
          <cell r="L629">
            <v>68</v>
          </cell>
          <cell r="M629">
            <v>45.43</v>
          </cell>
          <cell r="N629">
            <v>2014</v>
          </cell>
          <cell r="O629">
            <v>428</v>
          </cell>
          <cell r="P629">
            <v>21.5</v>
          </cell>
        </row>
        <row r="630">
          <cell r="B630" t="str">
            <v>Gyeongsang National University</v>
          </cell>
          <cell r="C630" t="str">
            <v>South Korea</v>
          </cell>
          <cell r="D630">
            <v>15</v>
          </cell>
          <cell r="E630">
            <v>355</v>
          </cell>
          <cell r="F630">
            <v>478</v>
          </cell>
          <cell r="G630">
            <v>210</v>
          </cell>
          <cell r="H630">
            <v>626</v>
          </cell>
          <cell r="I630">
            <v>663</v>
          </cell>
          <cell r="J630">
            <v>800</v>
          </cell>
          <cell r="K630">
            <v>618</v>
          </cell>
          <cell r="L630">
            <v>84</v>
          </cell>
          <cell r="M630">
            <v>45.43</v>
          </cell>
          <cell r="N630">
            <v>2014</v>
          </cell>
          <cell r="O630">
            <v>429</v>
          </cell>
          <cell r="P630" t="e">
            <v>#N/A</v>
          </cell>
        </row>
        <row r="631">
          <cell r="B631" t="str">
            <v>University of Tampere</v>
          </cell>
          <cell r="C631" t="str">
            <v>Finland</v>
          </cell>
          <cell r="D631">
            <v>6</v>
          </cell>
          <cell r="E631">
            <v>355</v>
          </cell>
          <cell r="F631">
            <v>235</v>
          </cell>
          <cell r="G631">
            <v>210</v>
          </cell>
          <cell r="H631">
            <v>554</v>
          </cell>
          <cell r="I631">
            <v>461</v>
          </cell>
          <cell r="J631">
            <v>493</v>
          </cell>
          <cell r="K631">
            <v>370</v>
          </cell>
          <cell r="L631">
            <v>637</v>
          </cell>
          <cell r="M631">
            <v>45.41</v>
          </cell>
          <cell r="N631">
            <v>2014</v>
          </cell>
          <cell r="O631">
            <v>430</v>
          </cell>
          <cell r="P631">
            <v>22.5</v>
          </cell>
        </row>
        <row r="632">
          <cell r="B632" t="str">
            <v>University of Milan - Bicocca</v>
          </cell>
          <cell r="C632" t="str">
            <v>Italy</v>
          </cell>
          <cell r="D632">
            <v>21</v>
          </cell>
          <cell r="E632">
            <v>355</v>
          </cell>
          <cell r="F632">
            <v>478</v>
          </cell>
          <cell r="G632">
            <v>210</v>
          </cell>
          <cell r="H632">
            <v>404</v>
          </cell>
          <cell r="I632">
            <v>328</v>
          </cell>
          <cell r="J632">
            <v>406</v>
          </cell>
          <cell r="K632">
            <v>355</v>
          </cell>
          <cell r="L632">
            <v>280</v>
          </cell>
          <cell r="M632">
            <v>45.41</v>
          </cell>
          <cell r="N632">
            <v>2014</v>
          </cell>
          <cell r="O632">
            <v>431</v>
          </cell>
          <cell r="P632" t="e">
            <v>#N/A</v>
          </cell>
        </row>
        <row r="633">
          <cell r="B633" t="str">
            <v>University of Bordeaux I</v>
          </cell>
          <cell r="C633" t="str">
            <v>France</v>
          </cell>
          <cell r="D633">
            <v>17</v>
          </cell>
          <cell r="E633">
            <v>355</v>
          </cell>
          <cell r="F633">
            <v>478</v>
          </cell>
          <cell r="G633">
            <v>210</v>
          </cell>
          <cell r="H633">
            <v>327</v>
          </cell>
          <cell r="I633">
            <v>228</v>
          </cell>
          <cell r="J633">
            <v>406</v>
          </cell>
          <cell r="K633">
            <v>361</v>
          </cell>
          <cell r="L633">
            <v>426</v>
          </cell>
          <cell r="M633">
            <v>45.41</v>
          </cell>
          <cell r="N633">
            <v>2014</v>
          </cell>
          <cell r="O633">
            <v>432</v>
          </cell>
          <cell r="P633" t="e">
            <v>#N/A</v>
          </cell>
        </row>
        <row r="634">
          <cell r="B634" t="str">
            <v>Swedish University of Agricultural Sciences</v>
          </cell>
          <cell r="C634" t="str">
            <v>Sweden</v>
          </cell>
          <cell r="D634">
            <v>10</v>
          </cell>
          <cell r="E634">
            <v>355</v>
          </cell>
          <cell r="F634">
            <v>478</v>
          </cell>
          <cell r="G634">
            <v>210</v>
          </cell>
          <cell r="H634">
            <v>376</v>
          </cell>
          <cell r="I634">
            <v>266</v>
          </cell>
          <cell r="J634">
            <v>363</v>
          </cell>
          <cell r="K634">
            <v>346</v>
          </cell>
          <cell r="L634">
            <v>737</v>
          </cell>
          <cell r="M634">
            <v>45.4</v>
          </cell>
          <cell r="N634">
            <v>2014</v>
          </cell>
          <cell r="O634">
            <v>433</v>
          </cell>
          <cell r="P634">
            <v>43.3</v>
          </cell>
        </row>
        <row r="635">
          <cell r="B635" t="str">
            <v>George Mason University</v>
          </cell>
          <cell r="C635" t="str">
            <v>USA</v>
          </cell>
          <cell r="D635">
            <v>141</v>
          </cell>
          <cell r="E635">
            <v>355</v>
          </cell>
          <cell r="F635">
            <v>478</v>
          </cell>
          <cell r="G635">
            <v>97</v>
          </cell>
          <cell r="H635">
            <v>449</v>
          </cell>
          <cell r="I635">
            <v>374</v>
          </cell>
          <cell r="J635">
            <v>283</v>
          </cell>
          <cell r="K635">
            <v>415</v>
          </cell>
          <cell r="L635">
            <v>637</v>
          </cell>
          <cell r="M635">
            <v>45.4</v>
          </cell>
          <cell r="N635">
            <v>2014</v>
          </cell>
          <cell r="O635">
            <v>434</v>
          </cell>
          <cell r="P635">
            <v>29.3</v>
          </cell>
        </row>
        <row r="636">
          <cell r="B636" t="str">
            <v>Jilin University</v>
          </cell>
          <cell r="C636" t="str">
            <v>China</v>
          </cell>
          <cell r="D636">
            <v>18</v>
          </cell>
          <cell r="E636">
            <v>224</v>
          </cell>
          <cell r="F636">
            <v>469</v>
          </cell>
          <cell r="G636">
            <v>210</v>
          </cell>
          <cell r="H636">
            <v>270</v>
          </cell>
          <cell r="I636">
            <v>467</v>
          </cell>
          <cell r="J636">
            <v>493</v>
          </cell>
          <cell r="K636">
            <v>395</v>
          </cell>
          <cell r="L636">
            <v>373</v>
          </cell>
          <cell r="M636">
            <v>45.4</v>
          </cell>
          <cell r="N636">
            <v>2014</v>
          </cell>
          <cell r="O636">
            <v>435</v>
          </cell>
          <cell r="P636">
            <v>28.2</v>
          </cell>
        </row>
        <row r="637">
          <cell r="B637" t="str">
            <v>University of Delhi</v>
          </cell>
          <cell r="C637" t="str">
            <v>India</v>
          </cell>
          <cell r="D637">
            <v>2</v>
          </cell>
          <cell r="E637">
            <v>263</v>
          </cell>
          <cell r="F637">
            <v>88</v>
          </cell>
          <cell r="G637">
            <v>210</v>
          </cell>
          <cell r="H637">
            <v>701</v>
          </cell>
          <cell r="I637">
            <v>732</v>
          </cell>
          <cell r="J637">
            <v>800</v>
          </cell>
          <cell r="K637">
            <v>769</v>
          </cell>
          <cell r="L637">
            <v>637</v>
          </cell>
          <cell r="M637">
            <v>45.4</v>
          </cell>
          <cell r="N637">
            <v>2014</v>
          </cell>
          <cell r="O637">
            <v>436</v>
          </cell>
          <cell r="P637">
            <v>29.8</v>
          </cell>
        </row>
        <row r="638">
          <cell r="B638" t="str">
            <v>University of Campinas</v>
          </cell>
          <cell r="C638" t="str">
            <v>Brazil</v>
          </cell>
          <cell r="D638">
            <v>3</v>
          </cell>
          <cell r="E638">
            <v>355</v>
          </cell>
          <cell r="F638">
            <v>478</v>
          </cell>
          <cell r="G638">
            <v>210</v>
          </cell>
          <cell r="H638">
            <v>297</v>
          </cell>
          <cell r="I638">
            <v>534</v>
          </cell>
          <cell r="J638">
            <v>406</v>
          </cell>
          <cell r="K638">
            <v>386</v>
          </cell>
          <cell r="L638">
            <v>227</v>
          </cell>
          <cell r="M638">
            <v>45.39</v>
          </cell>
          <cell r="N638">
            <v>2014</v>
          </cell>
          <cell r="O638">
            <v>437</v>
          </cell>
          <cell r="P638" t="e">
            <v>#N/A</v>
          </cell>
        </row>
        <row r="639">
          <cell r="B639" t="str">
            <v>Wuhan University</v>
          </cell>
          <cell r="C639" t="str">
            <v>China</v>
          </cell>
          <cell r="D639">
            <v>19</v>
          </cell>
          <cell r="E639">
            <v>355</v>
          </cell>
          <cell r="F639">
            <v>228</v>
          </cell>
          <cell r="G639">
            <v>210</v>
          </cell>
          <cell r="H639">
            <v>310</v>
          </cell>
          <cell r="I639">
            <v>627</v>
          </cell>
          <cell r="J639">
            <v>609</v>
          </cell>
          <cell r="K639">
            <v>420</v>
          </cell>
          <cell r="L639">
            <v>481</v>
          </cell>
          <cell r="M639">
            <v>45.39</v>
          </cell>
          <cell r="N639">
            <v>2014</v>
          </cell>
          <cell r="O639">
            <v>438</v>
          </cell>
          <cell r="P639">
            <v>31.3</v>
          </cell>
        </row>
        <row r="640">
          <cell r="B640" t="str">
            <v>West Virginia University</v>
          </cell>
          <cell r="C640" t="str">
            <v>USA</v>
          </cell>
          <cell r="D640">
            <v>142</v>
          </cell>
          <cell r="E640">
            <v>314</v>
          </cell>
          <cell r="F640">
            <v>180</v>
          </cell>
          <cell r="G640">
            <v>210</v>
          </cell>
          <cell r="H640">
            <v>441</v>
          </cell>
          <cell r="I640">
            <v>419</v>
          </cell>
          <cell r="J640">
            <v>406</v>
          </cell>
          <cell r="K640">
            <v>430</v>
          </cell>
          <cell r="L640">
            <v>637</v>
          </cell>
          <cell r="M640">
            <v>45.39</v>
          </cell>
          <cell r="N640">
            <v>2014</v>
          </cell>
          <cell r="O640">
            <v>439</v>
          </cell>
          <cell r="P640" t="e">
            <v>#N/A</v>
          </cell>
        </row>
        <row r="641">
          <cell r="B641" t="str">
            <v>Pusan National University</v>
          </cell>
          <cell r="C641" t="str">
            <v>South Korea</v>
          </cell>
          <cell r="D641">
            <v>16</v>
          </cell>
          <cell r="E641">
            <v>355</v>
          </cell>
          <cell r="F641">
            <v>422</v>
          </cell>
          <cell r="G641">
            <v>210</v>
          </cell>
          <cell r="H641">
            <v>395</v>
          </cell>
          <cell r="I641">
            <v>511</v>
          </cell>
          <cell r="J641">
            <v>363</v>
          </cell>
          <cell r="K641">
            <v>496</v>
          </cell>
          <cell r="L641">
            <v>128</v>
          </cell>
          <cell r="M641">
            <v>45.38</v>
          </cell>
          <cell r="N641">
            <v>2014</v>
          </cell>
          <cell r="O641">
            <v>440</v>
          </cell>
          <cell r="P641">
            <v>27.5</v>
          </cell>
        </row>
        <row r="642">
          <cell r="B642" t="str">
            <v>University of Mississippi - Oxford Campus</v>
          </cell>
          <cell r="C642" t="str">
            <v>USA</v>
          </cell>
          <cell r="D642">
            <v>143</v>
          </cell>
          <cell r="E642">
            <v>355</v>
          </cell>
          <cell r="F642">
            <v>478</v>
          </cell>
          <cell r="G642">
            <v>210</v>
          </cell>
          <cell r="H642">
            <v>384</v>
          </cell>
          <cell r="I642">
            <v>478</v>
          </cell>
          <cell r="J642">
            <v>220</v>
          </cell>
          <cell r="K642">
            <v>361</v>
          </cell>
          <cell r="L642">
            <v>552</v>
          </cell>
          <cell r="M642">
            <v>45.38</v>
          </cell>
          <cell r="N642">
            <v>2014</v>
          </cell>
          <cell r="O642">
            <v>441</v>
          </cell>
          <cell r="P642" t="e">
            <v>#N/A</v>
          </cell>
        </row>
        <row r="643">
          <cell r="B643" t="str">
            <v>University of Arkansas for Medical Sciences</v>
          </cell>
          <cell r="C643" t="str">
            <v>USA</v>
          </cell>
          <cell r="D643">
            <v>144</v>
          </cell>
          <cell r="E643">
            <v>355</v>
          </cell>
          <cell r="F643">
            <v>478</v>
          </cell>
          <cell r="G643">
            <v>210</v>
          </cell>
          <cell r="H643">
            <v>488</v>
          </cell>
          <cell r="I643">
            <v>542</v>
          </cell>
          <cell r="J643">
            <v>609</v>
          </cell>
          <cell r="K643">
            <v>349</v>
          </cell>
          <cell r="L643">
            <v>280</v>
          </cell>
          <cell r="M643">
            <v>45.37</v>
          </cell>
          <cell r="N643">
            <v>2014</v>
          </cell>
          <cell r="O643">
            <v>442</v>
          </cell>
          <cell r="P643" t="e">
            <v>#N/A</v>
          </cell>
        </row>
        <row r="644">
          <cell r="B644" t="str">
            <v>Miami University</v>
          </cell>
          <cell r="C644" t="str">
            <v>USA</v>
          </cell>
          <cell r="D644">
            <v>145</v>
          </cell>
          <cell r="E644">
            <v>355</v>
          </cell>
          <cell r="F644">
            <v>104</v>
          </cell>
          <cell r="G644">
            <v>210</v>
          </cell>
          <cell r="H644">
            <v>712</v>
          </cell>
          <cell r="I644">
            <v>501</v>
          </cell>
          <cell r="J644">
            <v>406</v>
          </cell>
          <cell r="K644">
            <v>642</v>
          </cell>
          <cell r="L644">
            <v>737</v>
          </cell>
          <cell r="M644">
            <v>45.37</v>
          </cell>
          <cell r="N644">
            <v>2014</v>
          </cell>
          <cell r="O644">
            <v>443</v>
          </cell>
          <cell r="P644">
            <v>19.2</v>
          </cell>
        </row>
        <row r="645">
          <cell r="B645" t="str">
            <v>University of Tokushima</v>
          </cell>
          <cell r="C645" t="str">
            <v>Japan</v>
          </cell>
          <cell r="D645">
            <v>23</v>
          </cell>
          <cell r="E645">
            <v>109</v>
          </cell>
          <cell r="F645">
            <v>478</v>
          </cell>
          <cell r="G645">
            <v>210</v>
          </cell>
          <cell r="H645">
            <v>603</v>
          </cell>
          <cell r="I645">
            <v>455</v>
          </cell>
          <cell r="J645">
            <v>493</v>
          </cell>
          <cell r="K645">
            <v>504</v>
          </cell>
          <cell r="L645">
            <v>149</v>
          </cell>
          <cell r="M645">
            <v>45.36</v>
          </cell>
          <cell r="N645">
            <v>2014</v>
          </cell>
          <cell r="O645">
            <v>444</v>
          </cell>
          <cell r="P645" t="e">
            <v>#N/A</v>
          </cell>
        </row>
        <row r="646">
          <cell r="B646" t="str">
            <v>University of Twente</v>
          </cell>
          <cell r="C646" t="str">
            <v>Netherlands</v>
          </cell>
          <cell r="D646">
            <v>12</v>
          </cell>
          <cell r="E646">
            <v>355</v>
          </cell>
          <cell r="F646">
            <v>478</v>
          </cell>
          <cell r="G646">
            <v>210</v>
          </cell>
          <cell r="H646">
            <v>343</v>
          </cell>
          <cell r="I646">
            <v>477</v>
          </cell>
          <cell r="J646">
            <v>363</v>
          </cell>
          <cell r="K646">
            <v>366</v>
          </cell>
          <cell r="L646">
            <v>338</v>
          </cell>
          <cell r="M646">
            <v>45.36</v>
          </cell>
          <cell r="N646">
            <v>2014</v>
          </cell>
          <cell r="O646">
            <v>445</v>
          </cell>
          <cell r="P646">
            <v>49.9</v>
          </cell>
        </row>
        <row r="647">
          <cell r="B647" t="str">
            <v>Loyola University Chicago</v>
          </cell>
          <cell r="C647" t="str">
            <v>USA</v>
          </cell>
          <cell r="D647">
            <v>146</v>
          </cell>
          <cell r="E647">
            <v>355</v>
          </cell>
          <cell r="F647">
            <v>350</v>
          </cell>
          <cell r="G647">
            <v>210</v>
          </cell>
          <cell r="H647">
            <v>538</v>
          </cell>
          <cell r="I647">
            <v>414</v>
          </cell>
          <cell r="J647">
            <v>609</v>
          </cell>
          <cell r="K647">
            <v>349</v>
          </cell>
          <cell r="L647">
            <v>737</v>
          </cell>
          <cell r="M647">
            <v>45.36</v>
          </cell>
          <cell r="N647">
            <v>2014</v>
          </cell>
          <cell r="O647">
            <v>446</v>
          </cell>
          <cell r="P647" t="e">
            <v>#N/A</v>
          </cell>
        </row>
        <row r="648">
          <cell r="B648" t="str">
            <v>Ajou University</v>
          </cell>
          <cell r="C648" t="str">
            <v>South Korea</v>
          </cell>
          <cell r="D648">
            <v>17</v>
          </cell>
          <cell r="E648">
            <v>355</v>
          </cell>
          <cell r="F648">
            <v>343</v>
          </cell>
          <cell r="G648">
            <v>210</v>
          </cell>
          <cell r="H648">
            <v>646</v>
          </cell>
          <cell r="I648">
            <v>802</v>
          </cell>
          <cell r="J648">
            <v>609</v>
          </cell>
          <cell r="K648">
            <v>663</v>
          </cell>
          <cell r="L648">
            <v>94</v>
          </cell>
          <cell r="M648">
            <v>45.35</v>
          </cell>
          <cell r="N648">
            <v>2014</v>
          </cell>
          <cell r="O648">
            <v>447</v>
          </cell>
          <cell r="P648">
            <v>19.5</v>
          </cell>
        </row>
        <row r="649">
          <cell r="B649" t="str">
            <v>Syracuse University</v>
          </cell>
          <cell r="C649" t="str">
            <v>USA</v>
          </cell>
          <cell r="D649">
            <v>147</v>
          </cell>
          <cell r="E649">
            <v>129</v>
          </cell>
          <cell r="F649">
            <v>249</v>
          </cell>
          <cell r="G649">
            <v>210</v>
          </cell>
          <cell r="H649">
            <v>459</v>
          </cell>
          <cell r="I649">
            <v>479</v>
          </cell>
          <cell r="J649">
            <v>310</v>
          </cell>
          <cell r="K649">
            <v>488</v>
          </cell>
          <cell r="L649">
            <v>338</v>
          </cell>
          <cell r="M649">
            <v>45.34</v>
          </cell>
          <cell r="N649">
            <v>2014</v>
          </cell>
          <cell r="O649">
            <v>448</v>
          </cell>
          <cell r="P649">
            <v>32.4</v>
          </cell>
        </row>
        <row r="650">
          <cell r="B650" t="str">
            <v>Lancaster University</v>
          </cell>
          <cell r="C650" t="str">
            <v>United Kingdom</v>
          </cell>
          <cell r="D650">
            <v>38</v>
          </cell>
          <cell r="E650">
            <v>355</v>
          </cell>
          <cell r="F650">
            <v>339</v>
          </cell>
          <cell r="G650">
            <v>210</v>
          </cell>
          <cell r="H650">
            <v>372</v>
          </cell>
          <cell r="I650">
            <v>398</v>
          </cell>
          <cell r="J650">
            <v>250</v>
          </cell>
          <cell r="K650">
            <v>380</v>
          </cell>
          <cell r="L650">
            <v>637</v>
          </cell>
          <cell r="M650">
            <v>45.33</v>
          </cell>
          <cell r="N650">
            <v>2014</v>
          </cell>
          <cell r="O650">
            <v>449</v>
          </cell>
          <cell r="P650">
            <v>43.5</v>
          </cell>
        </row>
        <row r="651">
          <cell r="B651" t="str">
            <v>Pontifical Catholic University of Chile</v>
          </cell>
          <cell r="C651" t="str">
            <v>Chile</v>
          </cell>
          <cell r="D651">
            <v>1</v>
          </cell>
          <cell r="E651">
            <v>330</v>
          </cell>
          <cell r="F651">
            <v>263</v>
          </cell>
          <cell r="G651">
            <v>210</v>
          </cell>
          <cell r="H651">
            <v>450</v>
          </cell>
          <cell r="I651">
            <v>310</v>
          </cell>
          <cell r="J651">
            <v>493</v>
          </cell>
          <cell r="K651">
            <v>395</v>
          </cell>
          <cell r="L651">
            <v>426</v>
          </cell>
          <cell r="M651">
            <v>45.33</v>
          </cell>
          <cell r="N651">
            <v>2014</v>
          </cell>
          <cell r="O651">
            <v>450</v>
          </cell>
          <cell r="P651">
            <v>17.100000000000001</v>
          </cell>
        </row>
        <row r="652">
          <cell r="B652" t="str">
            <v>University of Chile</v>
          </cell>
          <cell r="C652" t="str">
            <v>Chile</v>
          </cell>
          <cell r="D652">
            <v>2</v>
          </cell>
          <cell r="E652">
            <v>232</v>
          </cell>
          <cell r="F652">
            <v>278</v>
          </cell>
          <cell r="G652">
            <v>210</v>
          </cell>
          <cell r="H652">
            <v>416</v>
          </cell>
          <cell r="I652">
            <v>375</v>
          </cell>
          <cell r="J652">
            <v>493</v>
          </cell>
          <cell r="K652">
            <v>409</v>
          </cell>
          <cell r="L652">
            <v>552</v>
          </cell>
          <cell r="M652">
            <v>45.29</v>
          </cell>
          <cell r="N652">
            <v>2014</v>
          </cell>
          <cell r="O652">
            <v>451</v>
          </cell>
          <cell r="P652">
            <v>28.3</v>
          </cell>
        </row>
        <row r="653">
          <cell r="B653" t="str">
            <v>Innsbruck Medical University</v>
          </cell>
          <cell r="C653" t="str">
            <v>Austria</v>
          </cell>
          <cell r="D653">
            <v>5</v>
          </cell>
          <cell r="E653">
            <v>355</v>
          </cell>
          <cell r="F653">
            <v>478</v>
          </cell>
          <cell r="G653">
            <v>210</v>
          </cell>
          <cell r="H653">
            <v>482</v>
          </cell>
          <cell r="I653">
            <v>401</v>
          </cell>
          <cell r="J653">
            <v>800</v>
          </cell>
          <cell r="K653">
            <v>349</v>
          </cell>
          <cell r="L653">
            <v>637</v>
          </cell>
          <cell r="M653">
            <v>45.29</v>
          </cell>
          <cell r="N653">
            <v>2014</v>
          </cell>
          <cell r="O653">
            <v>452</v>
          </cell>
          <cell r="P653" t="e">
            <v>#N/A</v>
          </cell>
        </row>
        <row r="654">
          <cell r="B654" t="str">
            <v>University of Granada</v>
          </cell>
          <cell r="C654" t="str">
            <v>Spain</v>
          </cell>
          <cell r="D654">
            <v>12</v>
          </cell>
          <cell r="E654">
            <v>355</v>
          </cell>
          <cell r="F654">
            <v>478</v>
          </cell>
          <cell r="G654">
            <v>210</v>
          </cell>
          <cell r="H654">
            <v>316</v>
          </cell>
          <cell r="I654">
            <v>451</v>
          </cell>
          <cell r="J654">
            <v>310</v>
          </cell>
          <cell r="K654">
            <v>442</v>
          </cell>
          <cell r="L654">
            <v>194</v>
          </cell>
          <cell r="M654">
            <v>45.29</v>
          </cell>
          <cell r="N654">
            <v>2014</v>
          </cell>
          <cell r="O654">
            <v>453</v>
          </cell>
          <cell r="P654">
            <v>24.3</v>
          </cell>
        </row>
        <row r="655">
          <cell r="B655" t="str">
            <v>Kanazawa University</v>
          </cell>
          <cell r="C655" t="str">
            <v>Japan</v>
          </cell>
          <cell r="D655">
            <v>24</v>
          </cell>
          <cell r="E655">
            <v>355</v>
          </cell>
          <cell r="F655">
            <v>327</v>
          </cell>
          <cell r="G655">
            <v>210</v>
          </cell>
          <cell r="H655">
            <v>455</v>
          </cell>
          <cell r="I655">
            <v>409</v>
          </cell>
          <cell r="J655">
            <v>493</v>
          </cell>
          <cell r="K655">
            <v>375</v>
          </cell>
          <cell r="L655">
            <v>373</v>
          </cell>
          <cell r="M655">
            <v>45.29</v>
          </cell>
          <cell r="N655">
            <v>2014</v>
          </cell>
          <cell r="O655">
            <v>454</v>
          </cell>
          <cell r="P655">
            <v>24.7</v>
          </cell>
        </row>
        <row r="656">
          <cell r="B656" t="str">
            <v>University of Parma</v>
          </cell>
          <cell r="C656" t="str">
            <v>Italy</v>
          </cell>
          <cell r="D656">
            <v>22</v>
          </cell>
          <cell r="E656">
            <v>355</v>
          </cell>
          <cell r="F656">
            <v>431</v>
          </cell>
          <cell r="G656">
            <v>210</v>
          </cell>
          <cell r="H656">
            <v>421</v>
          </cell>
          <cell r="I656">
            <v>440</v>
          </cell>
          <cell r="J656">
            <v>310</v>
          </cell>
          <cell r="K656">
            <v>372</v>
          </cell>
          <cell r="L656">
            <v>637</v>
          </cell>
          <cell r="M656">
            <v>45.28</v>
          </cell>
          <cell r="N656">
            <v>2014</v>
          </cell>
          <cell r="O656">
            <v>455</v>
          </cell>
          <cell r="P656">
            <v>17.7</v>
          </cell>
        </row>
        <row r="657">
          <cell r="B657" t="str">
            <v>University of Siena</v>
          </cell>
          <cell r="C657" t="str">
            <v>Italy</v>
          </cell>
          <cell r="D657">
            <v>23</v>
          </cell>
          <cell r="E657">
            <v>355</v>
          </cell>
          <cell r="F657">
            <v>478</v>
          </cell>
          <cell r="G657">
            <v>210</v>
          </cell>
          <cell r="H657">
            <v>407</v>
          </cell>
          <cell r="I657">
            <v>356</v>
          </cell>
          <cell r="J657">
            <v>310</v>
          </cell>
          <cell r="K657">
            <v>366</v>
          </cell>
          <cell r="L657">
            <v>737</v>
          </cell>
          <cell r="M657">
            <v>45.27</v>
          </cell>
          <cell r="N657">
            <v>2014</v>
          </cell>
          <cell r="O657">
            <v>456</v>
          </cell>
          <cell r="P657">
            <v>23.7</v>
          </cell>
        </row>
        <row r="658">
          <cell r="B658" t="str">
            <v>Shandong University</v>
          </cell>
          <cell r="C658" t="str">
            <v>China</v>
          </cell>
          <cell r="D658">
            <v>20</v>
          </cell>
          <cell r="E658">
            <v>355</v>
          </cell>
          <cell r="F658">
            <v>466</v>
          </cell>
          <cell r="G658">
            <v>210</v>
          </cell>
          <cell r="H658">
            <v>245</v>
          </cell>
          <cell r="I658">
            <v>588</v>
          </cell>
          <cell r="J658">
            <v>493</v>
          </cell>
          <cell r="K658">
            <v>437</v>
          </cell>
          <cell r="L658">
            <v>481</v>
          </cell>
          <cell r="M658">
            <v>45.27</v>
          </cell>
          <cell r="N658">
            <v>2014</v>
          </cell>
          <cell r="O658">
            <v>457</v>
          </cell>
          <cell r="P658" t="e">
            <v>#N/A</v>
          </cell>
        </row>
        <row r="659">
          <cell r="B659" t="str">
            <v>Technical University of Dortmund</v>
          </cell>
          <cell r="C659" t="str">
            <v>Germany</v>
          </cell>
          <cell r="D659">
            <v>35</v>
          </cell>
          <cell r="E659">
            <v>355</v>
          </cell>
          <cell r="F659">
            <v>478</v>
          </cell>
          <cell r="G659">
            <v>210</v>
          </cell>
          <cell r="H659">
            <v>454</v>
          </cell>
          <cell r="I659">
            <v>539</v>
          </cell>
          <cell r="J659">
            <v>406</v>
          </cell>
          <cell r="K659">
            <v>430</v>
          </cell>
          <cell r="L659">
            <v>170</v>
          </cell>
          <cell r="M659">
            <v>45.26</v>
          </cell>
          <cell r="N659">
            <v>2014</v>
          </cell>
          <cell r="O659">
            <v>458</v>
          </cell>
          <cell r="P659">
            <v>34.200000000000003</v>
          </cell>
        </row>
        <row r="660">
          <cell r="B660" t="str">
            <v>University of KwaZulu-Natal</v>
          </cell>
          <cell r="C660" t="str">
            <v>South Africa</v>
          </cell>
          <cell r="D660">
            <v>4</v>
          </cell>
          <cell r="E660">
            <v>355</v>
          </cell>
          <cell r="F660">
            <v>142</v>
          </cell>
          <cell r="G660">
            <v>210</v>
          </cell>
          <cell r="H660">
            <v>584</v>
          </cell>
          <cell r="I660">
            <v>436</v>
          </cell>
          <cell r="J660">
            <v>310</v>
          </cell>
          <cell r="K660">
            <v>554</v>
          </cell>
          <cell r="L660">
            <v>737</v>
          </cell>
          <cell r="M660">
            <v>45.26</v>
          </cell>
          <cell r="N660">
            <v>2014</v>
          </cell>
          <cell r="O660">
            <v>459</v>
          </cell>
          <cell r="P660">
            <v>21.9</v>
          </cell>
        </row>
        <row r="661">
          <cell r="B661" t="str">
            <v>University of Nevada, Reno</v>
          </cell>
          <cell r="C661" t="str">
            <v>USA</v>
          </cell>
          <cell r="D661">
            <v>148</v>
          </cell>
          <cell r="E661">
            <v>355</v>
          </cell>
          <cell r="F661">
            <v>347</v>
          </cell>
          <cell r="G661">
            <v>210</v>
          </cell>
          <cell r="H661">
            <v>516</v>
          </cell>
          <cell r="I661">
            <v>325</v>
          </cell>
          <cell r="J661">
            <v>250</v>
          </cell>
          <cell r="K661">
            <v>380</v>
          </cell>
          <cell r="L661">
            <v>637</v>
          </cell>
          <cell r="M661">
            <v>45.26</v>
          </cell>
          <cell r="N661">
            <v>2014</v>
          </cell>
          <cell r="O661">
            <v>460</v>
          </cell>
          <cell r="P661" t="e">
            <v>#N/A</v>
          </cell>
        </row>
        <row r="662">
          <cell r="B662" t="str">
            <v>Yokohama City University</v>
          </cell>
          <cell r="C662" t="str">
            <v>Japan</v>
          </cell>
          <cell r="D662">
            <v>25</v>
          </cell>
          <cell r="E662">
            <v>355</v>
          </cell>
          <cell r="F662">
            <v>196</v>
          </cell>
          <cell r="G662">
            <v>210</v>
          </cell>
          <cell r="H662">
            <v>650</v>
          </cell>
          <cell r="I662">
            <v>362</v>
          </cell>
          <cell r="J662">
            <v>800</v>
          </cell>
          <cell r="K662">
            <v>460</v>
          </cell>
          <cell r="L662">
            <v>338</v>
          </cell>
          <cell r="M662">
            <v>45.26</v>
          </cell>
          <cell r="N662">
            <v>2014</v>
          </cell>
          <cell r="O662">
            <v>461</v>
          </cell>
          <cell r="P662">
            <v>24</v>
          </cell>
        </row>
        <row r="663">
          <cell r="B663" t="str">
            <v>Ã‰cole normale supÃ©rieure de Lyon</v>
          </cell>
          <cell r="C663" t="str">
            <v>France</v>
          </cell>
          <cell r="D663">
            <v>18</v>
          </cell>
          <cell r="E663">
            <v>355</v>
          </cell>
          <cell r="F663">
            <v>478</v>
          </cell>
          <cell r="G663">
            <v>126</v>
          </cell>
          <cell r="H663">
            <v>489</v>
          </cell>
          <cell r="I663">
            <v>220</v>
          </cell>
          <cell r="J663">
            <v>493</v>
          </cell>
          <cell r="K663">
            <v>395</v>
          </cell>
          <cell r="L663">
            <v>737</v>
          </cell>
          <cell r="M663">
            <v>45.25</v>
          </cell>
          <cell r="N663">
            <v>2014</v>
          </cell>
          <cell r="O663">
            <v>462</v>
          </cell>
          <cell r="P663">
            <v>51.1</v>
          </cell>
        </row>
        <row r="664">
          <cell r="B664" t="str">
            <v>University College Cork</v>
          </cell>
          <cell r="C664" t="str">
            <v>Ireland</v>
          </cell>
          <cell r="D664">
            <v>3</v>
          </cell>
          <cell r="E664">
            <v>355</v>
          </cell>
          <cell r="F664">
            <v>359</v>
          </cell>
          <cell r="G664">
            <v>210</v>
          </cell>
          <cell r="H664">
            <v>423</v>
          </cell>
          <cell r="I664">
            <v>464</v>
          </cell>
          <cell r="J664">
            <v>406</v>
          </cell>
          <cell r="K664">
            <v>420</v>
          </cell>
          <cell r="L664">
            <v>227</v>
          </cell>
          <cell r="M664">
            <v>45.25</v>
          </cell>
          <cell r="N664">
            <v>2014</v>
          </cell>
          <cell r="O664">
            <v>463</v>
          </cell>
          <cell r="P664">
            <v>20.6</v>
          </cell>
        </row>
        <row r="665">
          <cell r="B665" t="str">
            <v>Ohio University</v>
          </cell>
          <cell r="C665" t="str">
            <v>USA</v>
          </cell>
          <cell r="D665">
            <v>149</v>
          </cell>
          <cell r="E665">
            <v>196</v>
          </cell>
          <cell r="F665">
            <v>176</v>
          </cell>
          <cell r="G665">
            <v>210</v>
          </cell>
          <cell r="H665">
            <v>568</v>
          </cell>
          <cell r="I665">
            <v>474</v>
          </cell>
          <cell r="J665">
            <v>493</v>
          </cell>
          <cell r="K665">
            <v>554</v>
          </cell>
          <cell r="L665">
            <v>280</v>
          </cell>
          <cell r="M665">
            <v>45.25</v>
          </cell>
          <cell r="N665">
            <v>2014</v>
          </cell>
          <cell r="O665">
            <v>464</v>
          </cell>
          <cell r="P665">
            <v>25</v>
          </cell>
        </row>
        <row r="666">
          <cell r="B666" t="str">
            <v>Central South University</v>
          </cell>
          <cell r="C666" t="str">
            <v>China</v>
          </cell>
          <cell r="D666">
            <v>21</v>
          </cell>
          <cell r="E666">
            <v>355</v>
          </cell>
          <cell r="F666">
            <v>162</v>
          </cell>
          <cell r="G666">
            <v>210</v>
          </cell>
          <cell r="H666">
            <v>330</v>
          </cell>
          <cell r="I666">
            <v>855</v>
          </cell>
          <cell r="J666">
            <v>609</v>
          </cell>
          <cell r="K666">
            <v>596</v>
          </cell>
          <cell r="L666">
            <v>373</v>
          </cell>
          <cell r="M666">
            <v>45.24</v>
          </cell>
          <cell r="N666">
            <v>2014</v>
          </cell>
          <cell r="O666">
            <v>465</v>
          </cell>
          <cell r="P666" t="e">
            <v>#N/A</v>
          </cell>
        </row>
        <row r="667">
          <cell r="B667" t="str">
            <v>University of Modena and Reggio Emilia</v>
          </cell>
          <cell r="C667" t="str">
            <v>Italy</v>
          </cell>
          <cell r="D667">
            <v>24</v>
          </cell>
          <cell r="E667">
            <v>355</v>
          </cell>
          <cell r="F667">
            <v>478</v>
          </cell>
          <cell r="G667">
            <v>210</v>
          </cell>
          <cell r="H667">
            <v>435</v>
          </cell>
          <cell r="I667">
            <v>485</v>
          </cell>
          <cell r="J667">
            <v>310</v>
          </cell>
          <cell r="K667">
            <v>370</v>
          </cell>
          <cell r="L667">
            <v>637</v>
          </cell>
          <cell r="M667">
            <v>45.23</v>
          </cell>
          <cell r="N667">
            <v>2014</v>
          </cell>
          <cell r="O667">
            <v>466</v>
          </cell>
          <cell r="P667">
            <v>14.5</v>
          </cell>
        </row>
        <row r="668">
          <cell r="B668" t="str">
            <v>New Mexico State University</v>
          </cell>
          <cell r="C668" t="str">
            <v>USA</v>
          </cell>
          <cell r="D668">
            <v>150</v>
          </cell>
          <cell r="E668">
            <v>355</v>
          </cell>
          <cell r="F668">
            <v>369</v>
          </cell>
          <cell r="G668">
            <v>210</v>
          </cell>
          <cell r="H668">
            <v>677</v>
          </cell>
          <cell r="I668">
            <v>630</v>
          </cell>
          <cell r="J668">
            <v>200</v>
          </cell>
          <cell r="K668">
            <v>386</v>
          </cell>
          <cell r="L668">
            <v>737</v>
          </cell>
          <cell r="M668">
            <v>45.23</v>
          </cell>
          <cell r="N668">
            <v>2014</v>
          </cell>
          <cell r="O668">
            <v>467</v>
          </cell>
          <cell r="P668">
            <v>19.5</v>
          </cell>
        </row>
        <row r="669">
          <cell r="B669" t="str">
            <v>University of Konstanz</v>
          </cell>
          <cell r="C669" t="str">
            <v>Germany</v>
          </cell>
          <cell r="D669">
            <v>36</v>
          </cell>
          <cell r="E669">
            <v>355</v>
          </cell>
          <cell r="F669">
            <v>478</v>
          </cell>
          <cell r="G669">
            <v>157</v>
          </cell>
          <cell r="H669">
            <v>475</v>
          </cell>
          <cell r="I669">
            <v>347</v>
          </cell>
          <cell r="J669">
            <v>493</v>
          </cell>
          <cell r="K669">
            <v>395</v>
          </cell>
          <cell r="L669">
            <v>481</v>
          </cell>
          <cell r="M669">
            <v>45.22</v>
          </cell>
          <cell r="N669">
            <v>2014</v>
          </cell>
          <cell r="O669">
            <v>468</v>
          </cell>
          <cell r="P669">
            <v>42.7</v>
          </cell>
        </row>
        <row r="670">
          <cell r="B670" t="str">
            <v>University of Hawaii at Manoa</v>
          </cell>
          <cell r="C670" t="str">
            <v>USA</v>
          </cell>
          <cell r="D670">
            <v>151</v>
          </cell>
          <cell r="E670">
            <v>355</v>
          </cell>
          <cell r="F670">
            <v>379</v>
          </cell>
          <cell r="G670">
            <v>148</v>
          </cell>
          <cell r="H670">
            <v>451</v>
          </cell>
          <cell r="I670">
            <v>211</v>
          </cell>
          <cell r="J670">
            <v>363</v>
          </cell>
          <cell r="K670">
            <v>452</v>
          </cell>
          <cell r="L670">
            <v>373</v>
          </cell>
          <cell r="M670">
            <v>45.22</v>
          </cell>
          <cell r="N670">
            <v>2014</v>
          </cell>
          <cell r="O670">
            <v>469</v>
          </cell>
          <cell r="P670" t="e">
            <v>#N/A</v>
          </cell>
        </row>
        <row r="671">
          <cell r="B671" t="str">
            <v>University of Nebraska Omaha</v>
          </cell>
          <cell r="C671" t="str">
            <v>USA</v>
          </cell>
          <cell r="D671">
            <v>152</v>
          </cell>
          <cell r="E671">
            <v>355</v>
          </cell>
          <cell r="F671">
            <v>349</v>
          </cell>
          <cell r="G671">
            <v>210</v>
          </cell>
          <cell r="H671">
            <v>643</v>
          </cell>
          <cell r="I671">
            <v>521</v>
          </cell>
          <cell r="J671">
            <v>406</v>
          </cell>
          <cell r="K671">
            <v>372</v>
          </cell>
          <cell r="L671">
            <v>737</v>
          </cell>
          <cell r="M671">
            <v>45.22</v>
          </cell>
          <cell r="N671">
            <v>2014</v>
          </cell>
          <cell r="O671">
            <v>470</v>
          </cell>
          <cell r="P671" t="e">
            <v>#N/A</v>
          </cell>
        </row>
        <row r="672">
          <cell r="B672" t="str">
            <v>Shinshu University</v>
          </cell>
          <cell r="C672" t="str">
            <v>Japan</v>
          </cell>
          <cell r="D672">
            <v>26</v>
          </cell>
          <cell r="E672">
            <v>355</v>
          </cell>
          <cell r="F672">
            <v>333</v>
          </cell>
          <cell r="G672">
            <v>210</v>
          </cell>
          <cell r="H672">
            <v>564</v>
          </cell>
          <cell r="I672">
            <v>568</v>
          </cell>
          <cell r="J672">
            <v>283</v>
          </cell>
          <cell r="K672">
            <v>442</v>
          </cell>
          <cell r="L672">
            <v>204</v>
          </cell>
          <cell r="M672">
            <v>45.22</v>
          </cell>
          <cell r="N672">
            <v>2014</v>
          </cell>
          <cell r="O672">
            <v>471</v>
          </cell>
          <cell r="P672">
            <v>20.8</v>
          </cell>
        </row>
        <row r="673">
          <cell r="B673" t="str">
            <v>University of Strathclyde</v>
          </cell>
          <cell r="C673" t="str">
            <v>United Kingdom</v>
          </cell>
          <cell r="D673">
            <v>39</v>
          </cell>
          <cell r="E673">
            <v>355</v>
          </cell>
          <cell r="F673">
            <v>245</v>
          </cell>
          <cell r="G673">
            <v>210</v>
          </cell>
          <cell r="H673">
            <v>382</v>
          </cell>
          <cell r="I673">
            <v>454</v>
          </cell>
          <cell r="J673">
            <v>406</v>
          </cell>
          <cell r="K673">
            <v>460</v>
          </cell>
          <cell r="L673">
            <v>426</v>
          </cell>
          <cell r="M673">
            <v>45.22</v>
          </cell>
          <cell r="N673">
            <v>2014</v>
          </cell>
          <cell r="O673">
            <v>472</v>
          </cell>
          <cell r="P673">
            <v>24.4</v>
          </cell>
        </row>
        <row r="674">
          <cell r="B674" t="str">
            <v>Baylor University</v>
          </cell>
          <cell r="C674" t="str">
            <v>USA</v>
          </cell>
          <cell r="D674">
            <v>153</v>
          </cell>
          <cell r="E674">
            <v>355</v>
          </cell>
          <cell r="F674">
            <v>351</v>
          </cell>
          <cell r="G674">
            <v>210</v>
          </cell>
          <cell r="H674">
            <v>578</v>
          </cell>
          <cell r="I674">
            <v>566</v>
          </cell>
          <cell r="J674">
            <v>220</v>
          </cell>
          <cell r="K674">
            <v>395</v>
          </cell>
          <cell r="L674">
            <v>637</v>
          </cell>
          <cell r="M674">
            <v>45.21</v>
          </cell>
          <cell r="N674">
            <v>2014</v>
          </cell>
          <cell r="O674">
            <v>473</v>
          </cell>
          <cell r="P674" t="e">
            <v>#N/A</v>
          </cell>
        </row>
        <row r="675">
          <cell r="B675" t="str">
            <v>Polytechnic University of Valencia</v>
          </cell>
          <cell r="C675" t="str">
            <v>Spain</v>
          </cell>
          <cell r="D675">
            <v>13</v>
          </cell>
          <cell r="E675">
            <v>355</v>
          </cell>
          <cell r="F675">
            <v>478</v>
          </cell>
          <cell r="G675">
            <v>210</v>
          </cell>
          <cell r="H675">
            <v>361</v>
          </cell>
          <cell r="I675">
            <v>468</v>
          </cell>
          <cell r="J675">
            <v>609</v>
          </cell>
          <cell r="K675">
            <v>430</v>
          </cell>
          <cell r="L675">
            <v>204</v>
          </cell>
          <cell r="M675">
            <v>45.21</v>
          </cell>
          <cell r="N675">
            <v>2014</v>
          </cell>
          <cell r="O675">
            <v>474</v>
          </cell>
          <cell r="P675">
            <v>19.600000000000001</v>
          </cell>
        </row>
        <row r="676">
          <cell r="B676" t="str">
            <v>Harbin Institute of Technology</v>
          </cell>
          <cell r="C676" t="str">
            <v>China</v>
          </cell>
          <cell r="D676">
            <v>22</v>
          </cell>
          <cell r="E676">
            <v>355</v>
          </cell>
          <cell r="F676">
            <v>289</v>
          </cell>
          <cell r="G676">
            <v>210</v>
          </cell>
          <cell r="H676">
            <v>283</v>
          </cell>
          <cell r="I676">
            <v>875</v>
          </cell>
          <cell r="J676">
            <v>609</v>
          </cell>
          <cell r="K676">
            <v>496</v>
          </cell>
          <cell r="L676">
            <v>338</v>
          </cell>
          <cell r="M676">
            <v>45.21</v>
          </cell>
          <cell r="N676">
            <v>2014</v>
          </cell>
          <cell r="O676">
            <v>475</v>
          </cell>
          <cell r="P676">
            <v>29</v>
          </cell>
        </row>
        <row r="677">
          <cell r="B677" t="str">
            <v>University of Rennes 1</v>
          </cell>
          <cell r="C677" t="str">
            <v>France</v>
          </cell>
          <cell r="D677">
            <v>19</v>
          </cell>
          <cell r="E677">
            <v>355</v>
          </cell>
          <cell r="F677">
            <v>478</v>
          </cell>
          <cell r="G677">
            <v>210</v>
          </cell>
          <cell r="H677">
            <v>351</v>
          </cell>
          <cell r="I677">
            <v>355</v>
          </cell>
          <cell r="J677">
            <v>609</v>
          </cell>
          <cell r="K677">
            <v>402</v>
          </cell>
          <cell r="L677">
            <v>307</v>
          </cell>
          <cell r="M677">
            <v>45.2</v>
          </cell>
          <cell r="N677">
            <v>2014</v>
          </cell>
          <cell r="O677">
            <v>476</v>
          </cell>
          <cell r="P677">
            <v>17.8</v>
          </cell>
        </row>
        <row r="678">
          <cell r="B678" t="str">
            <v>University of Arkansas - Fayetteville</v>
          </cell>
          <cell r="C678" t="str">
            <v>USA</v>
          </cell>
          <cell r="D678">
            <v>154</v>
          </cell>
          <cell r="E678">
            <v>189</v>
          </cell>
          <cell r="F678">
            <v>260</v>
          </cell>
          <cell r="G678">
            <v>210</v>
          </cell>
          <cell r="H678">
            <v>506</v>
          </cell>
          <cell r="I678">
            <v>513</v>
          </cell>
          <cell r="J678">
            <v>310</v>
          </cell>
          <cell r="K678">
            <v>482</v>
          </cell>
          <cell r="L678">
            <v>373</v>
          </cell>
          <cell r="M678">
            <v>45.2</v>
          </cell>
          <cell r="N678">
            <v>2014</v>
          </cell>
          <cell r="O678">
            <v>477</v>
          </cell>
          <cell r="P678" t="e">
            <v>#N/A</v>
          </cell>
        </row>
        <row r="679">
          <cell r="B679" t="str">
            <v>Aristotle University of Thessaloniki</v>
          </cell>
          <cell r="C679" t="str">
            <v>Greece</v>
          </cell>
          <cell r="D679">
            <v>2</v>
          </cell>
          <cell r="E679">
            <v>355</v>
          </cell>
          <cell r="F679">
            <v>478</v>
          </cell>
          <cell r="G679">
            <v>210</v>
          </cell>
          <cell r="H679">
            <v>334</v>
          </cell>
          <cell r="I679">
            <v>649</v>
          </cell>
          <cell r="J679">
            <v>493</v>
          </cell>
          <cell r="K679">
            <v>386</v>
          </cell>
          <cell r="L679">
            <v>637</v>
          </cell>
          <cell r="M679">
            <v>45.2</v>
          </cell>
          <cell r="N679">
            <v>2014</v>
          </cell>
          <cell r="O679">
            <v>478</v>
          </cell>
          <cell r="P679">
            <v>22.6</v>
          </cell>
        </row>
        <row r="680">
          <cell r="B680" t="str">
            <v>Jagiellonian University</v>
          </cell>
          <cell r="C680" t="str">
            <v>Poland</v>
          </cell>
          <cell r="D680">
            <v>2</v>
          </cell>
          <cell r="E680">
            <v>355</v>
          </cell>
          <cell r="F680">
            <v>478</v>
          </cell>
          <cell r="G680">
            <v>210</v>
          </cell>
          <cell r="H680">
            <v>396</v>
          </cell>
          <cell r="I680">
            <v>466</v>
          </cell>
          <cell r="J680">
            <v>609</v>
          </cell>
          <cell r="K680">
            <v>375</v>
          </cell>
          <cell r="L680">
            <v>552</v>
          </cell>
          <cell r="M680">
            <v>45.19</v>
          </cell>
          <cell r="N680">
            <v>2014</v>
          </cell>
          <cell r="O680">
            <v>479</v>
          </cell>
          <cell r="P680">
            <v>25.1</v>
          </cell>
        </row>
        <row r="681">
          <cell r="B681" t="str">
            <v>Texas Tech University (TTU)</v>
          </cell>
          <cell r="C681" t="str">
            <v>USA</v>
          </cell>
          <cell r="D681">
            <v>155</v>
          </cell>
          <cell r="E681">
            <v>355</v>
          </cell>
          <cell r="F681">
            <v>277</v>
          </cell>
          <cell r="G681">
            <v>210</v>
          </cell>
          <cell r="H681">
            <v>392</v>
          </cell>
          <cell r="I681">
            <v>508</v>
          </cell>
          <cell r="J681">
            <v>250</v>
          </cell>
          <cell r="K681">
            <v>460</v>
          </cell>
          <cell r="L681">
            <v>552</v>
          </cell>
          <cell r="M681">
            <v>45.19</v>
          </cell>
          <cell r="N681">
            <v>2014</v>
          </cell>
          <cell r="O681">
            <v>480</v>
          </cell>
          <cell r="P681" t="e">
            <v>#N/A</v>
          </cell>
        </row>
        <row r="682">
          <cell r="B682" t="str">
            <v>University of Rostock</v>
          </cell>
          <cell r="C682" t="str">
            <v>Germany</v>
          </cell>
          <cell r="D682">
            <v>37</v>
          </cell>
          <cell r="E682">
            <v>352</v>
          </cell>
          <cell r="F682">
            <v>478</v>
          </cell>
          <cell r="G682">
            <v>210</v>
          </cell>
          <cell r="H682">
            <v>433</v>
          </cell>
          <cell r="I682">
            <v>615</v>
          </cell>
          <cell r="J682">
            <v>800</v>
          </cell>
          <cell r="K682">
            <v>380</v>
          </cell>
          <cell r="L682">
            <v>338</v>
          </cell>
          <cell r="M682">
            <v>45.19</v>
          </cell>
          <cell r="N682">
            <v>2014</v>
          </cell>
          <cell r="O682">
            <v>481</v>
          </cell>
          <cell r="P682" t="e">
            <v>#N/A</v>
          </cell>
        </row>
        <row r="683">
          <cell r="B683" t="str">
            <v>University of Akron</v>
          </cell>
          <cell r="C683" t="str">
            <v>USA</v>
          </cell>
          <cell r="D683">
            <v>156</v>
          </cell>
          <cell r="E683">
            <v>355</v>
          </cell>
          <cell r="F683">
            <v>421</v>
          </cell>
          <cell r="G683">
            <v>210</v>
          </cell>
          <cell r="H683">
            <v>637</v>
          </cell>
          <cell r="I683">
            <v>660</v>
          </cell>
          <cell r="J683">
            <v>609</v>
          </cell>
          <cell r="K683">
            <v>596</v>
          </cell>
          <cell r="L683">
            <v>121</v>
          </cell>
          <cell r="M683">
            <v>45.18</v>
          </cell>
          <cell r="N683">
            <v>2014</v>
          </cell>
          <cell r="O683">
            <v>482</v>
          </cell>
          <cell r="P683" t="e">
            <v>#N/A</v>
          </cell>
        </row>
        <row r="684">
          <cell r="B684" t="str">
            <v>University of Saskatchewan</v>
          </cell>
          <cell r="C684" t="str">
            <v>Canada</v>
          </cell>
          <cell r="D684">
            <v>20</v>
          </cell>
          <cell r="E684">
            <v>320</v>
          </cell>
          <cell r="F684">
            <v>380</v>
          </cell>
          <cell r="G684">
            <v>210</v>
          </cell>
          <cell r="H684">
            <v>337</v>
          </cell>
          <cell r="I684">
            <v>427</v>
          </cell>
          <cell r="J684">
            <v>310</v>
          </cell>
          <cell r="K684">
            <v>442</v>
          </cell>
          <cell r="L684">
            <v>373</v>
          </cell>
          <cell r="M684">
            <v>45.18</v>
          </cell>
          <cell r="N684">
            <v>2014</v>
          </cell>
          <cell r="O684">
            <v>483</v>
          </cell>
          <cell r="P684">
            <v>30.8</v>
          </cell>
        </row>
        <row r="685">
          <cell r="B685" t="str">
            <v>Juntendo University</v>
          </cell>
          <cell r="C685" t="str">
            <v>Japan</v>
          </cell>
          <cell r="D685">
            <v>27</v>
          </cell>
          <cell r="E685">
            <v>355</v>
          </cell>
          <cell r="F685">
            <v>478</v>
          </cell>
          <cell r="G685">
            <v>210</v>
          </cell>
          <cell r="H685">
            <v>645</v>
          </cell>
          <cell r="I685">
            <v>482</v>
          </cell>
          <cell r="J685">
            <v>406</v>
          </cell>
          <cell r="K685">
            <v>366</v>
          </cell>
          <cell r="L685">
            <v>737</v>
          </cell>
          <cell r="M685">
            <v>45.18</v>
          </cell>
          <cell r="N685">
            <v>2014</v>
          </cell>
          <cell r="O685">
            <v>484</v>
          </cell>
          <cell r="P685">
            <v>32.299999999999997</v>
          </cell>
        </row>
        <row r="686">
          <cell r="B686" t="str">
            <v>University of Wyoming</v>
          </cell>
          <cell r="C686" t="str">
            <v>USA</v>
          </cell>
          <cell r="D686">
            <v>157</v>
          </cell>
          <cell r="E686">
            <v>355</v>
          </cell>
          <cell r="F686">
            <v>224</v>
          </cell>
          <cell r="G686">
            <v>210</v>
          </cell>
          <cell r="H686">
            <v>531</v>
          </cell>
          <cell r="I686">
            <v>327</v>
          </cell>
          <cell r="J686">
            <v>363</v>
          </cell>
          <cell r="K686">
            <v>472</v>
          </cell>
          <cell r="L686">
            <v>426</v>
          </cell>
          <cell r="M686">
            <v>45.18</v>
          </cell>
          <cell r="N686">
            <v>2014</v>
          </cell>
          <cell r="O686">
            <v>485</v>
          </cell>
          <cell r="P686">
            <v>18.399999999999999</v>
          </cell>
        </row>
        <row r="687">
          <cell r="B687" t="str">
            <v>Macquarie University</v>
          </cell>
          <cell r="C687" t="str">
            <v>Australia</v>
          </cell>
          <cell r="D687">
            <v>9</v>
          </cell>
          <cell r="E687">
            <v>355</v>
          </cell>
          <cell r="F687">
            <v>452</v>
          </cell>
          <cell r="G687">
            <v>210</v>
          </cell>
          <cell r="H687">
            <v>416</v>
          </cell>
          <cell r="I687">
            <v>292</v>
          </cell>
          <cell r="J687">
            <v>283</v>
          </cell>
          <cell r="K687">
            <v>409</v>
          </cell>
          <cell r="L687">
            <v>552</v>
          </cell>
          <cell r="M687">
            <v>45.18</v>
          </cell>
          <cell r="N687">
            <v>2014</v>
          </cell>
          <cell r="O687">
            <v>486</v>
          </cell>
          <cell r="P687">
            <v>21.3</v>
          </cell>
        </row>
        <row r="688">
          <cell r="B688" t="str">
            <v>University of Canterbury</v>
          </cell>
          <cell r="C688" t="str">
            <v>New Zealand</v>
          </cell>
          <cell r="D688">
            <v>3</v>
          </cell>
          <cell r="E688">
            <v>173</v>
          </cell>
          <cell r="F688">
            <v>154</v>
          </cell>
          <cell r="G688">
            <v>210</v>
          </cell>
          <cell r="H688">
            <v>561</v>
          </cell>
          <cell r="I688">
            <v>426</v>
          </cell>
          <cell r="J688">
            <v>493</v>
          </cell>
          <cell r="K688">
            <v>628</v>
          </cell>
          <cell r="L688">
            <v>737</v>
          </cell>
          <cell r="M688">
            <v>45.17</v>
          </cell>
          <cell r="N688">
            <v>2014</v>
          </cell>
          <cell r="O688">
            <v>487</v>
          </cell>
          <cell r="P688">
            <v>17.3</v>
          </cell>
        </row>
        <row r="689">
          <cell r="B689" t="str">
            <v>University of Denver</v>
          </cell>
          <cell r="C689" t="str">
            <v>USA</v>
          </cell>
          <cell r="D689">
            <v>158</v>
          </cell>
          <cell r="E689">
            <v>283</v>
          </cell>
          <cell r="F689">
            <v>141</v>
          </cell>
          <cell r="G689">
            <v>210</v>
          </cell>
          <cell r="H689">
            <v>906</v>
          </cell>
          <cell r="I689">
            <v>487</v>
          </cell>
          <cell r="J689">
            <v>493</v>
          </cell>
          <cell r="K689">
            <v>628</v>
          </cell>
          <cell r="L689">
            <v>552</v>
          </cell>
          <cell r="M689">
            <v>45.16</v>
          </cell>
          <cell r="N689">
            <v>2014</v>
          </cell>
          <cell r="O689">
            <v>488</v>
          </cell>
          <cell r="P689" t="e">
            <v>#N/A</v>
          </cell>
        </row>
        <row r="690">
          <cell r="B690" t="str">
            <v>Illinois Institute of Technology</v>
          </cell>
          <cell r="C690" t="str">
            <v>USA</v>
          </cell>
          <cell r="D690">
            <v>159</v>
          </cell>
          <cell r="E690">
            <v>251</v>
          </cell>
          <cell r="F690">
            <v>123</v>
          </cell>
          <cell r="G690">
            <v>210</v>
          </cell>
          <cell r="H690">
            <v>767</v>
          </cell>
          <cell r="I690">
            <v>718</v>
          </cell>
          <cell r="J690">
            <v>800</v>
          </cell>
          <cell r="K690">
            <v>716</v>
          </cell>
          <cell r="L690">
            <v>737</v>
          </cell>
          <cell r="M690">
            <v>45.15</v>
          </cell>
          <cell r="N690">
            <v>2014</v>
          </cell>
          <cell r="O690">
            <v>489</v>
          </cell>
          <cell r="P690">
            <v>40.200000000000003</v>
          </cell>
        </row>
        <row r="691">
          <cell r="B691" t="str">
            <v>Creighton University</v>
          </cell>
          <cell r="C691" t="str">
            <v>USA</v>
          </cell>
          <cell r="D691">
            <v>160</v>
          </cell>
          <cell r="E691">
            <v>355</v>
          </cell>
          <cell r="F691">
            <v>478</v>
          </cell>
          <cell r="G691">
            <v>210</v>
          </cell>
          <cell r="H691">
            <v>792</v>
          </cell>
          <cell r="I691">
            <v>618</v>
          </cell>
          <cell r="J691">
            <v>250</v>
          </cell>
          <cell r="K691">
            <v>375</v>
          </cell>
          <cell r="L691">
            <v>637</v>
          </cell>
          <cell r="M691">
            <v>45.15</v>
          </cell>
          <cell r="N691">
            <v>2014</v>
          </cell>
          <cell r="O691">
            <v>490</v>
          </cell>
          <cell r="P691">
            <v>43.6</v>
          </cell>
        </row>
        <row r="692">
          <cell r="B692" t="str">
            <v>Bielefeld University</v>
          </cell>
          <cell r="C692" t="str">
            <v>Germany</v>
          </cell>
          <cell r="D692">
            <v>38</v>
          </cell>
          <cell r="E692">
            <v>355</v>
          </cell>
          <cell r="F692">
            <v>478</v>
          </cell>
          <cell r="G692">
            <v>210</v>
          </cell>
          <cell r="H692">
            <v>487</v>
          </cell>
          <cell r="I692">
            <v>370</v>
          </cell>
          <cell r="J692">
            <v>493</v>
          </cell>
          <cell r="K692">
            <v>375</v>
          </cell>
          <cell r="L692">
            <v>737</v>
          </cell>
          <cell r="M692">
            <v>45.15</v>
          </cell>
          <cell r="N692">
            <v>2014</v>
          </cell>
          <cell r="O692">
            <v>491</v>
          </cell>
          <cell r="P692">
            <v>39.9</v>
          </cell>
        </row>
        <row r="693">
          <cell r="B693" t="str">
            <v>University of Malaya</v>
          </cell>
          <cell r="C693" t="str">
            <v>Malaysia</v>
          </cell>
          <cell r="D693">
            <v>2</v>
          </cell>
          <cell r="E693">
            <v>355</v>
          </cell>
          <cell r="F693">
            <v>115</v>
          </cell>
          <cell r="G693">
            <v>210</v>
          </cell>
          <cell r="H693">
            <v>670</v>
          </cell>
          <cell r="I693">
            <v>910</v>
          </cell>
          <cell r="J693">
            <v>493</v>
          </cell>
          <cell r="K693">
            <v>769</v>
          </cell>
          <cell r="L693">
            <v>426</v>
          </cell>
          <cell r="M693">
            <v>45.15</v>
          </cell>
          <cell r="N693">
            <v>2014</v>
          </cell>
          <cell r="O693">
            <v>492</v>
          </cell>
          <cell r="P693" t="e">
            <v>#N/A</v>
          </cell>
        </row>
        <row r="694">
          <cell r="B694" t="str">
            <v>University of Ulsan</v>
          </cell>
          <cell r="C694" t="str">
            <v>South Korea</v>
          </cell>
          <cell r="D694">
            <v>18</v>
          </cell>
          <cell r="E694">
            <v>355</v>
          </cell>
          <cell r="F694">
            <v>247</v>
          </cell>
          <cell r="G694">
            <v>210</v>
          </cell>
          <cell r="H694">
            <v>437</v>
          </cell>
          <cell r="I694">
            <v>662</v>
          </cell>
          <cell r="J694">
            <v>609</v>
          </cell>
          <cell r="K694">
            <v>460</v>
          </cell>
          <cell r="L694">
            <v>637</v>
          </cell>
          <cell r="M694">
            <v>45.14</v>
          </cell>
          <cell r="N694">
            <v>2014</v>
          </cell>
          <cell r="O694">
            <v>493</v>
          </cell>
          <cell r="P694">
            <v>19.5</v>
          </cell>
        </row>
        <row r="695">
          <cell r="B695" t="str">
            <v>City University London</v>
          </cell>
          <cell r="C695" t="str">
            <v>United Kingdom</v>
          </cell>
          <cell r="D695">
            <v>40</v>
          </cell>
          <cell r="E695">
            <v>355</v>
          </cell>
          <cell r="F695">
            <v>103</v>
          </cell>
          <cell r="G695">
            <v>210</v>
          </cell>
          <cell r="H695">
            <v>808</v>
          </cell>
          <cell r="I695">
            <v>868</v>
          </cell>
          <cell r="J695">
            <v>800</v>
          </cell>
          <cell r="K695">
            <v>874</v>
          </cell>
          <cell r="L695">
            <v>637</v>
          </cell>
          <cell r="M695">
            <v>45.14</v>
          </cell>
          <cell r="N695">
            <v>2014</v>
          </cell>
          <cell r="O695">
            <v>494</v>
          </cell>
          <cell r="P695">
            <v>23.5</v>
          </cell>
        </row>
        <row r="696">
          <cell r="B696" t="str">
            <v>Grenoble Institute of Technology</v>
          </cell>
          <cell r="C696" t="str">
            <v>France</v>
          </cell>
          <cell r="D696">
            <v>20</v>
          </cell>
          <cell r="E696">
            <v>355</v>
          </cell>
          <cell r="F696">
            <v>478</v>
          </cell>
          <cell r="G696">
            <v>210</v>
          </cell>
          <cell r="H696">
            <v>340</v>
          </cell>
          <cell r="I696">
            <v>525</v>
          </cell>
          <cell r="J696">
            <v>609</v>
          </cell>
          <cell r="K696">
            <v>430</v>
          </cell>
          <cell r="L696">
            <v>307</v>
          </cell>
          <cell r="M696">
            <v>45.14</v>
          </cell>
          <cell r="N696">
            <v>2014</v>
          </cell>
          <cell r="O696">
            <v>495</v>
          </cell>
          <cell r="P696" t="e">
            <v>#N/A</v>
          </cell>
        </row>
        <row r="697">
          <cell r="B697" t="str">
            <v>Federal University of Minas Gerais</v>
          </cell>
          <cell r="C697" t="str">
            <v>Brazil</v>
          </cell>
          <cell r="D697">
            <v>4</v>
          </cell>
          <cell r="E697">
            <v>355</v>
          </cell>
          <cell r="F697">
            <v>462</v>
          </cell>
          <cell r="G697">
            <v>210</v>
          </cell>
          <cell r="H697">
            <v>430</v>
          </cell>
          <cell r="I697">
            <v>476</v>
          </cell>
          <cell r="J697">
            <v>493</v>
          </cell>
          <cell r="K697">
            <v>514</v>
          </cell>
          <cell r="L697">
            <v>170</v>
          </cell>
          <cell r="M697">
            <v>45.14</v>
          </cell>
          <cell r="N697">
            <v>2014</v>
          </cell>
          <cell r="O697">
            <v>496</v>
          </cell>
          <cell r="P697">
            <v>27.9</v>
          </cell>
        </row>
        <row r="698">
          <cell r="B698" t="str">
            <v>University of Hanover</v>
          </cell>
          <cell r="C698" t="str">
            <v>Germany</v>
          </cell>
          <cell r="D698">
            <v>39</v>
          </cell>
          <cell r="E698">
            <v>355</v>
          </cell>
          <cell r="F698">
            <v>392</v>
          </cell>
          <cell r="G698">
            <v>210</v>
          </cell>
          <cell r="H698">
            <v>431</v>
          </cell>
          <cell r="I698">
            <v>527</v>
          </cell>
          <cell r="J698">
            <v>406</v>
          </cell>
          <cell r="K698">
            <v>452</v>
          </cell>
          <cell r="L698">
            <v>259</v>
          </cell>
          <cell r="M698">
            <v>45.14</v>
          </cell>
          <cell r="N698">
            <v>2014</v>
          </cell>
          <cell r="O698">
            <v>497</v>
          </cell>
          <cell r="P698" t="e">
            <v>#N/A</v>
          </cell>
        </row>
        <row r="699">
          <cell r="B699" t="str">
            <v>South China University of Technology</v>
          </cell>
          <cell r="C699" t="str">
            <v>China</v>
          </cell>
          <cell r="D699">
            <v>23</v>
          </cell>
          <cell r="E699">
            <v>355</v>
          </cell>
          <cell r="F699">
            <v>292</v>
          </cell>
          <cell r="G699">
            <v>210</v>
          </cell>
          <cell r="H699">
            <v>403</v>
          </cell>
          <cell r="I699">
            <v>650</v>
          </cell>
          <cell r="J699">
            <v>493</v>
          </cell>
          <cell r="K699">
            <v>514</v>
          </cell>
          <cell r="L699">
            <v>227</v>
          </cell>
          <cell r="M699">
            <v>45.12</v>
          </cell>
          <cell r="N699">
            <v>2014</v>
          </cell>
          <cell r="O699">
            <v>498</v>
          </cell>
          <cell r="P699">
            <v>19.5</v>
          </cell>
        </row>
        <row r="700">
          <cell r="B700" t="str">
            <v>University of Surrey</v>
          </cell>
          <cell r="C700" t="str">
            <v>United Kingdom</v>
          </cell>
          <cell r="D700">
            <v>41</v>
          </cell>
          <cell r="E700">
            <v>195</v>
          </cell>
          <cell r="F700">
            <v>234</v>
          </cell>
          <cell r="G700">
            <v>210</v>
          </cell>
          <cell r="H700">
            <v>414</v>
          </cell>
          <cell r="I700">
            <v>548</v>
          </cell>
          <cell r="J700">
            <v>406</v>
          </cell>
          <cell r="K700">
            <v>569</v>
          </cell>
          <cell r="L700">
            <v>338</v>
          </cell>
          <cell r="M700">
            <v>45.12</v>
          </cell>
          <cell r="N700">
            <v>2014</v>
          </cell>
          <cell r="O700">
            <v>499</v>
          </cell>
          <cell r="P700">
            <v>32.6</v>
          </cell>
        </row>
        <row r="701">
          <cell r="B701" t="str">
            <v>Otto-von-Guericke University Magdeburg</v>
          </cell>
          <cell r="C701" t="str">
            <v>Germany</v>
          </cell>
          <cell r="D701">
            <v>40</v>
          </cell>
          <cell r="E701">
            <v>355</v>
          </cell>
          <cell r="F701">
            <v>478</v>
          </cell>
          <cell r="G701">
            <v>210</v>
          </cell>
          <cell r="H701">
            <v>483</v>
          </cell>
          <cell r="I701">
            <v>619</v>
          </cell>
          <cell r="J701">
            <v>493</v>
          </cell>
          <cell r="K701">
            <v>420</v>
          </cell>
          <cell r="L701">
            <v>259</v>
          </cell>
          <cell r="M701">
            <v>45.11</v>
          </cell>
          <cell r="N701">
            <v>2014</v>
          </cell>
          <cell r="O701">
            <v>500</v>
          </cell>
          <cell r="P701" t="e">
            <v>#N/A</v>
          </cell>
        </row>
        <row r="702">
          <cell r="B702" t="str">
            <v>Indian Institute of Science</v>
          </cell>
          <cell r="C702" t="str">
            <v>India</v>
          </cell>
          <cell r="D702">
            <v>3</v>
          </cell>
          <cell r="E702">
            <v>355</v>
          </cell>
          <cell r="F702">
            <v>478</v>
          </cell>
          <cell r="G702">
            <v>210</v>
          </cell>
          <cell r="H702">
            <v>305</v>
          </cell>
          <cell r="I702">
            <v>495</v>
          </cell>
          <cell r="J702">
            <v>609</v>
          </cell>
          <cell r="K702">
            <v>472</v>
          </cell>
          <cell r="L702">
            <v>280</v>
          </cell>
          <cell r="M702">
            <v>45.11</v>
          </cell>
          <cell r="N702">
            <v>2014</v>
          </cell>
          <cell r="O702">
            <v>501</v>
          </cell>
          <cell r="P702">
            <v>32.6</v>
          </cell>
        </row>
        <row r="703">
          <cell r="B703" t="str">
            <v>Tokyo Metropolitan University</v>
          </cell>
          <cell r="C703" t="str">
            <v>Japan</v>
          </cell>
          <cell r="D703">
            <v>28</v>
          </cell>
          <cell r="E703">
            <v>355</v>
          </cell>
          <cell r="F703">
            <v>322</v>
          </cell>
          <cell r="G703">
            <v>210</v>
          </cell>
          <cell r="H703">
            <v>550</v>
          </cell>
          <cell r="I703">
            <v>450</v>
          </cell>
          <cell r="J703">
            <v>310</v>
          </cell>
          <cell r="K703">
            <v>420</v>
          </cell>
          <cell r="L703">
            <v>637</v>
          </cell>
          <cell r="M703">
            <v>45.11</v>
          </cell>
          <cell r="N703">
            <v>2014</v>
          </cell>
          <cell r="O703">
            <v>502</v>
          </cell>
          <cell r="P703">
            <v>19</v>
          </cell>
        </row>
        <row r="704">
          <cell r="B704" t="str">
            <v>Bar-Ilan University</v>
          </cell>
          <cell r="C704" t="str">
            <v>Israel</v>
          </cell>
          <cell r="D704">
            <v>6</v>
          </cell>
          <cell r="E704">
            <v>266</v>
          </cell>
          <cell r="F704">
            <v>408</v>
          </cell>
          <cell r="G704">
            <v>210</v>
          </cell>
          <cell r="H704">
            <v>415</v>
          </cell>
          <cell r="I704">
            <v>392</v>
          </cell>
          <cell r="J704">
            <v>609</v>
          </cell>
          <cell r="K704">
            <v>482</v>
          </cell>
          <cell r="L704">
            <v>259</v>
          </cell>
          <cell r="M704">
            <v>45.11</v>
          </cell>
          <cell r="N704">
            <v>2014</v>
          </cell>
          <cell r="O704">
            <v>503</v>
          </cell>
          <cell r="P704">
            <v>27.9</v>
          </cell>
        </row>
        <row r="705">
          <cell r="B705" t="str">
            <v>Mississippi State University</v>
          </cell>
          <cell r="C705" t="str">
            <v>USA</v>
          </cell>
          <cell r="D705">
            <v>161</v>
          </cell>
          <cell r="E705">
            <v>141</v>
          </cell>
          <cell r="F705">
            <v>157</v>
          </cell>
          <cell r="G705">
            <v>210</v>
          </cell>
          <cell r="H705">
            <v>580</v>
          </cell>
          <cell r="I705">
            <v>617</v>
          </cell>
          <cell r="J705">
            <v>609</v>
          </cell>
          <cell r="K705">
            <v>739</v>
          </cell>
          <cell r="L705">
            <v>481</v>
          </cell>
          <cell r="M705">
            <v>45.11</v>
          </cell>
          <cell r="N705">
            <v>2014</v>
          </cell>
          <cell r="O705">
            <v>504</v>
          </cell>
          <cell r="P705" t="e">
            <v>#N/A</v>
          </cell>
        </row>
        <row r="706">
          <cell r="B706" t="str">
            <v>University of Maryland, Baltimore County</v>
          </cell>
          <cell r="C706" t="str">
            <v>USA</v>
          </cell>
          <cell r="D706">
            <v>162</v>
          </cell>
          <cell r="E706">
            <v>355</v>
          </cell>
          <cell r="F706">
            <v>478</v>
          </cell>
          <cell r="G706">
            <v>210</v>
          </cell>
          <cell r="H706">
            <v>554</v>
          </cell>
          <cell r="I706">
            <v>377</v>
          </cell>
          <cell r="J706">
            <v>363</v>
          </cell>
          <cell r="K706">
            <v>402</v>
          </cell>
          <cell r="L706">
            <v>373</v>
          </cell>
          <cell r="M706">
            <v>45.1</v>
          </cell>
          <cell r="N706">
            <v>2014</v>
          </cell>
          <cell r="O706">
            <v>505</v>
          </cell>
          <cell r="P706">
            <v>17.600000000000001</v>
          </cell>
        </row>
        <row r="707">
          <cell r="B707" t="str">
            <v>University of Wollongong</v>
          </cell>
          <cell r="C707" t="str">
            <v>Australia</v>
          </cell>
          <cell r="D707">
            <v>10</v>
          </cell>
          <cell r="E707">
            <v>355</v>
          </cell>
          <cell r="F707">
            <v>274</v>
          </cell>
          <cell r="G707">
            <v>210</v>
          </cell>
          <cell r="H707">
            <v>445</v>
          </cell>
          <cell r="I707">
            <v>460</v>
          </cell>
          <cell r="J707">
            <v>609</v>
          </cell>
          <cell r="K707">
            <v>488</v>
          </cell>
          <cell r="L707">
            <v>338</v>
          </cell>
          <cell r="M707">
            <v>45.1</v>
          </cell>
          <cell r="N707">
            <v>2014</v>
          </cell>
          <cell r="O707">
            <v>506</v>
          </cell>
          <cell r="P707">
            <v>21.4</v>
          </cell>
        </row>
        <row r="708">
          <cell r="B708" t="str">
            <v>Flinders University</v>
          </cell>
          <cell r="C708" t="str">
            <v>Australia</v>
          </cell>
          <cell r="D708">
            <v>11</v>
          </cell>
          <cell r="E708">
            <v>82</v>
          </cell>
          <cell r="F708">
            <v>478</v>
          </cell>
          <cell r="G708">
            <v>210</v>
          </cell>
          <cell r="H708">
            <v>551</v>
          </cell>
          <cell r="I708">
            <v>573</v>
          </cell>
          <cell r="J708">
            <v>609</v>
          </cell>
          <cell r="K708">
            <v>605</v>
          </cell>
          <cell r="L708">
            <v>637</v>
          </cell>
          <cell r="M708">
            <v>45.1</v>
          </cell>
          <cell r="N708">
            <v>2014</v>
          </cell>
          <cell r="O708">
            <v>507</v>
          </cell>
          <cell r="P708">
            <v>18.2</v>
          </cell>
        </row>
        <row r="709">
          <cell r="B709" t="str">
            <v>Martin Luther University of Halle-Wittenberg</v>
          </cell>
          <cell r="C709" t="str">
            <v>Germany</v>
          </cell>
          <cell r="D709">
            <v>41</v>
          </cell>
          <cell r="E709">
            <v>345</v>
          </cell>
          <cell r="F709">
            <v>478</v>
          </cell>
          <cell r="G709">
            <v>202</v>
          </cell>
          <cell r="H709">
            <v>385</v>
          </cell>
          <cell r="I709">
            <v>340</v>
          </cell>
          <cell r="J709">
            <v>800</v>
          </cell>
          <cell r="K709">
            <v>409</v>
          </cell>
          <cell r="L709">
            <v>737</v>
          </cell>
          <cell r="M709">
            <v>45.1</v>
          </cell>
          <cell r="N709">
            <v>2014</v>
          </cell>
          <cell r="O709">
            <v>508</v>
          </cell>
          <cell r="P709" t="e">
            <v>#N/A</v>
          </cell>
        </row>
        <row r="710">
          <cell r="B710" t="str">
            <v>Graduate University for Advanced Studies</v>
          </cell>
          <cell r="C710" t="str">
            <v>Japan</v>
          </cell>
          <cell r="D710">
            <v>29</v>
          </cell>
          <cell r="E710">
            <v>355</v>
          </cell>
          <cell r="F710">
            <v>478</v>
          </cell>
          <cell r="G710">
            <v>210</v>
          </cell>
          <cell r="H710">
            <v>607</v>
          </cell>
          <cell r="I710">
            <v>269</v>
          </cell>
          <cell r="J710">
            <v>493</v>
          </cell>
          <cell r="K710">
            <v>386</v>
          </cell>
          <cell r="L710">
            <v>737</v>
          </cell>
          <cell r="M710">
            <v>45.09</v>
          </cell>
          <cell r="N710">
            <v>2014</v>
          </cell>
          <cell r="O710">
            <v>509</v>
          </cell>
          <cell r="P710" t="e">
            <v>#N/A</v>
          </cell>
        </row>
        <row r="711">
          <cell r="B711" t="str">
            <v>Clemson University</v>
          </cell>
          <cell r="C711" t="str">
            <v>USA</v>
          </cell>
          <cell r="D711">
            <v>163</v>
          </cell>
          <cell r="E711">
            <v>355</v>
          </cell>
          <cell r="F711">
            <v>478</v>
          </cell>
          <cell r="G711">
            <v>210</v>
          </cell>
          <cell r="H711">
            <v>424</v>
          </cell>
          <cell r="I711">
            <v>470</v>
          </cell>
          <cell r="J711">
            <v>493</v>
          </cell>
          <cell r="K711">
            <v>402</v>
          </cell>
          <cell r="L711">
            <v>737</v>
          </cell>
          <cell r="M711">
            <v>45.09</v>
          </cell>
          <cell r="N711">
            <v>2014</v>
          </cell>
          <cell r="O711">
            <v>510</v>
          </cell>
          <cell r="P711">
            <v>20.8</v>
          </cell>
        </row>
        <row r="712">
          <cell r="B712" t="str">
            <v>University of Brescia</v>
          </cell>
          <cell r="C712" t="str">
            <v>Italy</v>
          </cell>
          <cell r="D712">
            <v>25</v>
          </cell>
          <cell r="E712">
            <v>355</v>
          </cell>
          <cell r="F712">
            <v>478</v>
          </cell>
          <cell r="G712">
            <v>210</v>
          </cell>
          <cell r="H712">
            <v>576</v>
          </cell>
          <cell r="I712">
            <v>604</v>
          </cell>
          <cell r="J712">
            <v>609</v>
          </cell>
          <cell r="K712">
            <v>386</v>
          </cell>
          <cell r="L712">
            <v>737</v>
          </cell>
          <cell r="M712">
            <v>45.07</v>
          </cell>
          <cell r="N712">
            <v>2014</v>
          </cell>
          <cell r="O712">
            <v>511</v>
          </cell>
          <cell r="P712">
            <v>15.6</v>
          </cell>
        </row>
        <row r="713">
          <cell r="B713" t="str">
            <v>Georgia State University</v>
          </cell>
          <cell r="C713" t="str">
            <v>USA</v>
          </cell>
          <cell r="D713">
            <v>164</v>
          </cell>
          <cell r="E713">
            <v>355</v>
          </cell>
          <cell r="F713">
            <v>434</v>
          </cell>
          <cell r="G713">
            <v>210</v>
          </cell>
          <cell r="H713">
            <v>465</v>
          </cell>
          <cell r="I713">
            <v>504</v>
          </cell>
          <cell r="J713">
            <v>363</v>
          </cell>
          <cell r="K713">
            <v>437</v>
          </cell>
          <cell r="L713">
            <v>426</v>
          </cell>
          <cell r="M713">
            <v>45.07</v>
          </cell>
          <cell r="N713">
            <v>2014</v>
          </cell>
          <cell r="O713">
            <v>512</v>
          </cell>
          <cell r="P713">
            <v>19.600000000000001</v>
          </cell>
        </row>
        <row r="714">
          <cell r="B714" t="str">
            <v>Dongguk University</v>
          </cell>
          <cell r="C714" t="str">
            <v>South Korea</v>
          </cell>
          <cell r="D714">
            <v>19</v>
          </cell>
          <cell r="E714">
            <v>355</v>
          </cell>
          <cell r="F714">
            <v>395</v>
          </cell>
          <cell r="G714">
            <v>210</v>
          </cell>
          <cell r="H714">
            <v>954</v>
          </cell>
          <cell r="I714">
            <v>915</v>
          </cell>
          <cell r="J714">
            <v>800</v>
          </cell>
          <cell r="K714">
            <v>979</v>
          </cell>
          <cell r="L714">
            <v>89</v>
          </cell>
          <cell r="M714">
            <v>45.07</v>
          </cell>
          <cell r="N714">
            <v>2014</v>
          </cell>
          <cell r="O714">
            <v>513</v>
          </cell>
          <cell r="P714" t="e">
            <v>#N/A</v>
          </cell>
        </row>
        <row r="715">
          <cell r="B715" t="str">
            <v>University of Fribourg</v>
          </cell>
          <cell r="C715" t="str">
            <v>Switzerland</v>
          </cell>
          <cell r="D715">
            <v>8</v>
          </cell>
          <cell r="E715">
            <v>208</v>
          </cell>
          <cell r="F715">
            <v>209</v>
          </cell>
          <cell r="G715">
            <v>210</v>
          </cell>
          <cell r="H715">
            <v>727</v>
          </cell>
          <cell r="I715">
            <v>405</v>
          </cell>
          <cell r="J715">
            <v>406</v>
          </cell>
          <cell r="K715">
            <v>554</v>
          </cell>
          <cell r="L715">
            <v>552</v>
          </cell>
          <cell r="M715">
            <v>45.05</v>
          </cell>
          <cell r="N715">
            <v>2014</v>
          </cell>
          <cell r="O715">
            <v>514</v>
          </cell>
          <cell r="P715">
            <v>20.8</v>
          </cell>
        </row>
        <row r="716">
          <cell r="B716" t="str">
            <v>Sichuan University</v>
          </cell>
          <cell r="C716" t="str">
            <v>China</v>
          </cell>
          <cell r="D716">
            <v>24</v>
          </cell>
          <cell r="E716">
            <v>355</v>
          </cell>
          <cell r="F716">
            <v>478</v>
          </cell>
          <cell r="G716">
            <v>210</v>
          </cell>
          <cell r="H716">
            <v>306</v>
          </cell>
          <cell r="I716">
            <v>530</v>
          </cell>
          <cell r="J716">
            <v>800</v>
          </cell>
          <cell r="K716">
            <v>472</v>
          </cell>
          <cell r="L716">
            <v>373</v>
          </cell>
          <cell r="M716">
            <v>45.05</v>
          </cell>
          <cell r="N716">
            <v>2014</v>
          </cell>
          <cell r="O716">
            <v>515</v>
          </cell>
          <cell r="P716">
            <v>25</v>
          </cell>
        </row>
        <row r="717">
          <cell r="B717" t="str">
            <v>University of Iceland</v>
          </cell>
          <cell r="C717" t="str">
            <v>Iceland</v>
          </cell>
          <cell r="D717">
            <v>1</v>
          </cell>
          <cell r="E717">
            <v>355</v>
          </cell>
          <cell r="F717">
            <v>478</v>
          </cell>
          <cell r="G717">
            <v>210</v>
          </cell>
          <cell r="H717">
            <v>629</v>
          </cell>
          <cell r="I717">
            <v>311</v>
          </cell>
          <cell r="J717">
            <v>310</v>
          </cell>
          <cell r="K717">
            <v>409</v>
          </cell>
          <cell r="L717">
            <v>737</v>
          </cell>
          <cell r="M717">
            <v>45.05</v>
          </cell>
          <cell r="N717">
            <v>2014</v>
          </cell>
          <cell r="O717">
            <v>516</v>
          </cell>
          <cell r="P717">
            <v>10.7</v>
          </cell>
        </row>
        <row r="718">
          <cell r="B718" t="str">
            <v>University of Sherbrooke</v>
          </cell>
          <cell r="C718" t="str">
            <v>Canada</v>
          </cell>
          <cell r="D718">
            <v>21</v>
          </cell>
          <cell r="E718">
            <v>355</v>
          </cell>
          <cell r="F718">
            <v>478</v>
          </cell>
          <cell r="G718">
            <v>210</v>
          </cell>
          <cell r="H718">
            <v>446</v>
          </cell>
          <cell r="I718">
            <v>437</v>
          </cell>
          <cell r="J718">
            <v>406</v>
          </cell>
          <cell r="K718">
            <v>415</v>
          </cell>
          <cell r="L718">
            <v>637</v>
          </cell>
          <cell r="M718">
            <v>45.05</v>
          </cell>
          <cell r="N718">
            <v>2014</v>
          </cell>
          <cell r="O718">
            <v>517</v>
          </cell>
          <cell r="P718" t="e">
            <v>#N/A</v>
          </cell>
        </row>
        <row r="719">
          <cell r="B719" t="str">
            <v>University of Graz</v>
          </cell>
          <cell r="C719" t="str">
            <v>Austria</v>
          </cell>
          <cell r="D719">
            <v>6</v>
          </cell>
          <cell r="E719">
            <v>338</v>
          </cell>
          <cell r="F719">
            <v>429</v>
          </cell>
          <cell r="G719">
            <v>197</v>
          </cell>
          <cell r="H719">
            <v>526</v>
          </cell>
          <cell r="I719">
            <v>524</v>
          </cell>
          <cell r="J719">
            <v>406</v>
          </cell>
          <cell r="K719">
            <v>437</v>
          </cell>
          <cell r="L719">
            <v>481</v>
          </cell>
          <cell r="M719">
            <v>45.04</v>
          </cell>
          <cell r="N719">
            <v>2014</v>
          </cell>
          <cell r="O719">
            <v>518</v>
          </cell>
          <cell r="P719">
            <v>24.9</v>
          </cell>
        </row>
        <row r="720">
          <cell r="B720" t="str">
            <v>University of MÃ¡laga</v>
          </cell>
          <cell r="C720" t="str">
            <v>Spain</v>
          </cell>
          <cell r="D720">
            <v>14</v>
          </cell>
          <cell r="E720">
            <v>355</v>
          </cell>
          <cell r="F720">
            <v>478</v>
          </cell>
          <cell r="G720">
            <v>210</v>
          </cell>
          <cell r="H720">
            <v>428</v>
          </cell>
          <cell r="I720">
            <v>755</v>
          </cell>
          <cell r="J720">
            <v>609</v>
          </cell>
          <cell r="K720">
            <v>724</v>
          </cell>
          <cell r="L720">
            <v>121</v>
          </cell>
          <cell r="M720">
            <v>45.04</v>
          </cell>
          <cell r="N720">
            <v>2014</v>
          </cell>
          <cell r="O720">
            <v>519</v>
          </cell>
          <cell r="P720" t="e">
            <v>#N/A</v>
          </cell>
        </row>
        <row r="721">
          <cell r="B721" t="str">
            <v>University of Zaragoza</v>
          </cell>
          <cell r="C721" t="str">
            <v>Spain</v>
          </cell>
          <cell r="D721">
            <v>15</v>
          </cell>
          <cell r="E721">
            <v>354</v>
          </cell>
          <cell r="F721">
            <v>441</v>
          </cell>
          <cell r="G721">
            <v>210</v>
          </cell>
          <cell r="H721">
            <v>350</v>
          </cell>
          <cell r="I721">
            <v>684</v>
          </cell>
          <cell r="J721">
            <v>493</v>
          </cell>
          <cell r="K721">
            <v>488</v>
          </cell>
          <cell r="L721">
            <v>338</v>
          </cell>
          <cell r="M721">
            <v>45.04</v>
          </cell>
          <cell r="N721">
            <v>2014</v>
          </cell>
          <cell r="O721">
            <v>520</v>
          </cell>
          <cell r="P721">
            <v>14.5</v>
          </cell>
        </row>
        <row r="722">
          <cell r="B722" t="str">
            <v>New York Medical College</v>
          </cell>
          <cell r="C722" t="str">
            <v>USA</v>
          </cell>
          <cell r="D722">
            <v>165</v>
          </cell>
          <cell r="E722">
            <v>355</v>
          </cell>
          <cell r="F722">
            <v>478</v>
          </cell>
          <cell r="G722">
            <v>210</v>
          </cell>
          <cell r="H722">
            <v>726</v>
          </cell>
          <cell r="I722">
            <v>594</v>
          </cell>
          <cell r="J722">
            <v>493</v>
          </cell>
          <cell r="K722">
            <v>402</v>
          </cell>
          <cell r="L722">
            <v>481</v>
          </cell>
          <cell r="M722">
            <v>45.04</v>
          </cell>
          <cell r="N722">
            <v>2014</v>
          </cell>
          <cell r="O722">
            <v>521</v>
          </cell>
          <cell r="P722" t="e">
            <v>#N/A</v>
          </cell>
        </row>
        <row r="723">
          <cell r="B723" t="str">
            <v>SUNY Downstate Medical Center</v>
          </cell>
          <cell r="C723" t="str">
            <v>USA</v>
          </cell>
          <cell r="D723">
            <v>166</v>
          </cell>
          <cell r="E723">
            <v>355</v>
          </cell>
          <cell r="F723">
            <v>478</v>
          </cell>
          <cell r="G723">
            <v>150</v>
          </cell>
          <cell r="H723">
            <v>736</v>
          </cell>
          <cell r="I723">
            <v>411</v>
          </cell>
          <cell r="J723">
            <v>609</v>
          </cell>
          <cell r="K723">
            <v>442</v>
          </cell>
          <cell r="L723">
            <v>737</v>
          </cell>
          <cell r="M723">
            <v>45.03</v>
          </cell>
          <cell r="N723">
            <v>2014</v>
          </cell>
          <cell r="O723">
            <v>522</v>
          </cell>
          <cell r="P723" t="e">
            <v>#N/A</v>
          </cell>
        </row>
        <row r="724">
          <cell r="B724" t="str">
            <v>Ã‰cole Centrale Paris</v>
          </cell>
          <cell r="C724" t="str">
            <v>France</v>
          </cell>
          <cell r="D724">
            <v>21</v>
          </cell>
          <cell r="E724">
            <v>355</v>
          </cell>
          <cell r="F724">
            <v>108</v>
          </cell>
          <cell r="G724">
            <v>210</v>
          </cell>
          <cell r="H724">
            <v>995</v>
          </cell>
          <cell r="I724">
            <v>837</v>
          </cell>
          <cell r="J724">
            <v>800</v>
          </cell>
          <cell r="K724">
            <v>923</v>
          </cell>
          <cell r="L724">
            <v>637</v>
          </cell>
          <cell r="M724">
            <v>45.03</v>
          </cell>
          <cell r="N724">
            <v>2014</v>
          </cell>
          <cell r="O724">
            <v>523</v>
          </cell>
          <cell r="P724" t="e">
            <v>#N/A</v>
          </cell>
        </row>
        <row r="725">
          <cell r="B725" t="str">
            <v>Utah State University</v>
          </cell>
          <cell r="C725" t="str">
            <v>USA</v>
          </cell>
          <cell r="D725">
            <v>167</v>
          </cell>
          <cell r="E725">
            <v>156</v>
          </cell>
          <cell r="F725">
            <v>419</v>
          </cell>
          <cell r="G725">
            <v>210</v>
          </cell>
          <cell r="H725">
            <v>553</v>
          </cell>
          <cell r="I725">
            <v>473</v>
          </cell>
          <cell r="J725">
            <v>363</v>
          </cell>
          <cell r="K725">
            <v>531</v>
          </cell>
          <cell r="L725">
            <v>307</v>
          </cell>
          <cell r="M725">
            <v>45.03</v>
          </cell>
          <cell r="N725">
            <v>2014</v>
          </cell>
          <cell r="O725">
            <v>524</v>
          </cell>
          <cell r="P725" t="e">
            <v>#N/A</v>
          </cell>
        </row>
        <row r="726">
          <cell r="B726" t="str">
            <v>University of Ljubljana</v>
          </cell>
          <cell r="C726" t="str">
            <v>Slovenia</v>
          </cell>
          <cell r="D726">
            <v>1</v>
          </cell>
          <cell r="E726">
            <v>355</v>
          </cell>
          <cell r="F726">
            <v>478</v>
          </cell>
          <cell r="G726">
            <v>210</v>
          </cell>
          <cell r="H726">
            <v>346</v>
          </cell>
          <cell r="I726">
            <v>449</v>
          </cell>
          <cell r="J726">
            <v>310</v>
          </cell>
          <cell r="K726">
            <v>460</v>
          </cell>
          <cell r="L726">
            <v>737</v>
          </cell>
          <cell r="M726">
            <v>45.02</v>
          </cell>
          <cell r="N726">
            <v>2014</v>
          </cell>
          <cell r="O726">
            <v>525</v>
          </cell>
          <cell r="P726">
            <v>24.9</v>
          </cell>
        </row>
        <row r="727">
          <cell r="B727" t="str">
            <v>University of Montpellier 1</v>
          </cell>
          <cell r="C727" t="str">
            <v>France</v>
          </cell>
          <cell r="D727">
            <v>22</v>
          </cell>
          <cell r="E727">
            <v>355</v>
          </cell>
          <cell r="F727">
            <v>478</v>
          </cell>
          <cell r="G727">
            <v>210</v>
          </cell>
          <cell r="H727">
            <v>429</v>
          </cell>
          <cell r="I727">
            <v>324</v>
          </cell>
          <cell r="J727">
            <v>493</v>
          </cell>
          <cell r="K727">
            <v>430</v>
          </cell>
          <cell r="L727">
            <v>737</v>
          </cell>
          <cell r="M727">
            <v>45.02</v>
          </cell>
          <cell r="N727">
            <v>2014</v>
          </cell>
          <cell r="O727">
            <v>526</v>
          </cell>
          <cell r="P727" t="e">
            <v>#N/A</v>
          </cell>
        </row>
        <row r="728">
          <cell r="B728" t="str">
            <v>Victoria University of Wellington</v>
          </cell>
          <cell r="C728" t="str">
            <v>New Zealand</v>
          </cell>
          <cell r="D728">
            <v>4</v>
          </cell>
          <cell r="E728">
            <v>296</v>
          </cell>
          <cell r="F728">
            <v>161</v>
          </cell>
          <cell r="G728">
            <v>210</v>
          </cell>
          <cell r="H728">
            <v>630</v>
          </cell>
          <cell r="I728">
            <v>441</v>
          </cell>
          <cell r="J728">
            <v>609</v>
          </cell>
          <cell r="K728">
            <v>675</v>
          </cell>
          <cell r="L728">
            <v>637</v>
          </cell>
          <cell r="M728">
            <v>45.01</v>
          </cell>
          <cell r="N728">
            <v>2014</v>
          </cell>
          <cell r="O728">
            <v>527</v>
          </cell>
          <cell r="P728">
            <v>16.5</v>
          </cell>
        </row>
        <row r="729">
          <cell r="B729" t="str">
            <v>East China University of Science and Technology</v>
          </cell>
          <cell r="C729" t="str">
            <v>China</v>
          </cell>
          <cell r="D729">
            <v>25</v>
          </cell>
          <cell r="E729">
            <v>355</v>
          </cell>
          <cell r="F729">
            <v>478</v>
          </cell>
          <cell r="G729">
            <v>210</v>
          </cell>
          <cell r="H729">
            <v>444</v>
          </cell>
          <cell r="I729">
            <v>808</v>
          </cell>
          <cell r="J729">
            <v>609</v>
          </cell>
          <cell r="K729">
            <v>496</v>
          </cell>
          <cell r="L729">
            <v>204</v>
          </cell>
          <cell r="M729">
            <v>45.01</v>
          </cell>
          <cell r="N729">
            <v>2014</v>
          </cell>
          <cell r="O729">
            <v>528</v>
          </cell>
          <cell r="P729">
            <v>24.1</v>
          </cell>
        </row>
        <row r="730">
          <cell r="B730" t="str">
            <v>Konkuk University</v>
          </cell>
          <cell r="C730" t="str">
            <v>South Korea</v>
          </cell>
          <cell r="D730">
            <v>20</v>
          </cell>
          <cell r="E730">
            <v>355</v>
          </cell>
          <cell r="F730">
            <v>403</v>
          </cell>
          <cell r="G730">
            <v>210</v>
          </cell>
          <cell r="H730">
            <v>564</v>
          </cell>
          <cell r="I730">
            <v>730</v>
          </cell>
          <cell r="J730">
            <v>800</v>
          </cell>
          <cell r="K730">
            <v>724</v>
          </cell>
          <cell r="L730">
            <v>128</v>
          </cell>
          <cell r="M730">
            <v>45.01</v>
          </cell>
          <cell r="N730">
            <v>2014</v>
          </cell>
          <cell r="O730">
            <v>529</v>
          </cell>
          <cell r="P730">
            <v>20</v>
          </cell>
        </row>
        <row r="731">
          <cell r="B731" t="str">
            <v>University of Potsdam</v>
          </cell>
          <cell r="C731" t="str">
            <v>Germany</v>
          </cell>
          <cell r="D731">
            <v>42</v>
          </cell>
          <cell r="E731">
            <v>355</v>
          </cell>
          <cell r="F731">
            <v>478</v>
          </cell>
          <cell r="G731">
            <v>210</v>
          </cell>
          <cell r="H731">
            <v>491</v>
          </cell>
          <cell r="I731">
            <v>329</v>
          </cell>
          <cell r="J731">
            <v>609</v>
          </cell>
          <cell r="K731">
            <v>420</v>
          </cell>
          <cell r="L731">
            <v>637</v>
          </cell>
          <cell r="M731">
            <v>45.01</v>
          </cell>
          <cell r="N731">
            <v>2014</v>
          </cell>
          <cell r="O731">
            <v>530</v>
          </cell>
          <cell r="P731" t="e">
            <v>#N/A</v>
          </cell>
        </row>
        <row r="732">
          <cell r="B732" t="str">
            <v>University of the Basque Country</v>
          </cell>
          <cell r="C732" t="str">
            <v>Spain</v>
          </cell>
          <cell r="D732">
            <v>16</v>
          </cell>
          <cell r="E732">
            <v>355</v>
          </cell>
          <cell r="F732">
            <v>478</v>
          </cell>
          <cell r="G732">
            <v>210</v>
          </cell>
          <cell r="H732">
            <v>325</v>
          </cell>
          <cell r="I732">
            <v>418</v>
          </cell>
          <cell r="J732">
            <v>493</v>
          </cell>
          <cell r="K732">
            <v>482</v>
          </cell>
          <cell r="L732">
            <v>426</v>
          </cell>
          <cell r="M732">
            <v>45.01</v>
          </cell>
          <cell r="N732">
            <v>2014</v>
          </cell>
          <cell r="O732">
            <v>531</v>
          </cell>
          <cell r="P732">
            <v>18.2</v>
          </cell>
        </row>
        <row r="733">
          <cell r="B733" t="str">
            <v>University of Nice Sophia Antipolis</v>
          </cell>
          <cell r="C733" t="str">
            <v>France</v>
          </cell>
          <cell r="D733">
            <v>23</v>
          </cell>
          <cell r="E733">
            <v>252</v>
          </cell>
          <cell r="F733">
            <v>478</v>
          </cell>
          <cell r="G733">
            <v>210</v>
          </cell>
          <cell r="H733">
            <v>467</v>
          </cell>
          <cell r="I733">
            <v>265</v>
          </cell>
          <cell r="J733">
            <v>609</v>
          </cell>
          <cell r="K733">
            <v>460</v>
          </cell>
          <cell r="L733">
            <v>373</v>
          </cell>
          <cell r="M733">
            <v>45.01</v>
          </cell>
          <cell r="N733">
            <v>2014</v>
          </cell>
          <cell r="O733">
            <v>532</v>
          </cell>
          <cell r="P733">
            <v>21.4</v>
          </cell>
        </row>
        <row r="734">
          <cell r="B734" t="str">
            <v>University of Udine</v>
          </cell>
          <cell r="C734" t="str">
            <v>Italy</v>
          </cell>
          <cell r="D734">
            <v>26</v>
          </cell>
          <cell r="E734">
            <v>355</v>
          </cell>
          <cell r="F734">
            <v>478</v>
          </cell>
          <cell r="G734">
            <v>210</v>
          </cell>
          <cell r="H734">
            <v>583</v>
          </cell>
          <cell r="I734">
            <v>397</v>
          </cell>
          <cell r="J734">
            <v>609</v>
          </cell>
          <cell r="K734">
            <v>415</v>
          </cell>
          <cell r="L734">
            <v>552</v>
          </cell>
          <cell r="M734">
            <v>45.01</v>
          </cell>
          <cell r="N734">
            <v>2014</v>
          </cell>
          <cell r="O734">
            <v>533</v>
          </cell>
          <cell r="P734" t="e">
            <v>#N/A</v>
          </cell>
        </row>
        <row r="735">
          <cell r="B735" t="str">
            <v>National Yang-Ming University</v>
          </cell>
          <cell r="C735" t="str">
            <v>Taiwan</v>
          </cell>
          <cell r="D735">
            <v>5</v>
          </cell>
          <cell r="E735">
            <v>355</v>
          </cell>
          <cell r="F735">
            <v>478</v>
          </cell>
          <cell r="G735">
            <v>210</v>
          </cell>
          <cell r="H735">
            <v>355</v>
          </cell>
          <cell r="I735">
            <v>502</v>
          </cell>
          <cell r="J735">
            <v>406</v>
          </cell>
          <cell r="K735">
            <v>452</v>
          </cell>
          <cell r="L735">
            <v>737</v>
          </cell>
          <cell r="M735">
            <v>45.01</v>
          </cell>
          <cell r="N735">
            <v>2014</v>
          </cell>
          <cell r="O735">
            <v>534</v>
          </cell>
          <cell r="P735">
            <v>41.5</v>
          </cell>
        </row>
        <row r="736">
          <cell r="B736" t="str">
            <v>Indian Institute of Technology Bombay</v>
          </cell>
          <cell r="C736" t="str">
            <v>India</v>
          </cell>
          <cell r="D736">
            <v>4</v>
          </cell>
          <cell r="E736">
            <v>355</v>
          </cell>
          <cell r="F736">
            <v>478</v>
          </cell>
          <cell r="G736">
            <v>210</v>
          </cell>
          <cell r="H736">
            <v>522</v>
          </cell>
          <cell r="I736">
            <v>785</v>
          </cell>
          <cell r="J736">
            <v>609</v>
          </cell>
          <cell r="K736">
            <v>724</v>
          </cell>
          <cell r="L736">
            <v>121</v>
          </cell>
          <cell r="M736">
            <v>45</v>
          </cell>
          <cell r="N736">
            <v>2014</v>
          </cell>
          <cell r="O736">
            <v>535</v>
          </cell>
          <cell r="P736">
            <v>43.8</v>
          </cell>
        </row>
        <row r="737">
          <cell r="B737" t="str">
            <v>University of Bayreuth</v>
          </cell>
          <cell r="C737" t="str">
            <v>Germany</v>
          </cell>
          <cell r="D737">
            <v>43</v>
          </cell>
          <cell r="E737">
            <v>355</v>
          </cell>
          <cell r="F737">
            <v>478</v>
          </cell>
          <cell r="G737">
            <v>210</v>
          </cell>
          <cell r="H737">
            <v>442</v>
          </cell>
          <cell r="I737">
            <v>293</v>
          </cell>
          <cell r="J737">
            <v>310</v>
          </cell>
          <cell r="K737">
            <v>452</v>
          </cell>
          <cell r="L737">
            <v>552</v>
          </cell>
          <cell r="M737">
            <v>44.99</v>
          </cell>
          <cell r="N737">
            <v>2014</v>
          </cell>
          <cell r="O737">
            <v>536</v>
          </cell>
          <cell r="P737" t="e">
            <v>#N/A</v>
          </cell>
        </row>
        <row r="738">
          <cell r="B738" t="str">
            <v>University of Wisconsinâ€“Milwaukee</v>
          </cell>
          <cell r="C738" t="str">
            <v>USA</v>
          </cell>
          <cell r="D738">
            <v>168</v>
          </cell>
          <cell r="E738">
            <v>218</v>
          </cell>
          <cell r="F738">
            <v>273</v>
          </cell>
          <cell r="G738">
            <v>210</v>
          </cell>
          <cell r="H738">
            <v>537</v>
          </cell>
          <cell r="I738">
            <v>491</v>
          </cell>
          <cell r="J738">
            <v>406</v>
          </cell>
          <cell r="K738">
            <v>536</v>
          </cell>
          <cell r="L738">
            <v>737</v>
          </cell>
          <cell r="M738">
            <v>44.99</v>
          </cell>
          <cell r="N738">
            <v>2014</v>
          </cell>
          <cell r="O738">
            <v>537</v>
          </cell>
          <cell r="P738" t="e">
            <v>#N/A</v>
          </cell>
        </row>
        <row r="739">
          <cell r="B739" t="str">
            <v>University of Dayton</v>
          </cell>
          <cell r="C739" t="str">
            <v>USA</v>
          </cell>
          <cell r="D739">
            <v>169</v>
          </cell>
          <cell r="E739">
            <v>335</v>
          </cell>
          <cell r="F739">
            <v>140</v>
          </cell>
          <cell r="G739">
            <v>210</v>
          </cell>
          <cell r="H739">
            <v>991</v>
          </cell>
          <cell r="I739">
            <v>796</v>
          </cell>
          <cell r="J739">
            <v>609</v>
          </cell>
          <cell r="K739">
            <v>783</v>
          </cell>
          <cell r="L739">
            <v>552</v>
          </cell>
          <cell r="M739">
            <v>44.99</v>
          </cell>
          <cell r="N739">
            <v>2014</v>
          </cell>
          <cell r="O739">
            <v>538</v>
          </cell>
          <cell r="P739" t="e">
            <v>#N/A</v>
          </cell>
        </row>
        <row r="740">
          <cell r="B740" t="str">
            <v>Nihon University</v>
          </cell>
          <cell r="C740" t="str">
            <v>Japan</v>
          </cell>
          <cell r="D740">
            <v>30</v>
          </cell>
          <cell r="E740">
            <v>307</v>
          </cell>
          <cell r="F740">
            <v>474</v>
          </cell>
          <cell r="G740">
            <v>210</v>
          </cell>
          <cell r="H740">
            <v>573</v>
          </cell>
          <cell r="I740">
            <v>611</v>
          </cell>
          <cell r="J740">
            <v>800</v>
          </cell>
          <cell r="K740">
            <v>642</v>
          </cell>
          <cell r="L740">
            <v>149</v>
          </cell>
          <cell r="M740">
            <v>44.98</v>
          </cell>
          <cell r="N740">
            <v>2014</v>
          </cell>
          <cell r="O740">
            <v>539</v>
          </cell>
          <cell r="P740" t="e">
            <v>#N/A</v>
          </cell>
        </row>
        <row r="741">
          <cell r="B741" t="str">
            <v>Montana State University - Bozeman</v>
          </cell>
          <cell r="C741" t="str">
            <v>USA</v>
          </cell>
          <cell r="D741">
            <v>170</v>
          </cell>
          <cell r="E741">
            <v>355</v>
          </cell>
          <cell r="F741">
            <v>344</v>
          </cell>
          <cell r="G741">
            <v>210</v>
          </cell>
          <cell r="H741">
            <v>557</v>
          </cell>
          <cell r="I741">
            <v>354</v>
          </cell>
          <cell r="J741">
            <v>363</v>
          </cell>
          <cell r="K741">
            <v>472</v>
          </cell>
          <cell r="L741">
            <v>637</v>
          </cell>
          <cell r="M741">
            <v>44.98</v>
          </cell>
          <cell r="N741">
            <v>2014</v>
          </cell>
          <cell r="O741">
            <v>540</v>
          </cell>
          <cell r="P741" t="e">
            <v>#N/A</v>
          </cell>
        </row>
        <row r="742">
          <cell r="B742" t="str">
            <v>Royal Holloway, University of London</v>
          </cell>
          <cell r="C742" t="str">
            <v>United Kingdom</v>
          </cell>
          <cell r="D742">
            <v>42</v>
          </cell>
          <cell r="E742">
            <v>355</v>
          </cell>
          <cell r="F742">
            <v>478</v>
          </cell>
          <cell r="G742">
            <v>210</v>
          </cell>
          <cell r="H742">
            <v>560</v>
          </cell>
          <cell r="I742">
            <v>317</v>
          </cell>
          <cell r="J742">
            <v>406</v>
          </cell>
          <cell r="K742">
            <v>442</v>
          </cell>
          <cell r="L742">
            <v>373</v>
          </cell>
          <cell r="M742">
            <v>44.98</v>
          </cell>
          <cell r="N742">
            <v>2014</v>
          </cell>
          <cell r="O742">
            <v>541</v>
          </cell>
          <cell r="P742">
            <v>37.700000000000003</v>
          </cell>
        </row>
        <row r="743">
          <cell r="B743" t="str">
            <v>Tokyo Women's Medical University</v>
          </cell>
          <cell r="C743" t="str">
            <v>Japan</v>
          </cell>
          <cell r="D743">
            <v>31</v>
          </cell>
          <cell r="E743">
            <v>355</v>
          </cell>
          <cell r="F743">
            <v>478</v>
          </cell>
          <cell r="G743">
            <v>210</v>
          </cell>
          <cell r="H743">
            <v>763</v>
          </cell>
          <cell r="I743">
            <v>609</v>
          </cell>
          <cell r="J743">
            <v>493</v>
          </cell>
          <cell r="K743">
            <v>460</v>
          </cell>
          <cell r="L743">
            <v>259</v>
          </cell>
          <cell r="M743">
            <v>44.98</v>
          </cell>
          <cell r="N743">
            <v>2014</v>
          </cell>
          <cell r="O743">
            <v>542</v>
          </cell>
          <cell r="P743" t="e">
            <v>#N/A</v>
          </cell>
        </row>
        <row r="744">
          <cell r="B744" t="str">
            <v>Panjab University</v>
          </cell>
          <cell r="C744" t="str">
            <v>India</v>
          </cell>
          <cell r="D744">
            <v>5</v>
          </cell>
          <cell r="E744">
            <v>332</v>
          </cell>
          <cell r="F744">
            <v>212</v>
          </cell>
          <cell r="G744">
            <v>210</v>
          </cell>
          <cell r="H744">
            <v>708</v>
          </cell>
          <cell r="I744">
            <v>722</v>
          </cell>
          <cell r="J744">
            <v>363</v>
          </cell>
          <cell r="K744">
            <v>569</v>
          </cell>
          <cell r="L744">
            <v>737</v>
          </cell>
          <cell r="M744">
            <v>44.97</v>
          </cell>
          <cell r="N744">
            <v>2014</v>
          </cell>
          <cell r="O744">
            <v>543</v>
          </cell>
          <cell r="P744">
            <v>25.8</v>
          </cell>
        </row>
        <row r="745">
          <cell r="B745" t="str">
            <v>Tampere University of Technology</v>
          </cell>
          <cell r="C745" t="str">
            <v>Finland</v>
          </cell>
          <cell r="D745">
            <v>7</v>
          </cell>
          <cell r="E745">
            <v>355</v>
          </cell>
          <cell r="F745">
            <v>136</v>
          </cell>
          <cell r="G745">
            <v>210</v>
          </cell>
          <cell r="H745">
            <v>819</v>
          </cell>
          <cell r="I745">
            <v>670</v>
          </cell>
          <cell r="J745">
            <v>800</v>
          </cell>
          <cell r="K745">
            <v>819</v>
          </cell>
          <cell r="L745">
            <v>737</v>
          </cell>
          <cell r="M745">
            <v>44.97</v>
          </cell>
          <cell r="N745">
            <v>2014</v>
          </cell>
          <cell r="O745">
            <v>544</v>
          </cell>
          <cell r="P745">
            <v>23.1</v>
          </cell>
        </row>
        <row r="746">
          <cell r="B746" t="str">
            <v>University of Coimbra</v>
          </cell>
          <cell r="C746" t="str">
            <v>Portugal</v>
          </cell>
          <cell r="D746">
            <v>3</v>
          </cell>
          <cell r="E746">
            <v>348</v>
          </cell>
          <cell r="F746">
            <v>478</v>
          </cell>
          <cell r="G746">
            <v>210</v>
          </cell>
          <cell r="H746">
            <v>420</v>
          </cell>
          <cell r="I746">
            <v>415</v>
          </cell>
          <cell r="J746">
            <v>609</v>
          </cell>
          <cell r="K746">
            <v>452</v>
          </cell>
          <cell r="L746">
            <v>481</v>
          </cell>
          <cell r="M746">
            <v>44.97</v>
          </cell>
          <cell r="N746">
            <v>2014</v>
          </cell>
          <cell r="O746">
            <v>545</v>
          </cell>
          <cell r="P746">
            <v>20.6</v>
          </cell>
        </row>
        <row r="747">
          <cell r="B747" t="str">
            <v>University of Newcastle</v>
          </cell>
          <cell r="C747" t="str">
            <v>Australia</v>
          </cell>
          <cell r="D747">
            <v>12</v>
          </cell>
          <cell r="E747">
            <v>355</v>
          </cell>
          <cell r="F747">
            <v>478</v>
          </cell>
          <cell r="G747">
            <v>210</v>
          </cell>
          <cell r="H747">
            <v>434</v>
          </cell>
          <cell r="I747">
            <v>475</v>
          </cell>
          <cell r="J747">
            <v>609</v>
          </cell>
          <cell r="K747">
            <v>442</v>
          </cell>
          <cell r="L747">
            <v>637</v>
          </cell>
          <cell r="M747">
            <v>44.97</v>
          </cell>
          <cell r="N747">
            <v>2014</v>
          </cell>
          <cell r="O747">
            <v>546</v>
          </cell>
          <cell r="P747">
            <v>18.2</v>
          </cell>
        </row>
        <row r="748">
          <cell r="B748" t="str">
            <v>Nara Institute of Science and Technology</v>
          </cell>
          <cell r="C748" t="str">
            <v>Japan</v>
          </cell>
          <cell r="D748">
            <v>32</v>
          </cell>
          <cell r="E748">
            <v>355</v>
          </cell>
          <cell r="F748">
            <v>478</v>
          </cell>
          <cell r="G748">
            <v>210</v>
          </cell>
          <cell r="H748">
            <v>715</v>
          </cell>
          <cell r="I748">
            <v>304</v>
          </cell>
          <cell r="J748">
            <v>493</v>
          </cell>
          <cell r="K748">
            <v>437</v>
          </cell>
          <cell r="L748">
            <v>426</v>
          </cell>
          <cell r="M748">
            <v>44.96</v>
          </cell>
          <cell r="N748">
            <v>2014</v>
          </cell>
          <cell r="O748">
            <v>547</v>
          </cell>
          <cell r="P748" t="e">
            <v>#N/A</v>
          </cell>
        </row>
        <row r="749">
          <cell r="B749" t="str">
            <v>Auburn University</v>
          </cell>
          <cell r="C749" t="str">
            <v>USA</v>
          </cell>
          <cell r="D749">
            <v>171</v>
          </cell>
          <cell r="E749">
            <v>355</v>
          </cell>
          <cell r="F749">
            <v>261</v>
          </cell>
          <cell r="G749">
            <v>210</v>
          </cell>
          <cell r="H749">
            <v>463</v>
          </cell>
          <cell r="I749">
            <v>585</v>
          </cell>
          <cell r="J749">
            <v>310</v>
          </cell>
          <cell r="K749">
            <v>585</v>
          </cell>
          <cell r="L749">
            <v>373</v>
          </cell>
          <cell r="M749">
            <v>44.96</v>
          </cell>
          <cell r="N749">
            <v>2014</v>
          </cell>
          <cell r="O749">
            <v>548</v>
          </cell>
          <cell r="P749">
            <v>33.700000000000003</v>
          </cell>
        </row>
        <row r="750">
          <cell r="B750" t="str">
            <v>University of Bremen</v>
          </cell>
          <cell r="C750" t="str">
            <v>Germany</v>
          </cell>
          <cell r="D750">
            <v>44</v>
          </cell>
          <cell r="E750">
            <v>355</v>
          </cell>
          <cell r="F750">
            <v>478</v>
          </cell>
          <cell r="G750">
            <v>210</v>
          </cell>
          <cell r="H750">
            <v>439</v>
          </cell>
          <cell r="I750">
            <v>296</v>
          </cell>
          <cell r="J750">
            <v>363</v>
          </cell>
          <cell r="K750">
            <v>460</v>
          </cell>
          <cell r="L750">
            <v>552</v>
          </cell>
          <cell r="M750">
            <v>44.96</v>
          </cell>
          <cell r="N750">
            <v>2014</v>
          </cell>
          <cell r="O750">
            <v>549</v>
          </cell>
          <cell r="P750">
            <v>33.9</v>
          </cell>
        </row>
        <row r="751">
          <cell r="B751" t="str">
            <v>Mahidol University</v>
          </cell>
          <cell r="C751" t="str">
            <v>Thailand</v>
          </cell>
          <cell r="D751">
            <v>2</v>
          </cell>
          <cell r="E751">
            <v>355</v>
          </cell>
          <cell r="F751">
            <v>478</v>
          </cell>
          <cell r="G751">
            <v>210</v>
          </cell>
          <cell r="H751">
            <v>479</v>
          </cell>
          <cell r="I751">
            <v>366</v>
          </cell>
          <cell r="J751">
            <v>406</v>
          </cell>
          <cell r="K751">
            <v>442</v>
          </cell>
          <cell r="L751">
            <v>737</v>
          </cell>
          <cell r="M751">
            <v>44.96</v>
          </cell>
          <cell r="N751">
            <v>2014</v>
          </cell>
          <cell r="O751">
            <v>550</v>
          </cell>
          <cell r="P751">
            <v>29.9</v>
          </cell>
        </row>
        <row r="752">
          <cell r="B752" t="str">
            <v>University of Crete</v>
          </cell>
          <cell r="C752" t="str">
            <v>Greece</v>
          </cell>
          <cell r="D752">
            <v>3</v>
          </cell>
          <cell r="E752">
            <v>355</v>
          </cell>
          <cell r="F752">
            <v>478</v>
          </cell>
          <cell r="G752">
            <v>210</v>
          </cell>
          <cell r="H752">
            <v>481</v>
          </cell>
          <cell r="I752">
            <v>497</v>
          </cell>
          <cell r="J752">
            <v>406</v>
          </cell>
          <cell r="K752">
            <v>442</v>
          </cell>
          <cell r="L752">
            <v>737</v>
          </cell>
          <cell r="M752">
            <v>44.96</v>
          </cell>
          <cell r="N752">
            <v>2014</v>
          </cell>
          <cell r="O752">
            <v>551</v>
          </cell>
          <cell r="P752">
            <v>13.1</v>
          </cell>
        </row>
        <row r="753">
          <cell r="B753" t="str">
            <v>Bangor University</v>
          </cell>
          <cell r="C753" t="str">
            <v>United Kingdom</v>
          </cell>
          <cell r="D753">
            <v>43</v>
          </cell>
          <cell r="E753">
            <v>246</v>
          </cell>
          <cell r="F753">
            <v>360</v>
          </cell>
          <cell r="G753">
            <v>210</v>
          </cell>
          <cell r="H753">
            <v>624</v>
          </cell>
          <cell r="I753">
            <v>526</v>
          </cell>
          <cell r="J753">
            <v>609</v>
          </cell>
          <cell r="K753">
            <v>504</v>
          </cell>
          <cell r="L753">
            <v>373</v>
          </cell>
          <cell r="M753">
            <v>44.95</v>
          </cell>
          <cell r="N753">
            <v>2014</v>
          </cell>
          <cell r="O753">
            <v>552</v>
          </cell>
          <cell r="P753">
            <v>24.9</v>
          </cell>
        </row>
        <row r="754">
          <cell r="B754" t="str">
            <v>University of Aveiro</v>
          </cell>
          <cell r="C754" t="str">
            <v>Portugal</v>
          </cell>
          <cell r="D754">
            <v>4</v>
          </cell>
          <cell r="E754">
            <v>355</v>
          </cell>
          <cell r="F754">
            <v>478</v>
          </cell>
          <cell r="G754">
            <v>210</v>
          </cell>
          <cell r="H754">
            <v>419</v>
          </cell>
          <cell r="I754">
            <v>659</v>
          </cell>
          <cell r="J754">
            <v>609</v>
          </cell>
          <cell r="K754">
            <v>605</v>
          </cell>
          <cell r="L754">
            <v>170</v>
          </cell>
          <cell r="M754">
            <v>44.95</v>
          </cell>
          <cell r="N754">
            <v>2014</v>
          </cell>
          <cell r="O754">
            <v>553</v>
          </cell>
          <cell r="P754">
            <v>17</v>
          </cell>
        </row>
        <row r="755">
          <cell r="B755" t="str">
            <v>University of Palermo</v>
          </cell>
          <cell r="C755" t="str">
            <v>Italy</v>
          </cell>
          <cell r="D755">
            <v>27</v>
          </cell>
          <cell r="E755">
            <v>355</v>
          </cell>
          <cell r="F755">
            <v>478</v>
          </cell>
          <cell r="G755">
            <v>210</v>
          </cell>
          <cell r="H755">
            <v>447</v>
          </cell>
          <cell r="I755">
            <v>590</v>
          </cell>
          <cell r="J755">
            <v>800</v>
          </cell>
          <cell r="K755">
            <v>452</v>
          </cell>
          <cell r="L755">
            <v>552</v>
          </cell>
          <cell r="M755">
            <v>44.94</v>
          </cell>
          <cell r="N755">
            <v>2014</v>
          </cell>
          <cell r="O755">
            <v>554</v>
          </cell>
          <cell r="P755">
            <v>15.3</v>
          </cell>
        </row>
        <row r="756">
          <cell r="B756" t="str">
            <v>Nagoya City University</v>
          </cell>
          <cell r="C756" t="str">
            <v>Japan</v>
          </cell>
          <cell r="D756">
            <v>33</v>
          </cell>
          <cell r="E756">
            <v>355</v>
          </cell>
          <cell r="F756">
            <v>306</v>
          </cell>
          <cell r="G756">
            <v>210</v>
          </cell>
          <cell r="H756">
            <v>764</v>
          </cell>
          <cell r="I756">
            <v>531</v>
          </cell>
          <cell r="J756">
            <v>310</v>
          </cell>
          <cell r="K756">
            <v>531</v>
          </cell>
          <cell r="L756">
            <v>307</v>
          </cell>
          <cell r="M756">
            <v>44.94</v>
          </cell>
          <cell r="N756">
            <v>2014</v>
          </cell>
          <cell r="O756">
            <v>555</v>
          </cell>
          <cell r="P756" t="e">
            <v>#N/A</v>
          </cell>
        </row>
        <row r="757">
          <cell r="B757" t="str">
            <v>University of Tartu</v>
          </cell>
          <cell r="C757" t="str">
            <v>Estonia</v>
          </cell>
          <cell r="D757">
            <v>1</v>
          </cell>
          <cell r="E757">
            <v>353</v>
          </cell>
          <cell r="F757">
            <v>478</v>
          </cell>
          <cell r="G757">
            <v>210</v>
          </cell>
          <cell r="H757">
            <v>600</v>
          </cell>
          <cell r="I757">
            <v>388</v>
          </cell>
          <cell r="J757">
            <v>406</v>
          </cell>
          <cell r="K757">
            <v>496</v>
          </cell>
          <cell r="L757">
            <v>259</v>
          </cell>
          <cell r="M757">
            <v>44.94</v>
          </cell>
          <cell r="N757">
            <v>2014</v>
          </cell>
          <cell r="O757">
            <v>556</v>
          </cell>
          <cell r="P757">
            <v>17.8</v>
          </cell>
        </row>
        <row r="758">
          <cell r="B758" t="str">
            <v>University of Savoy</v>
          </cell>
          <cell r="C758" t="str">
            <v>France</v>
          </cell>
          <cell r="D758">
            <v>24</v>
          </cell>
          <cell r="E758">
            <v>355</v>
          </cell>
          <cell r="F758">
            <v>478</v>
          </cell>
          <cell r="G758">
            <v>210</v>
          </cell>
          <cell r="H758">
            <v>505</v>
          </cell>
          <cell r="I758">
            <v>453</v>
          </cell>
          <cell r="J758">
            <v>406</v>
          </cell>
          <cell r="K758">
            <v>452</v>
          </cell>
          <cell r="L758">
            <v>552</v>
          </cell>
          <cell r="M758">
            <v>44.94</v>
          </cell>
          <cell r="N758">
            <v>2014</v>
          </cell>
          <cell r="O758">
            <v>557</v>
          </cell>
          <cell r="P758" t="e">
            <v>#N/A</v>
          </cell>
        </row>
        <row r="759">
          <cell r="B759" t="str">
            <v>University of TromsÃ¸ - The Arctic University of Norway</v>
          </cell>
          <cell r="C759" t="str">
            <v>Norway</v>
          </cell>
          <cell r="D759">
            <v>4</v>
          </cell>
          <cell r="E759">
            <v>355</v>
          </cell>
          <cell r="F759">
            <v>478</v>
          </cell>
          <cell r="G759">
            <v>210</v>
          </cell>
          <cell r="H759">
            <v>493</v>
          </cell>
          <cell r="I759">
            <v>413</v>
          </cell>
          <cell r="J759">
            <v>310</v>
          </cell>
          <cell r="K759">
            <v>460</v>
          </cell>
          <cell r="L759">
            <v>737</v>
          </cell>
          <cell r="M759">
            <v>44.94</v>
          </cell>
          <cell r="N759">
            <v>2014</v>
          </cell>
          <cell r="O759">
            <v>558</v>
          </cell>
          <cell r="P759" t="e">
            <v>#N/A</v>
          </cell>
        </row>
        <row r="760">
          <cell r="B760" t="str">
            <v>University of Missouriâ€“Kansas City</v>
          </cell>
          <cell r="C760" t="str">
            <v>USA</v>
          </cell>
          <cell r="D760">
            <v>172</v>
          </cell>
          <cell r="E760">
            <v>286</v>
          </cell>
          <cell r="F760">
            <v>357</v>
          </cell>
          <cell r="G760">
            <v>210</v>
          </cell>
          <cell r="H760">
            <v>638</v>
          </cell>
          <cell r="I760">
            <v>430</v>
          </cell>
          <cell r="J760">
            <v>800</v>
          </cell>
          <cell r="K760">
            <v>488</v>
          </cell>
          <cell r="L760">
            <v>552</v>
          </cell>
          <cell r="M760">
            <v>44.93</v>
          </cell>
          <cell r="N760">
            <v>2014</v>
          </cell>
          <cell r="O760">
            <v>559</v>
          </cell>
          <cell r="P760" t="e">
            <v>#N/A</v>
          </cell>
        </row>
        <row r="761">
          <cell r="B761" t="str">
            <v>Beihang University</v>
          </cell>
          <cell r="C761" t="str">
            <v>China</v>
          </cell>
          <cell r="D761">
            <v>26</v>
          </cell>
          <cell r="E761">
            <v>355</v>
          </cell>
          <cell r="F761">
            <v>254</v>
          </cell>
          <cell r="G761">
            <v>210</v>
          </cell>
          <cell r="H761">
            <v>523</v>
          </cell>
          <cell r="I761">
            <v>881</v>
          </cell>
          <cell r="J761">
            <v>609</v>
          </cell>
          <cell r="K761">
            <v>800</v>
          </cell>
          <cell r="L761">
            <v>170</v>
          </cell>
          <cell r="M761">
            <v>44.93</v>
          </cell>
          <cell r="N761">
            <v>2014</v>
          </cell>
          <cell r="O761">
            <v>560</v>
          </cell>
          <cell r="P761" t="e">
            <v>#N/A</v>
          </cell>
        </row>
        <row r="762">
          <cell r="B762" t="str">
            <v>American University of Beirut</v>
          </cell>
          <cell r="C762" t="str">
            <v>Lebanon</v>
          </cell>
          <cell r="D762">
            <v>1</v>
          </cell>
          <cell r="E762">
            <v>103</v>
          </cell>
          <cell r="F762">
            <v>205</v>
          </cell>
          <cell r="G762">
            <v>210</v>
          </cell>
          <cell r="H762">
            <v>892</v>
          </cell>
          <cell r="I762">
            <v>850</v>
          </cell>
          <cell r="J762">
            <v>800</v>
          </cell>
          <cell r="K762">
            <v>849</v>
          </cell>
          <cell r="L762">
            <v>737</v>
          </cell>
          <cell r="M762">
            <v>44.93</v>
          </cell>
          <cell r="N762">
            <v>2014</v>
          </cell>
          <cell r="O762">
            <v>561</v>
          </cell>
          <cell r="P762">
            <v>27.7</v>
          </cell>
        </row>
        <row r="763">
          <cell r="B763" t="str">
            <v>University of Nantes</v>
          </cell>
          <cell r="C763" t="str">
            <v>France</v>
          </cell>
          <cell r="D763">
            <v>25</v>
          </cell>
          <cell r="E763">
            <v>355</v>
          </cell>
          <cell r="F763">
            <v>478</v>
          </cell>
          <cell r="G763">
            <v>210</v>
          </cell>
          <cell r="H763">
            <v>492</v>
          </cell>
          <cell r="I763">
            <v>404</v>
          </cell>
          <cell r="J763">
            <v>310</v>
          </cell>
          <cell r="K763">
            <v>482</v>
          </cell>
          <cell r="L763">
            <v>426</v>
          </cell>
          <cell r="M763">
            <v>44.93</v>
          </cell>
          <cell r="N763">
            <v>2014</v>
          </cell>
          <cell r="O763">
            <v>562</v>
          </cell>
          <cell r="P763">
            <v>19.600000000000001</v>
          </cell>
        </row>
        <row r="764">
          <cell r="B764" t="str">
            <v>University of Essex</v>
          </cell>
          <cell r="C764" t="str">
            <v>United Kingdom</v>
          </cell>
          <cell r="D764">
            <v>44</v>
          </cell>
          <cell r="E764">
            <v>106</v>
          </cell>
          <cell r="F764">
            <v>335</v>
          </cell>
          <cell r="G764">
            <v>210</v>
          </cell>
          <cell r="H764">
            <v>710</v>
          </cell>
          <cell r="I764">
            <v>651</v>
          </cell>
          <cell r="J764">
            <v>406</v>
          </cell>
          <cell r="K764">
            <v>642</v>
          </cell>
          <cell r="L764">
            <v>737</v>
          </cell>
          <cell r="M764">
            <v>44.92</v>
          </cell>
          <cell r="N764">
            <v>2014</v>
          </cell>
          <cell r="O764">
            <v>563</v>
          </cell>
          <cell r="P764">
            <v>31.7</v>
          </cell>
        </row>
        <row r="765">
          <cell r="B765" t="str">
            <v>University of Zagreb</v>
          </cell>
          <cell r="C765" t="str">
            <v>Croatia</v>
          </cell>
          <cell r="D765">
            <v>1</v>
          </cell>
          <cell r="E765">
            <v>355</v>
          </cell>
          <cell r="F765">
            <v>478</v>
          </cell>
          <cell r="G765">
            <v>210</v>
          </cell>
          <cell r="H765">
            <v>572</v>
          </cell>
          <cell r="I765">
            <v>528</v>
          </cell>
          <cell r="J765">
            <v>406</v>
          </cell>
          <cell r="K765">
            <v>460</v>
          </cell>
          <cell r="L765">
            <v>426</v>
          </cell>
          <cell r="M765">
            <v>44.92</v>
          </cell>
          <cell r="N765">
            <v>2014</v>
          </cell>
          <cell r="O765">
            <v>564</v>
          </cell>
          <cell r="P765" t="e">
            <v>#N/A</v>
          </cell>
        </row>
        <row r="766">
          <cell r="B766" t="str">
            <v>National Central University</v>
          </cell>
          <cell r="C766" t="str">
            <v>Taiwan</v>
          </cell>
          <cell r="D766">
            <v>6</v>
          </cell>
          <cell r="E766">
            <v>204</v>
          </cell>
          <cell r="F766">
            <v>478</v>
          </cell>
          <cell r="G766">
            <v>210</v>
          </cell>
          <cell r="H766">
            <v>369</v>
          </cell>
          <cell r="I766">
            <v>438</v>
          </cell>
          <cell r="J766">
            <v>609</v>
          </cell>
          <cell r="K766">
            <v>523</v>
          </cell>
          <cell r="L766">
            <v>637</v>
          </cell>
          <cell r="M766">
            <v>44.92</v>
          </cell>
          <cell r="N766">
            <v>2014</v>
          </cell>
          <cell r="O766">
            <v>565</v>
          </cell>
          <cell r="P766">
            <v>24.7</v>
          </cell>
        </row>
        <row r="767">
          <cell r="B767" t="str">
            <v>University Lille 1: Sciences and Technologies</v>
          </cell>
          <cell r="C767" t="str">
            <v>France</v>
          </cell>
          <cell r="D767">
            <v>26</v>
          </cell>
          <cell r="E767">
            <v>355</v>
          </cell>
          <cell r="F767">
            <v>478</v>
          </cell>
          <cell r="G767">
            <v>210</v>
          </cell>
          <cell r="H767">
            <v>394</v>
          </cell>
          <cell r="I767">
            <v>408</v>
          </cell>
          <cell r="J767">
            <v>363</v>
          </cell>
          <cell r="K767">
            <v>496</v>
          </cell>
          <cell r="L767">
            <v>481</v>
          </cell>
          <cell r="M767">
            <v>44.92</v>
          </cell>
          <cell r="N767">
            <v>2014</v>
          </cell>
          <cell r="O767">
            <v>566</v>
          </cell>
          <cell r="P767" t="e">
            <v>#N/A</v>
          </cell>
        </row>
        <row r="768">
          <cell r="B768" t="str">
            <v>University of Catania</v>
          </cell>
          <cell r="C768" t="str">
            <v>Italy</v>
          </cell>
          <cell r="D768">
            <v>28</v>
          </cell>
          <cell r="E768">
            <v>355</v>
          </cell>
          <cell r="F768">
            <v>478</v>
          </cell>
          <cell r="G768">
            <v>210</v>
          </cell>
          <cell r="H768">
            <v>436</v>
          </cell>
          <cell r="I768">
            <v>750</v>
          </cell>
          <cell r="J768">
            <v>493</v>
          </cell>
          <cell r="K768">
            <v>472</v>
          </cell>
          <cell r="L768">
            <v>737</v>
          </cell>
          <cell r="M768">
            <v>44.91</v>
          </cell>
          <cell r="N768">
            <v>2014</v>
          </cell>
          <cell r="O768">
            <v>567</v>
          </cell>
          <cell r="P768">
            <v>19.2</v>
          </cell>
        </row>
        <row r="769">
          <cell r="B769" t="str">
            <v>National Polytechnic Institute of Toulouse</v>
          </cell>
          <cell r="C769" t="str">
            <v>France</v>
          </cell>
          <cell r="D769">
            <v>27</v>
          </cell>
          <cell r="E769">
            <v>355</v>
          </cell>
          <cell r="F769">
            <v>201</v>
          </cell>
          <cell r="G769">
            <v>210</v>
          </cell>
          <cell r="H769">
            <v>499</v>
          </cell>
          <cell r="I769">
            <v>705</v>
          </cell>
          <cell r="J769">
            <v>800</v>
          </cell>
          <cell r="K769">
            <v>663</v>
          </cell>
          <cell r="L769">
            <v>737</v>
          </cell>
          <cell r="M769">
            <v>44.91</v>
          </cell>
          <cell r="N769">
            <v>2014</v>
          </cell>
          <cell r="O769">
            <v>568</v>
          </cell>
          <cell r="P769" t="e">
            <v>#N/A</v>
          </cell>
        </row>
        <row r="770">
          <cell r="B770" t="str">
            <v>Indian Institute of Technology Kanpur</v>
          </cell>
          <cell r="C770" t="str">
            <v>India</v>
          </cell>
          <cell r="D770">
            <v>6</v>
          </cell>
          <cell r="E770">
            <v>153</v>
          </cell>
          <cell r="F770">
            <v>308</v>
          </cell>
          <cell r="G770">
            <v>210</v>
          </cell>
          <cell r="H770">
            <v>536</v>
          </cell>
          <cell r="I770">
            <v>846</v>
          </cell>
          <cell r="J770">
            <v>609</v>
          </cell>
          <cell r="K770">
            <v>724</v>
          </cell>
          <cell r="L770">
            <v>227</v>
          </cell>
          <cell r="M770">
            <v>44.91</v>
          </cell>
          <cell r="N770">
            <v>2014</v>
          </cell>
          <cell r="O770">
            <v>569</v>
          </cell>
          <cell r="P770">
            <v>31.3</v>
          </cell>
        </row>
        <row r="771">
          <cell r="B771" t="str">
            <v>Kagoshima University</v>
          </cell>
          <cell r="C771" t="str">
            <v>Japan</v>
          </cell>
          <cell r="D771">
            <v>34</v>
          </cell>
          <cell r="E771">
            <v>355</v>
          </cell>
          <cell r="F771">
            <v>211</v>
          </cell>
          <cell r="G771">
            <v>210</v>
          </cell>
          <cell r="H771">
            <v>694</v>
          </cell>
          <cell r="I771">
            <v>648</v>
          </cell>
          <cell r="J771">
            <v>493</v>
          </cell>
          <cell r="K771">
            <v>642</v>
          </cell>
          <cell r="L771">
            <v>373</v>
          </cell>
          <cell r="M771">
            <v>44.9</v>
          </cell>
          <cell r="N771">
            <v>2014</v>
          </cell>
          <cell r="O771">
            <v>570</v>
          </cell>
          <cell r="P771" t="e">
            <v>#N/A</v>
          </cell>
        </row>
        <row r="772">
          <cell r="B772" t="str">
            <v>Lanzhou University</v>
          </cell>
          <cell r="C772" t="str">
            <v>China</v>
          </cell>
          <cell r="D772">
            <v>27</v>
          </cell>
          <cell r="E772">
            <v>355</v>
          </cell>
          <cell r="F772">
            <v>478</v>
          </cell>
          <cell r="G772">
            <v>210</v>
          </cell>
          <cell r="H772">
            <v>389</v>
          </cell>
          <cell r="I772">
            <v>667</v>
          </cell>
          <cell r="J772">
            <v>493</v>
          </cell>
          <cell r="K772">
            <v>496</v>
          </cell>
          <cell r="L772">
            <v>481</v>
          </cell>
          <cell r="M772">
            <v>44.9</v>
          </cell>
          <cell r="N772">
            <v>2014</v>
          </cell>
          <cell r="O772">
            <v>571</v>
          </cell>
          <cell r="P772" t="e">
            <v>#N/A</v>
          </cell>
        </row>
        <row r="773">
          <cell r="B773" t="str">
            <v>James Cook University</v>
          </cell>
          <cell r="C773" t="str">
            <v>Australia</v>
          </cell>
          <cell r="D773">
            <v>13</v>
          </cell>
          <cell r="E773">
            <v>355</v>
          </cell>
          <cell r="F773">
            <v>478</v>
          </cell>
          <cell r="G773">
            <v>210</v>
          </cell>
          <cell r="H773">
            <v>510</v>
          </cell>
          <cell r="I773">
            <v>238</v>
          </cell>
          <cell r="J773">
            <v>363</v>
          </cell>
          <cell r="K773">
            <v>488</v>
          </cell>
          <cell r="L773">
            <v>552</v>
          </cell>
          <cell r="M773">
            <v>44.9</v>
          </cell>
          <cell r="N773">
            <v>2014</v>
          </cell>
          <cell r="O773">
            <v>572</v>
          </cell>
          <cell r="P773">
            <v>19</v>
          </cell>
        </row>
        <row r="774">
          <cell r="B774" t="str">
            <v>Shizuoka University</v>
          </cell>
          <cell r="C774" t="str">
            <v>Japan</v>
          </cell>
          <cell r="D774">
            <v>35</v>
          </cell>
          <cell r="E774">
            <v>355</v>
          </cell>
          <cell r="F774">
            <v>478</v>
          </cell>
          <cell r="G774">
            <v>210</v>
          </cell>
          <cell r="H774">
            <v>586</v>
          </cell>
          <cell r="I774">
            <v>589</v>
          </cell>
          <cell r="J774">
            <v>406</v>
          </cell>
          <cell r="K774">
            <v>703</v>
          </cell>
          <cell r="L774">
            <v>149</v>
          </cell>
          <cell r="M774">
            <v>44.89</v>
          </cell>
          <cell r="N774">
            <v>2014</v>
          </cell>
          <cell r="O774">
            <v>573</v>
          </cell>
          <cell r="P774" t="e">
            <v>#N/A</v>
          </cell>
        </row>
        <row r="775">
          <cell r="B775" t="str">
            <v>Indian Institute of Technology Kharagpur</v>
          </cell>
          <cell r="C775" t="str">
            <v>India</v>
          </cell>
          <cell r="D775">
            <v>7</v>
          </cell>
          <cell r="E775">
            <v>355</v>
          </cell>
          <cell r="F775">
            <v>201</v>
          </cell>
          <cell r="G775">
            <v>210</v>
          </cell>
          <cell r="H775">
            <v>501</v>
          </cell>
          <cell r="I775">
            <v>966</v>
          </cell>
          <cell r="J775">
            <v>800</v>
          </cell>
          <cell r="K775">
            <v>703</v>
          </cell>
          <cell r="L775">
            <v>426</v>
          </cell>
          <cell r="M775">
            <v>44.89</v>
          </cell>
          <cell r="N775">
            <v>2014</v>
          </cell>
          <cell r="O775">
            <v>574</v>
          </cell>
          <cell r="P775">
            <v>44.2</v>
          </cell>
        </row>
        <row r="776">
          <cell r="B776" t="str">
            <v>Second University of Naples</v>
          </cell>
          <cell r="C776" t="str">
            <v>Italy</v>
          </cell>
          <cell r="D776">
            <v>29</v>
          </cell>
          <cell r="E776">
            <v>355</v>
          </cell>
          <cell r="F776">
            <v>478</v>
          </cell>
          <cell r="G776">
            <v>210</v>
          </cell>
          <cell r="H776">
            <v>544</v>
          </cell>
          <cell r="I776">
            <v>598</v>
          </cell>
          <cell r="J776">
            <v>609</v>
          </cell>
          <cell r="K776">
            <v>460</v>
          </cell>
          <cell r="L776">
            <v>737</v>
          </cell>
          <cell r="M776">
            <v>44.89</v>
          </cell>
          <cell r="N776">
            <v>2014</v>
          </cell>
          <cell r="O776">
            <v>575</v>
          </cell>
          <cell r="P776" t="e">
            <v>#N/A</v>
          </cell>
        </row>
        <row r="777">
          <cell r="B777" t="str">
            <v>Indian Institute of Technology Madras</v>
          </cell>
          <cell r="C777" t="str">
            <v>India</v>
          </cell>
          <cell r="D777">
            <v>8</v>
          </cell>
          <cell r="E777">
            <v>355</v>
          </cell>
          <cell r="F777">
            <v>206</v>
          </cell>
          <cell r="G777">
            <v>210</v>
          </cell>
          <cell r="H777">
            <v>532</v>
          </cell>
          <cell r="I777">
            <v>928</v>
          </cell>
          <cell r="J777">
            <v>406</v>
          </cell>
          <cell r="K777">
            <v>756</v>
          </cell>
          <cell r="L777">
            <v>280</v>
          </cell>
          <cell r="M777">
            <v>44.89</v>
          </cell>
          <cell r="N777">
            <v>2014</v>
          </cell>
          <cell r="O777">
            <v>576</v>
          </cell>
          <cell r="P777">
            <v>34.6</v>
          </cell>
        </row>
        <row r="778">
          <cell r="B778" t="str">
            <v>Plymouth University</v>
          </cell>
          <cell r="C778" t="str">
            <v>United Kingdom</v>
          </cell>
          <cell r="D778">
            <v>45</v>
          </cell>
          <cell r="E778">
            <v>355</v>
          </cell>
          <cell r="F778">
            <v>437</v>
          </cell>
          <cell r="G778">
            <v>210</v>
          </cell>
          <cell r="H778">
            <v>534</v>
          </cell>
          <cell r="I778">
            <v>425</v>
          </cell>
          <cell r="J778">
            <v>493</v>
          </cell>
          <cell r="K778">
            <v>514</v>
          </cell>
          <cell r="L778">
            <v>426</v>
          </cell>
          <cell r="M778">
            <v>44.88</v>
          </cell>
          <cell r="N778">
            <v>2014</v>
          </cell>
          <cell r="O778">
            <v>577</v>
          </cell>
          <cell r="P778">
            <v>12.9</v>
          </cell>
        </row>
        <row r="779">
          <cell r="B779" t="str">
            <v>International School for Advanced Studies</v>
          </cell>
          <cell r="C779" t="str">
            <v>Italy</v>
          </cell>
          <cell r="D779">
            <v>30</v>
          </cell>
          <cell r="E779">
            <v>355</v>
          </cell>
          <cell r="F779">
            <v>478</v>
          </cell>
          <cell r="G779">
            <v>210</v>
          </cell>
          <cell r="H779">
            <v>595</v>
          </cell>
          <cell r="I779">
            <v>407</v>
          </cell>
          <cell r="J779">
            <v>609</v>
          </cell>
          <cell r="K779">
            <v>472</v>
          </cell>
          <cell r="L779">
            <v>737</v>
          </cell>
          <cell r="M779">
            <v>44.87</v>
          </cell>
          <cell r="N779">
            <v>2014</v>
          </cell>
          <cell r="O779">
            <v>578</v>
          </cell>
          <cell r="P779" t="e">
            <v>#N/A</v>
          </cell>
        </row>
        <row r="780">
          <cell r="B780" t="str">
            <v>Polytechnic University of Turin</v>
          </cell>
          <cell r="C780" t="str">
            <v>Italy</v>
          </cell>
          <cell r="D780">
            <v>31</v>
          </cell>
          <cell r="E780">
            <v>355</v>
          </cell>
          <cell r="F780">
            <v>478</v>
          </cell>
          <cell r="G780">
            <v>210</v>
          </cell>
          <cell r="H780">
            <v>464</v>
          </cell>
          <cell r="I780">
            <v>773</v>
          </cell>
          <cell r="J780">
            <v>800</v>
          </cell>
          <cell r="K780">
            <v>642</v>
          </cell>
          <cell r="L780">
            <v>181</v>
          </cell>
          <cell r="M780">
            <v>44.85</v>
          </cell>
          <cell r="N780">
            <v>2014</v>
          </cell>
          <cell r="O780">
            <v>579</v>
          </cell>
          <cell r="P780">
            <v>19.3</v>
          </cell>
        </row>
        <row r="781">
          <cell r="B781" t="str">
            <v>University of Oviedo</v>
          </cell>
          <cell r="C781" t="str">
            <v>Spain</v>
          </cell>
          <cell r="D781">
            <v>17</v>
          </cell>
          <cell r="E781">
            <v>355</v>
          </cell>
          <cell r="F781">
            <v>478</v>
          </cell>
          <cell r="G781">
            <v>210</v>
          </cell>
          <cell r="H781">
            <v>437</v>
          </cell>
          <cell r="I781">
            <v>465</v>
          </cell>
          <cell r="J781">
            <v>493</v>
          </cell>
          <cell r="K781">
            <v>514</v>
          </cell>
          <cell r="L781">
            <v>426</v>
          </cell>
          <cell r="M781">
            <v>44.85</v>
          </cell>
          <cell r="N781">
            <v>2014</v>
          </cell>
          <cell r="O781">
            <v>580</v>
          </cell>
          <cell r="P781">
            <v>19.5</v>
          </cell>
        </row>
        <row r="782">
          <cell r="B782" t="str">
            <v>Ehime University</v>
          </cell>
          <cell r="C782" t="str">
            <v>Japan</v>
          </cell>
          <cell r="D782">
            <v>36</v>
          </cell>
          <cell r="E782">
            <v>355</v>
          </cell>
          <cell r="F782">
            <v>324</v>
          </cell>
          <cell r="G782">
            <v>210</v>
          </cell>
          <cell r="H782">
            <v>585</v>
          </cell>
          <cell r="I782">
            <v>564</v>
          </cell>
          <cell r="J782">
            <v>493</v>
          </cell>
          <cell r="K782">
            <v>554</v>
          </cell>
          <cell r="L782">
            <v>338</v>
          </cell>
          <cell r="M782">
            <v>44.85</v>
          </cell>
          <cell r="N782">
            <v>2014</v>
          </cell>
          <cell r="O782">
            <v>581</v>
          </cell>
          <cell r="P782">
            <v>19.2</v>
          </cell>
        </row>
        <row r="783">
          <cell r="B783" t="str">
            <v>University of Ioannina</v>
          </cell>
          <cell r="C783" t="str">
            <v>Greece</v>
          </cell>
          <cell r="D783">
            <v>4</v>
          </cell>
          <cell r="E783">
            <v>355</v>
          </cell>
          <cell r="F783">
            <v>478</v>
          </cell>
          <cell r="G783">
            <v>210</v>
          </cell>
          <cell r="H783">
            <v>569</v>
          </cell>
          <cell r="I783">
            <v>828</v>
          </cell>
          <cell r="J783">
            <v>609</v>
          </cell>
          <cell r="K783">
            <v>482</v>
          </cell>
          <cell r="L783">
            <v>737</v>
          </cell>
          <cell r="M783">
            <v>44.85</v>
          </cell>
          <cell r="N783">
            <v>2014</v>
          </cell>
          <cell r="O783">
            <v>582</v>
          </cell>
          <cell r="P783">
            <v>14.5</v>
          </cell>
        </row>
        <row r="784">
          <cell r="B784" t="str">
            <v>University of Cagliari</v>
          </cell>
          <cell r="C784" t="str">
            <v>Italy</v>
          </cell>
          <cell r="D784">
            <v>32</v>
          </cell>
          <cell r="E784">
            <v>355</v>
          </cell>
          <cell r="F784">
            <v>478</v>
          </cell>
          <cell r="G784">
            <v>210</v>
          </cell>
          <cell r="H784">
            <v>514</v>
          </cell>
          <cell r="I784">
            <v>536</v>
          </cell>
          <cell r="J784">
            <v>800</v>
          </cell>
          <cell r="K784">
            <v>488</v>
          </cell>
          <cell r="L784">
            <v>552</v>
          </cell>
          <cell r="M784">
            <v>44.85</v>
          </cell>
          <cell r="N784">
            <v>2014</v>
          </cell>
          <cell r="O784">
            <v>583</v>
          </cell>
          <cell r="P784">
            <v>19.399999999999999</v>
          </cell>
        </row>
        <row r="785">
          <cell r="B785" t="str">
            <v>Tottori University</v>
          </cell>
          <cell r="C785" t="str">
            <v>Japan</v>
          </cell>
          <cell r="D785">
            <v>37</v>
          </cell>
          <cell r="E785">
            <v>355</v>
          </cell>
          <cell r="F785">
            <v>199</v>
          </cell>
          <cell r="G785">
            <v>210</v>
          </cell>
          <cell r="H785">
            <v>846</v>
          </cell>
          <cell r="I785">
            <v>710</v>
          </cell>
          <cell r="J785">
            <v>493</v>
          </cell>
          <cell r="K785">
            <v>724</v>
          </cell>
          <cell r="L785">
            <v>373</v>
          </cell>
          <cell r="M785">
            <v>44.85</v>
          </cell>
          <cell r="N785">
            <v>2014</v>
          </cell>
          <cell r="O785">
            <v>584</v>
          </cell>
          <cell r="P785">
            <v>24.3</v>
          </cell>
        </row>
        <row r="786">
          <cell r="B786" t="str">
            <v>Federal University of Rio Grande do Sul</v>
          </cell>
          <cell r="C786" t="str">
            <v>Brazil</v>
          </cell>
          <cell r="D786">
            <v>5</v>
          </cell>
          <cell r="E786">
            <v>355</v>
          </cell>
          <cell r="F786">
            <v>478</v>
          </cell>
          <cell r="G786">
            <v>210</v>
          </cell>
          <cell r="H786">
            <v>418</v>
          </cell>
          <cell r="I786">
            <v>632</v>
          </cell>
          <cell r="J786">
            <v>406</v>
          </cell>
          <cell r="K786">
            <v>514</v>
          </cell>
          <cell r="L786">
            <v>552</v>
          </cell>
          <cell r="M786">
            <v>44.85</v>
          </cell>
          <cell r="N786">
            <v>2014</v>
          </cell>
          <cell r="O786">
            <v>585</v>
          </cell>
          <cell r="P786">
            <v>32.6</v>
          </cell>
        </row>
        <row r="787">
          <cell r="B787" t="str">
            <v>Kent State University</v>
          </cell>
          <cell r="C787" t="str">
            <v>USA</v>
          </cell>
          <cell r="D787">
            <v>173</v>
          </cell>
          <cell r="E787">
            <v>355</v>
          </cell>
          <cell r="F787">
            <v>478</v>
          </cell>
          <cell r="G787">
            <v>210</v>
          </cell>
          <cell r="H787">
            <v>616</v>
          </cell>
          <cell r="I787">
            <v>431</v>
          </cell>
          <cell r="J787">
            <v>363</v>
          </cell>
          <cell r="K787">
            <v>496</v>
          </cell>
          <cell r="L787">
            <v>481</v>
          </cell>
          <cell r="M787">
            <v>44.85</v>
          </cell>
          <cell r="N787">
            <v>2014</v>
          </cell>
          <cell r="O787">
            <v>586</v>
          </cell>
          <cell r="P787">
            <v>33.5</v>
          </cell>
        </row>
        <row r="788">
          <cell r="B788" t="str">
            <v>University of Los Andes (Colombia)</v>
          </cell>
          <cell r="C788" t="str">
            <v>Colombia</v>
          </cell>
          <cell r="D788">
            <v>1</v>
          </cell>
          <cell r="E788">
            <v>355</v>
          </cell>
          <cell r="F788">
            <v>150</v>
          </cell>
          <cell r="G788">
            <v>210</v>
          </cell>
          <cell r="H788">
            <v>902</v>
          </cell>
          <cell r="I788">
            <v>550</v>
          </cell>
          <cell r="J788">
            <v>406</v>
          </cell>
          <cell r="K788">
            <v>889</v>
          </cell>
          <cell r="L788">
            <v>637</v>
          </cell>
          <cell r="M788">
            <v>44.85</v>
          </cell>
          <cell r="N788">
            <v>2014</v>
          </cell>
          <cell r="O788">
            <v>587</v>
          </cell>
          <cell r="P788" t="e">
            <v>#N/A</v>
          </cell>
        </row>
        <row r="789">
          <cell r="B789" t="str">
            <v>Hunan University</v>
          </cell>
          <cell r="C789" t="str">
            <v>China</v>
          </cell>
          <cell r="D789">
            <v>28</v>
          </cell>
          <cell r="E789">
            <v>355</v>
          </cell>
          <cell r="F789">
            <v>294</v>
          </cell>
          <cell r="G789">
            <v>210</v>
          </cell>
          <cell r="H789">
            <v>500</v>
          </cell>
          <cell r="I789">
            <v>915</v>
          </cell>
          <cell r="J789">
            <v>800</v>
          </cell>
          <cell r="K789">
            <v>569</v>
          </cell>
          <cell r="L789">
            <v>737</v>
          </cell>
          <cell r="M789">
            <v>44.84</v>
          </cell>
          <cell r="N789">
            <v>2014</v>
          </cell>
          <cell r="O789">
            <v>588</v>
          </cell>
          <cell r="P789">
            <v>18.3</v>
          </cell>
        </row>
        <row r="790">
          <cell r="B790" t="str">
            <v>Tokai University</v>
          </cell>
          <cell r="C790" t="str">
            <v>Japan</v>
          </cell>
          <cell r="D790">
            <v>38</v>
          </cell>
          <cell r="E790">
            <v>355</v>
          </cell>
          <cell r="F790">
            <v>478</v>
          </cell>
          <cell r="G790">
            <v>210</v>
          </cell>
          <cell r="H790">
            <v>697</v>
          </cell>
          <cell r="I790">
            <v>608</v>
          </cell>
          <cell r="J790">
            <v>493</v>
          </cell>
          <cell r="K790">
            <v>488</v>
          </cell>
          <cell r="L790">
            <v>481</v>
          </cell>
          <cell r="M790">
            <v>44.84</v>
          </cell>
          <cell r="N790">
            <v>2014</v>
          </cell>
          <cell r="O790">
            <v>589</v>
          </cell>
          <cell r="P790">
            <v>17.899999999999999</v>
          </cell>
        </row>
        <row r="791">
          <cell r="B791" t="str">
            <v>LSU Health Sciences Center New Orleans</v>
          </cell>
          <cell r="C791" t="str">
            <v>USA</v>
          </cell>
          <cell r="D791">
            <v>174</v>
          </cell>
          <cell r="E791">
            <v>355</v>
          </cell>
          <cell r="F791">
            <v>478</v>
          </cell>
          <cell r="G791">
            <v>210</v>
          </cell>
          <cell r="H791">
            <v>796</v>
          </cell>
          <cell r="I791">
            <v>549</v>
          </cell>
          <cell r="J791">
            <v>609</v>
          </cell>
          <cell r="K791">
            <v>482</v>
          </cell>
          <cell r="L791">
            <v>552</v>
          </cell>
          <cell r="M791">
            <v>44.84</v>
          </cell>
          <cell r="N791">
            <v>2014</v>
          </cell>
          <cell r="O791">
            <v>590</v>
          </cell>
          <cell r="P791" t="e">
            <v>#N/A</v>
          </cell>
        </row>
        <row r="792">
          <cell r="B792" t="str">
            <v>Southern Illinois University Carbondale</v>
          </cell>
          <cell r="C792" t="str">
            <v>USA</v>
          </cell>
          <cell r="D792">
            <v>175</v>
          </cell>
          <cell r="E792">
            <v>191</v>
          </cell>
          <cell r="F792">
            <v>478</v>
          </cell>
          <cell r="G792">
            <v>210</v>
          </cell>
          <cell r="H792">
            <v>571</v>
          </cell>
          <cell r="I792">
            <v>518</v>
          </cell>
          <cell r="J792">
            <v>800</v>
          </cell>
          <cell r="K792">
            <v>531</v>
          </cell>
          <cell r="L792">
            <v>552</v>
          </cell>
          <cell r="M792">
            <v>44.83</v>
          </cell>
          <cell r="N792">
            <v>2014</v>
          </cell>
          <cell r="O792">
            <v>591</v>
          </cell>
          <cell r="P792" t="e">
            <v>#N/A</v>
          </cell>
        </row>
        <row r="793">
          <cell r="B793" t="str">
            <v>Tata Institute of Fundamental Research</v>
          </cell>
          <cell r="C793" t="str">
            <v>India</v>
          </cell>
          <cell r="D793">
            <v>9</v>
          </cell>
          <cell r="E793">
            <v>355</v>
          </cell>
          <cell r="F793">
            <v>478</v>
          </cell>
          <cell r="G793">
            <v>210</v>
          </cell>
          <cell r="H793">
            <v>458</v>
          </cell>
          <cell r="I793">
            <v>420</v>
          </cell>
          <cell r="J793">
            <v>310</v>
          </cell>
          <cell r="K793">
            <v>523</v>
          </cell>
          <cell r="L793">
            <v>737</v>
          </cell>
          <cell r="M793">
            <v>44.83</v>
          </cell>
          <cell r="N793">
            <v>2014</v>
          </cell>
          <cell r="O793">
            <v>592</v>
          </cell>
          <cell r="P793" t="e">
            <v>#N/A</v>
          </cell>
        </row>
        <row r="794">
          <cell r="B794" t="str">
            <v>Aalborg University</v>
          </cell>
          <cell r="C794" t="str">
            <v>Denmark</v>
          </cell>
          <cell r="D794">
            <v>5</v>
          </cell>
          <cell r="E794">
            <v>355</v>
          </cell>
          <cell r="F794">
            <v>384</v>
          </cell>
          <cell r="G794">
            <v>210</v>
          </cell>
          <cell r="H794">
            <v>606</v>
          </cell>
          <cell r="I794">
            <v>633</v>
          </cell>
          <cell r="J794">
            <v>363</v>
          </cell>
          <cell r="K794">
            <v>543</v>
          </cell>
          <cell r="L794">
            <v>426</v>
          </cell>
          <cell r="M794">
            <v>44.83</v>
          </cell>
          <cell r="N794">
            <v>2014</v>
          </cell>
          <cell r="O794">
            <v>593</v>
          </cell>
          <cell r="P794">
            <v>19</v>
          </cell>
        </row>
        <row r="795">
          <cell r="B795" t="str">
            <v>Osaka Prefecture University</v>
          </cell>
          <cell r="C795" t="str">
            <v>Japan</v>
          </cell>
          <cell r="D795">
            <v>39</v>
          </cell>
          <cell r="E795">
            <v>355</v>
          </cell>
          <cell r="F795">
            <v>316</v>
          </cell>
          <cell r="G795">
            <v>210</v>
          </cell>
          <cell r="H795">
            <v>646</v>
          </cell>
          <cell r="I795">
            <v>682</v>
          </cell>
          <cell r="J795">
            <v>609</v>
          </cell>
          <cell r="K795">
            <v>675</v>
          </cell>
          <cell r="L795">
            <v>204</v>
          </cell>
          <cell r="M795">
            <v>44.83</v>
          </cell>
          <cell r="N795">
            <v>2014</v>
          </cell>
          <cell r="O795">
            <v>594</v>
          </cell>
          <cell r="P795">
            <v>21.6</v>
          </cell>
        </row>
        <row r="796">
          <cell r="B796" t="str">
            <v>Chang Gung University</v>
          </cell>
          <cell r="C796" t="str">
            <v>Taiwan</v>
          </cell>
          <cell r="D796">
            <v>7</v>
          </cell>
          <cell r="E796">
            <v>355</v>
          </cell>
          <cell r="F796">
            <v>478</v>
          </cell>
          <cell r="G796">
            <v>210</v>
          </cell>
          <cell r="H796">
            <v>357</v>
          </cell>
          <cell r="I796">
            <v>582</v>
          </cell>
          <cell r="J796">
            <v>800</v>
          </cell>
          <cell r="K796">
            <v>536</v>
          </cell>
          <cell r="L796">
            <v>737</v>
          </cell>
          <cell r="M796">
            <v>44.82</v>
          </cell>
          <cell r="N796">
            <v>2014</v>
          </cell>
          <cell r="O796">
            <v>595</v>
          </cell>
          <cell r="P796">
            <v>19.3</v>
          </cell>
        </row>
        <row r="797">
          <cell r="B797" t="str">
            <v>Northern Illinois University</v>
          </cell>
          <cell r="C797" t="str">
            <v>USA</v>
          </cell>
          <cell r="D797">
            <v>176</v>
          </cell>
          <cell r="E797">
            <v>355</v>
          </cell>
          <cell r="F797">
            <v>259</v>
          </cell>
          <cell r="G797">
            <v>210</v>
          </cell>
          <cell r="H797">
            <v>671</v>
          </cell>
          <cell r="I797">
            <v>602</v>
          </cell>
          <cell r="J797">
            <v>363</v>
          </cell>
          <cell r="K797">
            <v>642</v>
          </cell>
          <cell r="L797">
            <v>481</v>
          </cell>
          <cell r="M797">
            <v>44.82</v>
          </cell>
          <cell r="N797">
            <v>2014</v>
          </cell>
          <cell r="O797">
            <v>596</v>
          </cell>
          <cell r="P797" t="e">
            <v>#N/A</v>
          </cell>
        </row>
        <row r="798">
          <cell r="B798" t="str">
            <v>University of Trento</v>
          </cell>
          <cell r="C798" t="str">
            <v>Italy</v>
          </cell>
          <cell r="D798">
            <v>33</v>
          </cell>
          <cell r="E798">
            <v>355</v>
          </cell>
          <cell r="F798">
            <v>478</v>
          </cell>
          <cell r="G798">
            <v>210</v>
          </cell>
          <cell r="H798">
            <v>490</v>
          </cell>
          <cell r="I798">
            <v>569</v>
          </cell>
          <cell r="J798">
            <v>609</v>
          </cell>
          <cell r="K798">
            <v>504</v>
          </cell>
          <cell r="L798">
            <v>737</v>
          </cell>
          <cell r="M798">
            <v>44.82</v>
          </cell>
          <cell r="N798">
            <v>2014</v>
          </cell>
          <cell r="O798">
            <v>597</v>
          </cell>
          <cell r="P798">
            <v>21.9</v>
          </cell>
        </row>
        <row r="799">
          <cell r="B799" t="str">
            <v>Semmelweis University</v>
          </cell>
          <cell r="C799" t="str">
            <v>Hungary</v>
          </cell>
          <cell r="D799">
            <v>2</v>
          </cell>
          <cell r="E799">
            <v>355</v>
          </cell>
          <cell r="F799">
            <v>478</v>
          </cell>
          <cell r="G799">
            <v>210</v>
          </cell>
          <cell r="H799">
            <v>668</v>
          </cell>
          <cell r="I799">
            <v>517</v>
          </cell>
          <cell r="J799">
            <v>493</v>
          </cell>
          <cell r="K799">
            <v>496</v>
          </cell>
          <cell r="L799">
            <v>552</v>
          </cell>
          <cell r="M799">
            <v>44.82</v>
          </cell>
          <cell r="N799">
            <v>2014</v>
          </cell>
          <cell r="O799">
            <v>598</v>
          </cell>
          <cell r="P799">
            <v>19.600000000000001</v>
          </cell>
        </row>
        <row r="800">
          <cell r="B800" t="str">
            <v>University of Science and Technology Beijing</v>
          </cell>
          <cell r="C800" t="str">
            <v>China</v>
          </cell>
          <cell r="D800">
            <v>29</v>
          </cell>
          <cell r="E800">
            <v>355</v>
          </cell>
          <cell r="F800">
            <v>166</v>
          </cell>
          <cell r="G800">
            <v>210</v>
          </cell>
          <cell r="H800">
            <v>592</v>
          </cell>
          <cell r="I800">
            <v>928</v>
          </cell>
          <cell r="J800">
            <v>493</v>
          </cell>
          <cell r="K800">
            <v>897</v>
          </cell>
          <cell r="L800">
            <v>373</v>
          </cell>
          <cell r="M800">
            <v>44.82</v>
          </cell>
          <cell r="N800">
            <v>2014</v>
          </cell>
          <cell r="O800">
            <v>599</v>
          </cell>
          <cell r="P800">
            <v>25.1</v>
          </cell>
        </row>
        <row r="801">
          <cell r="B801" t="str">
            <v>National University of Ireland, Galway</v>
          </cell>
          <cell r="C801" t="str">
            <v>Ireland</v>
          </cell>
          <cell r="D801">
            <v>4</v>
          </cell>
          <cell r="E801">
            <v>355</v>
          </cell>
          <cell r="F801">
            <v>478</v>
          </cell>
          <cell r="G801">
            <v>210</v>
          </cell>
          <cell r="H801">
            <v>593</v>
          </cell>
          <cell r="I801">
            <v>597</v>
          </cell>
          <cell r="J801">
            <v>609</v>
          </cell>
          <cell r="K801">
            <v>531</v>
          </cell>
          <cell r="L801">
            <v>307</v>
          </cell>
          <cell r="M801">
            <v>44.82</v>
          </cell>
          <cell r="N801">
            <v>2014</v>
          </cell>
          <cell r="O801">
            <v>600</v>
          </cell>
          <cell r="P801">
            <v>17.899999999999999</v>
          </cell>
        </row>
        <row r="802">
          <cell r="B802" t="str">
            <v>Dankook University</v>
          </cell>
          <cell r="C802" t="str">
            <v>South Korea</v>
          </cell>
          <cell r="D802">
            <v>21</v>
          </cell>
          <cell r="E802">
            <v>355</v>
          </cell>
          <cell r="F802">
            <v>478</v>
          </cell>
          <cell r="G802">
            <v>210</v>
          </cell>
          <cell r="H802">
            <v>896</v>
          </cell>
          <cell r="I802">
            <v>934</v>
          </cell>
          <cell r="J802">
            <v>609</v>
          </cell>
          <cell r="K802">
            <v>897</v>
          </cell>
          <cell r="L802">
            <v>121</v>
          </cell>
          <cell r="M802">
            <v>44.82</v>
          </cell>
          <cell r="N802">
            <v>2014</v>
          </cell>
          <cell r="O802">
            <v>601</v>
          </cell>
          <cell r="P802" t="e">
            <v>#N/A</v>
          </cell>
        </row>
        <row r="803">
          <cell r="B803" t="str">
            <v>Istanbul University</v>
          </cell>
          <cell r="C803" t="str">
            <v>Turkey</v>
          </cell>
          <cell r="D803">
            <v>2</v>
          </cell>
          <cell r="E803">
            <v>255</v>
          </cell>
          <cell r="F803">
            <v>337</v>
          </cell>
          <cell r="G803">
            <v>210</v>
          </cell>
          <cell r="H803">
            <v>681</v>
          </cell>
          <cell r="I803">
            <v>580</v>
          </cell>
          <cell r="J803">
            <v>609</v>
          </cell>
          <cell r="K803">
            <v>554</v>
          </cell>
          <cell r="L803">
            <v>737</v>
          </cell>
          <cell r="M803">
            <v>44.81</v>
          </cell>
          <cell r="N803">
            <v>2014</v>
          </cell>
          <cell r="O803">
            <v>602</v>
          </cell>
          <cell r="P803">
            <v>26</v>
          </cell>
        </row>
        <row r="804">
          <cell r="B804" t="str">
            <v>Tokyo University of Agriculture and Technology</v>
          </cell>
          <cell r="C804" t="str">
            <v>Japan</v>
          </cell>
          <cell r="D804">
            <v>40</v>
          </cell>
          <cell r="E804">
            <v>355</v>
          </cell>
          <cell r="F804">
            <v>478</v>
          </cell>
          <cell r="G804">
            <v>210</v>
          </cell>
          <cell r="H804">
            <v>574</v>
          </cell>
          <cell r="I804">
            <v>707</v>
          </cell>
          <cell r="J804">
            <v>609</v>
          </cell>
          <cell r="K804">
            <v>585</v>
          </cell>
          <cell r="L804">
            <v>227</v>
          </cell>
          <cell r="M804">
            <v>44.81</v>
          </cell>
          <cell r="N804">
            <v>2014</v>
          </cell>
          <cell r="O804">
            <v>603</v>
          </cell>
          <cell r="P804">
            <v>26.5</v>
          </cell>
        </row>
        <row r="805">
          <cell r="B805" t="str">
            <v>University of Montana - Missoula</v>
          </cell>
          <cell r="C805" t="str">
            <v>USA</v>
          </cell>
          <cell r="D805">
            <v>177</v>
          </cell>
          <cell r="E805">
            <v>341</v>
          </cell>
          <cell r="F805">
            <v>478</v>
          </cell>
          <cell r="G805">
            <v>210</v>
          </cell>
          <cell r="H805">
            <v>699</v>
          </cell>
          <cell r="I805">
            <v>320</v>
          </cell>
          <cell r="J805">
            <v>493</v>
          </cell>
          <cell r="K805">
            <v>504</v>
          </cell>
          <cell r="L805">
            <v>552</v>
          </cell>
          <cell r="M805">
            <v>44.81</v>
          </cell>
          <cell r="N805">
            <v>2014</v>
          </cell>
          <cell r="O805">
            <v>604</v>
          </cell>
          <cell r="P805" t="e">
            <v>#N/A</v>
          </cell>
        </row>
        <row r="806">
          <cell r="B806" t="str">
            <v>Queensland University of Technology</v>
          </cell>
          <cell r="C806" t="str">
            <v>Australia</v>
          </cell>
          <cell r="D806">
            <v>14</v>
          </cell>
          <cell r="E806">
            <v>355</v>
          </cell>
          <cell r="F806">
            <v>478</v>
          </cell>
          <cell r="G806">
            <v>210</v>
          </cell>
          <cell r="H806">
            <v>457</v>
          </cell>
          <cell r="I806">
            <v>733</v>
          </cell>
          <cell r="J806">
            <v>493</v>
          </cell>
          <cell r="K806">
            <v>523</v>
          </cell>
          <cell r="L806">
            <v>552</v>
          </cell>
          <cell r="M806">
            <v>44.81</v>
          </cell>
          <cell r="N806">
            <v>2014</v>
          </cell>
          <cell r="O806">
            <v>605</v>
          </cell>
          <cell r="P806">
            <v>21</v>
          </cell>
        </row>
        <row r="807">
          <cell r="B807" t="str">
            <v>Binghamton University</v>
          </cell>
          <cell r="C807" t="str">
            <v>USA</v>
          </cell>
          <cell r="D807">
            <v>178</v>
          </cell>
          <cell r="E807">
            <v>355</v>
          </cell>
          <cell r="F807">
            <v>229</v>
          </cell>
          <cell r="G807">
            <v>210</v>
          </cell>
          <cell r="H807">
            <v>731</v>
          </cell>
          <cell r="I807">
            <v>610</v>
          </cell>
          <cell r="J807">
            <v>800</v>
          </cell>
          <cell r="K807">
            <v>675</v>
          </cell>
          <cell r="L807">
            <v>737</v>
          </cell>
          <cell r="M807">
            <v>44.8</v>
          </cell>
          <cell r="N807">
            <v>2014</v>
          </cell>
          <cell r="O807">
            <v>606</v>
          </cell>
          <cell r="P807" t="e">
            <v>#N/A</v>
          </cell>
        </row>
        <row r="808">
          <cell r="B808" t="str">
            <v>UniversitÃ© de Namur</v>
          </cell>
          <cell r="C808" t="str">
            <v>Belgium</v>
          </cell>
          <cell r="D808">
            <v>8</v>
          </cell>
          <cell r="E808">
            <v>143</v>
          </cell>
          <cell r="F808">
            <v>312</v>
          </cell>
          <cell r="G808">
            <v>210</v>
          </cell>
          <cell r="H808">
            <v>830</v>
          </cell>
          <cell r="I808">
            <v>713</v>
          </cell>
          <cell r="J808">
            <v>609</v>
          </cell>
          <cell r="K808">
            <v>675</v>
          </cell>
          <cell r="L808">
            <v>637</v>
          </cell>
          <cell r="M808">
            <v>44.8</v>
          </cell>
          <cell r="N808">
            <v>2014</v>
          </cell>
          <cell r="O808">
            <v>607</v>
          </cell>
          <cell r="P808" t="e">
            <v>#N/A</v>
          </cell>
        </row>
        <row r="809">
          <cell r="B809" t="str">
            <v>University of Tasmania</v>
          </cell>
          <cell r="C809" t="str">
            <v>Australia</v>
          </cell>
          <cell r="D809">
            <v>15</v>
          </cell>
          <cell r="E809">
            <v>355</v>
          </cell>
          <cell r="F809">
            <v>478</v>
          </cell>
          <cell r="G809">
            <v>210</v>
          </cell>
          <cell r="H809">
            <v>461</v>
          </cell>
          <cell r="I809">
            <v>278</v>
          </cell>
          <cell r="J809">
            <v>609</v>
          </cell>
          <cell r="K809">
            <v>531</v>
          </cell>
          <cell r="L809">
            <v>737</v>
          </cell>
          <cell r="M809">
            <v>44.8</v>
          </cell>
          <cell r="N809">
            <v>2014</v>
          </cell>
          <cell r="O809">
            <v>608</v>
          </cell>
          <cell r="P809">
            <v>18.5</v>
          </cell>
        </row>
        <row r="810">
          <cell r="B810" t="str">
            <v>University of Pretoria</v>
          </cell>
          <cell r="C810" t="str">
            <v>South Africa</v>
          </cell>
          <cell r="D810">
            <v>5</v>
          </cell>
          <cell r="E810">
            <v>355</v>
          </cell>
          <cell r="F810">
            <v>233</v>
          </cell>
          <cell r="G810">
            <v>210</v>
          </cell>
          <cell r="H810">
            <v>597</v>
          </cell>
          <cell r="I810">
            <v>557</v>
          </cell>
          <cell r="J810">
            <v>493</v>
          </cell>
          <cell r="K810">
            <v>716</v>
          </cell>
          <cell r="L810">
            <v>481</v>
          </cell>
          <cell r="M810">
            <v>44.8</v>
          </cell>
          <cell r="N810">
            <v>2014</v>
          </cell>
          <cell r="O810">
            <v>609</v>
          </cell>
          <cell r="P810">
            <v>25.6</v>
          </cell>
        </row>
        <row r="811">
          <cell r="B811" t="str">
            <v>Central China Normal University</v>
          </cell>
          <cell r="C811" t="str">
            <v>China</v>
          </cell>
          <cell r="D811">
            <v>30</v>
          </cell>
          <cell r="E811">
            <v>355</v>
          </cell>
          <cell r="F811">
            <v>478</v>
          </cell>
          <cell r="G811">
            <v>210</v>
          </cell>
          <cell r="H811">
            <v>653</v>
          </cell>
          <cell r="I811">
            <v>837</v>
          </cell>
          <cell r="J811">
            <v>493</v>
          </cell>
          <cell r="K811">
            <v>504</v>
          </cell>
          <cell r="L811">
            <v>737</v>
          </cell>
          <cell r="M811">
            <v>44.79</v>
          </cell>
          <cell r="N811">
            <v>2014</v>
          </cell>
          <cell r="O811">
            <v>610</v>
          </cell>
          <cell r="P811" t="e">
            <v>#N/A</v>
          </cell>
        </row>
        <row r="812">
          <cell r="B812" t="str">
            <v>Indian Institute of Technology Roorkee</v>
          </cell>
          <cell r="C812" t="str">
            <v>India</v>
          </cell>
          <cell r="D812">
            <v>10</v>
          </cell>
          <cell r="E812">
            <v>355</v>
          </cell>
          <cell r="F812">
            <v>307</v>
          </cell>
          <cell r="G812">
            <v>210</v>
          </cell>
          <cell r="H812">
            <v>845</v>
          </cell>
          <cell r="I812">
            <v>846</v>
          </cell>
          <cell r="J812">
            <v>609</v>
          </cell>
          <cell r="K812">
            <v>554</v>
          </cell>
          <cell r="L812">
            <v>737</v>
          </cell>
          <cell r="M812">
            <v>44.79</v>
          </cell>
          <cell r="N812">
            <v>2014</v>
          </cell>
          <cell r="O812">
            <v>611</v>
          </cell>
          <cell r="P812">
            <v>30.4</v>
          </cell>
        </row>
        <row r="813">
          <cell r="B813" t="str">
            <v>Curtin University</v>
          </cell>
          <cell r="C813" t="str">
            <v>Australia</v>
          </cell>
          <cell r="D813">
            <v>16</v>
          </cell>
          <cell r="E813">
            <v>355</v>
          </cell>
          <cell r="F813">
            <v>478</v>
          </cell>
          <cell r="G813">
            <v>210</v>
          </cell>
          <cell r="H813">
            <v>462</v>
          </cell>
          <cell r="I813">
            <v>389</v>
          </cell>
          <cell r="J813">
            <v>406</v>
          </cell>
          <cell r="K813">
            <v>543</v>
          </cell>
          <cell r="L813">
            <v>426</v>
          </cell>
          <cell r="M813">
            <v>44.79</v>
          </cell>
          <cell r="N813">
            <v>2014</v>
          </cell>
          <cell r="O813">
            <v>612</v>
          </cell>
          <cell r="P813">
            <v>17.100000000000001</v>
          </cell>
        </row>
        <row r="814">
          <cell r="B814" t="str">
            <v>Deakin University</v>
          </cell>
          <cell r="C814" t="str">
            <v>Australia</v>
          </cell>
          <cell r="D814">
            <v>17</v>
          </cell>
          <cell r="E814">
            <v>355</v>
          </cell>
          <cell r="F814">
            <v>459</v>
          </cell>
          <cell r="G814">
            <v>210</v>
          </cell>
          <cell r="H814">
            <v>556</v>
          </cell>
          <cell r="I814">
            <v>678</v>
          </cell>
          <cell r="J814">
            <v>609</v>
          </cell>
          <cell r="K814">
            <v>536</v>
          </cell>
          <cell r="L814">
            <v>637</v>
          </cell>
          <cell r="M814">
            <v>44.79</v>
          </cell>
          <cell r="N814">
            <v>2014</v>
          </cell>
          <cell r="O814">
            <v>613</v>
          </cell>
          <cell r="P814">
            <v>17.7</v>
          </cell>
        </row>
        <row r="815">
          <cell r="B815" t="str">
            <v>Tilburg University</v>
          </cell>
          <cell r="C815" t="str">
            <v>Netherlands</v>
          </cell>
          <cell r="D815">
            <v>13</v>
          </cell>
          <cell r="E815">
            <v>355</v>
          </cell>
          <cell r="F815">
            <v>227</v>
          </cell>
          <cell r="G815">
            <v>210</v>
          </cell>
          <cell r="H815">
            <v>605</v>
          </cell>
          <cell r="I815">
            <v>861</v>
          </cell>
          <cell r="J815">
            <v>609</v>
          </cell>
          <cell r="K815">
            <v>716</v>
          </cell>
          <cell r="L815">
            <v>737</v>
          </cell>
          <cell r="M815">
            <v>44.78</v>
          </cell>
          <cell r="N815">
            <v>2014</v>
          </cell>
          <cell r="O815">
            <v>614</v>
          </cell>
          <cell r="P815">
            <v>22.6</v>
          </cell>
        </row>
        <row r="816">
          <cell r="B816" t="str">
            <v>Inha University</v>
          </cell>
          <cell r="C816" t="str">
            <v>South Korea</v>
          </cell>
          <cell r="D816">
            <v>22</v>
          </cell>
          <cell r="E816">
            <v>355</v>
          </cell>
          <cell r="F816">
            <v>387</v>
          </cell>
          <cell r="G816">
            <v>210</v>
          </cell>
          <cell r="H816">
            <v>543</v>
          </cell>
          <cell r="I816">
            <v>770</v>
          </cell>
          <cell r="J816">
            <v>609</v>
          </cell>
          <cell r="K816">
            <v>569</v>
          </cell>
          <cell r="L816">
            <v>481</v>
          </cell>
          <cell r="M816">
            <v>44.78</v>
          </cell>
          <cell r="N816">
            <v>2014</v>
          </cell>
          <cell r="O816">
            <v>615</v>
          </cell>
          <cell r="P816">
            <v>20.7</v>
          </cell>
        </row>
        <row r="817">
          <cell r="B817" t="str">
            <v>University of New Orleans</v>
          </cell>
          <cell r="C817" t="str">
            <v>USA</v>
          </cell>
          <cell r="D817">
            <v>179</v>
          </cell>
          <cell r="E817">
            <v>355</v>
          </cell>
          <cell r="F817">
            <v>478</v>
          </cell>
          <cell r="G817">
            <v>210</v>
          </cell>
          <cell r="H817">
            <v>907</v>
          </cell>
          <cell r="I817">
            <v>806</v>
          </cell>
          <cell r="J817">
            <v>493</v>
          </cell>
          <cell r="K817">
            <v>504</v>
          </cell>
          <cell r="L817">
            <v>737</v>
          </cell>
          <cell r="M817">
            <v>44.78</v>
          </cell>
          <cell r="N817">
            <v>2014</v>
          </cell>
          <cell r="O817">
            <v>616</v>
          </cell>
          <cell r="P817" t="e">
            <v>#N/A</v>
          </cell>
        </row>
        <row r="818">
          <cell r="B818" t="str">
            <v>Paris-Est CrÃ©teil Val-de-Marne University</v>
          </cell>
          <cell r="C818" t="str">
            <v>France</v>
          </cell>
          <cell r="D818">
            <v>28</v>
          </cell>
          <cell r="E818">
            <v>355</v>
          </cell>
          <cell r="F818">
            <v>435</v>
          </cell>
          <cell r="G818">
            <v>210</v>
          </cell>
          <cell r="H818">
            <v>710</v>
          </cell>
          <cell r="I818">
            <v>581</v>
          </cell>
          <cell r="J818">
            <v>800</v>
          </cell>
          <cell r="K818">
            <v>536</v>
          </cell>
          <cell r="L818">
            <v>737</v>
          </cell>
          <cell r="M818">
            <v>44.77</v>
          </cell>
          <cell r="N818">
            <v>2014</v>
          </cell>
          <cell r="O818">
            <v>617</v>
          </cell>
          <cell r="P818" t="e">
            <v>#N/A</v>
          </cell>
        </row>
        <row r="819">
          <cell r="B819" t="str">
            <v>University of L'Aquila</v>
          </cell>
          <cell r="C819" t="str">
            <v>Italy</v>
          </cell>
          <cell r="D819">
            <v>34</v>
          </cell>
          <cell r="E819">
            <v>355</v>
          </cell>
          <cell r="F819">
            <v>478</v>
          </cell>
          <cell r="G819">
            <v>210</v>
          </cell>
          <cell r="H819">
            <v>617</v>
          </cell>
          <cell r="I819">
            <v>643</v>
          </cell>
          <cell r="J819">
            <v>800</v>
          </cell>
          <cell r="K819">
            <v>514</v>
          </cell>
          <cell r="L819">
            <v>737</v>
          </cell>
          <cell r="M819">
            <v>44.77</v>
          </cell>
          <cell r="N819">
            <v>2014</v>
          </cell>
          <cell r="O819">
            <v>618</v>
          </cell>
          <cell r="P819" t="e">
            <v>#N/A</v>
          </cell>
        </row>
        <row r="820">
          <cell r="B820" t="str">
            <v>Chungnam National University</v>
          </cell>
          <cell r="C820" t="str">
            <v>South Korea</v>
          </cell>
          <cell r="D820">
            <v>23</v>
          </cell>
          <cell r="E820">
            <v>355</v>
          </cell>
          <cell r="F820">
            <v>478</v>
          </cell>
          <cell r="G820">
            <v>210</v>
          </cell>
          <cell r="H820">
            <v>472</v>
          </cell>
          <cell r="I820">
            <v>561</v>
          </cell>
          <cell r="J820">
            <v>493</v>
          </cell>
          <cell r="K820">
            <v>585</v>
          </cell>
          <cell r="L820">
            <v>307</v>
          </cell>
          <cell r="M820">
            <v>44.77</v>
          </cell>
          <cell r="N820">
            <v>2014</v>
          </cell>
          <cell r="O820">
            <v>619</v>
          </cell>
          <cell r="P820">
            <v>23.2</v>
          </cell>
        </row>
        <row r="821">
          <cell r="B821" t="str">
            <v>University of Salamanca</v>
          </cell>
          <cell r="C821" t="str">
            <v>Spain</v>
          </cell>
          <cell r="D821">
            <v>18</v>
          </cell>
          <cell r="E821">
            <v>355</v>
          </cell>
          <cell r="F821">
            <v>423</v>
          </cell>
          <cell r="G821">
            <v>210</v>
          </cell>
          <cell r="H821">
            <v>558</v>
          </cell>
          <cell r="I821">
            <v>558</v>
          </cell>
          <cell r="J821">
            <v>363</v>
          </cell>
          <cell r="K821">
            <v>569</v>
          </cell>
          <cell r="L821">
            <v>737</v>
          </cell>
          <cell r="M821">
            <v>44.77</v>
          </cell>
          <cell r="N821">
            <v>2014</v>
          </cell>
          <cell r="O821">
            <v>620</v>
          </cell>
          <cell r="P821">
            <v>26.1</v>
          </cell>
        </row>
        <row r="822">
          <cell r="B822" t="str">
            <v>University of Alaska Fairbanks</v>
          </cell>
          <cell r="C822" t="str">
            <v>USA</v>
          </cell>
          <cell r="D822">
            <v>180</v>
          </cell>
          <cell r="E822">
            <v>355</v>
          </cell>
          <cell r="F822">
            <v>478</v>
          </cell>
          <cell r="G822">
            <v>210</v>
          </cell>
          <cell r="H822">
            <v>608</v>
          </cell>
          <cell r="I822">
            <v>339</v>
          </cell>
          <cell r="J822">
            <v>609</v>
          </cell>
          <cell r="K822">
            <v>523</v>
          </cell>
          <cell r="L822">
            <v>737</v>
          </cell>
          <cell r="M822">
            <v>44.77</v>
          </cell>
          <cell r="N822">
            <v>2014</v>
          </cell>
          <cell r="O822">
            <v>621</v>
          </cell>
          <cell r="P822">
            <v>26.1</v>
          </cell>
        </row>
        <row r="823">
          <cell r="B823" t="str">
            <v>University of Poitiers</v>
          </cell>
          <cell r="C823" t="str">
            <v>France</v>
          </cell>
          <cell r="D823">
            <v>29</v>
          </cell>
          <cell r="E823">
            <v>236</v>
          </cell>
          <cell r="F823">
            <v>478</v>
          </cell>
          <cell r="G823">
            <v>143</v>
          </cell>
          <cell r="H823">
            <v>615</v>
          </cell>
          <cell r="I823">
            <v>480</v>
          </cell>
          <cell r="J823">
            <v>609</v>
          </cell>
          <cell r="K823">
            <v>675</v>
          </cell>
          <cell r="L823">
            <v>481</v>
          </cell>
          <cell r="M823">
            <v>44.77</v>
          </cell>
          <cell r="N823">
            <v>2014</v>
          </cell>
          <cell r="O823">
            <v>622</v>
          </cell>
          <cell r="P823" t="e">
            <v>#N/A</v>
          </cell>
        </row>
        <row r="824">
          <cell r="B824" t="str">
            <v>Albany Medical College</v>
          </cell>
          <cell r="C824" t="str">
            <v>USA</v>
          </cell>
          <cell r="D824">
            <v>181</v>
          </cell>
          <cell r="E824">
            <v>142</v>
          </cell>
          <cell r="F824">
            <v>478</v>
          </cell>
          <cell r="G824">
            <v>210</v>
          </cell>
          <cell r="H824">
            <v>993</v>
          </cell>
          <cell r="I824">
            <v>753</v>
          </cell>
          <cell r="J824">
            <v>609</v>
          </cell>
          <cell r="K824">
            <v>605</v>
          </cell>
          <cell r="L824">
            <v>737</v>
          </cell>
          <cell r="M824">
            <v>44.76</v>
          </cell>
          <cell r="N824">
            <v>2014</v>
          </cell>
          <cell r="O824">
            <v>623</v>
          </cell>
          <cell r="P824" t="e">
            <v>#N/A</v>
          </cell>
        </row>
        <row r="825">
          <cell r="B825" t="str">
            <v>Birkbeck, University of London</v>
          </cell>
          <cell r="C825" t="str">
            <v>United Kingdom</v>
          </cell>
          <cell r="D825">
            <v>46</v>
          </cell>
          <cell r="E825">
            <v>281</v>
          </cell>
          <cell r="F825">
            <v>478</v>
          </cell>
          <cell r="G825">
            <v>180</v>
          </cell>
          <cell r="H825">
            <v>718</v>
          </cell>
          <cell r="I825">
            <v>343</v>
          </cell>
          <cell r="J825">
            <v>493</v>
          </cell>
          <cell r="K825">
            <v>569</v>
          </cell>
          <cell r="L825">
            <v>737</v>
          </cell>
          <cell r="M825">
            <v>44.76</v>
          </cell>
          <cell r="N825">
            <v>2014</v>
          </cell>
          <cell r="O825">
            <v>624</v>
          </cell>
          <cell r="P825">
            <v>41.2</v>
          </cell>
        </row>
        <row r="826">
          <cell r="B826" t="str">
            <v>Griffith University</v>
          </cell>
          <cell r="C826" t="str">
            <v>Australia</v>
          </cell>
          <cell r="D826">
            <v>18</v>
          </cell>
          <cell r="E826">
            <v>355</v>
          </cell>
          <cell r="F826">
            <v>478</v>
          </cell>
          <cell r="G826">
            <v>210</v>
          </cell>
          <cell r="H826">
            <v>470</v>
          </cell>
          <cell r="I826">
            <v>543</v>
          </cell>
          <cell r="J826">
            <v>493</v>
          </cell>
          <cell r="K826">
            <v>569</v>
          </cell>
          <cell r="L826">
            <v>373</v>
          </cell>
          <cell r="M826">
            <v>44.76</v>
          </cell>
          <cell r="N826">
            <v>2014</v>
          </cell>
          <cell r="O826">
            <v>625</v>
          </cell>
          <cell r="P826">
            <v>15.7</v>
          </cell>
        </row>
        <row r="827">
          <cell r="B827" t="str">
            <v>Federal University of SÃ£o Paulo</v>
          </cell>
          <cell r="C827" t="str">
            <v>Brazil</v>
          </cell>
          <cell r="D827">
            <v>6</v>
          </cell>
          <cell r="E827">
            <v>355</v>
          </cell>
          <cell r="F827">
            <v>478</v>
          </cell>
          <cell r="G827">
            <v>210</v>
          </cell>
          <cell r="H827">
            <v>515</v>
          </cell>
          <cell r="I827">
            <v>616</v>
          </cell>
          <cell r="J827">
            <v>406</v>
          </cell>
          <cell r="K827">
            <v>536</v>
          </cell>
          <cell r="L827">
            <v>737</v>
          </cell>
          <cell r="M827">
            <v>44.76</v>
          </cell>
          <cell r="N827">
            <v>2014</v>
          </cell>
          <cell r="O827">
            <v>626</v>
          </cell>
          <cell r="P827" t="e">
            <v>#N/A</v>
          </cell>
        </row>
        <row r="828">
          <cell r="B828" t="str">
            <v>Carleton University</v>
          </cell>
          <cell r="C828" t="str">
            <v>Canada</v>
          </cell>
          <cell r="D828">
            <v>22</v>
          </cell>
          <cell r="E828">
            <v>355</v>
          </cell>
          <cell r="F828">
            <v>478</v>
          </cell>
          <cell r="G828">
            <v>210</v>
          </cell>
          <cell r="H828">
            <v>496</v>
          </cell>
          <cell r="I828">
            <v>742</v>
          </cell>
          <cell r="J828">
            <v>310</v>
          </cell>
          <cell r="K828">
            <v>554</v>
          </cell>
          <cell r="L828">
            <v>737</v>
          </cell>
          <cell r="M828">
            <v>44.75</v>
          </cell>
          <cell r="N828">
            <v>2014</v>
          </cell>
          <cell r="O828">
            <v>627</v>
          </cell>
          <cell r="P828">
            <v>17</v>
          </cell>
        </row>
        <row r="829">
          <cell r="B829" t="str">
            <v>Massey University</v>
          </cell>
          <cell r="C829" t="str">
            <v>New Zealand</v>
          </cell>
          <cell r="D829">
            <v>5</v>
          </cell>
          <cell r="E829">
            <v>355</v>
          </cell>
          <cell r="F829">
            <v>448</v>
          </cell>
          <cell r="G829">
            <v>210</v>
          </cell>
          <cell r="H829">
            <v>552</v>
          </cell>
          <cell r="I829">
            <v>575</v>
          </cell>
          <cell r="J829">
            <v>609</v>
          </cell>
          <cell r="K829">
            <v>569</v>
          </cell>
          <cell r="L829">
            <v>637</v>
          </cell>
          <cell r="M829">
            <v>44.75</v>
          </cell>
          <cell r="N829">
            <v>2014</v>
          </cell>
          <cell r="O829">
            <v>628</v>
          </cell>
          <cell r="P829">
            <v>17.399999999999999</v>
          </cell>
        </row>
        <row r="830">
          <cell r="B830" t="str">
            <v>Catholic University of Korea</v>
          </cell>
          <cell r="C830" t="str">
            <v>South Korea</v>
          </cell>
          <cell r="D830">
            <v>24</v>
          </cell>
          <cell r="E830">
            <v>355</v>
          </cell>
          <cell r="F830">
            <v>478</v>
          </cell>
          <cell r="G830">
            <v>210</v>
          </cell>
          <cell r="H830">
            <v>598</v>
          </cell>
          <cell r="I830">
            <v>798</v>
          </cell>
          <cell r="J830">
            <v>800</v>
          </cell>
          <cell r="K830">
            <v>628</v>
          </cell>
          <cell r="L830">
            <v>227</v>
          </cell>
          <cell r="M830">
            <v>44.74</v>
          </cell>
          <cell r="N830">
            <v>2014</v>
          </cell>
          <cell r="O830">
            <v>629</v>
          </cell>
          <cell r="P830" t="e">
            <v>#N/A</v>
          </cell>
        </row>
        <row r="831">
          <cell r="B831" t="str">
            <v>Open University (UK)</v>
          </cell>
          <cell r="C831" t="str">
            <v>United Kingdom</v>
          </cell>
          <cell r="D831">
            <v>47</v>
          </cell>
          <cell r="E831">
            <v>355</v>
          </cell>
          <cell r="F831">
            <v>478</v>
          </cell>
          <cell r="G831">
            <v>210</v>
          </cell>
          <cell r="H831">
            <v>613</v>
          </cell>
          <cell r="I831">
            <v>301</v>
          </cell>
          <cell r="J831">
            <v>800</v>
          </cell>
          <cell r="K831">
            <v>536</v>
          </cell>
          <cell r="L831">
            <v>637</v>
          </cell>
          <cell r="M831">
            <v>44.74</v>
          </cell>
          <cell r="N831">
            <v>2014</v>
          </cell>
          <cell r="O831">
            <v>630</v>
          </cell>
          <cell r="P831" t="e">
            <v>#N/A</v>
          </cell>
        </row>
        <row r="832">
          <cell r="B832" t="str">
            <v>University of Patras</v>
          </cell>
          <cell r="C832" t="str">
            <v>Greece</v>
          </cell>
          <cell r="D832">
            <v>5</v>
          </cell>
          <cell r="E832">
            <v>355</v>
          </cell>
          <cell r="F832">
            <v>478</v>
          </cell>
          <cell r="G832">
            <v>210</v>
          </cell>
          <cell r="H832">
            <v>485</v>
          </cell>
          <cell r="I832">
            <v>674</v>
          </cell>
          <cell r="J832">
            <v>406</v>
          </cell>
          <cell r="K832">
            <v>554</v>
          </cell>
          <cell r="L832">
            <v>552</v>
          </cell>
          <cell r="M832">
            <v>44.74</v>
          </cell>
          <cell r="N832">
            <v>2014</v>
          </cell>
          <cell r="O832">
            <v>631</v>
          </cell>
          <cell r="P832">
            <v>18.5</v>
          </cell>
        </row>
        <row r="833">
          <cell r="B833" t="str">
            <v>Universidade Nova de Lisboa</v>
          </cell>
          <cell r="C833" t="str">
            <v>Portugal</v>
          </cell>
          <cell r="D833">
            <v>5</v>
          </cell>
          <cell r="E833">
            <v>355</v>
          </cell>
          <cell r="F833">
            <v>478</v>
          </cell>
          <cell r="G833">
            <v>210</v>
          </cell>
          <cell r="H833">
            <v>506</v>
          </cell>
          <cell r="I833">
            <v>515</v>
          </cell>
          <cell r="J833">
            <v>609</v>
          </cell>
          <cell r="K833">
            <v>543</v>
          </cell>
          <cell r="L833">
            <v>552</v>
          </cell>
          <cell r="M833">
            <v>44.74</v>
          </cell>
          <cell r="N833">
            <v>2014</v>
          </cell>
          <cell r="O833">
            <v>632</v>
          </cell>
          <cell r="P833" t="e">
            <v>#N/A</v>
          </cell>
        </row>
        <row r="834">
          <cell r="B834" t="str">
            <v>Texas A&amp;M Health Science Center</v>
          </cell>
          <cell r="C834" t="str">
            <v>USA</v>
          </cell>
          <cell r="D834">
            <v>182</v>
          </cell>
          <cell r="E834">
            <v>355</v>
          </cell>
          <cell r="F834">
            <v>478</v>
          </cell>
          <cell r="G834">
            <v>210</v>
          </cell>
          <cell r="H834">
            <v>664</v>
          </cell>
          <cell r="I834">
            <v>445</v>
          </cell>
          <cell r="J834">
            <v>493</v>
          </cell>
          <cell r="K834">
            <v>543</v>
          </cell>
          <cell r="L834">
            <v>426</v>
          </cell>
          <cell r="M834">
            <v>44.74</v>
          </cell>
          <cell r="N834">
            <v>2014</v>
          </cell>
          <cell r="O834">
            <v>633</v>
          </cell>
          <cell r="P834" t="e">
            <v>#N/A</v>
          </cell>
        </row>
        <row r="835">
          <cell r="B835" t="str">
            <v>Braunschweig University of Technology</v>
          </cell>
          <cell r="C835" t="str">
            <v>Germany</v>
          </cell>
          <cell r="D835">
            <v>45</v>
          </cell>
          <cell r="E835">
            <v>207</v>
          </cell>
          <cell r="F835">
            <v>478</v>
          </cell>
          <cell r="G835">
            <v>210</v>
          </cell>
          <cell r="H835">
            <v>541</v>
          </cell>
          <cell r="I835">
            <v>369</v>
          </cell>
          <cell r="J835">
            <v>609</v>
          </cell>
          <cell r="K835">
            <v>605</v>
          </cell>
          <cell r="L835">
            <v>481</v>
          </cell>
          <cell r="M835">
            <v>44.74</v>
          </cell>
          <cell r="N835">
            <v>2014</v>
          </cell>
          <cell r="O835">
            <v>634</v>
          </cell>
          <cell r="P835" t="e">
            <v>#N/A</v>
          </cell>
        </row>
        <row r="836">
          <cell r="B836" t="str">
            <v>National Chung Hsing University</v>
          </cell>
          <cell r="C836" t="str">
            <v>Taiwan</v>
          </cell>
          <cell r="D836">
            <v>8</v>
          </cell>
          <cell r="E836">
            <v>355</v>
          </cell>
          <cell r="F836">
            <v>364</v>
          </cell>
          <cell r="G836">
            <v>210</v>
          </cell>
          <cell r="H836">
            <v>405</v>
          </cell>
          <cell r="I836">
            <v>692</v>
          </cell>
          <cell r="J836">
            <v>609</v>
          </cell>
          <cell r="K836">
            <v>642</v>
          </cell>
          <cell r="L836">
            <v>737</v>
          </cell>
          <cell r="M836">
            <v>44.74</v>
          </cell>
          <cell r="N836">
            <v>2014</v>
          </cell>
          <cell r="O836">
            <v>635</v>
          </cell>
          <cell r="P836">
            <v>20.2</v>
          </cell>
        </row>
        <row r="837">
          <cell r="B837" t="str">
            <v>La Trobe University</v>
          </cell>
          <cell r="C837" t="str">
            <v>Australia</v>
          </cell>
          <cell r="D837">
            <v>19</v>
          </cell>
          <cell r="E837">
            <v>355</v>
          </cell>
          <cell r="F837">
            <v>439</v>
          </cell>
          <cell r="G837">
            <v>210</v>
          </cell>
          <cell r="H837">
            <v>559</v>
          </cell>
          <cell r="I837">
            <v>446</v>
          </cell>
          <cell r="J837">
            <v>800</v>
          </cell>
          <cell r="K837">
            <v>585</v>
          </cell>
          <cell r="L837">
            <v>737</v>
          </cell>
          <cell r="M837">
            <v>44.73</v>
          </cell>
          <cell r="N837">
            <v>2014</v>
          </cell>
          <cell r="O837">
            <v>636</v>
          </cell>
          <cell r="P837">
            <v>19</v>
          </cell>
        </row>
        <row r="838">
          <cell r="B838" t="str">
            <v>Missouri University of Science and Technology</v>
          </cell>
          <cell r="C838" t="str">
            <v>USA</v>
          </cell>
          <cell r="D838">
            <v>183</v>
          </cell>
          <cell r="E838">
            <v>355</v>
          </cell>
          <cell r="F838">
            <v>204</v>
          </cell>
          <cell r="G838">
            <v>210</v>
          </cell>
          <cell r="H838">
            <v>696</v>
          </cell>
          <cell r="I838">
            <v>866</v>
          </cell>
          <cell r="J838">
            <v>493</v>
          </cell>
          <cell r="K838">
            <v>819</v>
          </cell>
          <cell r="L838">
            <v>737</v>
          </cell>
          <cell r="M838">
            <v>44.73</v>
          </cell>
          <cell r="N838">
            <v>2014</v>
          </cell>
          <cell r="O838">
            <v>637</v>
          </cell>
          <cell r="P838">
            <v>23.5</v>
          </cell>
        </row>
        <row r="839">
          <cell r="B839" t="str">
            <v>University of Idaho</v>
          </cell>
          <cell r="C839" t="str">
            <v>USA</v>
          </cell>
          <cell r="D839">
            <v>184</v>
          </cell>
          <cell r="E839">
            <v>355</v>
          </cell>
          <cell r="F839">
            <v>478</v>
          </cell>
          <cell r="G839">
            <v>210</v>
          </cell>
          <cell r="H839">
            <v>640</v>
          </cell>
          <cell r="I839">
            <v>399</v>
          </cell>
          <cell r="J839">
            <v>406</v>
          </cell>
          <cell r="K839">
            <v>569</v>
          </cell>
          <cell r="L839">
            <v>373</v>
          </cell>
          <cell r="M839">
            <v>44.73</v>
          </cell>
          <cell r="N839">
            <v>2014</v>
          </cell>
          <cell r="O839">
            <v>638</v>
          </cell>
          <cell r="P839">
            <v>29.4</v>
          </cell>
        </row>
        <row r="840">
          <cell r="B840" t="str">
            <v>Louisiana Tech University</v>
          </cell>
          <cell r="C840" t="str">
            <v>USA</v>
          </cell>
          <cell r="D840">
            <v>185</v>
          </cell>
          <cell r="E840">
            <v>355</v>
          </cell>
          <cell r="F840">
            <v>213</v>
          </cell>
          <cell r="G840">
            <v>210</v>
          </cell>
          <cell r="H840">
            <v>931</v>
          </cell>
          <cell r="I840">
            <v>864</v>
          </cell>
          <cell r="J840">
            <v>406</v>
          </cell>
          <cell r="K840">
            <v>769</v>
          </cell>
          <cell r="L840">
            <v>737</v>
          </cell>
          <cell r="M840">
            <v>44.73</v>
          </cell>
          <cell r="N840">
            <v>2014</v>
          </cell>
          <cell r="O840">
            <v>639</v>
          </cell>
          <cell r="P840" t="e">
            <v>#N/A</v>
          </cell>
        </row>
        <row r="841">
          <cell r="B841" t="str">
            <v>University of Portsmouth</v>
          </cell>
          <cell r="C841" t="str">
            <v>United Kingdom</v>
          </cell>
          <cell r="D841">
            <v>48</v>
          </cell>
          <cell r="E841">
            <v>355</v>
          </cell>
          <cell r="F841">
            <v>478</v>
          </cell>
          <cell r="G841">
            <v>210</v>
          </cell>
          <cell r="H841">
            <v>759</v>
          </cell>
          <cell r="I841">
            <v>697</v>
          </cell>
          <cell r="J841">
            <v>310</v>
          </cell>
          <cell r="K841">
            <v>543</v>
          </cell>
          <cell r="L841">
            <v>637</v>
          </cell>
          <cell r="M841">
            <v>44.73</v>
          </cell>
          <cell r="N841">
            <v>2014</v>
          </cell>
          <cell r="O841">
            <v>640</v>
          </cell>
          <cell r="P841">
            <v>12.8</v>
          </cell>
        </row>
        <row r="842">
          <cell r="B842" t="str">
            <v>University of La Laguna</v>
          </cell>
          <cell r="C842" t="str">
            <v>Spain</v>
          </cell>
          <cell r="D842">
            <v>19</v>
          </cell>
          <cell r="E842">
            <v>355</v>
          </cell>
          <cell r="F842">
            <v>478</v>
          </cell>
          <cell r="G842">
            <v>210</v>
          </cell>
          <cell r="H842">
            <v>521</v>
          </cell>
          <cell r="I842">
            <v>358</v>
          </cell>
          <cell r="J842">
            <v>800</v>
          </cell>
          <cell r="K842">
            <v>554</v>
          </cell>
          <cell r="L842">
            <v>552</v>
          </cell>
          <cell r="M842">
            <v>44.73</v>
          </cell>
          <cell r="N842">
            <v>2014</v>
          </cell>
          <cell r="O842">
            <v>641</v>
          </cell>
          <cell r="P842">
            <v>16.899999999999999</v>
          </cell>
        </row>
        <row r="843">
          <cell r="B843" t="str">
            <v>Florida International University</v>
          </cell>
          <cell r="C843" t="str">
            <v>USA</v>
          </cell>
          <cell r="D843">
            <v>186</v>
          </cell>
          <cell r="E843">
            <v>355</v>
          </cell>
          <cell r="F843">
            <v>478</v>
          </cell>
          <cell r="G843">
            <v>210</v>
          </cell>
          <cell r="H843">
            <v>502</v>
          </cell>
          <cell r="I843">
            <v>484</v>
          </cell>
          <cell r="J843">
            <v>363</v>
          </cell>
          <cell r="K843">
            <v>569</v>
          </cell>
          <cell r="L843">
            <v>637</v>
          </cell>
          <cell r="M843">
            <v>44.73</v>
          </cell>
          <cell r="N843">
            <v>2014</v>
          </cell>
          <cell r="O843">
            <v>642</v>
          </cell>
          <cell r="P843">
            <v>25.7</v>
          </cell>
        </row>
        <row r="844">
          <cell r="B844" t="str">
            <v>Medical University of Graz</v>
          </cell>
          <cell r="C844" t="str">
            <v>Austria</v>
          </cell>
          <cell r="D844">
            <v>7</v>
          </cell>
          <cell r="E844">
            <v>355</v>
          </cell>
          <cell r="F844">
            <v>478</v>
          </cell>
          <cell r="G844">
            <v>210</v>
          </cell>
          <cell r="H844">
            <v>622</v>
          </cell>
          <cell r="I844">
            <v>673</v>
          </cell>
          <cell r="J844">
            <v>800</v>
          </cell>
          <cell r="K844">
            <v>543</v>
          </cell>
          <cell r="L844">
            <v>481</v>
          </cell>
          <cell r="M844">
            <v>44.72</v>
          </cell>
          <cell r="N844">
            <v>2014</v>
          </cell>
          <cell r="O844">
            <v>643</v>
          </cell>
          <cell r="P844" t="e">
            <v>#N/A</v>
          </cell>
        </row>
        <row r="845">
          <cell r="B845" t="str">
            <v>Howard University</v>
          </cell>
          <cell r="C845" t="str">
            <v>USA</v>
          </cell>
          <cell r="D845">
            <v>187</v>
          </cell>
          <cell r="E845">
            <v>269</v>
          </cell>
          <cell r="F845">
            <v>478</v>
          </cell>
          <cell r="G845">
            <v>210</v>
          </cell>
          <cell r="H845">
            <v>943</v>
          </cell>
          <cell r="I845">
            <v>599</v>
          </cell>
          <cell r="J845">
            <v>406</v>
          </cell>
          <cell r="K845">
            <v>703</v>
          </cell>
          <cell r="L845">
            <v>204</v>
          </cell>
          <cell r="M845">
            <v>44.72</v>
          </cell>
          <cell r="N845">
            <v>2014</v>
          </cell>
          <cell r="O845">
            <v>644</v>
          </cell>
          <cell r="P845">
            <v>38.799999999999997</v>
          </cell>
        </row>
        <row r="846">
          <cell r="B846" t="str">
            <v>University of Hertfordshire</v>
          </cell>
          <cell r="C846" t="str">
            <v>United Kingdom</v>
          </cell>
          <cell r="D846">
            <v>49</v>
          </cell>
          <cell r="E846">
            <v>355</v>
          </cell>
          <cell r="F846">
            <v>478</v>
          </cell>
          <cell r="G846">
            <v>210</v>
          </cell>
          <cell r="H846">
            <v>792</v>
          </cell>
          <cell r="I846">
            <v>390</v>
          </cell>
          <cell r="J846">
            <v>609</v>
          </cell>
          <cell r="K846">
            <v>536</v>
          </cell>
          <cell r="L846">
            <v>637</v>
          </cell>
          <cell r="M846">
            <v>44.72</v>
          </cell>
          <cell r="N846">
            <v>2014</v>
          </cell>
          <cell r="O846">
            <v>645</v>
          </cell>
          <cell r="P846">
            <v>12.2</v>
          </cell>
        </row>
        <row r="847">
          <cell r="B847" t="str">
            <v>State University of New York Upstate Medical University</v>
          </cell>
          <cell r="C847" t="str">
            <v>USA</v>
          </cell>
          <cell r="D847">
            <v>188</v>
          </cell>
          <cell r="E847">
            <v>355</v>
          </cell>
          <cell r="F847">
            <v>478</v>
          </cell>
          <cell r="G847">
            <v>210</v>
          </cell>
          <cell r="H847">
            <v>748</v>
          </cell>
          <cell r="I847">
            <v>593</v>
          </cell>
          <cell r="J847">
            <v>406</v>
          </cell>
          <cell r="K847">
            <v>543</v>
          </cell>
          <cell r="L847">
            <v>552</v>
          </cell>
          <cell r="M847">
            <v>44.72</v>
          </cell>
          <cell r="N847">
            <v>2014</v>
          </cell>
          <cell r="O847">
            <v>646</v>
          </cell>
          <cell r="P847" t="e">
            <v>#N/A</v>
          </cell>
        </row>
        <row r="848">
          <cell r="B848" t="str">
            <v>Royal College of Surgeons in Ireland</v>
          </cell>
          <cell r="C848" t="str">
            <v>Ireland</v>
          </cell>
          <cell r="D848">
            <v>5</v>
          </cell>
          <cell r="E848">
            <v>355</v>
          </cell>
          <cell r="F848">
            <v>478</v>
          </cell>
          <cell r="G848">
            <v>210</v>
          </cell>
          <cell r="H848">
            <v>813</v>
          </cell>
          <cell r="I848">
            <v>724</v>
          </cell>
          <cell r="J848">
            <v>310</v>
          </cell>
          <cell r="K848">
            <v>554</v>
          </cell>
          <cell r="L848">
            <v>552</v>
          </cell>
          <cell r="M848">
            <v>44.72</v>
          </cell>
          <cell r="N848">
            <v>2014</v>
          </cell>
          <cell r="O848">
            <v>647</v>
          </cell>
          <cell r="P848">
            <v>24.7</v>
          </cell>
        </row>
        <row r="849">
          <cell r="B849" t="str">
            <v>National Technical University of Athens</v>
          </cell>
          <cell r="C849" t="str">
            <v>Greece</v>
          </cell>
          <cell r="D849">
            <v>6</v>
          </cell>
          <cell r="E849">
            <v>167</v>
          </cell>
          <cell r="F849">
            <v>478</v>
          </cell>
          <cell r="G849">
            <v>210</v>
          </cell>
          <cell r="H849">
            <v>498</v>
          </cell>
          <cell r="I849">
            <v>938</v>
          </cell>
          <cell r="J849">
            <v>493</v>
          </cell>
          <cell r="K849">
            <v>663</v>
          </cell>
          <cell r="L849">
            <v>737</v>
          </cell>
          <cell r="M849">
            <v>44.72</v>
          </cell>
          <cell r="N849">
            <v>2014</v>
          </cell>
          <cell r="O849">
            <v>648</v>
          </cell>
          <cell r="P849">
            <v>20.2</v>
          </cell>
        </row>
        <row r="850">
          <cell r="B850" t="str">
            <v>University of Windsor</v>
          </cell>
          <cell r="C850" t="str">
            <v>Canada</v>
          </cell>
          <cell r="D850">
            <v>23</v>
          </cell>
          <cell r="E850">
            <v>355</v>
          </cell>
          <cell r="F850">
            <v>239</v>
          </cell>
          <cell r="G850">
            <v>210</v>
          </cell>
          <cell r="H850">
            <v>758</v>
          </cell>
          <cell r="I850">
            <v>910</v>
          </cell>
          <cell r="J850">
            <v>800</v>
          </cell>
          <cell r="K850">
            <v>756</v>
          </cell>
          <cell r="L850">
            <v>481</v>
          </cell>
          <cell r="M850">
            <v>44.72</v>
          </cell>
          <cell r="N850">
            <v>2014</v>
          </cell>
          <cell r="O850">
            <v>649</v>
          </cell>
          <cell r="P850" t="e">
            <v>#N/A</v>
          </cell>
        </row>
        <row r="851">
          <cell r="B851" t="str">
            <v>Rovira i Virgili University</v>
          </cell>
          <cell r="C851" t="str">
            <v>Spain</v>
          </cell>
          <cell r="D851">
            <v>20</v>
          </cell>
          <cell r="E851">
            <v>355</v>
          </cell>
          <cell r="F851">
            <v>478</v>
          </cell>
          <cell r="G851">
            <v>210</v>
          </cell>
          <cell r="H851">
            <v>575</v>
          </cell>
          <cell r="I851">
            <v>646</v>
          </cell>
          <cell r="J851">
            <v>493</v>
          </cell>
          <cell r="K851">
            <v>554</v>
          </cell>
          <cell r="L851">
            <v>552</v>
          </cell>
          <cell r="M851">
            <v>44.71</v>
          </cell>
          <cell r="N851">
            <v>2014</v>
          </cell>
          <cell r="O851">
            <v>650</v>
          </cell>
          <cell r="P851" t="e">
            <v>#N/A</v>
          </cell>
        </row>
        <row r="852">
          <cell r="B852" t="str">
            <v>University of Burgundy</v>
          </cell>
          <cell r="C852" t="str">
            <v>France</v>
          </cell>
          <cell r="D852">
            <v>30</v>
          </cell>
          <cell r="E852">
            <v>214</v>
          </cell>
          <cell r="F852">
            <v>478</v>
          </cell>
          <cell r="G852">
            <v>210</v>
          </cell>
          <cell r="H852">
            <v>524</v>
          </cell>
          <cell r="I852">
            <v>541</v>
          </cell>
          <cell r="J852">
            <v>800</v>
          </cell>
          <cell r="K852">
            <v>605</v>
          </cell>
          <cell r="L852">
            <v>737</v>
          </cell>
          <cell r="M852">
            <v>44.71</v>
          </cell>
          <cell r="N852">
            <v>2014</v>
          </cell>
          <cell r="O852">
            <v>651</v>
          </cell>
          <cell r="P852">
            <v>21.4</v>
          </cell>
        </row>
        <row r="853">
          <cell r="B853" t="str">
            <v>Gunma University</v>
          </cell>
          <cell r="C853" t="str">
            <v>Japan</v>
          </cell>
          <cell r="D853">
            <v>41</v>
          </cell>
          <cell r="E853">
            <v>355</v>
          </cell>
          <cell r="F853">
            <v>478</v>
          </cell>
          <cell r="G853">
            <v>210</v>
          </cell>
          <cell r="H853">
            <v>599</v>
          </cell>
          <cell r="I853">
            <v>519</v>
          </cell>
          <cell r="J853">
            <v>493</v>
          </cell>
          <cell r="K853">
            <v>596</v>
          </cell>
          <cell r="L853">
            <v>338</v>
          </cell>
          <cell r="M853">
            <v>44.71</v>
          </cell>
          <cell r="N853">
            <v>2014</v>
          </cell>
          <cell r="O853">
            <v>652</v>
          </cell>
          <cell r="P853" t="e">
            <v>#N/A</v>
          </cell>
        </row>
        <row r="854">
          <cell r="B854" t="str">
            <v>AGH University of Science and Technology</v>
          </cell>
          <cell r="C854" t="str">
            <v>Poland</v>
          </cell>
          <cell r="D854">
            <v>3</v>
          </cell>
          <cell r="E854">
            <v>257</v>
          </cell>
          <cell r="F854">
            <v>197</v>
          </cell>
          <cell r="G854">
            <v>210</v>
          </cell>
          <cell r="H854">
            <v>722</v>
          </cell>
          <cell r="I854">
            <v>881</v>
          </cell>
          <cell r="J854">
            <v>609</v>
          </cell>
          <cell r="K854">
            <v>909</v>
          </cell>
          <cell r="L854">
            <v>552</v>
          </cell>
          <cell r="M854">
            <v>44.71</v>
          </cell>
          <cell r="N854">
            <v>2014</v>
          </cell>
          <cell r="O854">
            <v>653</v>
          </cell>
          <cell r="P854">
            <v>14.2</v>
          </cell>
        </row>
        <row r="855">
          <cell r="B855" t="str">
            <v>Gifu University</v>
          </cell>
          <cell r="C855" t="str">
            <v>Japan</v>
          </cell>
          <cell r="D855">
            <v>42</v>
          </cell>
          <cell r="E855">
            <v>355</v>
          </cell>
          <cell r="F855">
            <v>478</v>
          </cell>
          <cell r="G855">
            <v>210</v>
          </cell>
          <cell r="H855">
            <v>648</v>
          </cell>
          <cell r="I855">
            <v>664</v>
          </cell>
          <cell r="J855">
            <v>493</v>
          </cell>
          <cell r="K855">
            <v>569</v>
          </cell>
          <cell r="L855">
            <v>426</v>
          </cell>
          <cell r="M855">
            <v>44.71</v>
          </cell>
          <cell r="N855">
            <v>2014</v>
          </cell>
          <cell r="O855">
            <v>654</v>
          </cell>
          <cell r="P855">
            <v>25.4</v>
          </cell>
        </row>
        <row r="856">
          <cell r="B856" t="str">
            <v>Hacettepe University</v>
          </cell>
          <cell r="C856" t="str">
            <v>Turkey</v>
          </cell>
          <cell r="D856">
            <v>3</v>
          </cell>
          <cell r="E856">
            <v>355</v>
          </cell>
          <cell r="F856">
            <v>478</v>
          </cell>
          <cell r="G856">
            <v>210</v>
          </cell>
          <cell r="H856">
            <v>636</v>
          </cell>
          <cell r="I856">
            <v>636</v>
          </cell>
          <cell r="J856">
            <v>406</v>
          </cell>
          <cell r="K856">
            <v>554</v>
          </cell>
          <cell r="L856">
            <v>737</v>
          </cell>
          <cell r="M856">
            <v>44.71</v>
          </cell>
          <cell r="N856">
            <v>2014</v>
          </cell>
          <cell r="O856">
            <v>655</v>
          </cell>
          <cell r="P856">
            <v>21</v>
          </cell>
        </row>
        <row r="857">
          <cell r="B857" t="str">
            <v>Ã–rebro University</v>
          </cell>
          <cell r="C857" t="str">
            <v>Sweden</v>
          </cell>
          <cell r="D857">
            <v>11</v>
          </cell>
          <cell r="E857">
            <v>355</v>
          </cell>
          <cell r="F857">
            <v>478</v>
          </cell>
          <cell r="G857">
            <v>210</v>
          </cell>
          <cell r="H857">
            <v>820</v>
          </cell>
          <cell r="I857">
            <v>771</v>
          </cell>
          <cell r="J857">
            <v>406</v>
          </cell>
          <cell r="K857">
            <v>543</v>
          </cell>
          <cell r="L857">
            <v>737</v>
          </cell>
          <cell r="M857">
            <v>44.7</v>
          </cell>
          <cell r="N857">
            <v>2014</v>
          </cell>
          <cell r="O857">
            <v>656</v>
          </cell>
          <cell r="P857">
            <v>18.3</v>
          </cell>
        </row>
        <row r="858">
          <cell r="B858" t="str">
            <v>Memorial University of Newfoundland</v>
          </cell>
          <cell r="C858" t="str">
            <v>Canada</v>
          </cell>
          <cell r="D858">
            <v>24</v>
          </cell>
          <cell r="E858">
            <v>355</v>
          </cell>
          <cell r="F858">
            <v>478</v>
          </cell>
          <cell r="G858">
            <v>210</v>
          </cell>
          <cell r="H858">
            <v>563</v>
          </cell>
          <cell r="I858">
            <v>596</v>
          </cell>
          <cell r="J858">
            <v>800</v>
          </cell>
          <cell r="K858">
            <v>554</v>
          </cell>
          <cell r="L858">
            <v>737</v>
          </cell>
          <cell r="M858">
            <v>44.7</v>
          </cell>
          <cell r="N858">
            <v>2014</v>
          </cell>
          <cell r="O858">
            <v>657</v>
          </cell>
          <cell r="P858">
            <v>18.100000000000001</v>
          </cell>
        </row>
        <row r="859">
          <cell r="B859" t="str">
            <v>Kindai University</v>
          </cell>
          <cell r="C859" t="str">
            <v>Japan</v>
          </cell>
          <cell r="D859">
            <v>43</v>
          </cell>
          <cell r="E859">
            <v>355</v>
          </cell>
          <cell r="F859">
            <v>478</v>
          </cell>
          <cell r="G859">
            <v>210</v>
          </cell>
          <cell r="H859">
            <v>655</v>
          </cell>
          <cell r="I859">
            <v>721</v>
          </cell>
          <cell r="J859">
            <v>493</v>
          </cell>
          <cell r="K859">
            <v>585</v>
          </cell>
          <cell r="L859">
            <v>373</v>
          </cell>
          <cell r="M859">
            <v>44.7</v>
          </cell>
          <cell r="N859">
            <v>2014</v>
          </cell>
          <cell r="O859">
            <v>658</v>
          </cell>
          <cell r="P859" t="e">
            <v>#N/A</v>
          </cell>
        </row>
        <row r="860">
          <cell r="B860" t="str">
            <v>University of Rhode Island</v>
          </cell>
          <cell r="C860" t="str">
            <v>USA</v>
          </cell>
          <cell r="D860">
            <v>189</v>
          </cell>
          <cell r="E860">
            <v>355</v>
          </cell>
          <cell r="F860">
            <v>353</v>
          </cell>
          <cell r="G860">
            <v>210</v>
          </cell>
          <cell r="H860">
            <v>649</v>
          </cell>
          <cell r="I860">
            <v>373</v>
          </cell>
          <cell r="J860">
            <v>406</v>
          </cell>
          <cell r="K860">
            <v>628</v>
          </cell>
          <cell r="L860">
            <v>737</v>
          </cell>
          <cell r="M860">
            <v>44.7</v>
          </cell>
          <cell r="N860">
            <v>2014</v>
          </cell>
          <cell r="O860">
            <v>659</v>
          </cell>
          <cell r="P860" t="e">
            <v>#N/A</v>
          </cell>
        </row>
        <row r="861">
          <cell r="B861" t="str">
            <v>University of Alicante</v>
          </cell>
          <cell r="C861" t="str">
            <v>Spain</v>
          </cell>
          <cell r="D861">
            <v>21</v>
          </cell>
          <cell r="E861">
            <v>355</v>
          </cell>
          <cell r="F861">
            <v>478</v>
          </cell>
          <cell r="G861">
            <v>210</v>
          </cell>
          <cell r="H861">
            <v>657</v>
          </cell>
          <cell r="I861">
            <v>797</v>
          </cell>
          <cell r="J861">
            <v>800</v>
          </cell>
          <cell r="K861">
            <v>675</v>
          </cell>
          <cell r="L861">
            <v>227</v>
          </cell>
          <cell r="M861">
            <v>44.7</v>
          </cell>
          <cell r="N861">
            <v>2014</v>
          </cell>
          <cell r="O861">
            <v>660</v>
          </cell>
          <cell r="P861" t="e">
            <v>#N/A</v>
          </cell>
        </row>
        <row r="862">
          <cell r="B862" t="str">
            <v>New Jersey Institute of Technology</v>
          </cell>
          <cell r="C862" t="str">
            <v>USA</v>
          </cell>
          <cell r="D862">
            <v>190</v>
          </cell>
          <cell r="E862">
            <v>235</v>
          </cell>
          <cell r="F862">
            <v>326</v>
          </cell>
          <cell r="G862">
            <v>210</v>
          </cell>
          <cell r="H862">
            <v>745</v>
          </cell>
          <cell r="I862">
            <v>654</v>
          </cell>
          <cell r="J862">
            <v>800</v>
          </cell>
          <cell r="K862">
            <v>703</v>
          </cell>
          <cell r="L862">
            <v>426</v>
          </cell>
          <cell r="M862">
            <v>44.69</v>
          </cell>
          <cell r="N862">
            <v>2014</v>
          </cell>
          <cell r="O862">
            <v>661</v>
          </cell>
          <cell r="P862">
            <v>17.100000000000001</v>
          </cell>
        </row>
        <row r="863">
          <cell r="B863" t="str">
            <v>Lille 2 University of Health and Law</v>
          </cell>
          <cell r="C863" t="str">
            <v>France</v>
          </cell>
          <cell r="D863">
            <v>31</v>
          </cell>
          <cell r="E863">
            <v>355</v>
          </cell>
          <cell r="F863">
            <v>478</v>
          </cell>
          <cell r="G863">
            <v>210</v>
          </cell>
          <cell r="H863">
            <v>854</v>
          </cell>
          <cell r="I863">
            <v>624</v>
          </cell>
          <cell r="J863">
            <v>800</v>
          </cell>
          <cell r="K863">
            <v>543</v>
          </cell>
          <cell r="L863">
            <v>637</v>
          </cell>
          <cell r="M863">
            <v>44.69</v>
          </cell>
          <cell r="N863">
            <v>2014</v>
          </cell>
          <cell r="O863">
            <v>662</v>
          </cell>
          <cell r="P863" t="e">
            <v>#N/A</v>
          </cell>
        </row>
        <row r="864">
          <cell r="B864" t="str">
            <v>Keele University</v>
          </cell>
          <cell r="C864" t="str">
            <v>United Kingdom</v>
          </cell>
          <cell r="D864">
            <v>50</v>
          </cell>
          <cell r="E864">
            <v>355</v>
          </cell>
          <cell r="F864">
            <v>478</v>
          </cell>
          <cell r="G864">
            <v>210</v>
          </cell>
          <cell r="H864">
            <v>635</v>
          </cell>
          <cell r="I864">
            <v>535</v>
          </cell>
          <cell r="J864">
            <v>406</v>
          </cell>
          <cell r="K864">
            <v>569</v>
          </cell>
          <cell r="L864">
            <v>737</v>
          </cell>
          <cell r="M864">
            <v>44.69</v>
          </cell>
          <cell r="N864">
            <v>2014</v>
          </cell>
          <cell r="O864">
            <v>663</v>
          </cell>
          <cell r="P864">
            <v>18</v>
          </cell>
        </row>
        <row r="865">
          <cell r="B865" t="str">
            <v>University of JyvÃ¤skylÃ¤</v>
          </cell>
          <cell r="C865" t="str">
            <v>Finland</v>
          </cell>
          <cell r="D865">
            <v>8</v>
          </cell>
          <cell r="E865">
            <v>355</v>
          </cell>
          <cell r="F865">
            <v>478</v>
          </cell>
          <cell r="G865">
            <v>210</v>
          </cell>
          <cell r="H865">
            <v>471</v>
          </cell>
          <cell r="I865">
            <v>462</v>
          </cell>
          <cell r="J865">
            <v>493</v>
          </cell>
          <cell r="K865">
            <v>596</v>
          </cell>
          <cell r="L865">
            <v>737</v>
          </cell>
          <cell r="M865">
            <v>44.69</v>
          </cell>
          <cell r="N865">
            <v>2014</v>
          </cell>
          <cell r="O865">
            <v>664</v>
          </cell>
          <cell r="P865">
            <v>24.3</v>
          </cell>
        </row>
        <row r="866">
          <cell r="B866" t="str">
            <v>Rochester Institute of Technology</v>
          </cell>
          <cell r="C866" t="str">
            <v>USA</v>
          </cell>
          <cell r="D866">
            <v>191</v>
          </cell>
          <cell r="E866">
            <v>355</v>
          </cell>
          <cell r="F866">
            <v>366</v>
          </cell>
          <cell r="G866">
            <v>210</v>
          </cell>
          <cell r="H866">
            <v>936</v>
          </cell>
          <cell r="I866">
            <v>613</v>
          </cell>
          <cell r="J866">
            <v>310</v>
          </cell>
          <cell r="K866">
            <v>675</v>
          </cell>
          <cell r="L866">
            <v>373</v>
          </cell>
          <cell r="M866">
            <v>44.69</v>
          </cell>
          <cell r="N866">
            <v>2014</v>
          </cell>
          <cell r="O866">
            <v>665</v>
          </cell>
          <cell r="P866">
            <v>17.399999999999999</v>
          </cell>
        </row>
        <row r="867">
          <cell r="B867" t="str">
            <v>Sapporo Medical University</v>
          </cell>
          <cell r="C867" t="str">
            <v>Japan</v>
          </cell>
          <cell r="D867">
            <v>44</v>
          </cell>
          <cell r="E867">
            <v>355</v>
          </cell>
          <cell r="F867">
            <v>478</v>
          </cell>
          <cell r="G867">
            <v>210</v>
          </cell>
          <cell r="H867">
            <v>929</v>
          </cell>
          <cell r="I867">
            <v>823</v>
          </cell>
          <cell r="J867">
            <v>609</v>
          </cell>
          <cell r="K867">
            <v>618</v>
          </cell>
          <cell r="L867">
            <v>280</v>
          </cell>
          <cell r="M867">
            <v>44.69</v>
          </cell>
          <cell r="N867">
            <v>2014</v>
          </cell>
          <cell r="O867">
            <v>666</v>
          </cell>
          <cell r="P867" t="e">
            <v>#N/A</v>
          </cell>
        </row>
        <row r="868">
          <cell r="B868" t="str">
            <v>Banaras Hindu University</v>
          </cell>
          <cell r="C868" t="str">
            <v>India</v>
          </cell>
          <cell r="D868">
            <v>11</v>
          </cell>
          <cell r="E868">
            <v>237</v>
          </cell>
          <cell r="F868">
            <v>285</v>
          </cell>
          <cell r="G868">
            <v>210</v>
          </cell>
          <cell r="H868">
            <v>746</v>
          </cell>
          <cell r="I868">
            <v>927</v>
          </cell>
          <cell r="J868">
            <v>363</v>
          </cell>
          <cell r="K868">
            <v>756</v>
          </cell>
          <cell r="L868">
            <v>737</v>
          </cell>
          <cell r="M868">
            <v>44.69</v>
          </cell>
          <cell r="N868">
            <v>2014</v>
          </cell>
          <cell r="O868">
            <v>667</v>
          </cell>
          <cell r="P868" t="e">
            <v>#N/A</v>
          </cell>
        </row>
        <row r="869">
          <cell r="B869" t="str">
            <v>King Abdullah University of Science and Technology</v>
          </cell>
          <cell r="C869" t="str">
            <v>Saudi Arabia</v>
          </cell>
          <cell r="D869">
            <v>2</v>
          </cell>
          <cell r="E869">
            <v>355</v>
          </cell>
          <cell r="F869">
            <v>478</v>
          </cell>
          <cell r="G869">
            <v>117</v>
          </cell>
          <cell r="H869">
            <v>799</v>
          </cell>
          <cell r="I869">
            <v>640</v>
          </cell>
          <cell r="J869">
            <v>800</v>
          </cell>
          <cell r="K869">
            <v>989</v>
          </cell>
          <cell r="L869">
            <v>159</v>
          </cell>
          <cell r="M869">
            <v>44.69</v>
          </cell>
          <cell r="N869">
            <v>2014</v>
          </cell>
          <cell r="O869">
            <v>668</v>
          </cell>
          <cell r="P869" t="e">
            <v>#N/A</v>
          </cell>
        </row>
        <row r="870">
          <cell r="B870" t="str">
            <v>Northeast Normal University</v>
          </cell>
          <cell r="C870" t="str">
            <v>China</v>
          </cell>
          <cell r="D870">
            <v>31</v>
          </cell>
          <cell r="E870">
            <v>355</v>
          </cell>
          <cell r="F870">
            <v>478</v>
          </cell>
          <cell r="G870">
            <v>210</v>
          </cell>
          <cell r="H870">
            <v>716</v>
          </cell>
          <cell r="I870">
            <v>774</v>
          </cell>
          <cell r="J870">
            <v>609</v>
          </cell>
          <cell r="K870">
            <v>554</v>
          </cell>
          <cell r="L870">
            <v>737</v>
          </cell>
          <cell r="M870">
            <v>44.69</v>
          </cell>
          <cell r="N870">
            <v>2014</v>
          </cell>
          <cell r="O870">
            <v>669</v>
          </cell>
          <cell r="P870" t="e">
            <v>#N/A</v>
          </cell>
        </row>
        <row r="871">
          <cell r="B871" t="str">
            <v>Portland State University</v>
          </cell>
          <cell r="C871" t="str">
            <v>USA</v>
          </cell>
          <cell r="D871">
            <v>192</v>
          </cell>
          <cell r="E871">
            <v>355</v>
          </cell>
          <cell r="F871">
            <v>272</v>
          </cell>
          <cell r="G871">
            <v>210</v>
          </cell>
          <cell r="H871">
            <v>784</v>
          </cell>
          <cell r="I871">
            <v>540</v>
          </cell>
          <cell r="J871">
            <v>800</v>
          </cell>
          <cell r="K871">
            <v>739</v>
          </cell>
          <cell r="L871">
            <v>481</v>
          </cell>
          <cell r="M871">
            <v>44.68</v>
          </cell>
          <cell r="N871">
            <v>2014</v>
          </cell>
          <cell r="O871">
            <v>670</v>
          </cell>
          <cell r="P871">
            <v>16.8</v>
          </cell>
        </row>
        <row r="872">
          <cell r="B872" t="str">
            <v>University of QuÃ©bec at Montreal</v>
          </cell>
          <cell r="C872" t="str">
            <v>Canada</v>
          </cell>
          <cell r="D872">
            <v>25</v>
          </cell>
          <cell r="E872">
            <v>355</v>
          </cell>
          <cell r="F872">
            <v>457</v>
          </cell>
          <cell r="G872">
            <v>210</v>
          </cell>
          <cell r="H872">
            <v>534</v>
          </cell>
          <cell r="I872">
            <v>546</v>
          </cell>
          <cell r="J872">
            <v>406</v>
          </cell>
          <cell r="K872">
            <v>628</v>
          </cell>
          <cell r="L872">
            <v>737</v>
          </cell>
          <cell r="M872">
            <v>44.68</v>
          </cell>
          <cell r="N872">
            <v>2014</v>
          </cell>
          <cell r="O872">
            <v>671</v>
          </cell>
          <cell r="P872" t="e">
            <v>#N/A</v>
          </cell>
        </row>
        <row r="873">
          <cell r="B873" t="str">
            <v>East China Normal University</v>
          </cell>
          <cell r="C873" t="str">
            <v>China</v>
          </cell>
          <cell r="D873">
            <v>32</v>
          </cell>
          <cell r="E873">
            <v>355</v>
          </cell>
          <cell r="F873">
            <v>431</v>
          </cell>
          <cell r="G873">
            <v>210</v>
          </cell>
          <cell r="H873">
            <v>477</v>
          </cell>
          <cell r="I873">
            <v>614</v>
          </cell>
          <cell r="J873">
            <v>800</v>
          </cell>
          <cell r="K873">
            <v>663</v>
          </cell>
          <cell r="L873">
            <v>481</v>
          </cell>
          <cell r="M873">
            <v>44.68</v>
          </cell>
          <cell r="N873">
            <v>2014</v>
          </cell>
          <cell r="O873">
            <v>672</v>
          </cell>
          <cell r="P873">
            <v>24.6</v>
          </cell>
        </row>
        <row r="874">
          <cell r="B874" t="str">
            <v>University of Debrecen</v>
          </cell>
          <cell r="C874" t="str">
            <v>Hungary</v>
          </cell>
          <cell r="D874">
            <v>3</v>
          </cell>
          <cell r="E874">
            <v>355</v>
          </cell>
          <cell r="F874">
            <v>478</v>
          </cell>
          <cell r="G874">
            <v>210</v>
          </cell>
          <cell r="H874">
            <v>660</v>
          </cell>
          <cell r="I874">
            <v>586</v>
          </cell>
          <cell r="J874">
            <v>406</v>
          </cell>
          <cell r="K874">
            <v>585</v>
          </cell>
          <cell r="L874">
            <v>552</v>
          </cell>
          <cell r="M874">
            <v>44.68</v>
          </cell>
          <cell r="N874">
            <v>2014</v>
          </cell>
          <cell r="O874">
            <v>673</v>
          </cell>
          <cell r="P874">
            <v>17.3</v>
          </cell>
        </row>
        <row r="875">
          <cell r="B875" t="str">
            <v>Loma Linda University</v>
          </cell>
          <cell r="C875" t="str">
            <v>USA</v>
          </cell>
          <cell r="D875">
            <v>193</v>
          </cell>
          <cell r="E875">
            <v>355</v>
          </cell>
          <cell r="F875">
            <v>478</v>
          </cell>
          <cell r="G875">
            <v>210</v>
          </cell>
          <cell r="H875">
            <v>820</v>
          </cell>
          <cell r="I875">
            <v>759</v>
          </cell>
          <cell r="J875">
            <v>609</v>
          </cell>
          <cell r="K875">
            <v>554</v>
          </cell>
          <cell r="L875">
            <v>737</v>
          </cell>
          <cell r="M875">
            <v>44.68</v>
          </cell>
          <cell r="N875">
            <v>2014</v>
          </cell>
          <cell r="O875">
            <v>674</v>
          </cell>
          <cell r="P875" t="e">
            <v>#N/A</v>
          </cell>
        </row>
        <row r="876">
          <cell r="B876" t="str">
            <v>Old Dominion University</v>
          </cell>
          <cell r="C876" t="str">
            <v>USA</v>
          </cell>
          <cell r="D876">
            <v>194</v>
          </cell>
          <cell r="E876">
            <v>355</v>
          </cell>
          <cell r="F876">
            <v>478</v>
          </cell>
          <cell r="G876">
            <v>210</v>
          </cell>
          <cell r="H876">
            <v>717</v>
          </cell>
          <cell r="I876">
            <v>622</v>
          </cell>
          <cell r="J876">
            <v>406</v>
          </cell>
          <cell r="K876">
            <v>596</v>
          </cell>
          <cell r="L876">
            <v>426</v>
          </cell>
          <cell r="M876">
            <v>44.68</v>
          </cell>
          <cell r="N876">
            <v>2014</v>
          </cell>
          <cell r="O876">
            <v>675</v>
          </cell>
          <cell r="P876">
            <v>17.100000000000001</v>
          </cell>
        </row>
        <row r="877">
          <cell r="B877" t="str">
            <v>University of Insubria</v>
          </cell>
          <cell r="C877" t="str">
            <v>Italy</v>
          </cell>
          <cell r="D877">
            <v>35</v>
          </cell>
          <cell r="E877">
            <v>355</v>
          </cell>
          <cell r="F877">
            <v>478</v>
          </cell>
          <cell r="G877">
            <v>210</v>
          </cell>
          <cell r="H877">
            <v>685</v>
          </cell>
          <cell r="I877">
            <v>600</v>
          </cell>
          <cell r="J877">
            <v>609</v>
          </cell>
          <cell r="K877">
            <v>569</v>
          </cell>
          <cell r="L877">
            <v>737</v>
          </cell>
          <cell r="M877">
            <v>44.67</v>
          </cell>
          <cell r="N877">
            <v>2014</v>
          </cell>
          <cell r="O877">
            <v>676</v>
          </cell>
          <cell r="P877" t="e">
            <v>#N/A</v>
          </cell>
        </row>
        <row r="878">
          <cell r="B878" t="str">
            <v>University of Nevada, Las Vegas</v>
          </cell>
          <cell r="C878" t="str">
            <v>USA</v>
          </cell>
          <cell r="D878">
            <v>195</v>
          </cell>
          <cell r="E878">
            <v>355</v>
          </cell>
          <cell r="F878">
            <v>412</v>
          </cell>
          <cell r="G878">
            <v>210</v>
          </cell>
          <cell r="H878">
            <v>619</v>
          </cell>
          <cell r="I878">
            <v>457</v>
          </cell>
          <cell r="J878">
            <v>800</v>
          </cell>
          <cell r="K878">
            <v>628</v>
          </cell>
          <cell r="L878">
            <v>737</v>
          </cell>
          <cell r="M878">
            <v>44.67</v>
          </cell>
          <cell r="N878">
            <v>2014</v>
          </cell>
          <cell r="O878">
            <v>677</v>
          </cell>
          <cell r="P878" t="e">
            <v>#N/A</v>
          </cell>
        </row>
        <row r="879">
          <cell r="B879" t="str">
            <v>Hong Kong Baptist University</v>
          </cell>
          <cell r="C879" t="str">
            <v>Hong Kong</v>
          </cell>
          <cell r="D879">
            <v>6</v>
          </cell>
          <cell r="E879">
            <v>355</v>
          </cell>
          <cell r="F879">
            <v>478</v>
          </cell>
          <cell r="G879">
            <v>210</v>
          </cell>
          <cell r="H879">
            <v>591</v>
          </cell>
          <cell r="I879">
            <v>922</v>
          </cell>
          <cell r="J879">
            <v>609</v>
          </cell>
          <cell r="K879">
            <v>585</v>
          </cell>
          <cell r="L879">
            <v>637</v>
          </cell>
          <cell r="M879">
            <v>44.67</v>
          </cell>
          <cell r="N879">
            <v>2014</v>
          </cell>
          <cell r="O879">
            <v>678</v>
          </cell>
          <cell r="P879">
            <v>32.9</v>
          </cell>
        </row>
        <row r="880">
          <cell r="B880" t="str">
            <v>University of Minho</v>
          </cell>
          <cell r="C880" t="str">
            <v>Portugal</v>
          </cell>
          <cell r="D880">
            <v>6</v>
          </cell>
          <cell r="E880">
            <v>355</v>
          </cell>
          <cell r="F880">
            <v>478</v>
          </cell>
          <cell r="G880">
            <v>210</v>
          </cell>
          <cell r="H880">
            <v>590</v>
          </cell>
          <cell r="I880">
            <v>641</v>
          </cell>
          <cell r="J880">
            <v>363</v>
          </cell>
          <cell r="K880">
            <v>642</v>
          </cell>
          <cell r="L880">
            <v>338</v>
          </cell>
          <cell r="M880">
            <v>44.67</v>
          </cell>
          <cell r="N880">
            <v>2014</v>
          </cell>
          <cell r="O880">
            <v>679</v>
          </cell>
          <cell r="P880">
            <v>17.600000000000001</v>
          </cell>
        </row>
        <row r="881">
          <cell r="B881" t="str">
            <v>University of Messina</v>
          </cell>
          <cell r="C881" t="str">
            <v>Italy</v>
          </cell>
          <cell r="D881">
            <v>36</v>
          </cell>
          <cell r="E881">
            <v>355</v>
          </cell>
          <cell r="F881">
            <v>478</v>
          </cell>
          <cell r="G881">
            <v>210</v>
          </cell>
          <cell r="H881">
            <v>577</v>
          </cell>
          <cell r="I881">
            <v>763</v>
          </cell>
          <cell r="J881">
            <v>800</v>
          </cell>
          <cell r="K881">
            <v>585</v>
          </cell>
          <cell r="L881">
            <v>737</v>
          </cell>
          <cell r="M881">
            <v>44.67</v>
          </cell>
          <cell r="N881">
            <v>2014</v>
          </cell>
          <cell r="O881">
            <v>680</v>
          </cell>
          <cell r="P881" t="e">
            <v>#N/A</v>
          </cell>
        </row>
        <row r="882">
          <cell r="B882" t="str">
            <v>University of Texas at Arlington</v>
          </cell>
          <cell r="C882" t="str">
            <v>USA</v>
          </cell>
          <cell r="D882">
            <v>196</v>
          </cell>
          <cell r="E882">
            <v>355</v>
          </cell>
          <cell r="F882">
            <v>478</v>
          </cell>
          <cell r="G882">
            <v>210</v>
          </cell>
          <cell r="H882">
            <v>494</v>
          </cell>
          <cell r="I882">
            <v>514</v>
          </cell>
          <cell r="J882">
            <v>493</v>
          </cell>
          <cell r="K882">
            <v>605</v>
          </cell>
          <cell r="L882">
            <v>637</v>
          </cell>
          <cell r="M882">
            <v>44.67</v>
          </cell>
          <cell r="N882">
            <v>2014</v>
          </cell>
          <cell r="O882">
            <v>681</v>
          </cell>
          <cell r="P882">
            <v>20.100000000000001</v>
          </cell>
        </row>
        <row r="883">
          <cell r="B883" t="str">
            <v>University FranÃ§ois Rabelais, Tours</v>
          </cell>
          <cell r="C883" t="str">
            <v>France</v>
          </cell>
          <cell r="D883">
            <v>32</v>
          </cell>
          <cell r="E883">
            <v>188</v>
          </cell>
          <cell r="F883">
            <v>478</v>
          </cell>
          <cell r="G883">
            <v>210</v>
          </cell>
          <cell r="H883">
            <v>684</v>
          </cell>
          <cell r="I883">
            <v>503</v>
          </cell>
          <cell r="J883">
            <v>609</v>
          </cell>
          <cell r="K883">
            <v>663</v>
          </cell>
          <cell r="L883">
            <v>481</v>
          </cell>
          <cell r="M883">
            <v>44.67</v>
          </cell>
          <cell r="N883">
            <v>2014</v>
          </cell>
          <cell r="O883">
            <v>682</v>
          </cell>
          <cell r="P883" t="e">
            <v>#N/A</v>
          </cell>
        </row>
        <row r="884">
          <cell r="B884" t="str">
            <v>UNESP, SÃ£o Paulo State University</v>
          </cell>
          <cell r="C884" t="str">
            <v>Brazil</v>
          </cell>
          <cell r="D884">
            <v>7</v>
          </cell>
          <cell r="E884">
            <v>355</v>
          </cell>
          <cell r="F884">
            <v>478</v>
          </cell>
          <cell r="G884">
            <v>210</v>
          </cell>
          <cell r="H884">
            <v>352</v>
          </cell>
          <cell r="I884">
            <v>655</v>
          </cell>
          <cell r="J884">
            <v>493</v>
          </cell>
          <cell r="K884">
            <v>690</v>
          </cell>
          <cell r="L884">
            <v>552</v>
          </cell>
          <cell r="M884">
            <v>44.67</v>
          </cell>
          <cell r="N884">
            <v>2014</v>
          </cell>
          <cell r="O884">
            <v>683</v>
          </cell>
          <cell r="P884" t="e">
            <v>#N/A</v>
          </cell>
        </row>
        <row r="885">
          <cell r="B885" t="str">
            <v>Toho University</v>
          </cell>
          <cell r="C885" t="str">
            <v>Japan</v>
          </cell>
          <cell r="D885">
            <v>45</v>
          </cell>
          <cell r="E885">
            <v>355</v>
          </cell>
          <cell r="F885">
            <v>478</v>
          </cell>
          <cell r="G885">
            <v>154</v>
          </cell>
          <cell r="H885">
            <v>800</v>
          </cell>
          <cell r="I885">
            <v>788</v>
          </cell>
          <cell r="J885">
            <v>800</v>
          </cell>
          <cell r="K885">
            <v>690</v>
          </cell>
          <cell r="L885">
            <v>552</v>
          </cell>
          <cell r="M885">
            <v>44.67</v>
          </cell>
          <cell r="N885">
            <v>2014</v>
          </cell>
          <cell r="O885">
            <v>684</v>
          </cell>
          <cell r="P885" t="e">
            <v>#N/A</v>
          </cell>
        </row>
        <row r="886">
          <cell r="B886" t="str">
            <v>Beijing University of Chemical Technology</v>
          </cell>
          <cell r="C886" t="str">
            <v>China</v>
          </cell>
          <cell r="D886">
            <v>33</v>
          </cell>
          <cell r="E886">
            <v>355</v>
          </cell>
          <cell r="F886">
            <v>405</v>
          </cell>
          <cell r="G886">
            <v>210</v>
          </cell>
          <cell r="H886">
            <v>619</v>
          </cell>
          <cell r="I886">
            <v>974</v>
          </cell>
          <cell r="J886">
            <v>800</v>
          </cell>
          <cell r="K886">
            <v>749</v>
          </cell>
          <cell r="L886">
            <v>259</v>
          </cell>
          <cell r="M886">
            <v>44.67</v>
          </cell>
          <cell r="N886">
            <v>2014</v>
          </cell>
          <cell r="O886">
            <v>685</v>
          </cell>
          <cell r="P886" t="e">
            <v>#N/A</v>
          </cell>
        </row>
        <row r="887">
          <cell r="B887" t="str">
            <v>Rutgers, The State University of New Jersey - Newark</v>
          </cell>
          <cell r="C887" t="str">
            <v>USA</v>
          </cell>
          <cell r="D887">
            <v>197</v>
          </cell>
          <cell r="E887">
            <v>355</v>
          </cell>
          <cell r="F887">
            <v>478</v>
          </cell>
          <cell r="G887">
            <v>210</v>
          </cell>
          <cell r="H887">
            <v>855</v>
          </cell>
          <cell r="I887">
            <v>498</v>
          </cell>
          <cell r="J887">
            <v>609</v>
          </cell>
          <cell r="K887">
            <v>569</v>
          </cell>
          <cell r="L887">
            <v>737</v>
          </cell>
          <cell r="M887">
            <v>44.66</v>
          </cell>
          <cell r="N887">
            <v>2014</v>
          </cell>
          <cell r="O887">
            <v>686</v>
          </cell>
          <cell r="P887" t="e">
            <v>#N/A</v>
          </cell>
        </row>
        <row r="888">
          <cell r="B888" t="str">
            <v>Johannes Kepler University of Linz</v>
          </cell>
          <cell r="C888" t="str">
            <v>Austria</v>
          </cell>
          <cell r="D888">
            <v>8</v>
          </cell>
          <cell r="E888">
            <v>355</v>
          </cell>
          <cell r="F888">
            <v>373</v>
          </cell>
          <cell r="G888">
            <v>210</v>
          </cell>
          <cell r="H888">
            <v>738</v>
          </cell>
          <cell r="I888">
            <v>645</v>
          </cell>
          <cell r="J888">
            <v>493</v>
          </cell>
          <cell r="K888">
            <v>663</v>
          </cell>
          <cell r="L888">
            <v>481</v>
          </cell>
          <cell r="M888">
            <v>44.66</v>
          </cell>
          <cell r="N888">
            <v>2014</v>
          </cell>
          <cell r="O888">
            <v>687</v>
          </cell>
          <cell r="P888">
            <v>18.399999999999999</v>
          </cell>
        </row>
        <row r="889">
          <cell r="B889" t="str">
            <v>Warsaw University of Technology</v>
          </cell>
          <cell r="C889" t="str">
            <v>Poland</v>
          </cell>
          <cell r="D889">
            <v>4</v>
          </cell>
          <cell r="E889">
            <v>333</v>
          </cell>
          <cell r="F889">
            <v>478</v>
          </cell>
          <cell r="G889">
            <v>210</v>
          </cell>
          <cell r="H889">
            <v>695</v>
          </cell>
          <cell r="I889">
            <v>748</v>
          </cell>
          <cell r="J889">
            <v>310</v>
          </cell>
          <cell r="K889">
            <v>605</v>
          </cell>
          <cell r="L889">
            <v>737</v>
          </cell>
          <cell r="M889">
            <v>44.66</v>
          </cell>
          <cell r="N889">
            <v>2014</v>
          </cell>
          <cell r="O889">
            <v>688</v>
          </cell>
          <cell r="P889">
            <v>19.399999999999999</v>
          </cell>
        </row>
        <row r="890">
          <cell r="B890" t="str">
            <v>University of Paris 13</v>
          </cell>
          <cell r="C890" t="str">
            <v>France</v>
          </cell>
          <cell r="D890">
            <v>33</v>
          </cell>
          <cell r="E890">
            <v>355</v>
          </cell>
          <cell r="F890">
            <v>478</v>
          </cell>
          <cell r="G890">
            <v>210</v>
          </cell>
          <cell r="H890">
            <v>672</v>
          </cell>
          <cell r="I890">
            <v>783</v>
          </cell>
          <cell r="J890">
            <v>609</v>
          </cell>
          <cell r="K890">
            <v>585</v>
          </cell>
          <cell r="L890">
            <v>737</v>
          </cell>
          <cell r="M890">
            <v>44.66</v>
          </cell>
          <cell r="N890">
            <v>2014</v>
          </cell>
          <cell r="O890">
            <v>689</v>
          </cell>
          <cell r="P890" t="e">
            <v>#N/A</v>
          </cell>
        </row>
        <row r="891">
          <cell r="B891" t="str">
            <v>University of Toyama</v>
          </cell>
          <cell r="C891" t="str">
            <v>Japan</v>
          </cell>
          <cell r="D891">
            <v>46</v>
          </cell>
          <cell r="E891">
            <v>355</v>
          </cell>
          <cell r="F891">
            <v>323</v>
          </cell>
          <cell r="G891">
            <v>210</v>
          </cell>
          <cell r="H891">
            <v>659</v>
          </cell>
          <cell r="I891">
            <v>736</v>
          </cell>
          <cell r="J891">
            <v>609</v>
          </cell>
          <cell r="K891">
            <v>675</v>
          </cell>
          <cell r="L891">
            <v>737</v>
          </cell>
          <cell r="M891">
            <v>44.66</v>
          </cell>
          <cell r="N891">
            <v>2014</v>
          </cell>
          <cell r="O891">
            <v>690</v>
          </cell>
          <cell r="P891" t="e">
            <v>#N/A</v>
          </cell>
        </row>
        <row r="892">
          <cell r="B892" t="str">
            <v>University of Toledo</v>
          </cell>
          <cell r="C892" t="str">
            <v>USA</v>
          </cell>
          <cell r="D892">
            <v>198</v>
          </cell>
          <cell r="E892">
            <v>355</v>
          </cell>
          <cell r="F892">
            <v>478</v>
          </cell>
          <cell r="G892">
            <v>210</v>
          </cell>
          <cell r="H892">
            <v>625</v>
          </cell>
          <cell r="I892">
            <v>553</v>
          </cell>
          <cell r="J892">
            <v>800</v>
          </cell>
          <cell r="K892">
            <v>618</v>
          </cell>
          <cell r="L892">
            <v>373</v>
          </cell>
          <cell r="M892">
            <v>44.66</v>
          </cell>
          <cell r="N892">
            <v>2014</v>
          </cell>
          <cell r="O892">
            <v>691</v>
          </cell>
          <cell r="P892">
            <v>31.6</v>
          </cell>
        </row>
        <row r="893">
          <cell r="B893" t="str">
            <v>University of Vigo</v>
          </cell>
          <cell r="C893" t="str">
            <v>Spain</v>
          </cell>
          <cell r="D893">
            <v>22</v>
          </cell>
          <cell r="E893">
            <v>355</v>
          </cell>
          <cell r="F893">
            <v>478</v>
          </cell>
          <cell r="G893">
            <v>210</v>
          </cell>
          <cell r="H893">
            <v>570</v>
          </cell>
          <cell r="I893">
            <v>786</v>
          </cell>
          <cell r="J893">
            <v>406</v>
          </cell>
          <cell r="K893">
            <v>618</v>
          </cell>
          <cell r="L893">
            <v>481</v>
          </cell>
          <cell r="M893">
            <v>44.66</v>
          </cell>
          <cell r="N893">
            <v>2014</v>
          </cell>
          <cell r="O893">
            <v>692</v>
          </cell>
          <cell r="P893">
            <v>19.399999999999999</v>
          </cell>
        </row>
        <row r="894">
          <cell r="B894" t="str">
            <v>University of Kent</v>
          </cell>
          <cell r="C894" t="str">
            <v>United Kingdom</v>
          </cell>
          <cell r="D894">
            <v>51</v>
          </cell>
          <cell r="E894">
            <v>355</v>
          </cell>
          <cell r="F894">
            <v>375</v>
          </cell>
          <cell r="G894">
            <v>210</v>
          </cell>
          <cell r="H894">
            <v>656</v>
          </cell>
          <cell r="I894">
            <v>458</v>
          </cell>
          <cell r="J894">
            <v>609</v>
          </cell>
          <cell r="K894">
            <v>663</v>
          </cell>
          <cell r="L894">
            <v>737</v>
          </cell>
          <cell r="M894">
            <v>44.65</v>
          </cell>
          <cell r="N894">
            <v>2014</v>
          </cell>
          <cell r="O894">
            <v>693</v>
          </cell>
          <cell r="P894">
            <v>15.6</v>
          </cell>
        </row>
        <row r="895">
          <cell r="B895" t="str">
            <v>Jichi Medical University</v>
          </cell>
          <cell r="C895" t="str">
            <v>Japan</v>
          </cell>
          <cell r="D895">
            <v>47</v>
          </cell>
          <cell r="E895">
            <v>355</v>
          </cell>
          <cell r="F895">
            <v>478</v>
          </cell>
          <cell r="G895">
            <v>210</v>
          </cell>
          <cell r="H895">
            <v>894</v>
          </cell>
          <cell r="I895">
            <v>621</v>
          </cell>
          <cell r="J895">
            <v>609</v>
          </cell>
          <cell r="K895">
            <v>585</v>
          </cell>
          <cell r="L895">
            <v>552</v>
          </cell>
          <cell r="M895">
            <v>44.65</v>
          </cell>
          <cell r="N895">
            <v>2014</v>
          </cell>
          <cell r="O895">
            <v>694</v>
          </cell>
          <cell r="P895" t="e">
            <v>#N/A</v>
          </cell>
        </row>
        <row r="896">
          <cell r="B896" t="str">
            <v>Roma Tre University</v>
          </cell>
          <cell r="C896" t="str">
            <v>Italy</v>
          </cell>
          <cell r="D896">
            <v>37</v>
          </cell>
          <cell r="E896">
            <v>355</v>
          </cell>
          <cell r="F896">
            <v>478</v>
          </cell>
          <cell r="G896">
            <v>210</v>
          </cell>
          <cell r="H896">
            <v>632</v>
          </cell>
          <cell r="I896">
            <v>607</v>
          </cell>
          <cell r="J896">
            <v>406</v>
          </cell>
          <cell r="K896">
            <v>605</v>
          </cell>
          <cell r="L896">
            <v>637</v>
          </cell>
          <cell r="M896">
            <v>44.65</v>
          </cell>
          <cell r="N896">
            <v>2014</v>
          </cell>
          <cell r="O896">
            <v>695</v>
          </cell>
          <cell r="P896" t="e">
            <v>#N/A</v>
          </cell>
        </row>
        <row r="897">
          <cell r="B897" t="str">
            <v>Chung Yuan Christian University</v>
          </cell>
          <cell r="C897" t="str">
            <v>Taiwan</v>
          </cell>
          <cell r="D897">
            <v>9</v>
          </cell>
          <cell r="E897">
            <v>225</v>
          </cell>
          <cell r="F897">
            <v>230</v>
          </cell>
          <cell r="G897">
            <v>210</v>
          </cell>
          <cell r="H897">
            <v>754</v>
          </cell>
          <cell r="I897">
            <v>952</v>
          </cell>
          <cell r="J897">
            <v>800</v>
          </cell>
          <cell r="K897">
            <v>897</v>
          </cell>
          <cell r="L897">
            <v>737</v>
          </cell>
          <cell r="M897">
            <v>44.65</v>
          </cell>
          <cell r="N897">
            <v>2014</v>
          </cell>
          <cell r="O897">
            <v>696</v>
          </cell>
          <cell r="P897">
            <v>15.9</v>
          </cell>
        </row>
        <row r="898">
          <cell r="B898" t="str">
            <v>University of Haifa</v>
          </cell>
          <cell r="C898" t="str">
            <v>Israel</v>
          </cell>
          <cell r="D898">
            <v>7</v>
          </cell>
          <cell r="E898">
            <v>355</v>
          </cell>
          <cell r="F898">
            <v>363</v>
          </cell>
          <cell r="G898">
            <v>210</v>
          </cell>
          <cell r="H898">
            <v>587</v>
          </cell>
          <cell r="I898">
            <v>448</v>
          </cell>
          <cell r="J898">
            <v>609</v>
          </cell>
          <cell r="K898">
            <v>690</v>
          </cell>
          <cell r="L898">
            <v>552</v>
          </cell>
          <cell r="M898">
            <v>44.65</v>
          </cell>
          <cell r="N898">
            <v>2014</v>
          </cell>
          <cell r="O898">
            <v>697</v>
          </cell>
          <cell r="P898">
            <v>25.5</v>
          </cell>
        </row>
        <row r="899">
          <cell r="B899" t="str">
            <v>Ã…bo Akademi University</v>
          </cell>
          <cell r="C899" t="str">
            <v>Finland</v>
          </cell>
          <cell r="D899">
            <v>9</v>
          </cell>
          <cell r="E899">
            <v>355</v>
          </cell>
          <cell r="F899">
            <v>478</v>
          </cell>
          <cell r="G899">
            <v>210</v>
          </cell>
          <cell r="H899">
            <v>724</v>
          </cell>
          <cell r="I899">
            <v>686</v>
          </cell>
          <cell r="J899">
            <v>609</v>
          </cell>
          <cell r="K899">
            <v>596</v>
          </cell>
          <cell r="L899">
            <v>552</v>
          </cell>
          <cell r="M899">
            <v>44.65</v>
          </cell>
          <cell r="N899">
            <v>2014</v>
          </cell>
          <cell r="O899">
            <v>698</v>
          </cell>
          <cell r="P899" t="e">
            <v>#N/A</v>
          </cell>
        </row>
        <row r="900">
          <cell r="B900" t="str">
            <v>Swansea University</v>
          </cell>
          <cell r="C900" t="str">
            <v>United Kingdom</v>
          </cell>
          <cell r="D900">
            <v>52</v>
          </cell>
          <cell r="E900">
            <v>355</v>
          </cell>
          <cell r="F900">
            <v>355</v>
          </cell>
          <cell r="G900">
            <v>210</v>
          </cell>
          <cell r="H900">
            <v>533</v>
          </cell>
          <cell r="I900">
            <v>544</v>
          </cell>
          <cell r="J900">
            <v>609</v>
          </cell>
          <cell r="K900">
            <v>703</v>
          </cell>
          <cell r="L900">
            <v>552</v>
          </cell>
          <cell r="M900">
            <v>44.65</v>
          </cell>
          <cell r="N900">
            <v>2014</v>
          </cell>
          <cell r="O900">
            <v>699</v>
          </cell>
          <cell r="P900">
            <v>17.600000000000001</v>
          </cell>
        </row>
        <row r="901">
          <cell r="B901" t="str">
            <v>China Agricultural University</v>
          </cell>
          <cell r="C901" t="str">
            <v>China</v>
          </cell>
          <cell r="D901">
            <v>34</v>
          </cell>
          <cell r="E901">
            <v>355</v>
          </cell>
          <cell r="F901">
            <v>478</v>
          </cell>
          <cell r="G901">
            <v>210</v>
          </cell>
          <cell r="H901">
            <v>432</v>
          </cell>
          <cell r="I901">
            <v>381</v>
          </cell>
          <cell r="J901">
            <v>609</v>
          </cell>
          <cell r="K901">
            <v>663</v>
          </cell>
          <cell r="L901">
            <v>552</v>
          </cell>
          <cell r="M901">
            <v>44.64</v>
          </cell>
          <cell r="N901">
            <v>2014</v>
          </cell>
          <cell r="O901">
            <v>700</v>
          </cell>
          <cell r="P901">
            <v>35.799999999999997</v>
          </cell>
        </row>
        <row r="902">
          <cell r="B902" t="str">
            <v>Marche Polytechnic University</v>
          </cell>
          <cell r="C902" t="str">
            <v>Italy</v>
          </cell>
          <cell r="D902">
            <v>38</v>
          </cell>
          <cell r="E902">
            <v>355</v>
          </cell>
          <cell r="F902">
            <v>478</v>
          </cell>
          <cell r="G902">
            <v>210</v>
          </cell>
          <cell r="H902">
            <v>666</v>
          </cell>
          <cell r="I902">
            <v>639</v>
          </cell>
          <cell r="J902">
            <v>800</v>
          </cell>
          <cell r="K902">
            <v>596</v>
          </cell>
          <cell r="L902">
            <v>737</v>
          </cell>
          <cell r="M902">
            <v>44.64</v>
          </cell>
          <cell r="N902">
            <v>2014</v>
          </cell>
          <cell r="O902">
            <v>701</v>
          </cell>
          <cell r="P902">
            <v>15.2</v>
          </cell>
        </row>
        <row r="903">
          <cell r="B903" t="str">
            <v>University of Maine, Orono</v>
          </cell>
          <cell r="C903" t="str">
            <v>USA</v>
          </cell>
          <cell r="D903">
            <v>199</v>
          </cell>
          <cell r="E903">
            <v>329</v>
          </cell>
          <cell r="F903">
            <v>478</v>
          </cell>
          <cell r="G903">
            <v>210</v>
          </cell>
          <cell r="H903">
            <v>756</v>
          </cell>
          <cell r="I903">
            <v>422</v>
          </cell>
          <cell r="J903">
            <v>406</v>
          </cell>
          <cell r="K903">
            <v>642</v>
          </cell>
          <cell r="L903">
            <v>373</v>
          </cell>
          <cell r="M903">
            <v>44.64</v>
          </cell>
          <cell r="N903">
            <v>2014</v>
          </cell>
          <cell r="O903">
            <v>702</v>
          </cell>
          <cell r="P903" t="e">
            <v>#N/A</v>
          </cell>
        </row>
        <row r="904">
          <cell r="B904" t="str">
            <v>Heriot-Watt University</v>
          </cell>
          <cell r="C904" t="str">
            <v>United Kingdom</v>
          </cell>
          <cell r="D904">
            <v>53</v>
          </cell>
          <cell r="E904">
            <v>355</v>
          </cell>
          <cell r="F904">
            <v>381</v>
          </cell>
          <cell r="G904">
            <v>210</v>
          </cell>
          <cell r="H904">
            <v>602</v>
          </cell>
          <cell r="I904">
            <v>601</v>
          </cell>
          <cell r="J904">
            <v>609</v>
          </cell>
          <cell r="K904">
            <v>690</v>
          </cell>
          <cell r="L904">
            <v>552</v>
          </cell>
          <cell r="M904">
            <v>44.64</v>
          </cell>
          <cell r="N904">
            <v>2014</v>
          </cell>
          <cell r="O904">
            <v>703</v>
          </cell>
          <cell r="P904">
            <v>21.5</v>
          </cell>
        </row>
        <row r="905">
          <cell r="B905" t="str">
            <v>Marquette University</v>
          </cell>
          <cell r="C905" t="str">
            <v>USA</v>
          </cell>
          <cell r="D905">
            <v>200</v>
          </cell>
          <cell r="E905">
            <v>355</v>
          </cell>
          <cell r="F905">
            <v>216</v>
          </cell>
          <cell r="G905">
            <v>210</v>
          </cell>
          <cell r="H905">
            <v>909</v>
          </cell>
          <cell r="I905">
            <v>791</v>
          </cell>
          <cell r="J905">
            <v>800</v>
          </cell>
          <cell r="K905">
            <v>869</v>
          </cell>
          <cell r="L905">
            <v>737</v>
          </cell>
          <cell r="M905">
            <v>44.64</v>
          </cell>
          <cell r="N905">
            <v>2014</v>
          </cell>
          <cell r="O905">
            <v>704</v>
          </cell>
          <cell r="P905" t="e">
            <v>#N/A</v>
          </cell>
        </row>
        <row r="906">
          <cell r="B906" t="str">
            <v>Loughborough University</v>
          </cell>
          <cell r="C906" t="str">
            <v>United Kingdom</v>
          </cell>
          <cell r="D906">
            <v>54</v>
          </cell>
          <cell r="E906">
            <v>355</v>
          </cell>
          <cell r="F906">
            <v>478</v>
          </cell>
          <cell r="G906">
            <v>210</v>
          </cell>
          <cell r="H906">
            <v>497</v>
          </cell>
          <cell r="I906">
            <v>778</v>
          </cell>
          <cell r="J906">
            <v>609</v>
          </cell>
          <cell r="K906">
            <v>628</v>
          </cell>
          <cell r="L906">
            <v>637</v>
          </cell>
          <cell r="M906">
            <v>44.63</v>
          </cell>
          <cell r="N906">
            <v>2014</v>
          </cell>
          <cell r="O906">
            <v>705</v>
          </cell>
          <cell r="P906">
            <v>27.9</v>
          </cell>
        </row>
        <row r="907">
          <cell r="B907" t="str">
            <v>Kaiserslautern University of Technology</v>
          </cell>
          <cell r="C907" t="str">
            <v>Germany</v>
          </cell>
          <cell r="D907">
            <v>46</v>
          </cell>
          <cell r="E907">
            <v>355</v>
          </cell>
          <cell r="F907">
            <v>478</v>
          </cell>
          <cell r="G907">
            <v>210</v>
          </cell>
          <cell r="H907">
            <v>652</v>
          </cell>
          <cell r="I907">
            <v>483</v>
          </cell>
          <cell r="J907">
            <v>800</v>
          </cell>
          <cell r="K907">
            <v>605</v>
          </cell>
          <cell r="L907">
            <v>737</v>
          </cell>
          <cell r="M907">
            <v>44.63</v>
          </cell>
          <cell r="N907">
            <v>2014</v>
          </cell>
          <cell r="O907">
            <v>706</v>
          </cell>
          <cell r="P907" t="e">
            <v>#N/A</v>
          </cell>
        </row>
        <row r="908">
          <cell r="B908" t="str">
            <v>Aston University</v>
          </cell>
          <cell r="C908" t="str">
            <v>United Kingdom</v>
          </cell>
          <cell r="D908">
            <v>55</v>
          </cell>
          <cell r="E908">
            <v>355</v>
          </cell>
          <cell r="F908">
            <v>331</v>
          </cell>
          <cell r="G908">
            <v>210</v>
          </cell>
          <cell r="H908">
            <v>839</v>
          </cell>
          <cell r="I908">
            <v>879</v>
          </cell>
          <cell r="J908">
            <v>493</v>
          </cell>
          <cell r="K908">
            <v>739</v>
          </cell>
          <cell r="L908">
            <v>338</v>
          </cell>
          <cell r="M908">
            <v>44.63</v>
          </cell>
          <cell r="N908">
            <v>2014</v>
          </cell>
          <cell r="O908">
            <v>707</v>
          </cell>
          <cell r="P908">
            <v>16.2</v>
          </cell>
        </row>
        <row r="909">
          <cell r="B909" t="str">
            <v>University of Girona</v>
          </cell>
          <cell r="C909" t="str">
            <v>Spain</v>
          </cell>
          <cell r="D909">
            <v>23</v>
          </cell>
          <cell r="E909">
            <v>355</v>
          </cell>
          <cell r="F909">
            <v>478</v>
          </cell>
          <cell r="G909">
            <v>210</v>
          </cell>
          <cell r="H909">
            <v>682</v>
          </cell>
          <cell r="I909">
            <v>878</v>
          </cell>
          <cell r="J909">
            <v>609</v>
          </cell>
          <cell r="K909">
            <v>605</v>
          </cell>
          <cell r="L909">
            <v>637</v>
          </cell>
          <cell r="M909">
            <v>44.63</v>
          </cell>
          <cell r="N909">
            <v>2014</v>
          </cell>
          <cell r="O909">
            <v>708</v>
          </cell>
          <cell r="P909" t="e">
            <v>#N/A</v>
          </cell>
        </row>
        <row r="910">
          <cell r="B910" t="str">
            <v>Hasselt University</v>
          </cell>
          <cell r="C910" t="str">
            <v>Belgium</v>
          </cell>
          <cell r="D910">
            <v>9</v>
          </cell>
          <cell r="E910">
            <v>355</v>
          </cell>
          <cell r="F910">
            <v>309</v>
          </cell>
          <cell r="G910">
            <v>210</v>
          </cell>
          <cell r="H910">
            <v>816</v>
          </cell>
          <cell r="I910">
            <v>892</v>
          </cell>
          <cell r="J910">
            <v>609</v>
          </cell>
          <cell r="K910">
            <v>703</v>
          </cell>
          <cell r="L910">
            <v>737</v>
          </cell>
          <cell r="M910">
            <v>44.63</v>
          </cell>
          <cell r="N910">
            <v>2014</v>
          </cell>
          <cell r="O910">
            <v>709</v>
          </cell>
          <cell r="P910" t="e">
            <v>#N/A</v>
          </cell>
        </row>
        <row r="911">
          <cell r="B911" t="str">
            <v>Nanjing University of Science and Technology</v>
          </cell>
          <cell r="C911" t="str">
            <v>China</v>
          </cell>
          <cell r="D911">
            <v>35</v>
          </cell>
          <cell r="E911">
            <v>355</v>
          </cell>
          <cell r="F911">
            <v>243</v>
          </cell>
          <cell r="G911">
            <v>210</v>
          </cell>
          <cell r="H911">
            <v>852</v>
          </cell>
          <cell r="I911">
            <v>938</v>
          </cell>
          <cell r="J911">
            <v>406</v>
          </cell>
          <cell r="K911">
            <v>843</v>
          </cell>
          <cell r="L911">
            <v>637</v>
          </cell>
          <cell r="M911">
            <v>44.63</v>
          </cell>
          <cell r="N911">
            <v>2014</v>
          </cell>
          <cell r="O911">
            <v>710</v>
          </cell>
          <cell r="P911" t="e">
            <v>#N/A</v>
          </cell>
        </row>
        <row r="912">
          <cell r="B912" t="str">
            <v>University of Natural Resources and Life Sciences, Vienna</v>
          </cell>
          <cell r="C912" t="str">
            <v>Austria</v>
          </cell>
          <cell r="D912">
            <v>9</v>
          </cell>
          <cell r="E912">
            <v>355</v>
          </cell>
          <cell r="F912">
            <v>478</v>
          </cell>
          <cell r="G912">
            <v>210</v>
          </cell>
          <cell r="H912">
            <v>746</v>
          </cell>
          <cell r="I912">
            <v>629</v>
          </cell>
          <cell r="J912">
            <v>800</v>
          </cell>
          <cell r="K912">
            <v>605</v>
          </cell>
          <cell r="L912">
            <v>552</v>
          </cell>
          <cell r="M912">
            <v>44.63</v>
          </cell>
          <cell r="N912">
            <v>2014</v>
          </cell>
          <cell r="O912">
            <v>711</v>
          </cell>
          <cell r="P912" t="e">
            <v>#N/A</v>
          </cell>
        </row>
        <row r="913">
          <cell r="B913" t="str">
            <v>University of Szeged</v>
          </cell>
          <cell r="C913" t="str">
            <v>Hungary</v>
          </cell>
          <cell r="D913">
            <v>4</v>
          </cell>
          <cell r="E913">
            <v>355</v>
          </cell>
          <cell r="F913">
            <v>478</v>
          </cell>
          <cell r="G913">
            <v>198</v>
          </cell>
          <cell r="H913">
            <v>651</v>
          </cell>
          <cell r="I913">
            <v>765</v>
          </cell>
          <cell r="J913">
            <v>800</v>
          </cell>
          <cell r="K913">
            <v>618</v>
          </cell>
          <cell r="L913">
            <v>552</v>
          </cell>
          <cell r="M913">
            <v>44.63</v>
          </cell>
          <cell r="N913">
            <v>2014</v>
          </cell>
          <cell r="O913">
            <v>712</v>
          </cell>
          <cell r="P913">
            <v>20</v>
          </cell>
        </row>
        <row r="914">
          <cell r="B914" t="str">
            <v>Soochow University (Suzhou)</v>
          </cell>
          <cell r="C914" t="str">
            <v>China</v>
          </cell>
          <cell r="D914">
            <v>36</v>
          </cell>
          <cell r="E914">
            <v>355</v>
          </cell>
          <cell r="F914">
            <v>478</v>
          </cell>
          <cell r="G914">
            <v>210</v>
          </cell>
          <cell r="H914">
            <v>466</v>
          </cell>
          <cell r="I914">
            <v>799</v>
          </cell>
          <cell r="J914">
            <v>800</v>
          </cell>
          <cell r="K914">
            <v>642</v>
          </cell>
          <cell r="L914">
            <v>737</v>
          </cell>
          <cell r="M914">
            <v>44.63</v>
          </cell>
          <cell r="N914">
            <v>2014</v>
          </cell>
          <cell r="O914">
            <v>713</v>
          </cell>
          <cell r="P914" t="e">
            <v>#N/A</v>
          </cell>
        </row>
        <row r="915">
          <cell r="B915" t="str">
            <v>University of the Balearic Islands</v>
          </cell>
          <cell r="C915" t="str">
            <v>Spain</v>
          </cell>
          <cell r="D915">
            <v>24</v>
          </cell>
          <cell r="E915">
            <v>355</v>
          </cell>
          <cell r="F915">
            <v>478</v>
          </cell>
          <cell r="G915">
            <v>210</v>
          </cell>
          <cell r="H915">
            <v>634</v>
          </cell>
          <cell r="I915">
            <v>529</v>
          </cell>
          <cell r="J915">
            <v>406</v>
          </cell>
          <cell r="K915">
            <v>628</v>
          </cell>
          <cell r="L915">
            <v>552</v>
          </cell>
          <cell r="M915">
            <v>44.63</v>
          </cell>
          <cell r="N915">
            <v>2014</v>
          </cell>
          <cell r="O915">
            <v>714</v>
          </cell>
          <cell r="P915" t="e">
            <v>#N/A</v>
          </cell>
        </row>
        <row r="916">
          <cell r="B916" t="str">
            <v>Fuzhou University</v>
          </cell>
          <cell r="C916" t="str">
            <v>China</v>
          </cell>
          <cell r="D916">
            <v>37</v>
          </cell>
          <cell r="E916">
            <v>355</v>
          </cell>
          <cell r="F916">
            <v>420</v>
          </cell>
          <cell r="G916">
            <v>210</v>
          </cell>
          <cell r="H916">
            <v>786</v>
          </cell>
          <cell r="I916">
            <v>974</v>
          </cell>
          <cell r="J916">
            <v>609</v>
          </cell>
          <cell r="K916">
            <v>769</v>
          </cell>
          <cell r="L916">
            <v>259</v>
          </cell>
          <cell r="M916">
            <v>44.63</v>
          </cell>
          <cell r="N916">
            <v>2014</v>
          </cell>
          <cell r="O916">
            <v>715</v>
          </cell>
          <cell r="P916" t="e">
            <v>#N/A</v>
          </cell>
        </row>
        <row r="917">
          <cell r="B917" t="str">
            <v>University of Memphis</v>
          </cell>
          <cell r="C917" t="str">
            <v>USA</v>
          </cell>
          <cell r="D917">
            <v>201</v>
          </cell>
          <cell r="E917">
            <v>355</v>
          </cell>
          <cell r="F917">
            <v>390</v>
          </cell>
          <cell r="G917">
            <v>210</v>
          </cell>
          <cell r="H917">
            <v>782</v>
          </cell>
          <cell r="I917">
            <v>592</v>
          </cell>
          <cell r="J917">
            <v>609</v>
          </cell>
          <cell r="K917">
            <v>724</v>
          </cell>
          <cell r="L917">
            <v>338</v>
          </cell>
          <cell r="M917">
            <v>44.62</v>
          </cell>
          <cell r="N917">
            <v>2014</v>
          </cell>
          <cell r="O917">
            <v>716</v>
          </cell>
          <cell r="P917" t="e">
            <v>#N/A</v>
          </cell>
        </row>
        <row r="918">
          <cell r="B918" t="str">
            <v>San Francisco State University</v>
          </cell>
          <cell r="C918" t="str">
            <v>USA</v>
          </cell>
          <cell r="D918">
            <v>202</v>
          </cell>
          <cell r="E918">
            <v>258</v>
          </cell>
          <cell r="F918">
            <v>478</v>
          </cell>
          <cell r="G918">
            <v>210</v>
          </cell>
          <cell r="H918">
            <v>876</v>
          </cell>
          <cell r="I918">
            <v>496</v>
          </cell>
          <cell r="J918">
            <v>800</v>
          </cell>
          <cell r="K918">
            <v>628</v>
          </cell>
          <cell r="L918">
            <v>737</v>
          </cell>
          <cell r="M918">
            <v>44.62</v>
          </cell>
          <cell r="N918">
            <v>2014</v>
          </cell>
          <cell r="O918">
            <v>717</v>
          </cell>
          <cell r="P918" t="e">
            <v>#N/A</v>
          </cell>
        </row>
        <row r="919">
          <cell r="B919" t="str">
            <v>East Carolina University</v>
          </cell>
          <cell r="C919" t="str">
            <v>USA</v>
          </cell>
          <cell r="D919">
            <v>203</v>
          </cell>
          <cell r="E919">
            <v>355</v>
          </cell>
          <cell r="F919">
            <v>411</v>
          </cell>
          <cell r="G919">
            <v>210</v>
          </cell>
          <cell r="H919">
            <v>686</v>
          </cell>
          <cell r="I919">
            <v>676</v>
          </cell>
          <cell r="J919">
            <v>800</v>
          </cell>
          <cell r="K919">
            <v>690</v>
          </cell>
          <cell r="L919">
            <v>481</v>
          </cell>
          <cell r="M919">
            <v>44.62</v>
          </cell>
          <cell r="N919">
            <v>2014</v>
          </cell>
          <cell r="O919">
            <v>718</v>
          </cell>
          <cell r="P919" t="e">
            <v>#N/A</v>
          </cell>
        </row>
        <row r="920">
          <cell r="B920" t="str">
            <v>University of Augsburg</v>
          </cell>
          <cell r="C920" t="str">
            <v>Germany</v>
          </cell>
          <cell r="D920">
            <v>47</v>
          </cell>
          <cell r="E920">
            <v>355</v>
          </cell>
          <cell r="F920">
            <v>478</v>
          </cell>
          <cell r="G920">
            <v>210</v>
          </cell>
          <cell r="H920">
            <v>780</v>
          </cell>
          <cell r="I920">
            <v>668</v>
          </cell>
          <cell r="J920">
            <v>609</v>
          </cell>
          <cell r="K920">
            <v>605</v>
          </cell>
          <cell r="L920">
            <v>737</v>
          </cell>
          <cell r="M920">
            <v>44.62</v>
          </cell>
          <cell r="N920">
            <v>2014</v>
          </cell>
          <cell r="O920">
            <v>719</v>
          </cell>
          <cell r="P920" t="e">
            <v>#N/A</v>
          </cell>
        </row>
        <row r="921">
          <cell r="B921" t="str">
            <v>University of Missouriâ€“St. Louis</v>
          </cell>
          <cell r="C921" t="str">
            <v>USA</v>
          </cell>
          <cell r="D921">
            <v>204</v>
          </cell>
          <cell r="E921">
            <v>355</v>
          </cell>
          <cell r="F921">
            <v>361</v>
          </cell>
          <cell r="G921">
            <v>210</v>
          </cell>
          <cell r="H921">
            <v>883</v>
          </cell>
          <cell r="I921">
            <v>522</v>
          </cell>
          <cell r="J921">
            <v>406</v>
          </cell>
          <cell r="K921">
            <v>703</v>
          </cell>
          <cell r="L921">
            <v>552</v>
          </cell>
          <cell r="M921">
            <v>44.62</v>
          </cell>
          <cell r="N921">
            <v>2014</v>
          </cell>
          <cell r="O921">
            <v>720</v>
          </cell>
          <cell r="P921" t="e">
            <v>#N/A</v>
          </cell>
        </row>
        <row r="922">
          <cell r="B922" t="str">
            <v>Kyoto Prefectural University of Medicine</v>
          </cell>
          <cell r="C922" t="str">
            <v>Japan</v>
          </cell>
          <cell r="D922">
            <v>48</v>
          </cell>
          <cell r="E922">
            <v>355</v>
          </cell>
          <cell r="F922">
            <v>478</v>
          </cell>
          <cell r="G922">
            <v>210</v>
          </cell>
          <cell r="H922">
            <v>823</v>
          </cell>
          <cell r="I922">
            <v>712</v>
          </cell>
          <cell r="J922">
            <v>609</v>
          </cell>
          <cell r="K922">
            <v>605</v>
          </cell>
          <cell r="L922">
            <v>737</v>
          </cell>
          <cell r="M922">
            <v>44.62</v>
          </cell>
          <cell r="N922">
            <v>2014</v>
          </cell>
          <cell r="O922">
            <v>721</v>
          </cell>
          <cell r="P922" t="e">
            <v>#N/A</v>
          </cell>
        </row>
        <row r="923">
          <cell r="B923" t="str">
            <v>Shanghai University</v>
          </cell>
          <cell r="C923" t="str">
            <v>China</v>
          </cell>
          <cell r="D923">
            <v>38</v>
          </cell>
          <cell r="E923">
            <v>355</v>
          </cell>
          <cell r="F923">
            <v>478</v>
          </cell>
          <cell r="G923">
            <v>210</v>
          </cell>
          <cell r="H923">
            <v>508</v>
          </cell>
          <cell r="I923">
            <v>925</v>
          </cell>
          <cell r="J923">
            <v>609</v>
          </cell>
          <cell r="K923">
            <v>642</v>
          </cell>
          <cell r="L923">
            <v>637</v>
          </cell>
          <cell r="M923">
            <v>44.62</v>
          </cell>
          <cell r="N923">
            <v>2014</v>
          </cell>
          <cell r="O923">
            <v>722</v>
          </cell>
          <cell r="P923">
            <v>19.100000000000001</v>
          </cell>
        </row>
        <row r="924">
          <cell r="B924" t="str">
            <v>University of South Australia</v>
          </cell>
          <cell r="C924" t="str">
            <v>Australia</v>
          </cell>
          <cell r="D924">
            <v>20</v>
          </cell>
          <cell r="E924">
            <v>355</v>
          </cell>
          <cell r="F924">
            <v>280</v>
          </cell>
          <cell r="G924">
            <v>210</v>
          </cell>
          <cell r="H924">
            <v>663</v>
          </cell>
          <cell r="I924">
            <v>795</v>
          </cell>
          <cell r="J924">
            <v>800</v>
          </cell>
          <cell r="K924">
            <v>819</v>
          </cell>
          <cell r="L924">
            <v>426</v>
          </cell>
          <cell r="M924">
            <v>44.62</v>
          </cell>
          <cell r="N924">
            <v>2014</v>
          </cell>
          <cell r="O924">
            <v>723</v>
          </cell>
          <cell r="P924">
            <v>20.6</v>
          </cell>
        </row>
        <row r="925">
          <cell r="B925" t="str">
            <v>Liverpool John Moores University</v>
          </cell>
          <cell r="C925" t="str">
            <v>United Kingdom</v>
          </cell>
          <cell r="D925">
            <v>56</v>
          </cell>
          <cell r="E925">
            <v>355</v>
          </cell>
          <cell r="F925">
            <v>478</v>
          </cell>
          <cell r="G925">
            <v>210</v>
          </cell>
          <cell r="H925">
            <v>744</v>
          </cell>
          <cell r="I925">
            <v>421</v>
          </cell>
          <cell r="J925">
            <v>609</v>
          </cell>
          <cell r="K925">
            <v>618</v>
          </cell>
          <cell r="L925">
            <v>737</v>
          </cell>
          <cell r="M925">
            <v>44.61</v>
          </cell>
          <cell r="N925">
            <v>2014</v>
          </cell>
          <cell r="O925">
            <v>724</v>
          </cell>
          <cell r="P925">
            <v>12.3</v>
          </cell>
        </row>
        <row r="926">
          <cell r="B926" t="str">
            <v>Graz University of Technology</v>
          </cell>
          <cell r="C926" t="str">
            <v>Austria</v>
          </cell>
          <cell r="D926">
            <v>10</v>
          </cell>
          <cell r="E926">
            <v>355</v>
          </cell>
          <cell r="F926">
            <v>478</v>
          </cell>
          <cell r="G926">
            <v>210</v>
          </cell>
          <cell r="H926">
            <v>686</v>
          </cell>
          <cell r="I926">
            <v>683</v>
          </cell>
          <cell r="J926">
            <v>493</v>
          </cell>
          <cell r="K926">
            <v>628</v>
          </cell>
          <cell r="L926">
            <v>552</v>
          </cell>
          <cell r="M926">
            <v>44.61</v>
          </cell>
          <cell r="N926">
            <v>2014</v>
          </cell>
          <cell r="O926">
            <v>725</v>
          </cell>
          <cell r="P926">
            <v>26</v>
          </cell>
        </row>
        <row r="927">
          <cell r="B927" t="str">
            <v>Kitasato University</v>
          </cell>
          <cell r="C927" t="str">
            <v>Japan</v>
          </cell>
          <cell r="D927">
            <v>49</v>
          </cell>
          <cell r="E927">
            <v>355</v>
          </cell>
          <cell r="F927">
            <v>478</v>
          </cell>
          <cell r="G927">
            <v>210</v>
          </cell>
          <cell r="H927">
            <v>706</v>
          </cell>
          <cell r="I927">
            <v>510</v>
          </cell>
          <cell r="J927">
            <v>800</v>
          </cell>
          <cell r="K927">
            <v>618</v>
          </cell>
          <cell r="L927">
            <v>737</v>
          </cell>
          <cell r="M927">
            <v>44.61</v>
          </cell>
          <cell r="N927">
            <v>2014</v>
          </cell>
          <cell r="O927">
            <v>726</v>
          </cell>
          <cell r="P927" t="e">
            <v>#N/A</v>
          </cell>
        </row>
        <row r="928">
          <cell r="B928" t="str">
            <v>University of North Carolina at Charlotte</v>
          </cell>
          <cell r="C928" t="str">
            <v>USA</v>
          </cell>
          <cell r="D928">
            <v>205</v>
          </cell>
          <cell r="E928">
            <v>355</v>
          </cell>
          <cell r="F928">
            <v>264</v>
          </cell>
          <cell r="G928">
            <v>210</v>
          </cell>
          <cell r="H928">
            <v>749</v>
          </cell>
          <cell r="I928">
            <v>671</v>
          </cell>
          <cell r="J928">
            <v>493</v>
          </cell>
          <cell r="K928">
            <v>832</v>
          </cell>
          <cell r="L928">
            <v>637</v>
          </cell>
          <cell r="M928">
            <v>44.61</v>
          </cell>
          <cell r="N928">
            <v>2014</v>
          </cell>
          <cell r="O928">
            <v>727</v>
          </cell>
          <cell r="P928" t="e">
            <v>#N/A</v>
          </cell>
        </row>
        <row r="929">
          <cell r="B929" t="str">
            <v>G. d'Annunzio University, Chieti-Pescara</v>
          </cell>
          <cell r="C929" t="str">
            <v>Italy</v>
          </cell>
          <cell r="D929">
            <v>39</v>
          </cell>
          <cell r="E929">
            <v>355</v>
          </cell>
          <cell r="F929">
            <v>478</v>
          </cell>
          <cell r="G929">
            <v>210</v>
          </cell>
          <cell r="H929">
            <v>733</v>
          </cell>
          <cell r="I929">
            <v>574</v>
          </cell>
          <cell r="J929">
            <v>609</v>
          </cell>
          <cell r="K929">
            <v>618</v>
          </cell>
          <cell r="L929">
            <v>737</v>
          </cell>
          <cell r="M929">
            <v>44.61</v>
          </cell>
          <cell r="N929">
            <v>2014</v>
          </cell>
          <cell r="O929">
            <v>728</v>
          </cell>
          <cell r="P929" t="e">
            <v>#N/A</v>
          </cell>
        </row>
        <row r="930">
          <cell r="B930" t="str">
            <v>University of Cantabria</v>
          </cell>
          <cell r="C930" t="str">
            <v>Spain</v>
          </cell>
          <cell r="D930">
            <v>25</v>
          </cell>
          <cell r="E930">
            <v>355</v>
          </cell>
          <cell r="F930">
            <v>478</v>
          </cell>
          <cell r="G930">
            <v>210</v>
          </cell>
          <cell r="H930">
            <v>596</v>
          </cell>
          <cell r="I930">
            <v>637</v>
          </cell>
          <cell r="J930">
            <v>406</v>
          </cell>
          <cell r="K930">
            <v>663</v>
          </cell>
          <cell r="L930">
            <v>481</v>
          </cell>
          <cell r="M930">
            <v>44.61</v>
          </cell>
          <cell r="N930">
            <v>2014</v>
          </cell>
          <cell r="O930">
            <v>729</v>
          </cell>
          <cell r="P930" t="e">
            <v>#N/A</v>
          </cell>
        </row>
        <row r="931">
          <cell r="B931" t="str">
            <v>Miguel HernÃ¡ndez University of Elche</v>
          </cell>
          <cell r="C931" t="str">
            <v>Spain</v>
          </cell>
          <cell r="D931">
            <v>26</v>
          </cell>
          <cell r="E931">
            <v>355</v>
          </cell>
          <cell r="F931">
            <v>478</v>
          </cell>
          <cell r="G931">
            <v>210</v>
          </cell>
          <cell r="H931">
            <v>769</v>
          </cell>
          <cell r="I931">
            <v>584</v>
          </cell>
          <cell r="J931">
            <v>800</v>
          </cell>
          <cell r="K931">
            <v>690</v>
          </cell>
          <cell r="L931">
            <v>307</v>
          </cell>
          <cell r="M931">
            <v>44.61</v>
          </cell>
          <cell r="N931">
            <v>2014</v>
          </cell>
          <cell r="O931">
            <v>730</v>
          </cell>
          <cell r="P931" t="e">
            <v>#N/A</v>
          </cell>
        </row>
        <row r="932">
          <cell r="B932" t="str">
            <v>Donghua University</v>
          </cell>
          <cell r="C932" t="str">
            <v>China</v>
          </cell>
          <cell r="D932">
            <v>39</v>
          </cell>
          <cell r="E932">
            <v>355</v>
          </cell>
          <cell r="F932">
            <v>478</v>
          </cell>
          <cell r="G932">
            <v>210</v>
          </cell>
          <cell r="H932">
            <v>833</v>
          </cell>
          <cell r="I932">
            <v>952</v>
          </cell>
          <cell r="J932">
            <v>250</v>
          </cell>
          <cell r="K932">
            <v>690</v>
          </cell>
          <cell r="L932">
            <v>481</v>
          </cell>
          <cell r="M932">
            <v>44.61</v>
          </cell>
          <cell r="N932">
            <v>2014</v>
          </cell>
          <cell r="O932">
            <v>731</v>
          </cell>
          <cell r="P932" t="e">
            <v>#N/A</v>
          </cell>
        </row>
        <row r="933">
          <cell r="B933" t="str">
            <v>Comenius University in Bratislava</v>
          </cell>
          <cell r="C933" t="str">
            <v>Slovak Republic</v>
          </cell>
          <cell r="D933">
            <v>1</v>
          </cell>
          <cell r="E933">
            <v>355</v>
          </cell>
          <cell r="F933">
            <v>478</v>
          </cell>
          <cell r="G933">
            <v>210</v>
          </cell>
          <cell r="H933">
            <v>709</v>
          </cell>
          <cell r="I933">
            <v>625</v>
          </cell>
          <cell r="J933">
            <v>493</v>
          </cell>
          <cell r="K933">
            <v>628</v>
          </cell>
          <cell r="L933">
            <v>737</v>
          </cell>
          <cell r="M933">
            <v>44.6</v>
          </cell>
          <cell r="N933">
            <v>2014</v>
          </cell>
          <cell r="O933">
            <v>732</v>
          </cell>
          <cell r="P933">
            <v>23</v>
          </cell>
        </row>
        <row r="934">
          <cell r="B934" t="str">
            <v>University of Alabama in Huntsville</v>
          </cell>
          <cell r="C934" t="str">
            <v>USA</v>
          </cell>
          <cell r="D934">
            <v>206</v>
          </cell>
          <cell r="E934">
            <v>355</v>
          </cell>
          <cell r="F934">
            <v>478</v>
          </cell>
          <cell r="G934">
            <v>210</v>
          </cell>
          <cell r="H934">
            <v>886</v>
          </cell>
          <cell r="I934">
            <v>443</v>
          </cell>
          <cell r="J934">
            <v>800</v>
          </cell>
          <cell r="K934">
            <v>618</v>
          </cell>
          <cell r="L934">
            <v>737</v>
          </cell>
          <cell r="M934">
            <v>44.6</v>
          </cell>
          <cell r="N934">
            <v>2014</v>
          </cell>
          <cell r="O934">
            <v>733</v>
          </cell>
          <cell r="P934" t="e">
            <v>#N/A</v>
          </cell>
        </row>
        <row r="935">
          <cell r="B935" t="str">
            <v>Mie University</v>
          </cell>
          <cell r="C935" t="str">
            <v>Japan</v>
          </cell>
          <cell r="D935">
            <v>50</v>
          </cell>
          <cell r="E935">
            <v>355</v>
          </cell>
          <cell r="F935">
            <v>478</v>
          </cell>
          <cell r="G935">
            <v>210</v>
          </cell>
          <cell r="H935">
            <v>805</v>
          </cell>
          <cell r="I935">
            <v>834</v>
          </cell>
          <cell r="J935">
            <v>609</v>
          </cell>
          <cell r="K935">
            <v>675</v>
          </cell>
          <cell r="L935">
            <v>338</v>
          </cell>
          <cell r="M935">
            <v>44.6</v>
          </cell>
          <cell r="N935">
            <v>2014</v>
          </cell>
          <cell r="O935">
            <v>734</v>
          </cell>
          <cell r="P935" t="e">
            <v>#N/A</v>
          </cell>
        </row>
        <row r="936">
          <cell r="B936" t="str">
            <v>University of Stirling</v>
          </cell>
          <cell r="C936" t="str">
            <v>United Kingdom</v>
          </cell>
          <cell r="D936">
            <v>57</v>
          </cell>
          <cell r="E936">
            <v>355</v>
          </cell>
          <cell r="F936">
            <v>334</v>
          </cell>
          <cell r="G936">
            <v>210</v>
          </cell>
          <cell r="H936">
            <v>804</v>
          </cell>
          <cell r="I936">
            <v>717</v>
          </cell>
          <cell r="J936">
            <v>609</v>
          </cell>
          <cell r="K936">
            <v>716</v>
          </cell>
          <cell r="L936">
            <v>737</v>
          </cell>
          <cell r="M936">
            <v>44.6</v>
          </cell>
          <cell r="N936">
            <v>2014</v>
          </cell>
          <cell r="O936">
            <v>735</v>
          </cell>
          <cell r="P936">
            <v>18.2</v>
          </cell>
        </row>
        <row r="937">
          <cell r="B937" t="str">
            <v>Hunter College</v>
          </cell>
          <cell r="C937" t="str">
            <v>USA</v>
          </cell>
          <cell r="D937">
            <v>207</v>
          </cell>
          <cell r="E937">
            <v>247</v>
          </cell>
          <cell r="F937">
            <v>383</v>
          </cell>
          <cell r="G937">
            <v>210</v>
          </cell>
          <cell r="H937">
            <v>825</v>
          </cell>
          <cell r="I937">
            <v>606</v>
          </cell>
          <cell r="J937">
            <v>800</v>
          </cell>
          <cell r="K937">
            <v>739</v>
          </cell>
          <cell r="L937">
            <v>737</v>
          </cell>
          <cell r="M937">
            <v>44.6</v>
          </cell>
          <cell r="N937">
            <v>2014</v>
          </cell>
          <cell r="O937">
            <v>736</v>
          </cell>
          <cell r="P937" t="e">
            <v>#N/A</v>
          </cell>
        </row>
        <row r="938">
          <cell r="B938" t="str">
            <v>Swinburne University of Technology</v>
          </cell>
          <cell r="C938" t="str">
            <v>Australia</v>
          </cell>
          <cell r="D938">
            <v>21</v>
          </cell>
          <cell r="E938">
            <v>355</v>
          </cell>
          <cell r="F938">
            <v>478</v>
          </cell>
          <cell r="G938">
            <v>210</v>
          </cell>
          <cell r="H938">
            <v>658</v>
          </cell>
          <cell r="I938">
            <v>447</v>
          </cell>
          <cell r="J938">
            <v>493</v>
          </cell>
          <cell r="K938">
            <v>642</v>
          </cell>
          <cell r="L938">
            <v>737</v>
          </cell>
          <cell r="M938">
            <v>44.6</v>
          </cell>
          <cell r="N938">
            <v>2014</v>
          </cell>
          <cell r="O938">
            <v>737</v>
          </cell>
          <cell r="P938">
            <v>15.5</v>
          </cell>
        </row>
        <row r="939">
          <cell r="B939" t="str">
            <v>University of Ulster</v>
          </cell>
          <cell r="C939" t="str">
            <v>United Kingdom</v>
          </cell>
          <cell r="D939">
            <v>58</v>
          </cell>
          <cell r="E939">
            <v>355</v>
          </cell>
          <cell r="F939">
            <v>478</v>
          </cell>
          <cell r="G939">
            <v>210</v>
          </cell>
          <cell r="H939">
            <v>940</v>
          </cell>
          <cell r="I939">
            <v>895</v>
          </cell>
          <cell r="J939">
            <v>493</v>
          </cell>
          <cell r="K939">
            <v>739</v>
          </cell>
          <cell r="L939">
            <v>259</v>
          </cell>
          <cell r="M939">
            <v>44.6</v>
          </cell>
          <cell r="N939">
            <v>2014</v>
          </cell>
          <cell r="O939">
            <v>738</v>
          </cell>
          <cell r="P939" t="e">
            <v>#N/A</v>
          </cell>
        </row>
        <row r="940">
          <cell r="B940" t="str">
            <v>University of Ã‰vry Val d'Essonne</v>
          </cell>
          <cell r="C940" t="str">
            <v>France</v>
          </cell>
          <cell r="D940">
            <v>34</v>
          </cell>
          <cell r="E940">
            <v>355</v>
          </cell>
          <cell r="F940">
            <v>478</v>
          </cell>
          <cell r="G940">
            <v>210</v>
          </cell>
          <cell r="H940">
            <v>998</v>
          </cell>
          <cell r="I940">
            <v>363</v>
          </cell>
          <cell r="J940">
            <v>609</v>
          </cell>
          <cell r="K940">
            <v>628</v>
          </cell>
          <cell r="L940">
            <v>737</v>
          </cell>
          <cell r="M940">
            <v>44.59</v>
          </cell>
          <cell r="N940">
            <v>2014</v>
          </cell>
          <cell r="O940">
            <v>739</v>
          </cell>
          <cell r="P940" t="e">
            <v>#N/A</v>
          </cell>
        </row>
        <row r="941">
          <cell r="B941" t="str">
            <v>University of Salerno</v>
          </cell>
          <cell r="C941" t="str">
            <v>Italy</v>
          </cell>
          <cell r="D941">
            <v>40</v>
          </cell>
          <cell r="E941">
            <v>355</v>
          </cell>
          <cell r="F941">
            <v>478</v>
          </cell>
          <cell r="G941">
            <v>210</v>
          </cell>
          <cell r="H941">
            <v>518</v>
          </cell>
          <cell r="I941">
            <v>809</v>
          </cell>
          <cell r="J941">
            <v>609</v>
          </cell>
          <cell r="K941">
            <v>675</v>
          </cell>
          <cell r="L941">
            <v>552</v>
          </cell>
          <cell r="M941">
            <v>44.59</v>
          </cell>
          <cell r="N941">
            <v>2014</v>
          </cell>
          <cell r="O941">
            <v>740</v>
          </cell>
          <cell r="P941" t="e">
            <v>#N/A</v>
          </cell>
        </row>
        <row r="942">
          <cell r="B942" t="str">
            <v>National University of La Plata</v>
          </cell>
          <cell r="C942" t="str">
            <v>Argentina</v>
          </cell>
          <cell r="D942">
            <v>2</v>
          </cell>
          <cell r="E942">
            <v>355</v>
          </cell>
          <cell r="F942">
            <v>476</v>
          </cell>
          <cell r="G942">
            <v>210</v>
          </cell>
          <cell r="H942">
            <v>546</v>
          </cell>
          <cell r="I942">
            <v>523</v>
          </cell>
          <cell r="J942">
            <v>406</v>
          </cell>
          <cell r="K942">
            <v>703</v>
          </cell>
          <cell r="L942">
            <v>737</v>
          </cell>
          <cell r="M942">
            <v>44.59</v>
          </cell>
          <cell r="N942">
            <v>2014</v>
          </cell>
          <cell r="O942">
            <v>741</v>
          </cell>
          <cell r="P942" t="e">
            <v>#N/A</v>
          </cell>
        </row>
        <row r="943">
          <cell r="B943" t="str">
            <v>Masaryk University</v>
          </cell>
          <cell r="C943" t="str">
            <v>Czech Republic</v>
          </cell>
          <cell r="D943">
            <v>2</v>
          </cell>
          <cell r="E943">
            <v>355</v>
          </cell>
          <cell r="F943">
            <v>478</v>
          </cell>
          <cell r="G943">
            <v>210</v>
          </cell>
          <cell r="H943">
            <v>667</v>
          </cell>
          <cell r="I943">
            <v>567</v>
          </cell>
          <cell r="J943">
            <v>800</v>
          </cell>
          <cell r="K943">
            <v>642</v>
          </cell>
          <cell r="L943">
            <v>737</v>
          </cell>
          <cell r="M943">
            <v>44.59</v>
          </cell>
          <cell r="N943">
            <v>2014</v>
          </cell>
          <cell r="O943">
            <v>742</v>
          </cell>
          <cell r="P943">
            <v>21.2</v>
          </cell>
        </row>
        <row r="944">
          <cell r="B944" t="str">
            <v>Yamaguchi University</v>
          </cell>
          <cell r="C944" t="str">
            <v>Japan</v>
          </cell>
          <cell r="D944">
            <v>51</v>
          </cell>
          <cell r="E944">
            <v>355</v>
          </cell>
          <cell r="F944">
            <v>478</v>
          </cell>
          <cell r="G944">
            <v>210</v>
          </cell>
          <cell r="H944">
            <v>719</v>
          </cell>
          <cell r="I944">
            <v>735</v>
          </cell>
          <cell r="J944">
            <v>609</v>
          </cell>
          <cell r="K944">
            <v>716</v>
          </cell>
          <cell r="L944">
            <v>307</v>
          </cell>
          <cell r="M944">
            <v>44.59</v>
          </cell>
          <cell r="N944">
            <v>2014</v>
          </cell>
          <cell r="O944">
            <v>743</v>
          </cell>
          <cell r="P944" t="e">
            <v>#N/A</v>
          </cell>
        </row>
        <row r="945">
          <cell r="B945" t="str">
            <v>University of Yamanashi</v>
          </cell>
          <cell r="C945" t="str">
            <v>Japan</v>
          </cell>
          <cell r="D945">
            <v>52</v>
          </cell>
          <cell r="E945">
            <v>355</v>
          </cell>
          <cell r="F945">
            <v>478</v>
          </cell>
          <cell r="G945">
            <v>210</v>
          </cell>
          <cell r="H945">
            <v>858</v>
          </cell>
          <cell r="I945">
            <v>895</v>
          </cell>
          <cell r="J945">
            <v>406</v>
          </cell>
          <cell r="K945">
            <v>663</v>
          </cell>
          <cell r="L945">
            <v>481</v>
          </cell>
          <cell r="M945">
            <v>44.59</v>
          </cell>
          <cell r="N945">
            <v>2014</v>
          </cell>
          <cell r="O945">
            <v>744</v>
          </cell>
          <cell r="P945" t="e">
            <v>#N/A</v>
          </cell>
        </row>
        <row r="946">
          <cell r="B946" t="str">
            <v>Showa University</v>
          </cell>
          <cell r="C946" t="str">
            <v>Japan</v>
          </cell>
          <cell r="D946">
            <v>53</v>
          </cell>
          <cell r="E946">
            <v>355</v>
          </cell>
          <cell r="F946">
            <v>478</v>
          </cell>
          <cell r="G946">
            <v>210</v>
          </cell>
          <cell r="H946">
            <v>945</v>
          </cell>
          <cell r="I946">
            <v>760</v>
          </cell>
          <cell r="J946">
            <v>609</v>
          </cell>
          <cell r="K946">
            <v>628</v>
          </cell>
          <cell r="L946">
            <v>737</v>
          </cell>
          <cell r="M946">
            <v>44.59</v>
          </cell>
          <cell r="N946">
            <v>2014</v>
          </cell>
          <cell r="O946">
            <v>745</v>
          </cell>
          <cell r="P946">
            <v>28.5</v>
          </cell>
        </row>
        <row r="947">
          <cell r="B947" t="str">
            <v>North Dakota State University - Main Campus</v>
          </cell>
          <cell r="C947" t="str">
            <v>USA</v>
          </cell>
          <cell r="D947">
            <v>208</v>
          </cell>
          <cell r="E947">
            <v>155</v>
          </cell>
          <cell r="F947">
            <v>478</v>
          </cell>
          <cell r="G947">
            <v>210</v>
          </cell>
          <cell r="H947">
            <v>692</v>
          </cell>
          <cell r="I947">
            <v>772</v>
          </cell>
          <cell r="J947">
            <v>800</v>
          </cell>
          <cell r="K947">
            <v>769</v>
          </cell>
          <cell r="L947">
            <v>737</v>
          </cell>
          <cell r="M947">
            <v>44.59</v>
          </cell>
          <cell r="N947">
            <v>2014</v>
          </cell>
          <cell r="O947">
            <v>746</v>
          </cell>
          <cell r="P947" t="e">
            <v>#N/A</v>
          </cell>
        </row>
        <row r="948">
          <cell r="B948" t="str">
            <v>University of North Texas, Denton</v>
          </cell>
          <cell r="C948" t="str">
            <v>USA</v>
          </cell>
          <cell r="D948">
            <v>209</v>
          </cell>
          <cell r="E948">
            <v>355</v>
          </cell>
          <cell r="F948">
            <v>478</v>
          </cell>
          <cell r="G948">
            <v>210</v>
          </cell>
          <cell r="H948">
            <v>683</v>
          </cell>
          <cell r="I948">
            <v>658</v>
          </cell>
          <cell r="J948">
            <v>609</v>
          </cell>
          <cell r="K948">
            <v>675</v>
          </cell>
          <cell r="L948">
            <v>426</v>
          </cell>
          <cell r="M948">
            <v>44.59</v>
          </cell>
          <cell r="N948">
            <v>2014</v>
          </cell>
          <cell r="O948">
            <v>747</v>
          </cell>
          <cell r="P948" t="e">
            <v>#N/A</v>
          </cell>
        </row>
        <row r="949">
          <cell r="B949" t="str">
            <v>University of Mississippi Medical Center</v>
          </cell>
          <cell r="C949" t="str">
            <v>USA</v>
          </cell>
          <cell r="D949">
            <v>210</v>
          </cell>
          <cell r="E949">
            <v>355</v>
          </cell>
          <cell r="F949">
            <v>478</v>
          </cell>
          <cell r="G949">
            <v>210</v>
          </cell>
          <cell r="H949">
            <v>791</v>
          </cell>
          <cell r="I949">
            <v>571</v>
          </cell>
          <cell r="J949">
            <v>493</v>
          </cell>
          <cell r="K949">
            <v>642</v>
          </cell>
          <cell r="L949">
            <v>737</v>
          </cell>
          <cell r="M949">
            <v>44.58</v>
          </cell>
          <cell r="N949">
            <v>2014</v>
          </cell>
          <cell r="O949">
            <v>748</v>
          </cell>
          <cell r="P949" t="e">
            <v>#N/A</v>
          </cell>
        </row>
        <row r="950">
          <cell r="B950" t="str">
            <v>University of Tehran</v>
          </cell>
          <cell r="C950" t="str">
            <v>Iran</v>
          </cell>
          <cell r="D950">
            <v>1</v>
          </cell>
          <cell r="E950">
            <v>171</v>
          </cell>
          <cell r="F950">
            <v>478</v>
          </cell>
          <cell r="G950">
            <v>210</v>
          </cell>
          <cell r="H950">
            <v>519</v>
          </cell>
          <cell r="I950">
            <v>974</v>
          </cell>
          <cell r="J950">
            <v>800</v>
          </cell>
          <cell r="K950">
            <v>769</v>
          </cell>
          <cell r="L950">
            <v>737</v>
          </cell>
          <cell r="M950">
            <v>44.58</v>
          </cell>
          <cell r="N950">
            <v>2014</v>
          </cell>
          <cell r="O950">
            <v>749</v>
          </cell>
          <cell r="P950">
            <v>26.1</v>
          </cell>
        </row>
        <row r="951">
          <cell r="B951" t="str">
            <v>Paul ValÃ©ry University, Montpellier III</v>
          </cell>
          <cell r="C951" t="str">
            <v>France</v>
          </cell>
          <cell r="D951">
            <v>35</v>
          </cell>
          <cell r="E951">
            <v>355</v>
          </cell>
          <cell r="F951">
            <v>478</v>
          </cell>
          <cell r="G951">
            <v>210</v>
          </cell>
          <cell r="H951">
            <v>829</v>
          </cell>
          <cell r="I951">
            <v>486</v>
          </cell>
          <cell r="J951">
            <v>493</v>
          </cell>
          <cell r="K951">
            <v>642</v>
          </cell>
          <cell r="L951">
            <v>737</v>
          </cell>
          <cell r="M951">
            <v>44.58</v>
          </cell>
          <cell r="N951">
            <v>2014</v>
          </cell>
          <cell r="O951">
            <v>750</v>
          </cell>
          <cell r="P951" t="e">
            <v>#N/A</v>
          </cell>
        </row>
        <row r="952">
          <cell r="B952" t="str">
            <v>Wuhan University of Technology</v>
          </cell>
          <cell r="C952" t="str">
            <v>China</v>
          </cell>
          <cell r="D952">
            <v>40</v>
          </cell>
          <cell r="E952">
            <v>355</v>
          </cell>
          <cell r="F952">
            <v>478</v>
          </cell>
          <cell r="G952">
            <v>210</v>
          </cell>
          <cell r="H952">
            <v>794</v>
          </cell>
          <cell r="I952">
            <v>920</v>
          </cell>
          <cell r="J952">
            <v>493</v>
          </cell>
          <cell r="K952">
            <v>642</v>
          </cell>
          <cell r="L952">
            <v>737</v>
          </cell>
          <cell r="M952">
            <v>44.58</v>
          </cell>
          <cell r="N952">
            <v>2014</v>
          </cell>
          <cell r="O952">
            <v>751</v>
          </cell>
          <cell r="P952">
            <v>14.8</v>
          </cell>
        </row>
        <row r="953">
          <cell r="B953" t="str">
            <v>University of Hyogo</v>
          </cell>
          <cell r="C953" t="str">
            <v>Japan</v>
          </cell>
          <cell r="D953">
            <v>54</v>
          </cell>
          <cell r="E953">
            <v>355</v>
          </cell>
          <cell r="F953">
            <v>478</v>
          </cell>
          <cell r="G953">
            <v>210</v>
          </cell>
          <cell r="H953">
            <v>765</v>
          </cell>
          <cell r="I953">
            <v>463</v>
          </cell>
          <cell r="J953">
            <v>493</v>
          </cell>
          <cell r="K953">
            <v>663</v>
          </cell>
          <cell r="L953">
            <v>552</v>
          </cell>
          <cell r="M953">
            <v>44.58</v>
          </cell>
          <cell r="N953">
            <v>2014</v>
          </cell>
          <cell r="O953">
            <v>752</v>
          </cell>
          <cell r="P953" t="e">
            <v>#N/A</v>
          </cell>
        </row>
        <row r="954">
          <cell r="B954" t="str">
            <v>The Catholic University of America</v>
          </cell>
          <cell r="C954" t="str">
            <v>USA</v>
          </cell>
          <cell r="D954">
            <v>211</v>
          </cell>
          <cell r="E954">
            <v>355</v>
          </cell>
          <cell r="F954">
            <v>314</v>
          </cell>
          <cell r="G954">
            <v>210</v>
          </cell>
          <cell r="H954">
            <v>949</v>
          </cell>
          <cell r="I954">
            <v>560</v>
          </cell>
          <cell r="J954">
            <v>406</v>
          </cell>
          <cell r="K954">
            <v>756</v>
          </cell>
          <cell r="L954">
            <v>552</v>
          </cell>
          <cell r="M954">
            <v>44.58</v>
          </cell>
          <cell r="N954">
            <v>2014</v>
          </cell>
          <cell r="O954">
            <v>753</v>
          </cell>
          <cell r="P954" t="e">
            <v>#N/A</v>
          </cell>
        </row>
        <row r="955">
          <cell r="B955" t="str">
            <v>University of NeuchÃ¢tel</v>
          </cell>
          <cell r="C955" t="str">
            <v>Switzerland</v>
          </cell>
          <cell r="D955">
            <v>9</v>
          </cell>
          <cell r="E955">
            <v>340</v>
          </cell>
          <cell r="F955">
            <v>478</v>
          </cell>
          <cell r="G955">
            <v>210</v>
          </cell>
          <cell r="H955">
            <v>831</v>
          </cell>
          <cell r="I955">
            <v>631</v>
          </cell>
          <cell r="J955">
            <v>800</v>
          </cell>
          <cell r="K955">
            <v>642</v>
          </cell>
          <cell r="L955">
            <v>637</v>
          </cell>
          <cell r="M955">
            <v>44.58</v>
          </cell>
          <cell r="N955">
            <v>2014</v>
          </cell>
          <cell r="O955">
            <v>754</v>
          </cell>
          <cell r="P955">
            <v>24.2</v>
          </cell>
        </row>
        <row r="956">
          <cell r="B956" t="str">
            <v>National Polytechnic Institute</v>
          </cell>
          <cell r="C956" t="str">
            <v>Mexico</v>
          </cell>
          <cell r="D956">
            <v>2</v>
          </cell>
          <cell r="E956">
            <v>322</v>
          </cell>
          <cell r="F956">
            <v>478</v>
          </cell>
          <cell r="G956">
            <v>210</v>
          </cell>
          <cell r="H956">
            <v>549</v>
          </cell>
          <cell r="I956">
            <v>572</v>
          </cell>
          <cell r="J956">
            <v>406</v>
          </cell>
          <cell r="K956">
            <v>756</v>
          </cell>
          <cell r="L956">
            <v>307</v>
          </cell>
          <cell r="M956">
            <v>44.58</v>
          </cell>
          <cell r="N956">
            <v>2014</v>
          </cell>
          <cell r="O956">
            <v>755</v>
          </cell>
          <cell r="P956" t="e">
            <v>#N/A</v>
          </cell>
        </row>
        <row r="957">
          <cell r="B957" t="str">
            <v>Jikei University School of Medicine</v>
          </cell>
          <cell r="C957" t="str">
            <v>Japan</v>
          </cell>
          <cell r="D957">
            <v>55</v>
          </cell>
          <cell r="E957">
            <v>355</v>
          </cell>
          <cell r="F957">
            <v>478</v>
          </cell>
          <cell r="G957">
            <v>210</v>
          </cell>
          <cell r="H957">
            <v>975</v>
          </cell>
          <cell r="I957">
            <v>711</v>
          </cell>
          <cell r="J957">
            <v>609</v>
          </cell>
          <cell r="K957">
            <v>642</v>
          </cell>
          <cell r="L957">
            <v>637</v>
          </cell>
          <cell r="M957">
            <v>44.58</v>
          </cell>
          <cell r="N957">
            <v>2014</v>
          </cell>
          <cell r="O957">
            <v>756</v>
          </cell>
          <cell r="P957" t="e">
            <v>#N/A</v>
          </cell>
        </row>
        <row r="958">
          <cell r="B958" t="str">
            <v>University of Valladolid</v>
          </cell>
          <cell r="C958" t="str">
            <v>Spain</v>
          </cell>
          <cell r="D958">
            <v>27</v>
          </cell>
          <cell r="E958">
            <v>355</v>
          </cell>
          <cell r="F958">
            <v>430</v>
          </cell>
          <cell r="G958">
            <v>210</v>
          </cell>
          <cell r="H958">
            <v>675</v>
          </cell>
          <cell r="I958">
            <v>966</v>
          </cell>
          <cell r="J958">
            <v>800</v>
          </cell>
          <cell r="K958">
            <v>819</v>
          </cell>
          <cell r="L958">
            <v>280</v>
          </cell>
          <cell r="M958">
            <v>44.57</v>
          </cell>
          <cell r="N958">
            <v>2014</v>
          </cell>
          <cell r="O958">
            <v>757</v>
          </cell>
          <cell r="P958" t="e">
            <v>#N/A</v>
          </cell>
        </row>
        <row r="959">
          <cell r="B959" t="str">
            <v>University of Calabria</v>
          </cell>
          <cell r="C959" t="str">
            <v>Italy</v>
          </cell>
          <cell r="D959">
            <v>41</v>
          </cell>
          <cell r="E959">
            <v>355</v>
          </cell>
          <cell r="F959">
            <v>478</v>
          </cell>
          <cell r="G959">
            <v>210</v>
          </cell>
          <cell r="H959">
            <v>566</v>
          </cell>
          <cell r="I959">
            <v>816</v>
          </cell>
          <cell r="J959">
            <v>406</v>
          </cell>
          <cell r="K959">
            <v>690</v>
          </cell>
          <cell r="L959">
            <v>737</v>
          </cell>
          <cell r="M959">
            <v>44.57</v>
          </cell>
          <cell r="N959">
            <v>2014</v>
          </cell>
          <cell r="O959">
            <v>758</v>
          </cell>
          <cell r="P959" t="e">
            <v>#N/A</v>
          </cell>
        </row>
        <row r="960">
          <cell r="B960" t="str">
            <v>University of LÃ¼beck</v>
          </cell>
          <cell r="C960" t="str">
            <v>Germany</v>
          </cell>
          <cell r="D960">
            <v>48</v>
          </cell>
          <cell r="E960">
            <v>355</v>
          </cell>
          <cell r="F960">
            <v>478</v>
          </cell>
          <cell r="G960">
            <v>210</v>
          </cell>
          <cell r="H960">
            <v>910</v>
          </cell>
          <cell r="I960">
            <v>587</v>
          </cell>
          <cell r="J960">
            <v>800</v>
          </cell>
          <cell r="K960">
            <v>642</v>
          </cell>
          <cell r="L960">
            <v>737</v>
          </cell>
          <cell r="M960">
            <v>44.57</v>
          </cell>
          <cell r="N960">
            <v>2014</v>
          </cell>
          <cell r="O960">
            <v>759</v>
          </cell>
          <cell r="P960" t="e">
            <v>#N/A</v>
          </cell>
        </row>
        <row r="961">
          <cell r="B961" t="str">
            <v>Kurume University</v>
          </cell>
          <cell r="C961" t="str">
            <v>Japan</v>
          </cell>
          <cell r="D961">
            <v>56</v>
          </cell>
          <cell r="E961">
            <v>355</v>
          </cell>
          <cell r="F961">
            <v>478</v>
          </cell>
          <cell r="G961">
            <v>210</v>
          </cell>
          <cell r="H961">
            <v>981</v>
          </cell>
          <cell r="I961">
            <v>727</v>
          </cell>
          <cell r="J961">
            <v>800</v>
          </cell>
          <cell r="K961">
            <v>642</v>
          </cell>
          <cell r="L961">
            <v>737</v>
          </cell>
          <cell r="M961">
            <v>44.57</v>
          </cell>
          <cell r="N961">
            <v>2014</v>
          </cell>
          <cell r="O961">
            <v>760</v>
          </cell>
          <cell r="P961" t="e">
            <v>#N/A</v>
          </cell>
        </row>
        <row r="962">
          <cell r="B962" t="str">
            <v>Peking Union Medical College</v>
          </cell>
          <cell r="C962" t="str">
            <v>China</v>
          </cell>
          <cell r="D962">
            <v>41</v>
          </cell>
          <cell r="E962">
            <v>355</v>
          </cell>
          <cell r="F962">
            <v>478</v>
          </cell>
          <cell r="G962">
            <v>210</v>
          </cell>
          <cell r="H962">
            <v>281</v>
          </cell>
          <cell r="I962">
            <v>308</v>
          </cell>
          <cell r="J962">
            <v>800</v>
          </cell>
          <cell r="K962">
            <v>909</v>
          </cell>
          <cell r="L962">
            <v>637</v>
          </cell>
          <cell r="M962">
            <v>44.57</v>
          </cell>
          <cell r="N962">
            <v>2014</v>
          </cell>
          <cell r="O962">
            <v>761</v>
          </cell>
          <cell r="P962" t="e">
            <v>#N/A</v>
          </cell>
        </row>
        <row r="963">
          <cell r="B963" t="str">
            <v>Yamagata University</v>
          </cell>
          <cell r="C963" t="str">
            <v>Japan</v>
          </cell>
          <cell r="D963">
            <v>57</v>
          </cell>
          <cell r="E963">
            <v>355</v>
          </cell>
          <cell r="F963">
            <v>478</v>
          </cell>
          <cell r="G963">
            <v>210</v>
          </cell>
          <cell r="H963">
            <v>760</v>
          </cell>
          <cell r="I963">
            <v>719</v>
          </cell>
          <cell r="J963">
            <v>609</v>
          </cell>
          <cell r="K963">
            <v>675</v>
          </cell>
          <cell r="L963">
            <v>481</v>
          </cell>
          <cell r="M963">
            <v>44.57</v>
          </cell>
          <cell r="N963">
            <v>2014</v>
          </cell>
          <cell r="O963">
            <v>762</v>
          </cell>
          <cell r="P963" t="e">
            <v>#N/A</v>
          </cell>
        </row>
        <row r="964">
          <cell r="B964" t="str">
            <v>University of CÃ³rdoba (Spain)</v>
          </cell>
          <cell r="C964" t="str">
            <v>Spain</v>
          </cell>
          <cell r="D964">
            <v>28</v>
          </cell>
          <cell r="E964">
            <v>355</v>
          </cell>
          <cell r="F964">
            <v>478</v>
          </cell>
          <cell r="G964">
            <v>210</v>
          </cell>
          <cell r="H964">
            <v>623</v>
          </cell>
          <cell r="I964">
            <v>726</v>
          </cell>
          <cell r="J964">
            <v>609</v>
          </cell>
          <cell r="K964">
            <v>675</v>
          </cell>
          <cell r="L964">
            <v>737</v>
          </cell>
          <cell r="M964">
            <v>44.57</v>
          </cell>
          <cell r="N964">
            <v>2014</v>
          </cell>
          <cell r="O964">
            <v>763</v>
          </cell>
          <cell r="P964" t="e">
            <v>#N/A</v>
          </cell>
        </row>
        <row r="965">
          <cell r="B965" t="str">
            <v>University of Mons</v>
          </cell>
          <cell r="C965" t="str">
            <v>Belgium</v>
          </cell>
          <cell r="D965">
            <v>10</v>
          </cell>
          <cell r="E965">
            <v>355</v>
          </cell>
          <cell r="F965">
            <v>478</v>
          </cell>
          <cell r="G965">
            <v>210</v>
          </cell>
          <cell r="H965">
            <v>789</v>
          </cell>
          <cell r="I965">
            <v>814</v>
          </cell>
          <cell r="J965">
            <v>609</v>
          </cell>
          <cell r="K965">
            <v>675</v>
          </cell>
          <cell r="L965">
            <v>481</v>
          </cell>
          <cell r="M965">
            <v>44.57</v>
          </cell>
          <cell r="N965">
            <v>2014</v>
          </cell>
          <cell r="O965">
            <v>764</v>
          </cell>
          <cell r="P965" t="e">
            <v>#N/A</v>
          </cell>
        </row>
        <row r="966">
          <cell r="B966" t="str">
            <v>Saga University</v>
          </cell>
          <cell r="C966" t="str">
            <v>Japan</v>
          </cell>
          <cell r="D966">
            <v>58</v>
          </cell>
          <cell r="E966">
            <v>355</v>
          </cell>
          <cell r="F966">
            <v>478</v>
          </cell>
          <cell r="G966">
            <v>210</v>
          </cell>
          <cell r="H966">
            <v>773</v>
          </cell>
          <cell r="I966">
            <v>757</v>
          </cell>
          <cell r="J966">
            <v>800</v>
          </cell>
          <cell r="K966">
            <v>675</v>
          </cell>
          <cell r="L966">
            <v>481</v>
          </cell>
          <cell r="M966">
            <v>44.57</v>
          </cell>
          <cell r="N966">
            <v>2014</v>
          </cell>
          <cell r="O966">
            <v>765</v>
          </cell>
          <cell r="P966" t="e">
            <v>#N/A</v>
          </cell>
        </row>
        <row r="967">
          <cell r="B967" t="str">
            <v>Clarkson University</v>
          </cell>
          <cell r="C967" t="str">
            <v>USA</v>
          </cell>
          <cell r="D967">
            <v>212</v>
          </cell>
          <cell r="E967">
            <v>355</v>
          </cell>
          <cell r="F967">
            <v>305</v>
          </cell>
          <cell r="G967">
            <v>210</v>
          </cell>
          <cell r="H967">
            <v>943</v>
          </cell>
          <cell r="I967">
            <v>966</v>
          </cell>
          <cell r="J967">
            <v>800</v>
          </cell>
          <cell r="K967">
            <v>769</v>
          </cell>
          <cell r="L967">
            <v>552</v>
          </cell>
          <cell r="M967">
            <v>44.57</v>
          </cell>
          <cell r="N967">
            <v>2014</v>
          </cell>
          <cell r="O967">
            <v>766</v>
          </cell>
          <cell r="P967" t="e">
            <v>#N/A</v>
          </cell>
        </row>
        <row r="968">
          <cell r="B968" t="str">
            <v>University of South Alabama</v>
          </cell>
          <cell r="C968" t="str">
            <v>USA</v>
          </cell>
          <cell r="D968">
            <v>213</v>
          </cell>
          <cell r="E968">
            <v>355</v>
          </cell>
          <cell r="F968">
            <v>478</v>
          </cell>
          <cell r="G968">
            <v>210</v>
          </cell>
          <cell r="H968">
            <v>966</v>
          </cell>
          <cell r="I968">
            <v>739</v>
          </cell>
          <cell r="J968">
            <v>800</v>
          </cell>
          <cell r="K968">
            <v>724</v>
          </cell>
          <cell r="L968">
            <v>307</v>
          </cell>
          <cell r="M968">
            <v>44.56</v>
          </cell>
          <cell r="N968">
            <v>2014</v>
          </cell>
          <cell r="O968">
            <v>767</v>
          </cell>
          <cell r="P968" t="e">
            <v>#N/A</v>
          </cell>
        </row>
        <row r="969">
          <cell r="B969" t="str">
            <v>Inje University</v>
          </cell>
          <cell r="C969" t="str">
            <v>South Korea</v>
          </cell>
          <cell r="D969">
            <v>25</v>
          </cell>
          <cell r="E969">
            <v>355</v>
          </cell>
          <cell r="F969">
            <v>478</v>
          </cell>
          <cell r="G969">
            <v>210</v>
          </cell>
          <cell r="H969">
            <v>828</v>
          </cell>
          <cell r="I969">
            <v>902</v>
          </cell>
          <cell r="J969">
            <v>800</v>
          </cell>
          <cell r="K969">
            <v>800</v>
          </cell>
          <cell r="L969">
            <v>227</v>
          </cell>
          <cell r="M969">
            <v>44.56</v>
          </cell>
          <cell r="N969">
            <v>2014</v>
          </cell>
          <cell r="O969">
            <v>768</v>
          </cell>
          <cell r="P969" t="e">
            <v>#N/A</v>
          </cell>
        </row>
        <row r="970">
          <cell r="B970" t="str">
            <v>University of Caen Lower Normandy</v>
          </cell>
          <cell r="C970" t="str">
            <v>France</v>
          </cell>
          <cell r="D970">
            <v>36</v>
          </cell>
          <cell r="E970">
            <v>193</v>
          </cell>
          <cell r="F970">
            <v>478</v>
          </cell>
          <cell r="G970">
            <v>210</v>
          </cell>
          <cell r="H970">
            <v>626</v>
          </cell>
          <cell r="I970">
            <v>801</v>
          </cell>
          <cell r="J970">
            <v>609</v>
          </cell>
          <cell r="K970">
            <v>756</v>
          </cell>
          <cell r="L970">
            <v>552</v>
          </cell>
          <cell r="M970">
            <v>44.56</v>
          </cell>
          <cell r="N970">
            <v>2014</v>
          </cell>
          <cell r="O970">
            <v>769</v>
          </cell>
          <cell r="P970" t="e">
            <v>#N/A</v>
          </cell>
        </row>
        <row r="971">
          <cell r="B971" t="str">
            <v>University of Castillaâ€“La Mancha</v>
          </cell>
          <cell r="C971" t="str">
            <v>Spain</v>
          </cell>
          <cell r="D971">
            <v>29</v>
          </cell>
          <cell r="E971">
            <v>355</v>
          </cell>
          <cell r="F971">
            <v>478</v>
          </cell>
          <cell r="G971">
            <v>210</v>
          </cell>
          <cell r="H971">
            <v>631</v>
          </cell>
          <cell r="I971">
            <v>754</v>
          </cell>
          <cell r="J971">
            <v>609</v>
          </cell>
          <cell r="K971">
            <v>690</v>
          </cell>
          <cell r="L971">
            <v>552</v>
          </cell>
          <cell r="M971">
            <v>44.56</v>
          </cell>
          <cell r="N971">
            <v>2014</v>
          </cell>
          <cell r="O971">
            <v>770</v>
          </cell>
          <cell r="P971" t="e">
            <v>#N/A</v>
          </cell>
        </row>
        <row r="972">
          <cell r="B972" t="str">
            <v>Czech Technical University in Prague</v>
          </cell>
          <cell r="C972" t="str">
            <v>Czech Republic</v>
          </cell>
          <cell r="D972">
            <v>3</v>
          </cell>
          <cell r="E972">
            <v>336</v>
          </cell>
          <cell r="F972">
            <v>478</v>
          </cell>
          <cell r="G972">
            <v>210</v>
          </cell>
          <cell r="H972">
            <v>698</v>
          </cell>
          <cell r="I972">
            <v>793</v>
          </cell>
          <cell r="J972">
            <v>406</v>
          </cell>
          <cell r="K972">
            <v>690</v>
          </cell>
          <cell r="L972">
            <v>737</v>
          </cell>
          <cell r="M972">
            <v>44.56</v>
          </cell>
          <cell r="N972">
            <v>2014</v>
          </cell>
          <cell r="O972">
            <v>771</v>
          </cell>
          <cell r="P972">
            <v>20.6</v>
          </cell>
        </row>
        <row r="973">
          <cell r="B973" t="str">
            <v>Saitama Medical University</v>
          </cell>
          <cell r="C973" t="str">
            <v>Japan</v>
          </cell>
          <cell r="D973">
            <v>59</v>
          </cell>
          <cell r="E973">
            <v>355</v>
          </cell>
          <cell r="F973">
            <v>478</v>
          </cell>
          <cell r="G973">
            <v>210</v>
          </cell>
          <cell r="H973">
            <v>912</v>
          </cell>
          <cell r="I973">
            <v>635</v>
          </cell>
          <cell r="J973">
            <v>609</v>
          </cell>
          <cell r="K973">
            <v>690</v>
          </cell>
          <cell r="L973">
            <v>426</v>
          </cell>
          <cell r="M973">
            <v>44.56</v>
          </cell>
          <cell r="N973">
            <v>2014</v>
          </cell>
          <cell r="O973">
            <v>772</v>
          </cell>
          <cell r="P973" t="e">
            <v>#N/A</v>
          </cell>
        </row>
        <row r="974">
          <cell r="B974" t="str">
            <v>Istanbul Technical University</v>
          </cell>
          <cell r="C974" t="str">
            <v>Turkey</v>
          </cell>
          <cell r="D974">
            <v>4</v>
          </cell>
          <cell r="E974">
            <v>355</v>
          </cell>
          <cell r="F974">
            <v>388</v>
          </cell>
          <cell r="G974">
            <v>210</v>
          </cell>
          <cell r="H974">
            <v>641</v>
          </cell>
          <cell r="I974">
            <v>858</v>
          </cell>
          <cell r="J974">
            <v>363</v>
          </cell>
          <cell r="K974">
            <v>769</v>
          </cell>
          <cell r="L974">
            <v>637</v>
          </cell>
          <cell r="M974">
            <v>44.56</v>
          </cell>
          <cell r="N974">
            <v>2014</v>
          </cell>
          <cell r="O974">
            <v>773</v>
          </cell>
          <cell r="P974">
            <v>25.1</v>
          </cell>
        </row>
        <row r="975">
          <cell r="B975" t="str">
            <v>Kaohsiung Medical University</v>
          </cell>
          <cell r="C975" t="str">
            <v>Taiwan</v>
          </cell>
          <cell r="D975">
            <v>10</v>
          </cell>
          <cell r="E975">
            <v>355</v>
          </cell>
          <cell r="F975">
            <v>478</v>
          </cell>
          <cell r="G975">
            <v>210</v>
          </cell>
          <cell r="H975">
            <v>562</v>
          </cell>
          <cell r="I975">
            <v>854</v>
          </cell>
          <cell r="J975">
            <v>800</v>
          </cell>
          <cell r="K975">
            <v>703</v>
          </cell>
          <cell r="L975">
            <v>552</v>
          </cell>
          <cell r="M975">
            <v>44.56</v>
          </cell>
          <cell r="N975">
            <v>2014</v>
          </cell>
          <cell r="O975">
            <v>774</v>
          </cell>
          <cell r="P975">
            <v>20.6</v>
          </cell>
        </row>
        <row r="976">
          <cell r="B976" t="str">
            <v>University of Electro-Communications</v>
          </cell>
          <cell r="C976" t="str">
            <v>Japan</v>
          </cell>
          <cell r="D976">
            <v>60</v>
          </cell>
          <cell r="E976">
            <v>140</v>
          </cell>
          <cell r="F976">
            <v>478</v>
          </cell>
          <cell r="G976">
            <v>210</v>
          </cell>
          <cell r="H976">
            <v>846</v>
          </cell>
          <cell r="I976">
            <v>866</v>
          </cell>
          <cell r="J976">
            <v>609</v>
          </cell>
          <cell r="K976">
            <v>874</v>
          </cell>
          <cell r="L976">
            <v>373</v>
          </cell>
          <cell r="M976">
            <v>44.56</v>
          </cell>
          <cell r="N976">
            <v>2014</v>
          </cell>
          <cell r="O976">
            <v>775</v>
          </cell>
          <cell r="P976" t="e">
            <v>#N/A</v>
          </cell>
        </row>
        <row r="977">
          <cell r="B977" t="str">
            <v>Yeungnam University</v>
          </cell>
          <cell r="C977" t="str">
            <v>South Korea</v>
          </cell>
          <cell r="D977">
            <v>26</v>
          </cell>
          <cell r="E977">
            <v>355</v>
          </cell>
          <cell r="F977">
            <v>454</v>
          </cell>
          <cell r="G977">
            <v>210</v>
          </cell>
          <cell r="H977">
            <v>768</v>
          </cell>
          <cell r="I977">
            <v>966</v>
          </cell>
          <cell r="J977">
            <v>800</v>
          </cell>
          <cell r="K977">
            <v>874</v>
          </cell>
          <cell r="L977">
            <v>227</v>
          </cell>
          <cell r="M977">
            <v>44.55</v>
          </cell>
          <cell r="N977">
            <v>2014</v>
          </cell>
          <cell r="O977">
            <v>776</v>
          </cell>
          <cell r="P977">
            <v>18.600000000000001</v>
          </cell>
        </row>
        <row r="978">
          <cell r="B978" t="str">
            <v>Jawaharlal Nehru Centre for Advanced Scientific Research</v>
          </cell>
          <cell r="C978" t="str">
            <v>India</v>
          </cell>
          <cell r="D978">
            <v>12</v>
          </cell>
          <cell r="E978">
            <v>355</v>
          </cell>
          <cell r="F978">
            <v>478</v>
          </cell>
          <cell r="G978">
            <v>210</v>
          </cell>
          <cell r="H978">
            <v>865</v>
          </cell>
          <cell r="I978">
            <v>642</v>
          </cell>
          <cell r="J978">
            <v>493</v>
          </cell>
          <cell r="K978">
            <v>703</v>
          </cell>
          <cell r="L978">
            <v>426</v>
          </cell>
          <cell r="M978">
            <v>44.55</v>
          </cell>
          <cell r="N978">
            <v>2014</v>
          </cell>
          <cell r="O978">
            <v>777</v>
          </cell>
          <cell r="P978" t="e">
            <v>#N/A</v>
          </cell>
        </row>
        <row r="979">
          <cell r="B979" t="str">
            <v>Putra University, Malaysia</v>
          </cell>
          <cell r="C979" t="str">
            <v>Malaysia</v>
          </cell>
          <cell r="D979">
            <v>3</v>
          </cell>
          <cell r="E979">
            <v>355</v>
          </cell>
          <cell r="F979">
            <v>478</v>
          </cell>
          <cell r="G979">
            <v>210</v>
          </cell>
          <cell r="H979">
            <v>932</v>
          </cell>
          <cell r="I979">
            <v>897</v>
          </cell>
          <cell r="J979">
            <v>800</v>
          </cell>
          <cell r="K979">
            <v>979</v>
          </cell>
          <cell r="L979">
            <v>159</v>
          </cell>
          <cell r="M979">
            <v>44.55</v>
          </cell>
          <cell r="N979">
            <v>2014</v>
          </cell>
          <cell r="O979">
            <v>778</v>
          </cell>
          <cell r="P979" t="e">
            <v>#N/A</v>
          </cell>
        </row>
        <row r="980">
          <cell r="B980" t="str">
            <v>Institut national des sciences AppliquÃ©es de Lyon</v>
          </cell>
          <cell r="C980" t="str">
            <v>France</v>
          </cell>
          <cell r="D980">
            <v>37</v>
          </cell>
          <cell r="E980">
            <v>355</v>
          </cell>
          <cell r="F980">
            <v>478</v>
          </cell>
          <cell r="G980">
            <v>210</v>
          </cell>
          <cell r="H980">
            <v>517</v>
          </cell>
          <cell r="I980">
            <v>681</v>
          </cell>
          <cell r="J980">
            <v>609</v>
          </cell>
          <cell r="K980">
            <v>724</v>
          </cell>
          <cell r="L980">
            <v>481</v>
          </cell>
          <cell r="M980">
            <v>44.55</v>
          </cell>
          <cell r="N980">
            <v>2014</v>
          </cell>
          <cell r="O980">
            <v>779</v>
          </cell>
          <cell r="P980" t="e">
            <v>#N/A</v>
          </cell>
        </row>
        <row r="981">
          <cell r="B981" t="str">
            <v>University of Perpignan Via Domitia</v>
          </cell>
          <cell r="C981" t="str">
            <v>France</v>
          </cell>
          <cell r="D981">
            <v>38</v>
          </cell>
          <cell r="E981">
            <v>144</v>
          </cell>
          <cell r="F981">
            <v>478</v>
          </cell>
          <cell r="G981">
            <v>210</v>
          </cell>
          <cell r="H981">
            <v>957</v>
          </cell>
          <cell r="I981">
            <v>563</v>
          </cell>
          <cell r="J981">
            <v>609</v>
          </cell>
          <cell r="K981">
            <v>832</v>
          </cell>
          <cell r="L981">
            <v>737</v>
          </cell>
          <cell r="M981">
            <v>44.55</v>
          </cell>
          <cell r="N981">
            <v>2014</v>
          </cell>
          <cell r="O981">
            <v>780</v>
          </cell>
          <cell r="P981" t="e">
            <v>#N/A</v>
          </cell>
        </row>
        <row r="982">
          <cell r="B982" t="str">
            <v>University of Miyazaki</v>
          </cell>
          <cell r="C982" t="str">
            <v>Japan</v>
          </cell>
          <cell r="D982">
            <v>61</v>
          </cell>
          <cell r="E982">
            <v>259</v>
          </cell>
          <cell r="F982">
            <v>478</v>
          </cell>
          <cell r="G982">
            <v>210</v>
          </cell>
          <cell r="H982">
            <v>924</v>
          </cell>
          <cell r="I982">
            <v>690</v>
          </cell>
          <cell r="J982">
            <v>609</v>
          </cell>
          <cell r="K982">
            <v>800</v>
          </cell>
          <cell r="L982">
            <v>280</v>
          </cell>
          <cell r="M982">
            <v>44.55</v>
          </cell>
          <cell r="N982">
            <v>2014</v>
          </cell>
          <cell r="O982">
            <v>781</v>
          </cell>
          <cell r="P982" t="e">
            <v>#N/A</v>
          </cell>
        </row>
        <row r="983">
          <cell r="B983" t="str">
            <v>Second Military Medical University</v>
          </cell>
          <cell r="C983" t="str">
            <v>China</v>
          </cell>
          <cell r="D983">
            <v>42</v>
          </cell>
          <cell r="E983">
            <v>355</v>
          </cell>
          <cell r="F983">
            <v>478</v>
          </cell>
          <cell r="G983">
            <v>210</v>
          </cell>
          <cell r="H983">
            <v>641</v>
          </cell>
          <cell r="I983">
            <v>725</v>
          </cell>
          <cell r="J983">
            <v>609</v>
          </cell>
          <cell r="K983">
            <v>756</v>
          </cell>
          <cell r="L983">
            <v>307</v>
          </cell>
          <cell r="M983">
            <v>44.55</v>
          </cell>
          <cell r="N983">
            <v>2014</v>
          </cell>
          <cell r="O983">
            <v>782</v>
          </cell>
          <cell r="P983" t="e">
            <v>#N/A</v>
          </cell>
        </row>
        <row r="984">
          <cell r="B984" t="str">
            <v>Northern Arizona University</v>
          </cell>
          <cell r="C984" t="str">
            <v>USA</v>
          </cell>
          <cell r="D984">
            <v>214</v>
          </cell>
          <cell r="E984">
            <v>355</v>
          </cell>
          <cell r="F984">
            <v>478</v>
          </cell>
          <cell r="G984">
            <v>210</v>
          </cell>
          <cell r="H984">
            <v>934</v>
          </cell>
          <cell r="I984">
            <v>416</v>
          </cell>
          <cell r="J984">
            <v>609</v>
          </cell>
          <cell r="K984">
            <v>690</v>
          </cell>
          <cell r="L984">
            <v>552</v>
          </cell>
          <cell r="M984">
            <v>44.55</v>
          </cell>
          <cell r="N984">
            <v>2014</v>
          </cell>
          <cell r="O984">
            <v>783</v>
          </cell>
          <cell r="P984" t="e">
            <v>#N/A</v>
          </cell>
        </row>
        <row r="985">
          <cell r="B985" t="str">
            <v>Ã‰cole Polytechnique de MontrÃ©al</v>
          </cell>
          <cell r="C985" t="str">
            <v>Canada</v>
          </cell>
          <cell r="D985">
            <v>26</v>
          </cell>
          <cell r="E985">
            <v>355</v>
          </cell>
          <cell r="F985">
            <v>478</v>
          </cell>
          <cell r="G985">
            <v>210</v>
          </cell>
          <cell r="H985">
            <v>679</v>
          </cell>
          <cell r="I985">
            <v>907</v>
          </cell>
          <cell r="J985">
            <v>800</v>
          </cell>
          <cell r="K985">
            <v>724</v>
          </cell>
          <cell r="L985">
            <v>373</v>
          </cell>
          <cell r="M985">
            <v>44.55</v>
          </cell>
          <cell r="N985">
            <v>2014</v>
          </cell>
          <cell r="O985">
            <v>784</v>
          </cell>
          <cell r="P985" t="e">
            <v>#N/A</v>
          </cell>
        </row>
        <row r="986">
          <cell r="B986" t="str">
            <v>University of Salento</v>
          </cell>
          <cell r="C986" t="str">
            <v>Italy</v>
          </cell>
          <cell r="D986">
            <v>42</v>
          </cell>
          <cell r="E986">
            <v>355</v>
          </cell>
          <cell r="F986">
            <v>478</v>
          </cell>
          <cell r="G986">
            <v>210</v>
          </cell>
          <cell r="H986">
            <v>662</v>
          </cell>
          <cell r="I986">
            <v>685</v>
          </cell>
          <cell r="J986">
            <v>493</v>
          </cell>
          <cell r="K986">
            <v>703</v>
          </cell>
          <cell r="L986">
            <v>637</v>
          </cell>
          <cell r="M986">
            <v>44.54</v>
          </cell>
          <cell r="N986">
            <v>2014</v>
          </cell>
          <cell r="O986">
            <v>785</v>
          </cell>
          <cell r="P986">
            <v>26.5</v>
          </cell>
        </row>
        <row r="987">
          <cell r="B987" t="str">
            <v>Fukuoka University</v>
          </cell>
          <cell r="C987" t="str">
            <v>Japan</v>
          </cell>
          <cell r="D987">
            <v>62</v>
          </cell>
          <cell r="E987">
            <v>355</v>
          </cell>
          <cell r="F987">
            <v>478</v>
          </cell>
          <cell r="G987">
            <v>210</v>
          </cell>
          <cell r="H987">
            <v>972</v>
          </cell>
          <cell r="I987">
            <v>852</v>
          </cell>
          <cell r="J987">
            <v>800</v>
          </cell>
          <cell r="K987">
            <v>783</v>
          </cell>
          <cell r="L987">
            <v>259</v>
          </cell>
          <cell r="M987">
            <v>44.54</v>
          </cell>
          <cell r="N987">
            <v>2014</v>
          </cell>
          <cell r="O987">
            <v>786</v>
          </cell>
          <cell r="P987" t="e">
            <v>#N/A</v>
          </cell>
        </row>
        <row r="988">
          <cell r="B988" t="str">
            <v>Nagoya Institute of Technology</v>
          </cell>
          <cell r="C988" t="str">
            <v>Japan</v>
          </cell>
          <cell r="D988">
            <v>63</v>
          </cell>
          <cell r="E988">
            <v>355</v>
          </cell>
          <cell r="F988">
            <v>310</v>
          </cell>
          <cell r="G988">
            <v>210</v>
          </cell>
          <cell r="H988">
            <v>775</v>
          </cell>
          <cell r="I988">
            <v>948</v>
          </cell>
          <cell r="J988">
            <v>609</v>
          </cell>
          <cell r="K988">
            <v>897</v>
          </cell>
          <cell r="L988">
            <v>280</v>
          </cell>
          <cell r="M988">
            <v>44.54</v>
          </cell>
          <cell r="N988">
            <v>2014</v>
          </cell>
          <cell r="O988">
            <v>787</v>
          </cell>
          <cell r="P988" t="e">
            <v>#N/A</v>
          </cell>
        </row>
        <row r="989">
          <cell r="B989" t="str">
            <v>Ankara University</v>
          </cell>
          <cell r="C989" t="str">
            <v>Turkey</v>
          </cell>
          <cell r="D989">
            <v>5</v>
          </cell>
          <cell r="E989">
            <v>355</v>
          </cell>
          <cell r="F989">
            <v>461</v>
          </cell>
          <cell r="G989">
            <v>210</v>
          </cell>
          <cell r="H989">
            <v>751</v>
          </cell>
          <cell r="I989">
            <v>723</v>
          </cell>
          <cell r="J989">
            <v>493</v>
          </cell>
          <cell r="K989">
            <v>739</v>
          </cell>
          <cell r="L989">
            <v>737</v>
          </cell>
          <cell r="M989">
            <v>44.54</v>
          </cell>
          <cell r="N989">
            <v>2014</v>
          </cell>
          <cell r="O989">
            <v>788</v>
          </cell>
          <cell r="P989" t="e">
            <v>#N/A</v>
          </cell>
        </row>
        <row r="990">
          <cell r="B990" t="str">
            <v>Blaise Pascal University</v>
          </cell>
          <cell r="C990" t="str">
            <v>France</v>
          </cell>
          <cell r="D990">
            <v>39</v>
          </cell>
          <cell r="E990">
            <v>355</v>
          </cell>
          <cell r="F990">
            <v>478</v>
          </cell>
          <cell r="G990">
            <v>210</v>
          </cell>
          <cell r="H990">
            <v>735</v>
          </cell>
          <cell r="I990">
            <v>689</v>
          </cell>
          <cell r="J990">
            <v>406</v>
          </cell>
          <cell r="K990">
            <v>716</v>
          </cell>
          <cell r="L990">
            <v>481</v>
          </cell>
          <cell r="M990">
            <v>44.54</v>
          </cell>
          <cell r="N990">
            <v>2014</v>
          </cell>
          <cell r="O990">
            <v>789</v>
          </cell>
          <cell r="P990">
            <v>20.2</v>
          </cell>
        </row>
        <row r="991">
          <cell r="B991" t="str">
            <v>University of Electronic Science and Technology of China</v>
          </cell>
          <cell r="C991" t="str">
            <v>China</v>
          </cell>
          <cell r="D991">
            <v>43</v>
          </cell>
          <cell r="E991">
            <v>355</v>
          </cell>
          <cell r="F991">
            <v>400</v>
          </cell>
          <cell r="G991">
            <v>210</v>
          </cell>
          <cell r="H991">
            <v>589</v>
          </cell>
          <cell r="I991">
            <v>910</v>
          </cell>
          <cell r="J991">
            <v>800</v>
          </cell>
          <cell r="K991">
            <v>897</v>
          </cell>
          <cell r="L991">
            <v>259</v>
          </cell>
          <cell r="M991">
            <v>44.54</v>
          </cell>
          <cell r="N991">
            <v>2014</v>
          </cell>
          <cell r="O991">
            <v>790</v>
          </cell>
          <cell r="P991">
            <v>20.5</v>
          </cell>
        </row>
        <row r="992">
          <cell r="B992" t="str">
            <v>National Sun Yat-sen University</v>
          </cell>
          <cell r="C992" t="str">
            <v>Taiwan</v>
          </cell>
          <cell r="D992">
            <v>11</v>
          </cell>
          <cell r="E992">
            <v>355</v>
          </cell>
          <cell r="F992">
            <v>478</v>
          </cell>
          <cell r="G992">
            <v>210</v>
          </cell>
          <cell r="H992">
            <v>453</v>
          </cell>
          <cell r="I992">
            <v>897</v>
          </cell>
          <cell r="J992">
            <v>800</v>
          </cell>
          <cell r="K992">
            <v>739</v>
          </cell>
          <cell r="L992">
            <v>737</v>
          </cell>
          <cell r="M992">
            <v>44.54</v>
          </cell>
          <cell r="N992">
            <v>2014</v>
          </cell>
          <cell r="O992">
            <v>791</v>
          </cell>
          <cell r="P992">
            <v>46.1</v>
          </cell>
        </row>
        <row r="993">
          <cell r="B993" t="str">
            <v>University of Rouen</v>
          </cell>
          <cell r="C993" t="str">
            <v>France</v>
          </cell>
          <cell r="D993">
            <v>40</v>
          </cell>
          <cell r="E993">
            <v>350</v>
          </cell>
          <cell r="F993">
            <v>478</v>
          </cell>
          <cell r="G993">
            <v>210</v>
          </cell>
          <cell r="H993">
            <v>689</v>
          </cell>
          <cell r="I993">
            <v>720</v>
          </cell>
          <cell r="J993">
            <v>609</v>
          </cell>
          <cell r="K993">
            <v>783</v>
          </cell>
          <cell r="L993">
            <v>280</v>
          </cell>
          <cell r="M993">
            <v>44.54</v>
          </cell>
          <cell r="N993">
            <v>2014</v>
          </cell>
          <cell r="O993">
            <v>792</v>
          </cell>
          <cell r="P993" t="e">
            <v>#N/A</v>
          </cell>
        </row>
        <row r="994">
          <cell r="B994" t="str">
            <v>Bowling Green State University</v>
          </cell>
          <cell r="C994" t="str">
            <v>USA</v>
          </cell>
          <cell r="D994">
            <v>215</v>
          </cell>
          <cell r="E994">
            <v>355</v>
          </cell>
          <cell r="F994">
            <v>365</v>
          </cell>
          <cell r="G994">
            <v>210</v>
          </cell>
          <cell r="H994">
            <v>907</v>
          </cell>
          <cell r="I994">
            <v>653</v>
          </cell>
          <cell r="J994">
            <v>609</v>
          </cell>
          <cell r="K994">
            <v>756</v>
          </cell>
          <cell r="L994">
            <v>737</v>
          </cell>
          <cell r="M994">
            <v>44.54</v>
          </cell>
          <cell r="N994">
            <v>2014</v>
          </cell>
          <cell r="O994">
            <v>793</v>
          </cell>
          <cell r="P994" t="e">
            <v>#N/A</v>
          </cell>
        </row>
        <row r="995">
          <cell r="B995" t="str">
            <v>Norwegian University of Life Sciences</v>
          </cell>
          <cell r="C995" t="str">
            <v>Norway</v>
          </cell>
          <cell r="D995">
            <v>5</v>
          </cell>
          <cell r="E995">
            <v>355</v>
          </cell>
          <cell r="F995">
            <v>478</v>
          </cell>
          <cell r="G995">
            <v>210</v>
          </cell>
          <cell r="H995">
            <v>757</v>
          </cell>
          <cell r="I995">
            <v>578</v>
          </cell>
          <cell r="J995">
            <v>493</v>
          </cell>
          <cell r="K995">
            <v>703</v>
          </cell>
          <cell r="L995">
            <v>637</v>
          </cell>
          <cell r="M995">
            <v>44.54</v>
          </cell>
          <cell r="N995">
            <v>2014</v>
          </cell>
          <cell r="O995">
            <v>794</v>
          </cell>
          <cell r="P995" t="e">
            <v>#N/A</v>
          </cell>
        </row>
        <row r="996">
          <cell r="B996" t="str">
            <v>University of Picardie Jules Verne</v>
          </cell>
          <cell r="C996" t="str">
            <v>France</v>
          </cell>
          <cell r="D996">
            <v>41</v>
          </cell>
          <cell r="E996">
            <v>355</v>
          </cell>
          <cell r="F996">
            <v>478</v>
          </cell>
          <cell r="G996">
            <v>210</v>
          </cell>
          <cell r="H996">
            <v>803</v>
          </cell>
          <cell r="I996">
            <v>767</v>
          </cell>
          <cell r="J996">
            <v>363</v>
          </cell>
          <cell r="K996">
            <v>724</v>
          </cell>
          <cell r="L996">
            <v>481</v>
          </cell>
          <cell r="M996">
            <v>44.54</v>
          </cell>
          <cell r="N996">
            <v>2014</v>
          </cell>
          <cell r="O996">
            <v>795</v>
          </cell>
          <cell r="P996" t="e">
            <v>#N/A</v>
          </cell>
        </row>
        <row r="997">
          <cell r="B997" t="str">
            <v>Michigan Technological University</v>
          </cell>
          <cell r="C997" t="str">
            <v>USA</v>
          </cell>
          <cell r="D997">
            <v>216</v>
          </cell>
          <cell r="E997">
            <v>323</v>
          </cell>
          <cell r="F997">
            <v>478</v>
          </cell>
          <cell r="G997">
            <v>210</v>
          </cell>
          <cell r="H997">
            <v>779</v>
          </cell>
          <cell r="I997">
            <v>768</v>
          </cell>
          <cell r="J997">
            <v>406</v>
          </cell>
          <cell r="K997">
            <v>724</v>
          </cell>
          <cell r="L997">
            <v>481</v>
          </cell>
          <cell r="M997">
            <v>44.53</v>
          </cell>
          <cell r="N997">
            <v>2014</v>
          </cell>
          <cell r="O997">
            <v>796</v>
          </cell>
          <cell r="P997">
            <v>21.2</v>
          </cell>
        </row>
        <row r="998">
          <cell r="B998" t="str">
            <v>University of ConcepciÃ³n</v>
          </cell>
          <cell r="C998" t="str">
            <v>Chile</v>
          </cell>
          <cell r="D998">
            <v>3</v>
          </cell>
          <cell r="E998">
            <v>355</v>
          </cell>
          <cell r="F998">
            <v>478</v>
          </cell>
          <cell r="G998">
            <v>210</v>
          </cell>
          <cell r="H998">
            <v>704</v>
          </cell>
          <cell r="I998">
            <v>452</v>
          </cell>
          <cell r="J998">
            <v>800</v>
          </cell>
          <cell r="K998">
            <v>724</v>
          </cell>
          <cell r="L998">
            <v>426</v>
          </cell>
          <cell r="M998">
            <v>44.53</v>
          </cell>
          <cell r="N998">
            <v>2014</v>
          </cell>
          <cell r="O998">
            <v>797</v>
          </cell>
          <cell r="P998" t="e">
            <v>#N/A</v>
          </cell>
        </row>
        <row r="999">
          <cell r="B999" t="str">
            <v>China Medical University (Taiwan)</v>
          </cell>
          <cell r="C999" t="str">
            <v>Taiwan</v>
          </cell>
          <cell r="D999">
            <v>12</v>
          </cell>
          <cell r="E999">
            <v>355</v>
          </cell>
          <cell r="F999">
            <v>478</v>
          </cell>
          <cell r="G999">
            <v>210</v>
          </cell>
          <cell r="H999">
            <v>475</v>
          </cell>
          <cell r="I999">
            <v>680</v>
          </cell>
          <cell r="J999">
            <v>800</v>
          </cell>
          <cell r="K999">
            <v>739</v>
          </cell>
          <cell r="L999">
            <v>737</v>
          </cell>
          <cell r="M999">
            <v>44.53</v>
          </cell>
          <cell r="N999">
            <v>2014</v>
          </cell>
          <cell r="O999">
            <v>798</v>
          </cell>
          <cell r="P999" t="e">
            <v>#N/A</v>
          </cell>
        </row>
        <row r="1000">
          <cell r="B1000" t="str">
            <v>University of Hohenheim</v>
          </cell>
          <cell r="C1000" t="str">
            <v>Germany</v>
          </cell>
          <cell r="D1000">
            <v>49</v>
          </cell>
          <cell r="E1000">
            <v>355</v>
          </cell>
          <cell r="F1000">
            <v>478</v>
          </cell>
          <cell r="G1000">
            <v>210</v>
          </cell>
          <cell r="H1000">
            <v>753</v>
          </cell>
          <cell r="I1000">
            <v>665</v>
          </cell>
          <cell r="J1000">
            <v>609</v>
          </cell>
          <cell r="K1000">
            <v>703</v>
          </cell>
          <cell r="L1000">
            <v>637</v>
          </cell>
          <cell r="M1000">
            <v>44.53</v>
          </cell>
          <cell r="N1000">
            <v>2014</v>
          </cell>
          <cell r="O1000">
            <v>799</v>
          </cell>
          <cell r="P1000">
            <v>30.9</v>
          </cell>
        </row>
        <row r="1001">
          <cell r="B1001" t="str">
            <v>Aberystwyth University</v>
          </cell>
          <cell r="C1001" t="str">
            <v>United Kingdom</v>
          </cell>
          <cell r="D1001">
            <v>59</v>
          </cell>
          <cell r="E1001">
            <v>355</v>
          </cell>
          <cell r="F1001">
            <v>478</v>
          </cell>
          <cell r="G1001">
            <v>210</v>
          </cell>
          <cell r="H1001">
            <v>818</v>
          </cell>
          <cell r="I1001">
            <v>562</v>
          </cell>
          <cell r="J1001">
            <v>493</v>
          </cell>
          <cell r="K1001">
            <v>716</v>
          </cell>
          <cell r="L1001">
            <v>481</v>
          </cell>
          <cell r="M1001">
            <v>44.53</v>
          </cell>
          <cell r="N1001">
            <v>2014</v>
          </cell>
          <cell r="O1001">
            <v>800</v>
          </cell>
          <cell r="P1001">
            <v>19.8</v>
          </cell>
        </row>
        <row r="1002">
          <cell r="B1002" t="str">
            <v>Wilfrid Laurier University</v>
          </cell>
          <cell r="C1002" t="str">
            <v>Canada</v>
          </cell>
          <cell r="D1002">
            <v>27</v>
          </cell>
          <cell r="E1002">
            <v>355</v>
          </cell>
          <cell r="F1002">
            <v>240</v>
          </cell>
          <cell r="G1002">
            <v>210</v>
          </cell>
          <cell r="H1002">
            <v>987</v>
          </cell>
          <cell r="I1002">
            <v>920</v>
          </cell>
          <cell r="J1002">
            <v>800</v>
          </cell>
          <cell r="K1002">
            <v>948</v>
          </cell>
          <cell r="L1002">
            <v>737</v>
          </cell>
          <cell r="M1002">
            <v>44.53</v>
          </cell>
          <cell r="N1002">
            <v>2014</v>
          </cell>
          <cell r="O1002">
            <v>801</v>
          </cell>
          <cell r="P1002" t="e">
            <v>#N/A</v>
          </cell>
        </row>
        <row r="1003">
          <cell r="B1003" t="str">
            <v>Cairo University</v>
          </cell>
          <cell r="C1003" t="str">
            <v>Egypt</v>
          </cell>
          <cell r="D1003">
            <v>1</v>
          </cell>
          <cell r="E1003">
            <v>310</v>
          </cell>
          <cell r="F1003">
            <v>473</v>
          </cell>
          <cell r="G1003">
            <v>176</v>
          </cell>
          <cell r="H1003">
            <v>701</v>
          </cell>
          <cell r="I1003">
            <v>729</v>
          </cell>
          <cell r="J1003">
            <v>609</v>
          </cell>
          <cell r="K1003">
            <v>843</v>
          </cell>
          <cell r="L1003">
            <v>737</v>
          </cell>
          <cell r="M1003">
            <v>44.52</v>
          </cell>
          <cell r="N1003">
            <v>2014</v>
          </cell>
          <cell r="O1003">
            <v>802</v>
          </cell>
          <cell r="P1003">
            <v>18.899999999999999</v>
          </cell>
        </row>
        <row r="1004">
          <cell r="B1004" t="str">
            <v>University of Murcia</v>
          </cell>
          <cell r="C1004" t="str">
            <v>Spain</v>
          </cell>
          <cell r="D1004">
            <v>30</v>
          </cell>
          <cell r="E1004">
            <v>355</v>
          </cell>
          <cell r="F1004">
            <v>478</v>
          </cell>
          <cell r="G1004">
            <v>210</v>
          </cell>
          <cell r="H1004">
            <v>547</v>
          </cell>
          <cell r="I1004">
            <v>745</v>
          </cell>
          <cell r="J1004">
            <v>493</v>
          </cell>
          <cell r="K1004">
            <v>756</v>
          </cell>
          <cell r="L1004">
            <v>426</v>
          </cell>
          <cell r="M1004">
            <v>44.52</v>
          </cell>
          <cell r="N1004">
            <v>2014</v>
          </cell>
          <cell r="O1004">
            <v>803</v>
          </cell>
          <cell r="P1004">
            <v>19.3</v>
          </cell>
        </row>
        <row r="1005">
          <cell r="B1005" t="str">
            <v>PalackÃ½ University, Olomouc</v>
          </cell>
          <cell r="C1005" t="str">
            <v>Czech Republic</v>
          </cell>
          <cell r="D1005">
            <v>4</v>
          </cell>
          <cell r="E1005">
            <v>355</v>
          </cell>
          <cell r="F1005">
            <v>478</v>
          </cell>
          <cell r="G1005">
            <v>210</v>
          </cell>
          <cell r="H1005">
            <v>771</v>
          </cell>
          <cell r="I1005">
            <v>559</v>
          </cell>
          <cell r="J1005">
            <v>609</v>
          </cell>
          <cell r="K1005">
            <v>724</v>
          </cell>
          <cell r="L1005">
            <v>481</v>
          </cell>
          <cell r="M1005">
            <v>44.52</v>
          </cell>
          <cell r="N1005">
            <v>2014</v>
          </cell>
          <cell r="O1005">
            <v>804</v>
          </cell>
          <cell r="P1005" t="e">
            <v>#N/A</v>
          </cell>
        </row>
        <row r="1006">
          <cell r="B1006" t="str">
            <v>Taipei Medical University</v>
          </cell>
          <cell r="C1006" t="str">
            <v>Taiwan</v>
          </cell>
          <cell r="D1006">
            <v>13</v>
          </cell>
          <cell r="E1006">
            <v>355</v>
          </cell>
          <cell r="F1006">
            <v>478</v>
          </cell>
          <cell r="G1006">
            <v>210</v>
          </cell>
          <cell r="H1006">
            <v>542</v>
          </cell>
          <cell r="I1006">
            <v>888</v>
          </cell>
          <cell r="J1006">
            <v>493</v>
          </cell>
          <cell r="K1006">
            <v>749</v>
          </cell>
          <cell r="L1006">
            <v>552</v>
          </cell>
          <cell r="M1006">
            <v>44.52</v>
          </cell>
          <cell r="N1006">
            <v>2014</v>
          </cell>
          <cell r="O1006">
            <v>805</v>
          </cell>
          <cell r="P1006">
            <v>25.7</v>
          </cell>
        </row>
        <row r="1007">
          <cell r="B1007" t="str">
            <v>University of Bradford</v>
          </cell>
          <cell r="C1007" t="str">
            <v>United Kingdom</v>
          </cell>
          <cell r="D1007">
            <v>60</v>
          </cell>
          <cell r="E1007">
            <v>355</v>
          </cell>
          <cell r="F1007">
            <v>341</v>
          </cell>
          <cell r="G1007">
            <v>210</v>
          </cell>
          <cell r="H1007">
            <v>851</v>
          </cell>
          <cell r="I1007">
            <v>755</v>
          </cell>
          <cell r="J1007">
            <v>609</v>
          </cell>
          <cell r="K1007">
            <v>819</v>
          </cell>
          <cell r="L1007">
            <v>481</v>
          </cell>
          <cell r="M1007">
            <v>44.52</v>
          </cell>
          <cell r="N1007">
            <v>2014</v>
          </cell>
          <cell r="O1007">
            <v>806</v>
          </cell>
          <cell r="P1007">
            <v>18.7</v>
          </cell>
        </row>
        <row r="1008">
          <cell r="B1008" t="str">
            <v>King Fahd University of Petroleum and Minerals</v>
          </cell>
          <cell r="C1008" t="str">
            <v>Saudi Arabia</v>
          </cell>
          <cell r="D1008">
            <v>3</v>
          </cell>
          <cell r="E1008">
            <v>355</v>
          </cell>
          <cell r="F1008">
            <v>230</v>
          </cell>
          <cell r="G1008">
            <v>210</v>
          </cell>
          <cell r="H1008">
            <v>954</v>
          </cell>
          <cell r="I1008">
            <v>938</v>
          </cell>
          <cell r="J1008">
            <v>800</v>
          </cell>
          <cell r="K1008">
            <v>970</v>
          </cell>
          <cell r="L1008">
            <v>737</v>
          </cell>
          <cell r="M1008">
            <v>44.52</v>
          </cell>
          <cell r="N1008">
            <v>2014</v>
          </cell>
          <cell r="O1008">
            <v>807</v>
          </cell>
          <cell r="P1008">
            <v>25.4</v>
          </cell>
        </row>
        <row r="1009">
          <cell r="B1009" t="str">
            <v>Ege University</v>
          </cell>
          <cell r="C1009" t="str">
            <v>Turkey</v>
          </cell>
          <cell r="D1009">
            <v>6</v>
          </cell>
          <cell r="E1009">
            <v>355</v>
          </cell>
          <cell r="F1009">
            <v>478</v>
          </cell>
          <cell r="G1009">
            <v>210</v>
          </cell>
          <cell r="H1009">
            <v>734</v>
          </cell>
          <cell r="I1009">
            <v>822</v>
          </cell>
          <cell r="J1009">
            <v>406</v>
          </cell>
          <cell r="K1009">
            <v>724</v>
          </cell>
          <cell r="L1009">
            <v>737</v>
          </cell>
          <cell r="M1009">
            <v>44.52</v>
          </cell>
          <cell r="N1009">
            <v>2014</v>
          </cell>
          <cell r="O1009">
            <v>808</v>
          </cell>
          <cell r="P1009" t="e">
            <v>#N/A</v>
          </cell>
        </row>
        <row r="1010">
          <cell r="B1010" t="str">
            <v>University of Belgrade</v>
          </cell>
          <cell r="C1010" t="str">
            <v>Serbia</v>
          </cell>
          <cell r="D1010">
            <v>1</v>
          </cell>
          <cell r="E1010">
            <v>280</v>
          </cell>
          <cell r="F1010">
            <v>478</v>
          </cell>
          <cell r="G1010">
            <v>210</v>
          </cell>
          <cell r="H1010">
            <v>448</v>
          </cell>
          <cell r="I1010">
            <v>702</v>
          </cell>
          <cell r="J1010">
            <v>493</v>
          </cell>
          <cell r="K1010">
            <v>800</v>
          </cell>
          <cell r="L1010">
            <v>737</v>
          </cell>
          <cell r="M1010">
            <v>44.51</v>
          </cell>
          <cell r="N1010">
            <v>2014</v>
          </cell>
          <cell r="O1010">
            <v>809</v>
          </cell>
          <cell r="P1010">
            <v>20.399999999999999</v>
          </cell>
        </row>
        <row r="1011">
          <cell r="B1011" t="str">
            <v>University of Eastern Piedmont Amedeo Avogadro""</v>
          </cell>
          <cell r="C1011" t="str">
            <v>Italy</v>
          </cell>
          <cell r="D1011">
            <v>43</v>
          </cell>
          <cell r="E1011">
            <v>355</v>
          </cell>
          <cell r="F1011">
            <v>478</v>
          </cell>
          <cell r="G1011">
            <v>210</v>
          </cell>
          <cell r="H1011">
            <v>835</v>
          </cell>
          <cell r="I1011">
            <v>675</v>
          </cell>
          <cell r="J1011">
            <v>609</v>
          </cell>
          <cell r="K1011">
            <v>716</v>
          </cell>
          <cell r="L1011">
            <v>637</v>
          </cell>
          <cell r="M1011">
            <v>44.51</v>
          </cell>
          <cell r="N1011">
            <v>2014</v>
          </cell>
          <cell r="O1011">
            <v>810</v>
          </cell>
          <cell r="P1011" t="e">
            <v>#N/A</v>
          </cell>
        </row>
        <row r="1012">
          <cell r="B1012" t="str">
            <v>Budapest University of Technology and Economics</v>
          </cell>
          <cell r="C1012" t="str">
            <v>Hungary</v>
          </cell>
          <cell r="D1012">
            <v>5</v>
          </cell>
          <cell r="E1012">
            <v>238</v>
          </cell>
          <cell r="F1012">
            <v>478</v>
          </cell>
          <cell r="G1012">
            <v>210</v>
          </cell>
          <cell r="H1012">
            <v>714</v>
          </cell>
          <cell r="I1012">
            <v>758</v>
          </cell>
          <cell r="J1012">
            <v>800</v>
          </cell>
          <cell r="K1012">
            <v>769</v>
          </cell>
          <cell r="L1012">
            <v>552</v>
          </cell>
          <cell r="M1012">
            <v>44.51</v>
          </cell>
          <cell r="N1012">
            <v>2014</v>
          </cell>
          <cell r="O1012">
            <v>811</v>
          </cell>
          <cell r="P1012">
            <v>17.100000000000001</v>
          </cell>
        </row>
        <row r="1013">
          <cell r="B1013" t="str">
            <v>University of Salzburg</v>
          </cell>
          <cell r="C1013" t="str">
            <v>Austria</v>
          </cell>
          <cell r="D1013">
            <v>11</v>
          </cell>
          <cell r="E1013">
            <v>355</v>
          </cell>
          <cell r="F1013">
            <v>367</v>
          </cell>
          <cell r="G1013">
            <v>210</v>
          </cell>
          <cell r="H1013">
            <v>970</v>
          </cell>
          <cell r="I1013">
            <v>703</v>
          </cell>
          <cell r="J1013">
            <v>800</v>
          </cell>
          <cell r="K1013">
            <v>783</v>
          </cell>
          <cell r="L1013">
            <v>737</v>
          </cell>
          <cell r="M1013">
            <v>44.51</v>
          </cell>
          <cell r="N1013">
            <v>2014</v>
          </cell>
          <cell r="O1013">
            <v>812</v>
          </cell>
          <cell r="P1013" t="e">
            <v>#N/A</v>
          </cell>
        </row>
        <row r="1014">
          <cell r="B1014" t="str">
            <v>University of Massachusetts Lowell</v>
          </cell>
          <cell r="C1014" t="str">
            <v>USA</v>
          </cell>
          <cell r="D1014">
            <v>217</v>
          </cell>
          <cell r="E1014">
            <v>355</v>
          </cell>
          <cell r="F1014">
            <v>478</v>
          </cell>
          <cell r="G1014">
            <v>210</v>
          </cell>
          <cell r="H1014">
            <v>926</v>
          </cell>
          <cell r="I1014">
            <v>928</v>
          </cell>
          <cell r="J1014">
            <v>406</v>
          </cell>
          <cell r="K1014">
            <v>874</v>
          </cell>
          <cell r="L1014">
            <v>227</v>
          </cell>
          <cell r="M1014">
            <v>44.51</v>
          </cell>
          <cell r="N1014">
            <v>2014</v>
          </cell>
          <cell r="O1014">
            <v>813</v>
          </cell>
          <cell r="P1014" t="e">
            <v>#N/A</v>
          </cell>
        </row>
        <row r="1015">
          <cell r="B1015" t="str">
            <v>Jaume I University</v>
          </cell>
          <cell r="C1015" t="str">
            <v>Spain</v>
          </cell>
          <cell r="D1015">
            <v>31</v>
          </cell>
          <cell r="E1015">
            <v>355</v>
          </cell>
          <cell r="F1015">
            <v>478</v>
          </cell>
          <cell r="G1015">
            <v>210</v>
          </cell>
          <cell r="H1015">
            <v>806</v>
          </cell>
          <cell r="I1015">
            <v>948</v>
          </cell>
          <cell r="J1015">
            <v>609</v>
          </cell>
          <cell r="K1015">
            <v>739</v>
          </cell>
          <cell r="L1015">
            <v>481</v>
          </cell>
          <cell r="M1015">
            <v>44.5</v>
          </cell>
          <cell r="N1015">
            <v>2014</v>
          </cell>
          <cell r="O1015">
            <v>814</v>
          </cell>
          <cell r="P1015" t="e">
            <v>#N/A</v>
          </cell>
        </row>
        <row r="1016">
          <cell r="B1016" t="str">
            <v>Chongqing University</v>
          </cell>
          <cell r="C1016" t="str">
            <v>China</v>
          </cell>
          <cell r="D1016">
            <v>44</v>
          </cell>
          <cell r="E1016">
            <v>355</v>
          </cell>
          <cell r="F1016">
            <v>302</v>
          </cell>
          <cell r="G1016">
            <v>210</v>
          </cell>
          <cell r="H1016">
            <v>705</v>
          </cell>
          <cell r="I1016">
            <v>871</v>
          </cell>
          <cell r="J1016">
            <v>609</v>
          </cell>
          <cell r="K1016">
            <v>874</v>
          </cell>
          <cell r="L1016">
            <v>637</v>
          </cell>
          <cell r="M1016">
            <v>44.5</v>
          </cell>
          <cell r="N1016">
            <v>2014</v>
          </cell>
          <cell r="O1016">
            <v>815</v>
          </cell>
          <cell r="P1016">
            <v>19.5</v>
          </cell>
        </row>
        <row r="1017">
          <cell r="B1017" t="str">
            <v>Beijing Institute of Technology</v>
          </cell>
          <cell r="C1017" t="str">
            <v>China</v>
          </cell>
          <cell r="D1017">
            <v>45</v>
          </cell>
          <cell r="E1017">
            <v>355</v>
          </cell>
          <cell r="F1017">
            <v>478</v>
          </cell>
          <cell r="G1017">
            <v>210</v>
          </cell>
          <cell r="H1017">
            <v>601</v>
          </cell>
          <cell r="I1017">
            <v>959</v>
          </cell>
          <cell r="J1017">
            <v>609</v>
          </cell>
          <cell r="K1017">
            <v>749</v>
          </cell>
          <cell r="L1017">
            <v>637</v>
          </cell>
          <cell r="M1017">
            <v>44.5</v>
          </cell>
          <cell r="N1017">
            <v>2014</v>
          </cell>
          <cell r="O1017">
            <v>816</v>
          </cell>
          <cell r="P1017">
            <v>25.9</v>
          </cell>
        </row>
        <row r="1018">
          <cell r="B1018" t="str">
            <v>Manchester Metropolitan University</v>
          </cell>
          <cell r="C1018" t="str">
            <v>United Kingdom</v>
          </cell>
          <cell r="D1018">
            <v>61</v>
          </cell>
          <cell r="E1018">
            <v>355</v>
          </cell>
          <cell r="F1018">
            <v>442</v>
          </cell>
          <cell r="G1018">
            <v>210</v>
          </cell>
          <cell r="H1018">
            <v>919</v>
          </cell>
          <cell r="I1018">
            <v>679</v>
          </cell>
          <cell r="J1018">
            <v>800</v>
          </cell>
          <cell r="K1018">
            <v>800</v>
          </cell>
          <cell r="L1018">
            <v>481</v>
          </cell>
          <cell r="M1018">
            <v>44.5</v>
          </cell>
          <cell r="N1018">
            <v>2014</v>
          </cell>
          <cell r="O1018">
            <v>817</v>
          </cell>
          <cell r="P1018">
            <v>22.7</v>
          </cell>
        </row>
        <row r="1019">
          <cell r="B1019" t="str">
            <v>Zhengzhou University</v>
          </cell>
          <cell r="C1019" t="str">
            <v>China</v>
          </cell>
          <cell r="D1019">
            <v>46</v>
          </cell>
          <cell r="E1019">
            <v>355</v>
          </cell>
          <cell r="F1019">
            <v>463</v>
          </cell>
          <cell r="G1019">
            <v>210</v>
          </cell>
          <cell r="H1019">
            <v>725</v>
          </cell>
          <cell r="I1019">
            <v>778</v>
          </cell>
          <cell r="J1019">
            <v>800</v>
          </cell>
          <cell r="K1019">
            <v>783</v>
          </cell>
          <cell r="L1019">
            <v>637</v>
          </cell>
          <cell r="M1019">
            <v>44.49</v>
          </cell>
          <cell r="N1019">
            <v>2014</v>
          </cell>
          <cell r="O1019">
            <v>818</v>
          </cell>
          <cell r="P1019" t="e">
            <v>#N/A</v>
          </cell>
        </row>
        <row r="1020">
          <cell r="B1020" t="str">
            <v>Dublin City University</v>
          </cell>
          <cell r="C1020" t="str">
            <v>Ireland</v>
          </cell>
          <cell r="D1020">
            <v>6</v>
          </cell>
          <cell r="E1020">
            <v>355</v>
          </cell>
          <cell r="F1020">
            <v>478</v>
          </cell>
          <cell r="G1020">
            <v>210</v>
          </cell>
          <cell r="H1020">
            <v>807</v>
          </cell>
          <cell r="I1020">
            <v>959</v>
          </cell>
          <cell r="J1020">
            <v>493</v>
          </cell>
          <cell r="K1020">
            <v>843</v>
          </cell>
          <cell r="L1020">
            <v>280</v>
          </cell>
          <cell r="M1020">
            <v>44.49</v>
          </cell>
          <cell r="N1020">
            <v>2014</v>
          </cell>
          <cell r="O1020">
            <v>819</v>
          </cell>
          <cell r="P1020">
            <v>26.1</v>
          </cell>
        </row>
        <row r="1021">
          <cell r="B1021" t="str">
            <v>National University of Ireland, Maynooth</v>
          </cell>
          <cell r="C1021" t="str">
            <v>Ireland</v>
          </cell>
          <cell r="D1021">
            <v>7</v>
          </cell>
          <cell r="E1021">
            <v>215</v>
          </cell>
          <cell r="F1021">
            <v>478</v>
          </cell>
          <cell r="G1021">
            <v>210</v>
          </cell>
          <cell r="H1021">
            <v>1000</v>
          </cell>
          <cell r="I1021">
            <v>716</v>
          </cell>
          <cell r="J1021">
            <v>800</v>
          </cell>
          <cell r="K1021">
            <v>800</v>
          </cell>
          <cell r="L1021">
            <v>552</v>
          </cell>
          <cell r="M1021">
            <v>44.49</v>
          </cell>
          <cell r="N1021">
            <v>2014</v>
          </cell>
          <cell r="O1021">
            <v>820</v>
          </cell>
          <cell r="P1021">
            <v>22.9</v>
          </cell>
        </row>
        <row r="1022">
          <cell r="B1022" t="str">
            <v>Kangwon National University</v>
          </cell>
          <cell r="C1022" t="str">
            <v>South Korea</v>
          </cell>
          <cell r="D1022">
            <v>27</v>
          </cell>
          <cell r="E1022">
            <v>355</v>
          </cell>
          <cell r="F1022">
            <v>478</v>
          </cell>
          <cell r="G1022">
            <v>210</v>
          </cell>
          <cell r="H1022">
            <v>707</v>
          </cell>
          <cell r="I1022">
            <v>850</v>
          </cell>
          <cell r="J1022">
            <v>609</v>
          </cell>
          <cell r="K1022">
            <v>800</v>
          </cell>
          <cell r="L1022">
            <v>338</v>
          </cell>
          <cell r="M1022">
            <v>44.49</v>
          </cell>
          <cell r="N1022">
            <v>2014</v>
          </cell>
          <cell r="O1022">
            <v>821</v>
          </cell>
          <cell r="P1022" t="e">
            <v>#N/A</v>
          </cell>
        </row>
        <row r="1023">
          <cell r="B1023" t="str">
            <v>Royal Veterinary College, University of London</v>
          </cell>
          <cell r="C1023" t="str">
            <v>United Kingdom</v>
          </cell>
          <cell r="D1023">
            <v>62</v>
          </cell>
          <cell r="E1023">
            <v>205</v>
          </cell>
          <cell r="F1023">
            <v>478</v>
          </cell>
          <cell r="G1023">
            <v>210</v>
          </cell>
          <cell r="H1023">
            <v>827</v>
          </cell>
          <cell r="I1023">
            <v>551</v>
          </cell>
          <cell r="J1023">
            <v>493</v>
          </cell>
          <cell r="K1023">
            <v>819</v>
          </cell>
          <cell r="L1023">
            <v>737</v>
          </cell>
          <cell r="M1023">
            <v>44.49</v>
          </cell>
          <cell r="N1023">
            <v>2014</v>
          </cell>
          <cell r="O1023">
            <v>822</v>
          </cell>
          <cell r="P1023" t="e">
            <v>#N/A</v>
          </cell>
        </row>
        <row r="1024">
          <cell r="B1024" t="str">
            <v>Wright State University - Dayton</v>
          </cell>
          <cell r="C1024" t="str">
            <v>USA</v>
          </cell>
          <cell r="D1024">
            <v>218</v>
          </cell>
          <cell r="E1024">
            <v>355</v>
          </cell>
          <cell r="F1024">
            <v>478</v>
          </cell>
          <cell r="G1024">
            <v>210</v>
          </cell>
          <cell r="H1024">
            <v>794</v>
          </cell>
          <cell r="I1024">
            <v>845</v>
          </cell>
          <cell r="J1024">
            <v>800</v>
          </cell>
          <cell r="K1024">
            <v>739</v>
          </cell>
          <cell r="L1024">
            <v>737</v>
          </cell>
          <cell r="M1024">
            <v>44.49</v>
          </cell>
          <cell r="N1024">
            <v>2014</v>
          </cell>
          <cell r="O1024">
            <v>823</v>
          </cell>
          <cell r="P1024" t="e">
            <v>#N/A</v>
          </cell>
        </row>
        <row r="1025">
          <cell r="B1025" t="str">
            <v>Capital Medical University</v>
          </cell>
          <cell r="C1025" t="str">
            <v>China</v>
          </cell>
          <cell r="D1025">
            <v>47</v>
          </cell>
          <cell r="E1025">
            <v>355</v>
          </cell>
          <cell r="F1025">
            <v>478</v>
          </cell>
          <cell r="G1025">
            <v>210</v>
          </cell>
          <cell r="H1025">
            <v>618</v>
          </cell>
          <cell r="I1025">
            <v>800</v>
          </cell>
          <cell r="J1025">
            <v>609</v>
          </cell>
          <cell r="K1025">
            <v>756</v>
          </cell>
          <cell r="L1025">
            <v>737</v>
          </cell>
          <cell r="M1025">
            <v>44.48</v>
          </cell>
          <cell r="N1025">
            <v>2014</v>
          </cell>
          <cell r="O1025">
            <v>824</v>
          </cell>
          <cell r="P1025">
            <v>26.3</v>
          </cell>
        </row>
        <row r="1026">
          <cell r="B1026" t="str">
            <v>University of Brighton</v>
          </cell>
          <cell r="C1026" t="str">
            <v>United Kingdom</v>
          </cell>
          <cell r="D1026">
            <v>63</v>
          </cell>
          <cell r="E1026">
            <v>355</v>
          </cell>
          <cell r="F1026">
            <v>478</v>
          </cell>
          <cell r="G1026">
            <v>210</v>
          </cell>
          <cell r="H1026">
            <v>860</v>
          </cell>
          <cell r="I1026">
            <v>841</v>
          </cell>
          <cell r="J1026">
            <v>800</v>
          </cell>
          <cell r="K1026">
            <v>749</v>
          </cell>
          <cell r="L1026">
            <v>552</v>
          </cell>
          <cell r="M1026">
            <v>44.48</v>
          </cell>
          <cell r="N1026">
            <v>2014</v>
          </cell>
          <cell r="O1026">
            <v>825</v>
          </cell>
          <cell r="P1026">
            <v>16.7</v>
          </cell>
        </row>
        <row r="1027">
          <cell r="B1027" t="str">
            <v>Sofia University</v>
          </cell>
          <cell r="C1027" t="str">
            <v>Bulgaria</v>
          </cell>
          <cell r="D1027">
            <v>1</v>
          </cell>
          <cell r="E1027">
            <v>234</v>
          </cell>
          <cell r="F1027">
            <v>478</v>
          </cell>
          <cell r="G1027">
            <v>210</v>
          </cell>
          <cell r="H1027">
            <v>798</v>
          </cell>
          <cell r="I1027">
            <v>874</v>
          </cell>
          <cell r="J1027">
            <v>406</v>
          </cell>
          <cell r="K1027">
            <v>819</v>
          </cell>
          <cell r="L1027">
            <v>737</v>
          </cell>
          <cell r="M1027">
            <v>44.48</v>
          </cell>
          <cell r="N1027">
            <v>2014</v>
          </cell>
          <cell r="O1027">
            <v>826</v>
          </cell>
          <cell r="P1027" t="e">
            <v>#N/A</v>
          </cell>
        </row>
        <row r="1028">
          <cell r="B1028" t="str">
            <v>University of Regina</v>
          </cell>
          <cell r="C1028" t="str">
            <v>Canada</v>
          </cell>
          <cell r="D1028">
            <v>28</v>
          </cell>
          <cell r="E1028">
            <v>355</v>
          </cell>
          <cell r="F1028">
            <v>478</v>
          </cell>
          <cell r="G1028">
            <v>210</v>
          </cell>
          <cell r="H1028">
            <v>889</v>
          </cell>
          <cell r="I1028">
            <v>740</v>
          </cell>
          <cell r="J1028">
            <v>609</v>
          </cell>
          <cell r="K1028">
            <v>800</v>
          </cell>
          <cell r="L1028">
            <v>338</v>
          </cell>
          <cell r="M1028">
            <v>44.48</v>
          </cell>
          <cell r="N1028">
            <v>2014</v>
          </cell>
          <cell r="O1028">
            <v>827</v>
          </cell>
          <cell r="P1028">
            <v>15.6</v>
          </cell>
        </row>
        <row r="1029">
          <cell r="B1029" t="str">
            <v>Magna GrÃ¦cia University of Catanzaro</v>
          </cell>
          <cell r="C1029" t="str">
            <v>Italy</v>
          </cell>
          <cell r="D1029">
            <v>44</v>
          </cell>
          <cell r="E1029">
            <v>355</v>
          </cell>
          <cell r="F1029">
            <v>478</v>
          </cell>
          <cell r="G1029">
            <v>210</v>
          </cell>
          <cell r="H1029">
            <v>939</v>
          </cell>
          <cell r="I1029">
            <v>781</v>
          </cell>
          <cell r="J1029">
            <v>800</v>
          </cell>
          <cell r="K1029">
            <v>749</v>
          </cell>
          <cell r="L1029">
            <v>552</v>
          </cell>
          <cell r="M1029">
            <v>44.48</v>
          </cell>
          <cell r="N1029">
            <v>2014</v>
          </cell>
          <cell r="O1029">
            <v>828</v>
          </cell>
          <cell r="P1029" t="e">
            <v>#N/A</v>
          </cell>
        </row>
        <row r="1030">
          <cell r="B1030" t="str">
            <v>Chungbuk National University</v>
          </cell>
          <cell r="C1030" t="str">
            <v>South Korea</v>
          </cell>
          <cell r="D1030">
            <v>28</v>
          </cell>
          <cell r="E1030">
            <v>355</v>
          </cell>
          <cell r="F1030">
            <v>478</v>
          </cell>
          <cell r="G1030">
            <v>210</v>
          </cell>
          <cell r="H1030">
            <v>751</v>
          </cell>
          <cell r="I1030">
            <v>863</v>
          </cell>
          <cell r="J1030">
            <v>800</v>
          </cell>
          <cell r="K1030">
            <v>819</v>
          </cell>
          <cell r="L1030">
            <v>338</v>
          </cell>
          <cell r="M1030">
            <v>44.47</v>
          </cell>
          <cell r="N1030">
            <v>2014</v>
          </cell>
          <cell r="O1030">
            <v>829</v>
          </cell>
          <cell r="P1030" t="e">
            <v>#N/A</v>
          </cell>
        </row>
        <row r="1031">
          <cell r="B1031" t="str">
            <v>KÅchi University</v>
          </cell>
          <cell r="C1031" t="str">
            <v>Japan</v>
          </cell>
          <cell r="D1031">
            <v>64</v>
          </cell>
          <cell r="E1031">
            <v>355</v>
          </cell>
          <cell r="F1031">
            <v>478</v>
          </cell>
          <cell r="G1031">
            <v>210</v>
          </cell>
          <cell r="H1031">
            <v>925</v>
          </cell>
          <cell r="I1031">
            <v>788</v>
          </cell>
          <cell r="J1031">
            <v>800</v>
          </cell>
          <cell r="K1031">
            <v>769</v>
          </cell>
          <cell r="L1031">
            <v>426</v>
          </cell>
          <cell r="M1031">
            <v>44.47</v>
          </cell>
          <cell r="N1031">
            <v>2014</v>
          </cell>
          <cell r="O1031">
            <v>830</v>
          </cell>
          <cell r="P1031" t="e">
            <v>#N/A</v>
          </cell>
        </row>
        <row r="1032">
          <cell r="B1032" t="str">
            <v>University of New Brunswick</v>
          </cell>
          <cell r="C1032" t="str">
            <v>Canada</v>
          </cell>
          <cell r="D1032">
            <v>29</v>
          </cell>
          <cell r="E1032">
            <v>355</v>
          </cell>
          <cell r="F1032">
            <v>329</v>
          </cell>
          <cell r="G1032">
            <v>210</v>
          </cell>
          <cell r="H1032">
            <v>719</v>
          </cell>
          <cell r="I1032">
            <v>784</v>
          </cell>
          <cell r="J1032">
            <v>800</v>
          </cell>
          <cell r="K1032">
            <v>874</v>
          </cell>
          <cell r="L1032">
            <v>552</v>
          </cell>
          <cell r="M1032">
            <v>44.47</v>
          </cell>
          <cell r="N1032">
            <v>2014</v>
          </cell>
          <cell r="O1032">
            <v>831</v>
          </cell>
          <cell r="P1032" t="e">
            <v>#N/A</v>
          </cell>
        </row>
        <row r="1033">
          <cell r="B1033" t="str">
            <v>Sejong University</v>
          </cell>
          <cell r="C1033" t="str">
            <v>South Korea</v>
          </cell>
          <cell r="D1033">
            <v>29</v>
          </cell>
          <cell r="E1033">
            <v>355</v>
          </cell>
          <cell r="F1033">
            <v>478</v>
          </cell>
          <cell r="G1033">
            <v>210</v>
          </cell>
          <cell r="H1033">
            <v>778</v>
          </cell>
          <cell r="I1033">
            <v>826</v>
          </cell>
          <cell r="J1033">
            <v>800</v>
          </cell>
          <cell r="K1033">
            <v>800</v>
          </cell>
          <cell r="L1033">
            <v>373</v>
          </cell>
          <cell r="M1033">
            <v>44.47</v>
          </cell>
          <cell r="N1033">
            <v>2014</v>
          </cell>
          <cell r="O1033">
            <v>832</v>
          </cell>
          <cell r="P1033">
            <v>18.899999999999999</v>
          </cell>
        </row>
        <row r="1034">
          <cell r="B1034" t="str">
            <v>Sharif University of Technology</v>
          </cell>
          <cell r="C1034" t="str">
            <v>Iran</v>
          </cell>
          <cell r="D1034">
            <v>2</v>
          </cell>
          <cell r="E1034">
            <v>355</v>
          </cell>
          <cell r="F1034">
            <v>478</v>
          </cell>
          <cell r="G1034">
            <v>210</v>
          </cell>
          <cell r="H1034">
            <v>588</v>
          </cell>
          <cell r="I1034">
            <v>938</v>
          </cell>
          <cell r="J1034">
            <v>493</v>
          </cell>
          <cell r="K1034">
            <v>783</v>
          </cell>
          <cell r="L1034">
            <v>737</v>
          </cell>
          <cell r="M1034">
            <v>44.47</v>
          </cell>
          <cell r="N1034">
            <v>2014</v>
          </cell>
          <cell r="O1034">
            <v>833</v>
          </cell>
          <cell r="P1034">
            <v>28.5</v>
          </cell>
        </row>
        <row r="1035">
          <cell r="B1035" t="str">
            <v>Chung-Ang University</v>
          </cell>
          <cell r="C1035" t="str">
            <v>South Korea</v>
          </cell>
          <cell r="D1035">
            <v>30</v>
          </cell>
          <cell r="E1035">
            <v>355</v>
          </cell>
          <cell r="F1035">
            <v>478</v>
          </cell>
          <cell r="G1035">
            <v>210</v>
          </cell>
          <cell r="H1035">
            <v>676</v>
          </cell>
          <cell r="I1035">
            <v>775</v>
          </cell>
          <cell r="J1035">
            <v>609</v>
          </cell>
          <cell r="K1035">
            <v>874</v>
          </cell>
          <cell r="L1035">
            <v>280</v>
          </cell>
          <cell r="M1035">
            <v>44.47</v>
          </cell>
          <cell r="N1035">
            <v>2014</v>
          </cell>
          <cell r="O1035">
            <v>834</v>
          </cell>
          <cell r="P1035">
            <v>29.9</v>
          </cell>
        </row>
        <row r="1036">
          <cell r="B1036" t="str">
            <v>Queens College, City University of New York</v>
          </cell>
          <cell r="C1036" t="str">
            <v>USA</v>
          </cell>
          <cell r="D1036">
            <v>219</v>
          </cell>
          <cell r="E1036">
            <v>303</v>
          </cell>
          <cell r="F1036">
            <v>368</v>
          </cell>
          <cell r="G1036">
            <v>210</v>
          </cell>
          <cell r="H1036">
            <v>992</v>
          </cell>
          <cell r="I1036">
            <v>669</v>
          </cell>
          <cell r="J1036">
            <v>800</v>
          </cell>
          <cell r="K1036">
            <v>869</v>
          </cell>
          <cell r="L1036">
            <v>637</v>
          </cell>
          <cell r="M1036">
            <v>44.46</v>
          </cell>
          <cell r="N1036">
            <v>2014</v>
          </cell>
          <cell r="O1036">
            <v>835</v>
          </cell>
          <cell r="P1036" t="e">
            <v>#N/A</v>
          </cell>
        </row>
        <row r="1037">
          <cell r="B1037" t="str">
            <v>Murdoch University</v>
          </cell>
          <cell r="C1037" t="str">
            <v>Australia</v>
          </cell>
          <cell r="D1037">
            <v>22</v>
          </cell>
          <cell r="E1037">
            <v>355</v>
          </cell>
          <cell r="F1037">
            <v>478</v>
          </cell>
          <cell r="G1037">
            <v>210</v>
          </cell>
          <cell r="H1037">
            <v>812</v>
          </cell>
          <cell r="I1037">
            <v>492</v>
          </cell>
          <cell r="J1037">
            <v>800</v>
          </cell>
          <cell r="K1037">
            <v>756</v>
          </cell>
          <cell r="L1037">
            <v>737</v>
          </cell>
          <cell r="M1037">
            <v>44.46</v>
          </cell>
          <cell r="N1037">
            <v>2014</v>
          </cell>
          <cell r="O1037">
            <v>836</v>
          </cell>
          <cell r="P1037">
            <v>19.399999999999999</v>
          </cell>
        </row>
        <row r="1038">
          <cell r="B1038" t="str">
            <v>Chosun University</v>
          </cell>
          <cell r="C1038" t="str">
            <v>South Korea</v>
          </cell>
          <cell r="D1038">
            <v>31</v>
          </cell>
          <cell r="E1038">
            <v>355</v>
          </cell>
          <cell r="F1038">
            <v>478</v>
          </cell>
          <cell r="G1038">
            <v>210</v>
          </cell>
          <cell r="H1038">
            <v>918</v>
          </cell>
          <cell r="I1038">
            <v>974</v>
          </cell>
          <cell r="J1038">
            <v>800</v>
          </cell>
          <cell r="K1038">
            <v>970</v>
          </cell>
          <cell r="L1038">
            <v>194</v>
          </cell>
          <cell r="M1038">
            <v>44.46</v>
          </cell>
          <cell r="N1038">
            <v>2014</v>
          </cell>
          <cell r="O1038">
            <v>837</v>
          </cell>
          <cell r="P1038" t="e">
            <v>#N/A</v>
          </cell>
        </row>
        <row r="1039">
          <cell r="B1039" t="str">
            <v>Vilnius University</v>
          </cell>
          <cell r="C1039" t="str">
            <v>Lithuania</v>
          </cell>
          <cell r="D1039">
            <v>1</v>
          </cell>
          <cell r="E1039">
            <v>326</v>
          </cell>
          <cell r="F1039">
            <v>478</v>
          </cell>
          <cell r="G1039">
            <v>210</v>
          </cell>
          <cell r="H1039">
            <v>790</v>
          </cell>
          <cell r="I1039">
            <v>728</v>
          </cell>
          <cell r="J1039">
            <v>609</v>
          </cell>
          <cell r="K1039">
            <v>769</v>
          </cell>
          <cell r="L1039">
            <v>737</v>
          </cell>
          <cell r="M1039">
            <v>44.46</v>
          </cell>
          <cell r="N1039">
            <v>2014</v>
          </cell>
          <cell r="O1039">
            <v>838</v>
          </cell>
          <cell r="P1039">
            <v>18.3</v>
          </cell>
        </row>
        <row r="1040">
          <cell r="B1040" t="str">
            <v>University of Maribor</v>
          </cell>
          <cell r="C1040" t="str">
            <v>Slovenia</v>
          </cell>
          <cell r="D1040">
            <v>2</v>
          </cell>
          <cell r="E1040">
            <v>355</v>
          </cell>
          <cell r="F1040">
            <v>478</v>
          </cell>
          <cell r="G1040">
            <v>210</v>
          </cell>
          <cell r="H1040">
            <v>866</v>
          </cell>
          <cell r="I1040">
            <v>810</v>
          </cell>
          <cell r="J1040">
            <v>609</v>
          </cell>
          <cell r="K1040">
            <v>769</v>
          </cell>
          <cell r="L1040">
            <v>552</v>
          </cell>
          <cell r="M1040">
            <v>44.46</v>
          </cell>
          <cell r="N1040">
            <v>2014</v>
          </cell>
          <cell r="O1040">
            <v>839</v>
          </cell>
          <cell r="P1040">
            <v>17.100000000000001</v>
          </cell>
        </row>
        <row r="1041">
          <cell r="B1041" t="str">
            <v>Ritsumeikan University</v>
          </cell>
          <cell r="C1041" t="str">
            <v>Japan</v>
          </cell>
          <cell r="D1041">
            <v>65</v>
          </cell>
          <cell r="E1041">
            <v>355</v>
          </cell>
          <cell r="F1041">
            <v>281</v>
          </cell>
          <cell r="G1041">
            <v>210</v>
          </cell>
          <cell r="H1041">
            <v>870</v>
          </cell>
          <cell r="I1041">
            <v>884</v>
          </cell>
          <cell r="J1041">
            <v>493</v>
          </cell>
          <cell r="K1041">
            <v>973</v>
          </cell>
          <cell r="L1041">
            <v>426</v>
          </cell>
          <cell r="M1041">
            <v>44.46</v>
          </cell>
          <cell r="N1041">
            <v>2014</v>
          </cell>
          <cell r="O1041">
            <v>840</v>
          </cell>
          <cell r="P1041" t="e">
            <v>#N/A</v>
          </cell>
        </row>
        <row r="1042">
          <cell r="B1042" t="str">
            <v>University of Sassari</v>
          </cell>
          <cell r="C1042" t="str">
            <v>Italy</v>
          </cell>
          <cell r="D1042">
            <v>45</v>
          </cell>
          <cell r="E1042">
            <v>355</v>
          </cell>
          <cell r="F1042">
            <v>478</v>
          </cell>
          <cell r="G1042">
            <v>210</v>
          </cell>
          <cell r="H1042">
            <v>740</v>
          </cell>
          <cell r="I1042">
            <v>605</v>
          </cell>
          <cell r="J1042">
            <v>800</v>
          </cell>
          <cell r="K1042">
            <v>769</v>
          </cell>
          <cell r="L1042">
            <v>737</v>
          </cell>
          <cell r="M1042">
            <v>44.46</v>
          </cell>
          <cell r="N1042">
            <v>2014</v>
          </cell>
          <cell r="O1042">
            <v>841</v>
          </cell>
          <cell r="P1042" t="e">
            <v>#N/A</v>
          </cell>
        </row>
        <row r="1043">
          <cell r="B1043" t="str">
            <v>Nanjing Normal University</v>
          </cell>
          <cell r="C1043" t="str">
            <v>China</v>
          </cell>
          <cell r="D1043">
            <v>48</v>
          </cell>
          <cell r="E1043">
            <v>355</v>
          </cell>
          <cell r="F1043">
            <v>436</v>
          </cell>
          <cell r="G1043">
            <v>210</v>
          </cell>
          <cell r="H1043">
            <v>777</v>
          </cell>
          <cell r="I1043">
            <v>699</v>
          </cell>
          <cell r="J1043">
            <v>609</v>
          </cell>
          <cell r="K1043">
            <v>849</v>
          </cell>
          <cell r="L1043">
            <v>552</v>
          </cell>
          <cell r="M1043">
            <v>44.45</v>
          </cell>
          <cell r="N1043">
            <v>2014</v>
          </cell>
          <cell r="O1043">
            <v>842</v>
          </cell>
          <cell r="P1043" t="e">
            <v>#N/A</v>
          </cell>
        </row>
        <row r="1044">
          <cell r="B1044" t="str">
            <v>University of Franche-ComtÃ©</v>
          </cell>
          <cell r="C1044" t="str">
            <v>France</v>
          </cell>
          <cell r="D1044">
            <v>42</v>
          </cell>
          <cell r="E1044">
            <v>284</v>
          </cell>
          <cell r="F1044">
            <v>478</v>
          </cell>
          <cell r="G1044">
            <v>210</v>
          </cell>
          <cell r="H1044">
            <v>832</v>
          </cell>
          <cell r="I1044">
            <v>833</v>
          </cell>
          <cell r="J1044">
            <v>609</v>
          </cell>
          <cell r="K1044">
            <v>800</v>
          </cell>
          <cell r="L1044">
            <v>637</v>
          </cell>
          <cell r="M1044">
            <v>44.45</v>
          </cell>
          <cell r="N1044">
            <v>2014</v>
          </cell>
          <cell r="O1044">
            <v>843</v>
          </cell>
          <cell r="P1044" t="e">
            <v>#N/A</v>
          </cell>
        </row>
        <row r="1045">
          <cell r="B1045" t="str">
            <v>University of Texas at El Paso</v>
          </cell>
          <cell r="C1045" t="str">
            <v>USA</v>
          </cell>
          <cell r="D1045">
            <v>220</v>
          </cell>
          <cell r="E1045">
            <v>355</v>
          </cell>
          <cell r="F1045">
            <v>391</v>
          </cell>
          <cell r="G1045">
            <v>210</v>
          </cell>
          <cell r="H1045">
            <v>897</v>
          </cell>
          <cell r="I1045">
            <v>817</v>
          </cell>
          <cell r="J1045">
            <v>609</v>
          </cell>
          <cell r="K1045">
            <v>849</v>
          </cell>
          <cell r="L1045">
            <v>737</v>
          </cell>
          <cell r="M1045">
            <v>44.45</v>
          </cell>
          <cell r="N1045">
            <v>2014</v>
          </cell>
          <cell r="O1045">
            <v>844</v>
          </cell>
          <cell r="P1045">
            <v>18.600000000000001</v>
          </cell>
        </row>
        <row r="1046">
          <cell r="B1046" t="str">
            <v>Rio de Janeiro State University</v>
          </cell>
          <cell r="C1046" t="str">
            <v>Brazil</v>
          </cell>
          <cell r="D1046">
            <v>8</v>
          </cell>
          <cell r="E1046">
            <v>355</v>
          </cell>
          <cell r="F1046">
            <v>478</v>
          </cell>
          <cell r="G1046">
            <v>210</v>
          </cell>
          <cell r="H1046">
            <v>754</v>
          </cell>
          <cell r="I1046">
            <v>856</v>
          </cell>
          <cell r="J1046">
            <v>493</v>
          </cell>
          <cell r="K1046">
            <v>783</v>
          </cell>
          <cell r="L1046">
            <v>637</v>
          </cell>
          <cell r="M1046">
            <v>44.45</v>
          </cell>
          <cell r="N1046">
            <v>2014</v>
          </cell>
          <cell r="O1046">
            <v>845</v>
          </cell>
          <cell r="P1046" t="e">
            <v>#N/A</v>
          </cell>
        </row>
        <row r="1047">
          <cell r="B1047" t="str">
            <v>Jinan University</v>
          </cell>
          <cell r="C1047" t="str">
            <v>China</v>
          </cell>
          <cell r="D1047">
            <v>49</v>
          </cell>
          <cell r="E1047">
            <v>355</v>
          </cell>
          <cell r="F1047">
            <v>290</v>
          </cell>
          <cell r="G1047">
            <v>210</v>
          </cell>
          <cell r="H1047">
            <v>855</v>
          </cell>
          <cell r="I1047">
            <v>880</v>
          </cell>
          <cell r="J1047">
            <v>800</v>
          </cell>
          <cell r="K1047">
            <v>956</v>
          </cell>
          <cell r="L1047">
            <v>481</v>
          </cell>
          <cell r="M1047">
            <v>44.45</v>
          </cell>
          <cell r="N1047">
            <v>2014</v>
          </cell>
          <cell r="O1047">
            <v>846</v>
          </cell>
          <cell r="P1047" t="e">
            <v>#N/A</v>
          </cell>
        </row>
        <row r="1048">
          <cell r="B1048" t="str">
            <v>University of Massachusetts Boston</v>
          </cell>
          <cell r="C1048" t="str">
            <v>USA</v>
          </cell>
          <cell r="D1048">
            <v>221</v>
          </cell>
          <cell r="E1048">
            <v>355</v>
          </cell>
          <cell r="F1048">
            <v>478</v>
          </cell>
          <cell r="G1048">
            <v>210</v>
          </cell>
          <cell r="H1048">
            <v>864</v>
          </cell>
          <cell r="I1048">
            <v>704</v>
          </cell>
          <cell r="J1048">
            <v>406</v>
          </cell>
          <cell r="K1048">
            <v>783</v>
          </cell>
          <cell r="L1048">
            <v>737</v>
          </cell>
          <cell r="M1048">
            <v>44.45</v>
          </cell>
          <cell r="N1048">
            <v>2014</v>
          </cell>
          <cell r="O1048">
            <v>847</v>
          </cell>
          <cell r="P1048" t="e">
            <v>#N/A</v>
          </cell>
        </row>
        <row r="1049">
          <cell r="B1049" t="str">
            <v>University of AlcalÃ¡</v>
          </cell>
          <cell r="C1049" t="str">
            <v>Spain</v>
          </cell>
          <cell r="D1049">
            <v>32</v>
          </cell>
          <cell r="E1049">
            <v>355</v>
          </cell>
          <cell r="F1049">
            <v>478</v>
          </cell>
          <cell r="G1049">
            <v>210</v>
          </cell>
          <cell r="H1049">
            <v>738</v>
          </cell>
          <cell r="I1049">
            <v>698</v>
          </cell>
          <cell r="J1049">
            <v>800</v>
          </cell>
          <cell r="K1049">
            <v>783</v>
          </cell>
          <cell r="L1049">
            <v>637</v>
          </cell>
          <cell r="M1049">
            <v>44.45</v>
          </cell>
          <cell r="N1049">
            <v>2014</v>
          </cell>
          <cell r="O1049">
            <v>848</v>
          </cell>
          <cell r="P1049">
            <v>17.600000000000001</v>
          </cell>
        </row>
        <row r="1050">
          <cell r="B1050" t="str">
            <v>Tehran University of Medical Sciences</v>
          </cell>
          <cell r="C1050" t="str">
            <v>Iran</v>
          </cell>
          <cell r="D1050">
            <v>3</v>
          </cell>
          <cell r="E1050">
            <v>355</v>
          </cell>
          <cell r="F1050">
            <v>478</v>
          </cell>
          <cell r="G1050">
            <v>210</v>
          </cell>
          <cell r="H1050">
            <v>603</v>
          </cell>
          <cell r="I1050">
            <v>903</v>
          </cell>
          <cell r="J1050">
            <v>800</v>
          </cell>
          <cell r="K1050">
            <v>800</v>
          </cell>
          <cell r="L1050">
            <v>737</v>
          </cell>
          <cell r="M1050">
            <v>44.45</v>
          </cell>
          <cell r="N1050">
            <v>2014</v>
          </cell>
          <cell r="O1050">
            <v>849</v>
          </cell>
          <cell r="P1050">
            <v>51.8</v>
          </cell>
        </row>
        <row r="1051">
          <cell r="B1051" t="str">
            <v>University of the Ryukyus</v>
          </cell>
          <cell r="C1051" t="str">
            <v>Japan</v>
          </cell>
          <cell r="D1051">
            <v>66</v>
          </cell>
          <cell r="E1051">
            <v>355</v>
          </cell>
          <cell r="F1051">
            <v>478</v>
          </cell>
          <cell r="G1051">
            <v>210</v>
          </cell>
          <cell r="H1051">
            <v>887</v>
          </cell>
          <cell r="I1051">
            <v>657</v>
          </cell>
          <cell r="J1051">
            <v>609</v>
          </cell>
          <cell r="K1051">
            <v>783</v>
          </cell>
          <cell r="L1051">
            <v>552</v>
          </cell>
          <cell r="M1051">
            <v>44.45</v>
          </cell>
          <cell r="N1051">
            <v>2014</v>
          </cell>
          <cell r="O1051">
            <v>850</v>
          </cell>
          <cell r="P1051" t="e">
            <v>#N/A</v>
          </cell>
        </row>
        <row r="1052">
          <cell r="B1052" t="str">
            <v>University of Angers</v>
          </cell>
          <cell r="C1052" t="str">
            <v>France</v>
          </cell>
          <cell r="D1052">
            <v>43</v>
          </cell>
          <cell r="E1052">
            <v>355</v>
          </cell>
          <cell r="F1052">
            <v>478</v>
          </cell>
          <cell r="G1052">
            <v>210</v>
          </cell>
          <cell r="H1052">
            <v>824</v>
          </cell>
          <cell r="I1052">
            <v>805</v>
          </cell>
          <cell r="J1052">
            <v>800</v>
          </cell>
          <cell r="K1052">
            <v>783</v>
          </cell>
          <cell r="L1052">
            <v>552</v>
          </cell>
          <cell r="M1052">
            <v>44.45</v>
          </cell>
          <cell r="N1052">
            <v>2014</v>
          </cell>
          <cell r="O1052">
            <v>851</v>
          </cell>
          <cell r="P1052" t="e">
            <v>#N/A</v>
          </cell>
        </row>
        <row r="1053">
          <cell r="B1053" t="str">
            <v>Fluminense Federal University</v>
          </cell>
          <cell r="C1053" t="str">
            <v>Brazil</v>
          </cell>
          <cell r="D1053">
            <v>9</v>
          </cell>
          <cell r="E1053">
            <v>355</v>
          </cell>
          <cell r="F1053">
            <v>300</v>
          </cell>
          <cell r="G1053">
            <v>210</v>
          </cell>
          <cell r="H1053">
            <v>783</v>
          </cell>
          <cell r="I1053">
            <v>922</v>
          </cell>
          <cell r="J1053">
            <v>609</v>
          </cell>
          <cell r="K1053">
            <v>937</v>
          </cell>
          <cell r="L1053">
            <v>737</v>
          </cell>
          <cell r="M1053">
            <v>44.45</v>
          </cell>
          <cell r="N1053">
            <v>2014</v>
          </cell>
          <cell r="O1053">
            <v>852</v>
          </cell>
          <cell r="P1053" t="e">
            <v>#N/A</v>
          </cell>
        </row>
        <row r="1054">
          <cell r="B1054" t="str">
            <v>Florida Institute of Technology</v>
          </cell>
          <cell r="C1054" t="str">
            <v>USA</v>
          </cell>
          <cell r="D1054">
            <v>222</v>
          </cell>
          <cell r="E1054">
            <v>355</v>
          </cell>
          <cell r="F1054">
            <v>478</v>
          </cell>
          <cell r="G1054">
            <v>210</v>
          </cell>
          <cell r="H1054">
            <v>959</v>
          </cell>
          <cell r="I1054">
            <v>699</v>
          </cell>
          <cell r="J1054">
            <v>363</v>
          </cell>
          <cell r="K1054">
            <v>800</v>
          </cell>
          <cell r="L1054">
            <v>737</v>
          </cell>
          <cell r="M1054">
            <v>44.44</v>
          </cell>
          <cell r="N1054">
            <v>2014</v>
          </cell>
          <cell r="O1054">
            <v>853</v>
          </cell>
          <cell r="P1054">
            <v>16.2</v>
          </cell>
        </row>
        <row r="1055">
          <cell r="B1055" t="str">
            <v>Trent University</v>
          </cell>
          <cell r="C1055" t="str">
            <v>Canada</v>
          </cell>
          <cell r="D1055">
            <v>30</v>
          </cell>
          <cell r="E1055">
            <v>355</v>
          </cell>
          <cell r="F1055">
            <v>478</v>
          </cell>
          <cell r="G1055">
            <v>210</v>
          </cell>
          <cell r="H1055">
            <v>912</v>
          </cell>
          <cell r="I1055">
            <v>829</v>
          </cell>
          <cell r="J1055">
            <v>493</v>
          </cell>
          <cell r="K1055">
            <v>783</v>
          </cell>
          <cell r="L1055">
            <v>637</v>
          </cell>
          <cell r="M1055">
            <v>44.44</v>
          </cell>
          <cell r="N1055">
            <v>2014</v>
          </cell>
          <cell r="O1055">
            <v>854</v>
          </cell>
          <cell r="P1055" t="e">
            <v>#N/A</v>
          </cell>
        </row>
        <row r="1056">
          <cell r="B1056" t="str">
            <v>National Chung Cheng University</v>
          </cell>
          <cell r="C1056" t="str">
            <v>Taiwan</v>
          </cell>
          <cell r="D1056">
            <v>14</v>
          </cell>
          <cell r="E1056">
            <v>355</v>
          </cell>
          <cell r="F1056">
            <v>478</v>
          </cell>
          <cell r="G1056">
            <v>210</v>
          </cell>
          <cell r="H1056">
            <v>760</v>
          </cell>
          <cell r="I1056">
            <v>987</v>
          </cell>
          <cell r="J1056">
            <v>800</v>
          </cell>
          <cell r="K1056">
            <v>783</v>
          </cell>
          <cell r="L1056">
            <v>737</v>
          </cell>
          <cell r="M1056">
            <v>44.44</v>
          </cell>
          <cell r="N1056">
            <v>2014</v>
          </cell>
          <cell r="O1056">
            <v>855</v>
          </cell>
          <cell r="P1056">
            <v>21.3</v>
          </cell>
        </row>
        <row r="1057">
          <cell r="B1057" t="str">
            <v>Bilkent University</v>
          </cell>
          <cell r="C1057" t="str">
            <v>Turkey</v>
          </cell>
          <cell r="D1057">
            <v>7</v>
          </cell>
          <cell r="E1057">
            <v>355</v>
          </cell>
          <cell r="F1057">
            <v>478</v>
          </cell>
          <cell r="G1057">
            <v>210</v>
          </cell>
          <cell r="H1057">
            <v>788</v>
          </cell>
          <cell r="I1057">
            <v>782</v>
          </cell>
          <cell r="J1057">
            <v>609</v>
          </cell>
          <cell r="K1057">
            <v>783</v>
          </cell>
          <cell r="L1057">
            <v>737</v>
          </cell>
          <cell r="M1057">
            <v>44.44</v>
          </cell>
          <cell r="N1057">
            <v>2014</v>
          </cell>
          <cell r="O1057">
            <v>856</v>
          </cell>
          <cell r="P1057">
            <v>34.299999999999997</v>
          </cell>
        </row>
        <row r="1058">
          <cell r="B1058" t="str">
            <v>National Taiwan Normal University</v>
          </cell>
          <cell r="C1058" t="str">
            <v>Taiwan</v>
          </cell>
          <cell r="D1058">
            <v>15</v>
          </cell>
          <cell r="E1058">
            <v>355</v>
          </cell>
          <cell r="F1058">
            <v>345</v>
          </cell>
          <cell r="G1058">
            <v>210</v>
          </cell>
          <cell r="H1058">
            <v>721</v>
          </cell>
          <cell r="I1058">
            <v>890</v>
          </cell>
          <cell r="J1058">
            <v>493</v>
          </cell>
          <cell r="K1058">
            <v>897</v>
          </cell>
          <cell r="L1058">
            <v>737</v>
          </cell>
          <cell r="M1058">
            <v>44.44</v>
          </cell>
          <cell r="N1058">
            <v>2014</v>
          </cell>
          <cell r="O1058">
            <v>857</v>
          </cell>
          <cell r="P1058">
            <v>26.2</v>
          </cell>
        </row>
        <row r="1059">
          <cell r="B1059" t="str">
            <v>Saitama University</v>
          </cell>
          <cell r="C1059" t="str">
            <v>Japan</v>
          </cell>
          <cell r="D1059">
            <v>67</v>
          </cell>
          <cell r="E1059">
            <v>355</v>
          </cell>
          <cell r="F1059">
            <v>318</v>
          </cell>
          <cell r="G1059">
            <v>210</v>
          </cell>
          <cell r="H1059">
            <v>912</v>
          </cell>
          <cell r="I1059">
            <v>603</v>
          </cell>
          <cell r="J1059">
            <v>493</v>
          </cell>
          <cell r="K1059">
            <v>909</v>
          </cell>
          <cell r="L1059">
            <v>637</v>
          </cell>
          <cell r="M1059">
            <v>44.44</v>
          </cell>
          <cell r="N1059">
            <v>2014</v>
          </cell>
          <cell r="O1059">
            <v>858</v>
          </cell>
          <cell r="P1059">
            <v>18.600000000000001</v>
          </cell>
        </row>
        <row r="1060">
          <cell r="B1060" t="str">
            <v>RMIT University</v>
          </cell>
          <cell r="C1060" t="str">
            <v>Australia</v>
          </cell>
          <cell r="D1060">
            <v>23</v>
          </cell>
          <cell r="E1060">
            <v>355</v>
          </cell>
          <cell r="F1060">
            <v>478</v>
          </cell>
          <cell r="G1060">
            <v>210</v>
          </cell>
          <cell r="H1060">
            <v>690</v>
          </cell>
          <cell r="I1060">
            <v>959</v>
          </cell>
          <cell r="J1060">
            <v>800</v>
          </cell>
          <cell r="K1060">
            <v>800</v>
          </cell>
          <cell r="L1060">
            <v>637</v>
          </cell>
          <cell r="M1060">
            <v>44.44</v>
          </cell>
          <cell r="N1060">
            <v>2014</v>
          </cell>
          <cell r="O1060">
            <v>859</v>
          </cell>
          <cell r="P1060">
            <v>24.7</v>
          </cell>
        </row>
        <row r="1061">
          <cell r="B1061" t="str">
            <v>Hamamatsu University School of Medicine</v>
          </cell>
          <cell r="C1061" t="str">
            <v>Japan</v>
          </cell>
          <cell r="D1061">
            <v>68</v>
          </cell>
          <cell r="E1061">
            <v>355</v>
          </cell>
          <cell r="F1061">
            <v>478</v>
          </cell>
          <cell r="G1061">
            <v>210</v>
          </cell>
          <cell r="H1061">
            <v>966</v>
          </cell>
          <cell r="I1061">
            <v>901</v>
          </cell>
          <cell r="J1061">
            <v>609</v>
          </cell>
          <cell r="K1061">
            <v>783</v>
          </cell>
          <cell r="L1061">
            <v>637</v>
          </cell>
          <cell r="M1061">
            <v>44.44</v>
          </cell>
          <cell r="N1061">
            <v>2014</v>
          </cell>
          <cell r="O1061">
            <v>860</v>
          </cell>
          <cell r="P1061" t="e">
            <v>#N/A</v>
          </cell>
        </row>
        <row r="1062">
          <cell r="B1062" t="str">
            <v>University of Greifswald</v>
          </cell>
          <cell r="C1062" t="str">
            <v>Germany</v>
          </cell>
          <cell r="D1062">
            <v>50</v>
          </cell>
          <cell r="E1062">
            <v>355</v>
          </cell>
          <cell r="F1062">
            <v>478</v>
          </cell>
          <cell r="G1062">
            <v>203</v>
          </cell>
          <cell r="H1062">
            <v>741</v>
          </cell>
          <cell r="I1062">
            <v>493</v>
          </cell>
          <cell r="J1062">
            <v>800</v>
          </cell>
          <cell r="K1062">
            <v>800</v>
          </cell>
          <cell r="L1062">
            <v>637</v>
          </cell>
          <cell r="M1062">
            <v>44.44</v>
          </cell>
          <cell r="N1062">
            <v>2014</v>
          </cell>
          <cell r="O1062">
            <v>861</v>
          </cell>
          <cell r="P1062">
            <v>30.1</v>
          </cell>
        </row>
        <row r="1063">
          <cell r="B1063" t="str">
            <v>University of PÃ©cs</v>
          </cell>
          <cell r="C1063" t="str">
            <v>Hungary</v>
          </cell>
          <cell r="D1063">
            <v>6</v>
          </cell>
          <cell r="E1063">
            <v>355</v>
          </cell>
          <cell r="F1063">
            <v>478</v>
          </cell>
          <cell r="G1063">
            <v>210</v>
          </cell>
          <cell r="H1063">
            <v>963</v>
          </cell>
          <cell r="I1063">
            <v>834</v>
          </cell>
          <cell r="J1063">
            <v>800</v>
          </cell>
          <cell r="K1063">
            <v>832</v>
          </cell>
          <cell r="L1063">
            <v>373</v>
          </cell>
          <cell r="M1063">
            <v>44.44</v>
          </cell>
          <cell r="N1063">
            <v>2014</v>
          </cell>
          <cell r="O1063">
            <v>862</v>
          </cell>
          <cell r="P1063">
            <v>19.7</v>
          </cell>
        </row>
        <row r="1064">
          <cell r="B1064" t="str">
            <v>University of Fukui</v>
          </cell>
          <cell r="C1064" t="str">
            <v>Japan</v>
          </cell>
          <cell r="D1064">
            <v>69</v>
          </cell>
          <cell r="E1064">
            <v>355</v>
          </cell>
          <cell r="F1064">
            <v>478</v>
          </cell>
          <cell r="G1064">
            <v>210</v>
          </cell>
          <cell r="H1064">
            <v>879</v>
          </cell>
          <cell r="I1064">
            <v>761</v>
          </cell>
          <cell r="J1064">
            <v>800</v>
          </cell>
          <cell r="K1064">
            <v>783</v>
          </cell>
          <cell r="L1064">
            <v>737</v>
          </cell>
          <cell r="M1064">
            <v>44.44</v>
          </cell>
          <cell r="N1064">
            <v>2014</v>
          </cell>
          <cell r="O1064">
            <v>863</v>
          </cell>
          <cell r="P1064" t="e">
            <v>#N/A</v>
          </cell>
        </row>
        <row r="1065">
          <cell r="B1065" t="str">
            <v>Oakland University</v>
          </cell>
          <cell r="C1065" t="str">
            <v>USA</v>
          </cell>
          <cell r="D1065">
            <v>223</v>
          </cell>
          <cell r="E1065">
            <v>355</v>
          </cell>
          <cell r="F1065">
            <v>478</v>
          </cell>
          <cell r="G1065">
            <v>210</v>
          </cell>
          <cell r="H1065">
            <v>883</v>
          </cell>
          <cell r="I1065">
            <v>842</v>
          </cell>
          <cell r="J1065">
            <v>800</v>
          </cell>
          <cell r="K1065">
            <v>783</v>
          </cell>
          <cell r="L1065">
            <v>737</v>
          </cell>
          <cell r="M1065">
            <v>44.44</v>
          </cell>
          <cell r="N1065">
            <v>2014</v>
          </cell>
          <cell r="O1065">
            <v>864</v>
          </cell>
          <cell r="P1065">
            <v>18.100000000000001</v>
          </cell>
        </row>
        <row r="1066">
          <cell r="B1066" t="str">
            <v>Nanjing University of Technology</v>
          </cell>
          <cell r="C1066" t="str">
            <v>China</v>
          </cell>
          <cell r="D1066">
            <v>50</v>
          </cell>
          <cell r="E1066">
            <v>355</v>
          </cell>
          <cell r="F1066">
            <v>478</v>
          </cell>
          <cell r="G1066">
            <v>210</v>
          </cell>
          <cell r="H1066">
            <v>810</v>
          </cell>
          <cell r="I1066">
            <v>987</v>
          </cell>
          <cell r="J1066">
            <v>800</v>
          </cell>
          <cell r="K1066">
            <v>948</v>
          </cell>
          <cell r="L1066">
            <v>227</v>
          </cell>
          <cell r="M1066">
            <v>44.44</v>
          </cell>
          <cell r="N1066">
            <v>2014</v>
          </cell>
          <cell r="O1066">
            <v>865</v>
          </cell>
          <cell r="P1066" t="e">
            <v>#N/A</v>
          </cell>
        </row>
        <row r="1067">
          <cell r="B1067" t="str">
            <v>University of Technology, Sydney</v>
          </cell>
          <cell r="C1067" t="str">
            <v>Australia</v>
          </cell>
          <cell r="D1067">
            <v>24</v>
          </cell>
          <cell r="E1067">
            <v>355</v>
          </cell>
          <cell r="F1067">
            <v>478</v>
          </cell>
          <cell r="G1067">
            <v>210</v>
          </cell>
          <cell r="H1067">
            <v>613</v>
          </cell>
          <cell r="I1067">
            <v>696</v>
          </cell>
          <cell r="J1067">
            <v>493</v>
          </cell>
          <cell r="K1067">
            <v>849</v>
          </cell>
          <cell r="L1067">
            <v>426</v>
          </cell>
          <cell r="M1067">
            <v>44.43</v>
          </cell>
          <cell r="N1067">
            <v>2014</v>
          </cell>
          <cell r="O1067">
            <v>866</v>
          </cell>
          <cell r="P1067" t="e">
            <v>#N/A</v>
          </cell>
        </row>
        <row r="1068">
          <cell r="B1068" t="str">
            <v>University of North Carolina at Greensboro</v>
          </cell>
          <cell r="C1068" t="str">
            <v>USA</v>
          </cell>
          <cell r="D1068">
            <v>224</v>
          </cell>
          <cell r="E1068">
            <v>355</v>
          </cell>
          <cell r="F1068">
            <v>478</v>
          </cell>
          <cell r="G1068">
            <v>210</v>
          </cell>
          <cell r="H1068">
            <v>936</v>
          </cell>
          <cell r="I1068">
            <v>849</v>
          </cell>
          <cell r="J1068">
            <v>609</v>
          </cell>
          <cell r="K1068">
            <v>800</v>
          </cell>
          <cell r="L1068">
            <v>552</v>
          </cell>
          <cell r="M1068">
            <v>44.43</v>
          </cell>
          <cell r="N1068">
            <v>2014</v>
          </cell>
          <cell r="O1068">
            <v>867</v>
          </cell>
          <cell r="P1068">
            <v>18.2</v>
          </cell>
        </row>
        <row r="1069">
          <cell r="B1069" t="str">
            <v>All India Institute of Medical Sciences, New Delhi</v>
          </cell>
          <cell r="C1069" t="str">
            <v>India</v>
          </cell>
          <cell r="D1069">
            <v>13</v>
          </cell>
          <cell r="E1069">
            <v>355</v>
          </cell>
          <cell r="F1069">
            <v>478</v>
          </cell>
          <cell r="G1069">
            <v>210</v>
          </cell>
          <cell r="H1069">
            <v>879</v>
          </cell>
          <cell r="I1069">
            <v>853</v>
          </cell>
          <cell r="J1069">
            <v>609</v>
          </cell>
          <cell r="K1069">
            <v>800</v>
          </cell>
          <cell r="L1069">
            <v>637</v>
          </cell>
          <cell r="M1069">
            <v>44.43</v>
          </cell>
          <cell r="N1069">
            <v>2014</v>
          </cell>
          <cell r="O1069">
            <v>868</v>
          </cell>
          <cell r="P1069" t="e">
            <v>#N/A</v>
          </cell>
        </row>
        <row r="1070">
          <cell r="B1070" t="str">
            <v>Kyoto Institute of Technology</v>
          </cell>
          <cell r="C1070" t="str">
            <v>Japan</v>
          </cell>
          <cell r="D1070">
            <v>70</v>
          </cell>
          <cell r="E1070">
            <v>355</v>
          </cell>
          <cell r="F1070">
            <v>478</v>
          </cell>
          <cell r="G1070">
            <v>210</v>
          </cell>
          <cell r="H1070">
            <v>927</v>
          </cell>
          <cell r="I1070">
            <v>831</v>
          </cell>
          <cell r="J1070">
            <v>800</v>
          </cell>
          <cell r="K1070">
            <v>874</v>
          </cell>
          <cell r="L1070">
            <v>307</v>
          </cell>
          <cell r="M1070">
            <v>44.43</v>
          </cell>
          <cell r="N1070">
            <v>2014</v>
          </cell>
          <cell r="O1070">
            <v>869</v>
          </cell>
          <cell r="P1070" t="e">
            <v>#N/A</v>
          </cell>
        </row>
        <row r="1071">
          <cell r="B1071" t="str">
            <v>Ocean University of China</v>
          </cell>
          <cell r="C1071" t="str">
            <v>China</v>
          </cell>
          <cell r="D1071">
            <v>51</v>
          </cell>
          <cell r="E1071">
            <v>355</v>
          </cell>
          <cell r="F1071">
            <v>478</v>
          </cell>
          <cell r="G1071">
            <v>210</v>
          </cell>
          <cell r="H1071">
            <v>703</v>
          </cell>
          <cell r="I1071">
            <v>824</v>
          </cell>
          <cell r="J1071">
            <v>800</v>
          </cell>
          <cell r="K1071">
            <v>832</v>
          </cell>
          <cell r="L1071">
            <v>481</v>
          </cell>
          <cell r="M1071">
            <v>44.43</v>
          </cell>
          <cell r="N1071">
            <v>2014</v>
          </cell>
          <cell r="O1071">
            <v>870</v>
          </cell>
          <cell r="P1071">
            <v>18.899999999999999</v>
          </cell>
        </row>
        <row r="1072">
          <cell r="B1072" t="str">
            <v>Chiang Mai University</v>
          </cell>
          <cell r="C1072" t="str">
            <v>Thailand</v>
          </cell>
          <cell r="D1072">
            <v>3</v>
          </cell>
          <cell r="E1072">
            <v>355</v>
          </cell>
          <cell r="F1072">
            <v>478</v>
          </cell>
          <cell r="G1072">
            <v>210</v>
          </cell>
          <cell r="H1072">
            <v>838</v>
          </cell>
          <cell r="I1072">
            <v>706</v>
          </cell>
          <cell r="J1072">
            <v>609</v>
          </cell>
          <cell r="K1072">
            <v>800</v>
          </cell>
          <cell r="L1072">
            <v>737</v>
          </cell>
          <cell r="M1072">
            <v>44.43</v>
          </cell>
          <cell r="N1072">
            <v>2014</v>
          </cell>
          <cell r="O1072">
            <v>871</v>
          </cell>
          <cell r="P1072">
            <v>17.8</v>
          </cell>
        </row>
        <row r="1073">
          <cell r="B1073" t="str">
            <v>University of Camerino</v>
          </cell>
          <cell r="C1073" t="str">
            <v>Italy</v>
          </cell>
          <cell r="D1073">
            <v>46</v>
          </cell>
          <cell r="E1073">
            <v>355</v>
          </cell>
          <cell r="F1073">
            <v>478</v>
          </cell>
          <cell r="G1073">
            <v>210</v>
          </cell>
          <cell r="H1073">
            <v>844</v>
          </cell>
          <cell r="I1073">
            <v>804</v>
          </cell>
          <cell r="J1073">
            <v>800</v>
          </cell>
          <cell r="K1073">
            <v>800</v>
          </cell>
          <cell r="L1073">
            <v>637</v>
          </cell>
          <cell r="M1073">
            <v>44.43</v>
          </cell>
          <cell r="N1073">
            <v>2014</v>
          </cell>
          <cell r="O1073">
            <v>872</v>
          </cell>
          <cell r="P1073" t="e">
            <v>#N/A</v>
          </cell>
        </row>
        <row r="1074">
          <cell r="B1074" t="str">
            <v>Hirosaki University</v>
          </cell>
          <cell r="C1074" t="str">
            <v>Japan</v>
          </cell>
          <cell r="D1074">
            <v>71</v>
          </cell>
          <cell r="E1074">
            <v>355</v>
          </cell>
          <cell r="F1074">
            <v>478</v>
          </cell>
          <cell r="G1074">
            <v>210</v>
          </cell>
          <cell r="H1074">
            <v>952</v>
          </cell>
          <cell r="I1074">
            <v>819</v>
          </cell>
          <cell r="J1074">
            <v>609</v>
          </cell>
          <cell r="K1074">
            <v>832</v>
          </cell>
          <cell r="L1074">
            <v>426</v>
          </cell>
          <cell r="M1074">
            <v>44.43</v>
          </cell>
          <cell r="N1074">
            <v>2014</v>
          </cell>
          <cell r="O1074">
            <v>873</v>
          </cell>
          <cell r="P1074" t="e">
            <v>#N/A</v>
          </cell>
        </row>
        <row r="1075">
          <cell r="B1075" t="str">
            <v>University of North Dakota</v>
          </cell>
          <cell r="C1075" t="str">
            <v>USA</v>
          </cell>
          <cell r="D1075">
            <v>225</v>
          </cell>
          <cell r="E1075">
            <v>355</v>
          </cell>
          <cell r="F1075">
            <v>478</v>
          </cell>
          <cell r="G1075">
            <v>210</v>
          </cell>
          <cell r="H1075">
            <v>935</v>
          </cell>
          <cell r="I1075">
            <v>647</v>
          </cell>
          <cell r="J1075">
            <v>800</v>
          </cell>
          <cell r="K1075">
            <v>832</v>
          </cell>
          <cell r="L1075">
            <v>426</v>
          </cell>
          <cell r="M1075">
            <v>44.43</v>
          </cell>
          <cell r="N1075">
            <v>2014</v>
          </cell>
          <cell r="O1075">
            <v>874</v>
          </cell>
          <cell r="P1075" t="e">
            <v>#N/A</v>
          </cell>
        </row>
        <row r="1076">
          <cell r="B1076" t="str">
            <v>University of Extremadura</v>
          </cell>
          <cell r="C1076" t="str">
            <v>Spain</v>
          </cell>
          <cell r="D1076">
            <v>33</v>
          </cell>
          <cell r="E1076">
            <v>355</v>
          </cell>
          <cell r="F1076">
            <v>478</v>
          </cell>
          <cell r="G1076">
            <v>210</v>
          </cell>
          <cell r="H1076">
            <v>729</v>
          </cell>
          <cell r="I1076">
            <v>871</v>
          </cell>
          <cell r="J1076">
            <v>800</v>
          </cell>
          <cell r="K1076">
            <v>819</v>
          </cell>
          <cell r="L1076">
            <v>637</v>
          </cell>
          <cell r="M1076">
            <v>44.42</v>
          </cell>
          <cell r="N1076">
            <v>2014</v>
          </cell>
          <cell r="O1076">
            <v>875</v>
          </cell>
          <cell r="P1076" t="e">
            <v>#N/A</v>
          </cell>
        </row>
        <row r="1077">
          <cell r="B1077" t="str">
            <v>Teikyo University</v>
          </cell>
          <cell r="C1077" t="str">
            <v>Japan</v>
          </cell>
          <cell r="D1077">
            <v>72</v>
          </cell>
          <cell r="E1077">
            <v>355</v>
          </cell>
          <cell r="F1077">
            <v>478</v>
          </cell>
          <cell r="G1077">
            <v>210</v>
          </cell>
          <cell r="H1077">
            <v>965</v>
          </cell>
          <cell r="I1077">
            <v>738</v>
          </cell>
          <cell r="J1077">
            <v>800</v>
          </cell>
          <cell r="K1077">
            <v>800</v>
          </cell>
          <cell r="L1077">
            <v>737</v>
          </cell>
          <cell r="M1077">
            <v>44.42</v>
          </cell>
          <cell r="N1077">
            <v>2014</v>
          </cell>
          <cell r="O1077">
            <v>876</v>
          </cell>
          <cell r="P1077" t="e">
            <v>#N/A</v>
          </cell>
        </row>
        <row r="1078">
          <cell r="B1078" t="str">
            <v>Jiangnan University</v>
          </cell>
          <cell r="C1078" t="str">
            <v>China</v>
          </cell>
          <cell r="D1078">
            <v>52</v>
          </cell>
          <cell r="E1078">
            <v>355</v>
          </cell>
          <cell r="F1078">
            <v>478</v>
          </cell>
          <cell r="G1078">
            <v>210</v>
          </cell>
          <cell r="H1078">
            <v>873</v>
          </cell>
          <cell r="I1078">
            <v>922</v>
          </cell>
          <cell r="J1078">
            <v>800</v>
          </cell>
          <cell r="K1078">
            <v>819</v>
          </cell>
          <cell r="L1078">
            <v>552</v>
          </cell>
          <cell r="M1078">
            <v>44.42</v>
          </cell>
          <cell r="N1078">
            <v>2014</v>
          </cell>
          <cell r="O1078">
            <v>877</v>
          </cell>
          <cell r="P1078" t="e">
            <v>#N/A</v>
          </cell>
        </row>
        <row r="1079">
          <cell r="B1079" t="str">
            <v>Adam Mickiewicz University in PoznaÅ„</v>
          </cell>
          <cell r="C1079" t="str">
            <v>Poland</v>
          </cell>
          <cell r="D1079">
            <v>5</v>
          </cell>
          <cell r="E1079">
            <v>233</v>
          </cell>
          <cell r="F1079">
            <v>478</v>
          </cell>
          <cell r="G1079">
            <v>210</v>
          </cell>
          <cell r="H1079">
            <v>665</v>
          </cell>
          <cell r="I1079">
            <v>762</v>
          </cell>
          <cell r="J1079">
            <v>800</v>
          </cell>
          <cell r="K1079">
            <v>897</v>
          </cell>
          <cell r="L1079">
            <v>481</v>
          </cell>
          <cell r="M1079">
            <v>44.42</v>
          </cell>
          <cell r="N1079">
            <v>2014</v>
          </cell>
          <cell r="O1079">
            <v>878</v>
          </cell>
          <cell r="P1079" t="e">
            <v>#N/A</v>
          </cell>
        </row>
        <row r="1080">
          <cell r="B1080" t="str">
            <v>University of Waikato</v>
          </cell>
          <cell r="C1080" t="str">
            <v>New Zealand</v>
          </cell>
          <cell r="D1080">
            <v>6</v>
          </cell>
          <cell r="E1080">
            <v>355</v>
          </cell>
          <cell r="F1080">
            <v>340</v>
          </cell>
          <cell r="G1080">
            <v>210</v>
          </cell>
          <cell r="H1080">
            <v>973</v>
          </cell>
          <cell r="I1080">
            <v>860</v>
          </cell>
          <cell r="J1080">
            <v>493</v>
          </cell>
          <cell r="K1080">
            <v>923</v>
          </cell>
          <cell r="L1080">
            <v>481</v>
          </cell>
          <cell r="M1080">
            <v>44.42</v>
          </cell>
          <cell r="N1080">
            <v>2014</v>
          </cell>
          <cell r="O1080">
            <v>879</v>
          </cell>
          <cell r="P1080">
            <v>13.3</v>
          </cell>
        </row>
        <row r="1081">
          <cell r="B1081" t="str">
            <v>University of Veterinary Medicine Vienna</v>
          </cell>
          <cell r="C1081" t="str">
            <v>Austria</v>
          </cell>
          <cell r="D1081">
            <v>12</v>
          </cell>
          <cell r="E1081">
            <v>355</v>
          </cell>
          <cell r="F1081">
            <v>478</v>
          </cell>
          <cell r="G1081">
            <v>210</v>
          </cell>
          <cell r="H1081">
            <v>853</v>
          </cell>
          <cell r="I1081">
            <v>691</v>
          </cell>
          <cell r="J1081">
            <v>609</v>
          </cell>
          <cell r="K1081">
            <v>819</v>
          </cell>
          <cell r="L1081">
            <v>637</v>
          </cell>
          <cell r="M1081">
            <v>44.42</v>
          </cell>
          <cell r="N1081">
            <v>2014</v>
          </cell>
          <cell r="O1081">
            <v>880</v>
          </cell>
          <cell r="P1081" t="e">
            <v>#N/A</v>
          </cell>
        </row>
        <row r="1082">
          <cell r="B1082" t="str">
            <v>University of CÃ¡diz</v>
          </cell>
          <cell r="C1082" t="str">
            <v>Spain</v>
          </cell>
          <cell r="D1082">
            <v>34</v>
          </cell>
          <cell r="E1082">
            <v>355</v>
          </cell>
          <cell r="F1082">
            <v>478</v>
          </cell>
          <cell r="G1082">
            <v>210</v>
          </cell>
          <cell r="H1082">
            <v>863</v>
          </cell>
          <cell r="I1082">
            <v>793</v>
          </cell>
          <cell r="J1082">
            <v>800</v>
          </cell>
          <cell r="K1082">
            <v>849</v>
          </cell>
          <cell r="L1082">
            <v>373</v>
          </cell>
          <cell r="M1082">
            <v>44.42</v>
          </cell>
          <cell r="N1082">
            <v>2014</v>
          </cell>
          <cell r="O1082">
            <v>881</v>
          </cell>
          <cell r="P1082" t="e">
            <v>#N/A</v>
          </cell>
        </row>
        <row r="1083">
          <cell r="B1083" t="str">
            <v>Florida Atlantic University</v>
          </cell>
          <cell r="C1083" t="str">
            <v>USA</v>
          </cell>
          <cell r="D1083">
            <v>226</v>
          </cell>
          <cell r="E1083">
            <v>355</v>
          </cell>
          <cell r="F1083">
            <v>478</v>
          </cell>
          <cell r="G1083">
            <v>210</v>
          </cell>
          <cell r="H1083">
            <v>848</v>
          </cell>
          <cell r="I1083">
            <v>701</v>
          </cell>
          <cell r="J1083">
            <v>800</v>
          </cell>
          <cell r="K1083">
            <v>819</v>
          </cell>
          <cell r="L1083">
            <v>737</v>
          </cell>
          <cell r="M1083">
            <v>44.42</v>
          </cell>
          <cell r="N1083">
            <v>2014</v>
          </cell>
          <cell r="O1083">
            <v>882</v>
          </cell>
          <cell r="P1083" t="e">
            <v>#N/A</v>
          </cell>
        </row>
        <row r="1084">
          <cell r="B1084" t="str">
            <v>Huazhong Agricultural University</v>
          </cell>
          <cell r="C1084" t="str">
            <v>China</v>
          </cell>
          <cell r="D1084">
            <v>53</v>
          </cell>
          <cell r="E1084">
            <v>355</v>
          </cell>
          <cell r="F1084">
            <v>478</v>
          </cell>
          <cell r="G1084">
            <v>210</v>
          </cell>
          <cell r="H1084">
            <v>691</v>
          </cell>
          <cell r="I1084">
            <v>570</v>
          </cell>
          <cell r="J1084">
            <v>609</v>
          </cell>
          <cell r="K1084">
            <v>849</v>
          </cell>
          <cell r="L1084">
            <v>481</v>
          </cell>
          <cell r="M1084">
            <v>44.41</v>
          </cell>
          <cell r="N1084">
            <v>2014</v>
          </cell>
          <cell r="O1084">
            <v>883</v>
          </cell>
          <cell r="P1084" t="e">
            <v>#N/A</v>
          </cell>
        </row>
        <row r="1085">
          <cell r="B1085" t="str">
            <v>Brock University</v>
          </cell>
          <cell r="C1085" t="str">
            <v>Canada</v>
          </cell>
          <cell r="D1085">
            <v>31</v>
          </cell>
          <cell r="E1085">
            <v>355</v>
          </cell>
          <cell r="F1085">
            <v>478</v>
          </cell>
          <cell r="G1085">
            <v>210</v>
          </cell>
          <cell r="H1085">
            <v>899</v>
          </cell>
          <cell r="I1085">
            <v>746</v>
          </cell>
          <cell r="J1085">
            <v>609</v>
          </cell>
          <cell r="K1085">
            <v>832</v>
          </cell>
          <cell r="L1085">
            <v>552</v>
          </cell>
          <cell r="M1085">
            <v>44.41</v>
          </cell>
          <cell r="N1085">
            <v>2014</v>
          </cell>
          <cell r="O1085">
            <v>884</v>
          </cell>
          <cell r="P1085" t="e">
            <v>#N/A</v>
          </cell>
        </row>
        <row r="1086">
          <cell r="B1086" t="str">
            <v>University of Lleida</v>
          </cell>
          <cell r="C1086" t="str">
            <v>Spain</v>
          </cell>
          <cell r="D1086">
            <v>35</v>
          </cell>
          <cell r="E1086">
            <v>355</v>
          </cell>
          <cell r="F1086">
            <v>478</v>
          </cell>
          <cell r="G1086">
            <v>210</v>
          </cell>
          <cell r="H1086">
            <v>871</v>
          </cell>
          <cell r="I1086">
            <v>888</v>
          </cell>
          <cell r="J1086">
            <v>609</v>
          </cell>
          <cell r="K1086">
            <v>832</v>
          </cell>
          <cell r="L1086">
            <v>637</v>
          </cell>
          <cell r="M1086">
            <v>44.41</v>
          </cell>
          <cell r="N1086">
            <v>2014</v>
          </cell>
          <cell r="O1086">
            <v>885</v>
          </cell>
          <cell r="P1086" t="e">
            <v>#N/A</v>
          </cell>
        </row>
        <row r="1087">
          <cell r="B1087" t="str">
            <v>Shanghai Normal University</v>
          </cell>
          <cell r="C1087" t="str">
            <v>China</v>
          </cell>
          <cell r="D1087">
            <v>54</v>
          </cell>
          <cell r="E1087">
            <v>355</v>
          </cell>
          <cell r="F1087">
            <v>458</v>
          </cell>
          <cell r="G1087">
            <v>210</v>
          </cell>
          <cell r="H1087">
            <v>974</v>
          </cell>
          <cell r="I1087">
            <v>938</v>
          </cell>
          <cell r="J1087">
            <v>800</v>
          </cell>
          <cell r="K1087">
            <v>874</v>
          </cell>
          <cell r="L1087">
            <v>737</v>
          </cell>
          <cell r="M1087">
            <v>44.41</v>
          </cell>
          <cell r="N1087">
            <v>2014</v>
          </cell>
          <cell r="O1087">
            <v>886</v>
          </cell>
          <cell r="P1087" t="e">
            <v>#N/A</v>
          </cell>
        </row>
        <row r="1088">
          <cell r="B1088" t="str">
            <v>Jean Monnet University</v>
          </cell>
          <cell r="C1088" t="str">
            <v>France</v>
          </cell>
          <cell r="D1088">
            <v>44</v>
          </cell>
          <cell r="E1088">
            <v>355</v>
          </cell>
          <cell r="F1088">
            <v>478</v>
          </cell>
          <cell r="G1088">
            <v>210</v>
          </cell>
          <cell r="H1088">
            <v>661</v>
          </cell>
          <cell r="I1088">
            <v>472</v>
          </cell>
          <cell r="J1088">
            <v>800</v>
          </cell>
          <cell r="K1088">
            <v>849</v>
          </cell>
          <cell r="L1088">
            <v>552</v>
          </cell>
          <cell r="M1088">
            <v>44.41</v>
          </cell>
          <cell r="N1088">
            <v>2014</v>
          </cell>
          <cell r="O1088">
            <v>887</v>
          </cell>
          <cell r="P1088" t="e">
            <v>#N/A</v>
          </cell>
        </row>
        <row r="1089">
          <cell r="B1089" t="str">
            <v>Shimane University</v>
          </cell>
          <cell r="C1089" t="str">
            <v>Japan</v>
          </cell>
          <cell r="D1089">
            <v>73</v>
          </cell>
          <cell r="E1089">
            <v>355</v>
          </cell>
          <cell r="F1089">
            <v>478</v>
          </cell>
          <cell r="G1089">
            <v>210</v>
          </cell>
          <cell r="H1089">
            <v>922</v>
          </cell>
          <cell r="I1089">
            <v>693</v>
          </cell>
          <cell r="J1089">
            <v>609</v>
          </cell>
          <cell r="K1089">
            <v>832</v>
          </cell>
          <cell r="L1089">
            <v>637</v>
          </cell>
          <cell r="M1089">
            <v>44.41</v>
          </cell>
          <cell r="N1089">
            <v>2014</v>
          </cell>
          <cell r="O1089">
            <v>888</v>
          </cell>
          <cell r="P1089" t="e">
            <v>#N/A</v>
          </cell>
        </row>
        <row r="1090">
          <cell r="B1090" t="str">
            <v>University of OrlÃ©ans</v>
          </cell>
          <cell r="C1090" t="str">
            <v>France</v>
          </cell>
          <cell r="D1090">
            <v>45</v>
          </cell>
          <cell r="E1090">
            <v>355</v>
          </cell>
          <cell r="F1090">
            <v>478</v>
          </cell>
          <cell r="G1090">
            <v>210</v>
          </cell>
          <cell r="H1090">
            <v>743</v>
          </cell>
          <cell r="I1090">
            <v>509</v>
          </cell>
          <cell r="J1090">
            <v>609</v>
          </cell>
          <cell r="K1090">
            <v>843</v>
          </cell>
          <cell r="L1090">
            <v>637</v>
          </cell>
          <cell r="M1090">
            <v>44.41</v>
          </cell>
          <cell r="N1090">
            <v>2014</v>
          </cell>
          <cell r="O1090">
            <v>889</v>
          </cell>
          <cell r="P1090" t="e">
            <v>#N/A</v>
          </cell>
        </row>
        <row r="1091">
          <cell r="B1091" t="str">
            <v>University of Siegen</v>
          </cell>
          <cell r="C1091" t="str">
            <v>Germany</v>
          </cell>
          <cell r="D1091">
            <v>51</v>
          </cell>
          <cell r="E1091">
            <v>355</v>
          </cell>
          <cell r="F1091">
            <v>478</v>
          </cell>
          <cell r="G1091">
            <v>210</v>
          </cell>
          <cell r="H1091">
            <v>877</v>
          </cell>
          <cell r="I1091">
            <v>714</v>
          </cell>
          <cell r="J1091">
            <v>406</v>
          </cell>
          <cell r="K1091">
            <v>843</v>
          </cell>
          <cell r="L1091">
            <v>737</v>
          </cell>
          <cell r="M1091">
            <v>44.41</v>
          </cell>
          <cell r="N1091">
            <v>2014</v>
          </cell>
          <cell r="O1091">
            <v>890</v>
          </cell>
          <cell r="P1091" t="e">
            <v>#N/A</v>
          </cell>
        </row>
        <row r="1092">
          <cell r="B1092" t="str">
            <v>Makerere University</v>
          </cell>
          <cell r="C1092" t="str">
            <v>Uganda</v>
          </cell>
          <cell r="D1092">
            <v>1</v>
          </cell>
          <cell r="E1092">
            <v>355</v>
          </cell>
          <cell r="F1092">
            <v>478</v>
          </cell>
          <cell r="G1092">
            <v>210</v>
          </cell>
          <cell r="H1092">
            <v>915</v>
          </cell>
          <cell r="I1092">
            <v>708</v>
          </cell>
          <cell r="J1092">
            <v>609</v>
          </cell>
          <cell r="K1092">
            <v>832</v>
          </cell>
          <cell r="L1092">
            <v>737</v>
          </cell>
          <cell r="M1092">
            <v>44.4</v>
          </cell>
          <cell r="N1092">
            <v>2014</v>
          </cell>
          <cell r="O1092">
            <v>891</v>
          </cell>
          <cell r="P1092">
            <v>15.1</v>
          </cell>
        </row>
        <row r="1093">
          <cell r="B1093" t="str">
            <v>University of Wales, Trinity Saint David</v>
          </cell>
          <cell r="C1093" t="str">
            <v>United Kingdom</v>
          </cell>
          <cell r="D1093">
            <v>64</v>
          </cell>
          <cell r="E1093">
            <v>355</v>
          </cell>
          <cell r="F1093">
            <v>478</v>
          </cell>
          <cell r="G1093">
            <v>210</v>
          </cell>
          <cell r="H1093">
            <v>966</v>
          </cell>
          <cell r="I1093">
            <v>859</v>
          </cell>
          <cell r="J1093">
            <v>406</v>
          </cell>
          <cell r="K1093">
            <v>843</v>
          </cell>
          <cell r="L1093">
            <v>737</v>
          </cell>
          <cell r="M1093">
            <v>44.4</v>
          </cell>
          <cell r="N1093">
            <v>2014</v>
          </cell>
          <cell r="O1093">
            <v>892</v>
          </cell>
          <cell r="P1093" t="e">
            <v>#N/A</v>
          </cell>
        </row>
        <row r="1094">
          <cell r="B1094" t="str">
            <v>National Taiwan University of Science and Technology</v>
          </cell>
          <cell r="C1094" t="str">
            <v>Taiwan</v>
          </cell>
          <cell r="D1094">
            <v>16</v>
          </cell>
          <cell r="E1094">
            <v>355</v>
          </cell>
          <cell r="F1094">
            <v>478</v>
          </cell>
          <cell r="G1094">
            <v>210</v>
          </cell>
          <cell r="H1094">
            <v>610</v>
          </cell>
          <cell r="I1094">
            <v>974</v>
          </cell>
          <cell r="J1094">
            <v>800</v>
          </cell>
          <cell r="K1094">
            <v>849</v>
          </cell>
          <cell r="L1094">
            <v>737</v>
          </cell>
          <cell r="M1094">
            <v>44.4</v>
          </cell>
          <cell r="N1094">
            <v>2014</v>
          </cell>
          <cell r="O1094">
            <v>893</v>
          </cell>
          <cell r="P1094" t="e">
            <v>#N/A</v>
          </cell>
        </row>
        <row r="1095">
          <cell r="B1095" t="str">
            <v>University of BrasÃ­lia</v>
          </cell>
          <cell r="C1095" t="str">
            <v>Brazil</v>
          </cell>
          <cell r="D1095">
            <v>10</v>
          </cell>
          <cell r="E1095">
            <v>355</v>
          </cell>
          <cell r="F1095">
            <v>450</v>
          </cell>
          <cell r="G1095">
            <v>210</v>
          </cell>
          <cell r="H1095">
            <v>785</v>
          </cell>
          <cell r="I1095">
            <v>777</v>
          </cell>
          <cell r="J1095">
            <v>800</v>
          </cell>
          <cell r="K1095">
            <v>897</v>
          </cell>
          <cell r="L1095">
            <v>737</v>
          </cell>
          <cell r="M1095">
            <v>44.4</v>
          </cell>
          <cell r="N1095">
            <v>2014</v>
          </cell>
          <cell r="O1095">
            <v>894</v>
          </cell>
          <cell r="P1095">
            <v>21.9</v>
          </cell>
        </row>
        <row r="1096">
          <cell r="B1096" t="str">
            <v>University of Western Brittany</v>
          </cell>
          <cell r="C1096" t="str">
            <v>France</v>
          </cell>
          <cell r="D1096">
            <v>46</v>
          </cell>
          <cell r="E1096">
            <v>355</v>
          </cell>
          <cell r="F1096">
            <v>478</v>
          </cell>
          <cell r="G1096">
            <v>210</v>
          </cell>
          <cell r="H1096">
            <v>834</v>
          </cell>
          <cell r="I1096">
            <v>644</v>
          </cell>
          <cell r="J1096">
            <v>800</v>
          </cell>
          <cell r="K1096">
            <v>849</v>
          </cell>
          <cell r="L1096">
            <v>481</v>
          </cell>
          <cell r="M1096">
            <v>44.4</v>
          </cell>
          <cell r="N1096">
            <v>2014</v>
          </cell>
          <cell r="O1096">
            <v>895</v>
          </cell>
          <cell r="P1096" t="e">
            <v>#N/A</v>
          </cell>
        </row>
        <row r="1097">
          <cell r="B1097" t="str">
            <v>Nanjing Agricultural University</v>
          </cell>
          <cell r="C1097" t="str">
            <v>China</v>
          </cell>
          <cell r="D1097">
            <v>55</v>
          </cell>
          <cell r="E1097">
            <v>355</v>
          </cell>
          <cell r="F1097">
            <v>478</v>
          </cell>
          <cell r="G1097">
            <v>210</v>
          </cell>
          <cell r="H1097">
            <v>674</v>
          </cell>
          <cell r="I1097">
            <v>766</v>
          </cell>
          <cell r="J1097">
            <v>800</v>
          </cell>
          <cell r="K1097">
            <v>849</v>
          </cell>
          <cell r="L1097">
            <v>637</v>
          </cell>
          <cell r="M1097">
            <v>44.4</v>
          </cell>
          <cell r="N1097">
            <v>2014</v>
          </cell>
          <cell r="O1097">
            <v>896</v>
          </cell>
          <cell r="P1097" t="e">
            <v>#N/A</v>
          </cell>
        </row>
        <row r="1098">
          <cell r="B1098" t="str">
            <v>National University of CÃ³rdoba</v>
          </cell>
          <cell r="C1098" t="str">
            <v>Argentina</v>
          </cell>
          <cell r="D1098">
            <v>3</v>
          </cell>
          <cell r="E1098">
            <v>355</v>
          </cell>
          <cell r="F1098">
            <v>478</v>
          </cell>
          <cell r="G1098">
            <v>210</v>
          </cell>
          <cell r="H1098">
            <v>713</v>
          </cell>
          <cell r="I1098">
            <v>818</v>
          </cell>
          <cell r="J1098">
            <v>609</v>
          </cell>
          <cell r="K1098">
            <v>849</v>
          </cell>
          <cell r="L1098">
            <v>737</v>
          </cell>
          <cell r="M1098">
            <v>44.39</v>
          </cell>
          <cell r="N1098">
            <v>2014</v>
          </cell>
          <cell r="O1098">
            <v>897</v>
          </cell>
          <cell r="P1098">
            <v>16</v>
          </cell>
        </row>
        <row r="1099">
          <cell r="B1099" t="str">
            <v>Federal University of Santa Catarina</v>
          </cell>
          <cell r="C1099" t="str">
            <v>Brazil</v>
          </cell>
          <cell r="D1099">
            <v>11</v>
          </cell>
          <cell r="E1099">
            <v>355</v>
          </cell>
          <cell r="F1099">
            <v>478</v>
          </cell>
          <cell r="G1099">
            <v>210</v>
          </cell>
          <cell r="H1099">
            <v>608</v>
          </cell>
          <cell r="I1099">
            <v>959</v>
          </cell>
          <cell r="J1099">
            <v>800</v>
          </cell>
          <cell r="K1099">
            <v>869</v>
          </cell>
          <cell r="L1099">
            <v>737</v>
          </cell>
          <cell r="M1099">
            <v>44.39</v>
          </cell>
          <cell r="N1099">
            <v>2014</v>
          </cell>
          <cell r="O1099">
            <v>898</v>
          </cell>
          <cell r="P1099">
            <v>26</v>
          </cell>
        </row>
        <row r="1100">
          <cell r="B1100" t="str">
            <v>National Taiwan Ocean University</v>
          </cell>
          <cell r="C1100" t="str">
            <v>Taiwan</v>
          </cell>
          <cell r="D1100">
            <v>17</v>
          </cell>
          <cell r="E1100">
            <v>355</v>
          </cell>
          <cell r="F1100">
            <v>317</v>
          </cell>
          <cell r="G1100">
            <v>210</v>
          </cell>
          <cell r="H1100">
            <v>774</v>
          </cell>
          <cell r="I1100">
            <v>934</v>
          </cell>
          <cell r="J1100">
            <v>800</v>
          </cell>
          <cell r="K1100">
            <v>956</v>
          </cell>
          <cell r="L1100">
            <v>737</v>
          </cell>
          <cell r="M1100">
            <v>44.39</v>
          </cell>
          <cell r="N1100">
            <v>2014</v>
          </cell>
          <cell r="O1100">
            <v>899</v>
          </cell>
          <cell r="P1100">
            <v>12.5</v>
          </cell>
        </row>
        <row r="1101">
          <cell r="B1101" t="str">
            <v>Gazi University</v>
          </cell>
          <cell r="C1101" t="str">
            <v>Turkey</v>
          </cell>
          <cell r="D1101">
            <v>8</v>
          </cell>
          <cell r="E1101">
            <v>355</v>
          </cell>
          <cell r="F1101">
            <v>478</v>
          </cell>
          <cell r="G1101">
            <v>210</v>
          </cell>
          <cell r="H1101">
            <v>742</v>
          </cell>
          <cell r="I1101">
            <v>952</v>
          </cell>
          <cell r="J1101">
            <v>609</v>
          </cell>
          <cell r="K1101">
            <v>849</v>
          </cell>
          <cell r="L1101">
            <v>737</v>
          </cell>
          <cell r="M1101">
            <v>44.39</v>
          </cell>
          <cell r="N1101">
            <v>2014</v>
          </cell>
          <cell r="O1101">
            <v>900</v>
          </cell>
          <cell r="P1101" t="e">
            <v>#N/A</v>
          </cell>
        </row>
        <row r="1102">
          <cell r="B1102" t="str">
            <v>National University of Colombia</v>
          </cell>
          <cell r="C1102" t="str">
            <v>Colombia</v>
          </cell>
          <cell r="D1102">
            <v>2</v>
          </cell>
          <cell r="E1102">
            <v>355</v>
          </cell>
          <cell r="F1102">
            <v>297</v>
          </cell>
          <cell r="G1102">
            <v>210</v>
          </cell>
          <cell r="H1102">
            <v>882</v>
          </cell>
          <cell r="I1102">
            <v>748</v>
          </cell>
          <cell r="J1102">
            <v>609</v>
          </cell>
          <cell r="K1102">
            <v>979</v>
          </cell>
          <cell r="L1102">
            <v>737</v>
          </cell>
          <cell r="M1102">
            <v>44.39</v>
          </cell>
          <cell r="N1102">
            <v>2014</v>
          </cell>
          <cell r="O1102">
            <v>901</v>
          </cell>
          <cell r="P1102" t="e">
            <v>#N/A</v>
          </cell>
        </row>
        <row r="1103">
          <cell r="B1103" t="str">
            <v>University of JaÃ©n</v>
          </cell>
          <cell r="C1103" t="str">
            <v>Spain</v>
          </cell>
          <cell r="D1103">
            <v>36</v>
          </cell>
          <cell r="E1103">
            <v>355</v>
          </cell>
          <cell r="F1103">
            <v>478</v>
          </cell>
          <cell r="G1103">
            <v>210</v>
          </cell>
          <cell r="H1103">
            <v>932</v>
          </cell>
          <cell r="I1103">
            <v>864</v>
          </cell>
          <cell r="J1103">
            <v>493</v>
          </cell>
          <cell r="K1103">
            <v>874</v>
          </cell>
          <cell r="L1103">
            <v>426</v>
          </cell>
          <cell r="M1103">
            <v>44.39</v>
          </cell>
          <cell r="N1103">
            <v>2014</v>
          </cell>
          <cell r="O1103">
            <v>902</v>
          </cell>
          <cell r="P1103" t="e">
            <v>#N/A</v>
          </cell>
        </row>
        <row r="1104">
          <cell r="B1104" t="str">
            <v>BoÄŸaziÃ§i University</v>
          </cell>
          <cell r="C1104" t="str">
            <v>Turkey</v>
          </cell>
          <cell r="D1104">
            <v>9</v>
          </cell>
          <cell r="E1104">
            <v>355</v>
          </cell>
          <cell r="F1104">
            <v>478</v>
          </cell>
          <cell r="G1104">
            <v>210</v>
          </cell>
          <cell r="H1104">
            <v>817</v>
          </cell>
          <cell r="I1104">
            <v>820</v>
          </cell>
          <cell r="J1104">
            <v>493</v>
          </cell>
          <cell r="K1104">
            <v>849</v>
          </cell>
          <cell r="L1104">
            <v>737</v>
          </cell>
          <cell r="M1104">
            <v>44.39</v>
          </cell>
          <cell r="N1104">
            <v>2014</v>
          </cell>
          <cell r="O1104">
            <v>903</v>
          </cell>
          <cell r="P1104">
            <v>24.5</v>
          </cell>
        </row>
        <row r="1105">
          <cell r="B1105" t="str">
            <v>Jadavpur University</v>
          </cell>
          <cell r="C1105" t="str">
            <v>India</v>
          </cell>
          <cell r="D1105">
            <v>14</v>
          </cell>
          <cell r="E1105">
            <v>355</v>
          </cell>
          <cell r="F1105">
            <v>478</v>
          </cell>
          <cell r="G1105">
            <v>210</v>
          </cell>
          <cell r="H1105">
            <v>871</v>
          </cell>
          <cell r="I1105">
            <v>987</v>
          </cell>
          <cell r="J1105">
            <v>493</v>
          </cell>
          <cell r="K1105">
            <v>849</v>
          </cell>
          <cell r="L1105">
            <v>737</v>
          </cell>
          <cell r="M1105">
            <v>44.39</v>
          </cell>
          <cell r="N1105">
            <v>2014</v>
          </cell>
          <cell r="O1105">
            <v>904</v>
          </cell>
          <cell r="P1105">
            <v>32.799999999999997</v>
          </cell>
        </row>
        <row r="1106">
          <cell r="B1106" t="str">
            <v>Pukyong National University</v>
          </cell>
          <cell r="C1106" t="str">
            <v>South Korea</v>
          </cell>
          <cell r="D1106">
            <v>32</v>
          </cell>
          <cell r="E1106">
            <v>355</v>
          </cell>
          <cell r="F1106">
            <v>478</v>
          </cell>
          <cell r="G1106">
            <v>210</v>
          </cell>
          <cell r="H1106">
            <v>904</v>
          </cell>
          <cell r="I1106">
            <v>952</v>
          </cell>
          <cell r="J1106">
            <v>800</v>
          </cell>
          <cell r="K1106">
            <v>889</v>
          </cell>
          <cell r="L1106">
            <v>373</v>
          </cell>
          <cell r="M1106">
            <v>44.39</v>
          </cell>
          <cell r="N1106">
            <v>2014</v>
          </cell>
          <cell r="O1106">
            <v>905</v>
          </cell>
          <cell r="P1106" t="e">
            <v>#N/A</v>
          </cell>
        </row>
        <row r="1107">
          <cell r="B1107" t="str">
            <v>University of Western Sydney</v>
          </cell>
          <cell r="C1107" t="str">
            <v>Australia</v>
          </cell>
          <cell r="D1107">
            <v>25</v>
          </cell>
          <cell r="E1107">
            <v>355</v>
          </cell>
          <cell r="F1107">
            <v>478</v>
          </cell>
          <cell r="G1107">
            <v>210</v>
          </cell>
          <cell r="H1107">
            <v>693</v>
          </cell>
          <cell r="I1107">
            <v>591</v>
          </cell>
          <cell r="J1107">
            <v>609</v>
          </cell>
          <cell r="K1107">
            <v>869</v>
          </cell>
          <cell r="L1107">
            <v>737</v>
          </cell>
          <cell r="M1107">
            <v>44.39</v>
          </cell>
          <cell r="N1107">
            <v>2014</v>
          </cell>
          <cell r="O1107">
            <v>906</v>
          </cell>
          <cell r="P1107" t="e">
            <v>#N/A</v>
          </cell>
        </row>
        <row r="1108">
          <cell r="B1108" t="str">
            <v>Northeastern University (China)</v>
          </cell>
          <cell r="C1108" t="str">
            <v>China</v>
          </cell>
          <cell r="D1108">
            <v>56</v>
          </cell>
          <cell r="E1108">
            <v>355</v>
          </cell>
          <cell r="F1108">
            <v>425</v>
          </cell>
          <cell r="G1108">
            <v>210</v>
          </cell>
          <cell r="H1108">
            <v>797</v>
          </cell>
          <cell r="I1108">
            <v>966</v>
          </cell>
          <cell r="J1108">
            <v>800</v>
          </cell>
          <cell r="K1108">
            <v>917</v>
          </cell>
          <cell r="L1108">
            <v>737</v>
          </cell>
          <cell r="M1108">
            <v>44.39</v>
          </cell>
          <cell r="N1108">
            <v>2014</v>
          </cell>
          <cell r="O1108">
            <v>907</v>
          </cell>
          <cell r="P1108" t="e">
            <v>#N/A</v>
          </cell>
        </row>
        <row r="1109">
          <cell r="B1109" t="str">
            <v>University of Mannheim</v>
          </cell>
          <cell r="C1109" t="str">
            <v>Germany</v>
          </cell>
          <cell r="D1109">
            <v>52</v>
          </cell>
          <cell r="E1109">
            <v>355</v>
          </cell>
          <cell r="F1109">
            <v>478</v>
          </cell>
          <cell r="G1109">
            <v>210</v>
          </cell>
          <cell r="H1109">
            <v>949</v>
          </cell>
          <cell r="I1109">
            <v>885</v>
          </cell>
          <cell r="J1109">
            <v>493</v>
          </cell>
          <cell r="K1109">
            <v>849</v>
          </cell>
          <cell r="L1109">
            <v>737</v>
          </cell>
          <cell r="M1109">
            <v>44.39</v>
          </cell>
          <cell r="N1109">
            <v>2014</v>
          </cell>
          <cell r="O1109">
            <v>908</v>
          </cell>
          <cell r="P1109">
            <v>34.5</v>
          </cell>
        </row>
        <row r="1110">
          <cell r="B1110" t="str">
            <v>University of OsnabrÃ¼ck</v>
          </cell>
          <cell r="C1110" t="str">
            <v>Germany</v>
          </cell>
          <cell r="D1110">
            <v>53</v>
          </cell>
          <cell r="E1110">
            <v>355</v>
          </cell>
          <cell r="F1110">
            <v>478</v>
          </cell>
          <cell r="G1110">
            <v>210</v>
          </cell>
          <cell r="H1110">
            <v>841</v>
          </cell>
          <cell r="I1110">
            <v>628</v>
          </cell>
          <cell r="J1110">
            <v>800</v>
          </cell>
          <cell r="K1110">
            <v>849</v>
          </cell>
          <cell r="L1110">
            <v>737</v>
          </cell>
          <cell r="M1110">
            <v>44.38</v>
          </cell>
          <cell r="N1110">
            <v>2014</v>
          </cell>
          <cell r="O1110">
            <v>909</v>
          </cell>
          <cell r="P1110" t="e">
            <v>#N/A</v>
          </cell>
        </row>
        <row r="1111">
          <cell r="B1111" t="str">
            <v>Charles Darwin University</v>
          </cell>
          <cell r="C1111" t="str">
            <v>Australia</v>
          </cell>
          <cell r="D1111">
            <v>26</v>
          </cell>
          <cell r="E1111">
            <v>355</v>
          </cell>
          <cell r="F1111">
            <v>478</v>
          </cell>
          <cell r="G1111">
            <v>210</v>
          </cell>
          <cell r="H1111">
            <v>911</v>
          </cell>
          <cell r="I1111">
            <v>694</v>
          </cell>
          <cell r="J1111">
            <v>609</v>
          </cell>
          <cell r="K1111">
            <v>849</v>
          </cell>
          <cell r="L1111">
            <v>737</v>
          </cell>
          <cell r="M1111">
            <v>44.38</v>
          </cell>
          <cell r="N1111">
            <v>2014</v>
          </cell>
          <cell r="O1111">
            <v>910</v>
          </cell>
          <cell r="P1111">
            <v>16.399999999999999</v>
          </cell>
        </row>
        <row r="1112">
          <cell r="B1112" t="str">
            <v>University of Hyderabad</v>
          </cell>
          <cell r="C1112" t="str">
            <v>India</v>
          </cell>
          <cell r="D1112">
            <v>15</v>
          </cell>
          <cell r="E1112">
            <v>355</v>
          </cell>
          <cell r="F1112">
            <v>478</v>
          </cell>
          <cell r="G1112">
            <v>210</v>
          </cell>
          <cell r="H1112">
            <v>857</v>
          </cell>
          <cell r="I1112">
            <v>938</v>
          </cell>
          <cell r="J1112">
            <v>800</v>
          </cell>
          <cell r="K1112">
            <v>849</v>
          </cell>
          <cell r="L1112">
            <v>737</v>
          </cell>
          <cell r="M1112">
            <v>44.38</v>
          </cell>
          <cell r="N1112">
            <v>2014</v>
          </cell>
          <cell r="O1112">
            <v>911</v>
          </cell>
          <cell r="P1112" t="e">
            <v>#N/A</v>
          </cell>
        </row>
        <row r="1113">
          <cell r="B1113" t="str">
            <v>Northwest University (China)</v>
          </cell>
          <cell r="C1113" t="str">
            <v>China</v>
          </cell>
          <cell r="D1113">
            <v>57</v>
          </cell>
          <cell r="E1113">
            <v>355</v>
          </cell>
          <cell r="F1113">
            <v>478</v>
          </cell>
          <cell r="G1113">
            <v>210</v>
          </cell>
          <cell r="H1113">
            <v>969</v>
          </cell>
          <cell r="I1113">
            <v>751</v>
          </cell>
          <cell r="J1113">
            <v>609</v>
          </cell>
          <cell r="K1113">
            <v>849</v>
          </cell>
          <cell r="L1113">
            <v>737</v>
          </cell>
          <cell r="M1113">
            <v>44.38</v>
          </cell>
          <cell r="N1113">
            <v>2014</v>
          </cell>
          <cell r="O1113">
            <v>912</v>
          </cell>
          <cell r="P1113" t="e">
            <v>#N/A</v>
          </cell>
        </row>
        <row r="1114">
          <cell r="B1114" t="str">
            <v>University of Southern Mississippi</v>
          </cell>
          <cell r="C1114" t="str">
            <v>USA</v>
          </cell>
          <cell r="D1114">
            <v>227</v>
          </cell>
          <cell r="E1114">
            <v>355</v>
          </cell>
          <cell r="F1114">
            <v>478</v>
          </cell>
          <cell r="G1114">
            <v>210</v>
          </cell>
          <cell r="H1114">
            <v>903</v>
          </cell>
          <cell r="I1114">
            <v>840</v>
          </cell>
          <cell r="J1114">
            <v>800</v>
          </cell>
          <cell r="K1114">
            <v>849</v>
          </cell>
          <cell r="L1114">
            <v>737</v>
          </cell>
          <cell r="M1114">
            <v>44.38</v>
          </cell>
          <cell r="N1114">
            <v>2014</v>
          </cell>
          <cell r="O1114">
            <v>913</v>
          </cell>
          <cell r="P1114">
            <v>21</v>
          </cell>
        </row>
        <row r="1115">
          <cell r="B1115" t="str">
            <v>University of WrocÅ‚aw</v>
          </cell>
          <cell r="C1115" t="str">
            <v>Poland</v>
          </cell>
          <cell r="D1115">
            <v>6</v>
          </cell>
          <cell r="E1115">
            <v>344</v>
          </cell>
          <cell r="F1115">
            <v>478</v>
          </cell>
          <cell r="G1115">
            <v>210</v>
          </cell>
          <cell r="H1115">
            <v>732</v>
          </cell>
          <cell r="I1115">
            <v>812</v>
          </cell>
          <cell r="J1115">
            <v>800</v>
          </cell>
          <cell r="K1115">
            <v>869</v>
          </cell>
          <cell r="L1115">
            <v>737</v>
          </cell>
          <cell r="M1115">
            <v>44.38</v>
          </cell>
          <cell r="N1115">
            <v>2014</v>
          </cell>
          <cell r="O1115">
            <v>914</v>
          </cell>
          <cell r="P1115" t="e">
            <v>#N/A</v>
          </cell>
        </row>
        <row r="1116">
          <cell r="B1116" t="str">
            <v>Carlos III University of Madrid</v>
          </cell>
          <cell r="C1116" t="str">
            <v>Spain</v>
          </cell>
          <cell r="D1116">
            <v>37</v>
          </cell>
          <cell r="E1116">
            <v>355</v>
          </cell>
          <cell r="F1116">
            <v>478</v>
          </cell>
          <cell r="G1116">
            <v>210</v>
          </cell>
          <cell r="H1116">
            <v>669</v>
          </cell>
          <cell r="I1116">
            <v>959</v>
          </cell>
          <cell r="J1116">
            <v>800</v>
          </cell>
          <cell r="K1116">
            <v>948</v>
          </cell>
          <cell r="L1116">
            <v>307</v>
          </cell>
          <cell r="M1116">
            <v>44.38</v>
          </cell>
          <cell r="N1116">
            <v>2014</v>
          </cell>
          <cell r="O1116">
            <v>915</v>
          </cell>
          <cell r="P1116">
            <v>23.2</v>
          </cell>
        </row>
        <row r="1117">
          <cell r="B1117" t="str">
            <v>Novosibirsk State University</v>
          </cell>
          <cell r="C1117" t="str">
            <v>Russia</v>
          </cell>
          <cell r="D1117">
            <v>3</v>
          </cell>
          <cell r="E1117">
            <v>147</v>
          </cell>
          <cell r="F1117">
            <v>478</v>
          </cell>
          <cell r="G1117">
            <v>210</v>
          </cell>
          <cell r="H1117">
            <v>875</v>
          </cell>
          <cell r="I1117">
            <v>910</v>
          </cell>
          <cell r="J1117">
            <v>609</v>
          </cell>
          <cell r="K1117">
            <v>994</v>
          </cell>
          <cell r="L1117">
            <v>737</v>
          </cell>
          <cell r="M1117">
            <v>44.38</v>
          </cell>
          <cell r="N1117">
            <v>2014</v>
          </cell>
          <cell r="O1117">
            <v>916</v>
          </cell>
          <cell r="P1117">
            <v>24.6</v>
          </cell>
        </row>
        <row r="1118">
          <cell r="B1118" t="str">
            <v>Nanjing Medical University</v>
          </cell>
          <cell r="C1118" t="str">
            <v>China</v>
          </cell>
          <cell r="D1118">
            <v>58</v>
          </cell>
          <cell r="E1118">
            <v>355</v>
          </cell>
          <cell r="F1118">
            <v>478</v>
          </cell>
          <cell r="G1118">
            <v>210</v>
          </cell>
          <cell r="H1118">
            <v>672</v>
          </cell>
          <cell r="I1118">
            <v>715</v>
          </cell>
          <cell r="J1118">
            <v>800</v>
          </cell>
          <cell r="K1118">
            <v>874</v>
          </cell>
          <cell r="L1118">
            <v>737</v>
          </cell>
          <cell r="M1118">
            <v>44.38</v>
          </cell>
          <cell r="N1118">
            <v>2014</v>
          </cell>
          <cell r="O1118">
            <v>917</v>
          </cell>
          <cell r="P1118" t="e">
            <v>#N/A</v>
          </cell>
        </row>
        <row r="1119">
          <cell r="B1119" t="str">
            <v>Nicolaus Copernicus University in ToruÅ„</v>
          </cell>
          <cell r="C1119" t="str">
            <v>Poland</v>
          </cell>
          <cell r="D1119">
            <v>7</v>
          </cell>
          <cell r="E1119">
            <v>355</v>
          </cell>
          <cell r="F1119">
            <v>478</v>
          </cell>
          <cell r="G1119">
            <v>210</v>
          </cell>
          <cell r="H1119">
            <v>879</v>
          </cell>
          <cell r="I1119">
            <v>839</v>
          </cell>
          <cell r="J1119">
            <v>493</v>
          </cell>
          <cell r="K1119">
            <v>874</v>
          </cell>
          <cell r="L1119">
            <v>552</v>
          </cell>
          <cell r="M1119">
            <v>44.38</v>
          </cell>
          <cell r="N1119">
            <v>2014</v>
          </cell>
          <cell r="O1119">
            <v>918</v>
          </cell>
          <cell r="P1119" t="e">
            <v>#N/A</v>
          </cell>
        </row>
        <row r="1120">
          <cell r="B1120" t="str">
            <v>Federal University of Santa Maria</v>
          </cell>
          <cell r="C1120" t="str">
            <v>Brazil</v>
          </cell>
          <cell r="D1120">
            <v>12</v>
          </cell>
          <cell r="E1120">
            <v>355</v>
          </cell>
          <cell r="F1120">
            <v>414</v>
          </cell>
          <cell r="G1120">
            <v>210</v>
          </cell>
          <cell r="H1120">
            <v>985</v>
          </cell>
          <cell r="I1120">
            <v>974</v>
          </cell>
          <cell r="J1120">
            <v>800</v>
          </cell>
          <cell r="K1120">
            <v>923</v>
          </cell>
          <cell r="L1120">
            <v>737</v>
          </cell>
          <cell r="M1120">
            <v>44.37</v>
          </cell>
          <cell r="N1120">
            <v>2014</v>
          </cell>
          <cell r="O1120">
            <v>919</v>
          </cell>
          <cell r="P1120" t="e">
            <v>#N/A</v>
          </cell>
        </row>
        <row r="1121">
          <cell r="B1121" t="str">
            <v>Chemnitz University of Technology</v>
          </cell>
          <cell r="C1121" t="str">
            <v>Germany</v>
          </cell>
          <cell r="D1121">
            <v>54</v>
          </cell>
          <cell r="E1121">
            <v>355</v>
          </cell>
          <cell r="F1121">
            <v>330</v>
          </cell>
          <cell r="G1121">
            <v>210</v>
          </cell>
          <cell r="H1121">
            <v>988</v>
          </cell>
          <cell r="I1121">
            <v>952</v>
          </cell>
          <cell r="J1121">
            <v>800</v>
          </cell>
          <cell r="K1121">
            <v>985</v>
          </cell>
          <cell r="L1121">
            <v>373</v>
          </cell>
          <cell r="M1121">
            <v>44.37</v>
          </cell>
          <cell r="N1121">
            <v>2014</v>
          </cell>
          <cell r="O1121">
            <v>920</v>
          </cell>
          <cell r="P1121" t="e">
            <v>#N/A</v>
          </cell>
        </row>
        <row r="1122">
          <cell r="B1122" t="str">
            <v>Southwest University</v>
          </cell>
          <cell r="C1122" t="str">
            <v>China</v>
          </cell>
          <cell r="D1122">
            <v>59</v>
          </cell>
          <cell r="E1122">
            <v>264</v>
          </cell>
          <cell r="F1122">
            <v>478</v>
          </cell>
          <cell r="G1122">
            <v>210</v>
          </cell>
          <cell r="H1122">
            <v>760</v>
          </cell>
          <cell r="I1122">
            <v>875</v>
          </cell>
          <cell r="J1122">
            <v>609</v>
          </cell>
          <cell r="K1122">
            <v>909</v>
          </cell>
          <cell r="L1122">
            <v>737</v>
          </cell>
          <cell r="M1122">
            <v>44.37</v>
          </cell>
          <cell r="N1122">
            <v>2014</v>
          </cell>
          <cell r="O1122">
            <v>921</v>
          </cell>
          <cell r="P1122" t="e">
            <v>#N/A</v>
          </cell>
        </row>
        <row r="1123">
          <cell r="B1123" t="str">
            <v>WrocÅ‚aw University of Technology</v>
          </cell>
          <cell r="C1123" t="str">
            <v>Poland</v>
          </cell>
          <cell r="D1123">
            <v>8</v>
          </cell>
          <cell r="E1123">
            <v>355</v>
          </cell>
          <cell r="F1123">
            <v>443</v>
          </cell>
          <cell r="G1123">
            <v>210</v>
          </cell>
          <cell r="H1123">
            <v>771</v>
          </cell>
          <cell r="I1123">
            <v>900</v>
          </cell>
          <cell r="J1123">
            <v>800</v>
          </cell>
          <cell r="K1123">
            <v>937</v>
          </cell>
          <cell r="L1123">
            <v>737</v>
          </cell>
          <cell r="M1123">
            <v>44.37</v>
          </cell>
          <cell r="N1123">
            <v>2014</v>
          </cell>
          <cell r="O1123">
            <v>922</v>
          </cell>
          <cell r="P1123" t="e">
            <v>#N/A</v>
          </cell>
        </row>
        <row r="1124">
          <cell r="B1124" t="str">
            <v>University of California, Merced</v>
          </cell>
          <cell r="C1124" t="str">
            <v>USA</v>
          </cell>
          <cell r="D1124">
            <v>228</v>
          </cell>
          <cell r="E1124">
            <v>355</v>
          </cell>
          <cell r="F1124">
            <v>478</v>
          </cell>
          <cell r="G1124">
            <v>210</v>
          </cell>
          <cell r="H1124">
            <v>957</v>
          </cell>
          <cell r="I1124">
            <v>576</v>
          </cell>
          <cell r="J1124">
            <v>800</v>
          </cell>
          <cell r="K1124">
            <v>923</v>
          </cell>
          <cell r="L1124">
            <v>338</v>
          </cell>
          <cell r="M1124">
            <v>44.37</v>
          </cell>
          <cell r="N1124">
            <v>2014</v>
          </cell>
          <cell r="O1124">
            <v>923</v>
          </cell>
          <cell r="P1124" t="e">
            <v>#N/A</v>
          </cell>
        </row>
        <row r="1125">
          <cell r="B1125" t="str">
            <v>United Arab Emirates University</v>
          </cell>
          <cell r="C1125" t="str">
            <v>United Arab Emirates</v>
          </cell>
          <cell r="D1125">
            <v>1</v>
          </cell>
          <cell r="E1125">
            <v>355</v>
          </cell>
          <cell r="F1125">
            <v>478</v>
          </cell>
          <cell r="G1125">
            <v>210</v>
          </cell>
          <cell r="H1125">
            <v>983</v>
          </cell>
          <cell r="I1125">
            <v>821</v>
          </cell>
          <cell r="J1125">
            <v>800</v>
          </cell>
          <cell r="K1125">
            <v>897</v>
          </cell>
          <cell r="L1125">
            <v>426</v>
          </cell>
          <cell r="M1125">
            <v>44.36</v>
          </cell>
          <cell r="N1125">
            <v>2014</v>
          </cell>
          <cell r="O1125">
            <v>924</v>
          </cell>
          <cell r="P1125">
            <v>18.8</v>
          </cell>
        </row>
        <row r="1126">
          <cell r="B1126" t="str">
            <v>Federal University of SÃ£o Carlos</v>
          </cell>
          <cell r="C1126" t="str">
            <v>Brazil</v>
          </cell>
          <cell r="D1126">
            <v>13</v>
          </cell>
          <cell r="E1126">
            <v>355</v>
          </cell>
          <cell r="F1126">
            <v>478</v>
          </cell>
          <cell r="G1126">
            <v>210</v>
          </cell>
          <cell r="H1126">
            <v>688</v>
          </cell>
          <cell r="I1126">
            <v>934</v>
          </cell>
          <cell r="J1126">
            <v>800</v>
          </cell>
          <cell r="K1126">
            <v>889</v>
          </cell>
          <cell r="L1126">
            <v>737</v>
          </cell>
          <cell r="M1126">
            <v>44.36</v>
          </cell>
          <cell r="N1126">
            <v>2014</v>
          </cell>
          <cell r="O1126">
            <v>925</v>
          </cell>
          <cell r="P1126">
            <v>29</v>
          </cell>
        </row>
        <row r="1127">
          <cell r="B1127" t="str">
            <v>University of Thessaly</v>
          </cell>
          <cell r="C1127" t="str">
            <v>Greece</v>
          </cell>
          <cell r="D1127">
            <v>7</v>
          </cell>
          <cell r="E1127">
            <v>355</v>
          </cell>
          <cell r="F1127">
            <v>478</v>
          </cell>
          <cell r="G1127">
            <v>210</v>
          </cell>
          <cell r="H1127">
            <v>867</v>
          </cell>
          <cell r="I1127">
            <v>974</v>
          </cell>
          <cell r="J1127">
            <v>609</v>
          </cell>
          <cell r="K1127">
            <v>874</v>
          </cell>
          <cell r="L1127">
            <v>737</v>
          </cell>
          <cell r="M1127">
            <v>44.36</v>
          </cell>
          <cell r="N1127">
            <v>2014</v>
          </cell>
          <cell r="O1127">
            <v>926</v>
          </cell>
          <cell r="P1127" t="e">
            <v>#N/A</v>
          </cell>
        </row>
        <row r="1128">
          <cell r="B1128" t="str">
            <v>University of Basilicata</v>
          </cell>
          <cell r="C1128" t="str">
            <v>Italy</v>
          </cell>
          <cell r="D1128">
            <v>47</v>
          </cell>
          <cell r="E1128">
            <v>355</v>
          </cell>
          <cell r="F1128">
            <v>478</v>
          </cell>
          <cell r="G1128">
            <v>210</v>
          </cell>
          <cell r="H1128">
            <v>938</v>
          </cell>
          <cell r="I1128">
            <v>886</v>
          </cell>
          <cell r="J1128">
            <v>609</v>
          </cell>
          <cell r="K1128">
            <v>874</v>
          </cell>
          <cell r="L1128">
            <v>737</v>
          </cell>
          <cell r="M1128">
            <v>44.36</v>
          </cell>
          <cell r="N1128">
            <v>2014</v>
          </cell>
          <cell r="O1128">
            <v>927</v>
          </cell>
          <cell r="P1128" t="e">
            <v>#N/A</v>
          </cell>
        </row>
        <row r="1129">
          <cell r="B1129" t="str">
            <v>Feng Chia University</v>
          </cell>
          <cell r="C1129" t="str">
            <v>Taiwan</v>
          </cell>
          <cell r="D1129">
            <v>18</v>
          </cell>
          <cell r="E1129">
            <v>355</v>
          </cell>
          <cell r="F1129">
            <v>376</v>
          </cell>
          <cell r="G1129">
            <v>210</v>
          </cell>
          <cell r="H1129">
            <v>869</v>
          </cell>
          <cell r="I1129">
            <v>987</v>
          </cell>
          <cell r="J1129">
            <v>800</v>
          </cell>
          <cell r="K1129">
            <v>956</v>
          </cell>
          <cell r="L1129">
            <v>737</v>
          </cell>
          <cell r="M1129">
            <v>44.36</v>
          </cell>
          <cell r="N1129">
            <v>2014</v>
          </cell>
          <cell r="O1129">
            <v>928</v>
          </cell>
          <cell r="P1129">
            <v>14.6</v>
          </cell>
        </row>
        <row r="1130">
          <cell r="B1130" t="str">
            <v>Federal University of ParanÃ¡</v>
          </cell>
          <cell r="C1130" t="str">
            <v>Brazil</v>
          </cell>
          <cell r="D1130">
            <v>14</v>
          </cell>
          <cell r="E1130">
            <v>355</v>
          </cell>
          <cell r="F1130">
            <v>478</v>
          </cell>
          <cell r="G1130">
            <v>210</v>
          </cell>
          <cell r="H1130">
            <v>730</v>
          </cell>
          <cell r="I1130">
            <v>787</v>
          </cell>
          <cell r="J1130">
            <v>800</v>
          </cell>
          <cell r="K1130">
            <v>889</v>
          </cell>
          <cell r="L1130">
            <v>737</v>
          </cell>
          <cell r="M1130">
            <v>44.36</v>
          </cell>
          <cell r="N1130">
            <v>2014</v>
          </cell>
          <cell r="O1130">
            <v>929</v>
          </cell>
          <cell r="P1130" t="e">
            <v>#N/A</v>
          </cell>
        </row>
        <row r="1131">
          <cell r="B1131" t="str">
            <v>University of AlmerÃ­a</v>
          </cell>
          <cell r="C1131" t="str">
            <v>Spain</v>
          </cell>
          <cell r="D1131">
            <v>38</v>
          </cell>
          <cell r="E1131">
            <v>355</v>
          </cell>
          <cell r="F1131">
            <v>478</v>
          </cell>
          <cell r="G1131">
            <v>210</v>
          </cell>
          <cell r="H1131">
            <v>959</v>
          </cell>
          <cell r="I1131">
            <v>966</v>
          </cell>
          <cell r="J1131">
            <v>800</v>
          </cell>
          <cell r="K1131">
            <v>874</v>
          </cell>
          <cell r="L1131">
            <v>737</v>
          </cell>
          <cell r="M1131">
            <v>44.36</v>
          </cell>
          <cell r="N1131">
            <v>2014</v>
          </cell>
          <cell r="O1131">
            <v>930</v>
          </cell>
          <cell r="P1131" t="e">
            <v>#N/A</v>
          </cell>
        </row>
        <row r="1132">
          <cell r="B1132" t="str">
            <v>Hallym University</v>
          </cell>
          <cell r="C1132" t="str">
            <v>South Korea</v>
          </cell>
          <cell r="D1132">
            <v>33</v>
          </cell>
          <cell r="E1132">
            <v>355</v>
          </cell>
          <cell r="F1132">
            <v>478</v>
          </cell>
          <cell r="G1132">
            <v>210</v>
          </cell>
          <cell r="H1132">
            <v>942</v>
          </cell>
          <cell r="I1132">
            <v>950</v>
          </cell>
          <cell r="J1132">
            <v>800</v>
          </cell>
          <cell r="K1132">
            <v>889</v>
          </cell>
          <cell r="L1132">
            <v>552</v>
          </cell>
          <cell r="M1132">
            <v>44.36</v>
          </cell>
          <cell r="N1132">
            <v>2014</v>
          </cell>
          <cell r="O1132">
            <v>931</v>
          </cell>
          <cell r="P1132" t="e">
            <v>#N/A</v>
          </cell>
        </row>
        <row r="1133">
          <cell r="B1133" t="str">
            <v>Fourth Military Medical University</v>
          </cell>
          <cell r="C1133" t="str">
            <v>China</v>
          </cell>
          <cell r="D1133">
            <v>60</v>
          </cell>
          <cell r="E1133">
            <v>355</v>
          </cell>
          <cell r="F1133">
            <v>478</v>
          </cell>
          <cell r="G1133">
            <v>210</v>
          </cell>
          <cell r="H1133">
            <v>680</v>
          </cell>
          <cell r="I1133">
            <v>747</v>
          </cell>
          <cell r="J1133">
            <v>609</v>
          </cell>
          <cell r="K1133">
            <v>909</v>
          </cell>
          <cell r="L1133">
            <v>552</v>
          </cell>
          <cell r="M1133">
            <v>44.36</v>
          </cell>
          <cell r="N1133">
            <v>2014</v>
          </cell>
          <cell r="O1133">
            <v>932</v>
          </cell>
          <cell r="P1133" t="e">
            <v>#N/A</v>
          </cell>
        </row>
        <row r="1134">
          <cell r="B1134" t="str">
            <v>University of the Republic (Uruguay)</v>
          </cell>
          <cell r="C1134" t="str">
            <v>Uruguay</v>
          </cell>
          <cell r="D1134">
            <v>1</v>
          </cell>
          <cell r="E1134">
            <v>355</v>
          </cell>
          <cell r="F1134">
            <v>478</v>
          </cell>
          <cell r="G1134">
            <v>210</v>
          </cell>
          <cell r="H1134">
            <v>940</v>
          </cell>
          <cell r="I1134">
            <v>744</v>
          </cell>
          <cell r="J1134">
            <v>800</v>
          </cell>
          <cell r="K1134">
            <v>889</v>
          </cell>
          <cell r="L1134">
            <v>737</v>
          </cell>
          <cell r="M1134">
            <v>44.35</v>
          </cell>
          <cell r="N1134">
            <v>2014</v>
          </cell>
          <cell r="O1134">
            <v>933</v>
          </cell>
          <cell r="P1134" t="e">
            <v>#N/A</v>
          </cell>
        </row>
        <row r="1135">
          <cell r="B1135" t="str">
            <v>Dokuz EylÃ¼l University</v>
          </cell>
          <cell r="C1135" t="str">
            <v>Turkey</v>
          </cell>
          <cell r="D1135">
            <v>10</v>
          </cell>
          <cell r="E1135">
            <v>355</v>
          </cell>
          <cell r="F1135">
            <v>478</v>
          </cell>
          <cell r="G1135">
            <v>210</v>
          </cell>
          <cell r="H1135">
            <v>948</v>
          </cell>
          <cell r="I1135">
            <v>914</v>
          </cell>
          <cell r="J1135">
            <v>800</v>
          </cell>
          <cell r="K1135">
            <v>889</v>
          </cell>
          <cell r="L1135">
            <v>737</v>
          </cell>
          <cell r="M1135">
            <v>44.35</v>
          </cell>
          <cell r="N1135">
            <v>2014</v>
          </cell>
          <cell r="O1135">
            <v>934</v>
          </cell>
          <cell r="P1135" t="e">
            <v>#N/A</v>
          </cell>
        </row>
        <row r="1136">
          <cell r="B1136" t="str">
            <v>Nanjing University of Aeronautics and Astronautics</v>
          </cell>
          <cell r="C1136" t="str">
            <v>China</v>
          </cell>
          <cell r="D1136">
            <v>61</v>
          </cell>
          <cell r="E1136">
            <v>355</v>
          </cell>
          <cell r="F1136">
            <v>478</v>
          </cell>
          <cell r="G1136">
            <v>210</v>
          </cell>
          <cell r="H1136">
            <v>775</v>
          </cell>
          <cell r="I1136">
            <v>974</v>
          </cell>
          <cell r="J1136">
            <v>800</v>
          </cell>
          <cell r="K1136">
            <v>897</v>
          </cell>
          <cell r="L1136">
            <v>737</v>
          </cell>
          <cell r="M1136">
            <v>44.35</v>
          </cell>
          <cell r="N1136">
            <v>2014</v>
          </cell>
          <cell r="O1136">
            <v>935</v>
          </cell>
          <cell r="P1136" t="e">
            <v>#N/A</v>
          </cell>
        </row>
        <row r="1137">
          <cell r="B1137" t="str">
            <v>Public University of Navarre</v>
          </cell>
          <cell r="C1137" t="str">
            <v>Spain</v>
          </cell>
          <cell r="D1137">
            <v>39</v>
          </cell>
          <cell r="E1137">
            <v>355</v>
          </cell>
          <cell r="F1137">
            <v>478</v>
          </cell>
          <cell r="G1137">
            <v>210</v>
          </cell>
          <cell r="H1137">
            <v>959</v>
          </cell>
          <cell r="I1137">
            <v>803</v>
          </cell>
          <cell r="J1137">
            <v>800</v>
          </cell>
          <cell r="K1137">
            <v>897</v>
          </cell>
          <cell r="L1137">
            <v>552</v>
          </cell>
          <cell r="M1137">
            <v>44.35</v>
          </cell>
          <cell r="N1137">
            <v>2014</v>
          </cell>
          <cell r="O1137">
            <v>936</v>
          </cell>
          <cell r="P1137" t="e">
            <v>#N/A</v>
          </cell>
        </row>
        <row r="1138">
          <cell r="B1138" t="str">
            <v>University of A CoruÃ±a</v>
          </cell>
          <cell r="C1138" t="str">
            <v>Spain</v>
          </cell>
          <cell r="D1138">
            <v>40</v>
          </cell>
          <cell r="E1138">
            <v>355</v>
          </cell>
          <cell r="F1138">
            <v>478</v>
          </cell>
          <cell r="G1138">
            <v>210</v>
          </cell>
          <cell r="H1138">
            <v>947</v>
          </cell>
          <cell r="I1138">
            <v>899</v>
          </cell>
          <cell r="J1138">
            <v>800</v>
          </cell>
          <cell r="K1138">
            <v>917</v>
          </cell>
          <cell r="L1138">
            <v>426</v>
          </cell>
          <cell r="M1138">
            <v>44.35</v>
          </cell>
          <cell r="N1138">
            <v>2014</v>
          </cell>
          <cell r="O1138">
            <v>937</v>
          </cell>
          <cell r="P1138">
            <v>18.3</v>
          </cell>
        </row>
        <row r="1139">
          <cell r="B1139" t="str">
            <v>Isfahan University of Technology</v>
          </cell>
          <cell r="C1139" t="str">
            <v>Iran</v>
          </cell>
          <cell r="D1139">
            <v>4</v>
          </cell>
          <cell r="E1139">
            <v>355</v>
          </cell>
          <cell r="F1139">
            <v>478</v>
          </cell>
          <cell r="G1139">
            <v>210</v>
          </cell>
          <cell r="H1139">
            <v>722</v>
          </cell>
          <cell r="I1139">
            <v>904</v>
          </cell>
          <cell r="J1139">
            <v>609</v>
          </cell>
          <cell r="K1139">
            <v>909</v>
          </cell>
          <cell r="L1139">
            <v>737</v>
          </cell>
          <cell r="M1139">
            <v>44.34</v>
          </cell>
          <cell r="N1139">
            <v>2014</v>
          </cell>
          <cell r="O1139">
            <v>938</v>
          </cell>
          <cell r="P1139">
            <v>20.7</v>
          </cell>
        </row>
        <row r="1140">
          <cell r="B1140" t="str">
            <v>University of New England (Australia)</v>
          </cell>
          <cell r="C1140" t="str">
            <v>Australia</v>
          </cell>
          <cell r="D1140">
            <v>27</v>
          </cell>
          <cell r="E1140">
            <v>355</v>
          </cell>
          <cell r="F1140">
            <v>478</v>
          </cell>
          <cell r="G1140">
            <v>210</v>
          </cell>
          <cell r="H1140">
            <v>916</v>
          </cell>
          <cell r="I1140">
            <v>552</v>
          </cell>
          <cell r="J1140">
            <v>493</v>
          </cell>
          <cell r="K1140">
            <v>909</v>
          </cell>
          <cell r="L1140">
            <v>637</v>
          </cell>
          <cell r="M1140">
            <v>44.34</v>
          </cell>
          <cell r="N1140">
            <v>2014</v>
          </cell>
          <cell r="O1140">
            <v>939</v>
          </cell>
          <cell r="P1140" t="e">
            <v>#N/A</v>
          </cell>
        </row>
        <row r="1141">
          <cell r="B1141" t="str">
            <v>Federal University of Pernambuco</v>
          </cell>
          <cell r="C1141" t="str">
            <v>Brazil</v>
          </cell>
          <cell r="D1141">
            <v>15</v>
          </cell>
          <cell r="E1141">
            <v>355</v>
          </cell>
          <cell r="F1141">
            <v>478</v>
          </cell>
          <cell r="G1141">
            <v>210</v>
          </cell>
          <cell r="H1141">
            <v>765</v>
          </cell>
          <cell r="I1141">
            <v>883</v>
          </cell>
          <cell r="J1141">
            <v>800</v>
          </cell>
          <cell r="K1141">
            <v>948</v>
          </cell>
          <cell r="L1141">
            <v>373</v>
          </cell>
          <cell r="M1141">
            <v>44.34</v>
          </cell>
          <cell r="N1141">
            <v>2014</v>
          </cell>
          <cell r="O1141">
            <v>940</v>
          </cell>
          <cell r="P1141" t="e">
            <v>#N/A</v>
          </cell>
        </row>
        <row r="1142">
          <cell r="B1142" t="str">
            <v>Jiangsu University</v>
          </cell>
          <cell r="C1142" t="str">
            <v>China</v>
          </cell>
          <cell r="D1142">
            <v>62</v>
          </cell>
          <cell r="E1142">
            <v>355</v>
          </cell>
          <cell r="F1142">
            <v>478</v>
          </cell>
          <cell r="G1142">
            <v>210</v>
          </cell>
          <cell r="H1142">
            <v>836</v>
          </cell>
          <cell r="I1142">
            <v>959</v>
          </cell>
          <cell r="J1142">
            <v>800</v>
          </cell>
          <cell r="K1142">
            <v>985</v>
          </cell>
          <cell r="L1142">
            <v>280</v>
          </cell>
          <cell r="M1142">
            <v>44.34</v>
          </cell>
          <cell r="N1142">
            <v>2014</v>
          </cell>
          <cell r="O1142">
            <v>941</v>
          </cell>
          <cell r="P1142" t="e">
            <v>#N/A</v>
          </cell>
        </row>
        <row r="1143">
          <cell r="B1143" t="str">
            <v>Third Military Medical University</v>
          </cell>
          <cell r="C1143" t="str">
            <v>China</v>
          </cell>
          <cell r="D1143">
            <v>63</v>
          </cell>
          <cell r="E1143">
            <v>355</v>
          </cell>
          <cell r="F1143">
            <v>478</v>
          </cell>
          <cell r="G1143">
            <v>210</v>
          </cell>
          <cell r="H1143">
            <v>800</v>
          </cell>
          <cell r="I1143">
            <v>844</v>
          </cell>
          <cell r="J1143">
            <v>609</v>
          </cell>
          <cell r="K1143">
            <v>923</v>
          </cell>
          <cell r="L1143">
            <v>481</v>
          </cell>
          <cell r="M1143">
            <v>44.34</v>
          </cell>
          <cell r="N1143">
            <v>2014</v>
          </cell>
          <cell r="O1143">
            <v>942</v>
          </cell>
          <cell r="P1143" t="e">
            <v>#N/A</v>
          </cell>
        </row>
        <row r="1144">
          <cell r="B1144" t="str">
            <v>South China Normal University</v>
          </cell>
          <cell r="C1144" t="str">
            <v>China</v>
          </cell>
          <cell r="D1144">
            <v>64</v>
          </cell>
          <cell r="E1144">
            <v>355</v>
          </cell>
          <cell r="F1144">
            <v>478</v>
          </cell>
          <cell r="G1144">
            <v>210</v>
          </cell>
          <cell r="H1144">
            <v>737</v>
          </cell>
          <cell r="I1144">
            <v>932</v>
          </cell>
          <cell r="J1144">
            <v>800</v>
          </cell>
          <cell r="K1144">
            <v>917</v>
          </cell>
          <cell r="L1144">
            <v>637</v>
          </cell>
          <cell r="M1144">
            <v>44.33</v>
          </cell>
          <cell r="N1144">
            <v>2014</v>
          </cell>
          <cell r="O1144">
            <v>943</v>
          </cell>
          <cell r="P1144" t="e">
            <v>#N/A</v>
          </cell>
        </row>
        <row r="1145">
          <cell r="B1145" t="str">
            <v>University of Limerick</v>
          </cell>
          <cell r="C1145" t="str">
            <v>Ireland</v>
          </cell>
          <cell r="D1145">
            <v>8</v>
          </cell>
          <cell r="E1145">
            <v>355</v>
          </cell>
          <cell r="F1145">
            <v>478</v>
          </cell>
          <cell r="G1145">
            <v>210</v>
          </cell>
          <cell r="H1145">
            <v>897</v>
          </cell>
          <cell r="I1145">
            <v>868</v>
          </cell>
          <cell r="J1145">
            <v>800</v>
          </cell>
          <cell r="K1145">
            <v>948</v>
          </cell>
          <cell r="L1145">
            <v>373</v>
          </cell>
          <cell r="M1145">
            <v>44.33</v>
          </cell>
          <cell r="N1145">
            <v>2014</v>
          </cell>
          <cell r="O1145">
            <v>944</v>
          </cell>
          <cell r="P1145">
            <v>19.8</v>
          </cell>
        </row>
        <row r="1146">
          <cell r="B1146" t="str">
            <v>Xiangtan University</v>
          </cell>
          <cell r="C1146" t="str">
            <v>China</v>
          </cell>
          <cell r="D1146">
            <v>65</v>
          </cell>
          <cell r="E1146">
            <v>355</v>
          </cell>
          <cell r="F1146">
            <v>393</v>
          </cell>
          <cell r="G1146">
            <v>210</v>
          </cell>
          <cell r="H1146">
            <v>893</v>
          </cell>
          <cell r="I1146">
            <v>918</v>
          </cell>
          <cell r="J1146">
            <v>800</v>
          </cell>
          <cell r="K1146">
            <v>973</v>
          </cell>
          <cell r="L1146">
            <v>737</v>
          </cell>
          <cell r="M1146">
            <v>44.33</v>
          </cell>
          <cell r="N1146">
            <v>2014</v>
          </cell>
          <cell r="O1146">
            <v>945</v>
          </cell>
          <cell r="P1146" t="e">
            <v>#N/A</v>
          </cell>
        </row>
        <row r="1147">
          <cell r="B1147" t="str">
            <v>Yangzhou University</v>
          </cell>
          <cell r="C1147" t="str">
            <v>China</v>
          </cell>
          <cell r="D1147">
            <v>66</v>
          </cell>
          <cell r="E1147">
            <v>355</v>
          </cell>
          <cell r="F1147">
            <v>478</v>
          </cell>
          <cell r="G1147">
            <v>210</v>
          </cell>
          <cell r="H1147">
            <v>928</v>
          </cell>
          <cell r="I1147">
            <v>907</v>
          </cell>
          <cell r="J1147">
            <v>800</v>
          </cell>
          <cell r="K1147">
            <v>909</v>
          </cell>
          <cell r="L1147">
            <v>737</v>
          </cell>
          <cell r="M1147">
            <v>44.33</v>
          </cell>
          <cell r="N1147">
            <v>2014</v>
          </cell>
          <cell r="O1147">
            <v>946</v>
          </cell>
          <cell r="P1147" t="e">
            <v>#N/A</v>
          </cell>
        </row>
        <row r="1148">
          <cell r="B1148" t="str">
            <v>Northwestern Polytechnical University</v>
          </cell>
          <cell r="C1148" t="str">
            <v>China</v>
          </cell>
          <cell r="D1148">
            <v>67</v>
          </cell>
          <cell r="E1148">
            <v>355</v>
          </cell>
          <cell r="F1148">
            <v>417</v>
          </cell>
          <cell r="G1148">
            <v>210</v>
          </cell>
          <cell r="H1148">
            <v>628</v>
          </cell>
          <cell r="I1148">
            <v>987</v>
          </cell>
          <cell r="J1148">
            <v>800</v>
          </cell>
          <cell r="K1148">
            <v>985</v>
          </cell>
          <cell r="L1148">
            <v>737</v>
          </cell>
          <cell r="M1148">
            <v>44.33</v>
          </cell>
          <cell r="N1148">
            <v>2014</v>
          </cell>
          <cell r="O1148">
            <v>947</v>
          </cell>
          <cell r="P1148">
            <v>23.4</v>
          </cell>
        </row>
        <row r="1149">
          <cell r="B1149" t="str">
            <v>University of Reims Champagne-Ardenne</v>
          </cell>
          <cell r="C1149" t="str">
            <v>France</v>
          </cell>
          <cell r="D1149">
            <v>47</v>
          </cell>
          <cell r="E1149">
            <v>355</v>
          </cell>
          <cell r="F1149">
            <v>478</v>
          </cell>
          <cell r="G1149">
            <v>210</v>
          </cell>
          <cell r="H1149">
            <v>977</v>
          </cell>
          <cell r="I1149">
            <v>868</v>
          </cell>
          <cell r="J1149">
            <v>609</v>
          </cell>
          <cell r="K1149">
            <v>923</v>
          </cell>
          <cell r="L1149">
            <v>481</v>
          </cell>
          <cell r="M1149">
            <v>44.33</v>
          </cell>
          <cell r="N1149">
            <v>2014</v>
          </cell>
          <cell r="O1149">
            <v>948</v>
          </cell>
          <cell r="P1149" t="e">
            <v>#N/A</v>
          </cell>
        </row>
        <row r="1150">
          <cell r="B1150" t="str">
            <v>Ibaraki University</v>
          </cell>
          <cell r="C1150" t="str">
            <v>Japan</v>
          </cell>
          <cell r="D1150">
            <v>74</v>
          </cell>
          <cell r="E1150">
            <v>355</v>
          </cell>
          <cell r="F1150">
            <v>478</v>
          </cell>
          <cell r="G1150">
            <v>210</v>
          </cell>
          <cell r="H1150">
            <v>995</v>
          </cell>
          <cell r="I1150">
            <v>439</v>
          </cell>
          <cell r="J1150">
            <v>609</v>
          </cell>
          <cell r="K1150">
            <v>917</v>
          </cell>
          <cell r="L1150">
            <v>737</v>
          </cell>
          <cell r="M1150">
            <v>44.33</v>
          </cell>
          <cell r="N1150">
            <v>2014</v>
          </cell>
          <cell r="O1150">
            <v>949</v>
          </cell>
          <cell r="P1150" t="e">
            <v>#N/A</v>
          </cell>
        </row>
        <row r="1151">
          <cell r="B1151" t="str">
            <v>Chung Shan Medical University</v>
          </cell>
          <cell r="C1151" t="str">
            <v>Taiwan</v>
          </cell>
          <cell r="D1151">
            <v>19</v>
          </cell>
          <cell r="E1151">
            <v>355</v>
          </cell>
          <cell r="F1151">
            <v>478</v>
          </cell>
          <cell r="G1151">
            <v>210</v>
          </cell>
          <cell r="H1151">
            <v>750</v>
          </cell>
          <cell r="I1151">
            <v>987</v>
          </cell>
          <cell r="J1151">
            <v>609</v>
          </cell>
          <cell r="K1151">
            <v>923</v>
          </cell>
          <cell r="L1151">
            <v>737</v>
          </cell>
          <cell r="M1151">
            <v>44.32</v>
          </cell>
          <cell r="N1151">
            <v>2014</v>
          </cell>
          <cell r="O1151">
            <v>950</v>
          </cell>
          <cell r="P1151" t="e">
            <v>#N/A</v>
          </cell>
        </row>
        <row r="1152">
          <cell r="B1152" t="str">
            <v>Alexandria University</v>
          </cell>
          <cell r="C1152" t="str">
            <v>Egypt</v>
          </cell>
          <cell r="D1152">
            <v>2</v>
          </cell>
          <cell r="E1152">
            <v>254</v>
          </cell>
          <cell r="F1152">
            <v>478</v>
          </cell>
          <cell r="G1152">
            <v>210</v>
          </cell>
          <cell r="H1152">
            <v>963</v>
          </cell>
          <cell r="I1152">
            <v>950</v>
          </cell>
          <cell r="J1152">
            <v>800</v>
          </cell>
          <cell r="K1152">
            <v>956</v>
          </cell>
          <cell r="L1152">
            <v>737</v>
          </cell>
          <cell r="M1152">
            <v>44.32</v>
          </cell>
          <cell r="N1152">
            <v>2014</v>
          </cell>
          <cell r="O1152">
            <v>951</v>
          </cell>
          <cell r="P1152">
            <v>29.5</v>
          </cell>
        </row>
        <row r="1153">
          <cell r="B1153" t="str">
            <v>Yuan Ze University</v>
          </cell>
          <cell r="C1153" t="str">
            <v>Taiwan</v>
          </cell>
          <cell r="D1153">
            <v>20</v>
          </cell>
          <cell r="E1153">
            <v>355</v>
          </cell>
          <cell r="F1153">
            <v>478</v>
          </cell>
          <cell r="G1153">
            <v>210</v>
          </cell>
          <cell r="H1153">
            <v>894</v>
          </cell>
          <cell r="I1153">
            <v>974</v>
          </cell>
          <cell r="J1153">
            <v>800</v>
          </cell>
          <cell r="K1153">
            <v>917</v>
          </cell>
          <cell r="L1153">
            <v>737</v>
          </cell>
          <cell r="M1153">
            <v>44.32</v>
          </cell>
          <cell r="N1153">
            <v>2014</v>
          </cell>
          <cell r="O1153">
            <v>952</v>
          </cell>
          <cell r="P1153">
            <v>10.8</v>
          </cell>
        </row>
        <row r="1154">
          <cell r="B1154" t="str">
            <v>University of Cyprus</v>
          </cell>
          <cell r="C1154" t="str">
            <v>Cyprus</v>
          </cell>
          <cell r="D1154">
            <v>1</v>
          </cell>
          <cell r="E1154">
            <v>355</v>
          </cell>
          <cell r="F1154">
            <v>478</v>
          </cell>
          <cell r="G1154">
            <v>210</v>
          </cell>
          <cell r="H1154">
            <v>802</v>
          </cell>
          <cell r="I1154">
            <v>887</v>
          </cell>
          <cell r="J1154">
            <v>609</v>
          </cell>
          <cell r="K1154">
            <v>923</v>
          </cell>
          <cell r="L1154">
            <v>737</v>
          </cell>
          <cell r="M1154">
            <v>44.32</v>
          </cell>
          <cell r="N1154">
            <v>2014</v>
          </cell>
          <cell r="O1154">
            <v>953</v>
          </cell>
          <cell r="P1154">
            <v>18</v>
          </cell>
        </row>
        <row r="1155">
          <cell r="B1155" t="str">
            <v>University of Silesia</v>
          </cell>
          <cell r="C1155" t="str">
            <v>Poland</v>
          </cell>
          <cell r="D1155">
            <v>9</v>
          </cell>
          <cell r="E1155">
            <v>355</v>
          </cell>
          <cell r="F1155">
            <v>478</v>
          </cell>
          <cell r="G1155">
            <v>210</v>
          </cell>
          <cell r="H1155">
            <v>815</v>
          </cell>
          <cell r="I1155">
            <v>843</v>
          </cell>
          <cell r="J1155">
            <v>609</v>
          </cell>
          <cell r="K1155">
            <v>923</v>
          </cell>
          <cell r="L1155">
            <v>737</v>
          </cell>
          <cell r="M1155">
            <v>44.32</v>
          </cell>
          <cell r="N1155">
            <v>2014</v>
          </cell>
          <cell r="O1155">
            <v>954</v>
          </cell>
          <cell r="P1155" t="e">
            <v>#N/A</v>
          </cell>
        </row>
        <row r="1156">
          <cell r="B1156" t="str">
            <v>Southern Medical University</v>
          </cell>
          <cell r="C1156" t="str">
            <v>China</v>
          </cell>
          <cell r="D1156">
            <v>68</v>
          </cell>
          <cell r="E1156">
            <v>355</v>
          </cell>
          <cell r="F1156">
            <v>478</v>
          </cell>
          <cell r="G1156">
            <v>210</v>
          </cell>
          <cell r="H1156">
            <v>873</v>
          </cell>
          <cell r="I1156">
            <v>737</v>
          </cell>
          <cell r="J1156">
            <v>800</v>
          </cell>
          <cell r="K1156">
            <v>923</v>
          </cell>
          <cell r="L1156">
            <v>637</v>
          </cell>
          <cell r="M1156">
            <v>44.32</v>
          </cell>
          <cell r="N1156">
            <v>2014</v>
          </cell>
          <cell r="O1156">
            <v>955</v>
          </cell>
          <cell r="P1156" t="e">
            <v>#N/A</v>
          </cell>
        </row>
        <row r="1157">
          <cell r="B1157" t="str">
            <v>Shiraz University</v>
          </cell>
          <cell r="C1157" t="str">
            <v>Iran</v>
          </cell>
          <cell r="D1157">
            <v>5</v>
          </cell>
          <cell r="E1157">
            <v>355</v>
          </cell>
          <cell r="F1157">
            <v>478</v>
          </cell>
          <cell r="G1157">
            <v>210</v>
          </cell>
          <cell r="H1157">
            <v>860</v>
          </cell>
          <cell r="I1157">
            <v>952</v>
          </cell>
          <cell r="J1157">
            <v>609</v>
          </cell>
          <cell r="K1157">
            <v>923</v>
          </cell>
          <cell r="L1157">
            <v>737</v>
          </cell>
          <cell r="M1157">
            <v>44.32</v>
          </cell>
          <cell r="N1157">
            <v>2014</v>
          </cell>
          <cell r="O1157">
            <v>956</v>
          </cell>
          <cell r="P1157" t="e">
            <v>#N/A</v>
          </cell>
        </row>
        <row r="1158">
          <cell r="B1158" t="str">
            <v>University of Bucharest</v>
          </cell>
          <cell r="C1158" t="str">
            <v>Romania</v>
          </cell>
          <cell r="D1158">
            <v>1</v>
          </cell>
          <cell r="E1158">
            <v>321</v>
          </cell>
          <cell r="F1158">
            <v>478</v>
          </cell>
          <cell r="G1158">
            <v>210</v>
          </cell>
          <cell r="H1158">
            <v>837</v>
          </cell>
          <cell r="I1158">
            <v>776</v>
          </cell>
          <cell r="J1158">
            <v>609</v>
          </cell>
          <cell r="K1158">
            <v>937</v>
          </cell>
          <cell r="L1158">
            <v>737</v>
          </cell>
          <cell r="M1158">
            <v>44.32</v>
          </cell>
          <cell r="N1158">
            <v>2014</v>
          </cell>
          <cell r="O1158">
            <v>957</v>
          </cell>
          <cell r="P1158">
            <v>34.299999999999997</v>
          </cell>
        </row>
        <row r="1159">
          <cell r="B1159" t="str">
            <v>Mansoura University</v>
          </cell>
          <cell r="C1159" t="str">
            <v>Egypt</v>
          </cell>
          <cell r="D1159">
            <v>3</v>
          </cell>
          <cell r="E1159">
            <v>355</v>
          </cell>
          <cell r="F1159">
            <v>478</v>
          </cell>
          <cell r="G1159">
            <v>210</v>
          </cell>
          <cell r="H1159">
            <v>978</v>
          </cell>
          <cell r="I1159">
            <v>974</v>
          </cell>
          <cell r="J1159">
            <v>609</v>
          </cell>
          <cell r="K1159">
            <v>923</v>
          </cell>
          <cell r="L1159">
            <v>737</v>
          </cell>
          <cell r="M1159">
            <v>44.31</v>
          </cell>
          <cell r="N1159">
            <v>2014</v>
          </cell>
          <cell r="O1159">
            <v>958</v>
          </cell>
          <cell r="P1159" t="e">
            <v>#N/A</v>
          </cell>
        </row>
        <row r="1160">
          <cell r="B1160" t="str">
            <v>Amirkabir University of Technology</v>
          </cell>
          <cell r="C1160" t="str">
            <v>Iran</v>
          </cell>
          <cell r="D1160">
            <v>6</v>
          </cell>
          <cell r="E1160">
            <v>355</v>
          </cell>
          <cell r="F1160">
            <v>478</v>
          </cell>
          <cell r="G1160">
            <v>210</v>
          </cell>
          <cell r="H1160">
            <v>769</v>
          </cell>
          <cell r="I1160">
            <v>952</v>
          </cell>
          <cell r="J1160">
            <v>609</v>
          </cell>
          <cell r="K1160">
            <v>937</v>
          </cell>
          <cell r="L1160">
            <v>737</v>
          </cell>
          <cell r="M1160">
            <v>44.31</v>
          </cell>
          <cell r="N1160">
            <v>2014</v>
          </cell>
          <cell r="O1160">
            <v>959</v>
          </cell>
          <cell r="P1160">
            <v>24.5</v>
          </cell>
        </row>
        <row r="1161">
          <cell r="B1161" t="str">
            <v>Beijing Jiaotong University</v>
          </cell>
          <cell r="C1161" t="str">
            <v>China</v>
          </cell>
          <cell r="D1161">
            <v>69</v>
          </cell>
          <cell r="E1161">
            <v>355</v>
          </cell>
          <cell r="F1161">
            <v>478</v>
          </cell>
          <cell r="G1161">
            <v>210</v>
          </cell>
          <cell r="H1161">
            <v>971</v>
          </cell>
          <cell r="I1161">
            <v>987</v>
          </cell>
          <cell r="J1161">
            <v>800</v>
          </cell>
          <cell r="K1161">
            <v>997</v>
          </cell>
          <cell r="L1161">
            <v>280</v>
          </cell>
          <cell r="M1161">
            <v>44.31</v>
          </cell>
          <cell r="N1161">
            <v>2014</v>
          </cell>
          <cell r="O1161">
            <v>960</v>
          </cell>
          <cell r="P1161" t="e">
            <v>#N/A</v>
          </cell>
        </row>
        <row r="1162">
          <cell r="B1162" t="str">
            <v>University of Valenciennes and Hainaut-Cambresis</v>
          </cell>
          <cell r="C1162" t="str">
            <v>France</v>
          </cell>
          <cell r="D1162">
            <v>48</v>
          </cell>
          <cell r="E1162">
            <v>355</v>
          </cell>
          <cell r="F1162">
            <v>478</v>
          </cell>
          <cell r="G1162">
            <v>210</v>
          </cell>
          <cell r="H1162">
            <v>840</v>
          </cell>
          <cell r="I1162">
            <v>938</v>
          </cell>
          <cell r="J1162">
            <v>493</v>
          </cell>
          <cell r="K1162">
            <v>937</v>
          </cell>
          <cell r="L1162">
            <v>737</v>
          </cell>
          <cell r="M1162">
            <v>44.31</v>
          </cell>
          <cell r="N1162">
            <v>2014</v>
          </cell>
          <cell r="O1162">
            <v>961</v>
          </cell>
          <cell r="P1162" t="e">
            <v>#N/A</v>
          </cell>
        </row>
        <row r="1163">
          <cell r="B1163" t="str">
            <v>University of the Algarve</v>
          </cell>
          <cell r="C1163" t="str">
            <v>Portugal</v>
          </cell>
          <cell r="D1163">
            <v>7</v>
          </cell>
          <cell r="E1163">
            <v>355</v>
          </cell>
          <cell r="F1163">
            <v>478</v>
          </cell>
          <cell r="G1163">
            <v>210</v>
          </cell>
          <cell r="H1163">
            <v>951</v>
          </cell>
          <cell r="I1163">
            <v>826</v>
          </cell>
          <cell r="J1163">
            <v>800</v>
          </cell>
          <cell r="K1163">
            <v>923</v>
          </cell>
          <cell r="L1163">
            <v>737</v>
          </cell>
          <cell r="M1163">
            <v>44.31</v>
          </cell>
          <cell r="N1163">
            <v>2014</v>
          </cell>
          <cell r="O1163">
            <v>962</v>
          </cell>
          <cell r="P1163" t="e">
            <v>#N/A</v>
          </cell>
        </row>
        <row r="1164">
          <cell r="B1164" t="str">
            <v>University of Chemistry and Technology, Prague</v>
          </cell>
          <cell r="C1164" t="str">
            <v>Czech Republic</v>
          </cell>
          <cell r="D1164">
            <v>5</v>
          </cell>
          <cell r="E1164">
            <v>355</v>
          </cell>
          <cell r="F1164">
            <v>478</v>
          </cell>
          <cell r="G1164">
            <v>210</v>
          </cell>
          <cell r="H1164">
            <v>994</v>
          </cell>
          <cell r="I1164">
            <v>871</v>
          </cell>
          <cell r="J1164">
            <v>800</v>
          </cell>
          <cell r="K1164">
            <v>923</v>
          </cell>
          <cell r="L1164">
            <v>737</v>
          </cell>
          <cell r="M1164">
            <v>44.31</v>
          </cell>
          <cell r="N1164">
            <v>2014</v>
          </cell>
          <cell r="O1164">
            <v>963</v>
          </cell>
          <cell r="P1164">
            <v>21.6</v>
          </cell>
        </row>
        <row r="1165">
          <cell r="B1165" t="str">
            <v>Federal University of CearÃ¡</v>
          </cell>
          <cell r="C1165" t="str">
            <v>Brazil</v>
          </cell>
          <cell r="D1165">
            <v>16</v>
          </cell>
          <cell r="E1165">
            <v>355</v>
          </cell>
          <cell r="F1165">
            <v>478</v>
          </cell>
          <cell r="G1165">
            <v>210</v>
          </cell>
          <cell r="H1165">
            <v>826</v>
          </cell>
          <cell r="I1165">
            <v>806</v>
          </cell>
          <cell r="J1165">
            <v>800</v>
          </cell>
          <cell r="K1165">
            <v>937</v>
          </cell>
          <cell r="L1165">
            <v>737</v>
          </cell>
          <cell r="M1165">
            <v>44.31</v>
          </cell>
          <cell r="N1165">
            <v>2014</v>
          </cell>
          <cell r="O1165">
            <v>964</v>
          </cell>
          <cell r="P1165" t="e">
            <v>#N/A</v>
          </cell>
        </row>
        <row r="1166">
          <cell r="B1166" t="str">
            <v>Ain Shams University</v>
          </cell>
          <cell r="C1166" t="str">
            <v>Egypt</v>
          </cell>
          <cell r="D1166">
            <v>4</v>
          </cell>
          <cell r="E1166">
            <v>355</v>
          </cell>
          <cell r="F1166">
            <v>478</v>
          </cell>
          <cell r="G1166">
            <v>210</v>
          </cell>
          <cell r="H1166">
            <v>891</v>
          </cell>
          <cell r="I1166">
            <v>848</v>
          </cell>
          <cell r="J1166">
            <v>609</v>
          </cell>
          <cell r="K1166">
            <v>937</v>
          </cell>
          <cell r="L1166">
            <v>737</v>
          </cell>
          <cell r="M1166">
            <v>44.31</v>
          </cell>
          <cell r="N1166">
            <v>2014</v>
          </cell>
          <cell r="O1166">
            <v>965</v>
          </cell>
          <cell r="P1166" t="e">
            <v>#N/A</v>
          </cell>
        </row>
        <row r="1167">
          <cell r="B1167" t="str">
            <v>University of Oldenburg</v>
          </cell>
          <cell r="C1167" t="str">
            <v>Germany</v>
          </cell>
          <cell r="D1167">
            <v>55</v>
          </cell>
          <cell r="E1167">
            <v>355</v>
          </cell>
          <cell r="F1167">
            <v>478</v>
          </cell>
          <cell r="G1167">
            <v>210</v>
          </cell>
          <cell r="H1167">
            <v>849</v>
          </cell>
          <cell r="I1167">
            <v>831</v>
          </cell>
          <cell r="J1167">
            <v>800</v>
          </cell>
          <cell r="K1167">
            <v>937</v>
          </cell>
          <cell r="L1167">
            <v>737</v>
          </cell>
          <cell r="M1167">
            <v>44.31</v>
          </cell>
          <cell r="N1167">
            <v>2014</v>
          </cell>
          <cell r="O1167">
            <v>966</v>
          </cell>
          <cell r="P1167" t="e">
            <v>#N/A</v>
          </cell>
        </row>
        <row r="1168">
          <cell r="B1168" t="str">
            <v>Federal University of Bahia</v>
          </cell>
          <cell r="C1168" t="str">
            <v>Brazil</v>
          </cell>
          <cell r="D1168">
            <v>17</v>
          </cell>
          <cell r="E1168">
            <v>355</v>
          </cell>
          <cell r="F1168">
            <v>478</v>
          </cell>
          <cell r="G1168">
            <v>210</v>
          </cell>
          <cell r="H1168">
            <v>981</v>
          </cell>
          <cell r="I1168">
            <v>856</v>
          </cell>
          <cell r="J1168">
            <v>609</v>
          </cell>
          <cell r="K1168">
            <v>937</v>
          </cell>
          <cell r="L1168">
            <v>737</v>
          </cell>
          <cell r="M1168">
            <v>44.31</v>
          </cell>
          <cell r="N1168">
            <v>2014</v>
          </cell>
          <cell r="O1168">
            <v>967</v>
          </cell>
          <cell r="P1168">
            <v>18.2</v>
          </cell>
        </row>
        <row r="1169">
          <cell r="B1169" t="str">
            <v>Hunan Normal University</v>
          </cell>
          <cell r="C1169" t="str">
            <v>China</v>
          </cell>
          <cell r="D1169">
            <v>70</v>
          </cell>
          <cell r="E1169">
            <v>355</v>
          </cell>
          <cell r="F1169">
            <v>478</v>
          </cell>
          <cell r="G1169">
            <v>210</v>
          </cell>
          <cell r="H1169">
            <v>923</v>
          </cell>
          <cell r="I1169">
            <v>915</v>
          </cell>
          <cell r="J1169">
            <v>800</v>
          </cell>
          <cell r="K1169">
            <v>937</v>
          </cell>
          <cell r="L1169">
            <v>737</v>
          </cell>
          <cell r="M1169">
            <v>44.3</v>
          </cell>
          <cell r="N1169">
            <v>2014</v>
          </cell>
          <cell r="O1169">
            <v>968</v>
          </cell>
          <cell r="P1169" t="e">
            <v>#N/A</v>
          </cell>
        </row>
        <row r="1170">
          <cell r="B1170" t="str">
            <v>Western Michigan University</v>
          </cell>
          <cell r="C1170" t="str">
            <v>USA</v>
          </cell>
          <cell r="D1170">
            <v>229</v>
          </cell>
          <cell r="E1170">
            <v>355</v>
          </cell>
          <cell r="F1170">
            <v>478</v>
          </cell>
          <cell r="G1170">
            <v>210</v>
          </cell>
          <cell r="H1170">
            <v>962</v>
          </cell>
          <cell r="I1170">
            <v>815</v>
          </cell>
          <cell r="J1170">
            <v>800</v>
          </cell>
          <cell r="K1170">
            <v>937</v>
          </cell>
          <cell r="L1170">
            <v>737</v>
          </cell>
          <cell r="M1170">
            <v>44.3</v>
          </cell>
          <cell r="N1170">
            <v>2014</v>
          </cell>
          <cell r="O1170">
            <v>969</v>
          </cell>
          <cell r="P1170" t="e">
            <v>#N/A</v>
          </cell>
        </row>
        <row r="1171">
          <cell r="B1171" t="str">
            <v>University of Seoul</v>
          </cell>
          <cell r="C1171" t="str">
            <v>South Korea</v>
          </cell>
          <cell r="D1171">
            <v>34</v>
          </cell>
          <cell r="E1171">
            <v>355</v>
          </cell>
          <cell r="F1171">
            <v>478</v>
          </cell>
          <cell r="G1171">
            <v>210</v>
          </cell>
          <cell r="H1171">
            <v>997</v>
          </cell>
          <cell r="I1171">
            <v>938</v>
          </cell>
          <cell r="J1171">
            <v>609</v>
          </cell>
          <cell r="K1171">
            <v>948</v>
          </cell>
          <cell r="L1171">
            <v>552</v>
          </cell>
          <cell r="M1171">
            <v>44.3</v>
          </cell>
          <cell r="N1171">
            <v>2014</v>
          </cell>
          <cell r="O1171">
            <v>970</v>
          </cell>
          <cell r="P1171">
            <v>21</v>
          </cell>
        </row>
        <row r="1172">
          <cell r="B1172" t="str">
            <v>Federico Santa MarÃ­a Technical University</v>
          </cell>
          <cell r="C1172" t="str">
            <v>Chile</v>
          </cell>
          <cell r="D1172">
            <v>4</v>
          </cell>
          <cell r="E1172">
            <v>355</v>
          </cell>
          <cell r="F1172">
            <v>478</v>
          </cell>
          <cell r="G1172">
            <v>210</v>
          </cell>
          <cell r="H1172">
            <v>984</v>
          </cell>
          <cell r="I1172">
            <v>938</v>
          </cell>
          <cell r="J1172">
            <v>493</v>
          </cell>
          <cell r="K1172">
            <v>966</v>
          </cell>
          <cell r="L1172">
            <v>481</v>
          </cell>
          <cell r="M1172">
            <v>44.3</v>
          </cell>
          <cell r="N1172">
            <v>2014</v>
          </cell>
          <cell r="O1172">
            <v>971</v>
          </cell>
          <cell r="P1172">
            <v>13</v>
          </cell>
        </row>
        <row r="1173">
          <cell r="B1173" t="str">
            <v>Ryerson University</v>
          </cell>
          <cell r="C1173" t="str">
            <v>Canada</v>
          </cell>
          <cell r="D1173">
            <v>32</v>
          </cell>
          <cell r="E1173">
            <v>355</v>
          </cell>
          <cell r="F1173">
            <v>478</v>
          </cell>
          <cell r="G1173">
            <v>210</v>
          </cell>
          <cell r="H1173">
            <v>813</v>
          </cell>
          <cell r="I1173">
            <v>966</v>
          </cell>
          <cell r="J1173">
            <v>609</v>
          </cell>
          <cell r="K1173">
            <v>956</v>
          </cell>
          <cell r="L1173">
            <v>637</v>
          </cell>
          <cell r="M1173">
            <v>44.3</v>
          </cell>
          <cell r="N1173">
            <v>2014</v>
          </cell>
          <cell r="O1173">
            <v>972</v>
          </cell>
          <cell r="P1173" t="e">
            <v>#N/A</v>
          </cell>
        </row>
        <row r="1174">
          <cell r="B1174" t="str">
            <v>South China Agricultural University</v>
          </cell>
          <cell r="C1174" t="str">
            <v>China</v>
          </cell>
          <cell r="D1174">
            <v>71</v>
          </cell>
          <cell r="E1174">
            <v>355</v>
          </cell>
          <cell r="F1174">
            <v>478</v>
          </cell>
          <cell r="G1174">
            <v>210</v>
          </cell>
          <cell r="H1174">
            <v>946</v>
          </cell>
          <cell r="I1174">
            <v>830</v>
          </cell>
          <cell r="J1174">
            <v>800</v>
          </cell>
          <cell r="K1174">
            <v>948</v>
          </cell>
          <cell r="L1174">
            <v>737</v>
          </cell>
          <cell r="M1174">
            <v>44.3</v>
          </cell>
          <cell r="N1174">
            <v>2014</v>
          </cell>
          <cell r="O1174">
            <v>973</v>
          </cell>
          <cell r="P1174" t="e">
            <v>#N/A</v>
          </cell>
        </row>
        <row r="1175">
          <cell r="B1175" t="str">
            <v>Fu Jen Catholic University</v>
          </cell>
          <cell r="C1175" t="str">
            <v>Taiwan</v>
          </cell>
          <cell r="D1175">
            <v>21</v>
          </cell>
          <cell r="E1175">
            <v>355</v>
          </cell>
          <cell r="F1175">
            <v>478</v>
          </cell>
          <cell r="G1175">
            <v>210</v>
          </cell>
          <cell r="H1175">
            <v>978</v>
          </cell>
          <cell r="I1175">
            <v>891</v>
          </cell>
          <cell r="J1175">
            <v>800</v>
          </cell>
          <cell r="K1175">
            <v>948</v>
          </cell>
          <cell r="L1175">
            <v>737</v>
          </cell>
          <cell r="M1175">
            <v>44.3</v>
          </cell>
          <cell r="N1175">
            <v>2014</v>
          </cell>
          <cell r="O1175">
            <v>974</v>
          </cell>
          <cell r="P1175">
            <v>14.4</v>
          </cell>
        </row>
        <row r="1176">
          <cell r="B1176" t="str">
            <v>China Pharmaceutical University</v>
          </cell>
          <cell r="C1176" t="str">
            <v>China</v>
          </cell>
          <cell r="D1176">
            <v>72</v>
          </cell>
          <cell r="E1176">
            <v>355</v>
          </cell>
          <cell r="F1176">
            <v>478</v>
          </cell>
          <cell r="G1176">
            <v>210</v>
          </cell>
          <cell r="H1176">
            <v>919</v>
          </cell>
          <cell r="I1176">
            <v>987</v>
          </cell>
          <cell r="J1176">
            <v>800</v>
          </cell>
          <cell r="K1176">
            <v>956</v>
          </cell>
          <cell r="L1176">
            <v>552</v>
          </cell>
          <cell r="M1176">
            <v>44.3</v>
          </cell>
          <cell r="N1176">
            <v>2014</v>
          </cell>
          <cell r="O1176">
            <v>975</v>
          </cell>
          <cell r="P1176" t="e">
            <v>#N/A</v>
          </cell>
        </row>
        <row r="1177">
          <cell r="B1177" t="str">
            <v>Tarbiat Modares University</v>
          </cell>
          <cell r="C1177" t="str">
            <v>Iran</v>
          </cell>
          <cell r="D1177">
            <v>7</v>
          </cell>
          <cell r="E1177">
            <v>355</v>
          </cell>
          <cell r="F1177">
            <v>478</v>
          </cell>
          <cell r="G1177">
            <v>210</v>
          </cell>
          <cell r="H1177">
            <v>811</v>
          </cell>
          <cell r="I1177">
            <v>987</v>
          </cell>
          <cell r="J1177">
            <v>800</v>
          </cell>
          <cell r="K1177">
            <v>956</v>
          </cell>
          <cell r="L1177">
            <v>737</v>
          </cell>
          <cell r="M1177">
            <v>44.29</v>
          </cell>
          <cell r="N1177">
            <v>2014</v>
          </cell>
          <cell r="O1177">
            <v>976</v>
          </cell>
          <cell r="P1177" t="e">
            <v>#N/A</v>
          </cell>
        </row>
        <row r="1178">
          <cell r="B1178" t="str">
            <v>University of Puerto Rico at MayagÃ¼ez</v>
          </cell>
          <cell r="C1178" t="str">
            <v>Puerto Rico</v>
          </cell>
          <cell r="D1178">
            <v>1</v>
          </cell>
          <cell r="E1178">
            <v>355</v>
          </cell>
          <cell r="F1178">
            <v>478</v>
          </cell>
          <cell r="G1178">
            <v>210</v>
          </cell>
          <cell r="H1178">
            <v>999</v>
          </cell>
          <cell r="I1178">
            <v>778</v>
          </cell>
          <cell r="J1178">
            <v>609</v>
          </cell>
          <cell r="K1178">
            <v>956</v>
          </cell>
          <cell r="L1178">
            <v>737</v>
          </cell>
          <cell r="M1178">
            <v>44.29</v>
          </cell>
          <cell r="N1178">
            <v>2014</v>
          </cell>
          <cell r="O1178">
            <v>977</v>
          </cell>
          <cell r="P1178" t="e">
            <v>#N/A</v>
          </cell>
        </row>
        <row r="1179">
          <cell r="B1179" t="str">
            <v>National University of Rosario</v>
          </cell>
          <cell r="C1179" t="str">
            <v>Argentina</v>
          </cell>
          <cell r="D1179">
            <v>4</v>
          </cell>
          <cell r="E1179">
            <v>355</v>
          </cell>
          <cell r="F1179">
            <v>478</v>
          </cell>
          <cell r="G1179">
            <v>210</v>
          </cell>
          <cell r="H1179">
            <v>976</v>
          </cell>
          <cell r="I1179">
            <v>811</v>
          </cell>
          <cell r="J1179">
            <v>800</v>
          </cell>
          <cell r="K1179">
            <v>956</v>
          </cell>
          <cell r="L1179">
            <v>737</v>
          </cell>
          <cell r="M1179">
            <v>44.29</v>
          </cell>
          <cell r="N1179">
            <v>2014</v>
          </cell>
          <cell r="O1179">
            <v>978</v>
          </cell>
          <cell r="P1179" t="e">
            <v>#N/A</v>
          </cell>
        </row>
        <row r="1180">
          <cell r="B1180" t="str">
            <v>University of Pau and Pays de l'Adour</v>
          </cell>
          <cell r="C1180" t="str">
            <v>France</v>
          </cell>
          <cell r="D1180">
            <v>49</v>
          </cell>
          <cell r="E1180">
            <v>355</v>
          </cell>
          <cell r="F1180">
            <v>478</v>
          </cell>
          <cell r="G1180">
            <v>210</v>
          </cell>
          <cell r="H1180">
            <v>988</v>
          </cell>
          <cell r="I1180">
            <v>987</v>
          </cell>
          <cell r="J1180">
            <v>800</v>
          </cell>
          <cell r="K1180">
            <v>956</v>
          </cell>
          <cell r="L1180">
            <v>737</v>
          </cell>
          <cell r="M1180">
            <v>44.29</v>
          </cell>
          <cell r="N1180">
            <v>2014</v>
          </cell>
          <cell r="O1180">
            <v>979</v>
          </cell>
          <cell r="P1180" t="e">
            <v>#N/A</v>
          </cell>
        </row>
        <row r="1181">
          <cell r="B1181" t="str">
            <v>Xidian University</v>
          </cell>
          <cell r="C1181" t="str">
            <v>China</v>
          </cell>
          <cell r="D1181">
            <v>73</v>
          </cell>
          <cell r="E1181">
            <v>355</v>
          </cell>
          <cell r="F1181">
            <v>478</v>
          </cell>
          <cell r="G1181">
            <v>210</v>
          </cell>
          <cell r="H1181">
            <v>888</v>
          </cell>
          <cell r="I1181">
            <v>974</v>
          </cell>
          <cell r="J1181">
            <v>800</v>
          </cell>
          <cell r="K1181">
            <v>985</v>
          </cell>
          <cell r="L1181">
            <v>373</v>
          </cell>
          <cell r="M1181">
            <v>44.29</v>
          </cell>
          <cell r="N1181">
            <v>2014</v>
          </cell>
          <cell r="O1181">
            <v>980</v>
          </cell>
          <cell r="P1181">
            <v>17.899999999999999</v>
          </cell>
        </row>
        <row r="1182">
          <cell r="B1182" t="str">
            <v>Zhejiang University of Technology</v>
          </cell>
          <cell r="C1182" t="str">
            <v>China</v>
          </cell>
          <cell r="D1182">
            <v>74</v>
          </cell>
          <cell r="E1182">
            <v>355</v>
          </cell>
          <cell r="F1182">
            <v>478</v>
          </cell>
          <cell r="G1182">
            <v>210</v>
          </cell>
          <cell r="H1182">
            <v>917</v>
          </cell>
          <cell r="I1182">
            <v>987</v>
          </cell>
          <cell r="J1182">
            <v>800</v>
          </cell>
          <cell r="K1182">
            <v>966</v>
          </cell>
          <cell r="L1182">
            <v>637</v>
          </cell>
          <cell r="M1182">
            <v>44.28</v>
          </cell>
          <cell r="N1182">
            <v>2014</v>
          </cell>
          <cell r="O1182">
            <v>981</v>
          </cell>
          <cell r="P1182" t="e">
            <v>#N/A</v>
          </cell>
        </row>
        <row r="1183">
          <cell r="B1183" t="str">
            <v>China Medical University (PRC)</v>
          </cell>
          <cell r="C1183" t="str">
            <v>China</v>
          </cell>
          <cell r="D1183">
            <v>75</v>
          </cell>
          <cell r="E1183">
            <v>355</v>
          </cell>
          <cell r="F1183">
            <v>478</v>
          </cell>
          <cell r="G1183">
            <v>210</v>
          </cell>
          <cell r="H1183">
            <v>849</v>
          </cell>
          <cell r="I1183">
            <v>709</v>
          </cell>
          <cell r="J1183">
            <v>800</v>
          </cell>
          <cell r="K1183">
            <v>966</v>
          </cell>
          <cell r="L1183">
            <v>737</v>
          </cell>
          <cell r="M1183">
            <v>44.28</v>
          </cell>
          <cell r="N1183">
            <v>2014</v>
          </cell>
          <cell r="O1183">
            <v>982</v>
          </cell>
          <cell r="P1183" t="e">
            <v>#N/A</v>
          </cell>
        </row>
        <row r="1184">
          <cell r="B1184" t="str">
            <v>Federal University of ABC</v>
          </cell>
          <cell r="C1184" t="str">
            <v>Brazil</v>
          </cell>
          <cell r="D1184">
            <v>18</v>
          </cell>
          <cell r="E1184">
            <v>355</v>
          </cell>
          <cell r="F1184">
            <v>478</v>
          </cell>
          <cell r="G1184">
            <v>210</v>
          </cell>
          <cell r="H1184">
            <v>952</v>
          </cell>
          <cell r="I1184">
            <v>904</v>
          </cell>
          <cell r="J1184">
            <v>609</v>
          </cell>
          <cell r="K1184">
            <v>966</v>
          </cell>
          <cell r="L1184">
            <v>737</v>
          </cell>
          <cell r="M1184">
            <v>44.28</v>
          </cell>
          <cell r="N1184">
            <v>2014</v>
          </cell>
          <cell r="O1184">
            <v>983</v>
          </cell>
          <cell r="P1184" t="e">
            <v>#N/A</v>
          </cell>
        </row>
        <row r="1185">
          <cell r="B1185" t="str">
            <v>King Juan Carlos University</v>
          </cell>
          <cell r="C1185" t="str">
            <v>Spain</v>
          </cell>
          <cell r="D1185">
            <v>41</v>
          </cell>
          <cell r="E1185">
            <v>355</v>
          </cell>
          <cell r="F1185">
            <v>478</v>
          </cell>
          <cell r="G1185">
            <v>210</v>
          </cell>
          <cell r="H1185">
            <v>859</v>
          </cell>
          <cell r="I1185">
            <v>836</v>
          </cell>
          <cell r="J1185">
            <v>800</v>
          </cell>
          <cell r="K1185">
            <v>970</v>
          </cell>
          <cell r="L1185">
            <v>737</v>
          </cell>
          <cell r="M1185">
            <v>44.27</v>
          </cell>
          <cell r="N1185">
            <v>2014</v>
          </cell>
          <cell r="O1185">
            <v>984</v>
          </cell>
          <cell r="P1185" t="e">
            <v>#N/A</v>
          </cell>
        </row>
        <row r="1186">
          <cell r="B1186" t="str">
            <v>Beijing University of Technology</v>
          </cell>
          <cell r="C1186" t="str">
            <v>China</v>
          </cell>
          <cell r="D1186">
            <v>76</v>
          </cell>
          <cell r="E1186">
            <v>355</v>
          </cell>
          <cell r="F1186">
            <v>478</v>
          </cell>
          <cell r="G1186">
            <v>210</v>
          </cell>
          <cell r="H1186">
            <v>809</v>
          </cell>
          <cell r="I1186">
            <v>938</v>
          </cell>
          <cell r="J1186">
            <v>609</v>
          </cell>
          <cell r="K1186">
            <v>973</v>
          </cell>
          <cell r="L1186">
            <v>637</v>
          </cell>
          <cell r="M1186">
            <v>44.27</v>
          </cell>
          <cell r="N1186">
            <v>2014</v>
          </cell>
          <cell r="O1186">
            <v>985</v>
          </cell>
          <cell r="P1186" t="e">
            <v>#N/A</v>
          </cell>
        </row>
        <row r="1187">
          <cell r="B1187" t="str">
            <v>Guangxi University</v>
          </cell>
          <cell r="C1187" t="str">
            <v>China</v>
          </cell>
          <cell r="D1187">
            <v>77</v>
          </cell>
          <cell r="E1187">
            <v>313</v>
          </cell>
          <cell r="F1187">
            <v>478</v>
          </cell>
          <cell r="G1187">
            <v>210</v>
          </cell>
          <cell r="H1187">
            <v>919</v>
          </cell>
          <cell r="I1187">
            <v>974</v>
          </cell>
          <cell r="J1187">
            <v>800</v>
          </cell>
          <cell r="K1187">
            <v>979</v>
          </cell>
          <cell r="L1187">
            <v>637</v>
          </cell>
          <cell r="M1187">
            <v>44.27</v>
          </cell>
          <cell r="N1187">
            <v>2014</v>
          </cell>
          <cell r="O1187">
            <v>986</v>
          </cell>
          <cell r="P1187" t="e">
            <v>#N/A</v>
          </cell>
        </row>
        <row r="1188">
          <cell r="B1188" t="str">
            <v>Northwest A&amp;F University</v>
          </cell>
          <cell r="C1188" t="str">
            <v>China</v>
          </cell>
          <cell r="D1188">
            <v>78</v>
          </cell>
          <cell r="E1188">
            <v>355</v>
          </cell>
          <cell r="F1188">
            <v>478</v>
          </cell>
          <cell r="G1188">
            <v>210</v>
          </cell>
          <cell r="H1188">
            <v>787</v>
          </cell>
          <cell r="I1188">
            <v>894</v>
          </cell>
          <cell r="J1188">
            <v>800</v>
          </cell>
          <cell r="K1188">
            <v>973</v>
          </cell>
          <cell r="L1188">
            <v>737</v>
          </cell>
          <cell r="M1188">
            <v>44.27</v>
          </cell>
          <cell r="N1188">
            <v>2014</v>
          </cell>
          <cell r="O1188">
            <v>987</v>
          </cell>
          <cell r="P1188" t="e">
            <v>#N/A</v>
          </cell>
        </row>
        <row r="1189">
          <cell r="B1189" t="str">
            <v>Shanxi University</v>
          </cell>
          <cell r="C1189" t="str">
            <v>China</v>
          </cell>
          <cell r="D1189">
            <v>79</v>
          </cell>
          <cell r="E1189">
            <v>355</v>
          </cell>
          <cell r="F1189">
            <v>478</v>
          </cell>
          <cell r="G1189">
            <v>210</v>
          </cell>
          <cell r="H1189">
            <v>885</v>
          </cell>
          <cell r="I1189">
            <v>907</v>
          </cell>
          <cell r="J1189">
            <v>800</v>
          </cell>
          <cell r="K1189">
            <v>973</v>
          </cell>
          <cell r="L1189">
            <v>737</v>
          </cell>
          <cell r="M1189">
            <v>44.26</v>
          </cell>
          <cell r="N1189">
            <v>2014</v>
          </cell>
          <cell r="O1189">
            <v>988</v>
          </cell>
          <cell r="P1189" t="e">
            <v>#N/A</v>
          </cell>
        </row>
        <row r="1190">
          <cell r="B1190" t="str">
            <v>Tamkang University</v>
          </cell>
          <cell r="C1190" t="str">
            <v>Taiwan</v>
          </cell>
          <cell r="D1190">
            <v>22</v>
          </cell>
          <cell r="E1190">
            <v>355</v>
          </cell>
          <cell r="F1190">
            <v>478</v>
          </cell>
          <cell r="G1190">
            <v>210</v>
          </cell>
          <cell r="H1190">
            <v>929</v>
          </cell>
          <cell r="I1190">
            <v>974</v>
          </cell>
          <cell r="J1190">
            <v>800</v>
          </cell>
          <cell r="K1190">
            <v>973</v>
          </cell>
          <cell r="L1190">
            <v>737</v>
          </cell>
          <cell r="M1190">
            <v>44.26</v>
          </cell>
          <cell r="N1190">
            <v>2014</v>
          </cell>
          <cell r="O1190">
            <v>989</v>
          </cell>
          <cell r="P1190" t="e">
            <v>#N/A</v>
          </cell>
        </row>
        <row r="1191">
          <cell r="B1191" t="str">
            <v>Harbin Medical University</v>
          </cell>
          <cell r="C1191" t="str">
            <v>China</v>
          </cell>
          <cell r="D1191">
            <v>80</v>
          </cell>
          <cell r="E1191">
            <v>355</v>
          </cell>
          <cell r="F1191">
            <v>478</v>
          </cell>
          <cell r="G1191">
            <v>210</v>
          </cell>
          <cell r="H1191">
            <v>900</v>
          </cell>
          <cell r="I1191">
            <v>862</v>
          </cell>
          <cell r="J1191">
            <v>800</v>
          </cell>
          <cell r="K1191">
            <v>979</v>
          </cell>
          <cell r="L1191">
            <v>737</v>
          </cell>
          <cell r="M1191">
            <v>44.26</v>
          </cell>
          <cell r="N1191">
            <v>2014</v>
          </cell>
          <cell r="O1191">
            <v>990</v>
          </cell>
          <cell r="P1191" t="e">
            <v>#N/A</v>
          </cell>
        </row>
        <row r="1192">
          <cell r="B1192" t="str">
            <v>Zhejiang Normal University</v>
          </cell>
          <cell r="C1192" t="str">
            <v>China</v>
          </cell>
          <cell r="D1192">
            <v>81</v>
          </cell>
          <cell r="E1192">
            <v>355</v>
          </cell>
          <cell r="F1192">
            <v>478</v>
          </cell>
          <cell r="G1192">
            <v>210</v>
          </cell>
          <cell r="H1192">
            <v>905</v>
          </cell>
          <cell r="I1192">
            <v>932</v>
          </cell>
          <cell r="J1192">
            <v>800</v>
          </cell>
          <cell r="K1192">
            <v>979</v>
          </cell>
          <cell r="L1192">
            <v>737</v>
          </cell>
          <cell r="M1192">
            <v>44.26</v>
          </cell>
          <cell r="N1192">
            <v>2014</v>
          </cell>
          <cell r="O1192">
            <v>991</v>
          </cell>
          <cell r="P1192" t="e">
            <v>#N/A</v>
          </cell>
        </row>
        <row r="1193">
          <cell r="B1193" t="str">
            <v>King Abdulaziz University</v>
          </cell>
          <cell r="C1193" t="str">
            <v>Saudi Arabia</v>
          </cell>
          <cell r="D1193">
            <v>4</v>
          </cell>
          <cell r="E1193">
            <v>355</v>
          </cell>
          <cell r="F1193">
            <v>470</v>
          </cell>
          <cell r="G1193">
            <v>210</v>
          </cell>
          <cell r="H1193">
            <v>843</v>
          </cell>
          <cell r="I1193">
            <v>688</v>
          </cell>
          <cell r="J1193">
            <v>609</v>
          </cell>
          <cell r="K1193">
            <v>998</v>
          </cell>
          <cell r="L1193">
            <v>637</v>
          </cell>
          <cell r="M1193">
            <v>44.26</v>
          </cell>
          <cell r="N1193">
            <v>2014</v>
          </cell>
          <cell r="O1193">
            <v>992</v>
          </cell>
          <cell r="P1193">
            <v>19.7</v>
          </cell>
        </row>
        <row r="1194">
          <cell r="B1194" t="str">
            <v>Iran University of Science and Technology</v>
          </cell>
          <cell r="C1194" t="str">
            <v>Iran</v>
          </cell>
          <cell r="D1194">
            <v>8</v>
          </cell>
          <cell r="E1194">
            <v>355</v>
          </cell>
          <cell r="F1194">
            <v>478</v>
          </cell>
          <cell r="G1194">
            <v>210</v>
          </cell>
          <cell r="H1194">
            <v>822</v>
          </cell>
          <cell r="I1194">
            <v>987</v>
          </cell>
          <cell r="J1194">
            <v>493</v>
          </cell>
          <cell r="K1194">
            <v>989</v>
          </cell>
          <cell r="L1194">
            <v>737</v>
          </cell>
          <cell r="M1194">
            <v>44.25</v>
          </cell>
          <cell r="N1194">
            <v>2014</v>
          </cell>
          <cell r="O1194">
            <v>993</v>
          </cell>
          <cell r="P1194">
            <v>25.9</v>
          </cell>
        </row>
        <row r="1195">
          <cell r="B1195" t="str">
            <v>I-Shou University</v>
          </cell>
          <cell r="C1195" t="str">
            <v>Taiwan</v>
          </cell>
          <cell r="D1195">
            <v>23</v>
          </cell>
          <cell r="E1195">
            <v>355</v>
          </cell>
          <cell r="F1195">
            <v>478</v>
          </cell>
          <cell r="G1195">
            <v>210</v>
          </cell>
          <cell r="H1195">
            <v>878</v>
          </cell>
          <cell r="I1195">
            <v>987</v>
          </cell>
          <cell r="J1195">
            <v>800</v>
          </cell>
          <cell r="K1195">
            <v>989</v>
          </cell>
          <cell r="L1195">
            <v>737</v>
          </cell>
          <cell r="M1195">
            <v>44.24</v>
          </cell>
          <cell r="N1195">
            <v>2014</v>
          </cell>
          <cell r="O1195">
            <v>994</v>
          </cell>
          <cell r="P1195">
            <v>12.8</v>
          </cell>
        </row>
        <row r="1196">
          <cell r="B1196" t="str">
            <v>University of Maine (Le Mans)</v>
          </cell>
          <cell r="C1196" t="str">
            <v>France</v>
          </cell>
          <cell r="D1196">
            <v>50</v>
          </cell>
          <cell r="E1196">
            <v>355</v>
          </cell>
          <cell r="F1196">
            <v>478</v>
          </cell>
          <cell r="G1196">
            <v>210</v>
          </cell>
          <cell r="H1196">
            <v>990</v>
          </cell>
          <cell r="I1196">
            <v>918</v>
          </cell>
          <cell r="J1196">
            <v>800</v>
          </cell>
          <cell r="K1196">
            <v>989</v>
          </cell>
          <cell r="L1196">
            <v>637</v>
          </cell>
          <cell r="M1196">
            <v>44.24</v>
          </cell>
          <cell r="N1196">
            <v>2014</v>
          </cell>
          <cell r="O1196">
            <v>995</v>
          </cell>
          <cell r="P1196" t="e">
            <v>#N/A</v>
          </cell>
        </row>
        <row r="1197">
          <cell r="B1197" t="str">
            <v>National Dong Hwa University</v>
          </cell>
          <cell r="C1197" t="str">
            <v>Taiwan</v>
          </cell>
          <cell r="D1197">
            <v>24</v>
          </cell>
          <cell r="E1197">
            <v>355</v>
          </cell>
          <cell r="F1197">
            <v>478</v>
          </cell>
          <cell r="G1197">
            <v>210</v>
          </cell>
          <cell r="H1197">
            <v>901</v>
          </cell>
          <cell r="I1197">
            <v>934</v>
          </cell>
          <cell r="J1197">
            <v>800</v>
          </cell>
          <cell r="K1197">
            <v>989</v>
          </cell>
          <cell r="L1197">
            <v>737</v>
          </cell>
          <cell r="M1197">
            <v>44.24</v>
          </cell>
          <cell r="N1197">
            <v>2014</v>
          </cell>
          <cell r="O1197">
            <v>996</v>
          </cell>
          <cell r="P1197" t="e">
            <v>#N/A</v>
          </cell>
        </row>
        <row r="1198">
          <cell r="B1198" t="str">
            <v>National Taipei University of Technology</v>
          </cell>
          <cell r="C1198" t="str">
            <v>Taiwan</v>
          </cell>
          <cell r="D1198">
            <v>25</v>
          </cell>
          <cell r="E1198">
            <v>355</v>
          </cell>
          <cell r="F1198">
            <v>478</v>
          </cell>
          <cell r="G1198">
            <v>210</v>
          </cell>
          <cell r="H1198">
            <v>867</v>
          </cell>
          <cell r="I1198">
            <v>987</v>
          </cell>
          <cell r="J1198">
            <v>800</v>
          </cell>
          <cell r="K1198">
            <v>994</v>
          </cell>
          <cell r="L1198">
            <v>737</v>
          </cell>
          <cell r="M1198">
            <v>44.24</v>
          </cell>
          <cell r="N1198">
            <v>2014</v>
          </cell>
          <cell r="O1198">
            <v>997</v>
          </cell>
          <cell r="P1198">
            <v>17.8</v>
          </cell>
        </row>
        <row r="1199">
          <cell r="B1199" t="str">
            <v>Shaanxi Normal University</v>
          </cell>
          <cell r="C1199" t="str">
            <v>China</v>
          </cell>
          <cell r="D1199">
            <v>82</v>
          </cell>
          <cell r="E1199">
            <v>355</v>
          </cell>
          <cell r="F1199">
            <v>478</v>
          </cell>
          <cell r="G1199">
            <v>210</v>
          </cell>
          <cell r="H1199">
            <v>956</v>
          </cell>
          <cell r="I1199">
            <v>965</v>
          </cell>
          <cell r="J1199">
            <v>800</v>
          </cell>
          <cell r="K1199">
            <v>994</v>
          </cell>
          <cell r="L1199">
            <v>737</v>
          </cell>
          <cell r="M1199">
            <v>44.23</v>
          </cell>
          <cell r="N1199">
            <v>2014</v>
          </cell>
          <cell r="O1199">
            <v>998</v>
          </cell>
          <cell r="P1199" t="e">
            <v>#N/A</v>
          </cell>
        </row>
        <row r="1200">
          <cell r="B1200" t="str">
            <v>National University of Defense Technology</v>
          </cell>
          <cell r="C1200" t="str">
            <v>China</v>
          </cell>
          <cell r="D1200">
            <v>83</v>
          </cell>
          <cell r="E1200">
            <v>355</v>
          </cell>
          <cell r="F1200">
            <v>478</v>
          </cell>
          <cell r="G1200">
            <v>210</v>
          </cell>
          <cell r="H1200">
            <v>860</v>
          </cell>
          <cell r="I1200">
            <v>973</v>
          </cell>
          <cell r="J1200">
            <v>800</v>
          </cell>
          <cell r="K1200">
            <v>999</v>
          </cell>
          <cell r="L1200">
            <v>637</v>
          </cell>
          <cell r="M1200">
            <v>44.21</v>
          </cell>
          <cell r="N1200">
            <v>2014</v>
          </cell>
          <cell r="O1200">
            <v>999</v>
          </cell>
          <cell r="P1200" t="e">
            <v>#N/A</v>
          </cell>
        </row>
        <row r="1201">
          <cell r="B1201" t="str">
            <v>Yanbian University</v>
          </cell>
          <cell r="C1201" t="str">
            <v>China</v>
          </cell>
          <cell r="D1201">
            <v>84</v>
          </cell>
          <cell r="E1201">
            <v>355</v>
          </cell>
          <cell r="F1201">
            <v>478</v>
          </cell>
          <cell r="G1201">
            <v>210</v>
          </cell>
          <cell r="H1201">
            <v>890</v>
          </cell>
          <cell r="I1201">
            <v>790</v>
          </cell>
          <cell r="J1201">
            <v>800</v>
          </cell>
          <cell r="K1201">
            <v>1000</v>
          </cell>
          <cell r="L1201">
            <v>737</v>
          </cell>
          <cell r="M1201">
            <v>44.18</v>
          </cell>
          <cell r="N1201">
            <v>2014</v>
          </cell>
          <cell r="O1201">
            <v>1000</v>
          </cell>
          <cell r="P1201" t="e">
            <v>#N/A</v>
          </cell>
        </row>
        <row r="1202">
          <cell r="B1202" t="str">
            <v>Harvard University</v>
          </cell>
          <cell r="C1202" t="str">
            <v>USA</v>
          </cell>
          <cell r="D1202">
            <v>1</v>
          </cell>
          <cell r="E1202">
            <v>1</v>
          </cell>
          <cell r="F1202">
            <v>1</v>
          </cell>
          <cell r="G1202">
            <v>1</v>
          </cell>
          <cell r="H1202">
            <v>1</v>
          </cell>
          <cell r="I1202">
            <v>1</v>
          </cell>
          <cell r="J1202">
            <v>1</v>
          </cell>
          <cell r="K1202">
            <v>1</v>
          </cell>
          <cell r="L1202">
            <v>3</v>
          </cell>
          <cell r="M1202">
            <v>100</v>
          </cell>
          <cell r="N1202">
            <v>2015</v>
          </cell>
          <cell r="O1202">
            <v>1</v>
          </cell>
          <cell r="P1202">
            <v>99.7</v>
          </cell>
        </row>
        <row r="1203">
          <cell r="B1203" t="str">
            <v>Stanford University</v>
          </cell>
          <cell r="C1203" t="str">
            <v>USA</v>
          </cell>
          <cell r="D1203">
            <v>2</v>
          </cell>
          <cell r="E1203">
            <v>9</v>
          </cell>
          <cell r="F1203">
            <v>2</v>
          </cell>
          <cell r="G1203">
            <v>4</v>
          </cell>
          <cell r="H1203">
            <v>5</v>
          </cell>
          <cell r="I1203">
            <v>3</v>
          </cell>
          <cell r="J1203">
            <v>3</v>
          </cell>
          <cell r="K1203">
            <v>4</v>
          </cell>
          <cell r="L1203">
            <v>10</v>
          </cell>
          <cell r="M1203">
            <v>98.66</v>
          </cell>
          <cell r="N1203">
            <v>2015</v>
          </cell>
          <cell r="O1203">
            <v>2</v>
          </cell>
          <cell r="P1203">
            <v>98.3</v>
          </cell>
        </row>
        <row r="1204">
          <cell r="B1204" t="str">
            <v>Massachusetts Institute of Technology</v>
          </cell>
          <cell r="C1204" t="str">
            <v>USA</v>
          </cell>
          <cell r="D1204">
            <v>3</v>
          </cell>
          <cell r="E1204">
            <v>3</v>
          </cell>
          <cell r="F1204">
            <v>11</v>
          </cell>
          <cell r="G1204">
            <v>2</v>
          </cell>
          <cell r="H1204">
            <v>15</v>
          </cell>
          <cell r="I1204">
            <v>2</v>
          </cell>
          <cell r="J1204">
            <v>2</v>
          </cell>
          <cell r="K1204">
            <v>2</v>
          </cell>
          <cell r="L1204">
            <v>1</v>
          </cell>
          <cell r="M1204">
            <v>97.54</v>
          </cell>
          <cell r="N1204">
            <v>2015</v>
          </cell>
          <cell r="O1204">
            <v>3</v>
          </cell>
          <cell r="P1204">
            <v>97.8</v>
          </cell>
        </row>
        <row r="1205">
          <cell r="B1205" t="str">
            <v>University of Cambridge</v>
          </cell>
          <cell r="C1205" t="str">
            <v>United Kingdom</v>
          </cell>
          <cell r="D1205">
            <v>1</v>
          </cell>
          <cell r="E1205">
            <v>2</v>
          </cell>
          <cell r="F1205">
            <v>10</v>
          </cell>
          <cell r="G1205">
            <v>5</v>
          </cell>
          <cell r="H1205">
            <v>11</v>
          </cell>
          <cell r="I1205">
            <v>6</v>
          </cell>
          <cell r="J1205">
            <v>12</v>
          </cell>
          <cell r="K1205">
            <v>13</v>
          </cell>
          <cell r="L1205">
            <v>48</v>
          </cell>
          <cell r="M1205">
            <v>96.81</v>
          </cell>
          <cell r="N1205">
            <v>2015</v>
          </cell>
          <cell r="O1205">
            <v>4</v>
          </cell>
          <cell r="P1205">
            <v>90.5</v>
          </cell>
        </row>
        <row r="1206">
          <cell r="B1206" t="str">
            <v>University of Oxford</v>
          </cell>
          <cell r="C1206" t="str">
            <v>United Kingdom</v>
          </cell>
          <cell r="D1206">
            <v>2</v>
          </cell>
          <cell r="E1206">
            <v>7</v>
          </cell>
          <cell r="F1206">
            <v>13</v>
          </cell>
          <cell r="G1206">
            <v>10</v>
          </cell>
          <cell r="H1206">
            <v>7</v>
          </cell>
          <cell r="I1206">
            <v>12</v>
          </cell>
          <cell r="J1206">
            <v>7</v>
          </cell>
          <cell r="K1206">
            <v>9</v>
          </cell>
          <cell r="L1206">
            <v>15</v>
          </cell>
          <cell r="M1206">
            <v>96.46</v>
          </cell>
          <cell r="N1206">
            <v>2015</v>
          </cell>
          <cell r="O1206">
            <v>5</v>
          </cell>
          <cell r="P1206">
            <v>88.2</v>
          </cell>
        </row>
        <row r="1207">
          <cell r="B1207" t="str">
            <v>Columbia University</v>
          </cell>
          <cell r="C1207" t="str">
            <v>USA</v>
          </cell>
          <cell r="D1207">
            <v>4</v>
          </cell>
          <cell r="E1207">
            <v>13</v>
          </cell>
          <cell r="F1207">
            <v>6</v>
          </cell>
          <cell r="G1207">
            <v>9</v>
          </cell>
          <cell r="H1207">
            <v>13</v>
          </cell>
          <cell r="I1207">
            <v>13</v>
          </cell>
          <cell r="J1207">
            <v>11</v>
          </cell>
          <cell r="K1207">
            <v>12</v>
          </cell>
          <cell r="L1207">
            <v>4</v>
          </cell>
          <cell r="M1207">
            <v>96.14</v>
          </cell>
          <cell r="N1207">
            <v>2015</v>
          </cell>
          <cell r="O1207">
            <v>6</v>
          </cell>
          <cell r="P1207">
            <v>73.8</v>
          </cell>
        </row>
        <row r="1208">
          <cell r="B1208" t="str">
            <v>University of California, Berkeley</v>
          </cell>
          <cell r="C1208" t="str">
            <v>USA</v>
          </cell>
          <cell r="D1208">
            <v>5</v>
          </cell>
          <cell r="E1208">
            <v>5</v>
          </cell>
          <cell r="F1208">
            <v>21</v>
          </cell>
          <cell r="G1208">
            <v>6</v>
          </cell>
          <cell r="H1208">
            <v>10</v>
          </cell>
          <cell r="I1208">
            <v>4</v>
          </cell>
          <cell r="J1208">
            <v>4</v>
          </cell>
          <cell r="K1208">
            <v>7</v>
          </cell>
          <cell r="L1208">
            <v>29</v>
          </cell>
          <cell r="M1208">
            <v>92.25</v>
          </cell>
          <cell r="N1208">
            <v>2015</v>
          </cell>
          <cell r="O1208">
            <v>7</v>
          </cell>
          <cell r="P1208">
            <v>84.2</v>
          </cell>
        </row>
        <row r="1209">
          <cell r="B1209" t="str">
            <v>University of Chicago</v>
          </cell>
          <cell r="C1209" t="str">
            <v>USA</v>
          </cell>
          <cell r="D1209">
            <v>6</v>
          </cell>
          <cell r="E1209">
            <v>11</v>
          </cell>
          <cell r="F1209">
            <v>14</v>
          </cell>
          <cell r="G1209">
            <v>8</v>
          </cell>
          <cell r="H1209">
            <v>17</v>
          </cell>
          <cell r="I1209">
            <v>16</v>
          </cell>
          <cell r="J1209">
            <v>12</v>
          </cell>
          <cell r="K1209">
            <v>22</v>
          </cell>
          <cell r="L1209">
            <v>141</v>
          </cell>
          <cell r="M1209">
            <v>90.7</v>
          </cell>
          <cell r="N1209">
            <v>2015</v>
          </cell>
          <cell r="O1209">
            <v>8</v>
          </cell>
          <cell r="P1209">
            <v>79.099999999999994</v>
          </cell>
        </row>
        <row r="1210">
          <cell r="B1210" t="str">
            <v>Princeton University</v>
          </cell>
          <cell r="C1210" t="str">
            <v>USA</v>
          </cell>
          <cell r="D1210">
            <v>7</v>
          </cell>
          <cell r="E1210">
            <v>4</v>
          </cell>
          <cell r="F1210">
            <v>15</v>
          </cell>
          <cell r="G1210">
            <v>3</v>
          </cell>
          <cell r="H1210">
            <v>72</v>
          </cell>
          <cell r="I1210">
            <v>25</v>
          </cell>
          <cell r="J1210">
            <v>24</v>
          </cell>
          <cell r="K1210">
            <v>33</v>
          </cell>
          <cell r="L1210">
            <v>225</v>
          </cell>
          <cell r="M1210">
            <v>89.42</v>
          </cell>
          <cell r="N1210">
            <v>2015</v>
          </cell>
          <cell r="O1210">
            <v>9</v>
          </cell>
          <cell r="P1210">
            <v>90.9</v>
          </cell>
        </row>
        <row r="1211">
          <cell r="B1211" t="str">
            <v>Cornell University</v>
          </cell>
          <cell r="C1211" t="str">
            <v>USA</v>
          </cell>
          <cell r="D1211">
            <v>8</v>
          </cell>
          <cell r="E1211">
            <v>12</v>
          </cell>
          <cell r="F1211">
            <v>18</v>
          </cell>
          <cell r="G1211">
            <v>14</v>
          </cell>
          <cell r="H1211">
            <v>24</v>
          </cell>
          <cell r="I1211">
            <v>15</v>
          </cell>
          <cell r="J1211">
            <v>25</v>
          </cell>
          <cell r="K1211">
            <v>22</v>
          </cell>
          <cell r="L1211">
            <v>11</v>
          </cell>
          <cell r="M1211">
            <v>86.79</v>
          </cell>
          <cell r="N1211">
            <v>2015</v>
          </cell>
          <cell r="O1211">
            <v>10</v>
          </cell>
          <cell r="P1211">
            <v>82.2</v>
          </cell>
        </row>
        <row r="1212">
          <cell r="B1212" t="str">
            <v>Yale University</v>
          </cell>
          <cell r="C1212" t="str">
            <v>USA</v>
          </cell>
          <cell r="D1212">
            <v>9</v>
          </cell>
          <cell r="E1212">
            <v>10</v>
          </cell>
          <cell r="F1212">
            <v>26</v>
          </cell>
          <cell r="G1212">
            <v>11</v>
          </cell>
          <cell r="H1212">
            <v>18</v>
          </cell>
          <cell r="I1212">
            <v>8</v>
          </cell>
          <cell r="J1212">
            <v>35</v>
          </cell>
          <cell r="K1212">
            <v>20</v>
          </cell>
          <cell r="L1212">
            <v>49</v>
          </cell>
          <cell r="M1212">
            <v>86.61</v>
          </cell>
          <cell r="N1212">
            <v>2015</v>
          </cell>
          <cell r="O1212">
            <v>11</v>
          </cell>
          <cell r="P1212">
            <v>92.1</v>
          </cell>
        </row>
        <row r="1213">
          <cell r="B1213" t="str">
            <v>California Institute of Technology</v>
          </cell>
          <cell r="C1213" t="str">
            <v>USA</v>
          </cell>
          <cell r="D1213">
            <v>10</v>
          </cell>
          <cell r="E1213">
            <v>6</v>
          </cell>
          <cell r="F1213">
            <v>328</v>
          </cell>
          <cell r="G1213">
            <v>7</v>
          </cell>
          <cell r="H1213">
            <v>53</v>
          </cell>
          <cell r="I1213">
            <v>9</v>
          </cell>
          <cell r="J1213">
            <v>19</v>
          </cell>
          <cell r="K1213">
            <v>25</v>
          </cell>
          <cell r="L1213">
            <v>13</v>
          </cell>
          <cell r="M1213">
            <v>84.4</v>
          </cell>
          <cell r="N1213">
            <v>2015</v>
          </cell>
          <cell r="O1213">
            <v>12</v>
          </cell>
          <cell r="P1213">
            <v>97.7</v>
          </cell>
        </row>
        <row r="1214">
          <cell r="B1214" t="str">
            <v>University of Tokyo</v>
          </cell>
          <cell r="C1214" t="str">
            <v>Japan</v>
          </cell>
          <cell r="D1214">
            <v>1</v>
          </cell>
          <cell r="E1214">
            <v>16</v>
          </cell>
          <cell r="F1214">
            <v>3</v>
          </cell>
          <cell r="G1214">
            <v>38</v>
          </cell>
          <cell r="H1214">
            <v>14</v>
          </cell>
          <cell r="I1214">
            <v>19</v>
          </cell>
          <cell r="J1214">
            <v>31</v>
          </cell>
          <cell r="K1214">
            <v>29</v>
          </cell>
          <cell r="L1214">
            <v>7</v>
          </cell>
          <cell r="M1214">
            <v>78.23</v>
          </cell>
          <cell r="N1214">
            <v>2015</v>
          </cell>
          <cell r="O1214">
            <v>13</v>
          </cell>
          <cell r="P1214">
            <v>87.7</v>
          </cell>
        </row>
        <row r="1215">
          <cell r="B1215" t="str">
            <v>University of Pennsylvania</v>
          </cell>
          <cell r="C1215" t="str">
            <v>USA</v>
          </cell>
          <cell r="D1215">
            <v>11</v>
          </cell>
          <cell r="E1215">
            <v>20</v>
          </cell>
          <cell r="F1215">
            <v>4</v>
          </cell>
          <cell r="G1215">
            <v>28</v>
          </cell>
          <cell r="H1215">
            <v>8</v>
          </cell>
          <cell r="I1215">
            <v>18</v>
          </cell>
          <cell r="J1215">
            <v>14</v>
          </cell>
          <cell r="K1215">
            <v>9</v>
          </cell>
          <cell r="L1215">
            <v>14</v>
          </cell>
          <cell r="M1215">
            <v>77.599999999999994</v>
          </cell>
          <cell r="N1215">
            <v>2015</v>
          </cell>
          <cell r="O1215">
            <v>14</v>
          </cell>
          <cell r="P1215">
            <v>71.8</v>
          </cell>
        </row>
        <row r="1216">
          <cell r="B1216" t="str">
            <v>University of California, Los Angeles</v>
          </cell>
          <cell r="C1216" t="str">
            <v>USA</v>
          </cell>
          <cell r="D1216">
            <v>12</v>
          </cell>
          <cell r="E1216">
            <v>28</v>
          </cell>
          <cell r="F1216">
            <v>27</v>
          </cell>
          <cell r="G1216">
            <v>13</v>
          </cell>
          <cell r="H1216">
            <v>6</v>
          </cell>
          <cell r="I1216">
            <v>14</v>
          </cell>
          <cell r="J1216">
            <v>8</v>
          </cell>
          <cell r="K1216">
            <v>6</v>
          </cell>
          <cell r="L1216">
            <v>9</v>
          </cell>
          <cell r="M1216">
            <v>76.91</v>
          </cell>
          <cell r="N1216">
            <v>2015</v>
          </cell>
          <cell r="O1216">
            <v>15</v>
          </cell>
          <cell r="P1216">
            <v>83</v>
          </cell>
        </row>
        <row r="1217">
          <cell r="B1217" t="str">
            <v>Johns Hopkins University</v>
          </cell>
          <cell r="C1217" t="str">
            <v>USA</v>
          </cell>
          <cell r="D1217">
            <v>13</v>
          </cell>
          <cell r="E1217">
            <v>18</v>
          </cell>
          <cell r="F1217">
            <v>84</v>
          </cell>
          <cell r="G1217">
            <v>16</v>
          </cell>
          <cell r="H1217">
            <v>4</v>
          </cell>
          <cell r="I1217">
            <v>11</v>
          </cell>
          <cell r="J1217">
            <v>5</v>
          </cell>
          <cell r="K1217">
            <v>3</v>
          </cell>
          <cell r="L1217">
            <v>2</v>
          </cell>
          <cell r="M1217">
            <v>71.599999999999994</v>
          </cell>
          <cell r="N1217">
            <v>2015</v>
          </cell>
          <cell r="O1217">
            <v>16</v>
          </cell>
          <cell r="P1217">
            <v>80.900000000000006</v>
          </cell>
        </row>
        <row r="1218">
          <cell r="B1218" t="str">
            <v>Kyoto University</v>
          </cell>
          <cell r="C1218" t="str">
            <v>Japan</v>
          </cell>
          <cell r="D1218">
            <v>2</v>
          </cell>
          <cell r="E1218">
            <v>22</v>
          </cell>
          <cell r="F1218">
            <v>16</v>
          </cell>
          <cell r="G1218">
            <v>24</v>
          </cell>
          <cell r="H1218">
            <v>30</v>
          </cell>
          <cell r="I1218">
            <v>42</v>
          </cell>
          <cell r="J1218">
            <v>88</v>
          </cell>
          <cell r="K1218">
            <v>60</v>
          </cell>
          <cell r="L1218">
            <v>16</v>
          </cell>
          <cell r="M1218">
            <v>68.599999999999994</v>
          </cell>
          <cell r="N1218">
            <v>2015</v>
          </cell>
          <cell r="O1218">
            <v>17</v>
          </cell>
          <cell r="P1218">
            <v>78.900000000000006</v>
          </cell>
        </row>
        <row r="1219">
          <cell r="B1219" t="str">
            <v>New York University</v>
          </cell>
          <cell r="C1219" t="str">
            <v>USA</v>
          </cell>
          <cell r="D1219">
            <v>14</v>
          </cell>
          <cell r="E1219">
            <v>32</v>
          </cell>
          <cell r="F1219">
            <v>22</v>
          </cell>
          <cell r="G1219">
            <v>18</v>
          </cell>
          <cell r="H1219">
            <v>47</v>
          </cell>
          <cell r="I1219">
            <v>29</v>
          </cell>
          <cell r="J1219">
            <v>46</v>
          </cell>
          <cell r="K1219">
            <v>32</v>
          </cell>
          <cell r="L1219">
            <v>43</v>
          </cell>
          <cell r="M1219">
            <v>68.39</v>
          </cell>
          <cell r="N1219">
            <v>2015</v>
          </cell>
          <cell r="O1219">
            <v>18</v>
          </cell>
          <cell r="P1219">
            <v>62</v>
          </cell>
        </row>
        <row r="1220">
          <cell r="B1220" t="str">
            <v>University of Michigan, Ann Arbor</v>
          </cell>
          <cell r="C1220" t="str">
            <v>USA</v>
          </cell>
          <cell r="D1220">
            <v>15</v>
          </cell>
          <cell r="E1220">
            <v>24</v>
          </cell>
          <cell r="F1220">
            <v>17</v>
          </cell>
          <cell r="G1220">
            <v>140</v>
          </cell>
          <cell r="H1220">
            <v>3</v>
          </cell>
          <cell r="I1220">
            <v>20</v>
          </cell>
          <cell r="J1220">
            <v>6</v>
          </cell>
          <cell r="K1220">
            <v>14</v>
          </cell>
          <cell r="L1220">
            <v>12</v>
          </cell>
          <cell r="M1220">
            <v>68.36</v>
          </cell>
          <cell r="N1220">
            <v>2015</v>
          </cell>
          <cell r="O1220">
            <v>19</v>
          </cell>
          <cell r="P1220" t="e">
            <v>#N/A</v>
          </cell>
        </row>
        <row r="1221">
          <cell r="B1221" t="str">
            <v>Swiss Federal Institute of Technology in Zurich</v>
          </cell>
          <cell r="C1221" t="str">
            <v>Switzerland</v>
          </cell>
          <cell r="D1221">
            <v>1</v>
          </cell>
          <cell r="E1221">
            <v>17</v>
          </cell>
          <cell r="F1221">
            <v>64</v>
          </cell>
          <cell r="G1221">
            <v>17</v>
          </cell>
          <cell r="H1221">
            <v>44</v>
          </cell>
          <cell r="I1221">
            <v>27</v>
          </cell>
          <cell r="J1221">
            <v>39</v>
          </cell>
          <cell r="K1221">
            <v>79</v>
          </cell>
          <cell r="L1221">
            <v>57</v>
          </cell>
          <cell r="M1221">
            <v>66.930000000000007</v>
          </cell>
          <cell r="N1221">
            <v>2015</v>
          </cell>
          <cell r="O1221">
            <v>20</v>
          </cell>
          <cell r="P1221" t="e">
            <v>#N/A</v>
          </cell>
        </row>
        <row r="1222">
          <cell r="B1222" t="str">
            <v>University of California, San Diego</v>
          </cell>
          <cell r="C1222" t="str">
            <v>USA</v>
          </cell>
          <cell r="D1222">
            <v>16</v>
          </cell>
          <cell r="E1222">
            <v>36</v>
          </cell>
          <cell r="F1222">
            <v>567</v>
          </cell>
          <cell r="G1222">
            <v>19</v>
          </cell>
          <cell r="H1222">
            <v>16</v>
          </cell>
          <cell r="I1222">
            <v>5</v>
          </cell>
          <cell r="J1222">
            <v>15</v>
          </cell>
          <cell r="K1222">
            <v>15</v>
          </cell>
          <cell r="L1222">
            <v>17</v>
          </cell>
          <cell r="M1222">
            <v>66.59</v>
          </cell>
          <cell r="N1222">
            <v>2015</v>
          </cell>
          <cell r="O1222">
            <v>21</v>
          </cell>
          <cell r="P1222">
            <v>59.8</v>
          </cell>
        </row>
        <row r="1223">
          <cell r="B1223" t="str">
            <v>Northwestern University</v>
          </cell>
          <cell r="C1223" t="str">
            <v>USA</v>
          </cell>
          <cell r="D1223">
            <v>17</v>
          </cell>
          <cell r="E1223">
            <v>163</v>
          </cell>
          <cell r="F1223">
            <v>12</v>
          </cell>
          <cell r="G1223">
            <v>104</v>
          </cell>
          <cell r="H1223">
            <v>27</v>
          </cell>
          <cell r="I1223">
            <v>34</v>
          </cell>
          <cell r="J1223">
            <v>27</v>
          </cell>
          <cell r="K1223">
            <v>26</v>
          </cell>
          <cell r="L1223">
            <v>42</v>
          </cell>
          <cell r="M1223">
            <v>66.56</v>
          </cell>
          <cell r="N1223">
            <v>2015</v>
          </cell>
          <cell r="O1223">
            <v>22</v>
          </cell>
          <cell r="P1223">
            <v>64.5</v>
          </cell>
        </row>
        <row r="1224">
          <cell r="B1224" t="str">
            <v>Hebrew University of Jerusalem</v>
          </cell>
          <cell r="C1224" t="str">
            <v>Israel</v>
          </cell>
          <cell r="D1224">
            <v>1</v>
          </cell>
          <cell r="E1224">
            <v>15</v>
          </cell>
          <cell r="F1224">
            <v>164</v>
          </cell>
          <cell r="G1224">
            <v>15</v>
          </cell>
          <cell r="H1224">
            <v>120</v>
          </cell>
          <cell r="I1224">
            <v>97</v>
          </cell>
          <cell r="J1224">
            <v>368</v>
          </cell>
          <cell r="K1224">
            <v>143</v>
          </cell>
          <cell r="L1224">
            <v>35</v>
          </cell>
          <cell r="M1224">
            <v>65.709999999999994</v>
          </cell>
          <cell r="N1224">
            <v>2015</v>
          </cell>
          <cell r="O1224">
            <v>23</v>
          </cell>
          <cell r="P1224">
            <v>47.7</v>
          </cell>
        </row>
        <row r="1225">
          <cell r="B1225" t="str">
            <v>Seoul National University</v>
          </cell>
          <cell r="C1225" t="str">
            <v>South Korea</v>
          </cell>
          <cell r="D1225">
            <v>1</v>
          </cell>
          <cell r="E1225">
            <v>367</v>
          </cell>
          <cell r="F1225">
            <v>9</v>
          </cell>
          <cell r="G1225">
            <v>218</v>
          </cell>
          <cell r="H1225">
            <v>36</v>
          </cell>
          <cell r="I1225">
            <v>163</v>
          </cell>
          <cell r="J1225">
            <v>146</v>
          </cell>
          <cell r="K1225">
            <v>112</v>
          </cell>
          <cell r="L1225">
            <v>6</v>
          </cell>
          <cell r="M1225">
            <v>64.819999999999993</v>
          </cell>
          <cell r="N1225">
            <v>2015</v>
          </cell>
          <cell r="O1225">
            <v>24</v>
          </cell>
          <cell r="P1225">
            <v>62.3</v>
          </cell>
        </row>
        <row r="1226">
          <cell r="B1226" t="str">
            <v>University of Wisconsinâ€“Madison</v>
          </cell>
          <cell r="C1226" t="str">
            <v>USA</v>
          </cell>
          <cell r="D1226">
            <v>18</v>
          </cell>
          <cell r="E1226">
            <v>29</v>
          </cell>
          <cell r="F1226">
            <v>29</v>
          </cell>
          <cell r="G1226">
            <v>34</v>
          </cell>
          <cell r="H1226">
            <v>21</v>
          </cell>
          <cell r="I1226">
            <v>24</v>
          </cell>
          <cell r="J1226">
            <v>22</v>
          </cell>
          <cell r="K1226">
            <v>27</v>
          </cell>
          <cell r="L1226">
            <v>27</v>
          </cell>
          <cell r="M1226">
            <v>64.510000000000005</v>
          </cell>
          <cell r="N1226">
            <v>2015</v>
          </cell>
          <cell r="O1226">
            <v>25</v>
          </cell>
          <cell r="P1226" t="e">
            <v>#N/A</v>
          </cell>
        </row>
        <row r="1227">
          <cell r="B1227" t="str">
            <v>University of California, San Francisco</v>
          </cell>
          <cell r="C1227" t="str">
            <v>USA</v>
          </cell>
          <cell r="D1227">
            <v>19</v>
          </cell>
          <cell r="E1227">
            <v>367</v>
          </cell>
          <cell r="F1227">
            <v>567</v>
          </cell>
          <cell r="G1227">
            <v>20</v>
          </cell>
          <cell r="H1227">
            <v>22</v>
          </cell>
          <cell r="I1227">
            <v>7</v>
          </cell>
          <cell r="J1227">
            <v>15</v>
          </cell>
          <cell r="K1227">
            <v>11</v>
          </cell>
          <cell r="L1227">
            <v>56</v>
          </cell>
          <cell r="M1227">
            <v>63.69</v>
          </cell>
          <cell r="N1227">
            <v>2015</v>
          </cell>
          <cell r="O1227">
            <v>26</v>
          </cell>
          <cell r="P1227" t="e">
            <v>#N/A</v>
          </cell>
        </row>
        <row r="1228">
          <cell r="B1228" t="str">
            <v>University College London</v>
          </cell>
          <cell r="C1228" t="str">
            <v>United Kingdom</v>
          </cell>
          <cell r="D1228">
            <v>3</v>
          </cell>
          <cell r="E1228">
            <v>21</v>
          </cell>
          <cell r="F1228">
            <v>447</v>
          </cell>
          <cell r="G1228">
            <v>27</v>
          </cell>
          <cell r="H1228">
            <v>12</v>
          </cell>
          <cell r="I1228">
            <v>22</v>
          </cell>
          <cell r="J1228">
            <v>15</v>
          </cell>
          <cell r="K1228">
            <v>18</v>
          </cell>
          <cell r="L1228">
            <v>67</v>
          </cell>
          <cell r="M1228">
            <v>62.27</v>
          </cell>
          <cell r="N1228">
            <v>2015</v>
          </cell>
          <cell r="O1228">
            <v>27</v>
          </cell>
          <cell r="P1228">
            <v>74</v>
          </cell>
        </row>
        <row r="1229">
          <cell r="B1229" t="str">
            <v>Duke University</v>
          </cell>
          <cell r="C1229" t="str">
            <v>USA</v>
          </cell>
          <cell r="D1229">
            <v>20</v>
          </cell>
          <cell r="E1229">
            <v>74</v>
          </cell>
          <cell r="F1229">
            <v>31</v>
          </cell>
          <cell r="G1229">
            <v>56</v>
          </cell>
          <cell r="H1229">
            <v>19</v>
          </cell>
          <cell r="I1229">
            <v>23</v>
          </cell>
          <cell r="J1229">
            <v>15</v>
          </cell>
          <cell r="K1229">
            <v>16</v>
          </cell>
          <cell r="L1229">
            <v>33</v>
          </cell>
          <cell r="M1229">
            <v>61.55</v>
          </cell>
          <cell r="N1229">
            <v>2015</v>
          </cell>
          <cell r="O1229">
            <v>28</v>
          </cell>
          <cell r="P1229">
            <v>66.8</v>
          </cell>
        </row>
        <row r="1230">
          <cell r="B1230" t="str">
            <v>Rockefeller University</v>
          </cell>
          <cell r="C1230" t="str">
            <v>USA</v>
          </cell>
          <cell r="D1230">
            <v>21</v>
          </cell>
          <cell r="E1230">
            <v>49</v>
          </cell>
          <cell r="F1230">
            <v>567</v>
          </cell>
          <cell r="G1230">
            <v>12</v>
          </cell>
          <cell r="H1230">
            <v>372</v>
          </cell>
          <cell r="I1230">
            <v>28</v>
          </cell>
          <cell r="J1230">
            <v>115</v>
          </cell>
          <cell r="K1230">
            <v>70</v>
          </cell>
          <cell r="L1230">
            <v>289</v>
          </cell>
          <cell r="M1230">
            <v>61.28</v>
          </cell>
          <cell r="N1230">
            <v>2015</v>
          </cell>
          <cell r="O1230">
            <v>29</v>
          </cell>
          <cell r="P1230" t="e">
            <v>#N/A</v>
          </cell>
        </row>
        <row r="1231">
          <cell r="B1231" t="str">
            <v>University of Texas at Austin</v>
          </cell>
          <cell r="C1231" t="str">
            <v>USA</v>
          </cell>
          <cell r="D1231">
            <v>22</v>
          </cell>
          <cell r="E1231">
            <v>75</v>
          </cell>
          <cell r="F1231">
            <v>36</v>
          </cell>
          <cell r="G1231">
            <v>25</v>
          </cell>
          <cell r="H1231">
            <v>48</v>
          </cell>
          <cell r="I1231">
            <v>50</v>
          </cell>
          <cell r="J1231">
            <v>26</v>
          </cell>
          <cell r="K1231">
            <v>71</v>
          </cell>
          <cell r="L1231">
            <v>38</v>
          </cell>
          <cell r="M1231">
            <v>61.14</v>
          </cell>
          <cell r="N1231">
            <v>2015</v>
          </cell>
          <cell r="O1231">
            <v>30</v>
          </cell>
          <cell r="P1231">
            <v>69.5</v>
          </cell>
        </row>
        <row r="1232">
          <cell r="B1232" t="str">
            <v>University of Washington - Seattle</v>
          </cell>
          <cell r="C1232" t="str">
            <v>USA</v>
          </cell>
          <cell r="D1232">
            <v>23</v>
          </cell>
          <cell r="E1232">
            <v>48</v>
          </cell>
          <cell r="F1232">
            <v>103</v>
          </cell>
          <cell r="G1232">
            <v>41</v>
          </cell>
          <cell r="H1232">
            <v>9</v>
          </cell>
          <cell r="I1232">
            <v>10</v>
          </cell>
          <cell r="J1232">
            <v>10</v>
          </cell>
          <cell r="K1232">
            <v>5</v>
          </cell>
          <cell r="L1232">
            <v>40</v>
          </cell>
          <cell r="M1232">
            <v>60.61</v>
          </cell>
          <cell r="N1232">
            <v>2015</v>
          </cell>
          <cell r="O1232">
            <v>31</v>
          </cell>
          <cell r="P1232" t="e">
            <v>#N/A</v>
          </cell>
        </row>
        <row r="1233">
          <cell r="B1233" t="str">
            <v>University of Toronto</v>
          </cell>
          <cell r="C1233" t="str">
            <v>Canada</v>
          </cell>
          <cell r="D1233">
            <v>1</v>
          </cell>
          <cell r="E1233">
            <v>70</v>
          </cell>
          <cell r="F1233">
            <v>51</v>
          </cell>
          <cell r="G1233">
            <v>32</v>
          </cell>
          <cell r="H1233">
            <v>2</v>
          </cell>
          <cell r="I1233">
            <v>17</v>
          </cell>
          <cell r="J1233">
            <v>9</v>
          </cell>
          <cell r="K1233">
            <v>8</v>
          </cell>
          <cell r="L1233">
            <v>145</v>
          </cell>
          <cell r="M1233">
            <v>60.04</v>
          </cell>
          <cell r="N1233">
            <v>2015</v>
          </cell>
          <cell r="O1233">
            <v>32</v>
          </cell>
          <cell r="P1233">
            <v>75.8</v>
          </cell>
        </row>
        <row r="1234">
          <cell r="B1234" t="str">
            <v>University of Illinois at Urbanaâ€“Champaign</v>
          </cell>
          <cell r="C1234" t="str">
            <v>USA</v>
          </cell>
          <cell r="D1234">
            <v>24</v>
          </cell>
          <cell r="E1234">
            <v>33</v>
          </cell>
          <cell r="F1234">
            <v>75</v>
          </cell>
          <cell r="G1234">
            <v>21</v>
          </cell>
          <cell r="H1234">
            <v>40</v>
          </cell>
          <cell r="I1234">
            <v>48</v>
          </cell>
          <cell r="J1234">
            <v>42</v>
          </cell>
          <cell r="K1234">
            <v>74</v>
          </cell>
          <cell r="L1234">
            <v>65</v>
          </cell>
          <cell r="M1234">
            <v>59.94</v>
          </cell>
          <cell r="N1234">
            <v>2015</v>
          </cell>
          <cell r="O1234">
            <v>33</v>
          </cell>
          <cell r="P1234" t="e">
            <v>#N/A</v>
          </cell>
        </row>
        <row r="1235">
          <cell r="B1235" t="str">
            <v>Keio University</v>
          </cell>
          <cell r="C1235" t="str">
            <v>Japan</v>
          </cell>
          <cell r="D1235">
            <v>3</v>
          </cell>
          <cell r="E1235">
            <v>284</v>
          </cell>
          <cell r="F1235">
            <v>5</v>
          </cell>
          <cell r="G1235">
            <v>218</v>
          </cell>
          <cell r="H1235">
            <v>309</v>
          </cell>
          <cell r="I1235">
            <v>246</v>
          </cell>
          <cell r="J1235">
            <v>368</v>
          </cell>
          <cell r="K1235">
            <v>270</v>
          </cell>
          <cell r="L1235">
            <v>80</v>
          </cell>
          <cell r="M1235">
            <v>59.84</v>
          </cell>
          <cell r="N1235">
            <v>2015</v>
          </cell>
          <cell r="O1235">
            <v>34</v>
          </cell>
          <cell r="P1235">
            <v>32.299999999999997</v>
          </cell>
        </row>
        <row r="1236">
          <cell r="B1236" t="str">
            <v>Imperial College London</v>
          </cell>
          <cell r="C1236" t="str">
            <v>United Kingdom</v>
          </cell>
          <cell r="D1236">
            <v>4</v>
          </cell>
          <cell r="E1236">
            <v>90</v>
          </cell>
          <cell r="F1236">
            <v>82</v>
          </cell>
          <cell r="G1236">
            <v>30</v>
          </cell>
          <cell r="H1236">
            <v>19</v>
          </cell>
          <cell r="I1236">
            <v>26</v>
          </cell>
          <cell r="J1236">
            <v>23</v>
          </cell>
          <cell r="K1236">
            <v>19</v>
          </cell>
          <cell r="L1236">
            <v>47</v>
          </cell>
          <cell r="M1236">
            <v>59.61</v>
          </cell>
          <cell r="N1236">
            <v>2015</v>
          </cell>
          <cell r="O1236">
            <v>35</v>
          </cell>
          <cell r="P1236">
            <v>89.2</v>
          </cell>
        </row>
        <row r="1237">
          <cell r="B1237" t="str">
            <v>Ã‰cole Polytechnique</v>
          </cell>
          <cell r="C1237" t="str">
            <v>France</v>
          </cell>
          <cell r="D1237">
            <v>1</v>
          </cell>
          <cell r="E1237">
            <v>98</v>
          </cell>
          <cell r="F1237">
            <v>7</v>
          </cell>
          <cell r="G1237">
            <v>216</v>
          </cell>
          <cell r="H1237">
            <v>327</v>
          </cell>
          <cell r="I1237">
            <v>314</v>
          </cell>
          <cell r="J1237">
            <v>234</v>
          </cell>
          <cell r="K1237">
            <v>295</v>
          </cell>
          <cell r="L1237">
            <v>172</v>
          </cell>
          <cell r="M1237">
            <v>59.2</v>
          </cell>
          <cell r="N1237">
            <v>2015</v>
          </cell>
          <cell r="O1237">
            <v>36</v>
          </cell>
          <cell r="P1237">
            <v>57.9</v>
          </cell>
        </row>
        <row r="1238">
          <cell r="B1238" t="str">
            <v>Ã‰cole normale supÃ©rieure - Paris</v>
          </cell>
          <cell r="C1238" t="str">
            <v>France</v>
          </cell>
          <cell r="D1238">
            <v>2</v>
          </cell>
          <cell r="E1238">
            <v>8</v>
          </cell>
          <cell r="F1238">
            <v>502</v>
          </cell>
          <cell r="G1238">
            <v>54</v>
          </cell>
          <cell r="H1238">
            <v>379</v>
          </cell>
          <cell r="I1238">
            <v>157</v>
          </cell>
          <cell r="J1238">
            <v>645</v>
          </cell>
          <cell r="K1238">
            <v>295</v>
          </cell>
          <cell r="L1238">
            <v>871</v>
          </cell>
          <cell r="M1238">
            <v>58.8</v>
          </cell>
          <cell r="N1238">
            <v>2015</v>
          </cell>
          <cell r="O1238">
            <v>37</v>
          </cell>
          <cell r="P1238" t="e">
            <v>#N/A</v>
          </cell>
        </row>
        <row r="1239">
          <cell r="B1239" t="str">
            <v>Waseda University</v>
          </cell>
          <cell r="C1239" t="str">
            <v>Japan</v>
          </cell>
          <cell r="D1239">
            <v>4</v>
          </cell>
          <cell r="E1239">
            <v>288</v>
          </cell>
          <cell r="F1239">
            <v>8</v>
          </cell>
          <cell r="G1239">
            <v>218</v>
          </cell>
          <cell r="H1239">
            <v>406</v>
          </cell>
          <cell r="I1239">
            <v>389</v>
          </cell>
          <cell r="J1239">
            <v>368</v>
          </cell>
          <cell r="K1239">
            <v>388</v>
          </cell>
          <cell r="L1239">
            <v>248</v>
          </cell>
          <cell r="M1239">
            <v>58.17</v>
          </cell>
          <cell r="N1239">
            <v>2015</v>
          </cell>
          <cell r="O1239">
            <v>38</v>
          </cell>
          <cell r="P1239">
            <v>25.4</v>
          </cell>
        </row>
        <row r="1240">
          <cell r="B1240" t="str">
            <v>Weizmann Institute of Science</v>
          </cell>
          <cell r="C1240" t="str">
            <v>Israel</v>
          </cell>
          <cell r="D1240">
            <v>2</v>
          </cell>
          <cell r="E1240">
            <v>19</v>
          </cell>
          <cell r="F1240">
            <v>567</v>
          </cell>
          <cell r="G1240">
            <v>22</v>
          </cell>
          <cell r="H1240">
            <v>246</v>
          </cell>
          <cell r="I1240">
            <v>63</v>
          </cell>
          <cell r="J1240">
            <v>234</v>
          </cell>
          <cell r="K1240">
            <v>143</v>
          </cell>
          <cell r="L1240">
            <v>45</v>
          </cell>
          <cell r="M1240">
            <v>57.17</v>
          </cell>
          <cell r="N1240">
            <v>2015</v>
          </cell>
          <cell r="O1240">
            <v>39</v>
          </cell>
          <cell r="P1240" t="e">
            <v>#N/A</v>
          </cell>
        </row>
        <row r="1241">
          <cell r="B1241" t="str">
            <v>University of North Carolina at Chapel Hill</v>
          </cell>
          <cell r="C1241" t="str">
            <v>USA</v>
          </cell>
          <cell r="D1241">
            <v>25</v>
          </cell>
          <cell r="E1241">
            <v>124</v>
          </cell>
          <cell r="F1241">
            <v>69</v>
          </cell>
          <cell r="G1241">
            <v>86</v>
          </cell>
          <cell r="H1241">
            <v>32</v>
          </cell>
          <cell r="I1241">
            <v>32</v>
          </cell>
          <cell r="J1241">
            <v>19</v>
          </cell>
          <cell r="K1241">
            <v>21</v>
          </cell>
          <cell r="L1241">
            <v>41</v>
          </cell>
          <cell r="M1241">
            <v>57.09</v>
          </cell>
          <cell r="N1241">
            <v>2015</v>
          </cell>
          <cell r="O1241">
            <v>40</v>
          </cell>
          <cell r="P1241">
            <v>70.900000000000006</v>
          </cell>
        </row>
        <row r="1242">
          <cell r="B1242" t="str">
            <v>University of Virginia</v>
          </cell>
          <cell r="C1242" t="str">
            <v>USA</v>
          </cell>
          <cell r="D1242">
            <v>26</v>
          </cell>
          <cell r="E1242">
            <v>209</v>
          </cell>
          <cell r="F1242">
            <v>20</v>
          </cell>
          <cell r="G1242">
            <v>126</v>
          </cell>
          <cell r="H1242">
            <v>94</v>
          </cell>
          <cell r="I1242">
            <v>74</v>
          </cell>
          <cell r="J1242">
            <v>88</v>
          </cell>
          <cell r="K1242">
            <v>90</v>
          </cell>
          <cell r="L1242">
            <v>97</v>
          </cell>
          <cell r="M1242">
            <v>56.73</v>
          </cell>
          <cell r="N1242">
            <v>2015</v>
          </cell>
          <cell r="O1242">
            <v>41</v>
          </cell>
          <cell r="P1242">
            <v>62</v>
          </cell>
        </row>
        <row r="1243">
          <cell r="B1243" t="str">
            <v>McGill University</v>
          </cell>
          <cell r="C1243" t="str">
            <v>Canada</v>
          </cell>
          <cell r="D1243">
            <v>2</v>
          </cell>
          <cell r="E1243">
            <v>34</v>
          </cell>
          <cell r="F1243">
            <v>37</v>
          </cell>
          <cell r="G1243">
            <v>75</v>
          </cell>
          <cell r="H1243">
            <v>33</v>
          </cell>
          <cell r="I1243">
            <v>53</v>
          </cell>
          <cell r="J1243">
            <v>44</v>
          </cell>
          <cell r="K1243">
            <v>34</v>
          </cell>
          <cell r="L1243">
            <v>132</v>
          </cell>
          <cell r="M1243">
            <v>56.49</v>
          </cell>
          <cell r="N1243">
            <v>2015</v>
          </cell>
          <cell r="O1243">
            <v>42</v>
          </cell>
          <cell r="P1243">
            <v>69</v>
          </cell>
        </row>
        <row r="1244">
          <cell r="B1244" t="str">
            <v>Purdue University, West Lafayette</v>
          </cell>
          <cell r="C1244" t="str">
            <v>USA</v>
          </cell>
          <cell r="D1244">
            <v>27</v>
          </cell>
          <cell r="E1244">
            <v>55</v>
          </cell>
          <cell r="F1244">
            <v>33</v>
          </cell>
          <cell r="G1244">
            <v>47</v>
          </cell>
          <cell r="H1244">
            <v>75</v>
          </cell>
          <cell r="I1244">
            <v>95</v>
          </cell>
          <cell r="J1244">
            <v>68</v>
          </cell>
          <cell r="K1244">
            <v>117</v>
          </cell>
          <cell r="L1244">
            <v>28</v>
          </cell>
          <cell r="M1244">
            <v>56.39</v>
          </cell>
          <cell r="N1244">
            <v>2015</v>
          </cell>
          <cell r="O1244">
            <v>43</v>
          </cell>
          <cell r="P1244" t="e">
            <v>#N/A</v>
          </cell>
        </row>
        <row r="1245">
          <cell r="B1245" t="str">
            <v>Dartmouth College</v>
          </cell>
          <cell r="C1245" t="str">
            <v>USA</v>
          </cell>
          <cell r="D1245">
            <v>28</v>
          </cell>
          <cell r="E1245">
            <v>40</v>
          </cell>
          <cell r="F1245">
            <v>19</v>
          </cell>
          <cell r="G1245">
            <v>218</v>
          </cell>
          <cell r="H1245">
            <v>246</v>
          </cell>
          <cell r="I1245">
            <v>167</v>
          </cell>
          <cell r="J1245">
            <v>136</v>
          </cell>
          <cell r="K1245">
            <v>154</v>
          </cell>
          <cell r="L1245">
            <v>63</v>
          </cell>
          <cell r="M1245">
            <v>56.35</v>
          </cell>
          <cell r="N1245">
            <v>2015</v>
          </cell>
          <cell r="O1245">
            <v>44</v>
          </cell>
          <cell r="P1245">
            <v>44.7</v>
          </cell>
        </row>
        <row r="1246">
          <cell r="B1246" t="str">
            <v>Osaka University</v>
          </cell>
          <cell r="C1246" t="str">
            <v>Japan</v>
          </cell>
          <cell r="D1246">
            <v>5</v>
          </cell>
          <cell r="E1246">
            <v>46</v>
          </cell>
          <cell r="F1246">
            <v>39</v>
          </cell>
          <cell r="G1246">
            <v>75</v>
          </cell>
          <cell r="H1246">
            <v>50</v>
          </cell>
          <cell r="I1246">
            <v>58</v>
          </cell>
          <cell r="J1246">
            <v>182</v>
          </cell>
          <cell r="K1246">
            <v>67</v>
          </cell>
          <cell r="L1246">
            <v>18</v>
          </cell>
          <cell r="M1246">
            <v>56.03</v>
          </cell>
          <cell r="N1246">
            <v>2015</v>
          </cell>
          <cell r="O1246">
            <v>45</v>
          </cell>
          <cell r="P1246">
            <v>61.7</v>
          </cell>
        </row>
        <row r="1247">
          <cell r="B1247" t="str">
            <v>University of Pittsburgh - Pittsburgh Campus</v>
          </cell>
          <cell r="C1247" t="str">
            <v>USA</v>
          </cell>
          <cell r="D1247">
            <v>29</v>
          </cell>
          <cell r="E1247">
            <v>79</v>
          </cell>
          <cell r="F1247">
            <v>169</v>
          </cell>
          <cell r="G1247">
            <v>218</v>
          </cell>
          <cell r="H1247">
            <v>25</v>
          </cell>
          <cell r="I1247">
            <v>57</v>
          </cell>
          <cell r="J1247">
            <v>21</v>
          </cell>
          <cell r="K1247">
            <v>24</v>
          </cell>
          <cell r="L1247">
            <v>50</v>
          </cell>
          <cell r="M1247">
            <v>55.63</v>
          </cell>
          <cell r="N1247">
            <v>2015</v>
          </cell>
          <cell r="O1247">
            <v>46</v>
          </cell>
          <cell r="P1247" t="e">
            <v>#N/A</v>
          </cell>
        </row>
        <row r="1248">
          <cell r="B1248" t="str">
            <v>Pennsylvania State University, University Park</v>
          </cell>
          <cell r="C1248" t="str">
            <v>USA</v>
          </cell>
          <cell r="D1248">
            <v>30</v>
          </cell>
          <cell r="E1248">
            <v>230</v>
          </cell>
          <cell r="F1248">
            <v>44</v>
          </cell>
          <cell r="G1248">
            <v>62</v>
          </cell>
          <cell r="H1248">
            <v>49</v>
          </cell>
          <cell r="I1248">
            <v>43</v>
          </cell>
          <cell r="J1248">
            <v>28</v>
          </cell>
          <cell r="K1248">
            <v>38</v>
          </cell>
          <cell r="L1248">
            <v>92</v>
          </cell>
          <cell r="M1248">
            <v>55.54</v>
          </cell>
          <cell r="N1248">
            <v>2015</v>
          </cell>
          <cell r="O1248">
            <v>47</v>
          </cell>
          <cell r="P1248" t="e">
            <v>#N/A</v>
          </cell>
        </row>
        <row r="1249">
          <cell r="B1249" t="str">
            <v>University of Minnesota, Twin Cities</v>
          </cell>
          <cell r="C1249" t="str">
            <v>USA</v>
          </cell>
          <cell r="D1249">
            <v>31</v>
          </cell>
          <cell r="E1249">
            <v>63</v>
          </cell>
          <cell r="F1249">
            <v>130</v>
          </cell>
          <cell r="G1249">
            <v>63</v>
          </cell>
          <cell r="H1249">
            <v>23</v>
          </cell>
          <cell r="I1249">
            <v>40</v>
          </cell>
          <cell r="J1249">
            <v>31</v>
          </cell>
          <cell r="K1249">
            <v>28</v>
          </cell>
          <cell r="L1249">
            <v>59</v>
          </cell>
          <cell r="M1249">
            <v>55.51</v>
          </cell>
          <cell r="N1249">
            <v>2015</v>
          </cell>
          <cell r="O1249">
            <v>48</v>
          </cell>
          <cell r="P1249" t="e">
            <v>#N/A</v>
          </cell>
        </row>
        <row r="1250">
          <cell r="B1250" t="str">
            <v>Ohio State University, Columbus</v>
          </cell>
          <cell r="C1250" t="str">
            <v>USA</v>
          </cell>
          <cell r="D1250">
            <v>32</v>
          </cell>
          <cell r="E1250">
            <v>96</v>
          </cell>
          <cell r="F1250">
            <v>87</v>
          </cell>
          <cell r="G1250">
            <v>82</v>
          </cell>
          <cell r="H1250">
            <v>28</v>
          </cell>
          <cell r="I1250">
            <v>52</v>
          </cell>
          <cell r="J1250">
            <v>31</v>
          </cell>
          <cell r="K1250">
            <v>38</v>
          </cell>
          <cell r="L1250">
            <v>44</v>
          </cell>
          <cell r="M1250">
            <v>55.39</v>
          </cell>
          <cell r="N1250">
            <v>2015</v>
          </cell>
          <cell r="O1250">
            <v>49</v>
          </cell>
          <cell r="P1250" t="e">
            <v>#N/A</v>
          </cell>
        </row>
        <row r="1251">
          <cell r="B1251" t="str">
            <v>Rutgers University-New Brunswick</v>
          </cell>
          <cell r="C1251" t="str">
            <v>USA</v>
          </cell>
          <cell r="D1251">
            <v>33</v>
          </cell>
          <cell r="E1251">
            <v>91</v>
          </cell>
          <cell r="F1251">
            <v>40</v>
          </cell>
          <cell r="G1251">
            <v>37</v>
          </cell>
          <cell r="H1251">
            <v>100</v>
          </cell>
          <cell r="I1251">
            <v>66</v>
          </cell>
          <cell r="J1251">
            <v>46</v>
          </cell>
          <cell r="K1251">
            <v>89</v>
          </cell>
          <cell r="L1251">
            <v>61</v>
          </cell>
          <cell r="M1251">
            <v>55.23</v>
          </cell>
          <cell r="N1251">
            <v>2015</v>
          </cell>
          <cell r="O1251">
            <v>50</v>
          </cell>
          <cell r="P1251" t="e">
            <v>#N/A</v>
          </cell>
        </row>
        <row r="1252">
          <cell r="B1252" t="str">
            <v>University of Southern California</v>
          </cell>
          <cell r="C1252" t="str">
            <v>USA</v>
          </cell>
          <cell r="D1252">
            <v>34</v>
          </cell>
          <cell r="E1252">
            <v>152</v>
          </cell>
          <cell r="F1252">
            <v>62</v>
          </cell>
          <cell r="G1252">
            <v>39</v>
          </cell>
          <cell r="H1252">
            <v>57</v>
          </cell>
          <cell r="I1252">
            <v>64</v>
          </cell>
          <cell r="J1252">
            <v>101</v>
          </cell>
          <cell r="K1252">
            <v>56</v>
          </cell>
          <cell r="L1252">
            <v>34</v>
          </cell>
          <cell r="M1252">
            <v>55.12</v>
          </cell>
          <cell r="N1252">
            <v>2015</v>
          </cell>
          <cell r="O1252">
            <v>51</v>
          </cell>
          <cell r="P1252">
            <v>65.400000000000006</v>
          </cell>
        </row>
        <row r="1253">
          <cell r="B1253" t="str">
            <v>Washington University in St. Louis</v>
          </cell>
          <cell r="C1253" t="str">
            <v>USA</v>
          </cell>
          <cell r="D1253">
            <v>35</v>
          </cell>
          <cell r="E1253">
            <v>101</v>
          </cell>
          <cell r="F1253">
            <v>96</v>
          </cell>
          <cell r="G1253">
            <v>71</v>
          </cell>
          <cell r="H1253">
            <v>41</v>
          </cell>
          <cell r="I1253">
            <v>21</v>
          </cell>
          <cell r="J1253">
            <v>29</v>
          </cell>
          <cell r="K1253">
            <v>17</v>
          </cell>
          <cell r="L1253">
            <v>169</v>
          </cell>
          <cell r="M1253">
            <v>55.03</v>
          </cell>
          <cell r="N1253">
            <v>2015</v>
          </cell>
          <cell r="O1253">
            <v>52</v>
          </cell>
          <cell r="P1253" t="e">
            <v>#N/A</v>
          </cell>
        </row>
        <row r="1254">
          <cell r="B1254" t="str">
            <v>University of California, Davis</v>
          </cell>
          <cell r="C1254" t="str">
            <v>USA</v>
          </cell>
          <cell r="D1254">
            <v>36</v>
          </cell>
          <cell r="E1254">
            <v>54</v>
          </cell>
          <cell r="F1254">
            <v>227</v>
          </cell>
          <cell r="G1254">
            <v>59</v>
          </cell>
          <cell r="H1254">
            <v>29</v>
          </cell>
          <cell r="I1254">
            <v>33</v>
          </cell>
          <cell r="J1254">
            <v>35</v>
          </cell>
          <cell r="K1254">
            <v>52</v>
          </cell>
          <cell r="L1254">
            <v>62</v>
          </cell>
          <cell r="M1254">
            <v>54.85</v>
          </cell>
          <cell r="N1254">
            <v>2015</v>
          </cell>
          <cell r="O1254">
            <v>53</v>
          </cell>
          <cell r="P1254">
            <v>57.3</v>
          </cell>
        </row>
        <row r="1255">
          <cell r="B1255" t="str">
            <v>University of Colorado Boulder</v>
          </cell>
          <cell r="C1255" t="str">
            <v>USA</v>
          </cell>
          <cell r="D1255">
            <v>37</v>
          </cell>
          <cell r="E1255">
            <v>80</v>
          </cell>
          <cell r="F1255">
            <v>67</v>
          </cell>
          <cell r="G1255">
            <v>31</v>
          </cell>
          <cell r="H1255">
            <v>96</v>
          </cell>
          <cell r="I1255">
            <v>38</v>
          </cell>
          <cell r="J1255">
            <v>45</v>
          </cell>
          <cell r="K1255">
            <v>74</v>
          </cell>
          <cell r="L1255">
            <v>133</v>
          </cell>
          <cell r="M1255">
            <v>54.62</v>
          </cell>
          <cell r="N1255">
            <v>2015</v>
          </cell>
          <cell r="O1255">
            <v>54</v>
          </cell>
          <cell r="P1255">
            <v>46.4</v>
          </cell>
        </row>
        <row r="1256">
          <cell r="B1256" t="str">
            <v>University of Edinburgh</v>
          </cell>
          <cell r="C1256" t="str">
            <v>United Kingdom</v>
          </cell>
          <cell r="D1256">
            <v>5</v>
          </cell>
          <cell r="E1256">
            <v>44</v>
          </cell>
          <cell r="F1256">
            <v>127</v>
          </cell>
          <cell r="G1256">
            <v>33</v>
          </cell>
          <cell r="H1256">
            <v>54</v>
          </cell>
          <cell r="I1256">
            <v>37</v>
          </cell>
          <cell r="J1256">
            <v>65</v>
          </cell>
          <cell r="K1256">
            <v>43</v>
          </cell>
          <cell r="L1256">
            <v>228</v>
          </cell>
          <cell r="M1256">
            <v>54.39</v>
          </cell>
          <cell r="N1256">
            <v>2015</v>
          </cell>
          <cell r="O1256">
            <v>55</v>
          </cell>
          <cell r="P1256">
            <v>59.9</v>
          </cell>
        </row>
        <row r="1257">
          <cell r="B1257" t="str">
            <v>Peking University</v>
          </cell>
          <cell r="C1257" t="str">
            <v>China</v>
          </cell>
          <cell r="D1257">
            <v>1</v>
          </cell>
          <cell r="E1257">
            <v>182</v>
          </cell>
          <cell r="F1257">
            <v>38</v>
          </cell>
          <cell r="G1257">
            <v>218</v>
          </cell>
          <cell r="H1257">
            <v>52</v>
          </cell>
          <cell r="I1257">
            <v>131</v>
          </cell>
          <cell r="J1257">
            <v>182</v>
          </cell>
          <cell r="K1257">
            <v>125</v>
          </cell>
          <cell r="L1257">
            <v>20</v>
          </cell>
          <cell r="M1257">
            <v>54.26</v>
          </cell>
          <cell r="N1257">
            <v>2015</v>
          </cell>
          <cell r="O1257">
            <v>56</v>
          </cell>
          <cell r="P1257">
            <v>76.400000000000006</v>
          </cell>
        </row>
        <row r="1258">
          <cell r="B1258" t="str">
            <v>National Taiwan University</v>
          </cell>
          <cell r="C1258" t="str">
            <v>Taiwan</v>
          </cell>
          <cell r="D1258">
            <v>1</v>
          </cell>
          <cell r="E1258">
            <v>92</v>
          </cell>
          <cell r="F1258">
            <v>25</v>
          </cell>
          <cell r="G1258">
            <v>218</v>
          </cell>
          <cell r="H1258">
            <v>46</v>
          </cell>
          <cell r="I1258">
            <v>223</v>
          </cell>
          <cell r="J1258">
            <v>182</v>
          </cell>
          <cell r="K1258">
            <v>204</v>
          </cell>
          <cell r="L1258">
            <v>695</v>
          </cell>
          <cell r="M1258">
            <v>54.23</v>
          </cell>
          <cell r="N1258">
            <v>2015</v>
          </cell>
          <cell r="O1258">
            <v>57</v>
          </cell>
          <cell r="P1258">
            <v>50.3</v>
          </cell>
        </row>
        <row r="1259">
          <cell r="B1259" t="str">
            <v>University of Paris-Sud</v>
          </cell>
          <cell r="C1259" t="str">
            <v>France</v>
          </cell>
          <cell r="D1259">
            <v>3</v>
          </cell>
          <cell r="E1259">
            <v>26</v>
          </cell>
          <cell r="F1259">
            <v>393</v>
          </cell>
          <cell r="G1259">
            <v>26</v>
          </cell>
          <cell r="H1259">
            <v>73</v>
          </cell>
          <cell r="I1259">
            <v>86</v>
          </cell>
          <cell r="J1259">
            <v>115</v>
          </cell>
          <cell r="K1259">
            <v>97</v>
          </cell>
          <cell r="L1259">
            <v>324</v>
          </cell>
          <cell r="M1259">
            <v>54.21</v>
          </cell>
          <cell r="N1259">
            <v>2015</v>
          </cell>
          <cell r="O1259">
            <v>58</v>
          </cell>
          <cell r="P1259" t="e">
            <v>#N/A</v>
          </cell>
        </row>
        <row r="1260">
          <cell r="B1260" t="str">
            <v>Lomonosov Moscow State University</v>
          </cell>
          <cell r="C1260" t="str">
            <v>Russia</v>
          </cell>
          <cell r="D1260">
            <v>1</v>
          </cell>
          <cell r="E1260">
            <v>14</v>
          </cell>
          <cell r="F1260">
            <v>175</v>
          </cell>
          <cell r="G1260">
            <v>48</v>
          </cell>
          <cell r="H1260">
            <v>268</v>
          </cell>
          <cell r="I1260">
            <v>254</v>
          </cell>
          <cell r="J1260">
            <v>287</v>
          </cell>
          <cell r="K1260">
            <v>344</v>
          </cell>
          <cell r="L1260">
            <v>861</v>
          </cell>
          <cell r="M1260">
            <v>54.19</v>
          </cell>
          <cell r="N1260">
            <v>2015</v>
          </cell>
          <cell r="O1260">
            <v>59</v>
          </cell>
          <cell r="P1260">
            <v>47.9</v>
          </cell>
        </row>
        <row r="1261">
          <cell r="B1261" t="str">
            <v>University of Florida</v>
          </cell>
          <cell r="C1261" t="str">
            <v>USA</v>
          </cell>
          <cell r="D1261">
            <v>38</v>
          </cell>
          <cell r="E1261">
            <v>214</v>
          </cell>
          <cell r="F1261">
            <v>276</v>
          </cell>
          <cell r="G1261">
            <v>96</v>
          </cell>
          <cell r="H1261">
            <v>37</v>
          </cell>
          <cell r="I1261">
            <v>73</v>
          </cell>
          <cell r="J1261">
            <v>46</v>
          </cell>
          <cell r="K1261">
            <v>59</v>
          </cell>
          <cell r="L1261">
            <v>5</v>
          </cell>
          <cell r="M1261">
            <v>54.18</v>
          </cell>
          <cell r="N1261">
            <v>2015</v>
          </cell>
          <cell r="O1261">
            <v>60</v>
          </cell>
          <cell r="P1261">
            <v>46.7</v>
          </cell>
        </row>
        <row r="1262">
          <cell r="B1262" t="str">
            <v>Carnegie Mellon University</v>
          </cell>
          <cell r="C1262" t="str">
            <v>USA</v>
          </cell>
          <cell r="D1262">
            <v>39</v>
          </cell>
          <cell r="E1262">
            <v>25</v>
          </cell>
          <cell r="F1262">
            <v>160</v>
          </cell>
          <cell r="G1262">
            <v>23</v>
          </cell>
          <cell r="H1262">
            <v>211</v>
          </cell>
          <cell r="I1262">
            <v>225</v>
          </cell>
          <cell r="J1262">
            <v>78</v>
          </cell>
          <cell r="K1262">
            <v>150</v>
          </cell>
          <cell r="L1262">
            <v>165</v>
          </cell>
          <cell r="M1262">
            <v>54</v>
          </cell>
          <cell r="N1262">
            <v>2015</v>
          </cell>
          <cell r="O1262">
            <v>61</v>
          </cell>
          <cell r="P1262">
            <v>70.3</v>
          </cell>
        </row>
        <row r="1263">
          <cell r="B1263" t="str">
            <v>University of British Columbia</v>
          </cell>
          <cell r="C1263" t="str">
            <v>Canada</v>
          </cell>
          <cell r="D1263">
            <v>3</v>
          </cell>
          <cell r="E1263">
            <v>81</v>
          </cell>
          <cell r="F1263">
            <v>275</v>
          </cell>
          <cell r="G1263">
            <v>93</v>
          </cell>
          <cell r="H1263">
            <v>26</v>
          </cell>
          <cell r="I1263">
            <v>36</v>
          </cell>
          <cell r="J1263">
            <v>37</v>
          </cell>
          <cell r="K1263">
            <v>34</v>
          </cell>
          <cell r="L1263">
            <v>81</v>
          </cell>
          <cell r="M1263">
            <v>53.92</v>
          </cell>
          <cell r="N1263">
            <v>2015</v>
          </cell>
          <cell r="O1263">
            <v>62</v>
          </cell>
          <cell r="P1263">
            <v>65.099999999999994</v>
          </cell>
        </row>
        <row r="1264">
          <cell r="B1264" t="str">
            <v>Pierre-and-Marie-Curie University</v>
          </cell>
          <cell r="C1264" t="str">
            <v>France</v>
          </cell>
          <cell r="D1264">
            <v>4</v>
          </cell>
          <cell r="E1264">
            <v>30</v>
          </cell>
          <cell r="F1264">
            <v>404</v>
          </cell>
          <cell r="G1264">
            <v>88</v>
          </cell>
          <cell r="H1264">
            <v>31</v>
          </cell>
          <cell r="I1264">
            <v>35</v>
          </cell>
          <cell r="J1264">
            <v>68</v>
          </cell>
          <cell r="K1264">
            <v>63</v>
          </cell>
          <cell r="L1264">
            <v>87</v>
          </cell>
          <cell r="M1264">
            <v>53.79</v>
          </cell>
          <cell r="N1264">
            <v>2015</v>
          </cell>
          <cell r="O1264">
            <v>63</v>
          </cell>
          <cell r="P1264" t="e">
            <v>#N/A</v>
          </cell>
        </row>
        <row r="1265">
          <cell r="B1265" t="str">
            <v>University of California, Santa Barbara</v>
          </cell>
          <cell r="C1265" t="str">
            <v>USA</v>
          </cell>
          <cell r="D1265">
            <v>40</v>
          </cell>
          <cell r="E1265">
            <v>133</v>
          </cell>
          <cell r="F1265">
            <v>280</v>
          </cell>
          <cell r="G1265">
            <v>29</v>
          </cell>
          <cell r="H1265">
            <v>111</v>
          </cell>
          <cell r="I1265">
            <v>59</v>
          </cell>
          <cell r="J1265">
            <v>46</v>
          </cell>
          <cell r="K1265">
            <v>55</v>
          </cell>
          <cell r="L1265">
            <v>77</v>
          </cell>
          <cell r="M1265">
            <v>53.63</v>
          </cell>
          <cell r="N1265">
            <v>2015</v>
          </cell>
          <cell r="O1265">
            <v>64</v>
          </cell>
          <cell r="P1265">
            <v>56.6</v>
          </cell>
        </row>
        <row r="1266">
          <cell r="B1266" t="str">
            <v>National University of Singapore</v>
          </cell>
          <cell r="C1266" t="str">
            <v>Singapore</v>
          </cell>
          <cell r="D1266">
            <v>1</v>
          </cell>
          <cell r="E1266">
            <v>367</v>
          </cell>
          <cell r="F1266">
            <v>98</v>
          </cell>
          <cell r="G1266">
            <v>218</v>
          </cell>
          <cell r="H1266">
            <v>34</v>
          </cell>
          <cell r="I1266">
            <v>125</v>
          </cell>
          <cell r="J1266">
            <v>78</v>
          </cell>
          <cell r="K1266">
            <v>90</v>
          </cell>
          <cell r="L1266">
            <v>25</v>
          </cell>
          <cell r="M1266">
            <v>53.44</v>
          </cell>
          <cell r="N1266">
            <v>2015</v>
          </cell>
          <cell r="O1266">
            <v>65</v>
          </cell>
          <cell r="P1266">
            <v>65.5</v>
          </cell>
        </row>
        <row r="1267">
          <cell r="B1267" t="str">
            <v>Boston University</v>
          </cell>
          <cell r="C1267" t="str">
            <v>USA</v>
          </cell>
          <cell r="D1267">
            <v>41</v>
          </cell>
          <cell r="E1267">
            <v>303</v>
          </cell>
          <cell r="F1267">
            <v>54</v>
          </cell>
          <cell r="G1267">
            <v>83</v>
          </cell>
          <cell r="H1267">
            <v>60</v>
          </cell>
          <cell r="I1267">
            <v>45</v>
          </cell>
          <cell r="J1267">
            <v>37</v>
          </cell>
          <cell r="K1267">
            <v>34</v>
          </cell>
          <cell r="L1267">
            <v>135</v>
          </cell>
          <cell r="M1267">
            <v>53.43</v>
          </cell>
          <cell r="N1267">
            <v>2015</v>
          </cell>
          <cell r="O1267">
            <v>66</v>
          </cell>
          <cell r="P1267">
            <v>53.6</v>
          </cell>
        </row>
        <row r="1268">
          <cell r="B1268" t="str">
            <v>University of Manchester</v>
          </cell>
          <cell r="C1268" t="str">
            <v>United Kingdom</v>
          </cell>
          <cell r="D1268">
            <v>6</v>
          </cell>
          <cell r="E1268">
            <v>99</v>
          </cell>
          <cell r="F1268">
            <v>92</v>
          </cell>
          <cell r="G1268">
            <v>72</v>
          </cell>
          <cell r="H1268">
            <v>43</v>
          </cell>
          <cell r="I1268">
            <v>70</v>
          </cell>
          <cell r="J1268">
            <v>29</v>
          </cell>
          <cell r="K1268">
            <v>53</v>
          </cell>
          <cell r="L1268">
            <v>142</v>
          </cell>
          <cell r="M1268">
            <v>53.38</v>
          </cell>
          <cell r="N1268">
            <v>2015</v>
          </cell>
          <cell r="O1268">
            <v>67</v>
          </cell>
          <cell r="P1268">
            <v>56.5</v>
          </cell>
        </row>
        <row r="1269">
          <cell r="B1269" t="str">
            <v>University of Arizona</v>
          </cell>
          <cell r="C1269" t="str">
            <v>USA</v>
          </cell>
          <cell r="D1269">
            <v>42</v>
          </cell>
          <cell r="E1269">
            <v>139</v>
          </cell>
          <cell r="F1269">
            <v>55</v>
          </cell>
          <cell r="G1269">
            <v>87</v>
          </cell>
          <cell r="H1269">
            <v>74</v>
          </cell>
          <cell r="I1269">
            <v>39</v>
          </cell>
          <cell r="J1269">
            <v>31</v>
          </cell>
          <cell r="K1269">
            <v>49</v>
          </cell>
          <cell r="L1269">
            <v>235</v>
          </cell>
          <cell r="M1269">
            <v>53.26</v>
          </cell>
          <cell r="N1269">
            <v>2015</v>
          </cell>
          <cell r="O1269">
            <v>68</v>
          </cell>
          <cell r="P1269">
            <v>52.4</v>
          </cell>
        </row>
        <row r="1270">
          <cell r="B1270" t="str">
            <v>Vanderbilt University</v>
          </cell>
          <cell r="C1270" t="str">
            <v>USA</v>
          </cell>
          <cell r="D1270">
            <v>43</v>
          </cell>
          <cell r="E1270">
            <v>87</v>
          </cell>
          <cell r="F1270">
            <v>94</v>
          </cell>
          <cell r="G1270">
            <v>110</v>
          </cell>
          <cell r="H1270">
            <v>55</v>
          </cell>
          <cell r="I1270">
            <v>62</v>
          </cell>
          <cell r="J1270">
            <v>59</v>
          </cell>
          <cell r="K1270">
            <v>41</v>
          </cell>
          <cell r="L1270">
            <v>51</v>
          </cell>
          <cell r="M1270">
            <v>53.05</v>
          </cell>
          <cell r="N1270">
            <v>2015</v>
          </cell>
          <cell r="O1270">
            <v>69</v>
          </cell>
          <cell r="P1270">
            <v>64.900000000000006</v>
          </cell>
        </row>
        <row r="1271">
          <cell r="B1271" t="str">
            <v>University of Utah</v>
          </cell>
          <cell r="C1271" t="str">
            <v>USA</v>
          </cell>
          <cell r="D1271">
            <v>44</v>
          </cell>
          <cell r="E1271">
            <v>97</v>
          </cell>
          <cell r="F1271">
            <v>105</v>
          </cell>
          <cell r="G1271">
            <v>67</v>
          </cell>
          <cell r="H1271">
            <v>97</v>
          </cell>
          <cell r="I1271">
            <v>65</v>
          </cell>
          <cell r="J1271">
            <v>101</v>
          </cell>
          <cell r="K1271">
            <v>90</v>
          </cell>
          <cell r="L1271">
            <v>19</v>
          </cell>
          <cell r="M1271">
            <v>52.89</v>
          </cell>
          <cell r="N1271">
            <v>2015</v>
          </cell>
          <cell r="O1271">
            <v>70</v>
          </cell>
          <cell r="P1271">
            <v>55.8</v>
          </cell>
        </row>
        <row r="1272">
          <cell r="B1272" t="str">
            <v>Karolinska Institute</v>
          </cell>
          <cell r="C1272" t="str">
            <v>Sweden</v>
          </cell>
          <cell r="D1272">
            <v>1</v>
          </cell>
          <cell r="E1272">
            <v>149</v>
          </cell>
          <cell r="F1272">
            <v>567</v>
          </cell>
          <cell r="G1272">
            <v>36</v>
          </cell>
          <cell r="H1272">
            <v>51</v>
          </cell>
          <cell r="I1272">
            <v>54</v>
          </cell>
          <cell r="J1272">
            <v>52</v>
          </cell>
          <cell r="K1272">
            <v>34</v>
          </cell>
          <cell r="L1272">
            <v>743</v>
          </cell>
          <cell r="M1272">
            <v>52.79</v>
          </cell>
          <cell r="N1272">
            <v>2015</v>
          </cell>
          <cell r="O1272">
            <v>71</v>
          </cell>
          <cell r="P1272">
            <v>65.8</v>
          </cell>
        </row>
        <row r="1273">
          <cell r="B1273" t="str">
            <v>University of Maryland, College Park</v>
          </cell>
          <cell r="C1273" t="str">
            <v>USA</v>
          </cell>
          <cell r="D1273">
            <v>45</v>
          </cell>
          <cell r="E1273">
            <v>68</v>
          </cell>
          <cell r="F1273">
            <v>210</v>
          </cell>
          <cell r="G1273">
            <v>43</v>
          </cell>
          <cell r="H1273">
            <v>58</v>
          </cell>
          <cell r="I1273">
            <v>47</v>
          </cell>
          <cell r="J1273">
            <v>39</v>
          </cell>
          <cell r="K1273">
            <v>67</v>
          </cell>
          <cell r="L1273">
            <v>280</v>
          </cell>
          <cell r="M1273">
            <v>52.72</v>
          </cell>
          <cell r="N1273">
            <v>2015</v>
          </cell>
          <cell r="O1273">
            <v>72</v>
          </cell>
          <cell r="P1273">
            <v>45.4</v>
          </cell>
        </row>
        <row r="1274">
          <cell r="B1274" t="str">
            <v>Tohoku University</v>
          </cell>
          <cell r="C1274" t="str">
            <v>Japan</v>
          </cell>
          <cell r="D1274">
            <v>6</v>
          </cell>
          <cell r="E1274">
            <v>41</v>
          </cell>
          <cell r="F1274">
            <v>170</v>
          </cell>
          <cell r="G1274">
            <v>218</v>
          </cell>
          <cell r="H1274">
            <v>68</v>
          </cell>
          <cell r="I1274">
            <v>127</v>
          </cell>
          <cell r="J1274">
            <v>115</v>
          </cell>
          <cell r="K1274">
            <v>119</v>
          </cell>
          <cell r="L1274">
            <v>22</v>
          </cell>
          <cell r="M1274">
            <v>52.57</v>
          </cell>
          <cell r="N1274">
            <v>2015</v>
          </cell>
          <cell r="O1274">
            <v>73</v>
          </cell>
          <cell r="P1274">
            <v>60.3</v>
          </cell>
        </row>
        <row r="1275">
          <cell r="B1275" t="str">
            <v>University of Copenhagen</v>
          </cell>
          <cell r="C1275" t="str">
            <v>Denmark</v>
          </cell>
          <cell r="D1275">
            <v>1</v>
          </cell>
          <cell r="E1275">
            <v>117</v>
          </cell>
          <cell r="F1275">
            <v>149</v>
          </cell>
          <cell r="G1275">
            <v>64</v>
          </cell>
          <cell r="H1275">
            <v>38</v>
          </cell>
          <cell r="I1275">
            <v>31</v>
          </cell>
          <cell r="J1275">
            <v>59</v>
          </cell>
          <cell r="K1275">
            <v>31</v>
          </cell>
          <cell r="L1275">
            <v>432</v>
          </cell>
          <cell r="M1275">
            <v>52.51</v>
          </cell>
          <cell r="N1275">
            <v>2015</v>
          </cell>
          <cell r="O1275">
            <v>74</v>
          </cell>
          <cell r="P1275">
            <v>44.1</v>
          </cell>
        </row>
        <row r="1276">
          <cell r="B1276" t="str">
            <v>University of Texas Southwestern Medical Center</v>
          </cell>
          <cell r="C1276" t="str">
            <v>USA</v>
          </cell>
          <cell r="D1276">
            <v>46</v>
          </cell>
          <cell r="E1276">
            <v>59</v>
          </cell>
          <cell r="F1276">
            <v>567</v>
          </cell>
          <cell r="G1276">
            <v>35</v>
          </cell>
          <cell r="H1276">
            <v>131</v>
          </cell>
          <cell r="I1276">
            <v>30</v>
          </cell>
          <cell r="J1276">
            <v>78</v>
          </cell>
          <cell r="K1276">
            <v>40</v>
          </cell>
          <cell r="L1276">
            <v>173</v>
          </cell>
          <cell r="M1276">
            <v>52.5</v>
          </cell>
          <cell r="N1276">
            <v>2015</v>
          </cell>
          <cell r="O1276">
            <v>75</v>
          </cell>
          <cell r="P1276" t="e">
            <v>#N/A</v>
          </cell>
        </row>
        <row r="1277">
          <cell r="B1277" t="str">
            <v>Ruprecht Karl University of Heidelberg</v>
          </cell>
          <cell r="C1277" t="str">
            <v>Germany</v>
          </cell>
          <cell r="D1277">
            <v>1</v>
          </cell>
          <cell r="E1277">
            <v>38</v>
          </cell>
          <cell r="F1277">
            <v>402</v>
          </cell>
          <cell r="G1277">
            <v>51</v>
          </cell>
          <cell r="H1277">
            <v>69</v>
          </cell>
          <cell r="I1277">
            <v>61</v>
          </cell>
          <cell r="J1277">
            <v>46</v>
          </cell>
          <cell r="K1277">
            <v>46</v>
          </cell>
          <cell r="L1277">
            <v>243</v>
          </cell>
          <cell r="M1277">
            <v>52.32</v>
          </cell>
          <cell r="N1277">
            <v>2015</v>
          </cell>
          <cell r="O1277">
            <v>76</v>
          </cell>
          <cell r="P1277" t="e">
            <v>#N/A</v>
          </cell>
        </row>
        <row r="1278">
          <cell r="B1278" t="str">
            <v>University of Notre Dame</v>
          </cell>
          <cell r="C1278" t="str">
            <v>USA</v>
          </cell>
          <cell r="D1278">
            <v>47</v>
          </cell>
          <cell r="E1278">
            <v>221</v>
          </cell>
          <cell r="F1278">
            <v>24</v>
          </cell>
          <cell r="G1278">
            <v>155</v>
          </cell>
          <cell r="H1278">
            <v>242</v>
          </cell>
          <cell r="I1278">
            <v>242</v>
          </cell>
          <cell r="J1278">
            <v>182</v>
          </cell>
          <cell r="K1278">
            <v>235</v>
          </cell>
          <cell r="L1278">
            <v>352</v>
          </cell>
          <cell r="M1278">
            <v>52.27</v>
          </cell>
          <cell r="N1278">
            <v>2015</v>
          </cell>
          <cell r="O1278">
            <v>77</v>
          </cell>
          <cell r="P1278">
            <v>56.4</v>
          </cell>
        </row>
        <row r="1279">
          <cell r="B1279" t="str">
            <v>Tsinghua University</v>
          </cell>
          <cell r="C1279" t="str">
            <v>China</v>
          </cell>
          <cell r="D1279">
            <v>2</v>
          </cell>
          <cell r="E1279">
            <v>309</v>
          </cell>
          <cell r="F1279">
            <v>73</v>
          </cell>
          <cell r="G1279">
            <v>218</v>
          </cell>
          <cell r="H1279">
            <v>63</v>
          </cell>
          <cell r="I1279">
            <v>158</v>
          </cell>
          <cell r="J1279">
            <v>65</v>
          </cell>
          <cell r="K1279">
            <v>156</v>
          </cell>
          <cell r="L1279">
            <v>30</v>
          </cell>
          <cell r="M1279">
            <v>52.21</v>
          </cell>
          <cell r="N1279">
            <v>2015</v>
          </cell>
          <cell r="O1279">
            <v>78</v>
          </cell>
          <cell r="P1279">
            <v>74.900000000000006</v>
          </cell>
        </row>
        <row r="1280">
          <cell r="B1280" t="str">
            <v>Ludwig Maximilian University of Munich</v>
          </cell>
          <cell r="C1280" t="str">
            <v>Germany</v>
          </cell>
          <cell r="D1280">
            <v>2</v>
          </cell>
          <cell r="E1280">
            <v>42</v>
          </cell>
          <cell r="F1280">
            <v>129</v>
          </cell>
          <cell r="G1280">
            <v>92</v>
          </cell>
          <cell r="H1280">
            <v>66</v>
          </cell>
          <cell r="I1280">
            <v>55</v>
          </cell>
          <cell r="J1280">
            <v>53</v>
          </cell>
          <cell r="K1280">
            <v>51</v>
          </cell>
          <cell r="L1280">
            <v>167</v>
          </cell>
          <cell r="M1280">
            <v>52.16</v>
          </cell>
          <cell r="N1280">
            <v>2015</v>
          </cell>
          <cell r="O1280">
            <v>79</v>
          </cell>
          <cell r="P1280" t="e">
            <v>#N/A</v>
          </cell>
        </row>
        <row r="1281">
          <cell r="B1281" t="str">
            <v>Georgia Institute of Technology</v>
          </cell>
          <cell r="C1281" t="str">
            <v>USA</v>
          </cell>
          <cell r="D1281">
            <v>48</v>
          </cell>
          <cell r="E1281">
            <v>135</v>
          </cell>
          <cell r="F1281">
            <v>60</v>
          </cell>
          <cell r="G1281">
            <v>218</v>
          </cell>
          <cell r="H1281">
            <v>107</v>
          </cell>
          <cell r="I1281">
            <v>152</v>
          </cell>
          <cell r="J1281">
            <v>78</v>
          </cell>
          <cell r="K1281">
            <v>106</v>
          </cell>
          <cell r="L1281">
            <v>36</v>
          </cell>
          <cell r="M1281">
            <v>52.08</v>
          </cell>
          <cell r="N1281">
            <v>2015</v>
          </cell>
          <cell r="O1281">
            <v>80</v>
          </cell>
          <cell r="P1281">
            <v>67.900000000000006</v>
          </cell>
        </row>
        <row r="1282">
          <cell r="B1282" t="str">
            <v>University of Rochester</v>
          </cell>
          <cell r="C1282" t="str">
            <v>USA</v>
          </cell>
          <cell r="D1282">
            <v>49</v>
          </cell>
          <cell r="E1282">
            <v>72</v>
          </cell>
          <cell r="F1282">
            <v>53</v>
          </cell>
          <cell r="G1282">
            <v>113</v>
          </cell>
          <cell r="H1282">
            <v>114</v>
          </cell>
          <cell r="I1282">
            <v>118</v>
          </cell>
          <cell r="J1282">
            <v>68</v>
          </cell>
          <cell r="K1282">
            <v>79</v>
          </cell>
          <cell r="L1282">
            <v>64</v>
          </cell>
          <cell r="M1282">
            <v>52.03</v>
          </cell>
          <cell r="N1282">
            <v>2015</v>
          </cell>
          <cell r="O1282">
            <v>81</v>
          </cell>
          <cell r="P1282">
            <v>47</v>
          </cell>
        </row>
        <row r="1283">
          <cell r="B1283" t="str">
            <v>Katholieke Universiteit Leuven</v>
          </cell>
          <cell r="C1283" t="str">
            <v>Belgium</v>
          </cell>
          <cell r="D1283">
            <v>1</v>
          </cell>
          <cell r="E1283">
            <v>367</v>
          </cell>
          <cell r="F1283">
            <v>202</v>
          </cell>
          <cell r="G1283">
            <v>218</v>
          </cell>
          <cell r="H1283">
            <v>35</v>
          </cell>
          <cell r="I1283">
            <v>92</v>
          </cell>
          <cell r="J1283">
            <v>53</v>
          </cell>
          <cell r="K1283">
            <v>46</v>
          </cell>
          <cell r="L1283">
            <v>74</v>
          </cell>
          <cell r="M1283">
            <v>52.03</v>
          </cell>
          <cell r="N1283">
            <v>2015</v>
          </cell>
          <cell r="O1283">
            <v>82</v>
          </cell>
          <cell r="P1283" t="e">
            <v>#N/A</v>
          </cell>
        </row>
        <row r="1284">
          <cell r="B1284" t="str">
            <v>Brown University</v>
          </cell>
          <cell r="C1284" t="str">
            <v>USA</v>
          </cell>
          <cell r="D1284">
            <v>50</v>
          </cell>
          <cell r="E1284">
            <v>64</v>
          </cell>
          <cell r="F1284">
            <v>43</v>
          </cell>
          <cell r="G1284">
            <v>73</v>
          </cell>
          <cell r="H1284">
            <v>121</v>
          </cell>
          <cell r="I1284">
            <v>67</v>
          </cell>
          <cell r="J1284">
            <v>76</v>
          </cell>
          <cell r="K1284">
            <v>99</v>
          </cell>
          <cell r="L1284">
            <v>200</v>
          </cell>
          <cell r="M1284">
            <v>52.01</v>
          </cell>
          <cell r="N1284">
            <v>2015</v>
          </cell>
          <cell r="O1284">
            <v>83</v>
          </cell>
          <cell r="P1284">
            <v>59.7</v>
          </cell>
        </row>
        <row r="1285">
          <cell r="B1285" t="str">
            <v>Emory University</v>
          </cell>
          <cell r="C1285" t="str">
            <v>USA</v>
          </cell>
          <cell r="D1285">
            <v>51</v>
          </cell>
          <cell r="E1285">
            <v>367</v>
          </cell>
          <cell r="F1285">
            <v>146</v>
          </cell>
          <cell r="G1285">
            <v>116</v>
          </cell>
          <cell r="H1285">
            <v>67</v>
          </cell>
          <cell r="I1285">
            <v>60</v>
          </cell>
          <cell r="J1285">
            <v>93</v>
          </cell>
          <cell r="K1285">
            <v>41</v>
          </cell>
          <cell r="L1285">
            <v>55</v>
          </cell>
          <cell r="M1285">
            <v>51.85</v>
          </cell>
          <cell r="N1285">
            <v>2015</v>
          </cell>
          <cell r="O1285">
            <v>84</v>
          </cell>
          <cell r="P1285">
            <v>63.4</v>
          </cell>
        </row>
        <row r="1286">
          <cell r="B1286" t="str">
            <v>Erasmus University Rotterdam</v>
          </cell>
          <cell r="C1286" t="str">
            <v>Netherlands</v>
          </cell>
          <cell r="D1286">
            <v>1</v>
          </cell>
          <cell r="E1286">
            <v>367</v>
          </cell>
          <cell r="F1286">
            <v>46</v>
          </cell>
          <cell r="G1286">
            <v>189</v>
          </cell>
          <cell r="H1286">
            <v>87</v>
          </cell>
          <cell r="I1286">
            <v>147</v>
          </cell>
          <cell r="J1286">
            <v>53</v>
          </cell>
          <cell r="K1286">
            <v>44</v>
          </cell>
          <cell r="L1286">
            <v>227</v>
          </cell>
          <cell r="M1286">
            <v>51.78</v>
          </cell>
          <cell r="N1286">
            <v>2015</v>
          </cell>
          <cell r="O1286">
            <v>85</v>
          </cell>
          <cell r="P1286">
            <v>39.4</v>
          </cell>
        </row>
        <row r="1287">
          <cell r="B1287" t="str">
            <v>Tel Aviv University</v>
          </cell>
          <cell r="C1287" t="str">
            <v>Israel</v>
          </cell>
          <cell r="D1287">
            <v>3</v>
          </cell>
          <cell r="E1287">
            <v>77</v>
          </cell>
          <cell r="F1287">
            <v>107</v>
          </cell>
          <cell r="G1287">
            <v>50</v>
          </cell>
          <cell r="H1287">
            <v>98</v>
          </cell>
          <cell r="I1287">
            <v>117</v>
          </cell>
          <cell r="J1287">
            <v>136</v>
          </cell>
          <cell r="K1287">
            <v>154</v>
          </cell>
          <cell r="L1287">
            <v>39</v>
          </cell>
          <cell r="M1287">
            <v>51.75</v>
          </cell>
          <cell r="N1287">
            <v>2015</v>
          </cell>
          <cell r="O1287">
            <v>86</v>
          </cell>
          <cell r="P1287">
            <v>47.3</v>
          </cell>
        </row>
        <row r="1288">
          <cell r="B1288" t="str">
            <v>Utrecht University</v>
          </cell>
          <cell r="C1288" t="str">
            <v>Netherlands</v>
          </cell>
          <cell r="D1288">
            <v>2</v>
          </cell>
          <cell r="E1288">
            <v>84</v>
          </cell>
          <cell r="F1288">
            <v>199</v>
          </cell>
          <cell r="G1288">
            <v>115</v>
          </cell>
          <cell r="H1288">
            <v>39</v>
          </cell>
          <cell r="I1288">
            <v>44</v>
          </cell>
          <cell r="J1288">
            <v>59</v>
          </cell>
          <cell r="K1288">
            <v>46</v>
          </cell>
          <cell r="L1288">
            <v>429</v>
          </cell>
          <cell r="M1288">
            <v>51.74</v>
          </cell>
          <cell r="N1288">
            <v>2015</v>
          </cell>
          <cell r="O1288">
            <v>87</v>
          </cell>
          <cell r="P1288">
            <v>43.4</v>
          </cell>
        </row>
        <row r="1289">
          <cell r="B1289" t="str">
            <v>University of Sydney</v>
          </cell>
          <cell r="C1289" t="str">
            <v>Australia</v>
          </cell>
          <cell r="D1289">
            <v>1</v>
          </cell>
          <cell r="E1289">
            <v>105</v>
          </cell>
          <cell r="F1289">
            <v>198</v>
          </cell>
          <cell r="G1289">
            <v>166</v>
          </cell>
          <cell r="H1289">
            <v>45</v>
          </cell>
          <cell r="I1289">
            <v>103</v>
          </cell>
          <cell r="J1289">
            <v>46</v>
          </cell>
          <cell r="K1289">
            <v>84</v>
          </cell>
          <cell r="L1289">
            <v>75</v>
          </cell>
          <cell r="M1289">
            <v>51.61</v>
          </cell>
          <cell r="N1289">
            <v>2015</v>
          </cell>
          <cell r="O1289">
            <v>88</v>
          </cell>
          <cell r="P1289">
            <v>49.8</v>
          </cell>
        </row>
        <row r="1290">
          <cell r="B1290" t="str">
            <v>University of California, Irvine</v>
          </cell>
          <cell r="C1290" t="str">
            <v>USA</v>
          </cell>
          <cell r="D1290">
            <v>52</v>
          </cell>
          <cell r="E1290">
            <v>227</v>
          </cell>
          <cell r="F1290">
            <v>567</v>
          </cell>
          <cell r="G1290">
            <v>44</v>
          </cell>
          <cell r="H1290">
            <v>78</v>
          </cell>
          <cell r="I1290">
            <v>51</v>
          </cell>
          <cell r="J1290">
            <v>68</v>
          </cell>
          <cell r="K1290">
            <v>54</v>
          </cell>
          <cell r="L1290">
            <v>162</v>
          </cell>
          <cell r="M1290">
            <v>51.51</v>
          </cell>
          <cell r="N1290">
            <v>2015</v>
          </cell>
          <cell r="O1290">
            <v>89</v>
          </cell>
          <cell r="P1290">
            <v>49.4</v>
          </cell>
        </row>
        <row r="1291">
          <cell r="B1291" t="str">
            <v>University of Texas MD Anderson Cancer Center</v>
          </cell>
          <cell r="C1291" t="str">
            <v>USA</v>
          </cell>
          <cell r="D1291">
            <v>53</v>
          </cell>
          <cell r="E1291">
            <v>367</v>
          </cell>
          <cell r="F1291">
            <v>567</v>
          </cell>
          <cell r="G1291">
            <v>80</v>
          </cell>
          <cell r="H1291">
            <v>93</v>
          </cell>
          <cell r="I1291">
            <v>72</v>
          </cell>
          <cell r="J1291">
            <v>42</v>
          </cell>
          <cell r="K1291">
            <v>29</v>
          </cell>
          <cell r="L1291">
            <v>71</v>
          </cell>
          <cell r="M1291">
            <v>51.51</v>
          </cell>
          <cell r="N1291">
            <v>2015</v>
          </cell>
          <cell r="O1291">
            <v>90</v>
          </cell>
          <cell r="P1291" t="e">
            <v>#N/A</v>
          </cell>
        </row>
        <row r="1292">
          <cell r="B1292" t="str">
            <v>Swiss Federal Institute of Technology in Lausanne</v>
          </cell>
          <cell r="C1292" t="str">
            <v>Switzerland</v>
          </cell>
          <cell r="D1292">
            <v>2</v>
          </cell>
          <cell r="E1292">
            <v>367</v>
          </cell>
          <cell r="F1292">
            <v>74</v>
          </cell>
          <cell r="G1292">
            <v>116</v>
          </cell>
          <cell r="H1292">
            <v>124</v>
          </cell>
          <cell r="I1292">
            <v>114</v>
          </cell>
          <cell r="J1292">
            <v>39</v>
          </cell>
          <cell r="K1292">
            <v>110</v>
          </cell>
          <cell r="L1292">
            <v>58</v>
          </cell>
          <cell r="M1292">
            <v>51.47</v>
          </cell>
          <cell r="N1292">
            <v>2015</v>
          </cell>
          <cell r="O1292">
            <v>91</v>
          </cell>
          <cell r="P1292" t="e">
            <v>#N/A</v>
          </cell>
        </row>
        <row r="1293">
          <cell r="B1293" t="str">
            <v>University of Geneva</v>
          </cell>
          <cell r="C1293" t="str">
            <v>Switzerland</v>
          </cell>
          <cell r="D1293">
            <v>3</v>
          </cell>
          <cell r="E1293">
            <v>35</v>
          </cell>
          <cell r="F1293">
            <v>191</v>
          </cell>
          <cell r="G1293">
            <v>42</v>
          </cell>
          <cell r="H1293">
            <v>122</v>
          </cell>
          <cell r="I1293">
            <v>77</v>
          </cell>
          <cell r="J1293">
            <v>115</v>
          </cell>
          <cell r="K1293">
            <v>79</v>
          </cell>
          <cell r="L1293">
            <v>321</v>
          </cell>
          <cell r="M1293">
            <v>51.46</v>
          </cell>
          <cell r="N1293">
            <v>2015</v>
          </cell>
          <cell r="O1293">
            <v>92</v>
          </cell>
          <cell r="P1293">
            <v>46.6</v>
          </cell>
        </row>
        <row r="1294">
          <cell r="B1294" t="str">
            <v>University of Melbourne</v>
          </cell>
          <cell r="C1294" t="str">
            <v>Australia</v>
          </cell>
          <cell r="D1294">
            <v>2</v>
          </cell>
          <cell r="E1294">
            <v>141</v>
          </cell>
          <cell r="F1294">
            <v>113</v>
          </cell>
          <cell r="G1294">
            <v>218</v>
          </cell>
          <cell r="H1294">
            <v>42</v>
          </cell>
          <cell r="I1294">
            <v>68</v>
          </cell>
          <cell r="J1294">
            <v>53</v>
          </cell>
          <cell r="K1294">
            <v>71</v>
          </cell>
          <cell r="L1294">
            <v>223</v>
          </cell>
          <cell r="M1294">
            <v>51.34</v>
          </cell>
          <cell r="N1294">
            <v>2015</v>
          </cell>
          <cell r="O1294">
            <v>93</v>
          </cell>
          <cell r="P1294">
            <v>58.7</v>
          </cell>
        </row>
        <row r="1295">
          <cell r="B1295" t="str">
            <v>King's College London</v>
          </cell>
          <cell r="C1295" t="str">
            <v>United Kingdom</v>
          </cell>
          <cell r="D1295">
            <v>7</v>
          </cell>
          <cell r="E1295">
            <v>27</v>
          </cell>
          <cell r="F1295">
            <v>190</v>
          </cell>
          <cell r="G1295">
            <v>114</v>
          </cell>
          <cell r="H1295">
            <v>76</v>
          </cell>
          <cell r="I1295">
            <v>116</v>
          </cell>
          <cell r="J1295">
            <v>101</v>
          </cell>
          <cell r="K1295">
            <v>74</v>
          </cell>
          <cell r="L1295">
            <v>188</v>
          </cell>
          <cell r="M1295">
            <v>51.31</v>
          </cell>
          <cell r="N1295">
            <v>2015</v>
          </cell>
          <cell r="O1295">
            <v>94</v>
          </cell>
          <cell r="P1295" t="e">
            <v>#N/A</v>
          </cell>
        </row>
        <row r="1296">
          <cell r="B1296" t="str">
            <v>Tufts University</v>
          </cell>
          <cell r="C1296" t="str">
            <v>USA</v>
          </cell>
          <cell r="D1296">
            <v>54</v>
          </cell>
          <cell r="E1296">
            <v>60</v>
          </cell>
          <cell r="F1296">
            <v>48</v>
          </cell>
          <cell r="G1296">
            <v>182</v>
          </cell>
          <cell r="H1296">
            <v>166</v>
          </cell>
          <cell r="I1296">
            <v>160</v>
          </cell>
          <cell r="J1296">
            <v>93</v>
          </cell>
          <cell r="K1296">
            <v>85</v>
          </cell>
          <cell r="L1296">
            <v>84</v>
          </cell>
          <cell r="M1296">
            <v>51.22</v>
          </cell>
          <cell r="N1296">
            <v>2015</v>
          </cell>
          <cell r="O1296">
            <v>95</v>
          </cell>
          <cell r="P1296">
            <v>64.099999999999994</v>
          </cell>
        </row>
        <row r="1297">
          <cell r="B1297" t="str">
            <v>University of Zurich</v>
          </cell>
          <cell r="C1297" t="str">
            <v>Switzerland</v>
          </cell>
          <cell r="D1297">
            <v>4</v>
          </cell>
          <cell r="E1297">
            <v>115</v>
          </cell>
          <cell r="F1297">
            <v>389</v>
          </cell>
          <cell r="G1297">
            <v>85</v>
          </cell>
          <cell r="H1297">
            <v>56</v>
          </cell>
          <cell r="I1297">
            <v>46</v>
          </cell>
          <cell r="J1297">
            <v>68</v>
          </cell>
          <cell r="K1297">
            <v>56</v>
          </cell>
          <cell r="L1297">
            <v>137</v>
          </cell>
          <cell r="M1297">
            <v>51.14</v>
          </cell>
          <cell r="N1297">
            <v>2015</v>
          </cell>
          <cell r="O1297">
            <v>96</v>
          </cell>
          <cell r="P1297">
            <v>56.6</v>
          </cell>
        </row>
        <row r="1298">
          <cell r="B1298" t="str">
            <v>Arizona State University</v>
          </cell>
          <cell r="C1298" t="str">
            <v>USA</v>
          </cell>
          <cell r="D1298">
            <v>55</v>
          </cell>
          <cell r="E1298">
            <v>367</v>
          </cell>
          <cell r="F1298">
            <v>455</v>
          </cell>
          <cell r="G1298">
            <v>66</v>
          </cell>
          <cell r="H1298">
            <v>143</v>
          </cell>
          <cell r="I1298">
            <v>85</v>
          </cell>
          <cell r="J1298">
            <v>76</v>
          </cell>
          <cell r="K1298">
            <v>140</v>
          </cell>
          <cell r="L1298">
            <v>21</v>
          </cell>
          <cell r="M1298">
            <v>51.13</v>
          </cell>
          <cell r="N1298">
            <v>2015</v>
          </cell>
          <cell r="O1298">
            <v>97</v>
          </cell>
          <cell r="P1298">
            <v>43</v>
          </cell>
        </row>
        <row r="1299">
          <cell r="B1299" t="str">
            <v>Yonsei University</v>
          </cell>
          <cell r="C1299" t="str">
            <v>South Korea</v>
          </cell>
          <cell r="D1299">
            <v>2</v>
          </cell>
          <cell r="E1299">
            <v>367</v>
          </cell>
          <cell r="F1299">
            <v>45</v>
          </cell>
          <cell r="G1299">
            <v>218</v>
          </cell>
          <cell r="H1299">
            <v>140</v>
          </cell>
          <cell r="I1299">
            <v>326</v>
          </cell>
          <cell r="J1299">
            <v>321</v>
          </cell>
          <cell r="K1299">
            <v>235</v>
          </cell>
          <cell r="L1299">
            <v>23</v>
          </cell>
          <cell r="M1299">
            <v>51.02</v>
          </cell>
          <cell r="N1299">
            <v>2015</v>
          </cell>
          <cell r="O1299">
            <v>98</v>
          </cell>
          <cell r="P1299">
            <v>43</v>
          </cell>
        </row>
        <row r="1300">
          <cell r="B1300" t="str">
            <v>University of Oslo</v>
          </cell>
          <cell r="C1300" t="str">
            <v>Norway</v>
          </cell>
          <cell r="D1300">
            <v>1</v>
          </cell>
          <cell r="E1300">
            <v>53</v>
          </cell>
          <cell r="F1300">
            <v>286</v>
          </cell>
          <cell r="G1300">
            <v>40</v>
          </cell>
          <cell r="H1300">
            <v>106</v>
          </cell>
          <cell r="I1300">
            <v>134</v>
          </cell>
          <cell r="J1300">
            <v>101</v>
          </cell>
          <cell r="K1300">
            <v>102</v>
          </cell>
          <cell r="L1300">
            <v>302</v>
          </cell>
          <cell r="M1300">
            <v>50.81</v>
          </cell>
          <cell r="N1300">
            <v>2015</v>
          </cell>
          <cell r="O1300">
            <v>99</v>
          </cell>
          <cell r="P1300">
            <v>33.5</v>
          </cell>
        </row>
        <row r="1301">
          <cell r="B1301" t="str">
            <v>Kyushu University</v>
          </cell>
          <cell r="C1301" t="str">
            <v>Japan</v>
          </cell>
          <cell r="D1301">
            <v>7</v>
          </cell>
          <cell r="E1301">
            <v>367</v>
          </cell>
          <cell r="F1301">
            <v>49</v>
          </cell>
          <cell r="G1301">
            <v>218</v>
          </cell>
          <cell r="H1301">
            <v>152</v>
          </cell>
          <cell r="I1301">
            <v>182</v>
          </cell>
          <cell r="J1301">
            <v>264</v>
          </cell>
          <cell r="K1301">
            <v>200</v>
          </cell>
          <cell r="L1301">
            <v>37</v>
          </cell>
          <cell r="M1301">
            <v>50.6</v>
          </cell>
          <cell r="N1301">
            <v>2015</v>
          </cell>
          <cell r="O1301">
            <v>100</v>
          </cell>
          <cell r="P1301">
            <v>46.8</v>
          </cell>
        </row>
        <row r="1302">
          <cell r="B1302" t="str">
            <v>Technical University of Munich</v>
          </cell>
          <cell r="C1302" t="str">
            <v>Germany</v>
          </cell>
          <cell r="D1302">
            <v>3</v>
          </cell>
          <cell r="E1302">
            <v>37</v>
          </cell>
          <cell r="F1302">
            <v>118</v>
          </cell>
          <cell r="G1302">
            <v>177</v>
          </cell>
          <cell r="H1302">
            <v>104</v>
          </cell>
          <cell r="I1302">
            <v>90</v>
          </cell>
          <cell r="J1302">
            <v>128</v>
          </cell>
          <cell r="K1302">
            <v>95</v>
          </cell>
          <cell r="L1302">
            <v>119</v>
          </cell>
          <cell r="M1302">
            <v>50.58</v>
          </cell>
          <cell r="N1302">
            <v>2015</v>
          </cell>
          <cell r="O1302">
            <v>101</v>
          </cell>
          <cell r="P1302">
            <v>50.4</v>
          </cell>
        </row>
        <row r="1303">
          <cell r="B1303" t="str">
            <v>Texas A&amp;M University, College Station</v>
          </cell>
          <cell r="C1303" t="str">
            <v>USA</v>
          </cell>
          <cell r="D1303">
            <v>56</v>
          </cell>
          <cell r="E1303">
            <v>339</v>
          </cell>
          <cell r="F1303">
            <v>108</v>
          </cell>
          <cell r="G1303">
            <v>46</v>
          </cell>
          <cell r="H1303">
            <v>77</v>
          </cell>
          <cell r="I1303">
            <v>98</v>
          </cell>
          <cell r="J1303">
            <v>88</v>
          </cell>
          <cell r="K1303">
            <v>143</v>
          </cell>
          <cell r="L1303">
            <v>201</v>
          </cell>
          <cell r="M1303">
            <v>50.43</v>
          </cell>
          <cell r="N1303">
            <v>2015</v>
          </cell>
          <cell r="O1303">
            <v>102</v>
          </cell>
          <cell r="P1303" t="e">
            <v>#N/A</v>
          </cell>
        </row>
        <row r="1304">
          <cell r="B1304" t="str">
            <v>University of Queensland</v>
          </cell>
          <cell r="C1304" t="str">
            <v>Australia</v>
          </cell>
          <cell r="D1304">
            <v>3</v>
          </cell>
          <cell r="E1304">
            <v>269</v>
          </cell>
          <cell r="F1304">
            <v>292</v>
          </cell>
          <cell r="G1304">
            <v>142</v>
          </cell>
          <cell r="H1304">
            <v>65</v>
          </cell>
          <cell r="I1304">
            <v>78</v>
          </cell>
          <cell r="J1304">
            <v>101</v>
          </cell>
          <cell r="K1304">
            <v>99</v>
          </cell>
          <cell r="L1304">
            <v>68</v>
          </cell>
          <cell r="M1304">
            <v>50.4</v>
          </cell>
          <cell r="N1304">
            <v>2015</v>
          </cell>
          <cell r="O1304">
            <v>103</v>
          </cell>
          <cell r="P1304" t="e">
            <v>#N/A</v>
          </cell>
        </row>
        <row r="1305">
          <cell r="B1305" t="str">
            <v>Mines ParisTech</v>
          </cell>
          <cell r="C1305" t="str">
            <v>France</v>
          </cell>
          <cell r="D1305">
            <v>5</v>
          </cell>
          <cell r="E1305">
            <v>278</v>
          </cell>
          <cell r="F1305">
            <v>23</v>
          </cell>
          <cell r="G1305">
            <v>169</v>
          </cell>
          <cell r="H1305">
            <v>977</v>
          </cell>
          <cell r="I1305">
            <v>834</v>
          </cell>
          <cell r="J1305">
            <v>812</v>
          </cell>
          <cell r="K1305">
            <v>906</v>
          </cell>
          <cell r="L1305">
            <v>871</v>
          </cell>
          <cell r="M1305">
            <v>50.34</v>
          </cell>
          <cell r="N1305">
            <v>2015</v>
          </cell>
          <cell r="O1305">
            <v>104</v>
          </cell>
          <cell r="P1305">
            <v>39.5</v>
          </cell>
        </row>
        <row r="1306">
          <cell r="B1306" t="str">
            <v>Case Western Reserve University</v>
          </cell>
          <cell r="C1306" t="str">
            <v>USA</v>
          </cell>
          <cell r="D1306">
            <v>57</v>
          </cell>
          <cell r="E1306">
            <v>50</v>
          </cell>
          <cell r="F1306">
            <v>215</v>
          </cell>
          <cell r="G1306">
            <v>195</v>
          </cell>
          <cell r="H1306">
            <v>137</v>
          </cell>
          <cell r="I1306">
            <v>106</v>
          </cell>
          <cell r="J1306">
            <v>59</v>
          </cell>
          <cell r="K1306">
            <v>74</v>
          </cell>
          <cell r="L1306">
            <v>111</v>
          </cell>
          <cell r="M1306">
            <v>50.28</v>
          </cell>
          <cell r="N1306">
            <v>2015</v>
          </cell>
          <cell r="O1306">
            <v>105</v>
          </cell>
          <cell r="P1306">
            <v>67.2</v>
          </cell>
        </row>
        <row r="1307">
          <cell r="B1307" t="str">
            <v>Indiana University - Bloomington</v>
          </cell>
          <cell r="C1307" t="str">
            <v>USA</v>
          </cell>
          <cell r="D1307">
            <v>58</v>
          </cell>
          <cell r="E1307">
            <v>134</v>
          </cell>
          <cell r="F1307">
            <v>35</v>
          </cell>
          <cell r="G1307">
            <v>178</v>
          </cell>
          <cell r="H1307">
            <v>180</v>
          </cell>
          <cell r="I1307">
            <v>143</v>
          </cell>
          <cell r="J1307">
            <v>161</v>
          </cell>
          <cell r="K1307">
            <v>190</v>
          </cell>
          <cell r="L1307">
            <v>178</v>
          </cell>
          <cell r="M1307">
            <v>50.26</v>
          </cell>
          <cell r="N1307">
            <v>2015</v>
          </cell>
          <cell r="O1307">
            <v>106</v>
          </cell>
          <cell r="P1307" t="e">
            <v>#N/A</v>
          </cell>
        </row>
        <row r="1308">
          <cell r="B1308" t="str">
            <v>University of Alberta</v>
          </cell>
          <cell r="C1308" t="str">
            <v>Canada</v>
          </cell>
          <cell r="D1308">
            <v>4</v>
          </cell>
          <cell r="E1308">
            <v>169</v>
          </cell>
          <cell r="F1308">
            <v>151</v>
          </cell>
          <cell r="G1308">
            <v>153</v>
          </cell>
          <cell r="H1308">
            <v>62</v>
          </cell>
          <cell r="I1308">
            <v>109</v>
          </cell>
          <cell r="J1308">
            <v>82</v>
          </cell>
          <cell r="K1308">
            <v>103</v>
          </cell>
          <cell r="L1308">
            <v>116</v>
          </cell>
          <cell r="M1308">
            <v>50.25</v>
          </cell>
          <cell r="N1308">
            <v>2015</v>
          </cell>
          <cell r="O1308">
            <v>107</v>
          </cell>
          <cell r="P1308">
            <v>53.7</v>
          </cell>
        </row>
        <row r="1309">
          <cell r="B1309" t="str">
            <v>Leiden University</v>
          </cell>
          <cell r="C1309" t="str">
            <v>Netherlands</v>
          </cell>
          <cell r="D1309">
            <v>3</v>
          </cell>
          <cell r="E1309">
            <v>120</v>
          </cell>
          <cell r="F1309">
            <v>567</v>
          </cell>
          <cell r="G1309">
            <v>102</v>
          </cell>
          <cell r="H1309">
            <v>82</v>
          </cell>
          <cell r="I1309">
            <v>94</v>
          </cell>
          <cell r="J1309">
            <v>53</v>
          </cell>
          <cell r="K1309">
            <v>56</v>
          </cell>
          <cell r="L1309">
            <v>260</v>
          </cell>
          <cell r="M1309">
            <v>50.17</v>
          </cell>
          <cell r="N1309">
            <v>2015</v>
          </cell>
          <cell r="O1309">
            <v>108</v>
          </cell>
          <cell r="P1309">
            <v>47.3</v>
          </cell>
        </row>
        <row r="1310">
          <cell r="B1310" t="str">
            <v>Tokyo Institute of Technology</v>
          </cell>
          <cell r="C1310" t="str">
            <v>Japan</v>
          </cell>
          <cell r="D1310">
            <v>8</v>
          </cell>
          <cell r="E1310">
            <v>170</v>
          </cell>
          <cell r="F1310">
            <v>50</v>
          </cell>
          <cell r="G1310">
            <v>128</v>
          </cell>
          <cell r="H1310">
            <v>169</v>
          </cell>
          <cell r="I1310">
            <v>169</v>
          </cell>
          <cell r="J1310">
            <v>136</v>
          </cell>
          <cell r="K1310">
            <v>190</v>
          </cell>
          <cell r="L1310">
            <v>52</v>
          </cell>
          <cell r="M1310">
            <v>50.13</v>
          </cell>
          <cell r="N1310">
            <v>2015</v>
          </cell>
          <cell r="O1310">
            <v>109</v>
          </cell>
          <cell r="P1310">
            <v>62.9</v>
          </cell>
        </row>
        <row r="1311">
          <cell r="B1311" t="str">
            <v>University of Groningen</v>
          </cell>
          <cell r="C1311" t="str">
            <v>Netherlands</v>
          </cell>
          <cell r="D1311">
            <v>4</v>
          </cell>
          <cell r="E1311">
            <v>313</v>
          </cell>
          <cell r="F1311">
            <v>193</v>
          </cell>
          <cell r="G1311">
            <v>196</v>
          </cell>
          <cell r="H1311">
            <v>64</v>
          </cell>
          <cell r="I1311">
            <v>96</v>
          </cell>
          <cell r="J1311">
            <v>68</v>
          </cell>
          <cell r="K1311">
            <v>67</v>
          </cell>
          <cell r="L1311">
            <v>316</v>
          </cell>
          <cell r="M1311">
            <v>50.1</v>
          </cell>
          <cell r="N1311">
            <v>2015</v>
          </cell>
          <cell r="O1311">
            <v>110</v>
          </cell>
          <cell r="P1311">
            <v>41.7</v>
          </cell>
        </row>
        <row r="1312">
          <cell r="B1312" t="str">
            <v>University of Helsinki</v>
          </cell>
          <cell r="C1312" t="str">
            <v>Finland</v>
          </cell>
          <cell r="D1312">
            <v>1</v>
          </cell>
          <cell r="E1312">
            <v>56</v>
          </cell>
          <cell r="F1312">
            <v>551</v>
          </cell>
          <cell r="G1312">
            <v>111</v>
          </cell>
          <cell r="H1312">
            <v>80</v>
          </cell>
          <cell r="I1312">
            <v>79</v>
          </cell>
          <cell r="J1312">
            <v>88</v>
          </cell>
          <cell r="K1312">
            <v>65</v>
          </cell>
          <cell r="L1312">
            <v>420</v>
          </cell>
          <cell r="M1312">
            <v>50.04</v>
          </cell>
          <cell r="N1312">
            <v>2015</v>
          </cell>
          <cell r="O1312">
            <v>111</v>
          </cell>
          <cell r="P1312">
            <v>49</v>
          </cell>
        </row>
        <row r="1313">
          <cell r="B1313" t="str">
            <v>Sapienza University of Rome</v>
          </cell>
          <cell r="C1313" t="str">
            <v>Italy</v>
          </cell>
          <cell r="D1313">
            <v>1</v>
          </cell>
          <cell r="E1313">
            <v>67</v>
          </cell>
          <cell r="F1313">
            <v>205</v>
          </cell>
          <cell r="G1313">
            <v>45</v>
          </cell>
          <cell r="H1313">
            <v>83</v>
          </cell>
          <cell r="I1313">
            <v>166</v>
          </cell>
          <cell r="J1313">
            <v>212</v>
          </cell>
          <cell r="K1313">
            <v>130</v>
          </cell>
          <cell r="L1313">
            <v>312</v>
          </cell>
          <cell r="M1313">
            <v>49.97</v>
          </cell>
          <cell r="N1313">
            <v>2015</v>
          </cell>
          <cell r="O1313">
            <v>112</v>
          </cell>
          <cell r="P1313">
            <v>29.6</v>
          </cell>
        </row>
        <row r="1314">
          <cell r="B1314" t="str">
            <v>Georgetown University</v>
          </cell>
          <cell r="C1314" t="str">
            <v>USA</v>
          </cell>
          <cell r="D1314">
            <v>59</v>
          </cell>
          <cell r="E1314">
            <v>159</v>
          </cell>
          <cell r="F1314">
            <v>34</v>
          </cell>
          <cell r="G1314">
            <v>218</v>
          </cell>
          <cell r="H1314">
            <v>298</v>
          </cell>
          <cell r="I1314">
            <v>321</v>
          </cell>
          <cell r="J1314">
            <v>321</v>
          </cell>
          <cell r="K1314">
            <v>204</v>
          </cell>
          <cell r="L1314">
            <v>122</v>
          </cell>
          <cell r="M1314">
            <v>49.92</v>
          </cell>
          <cell r="N1314">
            <v>2015</v>
          </cell>
          <cell r="O1314">
            <v>113</v>
          </cell>
          <cell r="P1314">
            <v>65.099999999999994</v>
          </cell>
        </row>
        <row r="1315">
          <cell r="B1315" t="str">
            <v>University of Amsterdam</v>
          </cell>
          <cell r="C1315" t="str">
            <v>Netherlands</v>
          </cell>
          <cell r="D1315">
            <v>5</v>
          </cell>
          <cell r="E1315">
            <v>109</v>
          </cell>
          <cell r="F1315">
            <v>317</v>
          </cell>
          <cell r="G1315">
            <v>212</v>
          </cell>
          <cell r="H1315">
            <v>70</v>
          </cell>
          <cell r="I1315">
            <v>88</v>
          </cell>
          <cell r="J1315">
            <v>93</v>
          </cell>
          <cell r="K1315">
            <v>60</v>
          </cell>
          <cell r="L1315">
            <v>282</v>
          </cell>
          <cell r="M1315">
            <v>49.83</v>
          </cell>
          <cell r="N1315">
            <v>2015</v>
          </cell>
          <cell r="O1315">
            <v>114</v>
          </cell>
          <cell r="P1315">
            <v>42.5</v>
          </cell>
        </row>
        <row r="1316">
          <cell r="B1316" t="str">
            <v>Korea University</v>
          </cell>
          <cell r="C1316" t="str">
            <v>South Korea</v>
          </cell>
          <cell r="D1316">
            <v>3</v>
          </cell>
          <cell r="E1316">
            <v>367</v>
          </cell>
          <cell r="F1316">
            <v>58</v>
          </cell>
          <cell r="G1316">
            <v>218</v>
          </cell>
          <cell r="H1316">
            <v>172</v>
          </cell>
          <cell r="I1316">
            <v>411</v>
          </cell>
          <cell r="J1316">
            <v>321</v>
          </cell>
          <cell r="K1316">
            <v>273</v>
          </cell>
          <cell r="L1316">
            <v>26</v>
          </cell>
          <cell r="M1316">
            <v>49.79</v>
          </cell>
          <cell r="N1316">
            <v>2015</v>
          </cell>
          <cell r="O1316">
            <v>115</v>
          </cell>
          <cell r="P1316">
            <v>39.5</v>
          </cell>
        </row>
        <row r="1317">
          <cell r="B1317" t="str">
            <v>University of Barcelona</v>
          </cell>
          <cell r="C1317" t="str">
            <v>Spain</v>
          </cell>
          <cell r="D1317">
            <v>1</v>
          </cell>
          <cell r="E1317">
            <v>367</v>
          </cell>
          <cell r="F1317">
            <v>226</v>
          </cell>
          <cell r="G1317">
            <v>218</v>
          </cell>
          <cell r="H1317">
            <v>61</v>
          </cell>
          <cell r="I1317">
            <v>108</v>
          </cell>
          <cell r="J1317">
            <v>93</v>
          </cell>
          <cell r="K1317">
            <v>83</v>
          </cell>
          <cell r="L1317">
            <v>215</v>
          </cell>
          <cell r="M1317">
            <v>49.79</v>
          </cell>
          <cell r="N1317">
            <v>2015</v>
          </cell>
          <cell r="O1317">
            <v>116</v>
          </cell>
          <cell r="P1317">
            <v>34.1</v>
          </cell>
        </row>
        <row r="1318">
          <cell r="B1318" t="str">
            <v>Lund University</v>
          </cell>
          <cell r="C1318" t="str">
            <v>Sweden</v>
          </cell>
          <cell r="D1318">
            <v>2</v>
          </cell>
          <cell r="E1318">
            <v>136</v>
          </cell>
          <cell r="F1318">
            <v>466</v>
          </cell>
          <cell r="G1318">
            <v>169</v>
          </cell>
          <cell r="H1318">
            <v>85</v>
          </cell>
          <cell r="I1318">
            <v>135</v>
          </cell>
          <cell r="J1318">
            <v>53</v>
          </cell>
          <cell r="K1318">
            <v>60</v>
          </cell>
          <cell r="L1318">
            <v>871</v>
          </cell>
          <cell r="M1318">
            <v>49.75</v>
          </cell>
          <cell r="N1318">
            <v>2015</v>
          </cell>
          <cell r="O1318">
            <v>117</v>
          </cell>
          <cell r="P1318">
            <v>46.3</v>
          </cell>
        </row>
        <row r="1319">
          <cell r="B1319" t="str">
            <v>Michigan State University</v>
          </cell>
          <cell r="C1319" t="str">
            <v>USA</v>
          </cell>
          <cell r="D1319">
            <v>60</v>
          </cell>
          <cell r="E1319">
            <v>112</v>
          </cell>
          <cell r="F1319">
            <v>162</v>
          </cell>
          <cell r="G1319">
            <v>218</v>
          </cell>
          <cell r="H1319">
            <v>88</v>
          </cell>
          <cell r="I1319">
            <v>123</v>
          </cell>
          <cell r="J1319">
            <v>65</v>
          </cell>
          <cell r="K1319">
            <v>111</v>
          </cell>
          <cell r="L1319">
            <v>136</v>
          </cell>
          <cell r="M1319">
            <v>49.74</v>
          </cell>
          <cell r="N1319">
            <v>2015</v>
          </cell>
          <cell r="O1319">
            <v>118</v>
          </cell>
          <cell r="P1319">
            <v>50.4</v>
          </cell>
        </row>
        <row r="1320">
          <cell r="B1320" t="str">
            <v>Ghent University</v>
          </cell>
          <cell r="C1320" t="str">
            <v>Belgium</v>
          </cell>
          <cell r="D1320">
            <v>2</v>
          </cell>
          <cell r="E1320">
            <v>123</v>
          </cell>
          <cell r="F1320">
            <v>329</v>
          </cell>
          <cell r="G1320">
            <v>147</v>
          </cell>
          <cell r="H1320">
            <v>84</v>
          </cell>
          <cell r="I1320">
            <v>149</v>
          </cell>
          <cell r="J1320">
            <v>68</v>
          </cell>
          <cell r="K1320">
            <v>119</v>
          </cell>
          <cell r="L1320">
            <v>90</v>
          </cell>
          <cell r="M1320">
            <v>49.73</v>
          </cell>
          <cell r="N1320">
            <v>2015</v>
          </cell>
          <cell r="O1320">
            <v>119</v>
          </cell>
          <cell r="P1320">
            <v>52.8</v>
          </cell>
        </row>
        <row r="1321">
          <cell r="B1321" t="str">
            <v>Rice University</v>
          </cell>
          <cell r="C1321" t="str">
            <v>USA</v>
          </cell>
          <cell r="D1321">
            <v>61</v>
          </cell>
          <cell r="E1321">
            <v>52</v>
          </cell>
          <cell r="F1321">
            <v>161</v>
          </cell>
          <cell r="G1321">
            <v>95</v>
          </cell>
          <cell r="H1321">
            <v>255</v>
          </cell>
          <cell r="I1321">
            <v>150</v>
          </cell>
          <cell r="J1321">
            <v>59</v>
          </cell>
          <cell r="K1321">
            <v>130</v>
          </cell>
          <cell r="L1321">
            <v>76</v>
          </cell>
          <cell r="M1321">
            <v>49.73</v>
          </cell>
          <cell r="N1321">
            <v>2015</v>
          </cell>
          <cell r="O1321">
            <v>120</v>
          </cell>
          <cell r="P1321">
            <v>57.4</v>
          </cell>
        </row>
        <row r="1322">
          <cell r="B1322" t="str">
            <v>Baylor College of Medicine</v>
          </cell>
          <cell r="C1322" t="str">
            <v>USA</v>
          </cell>
          <cell r="D1322">
            <v>62</v>
          </cell>
          <cell r="E1322">
            <v>367</v>
          </cell>
          <cell r="F1322">
            <v>567</v>
          </cell>
          <cell r="G1322">
            <v>218</v>
          </cell>
          <cell r="H1322">
            <v>113</v>
          </cell>
          <cell r="I1322">
            <v>41</v>
          </cell>
          <cell r="J1322">
            <v>101</v>
          </cell>
          <cell r="K1322">
            <v>44</v>
          </cell>
          <cell r="L1322">
            <v>199</v>
          </cell>
          <cell r="M1322">
            <v>49.7</v>
          </cell>
          <cell r="N1322">
            <v>2015</v>
          </cell>
          <cell r="O1322">
            <v>121</v>
          </cell>
          <cell r="P1322" t="e">
            <v>#N/A</v>
          </cell>
        </row>
        <row r="1323">
          <cell r="B1323" t="str">
            <v>Aarhus University</v>
          </cell>
          <cell r="C1323" t="str">
            <v>Denmark</v>
          </cell>
          <cell r="D1323">
            <v>2</v>
          </cell>
          <cell r="E1323">
            <v>310</v>
          </cell>
          <cell r="F1323">
            <v>165</v>
          </cell>
          <cell r="G1323">
            <v>106</v>
          </cell>
          <cell r="H1323">
            <v>91</v>
          </cell>
          <cell r="I1323">
            <v>81</v>
          </cell>
          <cell r="J1323">
            <v>101</v>
          </cell>
          <cell r="K1323">
            <v>95</v>
          </cell>
          <cell r="L1323">
            <v>154</v>
          </cell>
          <cell r="M1323">
            <v>49.65</v>
          </cell>
          <cell r="N1323">
            <v>2015</v>
          </cell>
          <cell r="O1323">
            <v>122</v>
          </cell>
          <cell r="P1323">
            <v>38.1</v>
          </cell>
        </row>
        <row r="1324">
          <cell r="B1324" t="str">
            <v>University of Bristol</v>
          </cell>
          <cell r="C1324" t="str">
            <v>United Kingdom</v>
          </cell>
          <cell r="D1324">
            <v>8</v>
          </cell>
          <cell r="E1324">
            <v>194</v>
          </cell>
          <cell r="F1324">
            <v>196</v>
          </cell>
          <cell r="G1324">
            <v>74</v>
          </cell>
          <cell r="H1324">
            <v>92</v>
          </cell>
          <cell r="I1324">
            <v>69</v>
          </cell>
          <cell r="J1324">
            <v>82</v>
          </cell>
          <cell r="K1324">
            <v>106</v>
          </cell>
          <cell r="L1324">
            <v>335</v>
          </cell>
          <cell r="M1324">
            <v>49.59</v>
          </cell>
          <cell r="N1324">
            <v>2015</v>
          </cell>
          <cell r="O1324">
            <v>123</v>
          </cell>
          <cell r="P1324">
            <v>49.6</v>
          </cell>
        </row>
        <row r="1325">
          <cell r="B1325" t="str">
            <v>Uppsala University</v>
          </cell>
          <cell r="C1325" t="str">
            <v>Sweden</v>
          </cell>
          <cell r="D1325">
            <v>3</v>
          </cell>
          <cell r="E1325">
            <v>73</v>
          </cell>
          <cell r="F1325">
            <v>321</v>
          </cell>
          <cell r="G1325">
            <v>70</v>
          </cell>
          <cell r="H1325">
            <v>95</v>
          </cell>
          <cell r="I1325">
            <v>75</v>
          </cell>
          <cell r="J1325">
            <v>93</v>
          </cell>
          <cell r="K1325">
            <v>103</v>
          </cell>
          <cell r="L1325">
            <v>871</v>
          </cell>
          <cell r="M1325">
            <v>49.57</v>
          </cell>
          <cell r="N1325">
            <v>2015</v>
          </cell>
          <cell r="O1325">
            <v>124</v>
          </cell>
          <cell r="P1325">
            <v>49.6</v>
          </cell>
        </row>
        <row r="1326">
          <cell r="B1326" t="str">
            <v>Nagoya University</v>
          </cell>
          <cell r="C1326" t="str">
            <v>Japan</v>
          </cell>
          <cell r="D1326">
            <v>9</v>
          </cell>
          <cell r="E1326">
            <v>39</v>
          </cell>
          <cell r="F1326">
            <v>322</v>
          </cell>
          <cell r="G1326">
            <v>53</v>
          </cell>
          <cell r="H1326">
            <v>138</v>
          </cell>
          <cell r="I1326">
            <v>140</v>
          </cell>
          <cell r="J1326">
            <v>146</v>
          </cell>
          <cell r="K1326">
            <v>195</v>
          </cell>
          <cell r="L1326">
            <v>78</v>
          </cell>
          <cell r="M1326">
            <v>49.57</v>
          </cell>
          <cell r="N1326">
            <v>2015</v>
          </cell>
          <cell r="O1326">
            <v>125</v>
          </cell>
          <cell r="P1326">
            <v>45.5</v>
          </cell>
        </row>
        <row r="1327">
          <cell r="B1327" t="str">
            <v>Royal Institute of Technology</v>
          </cell>
          <cell r="C1327" t="str">
            <v>Sweden</v>
          </cell>
          <cell r="D1327">
            <v>4</v>
          </cell>
          <cell r="E1327">
            <v>199</v>
          </cell>
          <cell r="F1327">
            <v>30</v>
          </cell>
          <cell r="G1327">
            <v>105</v>
          </cell>
          <cell r="H1327">
            <v>221</v>
          </cell>
          <cell r="I1327">
            <v>300</v>
          </cell>
          <cell r="J1327">
            <v>321</v>
          </cell>
          <cell r="K1327">
            <v>318</v>
          </cell>
          <cell r="L1327">
            <v>797</v>
          </cell>
          <cell r="M1327">
            <v>49.54</v>
          </cell>
          <cell r="N1327">
            <v>2015</v>
          </cell>
          <cell r="O1327">
            <v>126</v>
          </cell>
          <cell r="P1327" t="e">
            <v>#N/A</v>
          </cell>
        </row>
        <row r="1328">
          <cell r="B1328" t="str">
            <v>University of Colorado Denver</v>
          </cell>
          <cell r="C1328" t="str">
            <v>USA</v>
          </cell>
          <cell r="D1328">
            <v>63</v>
          </cell>
          <cell r="E1328">
            <v>367</v>
          </cell>
          <cell r="F1328">
            <v>567</v>
          </cell>
          <cell r="G1328">
            <v>140</v>
          </cell>
          <cell r="H1328">
            <v>135</v>
          </cell>
          <cell r="I1328">
            <v>110</v>
          </cell>
          <cell r="J1328">
            <v>128</v>
          </cell>
          <cell r="K1328">
            <v>66</v>
          </cell>
          <cell r="L1328">
            <v>72</v>
          </cell>
          <cell r="M1328">
            <v>49.48</v>
          </cell>
          <cell r="N1328">
            <v>2015</v>
          </cell>
          <cell r="O1328">
            <v>127</v>
          </cell>
          <cell r="P1328" t="e">
            <v>#N/A</v>
          </cell>
        </row>
        <row r="1329">
          <cell r="B1329" t="str">
            <v>University of Glasgow</v>
          </cell>
          <cell r="C1329" t="str">
            <v>United Kingdom</v>
          </cell>
          <cell r="D1329">
            <v>9</v>
          </cell>
          <cell r="E1329">
            <v>234</v>
          </cell>
          <cell r="F1329">
            <v>89</v>
          </cell>
          <cell r="G1329">
            <v>218</v>
          </cell>
          <cell r="H1329">
            <v>123</v>
          </cell>
          <cell r="I1329">
            <v>144</v>
          </cell>
          <cell r="J1329">
            <v>82</v>
          </cell>
          <cell r="K1329">
            <v>87</v>
          </cell>
          <cell r="L1329">
            <v>402</v>
          </cell>
          <cell r="M1329">
            <v>49.45</v>
          </cell>
          <cell r="N1329">
            <v>2015</v>
          </cell>
          <cell r="O1329">
            <v>128</v>
          </cell>
          <cell r="P1329">
            <v>45.6</v>
          </cell>
        </row>
        <row r="1330">
          <cell r="B1330" t="str">
            <v>VU University Amsterdam</v>
          </cell>
          <cell r="C1330" t="str">
            <v>Netherlands</v>
          </cell>
          <cell r="D1330">
            <v>6</v>
          </cell>
          <cell r="E1330">
            <v>367</v>
          </cell>
          <cell r="F1330">
            <v>385</v>
          </cell>
          <cell r="G1330">
            <v>218</v>
          </cell>
          <cell r="H1330">
            <v>79</v>
          </cell>
          <cell r="I1330">
            <v>120</v>
          </cell>
          <cell r="J1330">
            <v>68</v>
          </cell>
          <cell r="K1330">
            <v>79</v>
          </cell>
          <cell r="L1330">
            <v>871</v>
          </cell>
          <cell r="M1330">
            <v>49.44</v>
          </cell>
          <cell r="N1330">
            <v>2015</v>
          </cell>
          <cell r="O1330">
            <v>129</v>
          </cell>
          <cell r="P1330">
            <v>47.6</v>
          </cell>
        </row>
        <row r="1331">
          <cell r="B1331" t="str">
            <v>University of New South Wales</v>
          </cell>
          <cell r="C1331" t="str">
            <v>Australia</v>
          </cell>
          <cell r="D1331">
            <v>4</v>
          </cell>
          <cell r="E1331">
            <v>177</v>
          </cell>
          <cell r="F1331">
            <v>70</v>
          </cell>
          <cell r="G1331">
            <v>218</v>
          </cell>
          <cell r="H1331">
            <v>90</v>
          </cell>
          <cell r="I1331">
            <v>177</v>
          </cell>
          <cell r="J1331">
            <v>101</v>
          </cell>
          <cell r="K1331">
            <v>164</v>
          </cell>
          <cell r="L1331">
            <v>157</v>
          </cell>
          <cell r="M1331">
            <v>49.33</v>
          </cell>
          <cell r="N1331">
            <v>2015</v>
          </cell>
          <cell r="O1331">
            <v>130</v>
          </cell>
          <cell r="P1331">
            <v>49.5</v>
          </cell>
        </row>
        <row r="1332">
          <cell r="B1332" t="str">
            <v>Paris Diderot University - Paris 7</v>
          </cell>
          <cell r="C1332" t="str">
            <v>France</v>
          </cell>
          <cell r="D1332">
            <v>6</v>
          </cell>
          <cell r="E1332">
            <v>127</v>
          </cell>
          <cell r="F1332">
            <v>567</v>
          </cell>
          <cell r="G1332">
            <v>68</v>
          </cell>
          <cell r="H1332">
            <v>105</v>
          </cell>
          <cell r="I1332">
            <v>56</v>
          </cell>
          <cell r="J1332">
            <v>115</v>
          </cell>
          <cell r="K1332">
            <v>97</v>
          </cell>
          <cell r="L1332">
            <v>483</v>
          </cell>
          <cell r="M1332">
            <v>49.33</v>
          </cell>
          <cell r="N1332">
            <v>2015</v>
          </cell>
          <cell r="O1332">
            <v>131</v>
          </cell>
          <cell r="P1332" t="e">
            <v>#N/A</v>
          </cell>
        </row>
        <row r="1333">
          <cell r="B1333" t="str">
            <v>University of SÃ£o Paulo</v>
          </cell>
          <cell r="C1333" t="str">
            <v>Brazil</v>
          </cell>
          <cell r="D1333">
            <v>1</v>
          </cell>
          <cell r="E1333">
            <v>297</v>
          </cell>
          <cell r="F1333">
            <v>71</v>
          </cell>
          <cell r="G1333">
            <v>218</v>
          </cell>
          <cell r="H1333">
            <v>59</v>
          </cell>
          <cell r="I1333">
            <v>186</v>
          </cell>
          <cell r="J1333">
            <v>136</v>
          </cell>
          <cell r="K1333">
            <v>164</v>
          </cell>
          <cell r="L1333">
            <v>710</v>
          </cell>
          <cell r="M1333">
            <v>49.31</v>
          </cell>
          <cell r="N1333">
            <v>2015</v>
          </cell>
          <cell r="O1333">
            <v>132</v>
          </cell>
          <cell r="P1333">
            <v>61.7</v>
          </cell>
        </row>
        <row r="1334">
          <cell r="B1334" t="str">
            <v>Western University (The University of Western Ontario)</v>
          </cell>
          <cell r="C1334" t="str">
            <v>Canada</v>
          </cell>
          <cell r="D1334">
            <v>5</v>
          </cell>
          <cell r="E1334">
            <v>367</v>
          </cell>
          <cell r="F1334">
            <v>41</v>
          </cell>
          <cell r="G1334">
            <v>218</v>
          </cell>
          <cell r="H1334">
            <v>149</v>
          </cell>
          <cell r="I1334">
            <v>208</v>
          </cell>
          <cell r="J1334">
            <v>234</v>
          </cell>
          <cell r="K1334">
            <v>190</v>
          </cell>
          <cell r="L1334">
            <v>261</v>
          </cell>
          <cell r="M1334">
            <v>49.31</v>
          </cell>
          <cell r="N1334">
            <v>2015</v>
          </cell>
          <cell r="O1334">
            <v>133</v>
          </cell>
          <cell r="P1334" t="e">
            <v>#N/A</v>
          </cell>
        </row>
        <row r="1335">
          <cell r="B1335" t="str">
            <v>Radboud University Nijmegen</v>
          </cell>
          <cell r="C1335" t="str">
            <v>Netherlands</v>
          </cell>
          <cell r="D1335">
            <v>7</v>
          </cell>
          <cell r="E1335">
            <v>128</v>
          </cell>
          <cell r="F1335">
            <v>274</v>
          </cell>
          <cell r="G1335">
            <v>218</v>
          </cell>
          <cell r="H1335">
            <v>89</v>
          </cell>
          <cell r="I1335">
            <v>119</v>
          </cell>
          <cell r="J1335">
            <v>93</v>
          </cell>
          <cell r="K1335">
            <v>74</v>
          </cell>
          <cell r="L1335">
            <v>410</v>
          </cell>
          <cell r="M1335">
            <v>49.3</v>
          </cell>
          <cell r="N1335">
            <v>2015</v>
          </cell>
          <cell r="O1335">
            <v>134</v>
          </cell>
          <cell r="P1335">
            <v>27.7</v>
          </cell>
        </row>
        <row r="1336">
          <cell r="B1336" t="str">
            <v>Nanyang Technological University</v>
          </cell>
          <cell r="C1336" t="str">
            <v>Singapore</v>
          </cell>
          <cell r="D1336">
            <v>2</v>
          </cell>
          <cell r="E1336">
            <v>367</v>
          </cell>
          <cell r="F1336">
            <v>567</v>
          </cell>
          <cell r="G1336">
            <v>218</v>
          </cell>
          <cell r="H1336">
            <v>102</v>
          </cell>
          <cell r="I1336">
            <v>361</v>
          </cell>
          <cell r="J1336">
            <v>212</v>
          </cell>
          <cell r="K1336">
            <v>204</v>
          </cell>
          <cell r="L1336">
            <v>32</v>
          </cell>
          <cell r="M1336">
            <v>49.29</v>
          </cell>
          <cell r="N1336">
            <v>2015</v>
          </cell>
          <cell r="O1336">
            <v>135</v>
          </cell>
          <cell r="P1336">
            <v>43.6</v>
          </cell>
        </row>
        <row r="1337">
          <cell r="B1337" t="str">
            <v>Technion â€“ Israel Institute of Technology</v>
          </cell>
          <cell r="C1337" t="str">
            <v>Israel</v>
          </cell>
          <cell r="D1337">
            <v>4</v>
          </cell>
          <cell r="E1337">
            <v>45</v>
          </cell>
          <cell r="F1337">
            <v>180</v>
          </cell>
          <cell r="G1337">
            <v>55</v>
          </cell>
          <cell r="H1337">
            <v>186</v>
          </cell>
          <cell r="I1337">
            <v>221</v>
          </cell>
          <cell r="J1337">
            <v>161</v>
          </cell>
          <cell r="K1337">
            <v>209</v>
          </cell>
          <cell r="L1337">
            <v>88</v>
          </cell>
          <cell r="M1337">
            <v>49.12</v>
          </cell>
          <cell r="N1337">
            <v>2015</v>
          </cell>
          <cell r="O1337">
            <v>136</v>
          </cell>
          <cell r="P1337" t="e">
            <v>#N/A</v>
          </cell>
        </row>
        <row r="1338">
          <cell r="B1338" t="str">
            <v>University of Miami</v>
          </cell>
          <cell r="C1338" t="str">
            <v>USA</v>
          </cell>
          <cell r="D1338">
            <v>64</v>
          </cell>
          <cell r="E1338">
            <v>367</v>
          </cell>
          <cell r="F1338">
            <v>241</v>
          </cell>
          <cell r="G1338">
            <v>218</v>
          </cell>
          <cell r="H1338">
            <v>159</v>
          </cell>
          <cell r="I1338">
            <v>130</v>
          </cell>
          <cell r="J1338">
            <v>82</v>
          </cell>
          <cell r="K1338">
            <v>112</v>
          </cell>
          <cell r="L1338">
            <v>73</v>
          </cell>
          <cell r="M1338">
            <v>49.09</v>
          </cell>
          <cell r="N1338">
            <v>2015</v>
          </cell>
          <cell r="O1338">
            <v>137</v>
          </cell>
          <cell r="P1338">
            <v>45.7</v>
          </cell>
        </row>
        <row r="1339">
          <cell r="B1339" t="str">
            <v>Stony Brook University</v>
          </cell>
          <cell r="C1339" t="str">
            <v>USA</v>
          </cell>
          <cell r="D1339">
            <v>65</v>
          </cell>
          <cell r="E1339">
            <v>186</v>
          </cell>
          <cell r="F1339">
            <v>567</v>
          </cell>
          <cell r="G1339">
            <v>58</v>
          </cell>
          <cell r="H1339">
            <v>173</v>
          </cell>
          <cell r="I1339">
            <v>84</v>
          </cell>
          <cell r="J1339">
            <v>93</v>
          </cell>
          <cell r="K1339">
            <v>134</v>
          </cell>
          <cell r="L1339">
            <v>96</v>
          </cell>
          <cell r="M1339">
            <v>49.09</v>
          </cell>
          <cell r="N1339">
            <v>2015</v>
          </cell>
          <cell r="O1339">
            <v>138</v>
          </cell>
          <cell r="P1339">
            <v>48.5</v>
          </cell>
        </row>
        <row r="1340">
          <cell r="B1340" t="str">
            <v>University of Texas at Dallas</v>
          </cell>
          <cell r="C1340" t="str">
            <v>USA</v>
          </cell>
          <cell r="D1340">
            <v>66</v>
          </cell>
          <cell r="E1340">
            <v>367</v>
          </cell>
          <cell r="F1340">
            <v>159</v>
          </cell>
          <cell r="G1340">
            <v>218</v>
          </cell>
          <cell r="H1340">
            <v>250</v>
          </cell>
          <cell r="I1340">
            <v>151</v>
          </cell>
          <cell r="J1340">
            <v>59</v>
          </cell>
          <cell r="K1340">
            <v>49</v>
          </cell>
          <cell r="L1340">
            <v>313</v>
          </cell>
          <cell r="M1340">
            <v>49.05</v>
          </cell>
          <cell r="N1340">
            <v>2015</v>
          </cell>
          <cell r="O1340">
            <v>139</v>
          </cell>
          <cell r="P1340">
            <v>23.6</v>
          </cell>
        </row>
        <row r="1341">
          <cell r="B1341" t="str">
            <v>University of Nottingham</v>
          </cell>
          <cell r="C1341" t="str">
            <v>United Kingdom</v>
          </cell>
          <cell r="D1341">
            <v>10</v>
          </cell>
          <cell r="E1341">
            <v>131</v>
          </cell>
          <cell r="F1341">
            <v>109</v>
          </cell>
          <cell r="G1341">
            <v>84</v>
          </cell>
          <cell r="H1341">
            <v>116</v>
          </cell>
          <cell r="I1341">
            <v>176</v>
          </cell>
          <cell r="J1341">
            <v>146</v>
          </cell>
          <cell r="K1341">
            <v>140</v>
          </cell>
          <cell r="L1341">
            <v>138</v>
          </cell>
          <cell r="M1341">
            <v>49.02</v>
          </cell>
          <cell r="N1341">
            <v>2015</v>
          </cell>
          <cell r="O1341">
            <v>140</v>
          </cell>
          <cell r="P1341">
            <v>46.8</v>
          </cell>
        </row>
        <row r="1342">
          <cell r="B1342" t="str">
            <v>University of Iowa</v>
          </cell>
          <cell r="C1342" t="str">
            <v>USA</v>
          </cell>
          <cell r="D1342">
            <v>67</v>
          </cell>
          <cell r="E1342">
            <v>233</v>
          </cell>
          <cell r="F1342">
            <v>296</v>
          </cell>
          <cell r="G1342">
            <v>167</v>
          </cell>
          <cell r="H1342">
            <v>103</v>
          </cell>
          <cell r="I1342">
            <v>83</v>
          </cell>
          <cell r="J1342">
            <v>115</v>
          </cell>
          <cell r="K1342">
            <v>112</v>
          </cell>
          <cell r="L1342">
            <v>121</v>
          </cell>
          <cell r="M1342">
            <v>49.01</v>
          </cell>
          <cell r="N1342">
            <v>2015</v>
          </cell>
          <cell r="O1342">
            <v>141</v>
          </cell>
          <cell r="P1342">
            <v>48.6</v>
          </cell>
        </row>
        <row r="1343">
          <cell r="B1343" t="str">
            <v>Southern Methodist University</v>
          </cell>
          <cell r="C1343" t="str">
            <v>USA</v>
          </cell>
          <cell r="D1343">
            <v>68</v>
          </cell>
          <cell r="E1343">
            <v>179</v>
          </cell>
          <cell r="F1343">
            <v>28</v>
          </cell>
          <cell r="G1343">
            <v>218</v>
          </cell>
          <cell r="H1343">
            <v>624</v>
          </cell>
          <cell r="I1343">
            <v>655</v>
          </cell>
          <cell r="J1343">
            <v>368</v>
          </cell>
          <cell r="K1343">
            <v>646</v>
          </cell>
          <cell r="L1343">
            <v>824</v>
          </cell>
          <cell r="M1343">
            <v>48.99</v>
          </cell>
          <cell r="N1343">
            <v>2015</v>
          </cell>
          <cell r="O1343">
            <v>142</v>
          </cell>
          <cell r="P1343">
            <v>18.600000000000001</v>
          </cell>
        </row>
        <row r="1344">
          <cell r="B1344" t="str">
            <v>Icahn School of Medicine at Mount Sinai</v>
          </cell>
          <cell r="C1344" t="str">
            <v>USA</v>
          </cell>
          <cell r="D1344">
            <v>69</v>
          </cell>
          <cell r="E1344">
            <v>367</v>
          </cell>
          <cell r="F1344">
            <v>567</v>
          </cell>
          <cell r="G1344">
            <v>218</v>
          </cell>
          <cell r="H1344">
            <v>160</v>
          </cell>
          <cell r="I1344">
            <v>71</v>
          </cell>
          <cell r="J1344">
            <v>161</v>
          </cell>
          <cell r="K1344">
            <v>63</v>
          </cell>
          <cell r="L1344">
            <v>101</v>
          </cell>
          <cell r="M1344">
            <v>48.96</v>
          </cell>
          <cell r="N1344">
            <v>2015</v>
          </cell>
          <cell r="O1344">
            <v>143</v>
          </cell>
          <cell r="P1344" t="e">
            <v>#N/A</v>
          </cell>
        </row>
        <row r="1345">
          <cell r="B1345" t="str">
            <v>Korea Advanced Institute of Science and Technology (KAIST)</v>
          </cell>
          <cell r="C1345" t="str">
            <v>South Korea</v>
          </cell>
          <cell r="D1345">
            <v>4</v>
          </cell>
          <cell r="E1345">
            <v>367</v>
          </cell>
          <cell r="F1345">
            <v>194</v>
          </cell>
          <cell r="G1345">
            <v>218</v>
          </cell>
          <cell r="H1345">
            <v>183</v>
          </cell>
          <cell r="I1345">
            <v>283</v>
          </cell>
          <cell r="J1345">
            <v>368</v>
          </cell>
          <cell r="K1345">
            <v>289</v>
          </cell>
          <cell r="L1345">
            <v>8</v>
          </cell>
          <cell r="M1345">
            <v>48.95</v>
          </cell>
          <cell r="N1345">
            <v>2015</v>
          </cell>
          <cell r="O1345">
            <v>144</v>
          </cell>
          <cell r="P1345">
            <v>71.3</v>
          </cell>
        </row>
        <row r="1346">
          <cell r="B1346" t="str">
            <v>Monash University</v>
          </cell>
          <cell r="C1346" t="str">
            <v>Australia</v>
          </cell>
          <cell r="D1346">
            <v>5</v>
          </cell>
          <cell r="E1346">
            <v>277</v>
          </cell>
          <cell r="F1346">
            <v>145</v>
          </cell>
          <cell r="G1346">
            <v>218</v>
          </cell>
          <cell r="H1346">
            <v>86</v>
          </cell>
          <cell r="I1346">
            <v>136</v>
          </cell>
          <cell r="J1346">
            <v>182</v>
          </cell>
          <cell r="K1346">
            <v>161</v>
          </cell>
          <cell r="L1346">
            <v>99</v>
          </cell>
          <cell r="M1346">
            <v>48.91</v>
          </cell>
          <cell r="N1346">
            <v>2015</v>
          </cell>
          <cell r="O1346">
            <v>145</v>
          </cell>
          <cell r="P1346">
            <v>39.4</v>
          </cell>
        </row>
        <row r="1347">
          <cell r="B1347" t="str">
            <v>University of Alabama at Birmingham</v>
          </cell>
          <cell r="C1347" t="str">
            <v>USA</v>
          </cell>
          <cell r="D1347">
            <v>70</v>
          </cell>
          <cell r="E1347">
            <v>367</v>
          </cell>
          <cell r="F1347">
            <v>567</v>
          </cell>
          <cell r="G1347">
            <v>218</v>
          </cell>
          <cell r="H1347">
            <v>141</v>
          </cell>
          <cell r="I1347">
            <v>124</v>
          </cell>
          <cell r="J1347">
            <v>128</v>
          </cell>
          <cell r="K1347">
            <v>71</v>
          </cell>
          <cell r="L1347">
            <v>130</v>
          </cell>
          <cell r="M1347">
            <v>48.79</v>
          </cell>
          <cell r="N1347">
            <v>2015</v>
          </cell>
          <cell r="O1347">
            <v>146</v>
          </cell>
          <cell r="P1347" t="e">
            <v>#N/A</v>
          </cell>
        </row>
        <row r="1348">
          <cell r="B1348" t="str">
            <v>Free University of Berlin</v>
          </cell>
          <cell r="C1348" t="str">
            <v>Germany</v>
          </cell>
          <cell r="D1348">
            <v>4</v>
          </cell>
          <cell r="E1348">
            <v>76</v>
          </cell>
          <cell r="F1348">
            <v>548</v>
          </cell>
          <cell r="G1348">
            <v>128</v>
          </cell>
          <cell r="H1348">
            <v>109</v>
          </cell>
          <cell r="I1348">
            <v>80</v>
          </cell>
          <cell r="J1348">
            <v>234</v>
          </cell>
          <cell r="K1348">
            <v>90</v>
          </cell>
          <cell r="L1348">
            <v>461</v>
          </cell>
          <cell r="M1348">
            <v>48.78</v>
          </cell>
          <cell r="N1348">
            <v>2015</v>
          </cell>
          <cell r="O1348">
            <v>147</v>
          </cell>
          <cell r="P1348">
            <v>46.3</v>
          </cell>
        </row>
        <row r="1349">
          <cell r="B1349" t="str">
            <v>University of Southampton</v>
          </cell>
          <cell r="C1349" t="str">
            <v>United Kingdom</v>
          </cell>
          <cell r="D1349">
            <v>11</v>
          </cell>
          <cell r="E1349">
            <v>329</v>
          </cell>
          <cell r="F1349">
            <v>95</v>
          </cell>
          <cell r="G1349">
            <v>218</v>
          </cell>
          <cell r="H1349">
            <v>115</v>
          </cell>
          <cell r="I1349">
            <v>133</v>
          </cell>
          <cell r="J1349">
            <v>101</v>
          </cell>
          <cell r="K1349">
            <v>130</v>
          </cell>
          <cell r="L1349">
            <v>334</v>
          </cell>
          <cell r="M1349">
            <v>48.77</v>
          </cell>
          <cell r="N1349">
            <v>2015</v>
          </cell>
          <cell r="O1349">
            <v>148</v>
          </cell>
          <cell r="P1349">
            <v>50.8</v>
          </cell>
        </row>
        <row r="1350">
          <cell r="B1350" t="str">
            <v>University of the Witwatersrand</v>
          </cell>
          <cell r="C1350" t="str">
            <v>South Africa</v>
          </cell>
          <cell r="D1350">
            <v>1</v>
          </cell>
          <cell r="E1350">
            <v>61</v>
          </cell>
          <cell r="F1350">
            <v>32</v>
          </cell>
          <cell r="G1350">
            <v>172</v>
          </cell>
          <cell r="H1350">
            <v>442</v>
          </cell>
          <cell r="I1350">
            <v>237</v>
          </cell>
          <cell r="J1350">
            <v>321</v>
          </cell>
          <cell r="K1350">
            <v>447</v>
          </cell>
          <cell r="L1350">
            <v>291</v>
          </cell>
          <cell r="M1350">
            <v>48.75</v>
          </cell>
          <cell r="N1350">
            <v>2015</v>
          </cell>
          <cell r="O1350">
            <v>149</v>
          </cell>
          <cell r="P1350">
            <v>25.6</v>
          </cell>
        </row>
        <row r="1351">
          <cell r="B1351" t="str">
            <v>McMaster University</v>
          </cell>
          <cell r="C1351" t="str">
            <v>Canada</v>
          </cell>
          <cell r="D1351">
            <v>6</v>
          </cell>
          <cell r="E1351">
            <v>222</v>
          </cell>
          <cell r="F1351">
            <v>268</v>
          </cell>
          <cell r="G1351">
            <v>163</v>
          </cell>
          <cell r="H1351">
            <v>127</v>
          </cell>
          <cell r="I1351">
            <v>156</v>
          </cell>
          <cell r="J1351">
            <v>101</v>
          </cell>
          <cell r="K1351">
            <v>87</v>
          </cell>
          <cell r="L1351">
            <v>222</v>
          </cell>
          <cell r="M1351">
            <v>48.74</v>
          </cell>
          <cell r="N1351">
            <v>2015</v>
          </cell>
          <cell r="O1351">
            <v>150</v>
          </cell>
          <cell r="P1351">
            <v>44.7</v>
          </cell>
        </row>
        <row r="1352">
          <cell r="B1352" t="str">
            <v>University of Montreal</v>
          </cell>
          <cell r="C1352" t="str">
            <v>Canada</v>
          </cell>
          <cell r="D1352">
            <v>7</v>
          </cell>
          <cell r="E1352">
            <v>320</v>
          </cell>
          <cell r="F1352">
            <v>376</v>
          </cell>
          <cell r="G1352">
            <v>218</v>
          </cell>
          <cell r="H1352">
            <v>101</v>
          </cell>
          <cell r="I1352">
            <v>111</v>
          </cell>
          <cell r="J1352">
            <v>101</v>
          </cell>
          <cell r="K1352">
            <v>90</v>
          </cell>
          <cell r="L1352">
            <v>540</v>
          </cell>
          <cell r="M1352">
            <v>48.72</v>
          </cell>
          <cell r="N1352">
            <v>2015</v>
          </cell>
          <cell r="O1352">
            <v>151</v>
          </cell>
          <cell r="P1352">
            <v>56.1</v>
          </cell>
        </row>
        <row r="1353">
          <cell r="B1353" t="str">
            <v>University of Birmingham</v>
          </cell>
          <cell r="C1353" t="str">
            <v>United Kingdom</v>
          </cell>
          <cell r="D1353">
            <v>12</v>
          </cell>
          <cell r="E1353">
            <v>65</v>
          </cell>
          <cell r="F1353">
            <v>158</v>
          </cell>
          <cell r="G1353">
            <v>205</v>
          </cell>
          <cell r="H1353">
            <v>117</v>
          </cell>
          <cell r="I1353">
            <v>165</v>
          </cell>
          <cell r="J1353">
            <v>146</v>
          </cell>
          <cell r="K1353">
            <v>138</v>
          </cell>
          <cell r="L1353">
            <v>170</v>
          </cell>
          <cell r="M1353">
            <v>48.7</v>
          </cell>
          <cell r="N1353">
            <v>2015</v>
          </cell>
          <cell r="O1353">
            <v>152</v>
          </cell>
          <cell r="P1353">
            <v>50.3</v>
          </cell>
        </row>
        <row r="1354">
          <cell r="B1354" t="str">
            <v>Humboldt University of Berlin</v>
          </cell>
          <cell r="C1354" t="str">
            <v>Germany</v>
          </cell>
          <cell r="D1354">
            <v>5</v>
          </cell>
          <cell r="E1354">
            <v>291</v>
          </cell>
          <cell r="F1354">
            <v>567</v>
          </cell>
          <cell r="G1354">
            <v>108</v>
          </cell>
          <cell r="H1354">
            <v>108</v>
          </cell>
          <cell r="I1354">
            <v>82</v>
          </cell>
          <cell r="J1354">
            <v>161</v>
          </cell>
          <cell r="K1354">
            <v>85</v>
          </cell>
          <cell r="L1354">
            <v>471</v>
          </cell>
          <cell r="M1354">
            <v>48.64</v>
          </cell>
          <cell r="N1354">
            <v>2015</v>
          </cell>
          <cell r="O1354">
            <v>153</v>
          </cell>
          <cell r="P1354">
            <v>50.9</v>
          </cell>
        </row>
        <row r="1355">
          <cell r="B1355" t="str">
            <v>University of California, Santa Cruz</v>
          </cell>
          <cell r="C1355" t="str">
            <v>USA</v>
          </cell>
          <cell r="D1355">
            <v>71</v>
          </cell>
          <cell r="E1355">
            <v>175</v>
          </cell>
          <cell r="F1355">
            <v>567</v>
          </cell>
          <cell r="G1355">
            <v>100</v>
          </cell>
          <cell r="H1355">
            <v>243</v>
          </cell>
          <cell r="I1355">
            <v>49</v>
          </cell>
          <cell r="J1355">
            <v>115</v>
          </cell>
          <cell r="K1355">
            <v>99</v>
          </cell>
          <cell r="L1355">
            <v>183</v>
          </cell>
          <cell r="M1355">
            <v>48.59</v>
          </cell>
          <cell r="N1355">
            <v>2015</v>
          </cell>
          <cell r="O1355">
            <v>154</v>
          </cell>
          <cell r="P1355">
            <v>38.299999999999997</v>
          </cell>
        </row>
        <row r="1356">
          <cell r="B1356" t="str">
            <v>Albert Ludwig University of Freiburg</v>
          </cell>
          <cell r="C1356" t="str">
            <v>Germany</v>
          </cell>
          <cell r="D1356">
            <v>6</v>
          </cell>
          <cell r="E1356">
            <v>148</v>
          </cell>
          <cell r="F1356">
            <v>134</v>
          </cell>
          <cell r="G1356">
            <v>193</v>
          </cell>
          <cell r="H1356">
            <v>156</v>
          </cell>
          <cell r="I1356">
            <v>104</v>
          </cell>
          <cell r="J1356">
            <v>182</v>
          </cell>
          <cell r="K1356">
            <v>134</v>
          </cell>
          <cell r="L1356">
            <v>98</v>
          </cell>
          <cell r="M1356">
            <v>48.57</v>
          </cell>
          <cell r="N1356">
            <v>2015</v>
          </cell>
          <cell r="O1356">
            <v>155</v>
          </cell>
          <cell r="P1356" t="e">
            <v>#N/A</v>
          </cell>
        </row>
        <row r="1357">
          <cell r="B1357" t="str">
            <v>University of TÃ¼bingen</v>
          </cell>
          <cell r="C1357" t="str">
            <v>Germany</v>
          </cell>
          <cell r="D1357">
            <v>7</v>
          </cell>
          <cell r="E1357">
            <v>69</v>
          </cell>
          <cell r="F1357">
            <v>490</v>
          </cell>
          <cell r="G1357">
            <v>103</v>
          </cell>
          <cell r="H1357">
            <v>142</v>
          </cell>
          <cell r="I1357">
            <v>122</v>
          </cell>
          <cell r="J1357">
            <v>146</v>
          </cell>
          <cell r="K1357">
            <v>115</v>
          </cell>
          <cell r="L1357">
            <v>226</v>
          </cell>
          <cell r="M1357">
            <v>48.56</v>
          </cell>
          <cell r="N1357">
            <v>2015</v>
          </cell>
          <cell r="O1357">
            <v>156</v>
          </cell>
          <cell r="P1357">
            <v>45.9</v>
          </cell>
        </row>
        <row r="1358">
          <cell r="B1358" t="str">
            <v>University of Cincinnati</v>
          </cell>
          <cell r="C1358" t="str">
            <v>USA</v>
          </cell>
          <cell r="D1358">
            <v>72</v>
          </cell>
          <cell r="E1358">
            <v>188</v>
          </cell>
          <cell r="F1358">
            <v>86</v>
          </cell>
          <cell r="G1358">
            <v>218</v>
          </cell>
          <cell r="H1358">
            <v>150</v>
          </cell>
          <cell r="I1358">
            <v>171</v>
          </cell>
          <cell r="J1358">
            <v>128</v>
          </cell>
          <cell r="K1358">
            <v>127</v>
          </cell>
          <cell r="L1358">
            <v>263</v>
          </cell>
          <cell r="M1358">
            <v>48.56</v>
          </cell>
          <cell r="N1358">
            <v>2015</v>
          </cell>
          <cell r="O1358">
            <v>157</v>
          </cell>
          <cell r="P1358">
            <v>43.6</v>
          </cell>
        </row>
        <row r="1359">
          <cell r="B1359" t="str">
            <v>University of Bonn</v>
          </cell>
          <cell r="C1359" t="str">
            <v>Germany</v>
          </cell>
          <cell r="D1359">
            <v>8</v>
          </cell>
          <cell r="E1359">
            <v>58</v>
          </cell>
          <cell r="F1359">
            <v>249</v>
          </cell>
          <cell r="G1359">
            <v>65</v>
          </cell>
          <cell r="H1359">
            <v>153</v>
          </cell>
          <cell r="I1359">
            <v>107</v>
          </cell>
          <cell r="J1359">
            <v>146</v>
          </cell>
          <cell r="K1359">
            <v>150</v>
          </cell>
          <cell r="L1359">
            <v>341</v>
          </cell>
          <cell r="M1359">
            <v>48.54</v>
          </cell>
          <cell r="N1359">
            <v>2015</v>
          </cell>
          <cell r="O1359">
            <v>158</v>
          </cell>
          <cell r="P1359">
            <v>46.8</v>
          </cell>
        </row>
        <row r="1360">
          <cell r="B1360" t="str">
            <v>Wake Forest University</v>
          </cell>
          <cell r="C1360" t="str">
            <v>USA</v>
          </cell>
          <cell r="D1360">
            <v>73</v>
          </cell>
          <cell r="E1360">
            <v>265</v>
          </cell>
          <cell r="F1360">
            <v>83</v>
          </cell>
          <cell r="G1360">
            <v>218</v>
          </cell>
          <cell r="H1360">
            <v>249</v>
          </cell>
          <cell r="I1360">
            <v>244</v>
          </cell>
          <cell r="J1360">
            <v>128</v>
          </cell>
          <cell r="K1360">
            <v>125</v>
          </cell>
          <cell r="L1360">
            <v>124</v>
          </cell>
          <cell r="M1360">
            <v>48.52</v>
          </cell>
          <cell r="N1360">
            <v>2015</v>
          </cell>
          <cell r="O1360">
            <v>159</v>
          </cell>
          <cell r="P1360">
            <v>54.6</v>
          </cell>
        </row>
        <row r="1361">
          <cell r="B1361" t="str">
            <v>University of Basel</v>
          </cell>
          <cell r="C1361" t="str">
            <v>Switzerland</v>
          </cell>
          <cell r="D1361">
            <v>5</v>
          </cell>
          <cell r="E1361">
            <v>83</v>
          </cell>
          <cell r="F1361">
            <v>363</v>
          </cell>
          <cell r="G1361">
            <v>60</v>
          </cell>
          <cell r="H1361">
            <v>167</v>
          </cell>
          <cell r="I1361">
            <v>100</v>
          </cell>
          <cell r="J1361">
            <v>136</v>
          </cell>
          <cell r="K1361">
            <v>130</v>
          </cell>
          <cell r="L1361">
            <v>486</v>
          </cell>
          <cell r="M1361">
            <v>48.48</v>
          </cell>
          <cell r="N1361">
            <v>2015</v>
          </cell>
          <cell r="O1361">
            <v>160</v>
          </cell>
          <cell r="P1361">
            <v>50.2</v>
          </cell>
        </row>
        <row r="1362">
          <cell r="B1362" t="str">
            <v>University of Leeds</v>
          </cell>
          <cell r="C1362" t="str">
            <v>United Kingdom</v>
          </cell>
          <cell r="D1362">
            <v>13</v>
          </cell>
          <cell r="E1362">
            <v>62</v>
          </cell>
          <cell r="F1362">
            <v>157</v>
          </cell>
          <cell r="G1362">
            <v>218</v>
          </cell>
          <cell r="H1362">
            <v>133</v>
          </cell>
          <cell r="I1362">
            <v>141</v>
          </cell>
          <cell r="J1362">
            <v>136</v>
          </cell>
          <cell r="K1362">
            <v>150</v>
          </cell>
          <cell r="L1362">
            <v>265</v>
          </cell>
          <cell r="M1362">
            <v>48.41</v>
          </cell>
          <cell r="N1362">
            <v>2015</v>
          </cell>
          <cell r="O1362">
            <v>161</v>
          </cell>
          <cell r="P1362">
            <v>46.2</v>
          </cell>
        </row>
        <row r="1363">
          <cell r="B1363" t="str">
            <v>University of Hamburg</v>
          </cell>
          <cell r="C1363" t="str">
            <v>Germany</v>
          </cell>
          <cell r="D1363">
            <v>9</v>
          </cell>
          <cell r="E1363">
            <v>314</v>
          </cell>
          <cell r="F1363">
            <v>136</v>
          </cell>
          <cell r="G1363">
            <v>135</v>
          </cell>
          <cell r="H1363">
            <v>147</v>
          </cell>
          <cell r="I1363">
            <v>126</v>
          </cell>
          <cell r="J1363">
            <v>101</v>
          </cell>
          <cell r="K1363">
            <v>127</v>
          </cell>
          <cell r="L1363">
            <v>677</v>
          </cell>
          <cell r="M1363">
            <v>48.31</v>
          </cell>
          <cell r="N1363">
            <v>2015</v>
          </cell>
          <cell r="O1363">
            <v>162</v>
          </cell>
          <cell r="P1363">
            <v>35.200000000000003</v>
          </cell>
        </row>
        <row r="1364">
          <cell r="B1364" t="str">
            <v>UniversitÃ© libre de Bruxelles</v>
          </cell>
          <cell r="C1364" t="str">
            <v>Belgium</v>
          </cell>
          <cell r="D1364">
            <v>3</v>
          </cell>
          <cell r="E1364">
            <v>173</v>
          </cell>
          <cell r="F1364">
            <v>110</v>
          </cell>
          <cell r="G1364">
            <v>69</v>
          </cell>
          <cell r="H1364">
            <v>236</v>
          </cell>
          <cell r="I1364">
            <v>214</v>
          </cell>
          <cell r="J1364">
            <v>101</v>
          </cell>
          <cell r="K1364">
            <v>170</v>
          </cell>
          <cell r="L1364">
            <v>148</v>
          </cell>
          <cell r="M1364">
            <v>48.28</v>
          </cell>
          <cell r="N1364">
            <v>2015</v>
          </cell>
          <cell r="O1364">
            <v>163</v>
          </cell>
          <cell r="P1364">
            <v>23.6</v>
          </cell>
        </row>
        <row r="1365">
          <cell r="B1365" t="str">
            <v>Indiana University-Purdue University Indianapolis</v>
          </cell>
          <cell r="C1365" t="str">
            <v>USA</v>
          </cell>
          <cell r="D1365">
            <v>74</v>
          </cell>
          <cell r="E1365">
            <v>367</v>
          </cell>
          <cell r="F1365">
            <v>492</v>
          </cell>
          <cell r="G1365">
            <v>218</v>
          </cell>
          <cell r="H1365">
            <v>187</v>
          </cell>
          <cell r="I1365">
            <v>190</v>
          </cell>
          <cell r="J1365">
            <v>125</v>
          </cell>
          <cell r="K1365">
            <v>122</v>
          </cell>
          <cell r="L1365">
            <v>79</v>
          </cell>
          <cell r="M1365">
            <v>48.28</v>
          </cell>
          <cell r="N1365">
            <v>2015</v>
          </cell>
          <cell r="O1365">
            <v>164</v>
          </cell>
          <cell r="P1365" t="e">
            <v>#N/A</v>
          </cell>
        </row>
        <row r="1366">
          <cell r="B1366" t="str">
            <v>Pohang University of Science and Technology</v>
          </cell>
          <cell r="C1366" t="str">
            <v>South Korea</v>
          </cell>
          <cell r="D1366">
            <v>5</v>
          </cell>
          <cell r="E1366">
            <v>367</v>
          </cell>
          <cell r="F1366">
            <v>567</v>
          </cell>
          <cell r="G1366">
            <v>218</v>
          </cell>
          <cell r="H1366">
            <v>285</v>
          </cell>
          <cell r="I1366">
            <v>355</v>
          </cell>
          <cell r="J1366">
            <v>212</v>
          </cell>
          <cell r="K1366">
            <v>281</v>
          </cell>
          <cell r="L1366">
            <v>24</v>
          </cell>
          <cell r="M1366">
            <v>48.24</v>
          </cell>
          <cell r="N1366">
            <v>2015</v>
          </cell>
          <cell r="O1366">
            <v>165</v>
          </cell>
          <cell r="P1366">
            <v>69.5</v>
          </cell>
        </row>
        <row r="1367">
          <cell r="B1367" t="str">
            <v>Oregon Health &amp; Science University</v>
          </cell>
          <cell r="C1367" t="str">
            <v>USA</v>
          </cell>
          <cell r="D1367">
            <v>75</v>
          </cell>
          <cell r="E1367">
            <v>367</v>
          </cell>
          <cell r="F1367">
            <v>567</v>
          </cell>
          <cell r="G1367">
            <v>128</v>
          </cell>
          <cell r="H1367">
            <v>184</v>
          </cell>
          <cell r="I1367">
            <v>115</v>
          </cell>
          <cell r="J1367">
            <v>125</v>
          </cell>
          <cell r="K1367">
            <v>105</v>
          </cell>
          <cell r="L1367">
            <v>144</v>
          </cell>
          <cell r="M1367">
            <v>48.23</v>
          </cell>
          <cell r="N1367">
            <v>2015</v>
          </cell>
          <cell r="O1367">
            <v>166</v>
          </cell>
          <cell r="P1367" t="e">
            <v>#N/A</v>
          </cell>
        </row>
        <row r="1368">
          <cell r="B1368" t="str">
            <v>University of Calgary</v>
          </cell>
          <cell r="C1368" t="str">
            <v>Canada</v>
          </cell>
          <cell r="D1368">
            <v>8</v>
          </cell>
          <cell r="E1368">
            <v>367</v>
          </cell>
          <cell r="F1368">
            <v>123</v>
          </cell>
          <cell r="G1368">
            <v>218</v>
          </cell>
          <cell r="H1368">
            <v>145</v>
          </cell>
          <cell r="I1368">
            <v>180</v>
          </cell>
          <cell r="J1368">
            <v>101</v>
          </cell>
          <cell r="K1368">
            <v>127</v>
          </cell>
          <cell r="L1368">
            <v>778</v>
          </cell>
          <cell r="M1368">
            <v>48.23</v>
          </cell>
          <cell r="N1368">
            <v>2015</v>
          </cell>
          <cell r="O1368">
            <v>167</v>
          </cell>
          <cell r="P1368">
            <v>34</v>
          </cell>
        </row>
        <row r="1369">
          <cell r="B1369" t="str">
            <v>Stockholm University</v>
          </cell>
          <cell r="C1369" t="str">
            <v>Sweden</v>
          </cell>
          <cell r="D1369">
            <v>5</v>
          </cell>
          <cell r="E1369">
            <v>129</v>
          </cell>
          <cell r="F1369">
            <v>79</v>
          </cell>
          <cell r="G1369">
            <v>187</v>
          </cell>
          <cell r="H1369">
            <v>202</v>
          </cell>
          <cell r="I1369">
            <v>89</v>
          </cell>
          <cell r="J1369">
            <v>88</v>
          </cell>
          <cell r="K1369">
            <v>179</v>
          </cell>
          <cell r="L1369">
            <v>839</v>
          </cell>
          <cell r="M1369">
            <v>48.23</v>
          </cell>
          <cell r="N1369">
            <v>2015</v>
          </cell>
          <cell r="O1369">
            <v>168</v>
          </cell>
          <cell r="P1369">
            <v>36.9</v>
          </cell>
        </row>
        <row r="1370">
          <cell r="B1370" t="str">
            <v>University of Padua</v>
          </cell>
          <cell r="C1370" t="str">
            <v>Italy</v>
          </cell>
          <cell r="D1370">
            <v>2</v>
          </cell>
          <cell r="E1370">
            <v>281</v>
          </cell>
          <cell r="F1370">
            <v>567</v>
          </cell>
          <cell r="G1370">
            <v>218</v>
          </cell>
          <cell r="H1370">
            <v>99</v>
          </cell>
          <cell r="I1370">
            <v>105</v>
          </cell>
          <cell r="J1370">
            <v>182</v>
          </cell>
          <cell r="K1370">
            <v>119</v>
          </cell>
          <cell r="L1370">
            <v>351</v>
          </cell>
          <cell r="M1370">
            <v>48.17</v>
          </cell>
          <cell r="N1370">
            <v>2015</v>
          </cell>
          <cell r="O1370">
            <v>169</v>
          </cell>
          <cell r="P1370">
            <v>24.2</v>
          </cell>
        </row>
        <row r="1371">
          <cell r="B1371" t="str">
            <v>University of Hong Kong</v>
          </cell>
          <cell r="C1371" t="str">
            <v>Hong Kong</v>
          </cell>
          <cell r="D1371">
            <v>1</v>
          </cell>
          <cell r="E1371">
            <v>287</v>
          </cell>
          <cell r="F1371">
            <v>128</v>
          </cell>
          <cell r="G1371">
            <v>218</v>
          </cell>
          <cell r="H1371">
            <v>139</v>
          </cell>
          <cell r="I1371">
            <v>204</v>
          </cell>
          <cell r="J1371">
            <v>128</v>
          </cell>
          <cell r="K1371">
            <v>147</v>
          </cell>
          <cell r="L1371">
            <v>205</v>
          </cell>
          <cell r="M1371">
            <v>48.15</v>
          </cell>
          <cell r="N1371">
            <v>2015</v>
          </cell>
          <cell r="O1371">
            <v>170</v>
          </cell>
          <cell r="P1371">
            <v>68.400000000000006</v>
          </cell>
        </row>
        <row r="1372">
          <cell r="B1372" t="str">
            <v>Yeshiva University</v>
          </cell>
          <cell r="C1372" t="str">
            <v>USA</v>
          </cell>
          <cell r="D1372">
            <v>76</v>
          </cell>
          <cell r="E1372">
            <v>200</v>
          </cell>
          <cell r="F1372">
            <v>567</v>
          </cell>
          <cell r="G1372">
            <v>218</v>
          </cell>
          <cell r="H1372">
            <v>195</v>
          </cell>
          <cell r="I1372">
            <v>91</v>
          </cell>
          <cell r="J1372">
            <v>161</v>
          </cell>
          <cell r="K1372">
            <v>109</v>
          </cell>
          <cell r="L1372">
            <v>128</v>
          </cell>
          <cell r="M1372">
            <v>48.11</v>
          </cell>
          <cell r="N1372">
            <v>2015</v>
          </cell>
          <cell r="O1372">
            <v>171</v>
          </cell>
          <cell r="P1372">
            <v>63.5</v>
          </cell>
        </row>
        <row r="1373">
          <cell r="B1373" t="str">
            <v>University of Milan</v>
          </cell>
          <cell r="C1373" t="str">
            <v>Italy</v>
          </cell>
          <cell r="D1373">
            <v>3</v>
          </cell>
          <cell r="E1373">
            <v>162</v>
          </cell>
          <cell r="F1373">
            <v>441</v>
          </cell>
          <cell r="G1373">
            <v>182</v>
          </cell>
          <cell r="H1373">
            <v>118</v>
          </cell>
          <cell r="I1373">
            <v>189</v>
          </cell>
          <cell r="J1373">
            <v>212</v>
          </cell>
          <cell r="K1373">
            <v>106</v>
          </cell>
          <cell r="L1373">
            <v>438</v>
          </cell>
          <cell r="M1373">
            <v>48.07</v>
          </cell>
          <cell r="N1373">
            <v>2015</v>
          </cell>
          <cell r="O1373">
            <v>172</v>
          </cell>
          <cell r="P1373">
            <v>37.1</v>
          </cell>
        </row>
        <row r="1374">
          <cell r="B1374" t="str">
            <v>University of Sheffield</v>
          </cell>
          <cell r="C1374" t="str">
            <v>United Kingdom</v>
          </cell>
          <cell r="D1374">
            <v>14</v>
          </cell>
          <cell r="E1374">
            <v>142</v>
          </cell>
          <cell r="F1374">
            <v>209</v>
          </cell>
          <cell r="G1374">
            <v>196</v>
          </cell>
          <cell r="H1374">
            <v>129</v>
          </cell>
          <cell r="I1374">
            <v>137</v>
          </cell>
          <cell r="J1374">
            <v>136</v>
          </cell>
          <cell r="K1374">
            <v>147</v>
          </cell>
          <cell r="L1374">
            <v>179</v>
          </cell>
          <cell r="M1374">
            <v>48.07</v>
          </cell>
          <cell r="N1374">
            <v>2015</v>
          </cell>
          <cell r="O1374">
            <v>173</v>
          </cell>
          <cell r="P1374">
            <v>48.9</v>
          </cell>
        </row>
        <row r="1375">
          <cell r="B1375" t="str">
            <v>Technical University of Denmark</v>
          </cell>
          <cell r="C1375" t="str">
            <v>Denmark</v>
          </cell>
          <cell r="D1375">
            <v>3</v>
          </cell>
          <cell r="E1375">
            <v>351</v>
          </cell>
          <cell r="F1375">
            <v>510</v>
          </cell>
          <cell r="G1375">
            <v>202</v>
          </cell>
          <cell r="H1375">
            <v>220</v>
          </cell>
          <cell r="I1375">
            <v>230</v>
          </cell>
          <cell r="J1375">
            <v>161</v>
          </cell>
          <cell r="K1375">
            <v>216</v>
          </cell>
          <cell r="L1375">
            <v>46</v>
          </cell>
          <cell r="M1375">
            <v>48.06</v>
          </cell>
          <cell r="N1375">
            <v>2015</v>
          </cell>
          <cell r="O1375">
            <v>174</v>
          </cell>
          <cell r="P1375">
            <v>46.2</v>
          </cell>
        </row>
        <row r="1376">
          <cell r="B1376" t="str">
            <v>University of Maryland, Baltimore</v>
          </cell>
          <cell r="C1376" t="str">
            <v>USA</v>
          </cell>
          <cell r="D1376">
            <v>77</v>
          </cell>
          <cell r="E1376">
            <v>367</v>
          </cell>
          <cell r="F1376">
            <v>567</v>
          </cell>
          <cell r="G1376">
            <v>218</v>
          </cell>
          <cell r="H1376">
            <v>125</v>
          </cell>
          <cell r="I1376">
            <v>112</v>
          </cell>
          <cell r="J1376">
            <v>197</v>
          </cell>
          <cell r="K1376">
            <v>116</v>
          </cell>
          <cell r="L1376">
            <v>180</v>
          </cell>
          <cell r="M1376">
            <v>48.05</v>
          </cell>
          <cell r="N1376">
            <v>2015</v>
          </cell>
          <cell r="O1376">
            <v>175</v>
          </cell>
          <cell r="P1376" t="e">
            <v>#N/A</v>
          </cell>
        </row>
        <row r="1377">
          <cell r="B1377" t="str">
            <v>Goethe University Frankfurt</v>
          </cell>
          <cell r="C1377" t="str">
            <v>Germany</v>
          </cell>
          <cell r="D1377">
            <v>10</v>
          </cell>
          <cell r="E1377">
            <v>111</v>
          </cell>
          <cell r="F1377">
            <v>219</v>
          </cell>
          <cell r="G1377">
            <v>89</v>
          </cell>
          <cell r="H1377">
            <v>179</v>
          </cell>
          <cell r="I1377">
            <v>155</v>
          </cell>
          <cell r="J1377">
            <v>212</v>
          </cell>
          <cell r="K1377">
            <v>124</v>
          </cell>
          <cell r="L1377">
            <v>328</v>
          </cell>
          <cell r="M1377">
            <v>48.01</v>
          </cell>
          <cell r="N1377">
            <v>2015</v>
          </cell>
          <cell r="O1377">
            <v>176</v>
          </cell>
          <cell r="P1377">
            <v>39.200000000000003</v>
          </cell>
        </row>
        <row r="1378">
          <cell r="B1378" t="str">
            <v>University of GÃ¶ttingen</v>
          </cell>
          <cell r="C1378" t="str">
            <v>Germany</v>
          </cell>
          <cell r="D1378">
            <v>11</v>
          </cell>
          <cell r="E1378">
            <v>43</v>
          </cell>
          <cell r="F1378">
            <v>171</v>
          </cell>
          <cell r="G1378">
            <v>176</v>
          </cell>
          <cell r="H1378">
            <v>174</v>
          </cell>
          <cell r="I1378">
            <v>146</v>
          </cell>
          <cell r="J1378">
            <v>264</v>
          </cell>
          <cell r="K1378">
            <v>184</v>
          </cell>
          <cell r="L1378">
            <v>299</v>
          </cell>
          <cell r="M1378">
            <v>47.98</v>
          </cell>
          <cell r="N1378">
            <v>2015</v>
          </cell>
          <cell r="O1378">
            <v>177</v>
          </cell>
          <cell r="P1378">
            <v>57.3</v>
          </cell>
        </row>
        <row r="1379">
          <cell r="B1379" t="str">
            <v>Hokkaido University</v>
          </cell>
          <cell r="C1379" t="str">
            <v>Japan</v>
          </cell>
          <cell r="D1379">
            <v>10</v>
          </cell>
          <cell r="E1379">
            <v>279</v>
          </cell>
          <cell r="F1379">
            <v>277</v>
          </cell>
          <cell r="G1379">
            <v>135</v>
          </cell>
          <cell r="H1379">
            <v>148</v>
          </cell>
          <cell r="I1379">
            <v>173</v>
          </cell>
          <cell r="J1379">
            <v>287</v>
          </cell>
          <cell r="K1379">
            <v>251</v>
          </cell>
          <cell r="L1379">
            <v>53</v>
          </cell>
          <cell r="M1379">
            <v>47.97</v>
          </cell>
          <cell r="N1379">
            <v>2015</v>
          </cell>
          <cell r="O1379">
            <v>178</v>
          </cell>
          <cell r="P1379">
            <v>44.5</v>
          </cell>
        </row>
        <row r="1380">
          <cell r="B1380" t="str">
            <v>Australian National University</v>
          </cell>
          <cell r="C1380" t="str">
            <v>Australia</v>
          </cell>
          <cell r="D1380">
            <v>6</v>
          </cell>
          <cell r="E1380">
            <v>196</v>
          </cell>
          <cell r="F1380">
            <v>379</v>
          </cell>
          <cell r="G1380">
            <v>52</v>
          </cell>
          <cell r="H1380">
            <v>130</v>
          </cell>
          <cell r="I1380">
            <v>99</v>
          </cell>
          <cell r="J1380">
            <v>197</v>
          </cell>
          <cell r="K1380">
            <v>188</v>
          </cell>
          <cell r="L1380">
            <v>415</v>
          </cell>
          <cell r="M1380">
            <v>47.97</v>
          </cell>
          <cell r="N1380">
            <v>2015</v>
          </cell>
          <cell r="O1380">
            <v>179</v>
          </cell>
          <cell r="P1380">
            <v>51.9</v>
          </cell>
        </row>
        <row r="1381">
          <cell r="B1381" t="str">
            <v>Shanghai Jiao Tong University</v>
          </cell>
          <cell r="C1381" t="str">
            <v>China</v>
          </cell>
          <cell r="D1381">
            <v>3</v>
          </cell>
          <cell r="E1381">
            <v>335</v>
          </cell>
          <cell r="F1381">
            <v>143</v>
          </cell>
          <cell r="G1381">
            <v>218</v>
          </cell>
          <cell r="H1381">
            <v>81</v>
          </cell>
          <cell r="I1381">
            <v>267</v>
          </cell>
          <cell r="J1381">
            <v>212</v>
          </cell>
          <cell r="K1381">
            <v>209</v>
          </cell>
          <cell r="L1381">
            <v>198</v>
          </cell>
          <cell r="M1381">
            <v>47.96</v>
          </cell>
          <cell r="N1381">
            <v>2015</v>
          </cell>
          <cell r="O1381">
            <v>180</v>
          </cell>
          <cell r="P1381">
            <v>39.4</v>
          </cell>
        </row>
        <row r="1382">
          <cell r="B1382" t="str">
            <v>University of New Mexico</v>
          </cell>
          <cell r="C1382" t="str">
            <v>USA</v>
          </cell>
          <cell r="D1382">
            <v>78</v>
          </cell>
          <cell r="E1382">
            <v>367</v>
          </cell>
          <cell r="F1382">
            <v>567</v>
          </cell>
          <cell r="G1382">
            <v>218</v>
          </cell>
          <cell r="H1382">
            <v>223</v>
          </cell>
          <cell r="I1382">
            <v>170</v>
          </cell>
          <cell r="J1382">
            <v>82</v>
          </cell>
          <cell r="K1382">
            <v>147</v>
          </cell>
          <cell r="L1382">
            <v>100</v>
          </cell>
          <cell r="M1382">
            <v>47.95</v>
          </cell>
          <cell r="N1382">
            <v>2015</v>
          </cell>
          <cell r="O1382">
            <v>181</v>
          </cell>
          <cell r="P1382">
            <v>29.6</v>
          </cell>
        </row>
        <row r="1383">
          <cell r="B1383" t="str">
            <v>University of Strasbourg</v>
          </cell>
          <cell r="C1383" t="str">
            <v>France</v>
          </cell>
          <cell r="D1383">
            <v>7</v>
          </cell>
          <cell r="E1383">
            <v>71</v>
          </cell>
          <cell r="F1383">
            <v>567</v>
          </cell>
          <cell r="G1383">
            <v>49</v>
          </cell>
          <cell r="H1383">
            <v>191</v>
          </cell>
          <cell r="I1383">
            <v>145</v>
          </cell>
          <cell r="J1383">
            <v>264</v>
          </cell>
          <cell r="K1383">
            <v>219</v>
          </cell>
          <cell r="L1383">
            <v>269</v>
          </cell>
          <cell r="M1383">
            <v>47.89</v>
          </cell>
          <cell r="N1383">
            <v>2015</v>
          </cell>
          <cell r="O1383">
            <v>182</v>
          </cell>
          <cell r="P1383">
            <v>26.7</v>
          </cell>
        </row>
        <row r="1384">
          <cell r="B1384" t="str">
            <v>University of Massachusetts Medical School</v>
          </cell>
          <cell r="C1384" t="str">
            <v>USA</v>
          </cell>
          <cell r="D1384">
            <v>79</v>
          </cell>
          <cell r="E1384">
            <v>367</v>
          </cell>
          <cell r="F1384">
            <v>567</v>
          </cell>
          <cell r="G1384">
            <v>80</v>
          </cell>
          <cell r="H1384">
            <v>296</v>
          </cell>
          <cell r="I1384">
            <v>76</v>
          </cell>
          <cell r="J1384">
            <v>234</v>
          </cell>
          <cell r="K1384">
            <v>122</v>
          </cell>
          <cell r="L1384">
            <v>143</v>
          </cell>
          <cell r="M1384">
            <v>47.85</v>
          </cell>
          <cell r="N1384">
            <v>2015</v>
          </cell>
          <cell r="O1384">
            <v>183</v>
          </cell>
          <cell r="P1384" t="e">
            <v>#N/A</v>
          </cell>
        </row>
        <row r="1385">
          <cell r="B1385" t="str">
            <v>University of Houston</v>
          </cell>
          <cell r="C1385" t="str">
            <v>USA</v>
          </cell>
          <cell r="D1385">
            <v>80</v>
          </cell>
          <cell r="E1385">
            <v>367</v>
          </cell>
          <cell r="F1385">
            <v>42</v>
          </cell>
          <cell r="G1385">
            <v>218</v>
          </cell>
          <cell r="H1385">
            <v>310</v>
          </cell>
          <cell r="I1385">
            <v>257</v>
          </cell>
          <cell r="J1385">
            <v>511</v>
          </cell>
          <cell r="K1385">
            <v>349</v>
          </cell>
          <cell r="L1385">
            <v>156</v>
          </cell>
          <cell r="M1385">
            <v>47.83</v>
          </cell>
          <cell r="N1385">
            <v>2015</v>
          </cell>
          <cell r="O1385">
            <v>184</v>
          </cell>
          <cell r="P1385">
            <v>36.5</v>
          </cell>
        </row>
        <row r="1386">
          <cell r="B1386" t="str">
            <v>Trinity College, Dublin</v>
          </cell>
          <cell r="C1386" t="str">
            <v>Ireland</v>
          </cell>
          <cell r="D1386">
            <v>1</v>
          </cell>
          <cell r="E1386">
            <v>338</v>
          </cell>
          <cell r="F1386">
            <v>78</v>
          </cell>
          <cell r="G1386">
            <v>200</v>
          </cell>
          <cell r="H1386">
            <v>289</v>
          </cell>
          <cell r="I1386">
            <v>233</v>
          </cell>
          <cell r="J1386">
            <v>115</v>
          </cell>
          <cell r="K1386">
            <v>204</v>
          </cell>
          <cell r="L1386">
            <v>153</v>
          </cell>
          <cell r="M1386">
            <v>47.73</v>
          </cell>
          <cell r="N1386">
            <v>2015</v>
          </cell>
          <cell r="O1386">
            <v>185</v>
          </cell>
          <cell r="P1386" t="e">
            <v>#N/A</v>
          </cell>
        </row>
        <row r="1387">
          <cell r="B1387" t="str">
            <v>University of Lausanne</v>
          </cell>
          <cell r="C1387" t="str">
            <v>Switzerland</v>
          </cell>
          <cell r="D1387">
            <v>6</v>
          </cell>
          <cell r="E1387">
            <v>102</v>
          </cell>
          <cell r="F1387">
            <v>423</v>
          </cell>
          <cell r="G1387">
            <v>218</v>
          </cell>
          <cell r="H1387">
            <v>235</v>
          </cell>
          <cell r="I1387">
            <v>101</v>
          </cell>
          <cell r="J1387">
            <v>115</v>
          </cell>
          <cell r="K1387">
            <v>117</v>
          </cell>
          <cell r="L1387">
            <v>683</v>
          </cell>
          <cell r="M1387">
            <v>47.73</v>
          </cell>
          <cell r="N1387">
            <v>2015</v>
          </cell>
          <cell r="O1387">
            <v>186</v>
          </cell>
          <cell r="P1387">
            <v>43.1</v>
          </cell>
        </row>
        <row r="1388">
          <cell r="B1388" t="str">
            <v>Iowa State University</v>
          </cell>
          <cell r="C1388" t="str">
            <v>USA</v>
          </cell>
          <cell r="D1388">
            <v>81</v>
          </cell>
          <cell r="E1388">
            <v>286</v>
          </cell>
          <cell r="F1388">
            <v>186</v>
          </cell>
          <cell r="G1388">
            <v>109</v>
          </cell>
          <cell r="H1388">
            <v>151</v>
          </cell>
          <cell r="I1388">
            <v>178</v>
          </cell>
          <cell r="J1388">
            <v>82</v>
          </cell>
          <cell r="K1388">
            <v>184</v>
          </cell>
          <cell r="L1388">
            <v>339</v>
          </cell>
          <cell r="M1388">
            <v>47.71</v>
          </cell>
          <cell r="N1388">
            <v>2015</v>
          </cell>
          <cell r="O1388">
            <v>187</v>
          </cell>
          <cell r="P1388">
            <v>49.3</v>
          </cell>
        </row>
        <row r="1389">
          <cell r="B1389" t="str">
            <v>Joseph Fourier University</v>
          </cell>
          <cell r="C1389" t="str">
            <v>France</v>
          </cell>
          <cell r="D1389">
            <v>8</v>
          </cell>
          <cell r="E1389">
            <v>195</v>
          </cell>
          <cell r="F1389">
            <v>567</v>
          </cell>
          <cell r="G1389">
            <v>218</v>
          </cell>
          <cell r="H1389">
            <v>110</v>
          </cell>
          <cell r="I1389">
            <v>93</v>
          </cell>
          <cell r="J1389">
            <v>234</v>
          </cell>
          <cell r="K1389">
            <v>170</v>
          </cell>
          <cell r="L1389">
            <v>160</v>
          </cell>
          <cell r="M1389">
            <v>47.71</v>
          </cell>
          <cell r="N1389">
            <v>2015</v>
          </cell>
          <cell r="O1389">
            <v>188</v>
          </cell>
          <cell r="P1389">
            <v>36.6</v>
          </cell>
        </row>
        <row r="1390">
          <cell r="B1390" t="str">
            <v>Wayne State University</v>
          </cell>
          <cell r="C1390" t="str">
            <v>USA</v>
          </cell>
          <cell r="D1390">
            <v>82</v>
          </cell>
          <cell r="E1390">
            <v>367</v>
          </cell>
          <cell r="F1390">
            <v>183</v>
          </cell>
          <cell r="G1390">
            <v>218</v>
          </cell>
          <cell r="H1390">
            <v>189</v>
          </cell>
          <cell r="I1390">
            <v>258</v>
          </cell>
          <cell r="J1390">
            <v>125</v>
          </cell>
          <cell r="K1390">
            <v>176</v>
          </cell>
          <cell r="L1390">
            <v>117</v>
          </cell>
          <cell r="M1390">
            <v>47.67</v>
          </cell>
          <cell r="N1390">
            <v>2015</v>
          </cell>
          <cell r="O1390">
            <v>189</v>
          </cell>
          <cell r="P1390">
            <v>34.700000000000003</v>
          </cell>
        </row>
        <row r="1391">
          <cell r="B1391" t="str">
            <v>University of South Florida - Tampa</v>
          </cell>
          <cell r="C1391" t="str">
            <v>USA</v>
          </cell>
          <cell r="D1391">
            <v>83</v>
          </cell>
          <cell r="E1391">
            <v>367</v>
          </cell>
          <cell r="F1391">
            <v>418</v>
          </cell>
          <cell r="G1391">
            <v>218</v>
          </cell>
          <cell r="H1391">
            <v>233</v>
          </cell>
          <cell r="I1391">
            <v>251</v>
          </cell>
          <cell r="J1391">
            <v>197</v>
          </cell>
          <cell r="K1391">
            <v>164</v>
          </cell>
          <cell r="L1391">
            <v>70</v>
          </cell>
          <cell r="M1391">
            <v>47.66</v>
          </cell>
          <cell r="N1391">
            <v>2015</v>
          </cell>
          <cell r="O1391">
            <v>190</v>
          </cell>
          <cell r="P1391" t="e">
            <v>#N/A</v>
          </cell>
        </row>
        <row r="1392">
          <cell r="B1392" t="str">
            <v>Zhejiang University</v>
          </cell>
          <cell r="C1392" t="str">
            <v>China</v>
          </cell>
          <cell r="D1392">
            <v>4</v>
          </cell>
          <cell r="E1392">
            <v>367</v>
          </cell>
          <cell r="F1392">
            <v>309</v>
          </cell>
          <cell r="G1392">
            <v>218</v>
          </cell>
          <cell r="H1392">
            <v>71</v>
          </cell>
          <cell r="I1392">
            <v>290</v>
          </cell>
          <cell r="J1392">
            <v>368</v>
          </cell>
          <cell r="K1392">
            <v>265</v>
          </cell>
          <cell r="L1392">
            <v>106</v>
          </cell>
          <cell r="M1392">
            <v>47.66</v>
          </cell>
          <cell r="N1392">
            <v>2015</v>
          </cell>
          <cell r="O1392">
            <v>191</v>
          </cell>
          <cell r="P1392">
            <v>54.6</v>
          </cell>
        </row>
        <row r="1393">
          <cell r="B1393" t="str">
            <v>Hanyang University</v>
          </cell>
          <cell r="C1393" t="str">
            <v>South Korea</v>
          </cell>
          <cell r="D1393">
            <v>6</v>
          </cell>
          <cell r="E1393">
            <v>367</v>
          </cell>
          <cell r="F1393">
            <v>168</v>
          </cell>
          <cell r="G1393">
            <v>218</v>
          </cell>
          <cell r="H1393">
            <v>286</v>
          </cell>
          <cell r="I1393">
            <v>471</v>
          </cell>
          <cell r="J1393">
            <v>368</v>
          </cell>
          <cell r="K1393">
            <v>396</v>
          </cell>
          <cell r="L1393">
            <v>31</v>
          </cell>
          <cell r="M1393">
            <v>47.6</v>
          </cell>
          <cell r="N1393">
            <v>2015</v>
          </cell>
          <cell r="O1393">
            <v>192</v>
          </cell>
          <cell r="P1393">
            <v>30.4</v>
          </cell>
        </row>
        <row r="1394">
          <cell r="B1394" t="str">
            <v>University of Ottawa</v>
          </cell>
          <cell r="C1394" t="str">
            <v>Canada</v>
          </cell>
          <cell r="D1394">
            <v>9</v>
          </cell>
          <cell r="E1394">
            <v>223</v>
          </cell>
          <cell r="F1394">
            <v>163</v>
          </cell>
          <cell r="G1394">
            <v>218</v>
          </cell>
          <cell r="H1394">
            <v>171</v>
          </cell>
          <cell r="I1394">
            <v>194</v>
          </cell>
          <cell r="J1394">
            <v>212</v>
          </cell>
          <cell r="K1394">
            <v>134</v>
          </cell>
          <cell r="L1394">
            <v>496</v>
          </cell>
          <cell r="M1394">
            <v>47.6</v>
          </cell>
          <cell r="N1394">
            <v>2015</v>
          </cell>
          <cell r="O1394">
            <v>193</v>
          </cell>
          <cell r="P1394">
            <v>38.9</v>
          </cell>
        </row>
        <row r="1395">
          <cell r="B1395" t="str">
            <v>University of Missouriâ€“Columbia</v>
          </cell>
          <cell r="C1395" t="str">
            <v>USA</v>
          </cell>
          <cell r="D1395">
            <v>84</v>
          </cell>
          <cell r="E1395">
            <v>250</v>
          </cell>
          <cell r="F1395">
            <v>88</v>
          </cell>
          <cell r="G1395">
            <v>98</v>
          </cell>
          <cell r="H1395">
            <v>222</v>
          </cell>
          <cell r="I1395">
            <v>226</v>
          </cell>
          <cell r="J1395">
            <v>161</v>
          </cell>
          <cell r="K1395">
            <v>242</v>
          </cell>
          <cell r="L1395">
            <v>150</v>
          </cell>
          <cell r="M1395">
            <v>47.59</v>
          </cell>
          <cell r="N1395">
            <v>2015</v>
          </cell>
          <cell r="O1395">
            <v>194</v>
          </cell>
          <cell r="P1395" t="e">
            <v>#N/A</v>
          </cell>
        </row>
        <row r="1396">
          <cell r="B1396" t="str">
            <v>Fudan University</v>
          </cell>
          <cell r="C1396" t="str">
            <v>China</v>
          </cell>
          <cell r="D1396">
            <v>5</v>
          </cell>
          <cell r="E1396">
            <v>367</v>
          </cell>
          <cell r="F1396">
            <v>203</v>
          </cell>
          <cell r="G1396">
            <v>218</v>
          </cell>
          <cell r="H1396">
            <v>112</v>
          </cell>
          <cell r="I1396">
            <v>252</v>
          </cell>
          <cell r="J1396">
            <v>368</v>
          </cell>
          <cell r="K1396">
            <v>204</v>
          </cell>
          <cell r="L1396">
            <v>123</v>
          </cell>
          <cell r="M1396">
            <v>47.56</v>
          </cell>
          <cell r="N1396">
            <v>2015</v>
          </cell>
          <cell r="O1396">
            <v>195</v>
          </cell>
          <cell r="P1396">
            <v>42.4</v>
          </cell>
        </row>
        <row r="1397">
          <cell r="B1397" t="str">
            <v>University of Kansas</v>
          </cell>
          <cell r="C1397" t="str">
            <v>USA</v>
          </cell>
          <cell r="D1397">
            <v>85</v>
          </cell>
          <cell r="E1397">
            <v>228</v>
          </cell>
          <cell r="F1397">
            <v>91</v>
          </cell>
          <cell r="G1397">
            <v>218</v>
          </cell>
          <cell r="H1397">
            <v>212</v>
          </cell>
          <cell r="I1397">
            <v>161</v>
          </cell>
          <cell r="J1397">
            <v>161</v>
          </cell>
          <cell r="K1397">
            <v>235</v>
          </cell>
          <cell r="L1397">
            <v>127</v>
          </cell>
          <cell r="M1397">
            <v>47.52</v>
          </cell>
          <cell r="N1397">
            <v>2015</v>
          </cell>
          <cell r="O1397">
            <v>196</v>
          </cell>
          <cell r="P1397">
            <v>33.200000000000003</v>
          </cell>
        </row>
        <row r="1398">
          <cell r="B1398" t="str">
            <v>University of Cologne</v>
          </cell>
          <cell r="C1398" t="str">
            <v>Germany</v>
          </cell>
          <cell r="D1398">
            <v>12</v>
          </cell>
          <cell r="E1398">
            <v>367</v>
          </cell>
          <cell r="F1398">
            <v>132</v>
          </cell>
          <cell r="G1398">
            <v>201</v>
          </cell>
          <cell r="H1398">
            <v>204</v>
          </cell>
          <cell r="I1398">
            <v>138</v>
          </cell>
          <cell r="J1398">
            <v>146</v>
          </cell>
          <cell r="K1398">
            <v>161</v>
          </cell>
          <cell r="L1398">
            <v>421</v>
          </cell>
          <cell r="M1398">
            <v>47.52</v>
          </cell>
          <cell r="N1398">
            <v>2015</v>
          </cell>
          <cell r="O1398">
            <v>197</v>
          </cell>
          <cell r="P1398">
            <v>29.7</v>
          </cell>
        </row>
        <row r="1399">
          <cell r="B1399" t="str">
            <v>University of Georgia</v>
          </cell>
          <cell r="C1399" t="str">
            <v>USA</v>
          </cell>
          <cell r="D1399">
            <v>86</v>
          </cell>
          <cell r="E1399">
            <v>93</v>
          </cell>
          <cell r="F1399">
            <v>188</v>
          </cell>
          <cell r="G1399">
            <v>172</v>
          </cell>
          <cell r="H1399">
            <v>181</v>
          </cell>
          <cell r="I1399">
            <v>132</v>
          </cell>
          <cell r="J1399">
            <v>234</v>
          </cell>
          <cell r="K1399">
            <v>256</v>
          </cell>
          <cell r="L1399">
            <v>82</v>
          </cell>
          <cell r="M1399">
            <v>47.5</v>
          </cell>
          <cell r="N1399">
            <v>2015</v>
          </cell>
          <cell r="O1399">
            <v>198</v>
          </cell>
          <cell r="P1399">
            <v>44.4</v>
          </cell>
        </row>
        <row r="1400">
          <cell r="B1400" t="str">
            <v>University of Liverpool</v>
          </cell>
          <cell r="C1400" t="str">
            <v>United Kingdom</v>
          </cell>
          <cell r="D1400">
            <v>15</v>
          </cell>
          <cell r="E1400">
            <v>176</v>
          </cell>
          <cell r="F1400">
            <v>179</v>
          </cell>
          <cell r="G1400">
            <v>207</v>
          </cell>
          <cell r="H1400">
            <v>154</v>
          </cell>
          <cell r="I1400">
            <v>172</v>
          </cell>
          <cell r="J1400">
            <v>128</v>
          </cell>
          <cell r="K1400">
            <v>174</v>
          </cell>
          <cell r="L1400">
            <v>377</v>
          </cell>
          <cell r="M1400">
            <v>47.49</v>
          </cell>
          <cell r="N1400">
            <v>2015</v>
          </cell>
          <cell r="O1400">
            <v>199</v>
          </cell>
          <cell r="P1400">
            <v>40.799999999999997</v>
          </cell>
        </row>
        <row r="1401">
          <cell r="B1401" t="str">
            <v>University of Bern</v>
          </cell>
          <cell r="C1401" t="str">
            <v>Switzerland</v>
          </cell>
          <cell r="D1401">
            <v>7</v>
          </cell>
          <cell r="E1401">
            <v>184</v>
          </cell>
          <cell r="F1401">
            <v>526</v>
          </cell>
          <cell r="G1401">
            <v>213</v>
          </cell>
          <cell r="H1401">
            <v>163</v>
          </cell>
          <cell r="I1401">
            <v>128</v>
          </cell>
          <cell r="J1401">
            <v>93</v>
          </cell>
          <cell r="K1401">
            <v>159</v>
          </cell>
          <cell r="L1401">
            <v>433</v>
          </cell>
          <cell r="M1401">
            <v>47.49</v>
          </cell>
          <cell r="N1401">
            <v>2015</v>
          </cell>
          <cell r="O1401">
            <v>200</v>
          </cell>
          <cell r="P1401">
            <v>43</v>
          </cell>
        </row>
        <row r="1402">
          <cell r="B1402" t="str">
            <v>Cardiff University</v>
          </cell>
          <cell r="C1402" t="str">
            <v>United Kingdom</v>
          </cell>
          <cell r="D1402">
            <v>16</v>
          </cell>
          <cell r="E1402">
            <v>321</v>
          </cell>
          <cell r="F1402">
            <v>218</v>
          </cell>
          <cell r="G1402">
            <v>143</v>
          </cell>
          <cell r="H1402">
            <v>178</v>
          </cell>
          <cell r="I1402">
            <v>153</v>
          </cell>
          <cell r="J1402">
            <v>146</v>
          </cell>
          <cell r="K1402">
            <v>170</v>
          </cell>
          <cell r="L1402">
            <v>193</v>
          </cell>
          <cell r="M1402">
            <v>47.46</v>
          </cell>
          <cell r="N1402">
            <v>2015</v>
          </cell>
          <cell r="O1402">
            <v>201</v>
          </cell>
          <cell r="P1402">
            <v>28.9</v>
          </cell>
        </row>
        <row r="1403">
          <cell r="B1403" t="str">
            <v>George Washington University</v>
          </cell>
          <cell r="C1403" t="str">
            <v>USA</v>
          </cell>
          <cell r="D1403">
            <v>87</v>
          </cell>
          <cell r="E1403">
            <v>192</v>
          </cell>
          <cell r="F1403">
            <v>56</v>
          </cell>
          <cell r="G1403">
            <v>218</v>
          </cell>
          <cell r="H1403">
            <v>301</v>
          </cell>
          <cell r="I1403">
            <v>227</v>
          </cell>
          <cell r="J1403">
            <v>264</v>
          </cell>
          <cell r="K1403">
            <v>235</v>
          </cell>
          <cell r="L1403">
            <v>326</v>
          </cell>
          <cell r="M1403">
            <v>47.46</v>
          </cell>
          <cell r="N1403">
            <v>2015</v>
          </cell>
          <cell r="O1403">
            <v>202</v>
          </cell>
          <cell r="P1403">
            <v>60.6</v>
          </cell>
        </row>
        <row r="1404">
          <cell r="B1404" t="str">
            <v>University of Illinois at Chicago</v>
          </cell>
          <cell r="C1404" t="str">
            <v>USA</v>
          </cell>
          <cell r="D1404">
            <v>88</v>
          </cell>
          <cell r="E1404">
            <v>367</v>
          </cell>
          <cell r="F1404">
            <v>541</v>
          </cell>
          <cell r="G1404">
            <v>218</v>
          </cell>
          <cell r="H1404">
            <v>126</v>
          </cell>
          <cell r="I1404">
            <v>196</v>
          </cell>
          <cell r="J1404">
            <v>287</v>
          </cell>
          <cell r="K1404">
            <v>179</v>
          </cell>
          <cell r="L1404">
            <v>129</v>
          </cell>
          <cell r="M1404">
            <v>47.39</v>
          </cell>
          <cell r="N1404">
            <v>2015</v>
          </cell>
          <cell r="O1404">
            <v>203</v>
          </cell>
          <cell r="P1404">
            <v>57.8</v>
          </cell>
        </row>
        <row r="1405">
          <cell r="B1405" t="str">
            <v>University of Erlangen-Nuremberg</v>
          </cell>
          <cell r="C1405" t="str">
            <v>Germany</v>
          </cell>
          <cell r="D1405">
            <v>13</v>
          </cell>
          <cell r="E1405">
            <v>231</v>
          </cell>
          <cell r="F1405">
            <v>554</v>
          </cell>
          <cell r="G1405">
            <v>218</v>
          </cell>
          <cell r="H1405">
            <v>176</v>
          </cell>
          <cell r="I1405">
            <v>202</v>
          </cell>
          <cell r="J1405">
            <v>146</v>
          </cell>
          <cell r="K1405">
            <v>134</v>
          </cell>
          <cell r="L1405">
            <v>361</v>
          </cell>
          <cell r="M1405">
            <v>47.36</v>
          </cell>
          <cell r="N1405">
            <v>2015</v>
          </cell>
          <cell r="O1405">
            <v>204</v>
          </cell>
          <cell r="P1405">
            <v>35</v>
          </cell>
        </row>
        <row r="1406">
          <cell r="B1406" t="str">
            <v>University of MÃ¼nster</v>
          </cell>
          <cell r="C1406" t="str">
            <v>Germany</v>
          </cell>
          <cell r="D1406">
            <v>14</v>
          </cell>
          <cell r="E1406">
            <v>113</v>
          </cell>
          <cell r="F1406">
            <v>421</v>
          </cell>
          <cell r="G1406">
            <v>174</v>
          </cell>
          <cell r="H1406">
            <v>170</v>
          </cell>
          <cell r="I1406">
            <v>192</v>
          </cell>
          <cell r="J1406">
            <v>136</v>
          </cell>
          <cell r="K1406">
            <v>174</v>
          </cell>
          <cell r="L1406">
            <v>192</v>
          </cell>
          <cell r="M1406">
            <v>47.34</v>
          </cell>
          <cell r="N1406">
            <v>2015</v>
          </cell>
          <cell r="O1406">
            <v>205</v>
          </cell>
          <cell r="P1406">
            <v>27.8</v>
          </cell>
        </row>
        <row r="1407">
          <cell r="B1407" t="str">
            <v>Aix-Marseille University</v>
          </cell>
          <cell r="C1407" t="str">
            <v>France</v>
          </cell>
          <cell r="D1407">
            <v>9</v>
          </cell>
          <cell r="E1407">
            <v>218</v>
          </cell>
          <cell r="F1407">
            <v>451</v>
          </cell>
          <cell r="G1407">
            <v>218</v>
          </cell>
          <cell r="H1407">
            <v>119</v>
          </cell>
          <cell r="I1407">
            <v>87</v>
          </cell>
          <cell r="J1407">
            <v>182</v>
          </cell>
          <cell r="K1407">
            <v>197</v>
          </cell>
          <cell r="L1407">
            <v>230</v>
          </cell>
          <cell r="M1407">
            <v>47.31</v>
          </cell>
          <cell r="N1407">
            <v>2015</v>
          </cell>
          <cell r="O1407">
            <v>206</v>
          </cell>
          <cell r="P1407">
            <v>36.700000000000003</v>
          </cell>
        </row>
        <row r="1408">
          <cell r="B1408" t="str">
            <v>Claude Bernard University Lyon 1</v>
          </cell>
          <cell r="C1408" t="str">
            <v>France</v>
          </cell>
          <cell r="D1408">
            <v>10</v>
          </cell>
          <cell r="E1408">
            <v>367</v>
          </cell>
          <cell r="F1408">
            <v>567</v>
          </cell>
          <cell r="G1408">
            <v>218</v>
          </cell>
          <cell r="H1408">
            <v>132</v>
          </cell>
          <cell r="I1408">
            <v>121</v>
          </cell>
          <cell r="J1408">
            <v>234</v>
          </cell>
          <cell r="K1408">
            <v>184</v>
          </cell>
          <cell r="L1408">
            <v>151</v>
          </cell>
          <cell r="M1408">
            <v>47.31</v>
          </cell>
          <cell r="N1408">
            <v>2015</v>
          </cell>
          <cell r="O1408">
            <v>207</v>
          </cell>
          <cell r="P1408">
            <v>23.6</v>
          </cell>
        </row>
        <row r="1409">
          <cell r="B1409" t="str">
            <v>University of Bologna</v>
          </cell>
          <cell r="C1409" t="str">
            <v>Italy</v>
          </cell>
          <cell r="D1409">
            <v>4</v>
          </cell>
          <cell r="E1409">
            <v>350</v>
          </cell>
          <cell r="F1409">
            <v>348</v>
          </cell>
          <cell r="G1409">
            <v>218</v>
          </cell>
          <cell r="H1409">
            <v>136</v>
          </cell>
          <cell r="I1409">
            <v>281</v>
          </cell>
          <cell r="J1409">
            <v>212</v>
          </cell>
          <cell r="K1409">
            <v>161</v>
          </cell>
          <cell r="L1409">
            <v>354</v>
          </cell>
          <cell r="M1409">
            <v>47.28</v>
          </cell>
          <cell r="N1409">
            <v>2015</v>
          </cell>
          <cell r="O1409">
            <v>208</v>
          </cell>
          <cell r="P1409">
            <v>32.700000000000003</v>
          </cell>
        </row>
        <row r="1410">
          <cell r="B1410" t="str">
            <v>Queen Mary University of London</v>
          </cell>
          <cell r="C1410" t="str">
            <v>United Kingdom</v>
          </cell>
          <cell r="D1410">
            <v>17</v>
          </cell>
          <cell r="E1410">
            <v>147</v>
          </cell>
          <cell r="F1410">
            <v>319</v>
          </cell>
          <cell r="G1410">
            <v>218</v>
          </cell>
          <cell r="H1410">
            <v>226</v>
          </cell>
          <cell r="I1410">
            <v>175</v>
          </cell>
          <cell r="J1410">
            <v>212</v>
          </cell>
          <cell r="K1410">
            <v>138</v>
          </cell>
          <cell r="L1410">
            <v>255</v>
          </cell>
          <cell r="M1410">
            <v>47.25</v>
          </cell>
          <cell r="N1410">
            <v>2015</v>
          </cell>
          <cell r="O1410">
            <v>209</v>
          </cell>
          <cell r="P1410">
            <v>39.700000000000003</v>
          </cell>
        </row>
        <row r="1411">
          <cell r="B1411" t="str">
            <v>Dresden University of Technology</v>
          </cell>
          <cell r="C1411" t="str">
            <v>Germany</v>
          </cell>
          <cell r="D1411">
            <v>15</v>
          </cell>
          <cell r="E1411">
            <v>367</v>
          </cell>
          <cell r="F1411">
            <v>567</v>
          </cell>
          <cell r="G1411">
            <v>218</v>
          </cell>
          <cell r="H1411">
            <v>188</v>
          </cell>
          <cell r="I1411">
            <v>212</v>
          </cell>
          <cell r="J1411">
            <v>146</v>
          </cell>
          <cell r="K1411">
            <v>195</v>
          </cell>
          <cell r="L1411">
            <v>102</v>
          </cell>
          <cell r="M1411">
            <v>47.25</v>
          </cell>
          <cell r="N1411">
            <v>2015</v>
          </cell>
          <cell r="O1411">
            <v>210</v>
          </cell>
          <cell r="P1411" t="e">
            <v>#N/A</v>
          </cell>
        </row>
        <row r="1412">
          <cell r="B1412" t="str">
            <v>Sungkyunkwan University</v>
          </cell>
          <cell r="C1412" t="str">
            <v>South Korea</v>
          </cell>
          <cell r="D1412">
            <v>7</v>
          </cell>
          <cell r="E1412">
            <v>367</v>
          </cell>
          <cell r="F1412">
            <v>225</v>
          </cell>
          <cell r="G1412">
            <v>218</v>
          </cell>
          <cell r="H1412">
            <v>194</v>
          </cell>
          <cell r="I1412">
            <v>317</v>
          </cell>
          <cell r="J1412">
            <v>161</v>
          </cell>
          <cell r="K1412">
            <v>270</v>
          </cell>
          <cell r="L1412">
            <v>69</v>
          </cell>
          <cell r="M1412">
            <v>47.19</v>
          </cell>
          <cell r="N1412">
            <v>2015</v>
          </cell>
          <cell r="O1412">
            <v>211</v>
          </cell>
          <cell r="P1412" t="e">
            <v>#N/A</v>
          </cell>
        </row>
        <row r="1413">
          <cell r="B1413" t="str">
            <v>Newcastle University</v>
          </cell>
          <cell r="C1413" t="str">
            <v>United Kingdom</v>
          </cell>
          <cell r="D1413">
            <v>18</v>
          </cell>
          <cell r="E1413">
            <v>367</v>
          </cell>
          <cell r="F1413">
            <v>222</v>
          </cell>
          <cell r="G1413">
            <v>218</v>
          </cell>
          <cell r="H1413">
            <v>192</v>
          </cell>
          <cell r="I1413">
            <v>159</v>
          </cell>
          <cell r="J1413">
            <v>234</v>
          </cell>
          <cell r="K1413">
            <v>159</v>
          </cell>
          <cell r="L1413">
            <v>365</v>
          </cell>
          <cell r="M1413">
            <v>47.17</v>
          </cell>
          <cell r="N1413">
            <v>2015</v>
          </cell>
          <cell r="O1413">
            <v>212</v>
          </cell>
          <cell r="P1413">
            <v>42.7</v>
          </cell>
        </row>
        <row r="1414">
          <cell r="B1414" t="str">
            <v>Karlsruhe Institute of Technology</v>
          </cell>
          <cell r="C1414" t="str">
            <v>Germany</v>
          </cell>
          <cell r="D1414">
            <v>16</v>
          </cell>
          <cell r="E1414">
            <v>356</v>
          </cell>
          <cell r="F1414">
            <v>208</v>
          </cell>
          <cell r="G1414">
            <v>131</v>
          </cell>
          <cell r="H1414">
            <v>193</v>
          </cell>
          <cell r="I1414">
            <v>280</v>
          </cell>
          <cell r="J1414">
            <v>146</v>
          </cell>
          <cell r="K1414">
            <v>247</v>
          </cell>
          <cell r="L1414">
            <v>103</v>
          </cell>
          <cell r="M1414">
            <v>47.15</v>
          </cell>
          <cell r="N1414">
            <v>2015</v>
          </cell>
          <cell r="O1414">
            <v>213</v>
          </cell>
          <cell r="P1414">
            <v>45</v>
          </cell>
        </row>
        <row r="1415">
          <cell r="B1415" t="str">
            <v>University of California, Riverside</v>
          </cell>
          <cell r="C1415" t="str">
            <v>USA</v>
          </cell>
          <cell r="D1415">
            <v>89</v>
          </cell>
          <cell r="E1415">
            <v>247</v>
          </cell>
          <cell r="F1415">
            <v>567</v>
          </cell>
          <cell r="G1415">
            <v>218</v>
          </cell>
          <cell r="H1415">
            <v>209</v>
          </cell>
          <cell r="I1415">
            <v>113</v>
          </cell>
          <cell r="J1415">
            <v>161</v>
          </cell>
          <cell r="K1415">
            <v>169</v>
          </cell>
          <cell r="L1415">
            <v>194</v>
          </cell>
          <cell r="M1415">
            <v>47.13</v>
          </cell>
          <cell r="N1415">
            <v>2015</v>
          </cell>
          <cell r="O1415">
            <v>214</v>
          </cell>
          <cell r="P1415">
            <v>38.6</v>
          </cell>
        </row>
        <row r="1416">
          <cell r="B1416" t="str">
            <v>University of Kiel</v>
          </cell>
          <cell r="C1416" t="str">
            <v>Germany</v>
          </cell>
          <cell r="D1416">
            <v>17</v>
          </cell>
          <cell r="E1416">
            <v>193</v>
          </cell>
          <cell r="F1416">
            <v>487</v>
          </cell>
          <cell r="G1416">
            <v>198</v>
          </cell>
          <cell r="H1416">
            <v>232</v>
          </cell>
          <cell r="I1416">
            <v>183</v>
          </cell>
          <cell r="J1416">
            <v>161</v>
          </cell>
          <cell r="K1416">
            <v>143</v>
          </cell>
          <cell r="L1416">
            <v>310</v>
          </cell>
          <cell r="M1416">
            <v>47.11</v>
          </cell>
          <cell r="N1416">
            <v>2015</v>
          </cell>
          <cell r="O1416">
            <v>215</v>
          </cell>
          <cell r="P1416">
            <v>29.3</v>
          </cell>
        </row>
        <row r="1417">
          <cell r="B1417" t="str">
            <v>University of Western Australia</v>
          </cell>
          <cell r="C1417" t="str">
            <v>Australia</v>
          </cell>
          <cell r="D1417">
            <v>7</v>
          </cell>
          <cell r="E1417">
            <v>156</v>
          </cell>
          <cell r="F1417">
            <v>306</v>
          </cell>
          <cell r="G1417">
            <v>145</v>
          </cell>
          <cell r="H1417">
            <v>146</v>
          </cell>
          <cell r="I1417">
            <v>181</v>
          </cell>
          <cell r="J1417">
            <v>368</v>
          </cell>
          <cell r="K1417">
            <v>179</v>
          </cell>
          <cell r="L1417">
            <v>399</v>
          </cell>
          <cell r="M1417">
            <v>47.1</v>
          </cell>
          <cell r="N1417">
            <v>2015</v>
          </cell>
          <cell r="O1417">
            <v>216</v>
          </cell>
          <cell r="P1417">
            <v>32.1</v>
          </cell>
        </row>
        <row r="1418">
          <cell r="B1418" t="str">
            <v>Paris Descartes University</v>
          </cell>
          <cell r="C1418" t="str">
            <v>France</v>
          </cell>
          <cell r="D1418">
            <v>11</v>
          </cell>
          <cell r="E1418">
            <v>203</v>
          </cell>
          <cell r="F1418">
            <v>567</v>
          </cell>
          <cell r="G1418">
            <v>218</v>
          </cell>
          <cell r="H1418">
            <v>177</v>
          </cell>
          <cell r="I1418">
            <v>142</v>
          </cell>
          <cell r="J1418">
            <v>287</v>
          </cell>
          <cell r="K1418">
            <v>156</v>
          </cell>
          <cell r="L1418">
            <v>455</v>
          </cell>
          <cell r="M1418">
            <v>47.06</v>
          </cell>
          <cell r="N1418">
            <v>2015</v>
          </cell>
          <cell r="O1418">
            <v>217</v>
          </cell>
          <cell r="P1418">
            <v>24.6</v>
          </cell>
        </row>
        <row r="1419">
          <cell r="B1419" t="str">
            <v>University of Connecticut</v>
          </cell>
          <cell r="C1419" t="str">
            <v>USA</v>
          </cell>
          <cell r="D1419">
            <v>90</v>
          </cell>
          <cell r="E1419">
            <v>296</v>
          </cell>
          <cell r="F1419">
            <v>259</v>
          </cell>
          <cell r="G1419">
            <v>218</v>
          </cell>
          <cell r="H1419">
            <v>168</v>
          </cell>
          <cell r="I1419">
            <v>193</v>
          </cell>
          <cell r="J1419">
            <v>197</v>
          </cell>
          <cell r="K1419">
            <v>190</v>
          </cell>
          <cell r="L1419">
            <v>186</v>
          </cell>
          <cell r="M1419">
            <v>47.06</v>
          </cell>
          <cell r="N1419">
            <v>2015</v>
          </cell>
          <cell r="O1419">
            <v>218</v>
          </cell>
          <cell r="P1419">
            <v>42.5</v>
          </cell>
        </row>
        <row r="1420">
          <cell r="B1420" t="str">
            <v>University of Massachusetts Amherst</v>
          </cell>
          <cell r="C1420" t="str">
            <v>USA</v>
          </cell>
          <cell r="D1420">
            <v>91</v>
          </cell>
          <cell r="E1420">
            <v>212</v>
          </cell>
          <cell r="F1420">
            <v>141</v>
          </cell>
          <cell r="G1420">
            <v>159</v>
          </cell>
          <cell r="H1420">
            <v>198</v>
          </cell>
          <cell r="I1420">
            <v>191</v>
          </cell>
          <cell r="J1420">
            <v>212</v>
          </cell>
          <cell r="K1420">
            <v>200</v>
          </cell>
          <cell r="L1420">
            <v>356</v>
          </cell>
          <cell r="M1420">
            <v>47.05</v>
          </cell>
          <cell r="N1420">
            <v>2015</v>
          </cell>
          <cell r="O1420">
            <v>219</v>
          </cell>
          <cell r="P1420" t="e">
            <v>#N/A</v>
          </cell>
        </row>
        <row r="1421">
          <cell r="B1421" t="str">
            <v>Chinese University of Hong Kong</v>
          </cell>
          <cell r="C1421" t="str">
            <v>Hong Kong</v>
          </cell>
          <cell r="D1421">
            <v>2</v>
          </cell>
          <cell r="E1421">
            <v>100</v>
          </cell>
          <cell r="F1421">
            <v>479</v>
          </cell>
          <cell r="G1421">
            <v>116</v>
          </cell>
          <cell r="H1421">
            <v>162</v>
          </cell>
          <cell r="I1421">
            <v>356</v>
          </cell>
          <cell r="J1421">
            <v>212</v>
          </cell>
          <cell r="K1421">
            <v>209</v>
          </cell>
          <cell r="L1421">
            <v>168</v>
          </cell>
          <cell r="M1421">
            <v>47.05</v>
          </cell>
          <cell r="N1421">
            <v>2015</v>
          </cell>
          <cell r="O1421">
            <v>220</v>
          </cell>
          <cell r="P1421">
            <v>47</v>
          </cell>
        </row>
        <row r="1422">
          <cell r="B1422" t="str">
            <v>University of Turin</v>
          </cell>
          <cell r="C1422" t="str">
            <v>Italy</v>
          </cell>
          <cell r="D1422">
            <v>5</v>
          </cell>
          <cell r="E1422">
            <v>315</v>
          </cell>
          <cell r="F1422">
            <v>450</v>
          </cell>
          <cell r="G1422">
            <v>163</v>
          </cell>
          <cell r="H1422">
            <v>206</v>
          </cell>
          <cell r="I1422">
            <v>278</v>
          </cell>
          <cell r="J1422">
            <v>197</v>
          </cell>
          <cell r="K1422">
            <v>150</v>
          </cell>
          <cell r="L1422">
            <v>613</v>
          </cell>
          <cell r="M1422">
            <v>47.04</v>
          </cell>
          <cell r="N1422">
            <v>2015</v>
          </cell>
          <cell r="O1422">
            <v>221</v>
          </cell>
          <cell r="P1422">
            <v>22.6</v>
          </cell>
        </row>
        <row r="1423">
          <cell r="B1423" t="str">
            <v>University of Manitoba</v>
          </cell>
          <cell r="C1423" t="str">
            <v>Canada</v>
          </cell>
          <cell r="D1423">
            <v>10</v>
          </cell>
          <cell r="E1423">
            <v>157</v>
          </cell>
          <cell r="F1423">
            <v>93</v>
          </cell>
          <cell r="G1423">
            <v>155</v>
          </cell>
          <cell r="H1423">
            <v>261</v>
          </cell>
          <cell r="I1423">
            <v>308</v>
          </cell>
          <cell r="J1423">
            <v>212</v>
          </cell>
          <cell r="K1423">
            <v>256</v>
          </cell>
          <cell r="L1423">
            <v>175</v>
          </cell>
          <cell r="M1423">
            <v>47.04</v>
          </cell>
          <cell r="N1423">
            <v>2015</v>
          </cell>
          <cell r="O1423">
            <v>222</v>
          </cell>
          <cell r="P1423">
            <v>29.5</v>
          </cell>
        </row>
        <row r="1424">
          <cell r="B1424" t="str">
            <v>University of Vienna</v>
          </cell>
          <cell r="C1424" t="str">
            <v>Austria</v>
          </cell>
          <cell r="D1424">
            <v>1</v>
          </cell>
          <cell r="E1424">
            <v>191</v>
          </cell>
          <cell r="F1424">
            <v>185</v>
          </cell>
          <cell r="G1424">
            <v>101</v>
          </cell>
          <cell r="H1424">
            <v>231</v>
          </cell>
          <cell r="I1424">
            <v>154</v>
          </cell>
          <cell r="J1424">
            <v>161</v>
          </cell>
          <cell r="K1424">
            <v>200</v>
          </cell>
          <cell r="L1424">
            <v>671</v>
          </cell>
          <cell r="M1424">
            <v>47.03</v>
          </cell>
          <cell r="N1424">
            <v>2015</v>
          </cell>
          <cell r="O1424">
            <v>223</v>
          </cell>
          <cell r="P1424">
            <v>47.6</v>
          </cell>
        </row>
        <row r="1425">
          <cell r="B1425" t="str">
            <v>University of Montpellier</v>
          </cell>
          <cell r="C1425" t="str">
            <v>France</v>
          </cell>
          <cell r="D1425">
            <v>12</v>
          </cell>
          <cell r="E1425">
            <v>289</v>
          </cell>
          <cell r="F1425">
            <v>462</v>
          </cell>
          <cell r="G1425">
            <v>169</v>
          </cell>
          <cell r="H1425">
            <v>165</v>
          </cell>
          <cell r="I1425">
            <v>129</v>
          </cell>
          <cell r="J1425">
            <v>146</v>
          </cell>
          <cell r="K1425">
            <v>184</v>
          </cell>
          <cell r="L1425">
            <v>511</v>
          </cell>
          <cell r="M1425">
            <v>47</v>
          </cell>
          <cell r="N1425">
            <v>2015</v>
          </cell>
          <cell r="O1425">
            <v>224</v>
          </cell>
          <cell r="P1425" t="e">
            <v>#N/A</v>
          </cell>
        </row>
        <row r="1426">
          <cell r="B1426" t="str">
            <v>Maastricht University</v>
          </cell>
          <cell r="C1426" t="str">
            <v>Netherlands</v>
          </cell>
          <cell r="D1426">
            <v>8</v>
          </cell>
          <cell r="E1426">
            <v>367</v>
          </cell>
          <cell r="F1426">
            <v>567</v>
          </cell>
          <cell r="G1426">
            <v>218</v>
          </cell>
          <cell r="H1426">
            <v>185</v>
          </cell>
          <cell r="I1426">
            <v>354</v>
          </cell>
          <cell r="J1426">
            <v>234</v>
          </cell>
          <cell r="K1426">
            <v>156</v>
          </cell>
          <cell r="L1426">
            <v>281</v>
          </cell>
          <cell r="M1426">
            <v>47</v>
          </cell>
          <cell r="N1426">
            <v>2015</v>
          </cell>
          <cell r="O1426">
            <v>225</v>
          </cell>
          <cell r="P1426">
            <v>30.6</v>
          </cell>
        </row>
        <row r="1427">
          <cell r="B1427" t="str">
            <v>National Cheng Kung University</v>
          </cell>
          <cell r="C1427" t="str">
            <v>Taiwan</v>
          </cell>
          <cell r="D1427">
            <v>2</v>
          </cell>
          <cell r="E1427">
            <v>367</v>
          </cell>
          <cell r="F1427">
            <v>52</v>
          </cell>
          <cell r="G1427">
            <v>218</v>
          </cell>
          <cell r="H1427">
            <v>164</v>
          </cell>
          <cell r="I1427">
            <v>485</v>
          </cell>
          <cell r="J1427">
            <v>812</v>
          </cell>
          <cell r="K1427">
            <v>388</v>
          </cell>
          <cell r="L1427">
            <v>436</v>
          </cell>
          <cell r="M1427">
            <v>46.97</v>
          </cell>
          <cell r="N1427">
            <v>2015</v>
          </cell>
          <cell r="O1427">
            <v>226</v>
          </cell>
          <cell r="P1427">
            <v>33.1</v>
          </cell>
        </row>
        <row r="1428">
          <cell r="B1428" t="str">
            <v>University of Tennessee, Knoxville</v>
          </cell>
          <cell r="C1428" t="str">
            <v>USA</v>
          </cell>
          <cell r="D1428">
            <v>92</v>
          </cell>
          <cell r="E1428">
            <v>319</v>
          </cell>
          <cell r="F1428">
            <v>117</v>
          </cell>
          <cell r="G1428">
            <v>218</v>
          </cell>
          <cell r="H1428">
            <v>196</v>
          </cell>
          <cell r="I1428">
            <v>187</v>
          </cell>
          <cell r="J1428">
            <v>197</v>
          </cell>
          <cell r="K1428">
            <v>219</v>
          </cell>
          <cell r="L1428">
            <v>449</v>
          </cell>
          <cell r="M1428">
            <v>46.96</v>
          </cell>
          <cell r="N1428">
            <v>2015</v>
          </cell>
          <cell r="O1428">
            <v>227</v>
          </cell>
          <cell r="P1428">
            <v>29.5</v>
          </cell>
        </row>
        <row r="1429">
          <cell r="B1429" t="str">
            <v>Complutense University of Madrid</v>
          </cell>
          <cell r="C1429" t="str">
            <v>Spain</v>
          </cell>
          <cell r="D1429">
            <v>2</v>
          </cell>
          <cell r="E1429">
            <v>86</v>
          </cell>
          <cell r="F1429">
            <v>68</v>
          </cell>
          <cell r="G1429">
            <v>214</v>
          </cell>
          <cell r="H1429">
            <v>215</v>
          </cell>
          <cell r="I1429">
            <v>309</v>
          </cell>
          <cell r="J1429">
            <v>368</v>
          </cell>
          <cell r="K1429">
            <v>335</v>
          </cell>
          <cell r="L1429">
            <v>256</v>
          </cell>
          <cell r="M1429">
            <v>46.96</v>
          </cell>
          <cell r="N1429">
            <v>2015</v>
          </cell>
          <cell r="O1429">
            <v>228</v>
          </cell>
          <cell r="P1429">
            <v>33.200000000000003</v>
          </cell>
        </row>
        <row r="1430">
          <cell r="B1430" t="str">
            <v>Laval University</v>
          </cell>
          <cell r="C1430" t="str">
            <v>Canada</v>
          </cell>
          <cell r="D1430">
            <v>11</v>
          </cell>
          <cell r="E1430">
            <v>292</v>
          </cell>
          <cell r="F1430">
            <v>273</v>
          </cell>
          <cell r="G1430">
            <v>218</v>
          </cell>
          <cell r="H1430">
            <v>207</v>
          </cell>
          <cell r="I1430">
            <v>270</v>
          </cell>
          <cell r="J1430">
            <v>182</v>
          </cell>
          <cell r="K1430">
            <v>200</v>
          </cell>
          <cell r="L1430">
            <v>140</v>
          </cell>
          <cell r="M1430">
            <v>46.95</v>
          </cell>
          <cell r="N1430">
            <v>2015</v>
          </cell>
          <cell r="O1430">
            <v>229</v>
          </cell>
          <cell r="P1430">
            <v>36.4</v>
          </cell>
        </row>
        <row r="1431">
          <cell r="B1431" t="str">
            <v>RWTH Aachen University</v>
          </cell>
          <cell r="C1431" t="str">
            <v>Germany</v>
          </cell>
          <cell r="D1431">
            <v>18</v>
          </cell>
          <cell r="E1431">
            <v>357</v>
          </cell>
          <cell r="F1431">
            <v>238</v>
          </cell>
          <cell r="G1431">
            <v>131</v>
          </cell>
          <cell r="H1431">
            <v>197</v>
          </cell>
          <cell r="I1431">
            <v>359</v>
          </cell>
          <cell r="J1431">
            <v>182</v>
          </cell>
          <cell r="K1431">
            <v>219</v>
          </cell>
          <cell r="L1431">
            <v>158</v>
          </cell>
          <cell r="M1431">
            <v>46.9</v>
          </cell>
          <cell r="N1431">
            <v>2015</v>
          </cell>
          <cell r="O1431">
            <v>230</v>
          </cell>
          <cell r="P1431">
            <v>50</v>
          </cell>
        </row>
        <row r="1432">
          <cell r="B1432" t="str">
            <v>UniversitÃ© catholique de Louvain</v>
          </cell>
          <cell r="C1432" t="str">
            <v>Belgium</v>
          </cell>
          <cell r="D1432">
            <v>4</v>
          </cell>
          <cell r="E1432">
            <v>367</v>
          </cell>
          <cell r="F1432">
            <v>264</v>
          </cell>
          <cell r="G1432">
            <v>97</v>
          </cell>
          <cell r="H1432">
            <v>283</v>
          </cell>
          <cell r="I1432">
            <v>325</v>
          </cell>
          <cell r="J1432">
            <v>115</v>
          </cell>
          <cell r="K1432">
            <v>213</v>
          </cell>
          <cell r="L1432">
            <v>236</v>
          </cell>
          <cell r="M1432">
            <v>46.89</v>
          </cell>
          <cell r="N1432">
            <v>2015</v>
          </cell>
          <cell r="O1432">
            <v>231</v>
          </cell>
          <cell r="P1432">
            <v>29.2</v>
          </cell>
        </row>
        <row r="1433">
          <cell r="B1433" t="str">
            <v>North Carolina State University</v>
          </cell>
          <cell r="C1433" t="str">
            <v>USA</v>
          </cell>
          <cell r="D1433">
            <v>93</v>
          </cell>
          <cell r="E1433">
            <v>251</v>
          </cell>
          <cell r="F1433">
            <v>228</v>
          </cell>
          <cell r="G1433">
            <v>218</v>
          </cell>
          <cell r="H1433">
            <v>157</v>
          </cell>
          <cell r="I1433">
            <v>206</v>
          </cell>
          <cell r="J1433">
            <v>182</v>
          </cell>
          <cell r="K1433">
            <v>242</v>
          </cell>
          <cell r="L1433">
            <v>161</v>
          </cell>
          <cell r="M1433">
            <v>46.89</v>
          </cell>
          <cell r="N1433">
            <v>2015</v>
          </cell>
          <cell r="O1433">
            <v>232</v>
          </cell>
          <cell r="P1433">
            <v>34.799999999999997</v>
          </cell>
        </row>
        <row r="1434">
          <cell r="B1434" t="str">
            <v>Johannes Gutenberg University of Mainz</v>
          </cell>
          <cell r="C1434" t="str">
            <v>Germany</v>
          </cell>
          <cell r="D1434">
            <v>19</v>
          </cell>
          <cell r="E1434">
            <v>367</v>
          </cell>
          <cell r="F1434">
            <v>567</v>
          </cell>
          <cell r="G1434">
            <v>194</v>
          </cell>
          <cell r="H1434">
            <v>210</v>
          </cell>
          <cell r="I1434">
            <v>185</v>
          </cell>
          <cell r="J1434">
            <v>161</v>
          </cell>
          <cell r="K1434">
            <v>164</v>
          </cell>
          <cell r="L1434">
            <v>523</v>
          </cell>
          <cell r="M1434">
            <v>46.88</v>
          </cell>
          <cell r="N1434">
            <v>2015</v>
          </cell>
          <cell r="O1434">
            <v>233</v>
          </cell>
          <cell r="P1434">
            <v>33.5</v>
          </cell>
        </row>
        <row r="1435">
          <cell r="B1435" t="str">
            <v>University of Texas Health Science Center at San Antonio</v>
          </cell>
          <cell r="C1435" t="str">
            <v>USA</v>
          </cell>
          <cell r="D1435">
            <v>94</v>
          </cell>
          <cell r="E1435">
            <v>367</v>
          </cell>
          <cell r="F1435">
            <v>567</v>
          </cell>
          <cell r="G1435">
            <v>218</v>
          </cell>
          <cell r="H1435">
            <v>314</v>
          </cell>
          <cell r="I1435">
            <v>229</v>
          </cell>
          <cell r="J1435">
            <v>197</v>
          </cell>
          <cell r="K1435">
            <v>140</v>
          </cell>
          <cell r="L1435">
            <v>315</v>
          </cell>
          <cell r="M1435">
            <v>46.88</v>
          </cell>
          <cell r="N1435">
            <v>2015</v>
          </cell>
          <cell r="O1435">
            <v>234</v>
          </cell>
          <cell r="P1435" t="e">
            <v>#N/A</v>
          </cell>
        </row>
        <row r="1436">
          <cell r="B1436" t="str">
            <v>Julius-Maximilian's University of WÃ¼rzburg</v>
          </cell>
          <cell r="C1436" t="str">
            <v>Germany</v>
          </cell>
          <cell r="D1436">
            <v>20</v>
          </cell>
          <cell r="E1436">
            <v>106</v>
          </cell>
          <cell r="F1436">
            <v>391</v>
          </cell>
          <cell r="G1436">
            <v>168</v>
          </cell>
          <cell r="H1436">
            <v>216</v>
          </cell>
          <cell r="I1436">
            <v>179</v>
          </cell>
          <cell r="J1436">
            <v>287</v>
          </cell>
          <cell r="K1436">
            <v>179</v>
          </cell>
          <cell r="L1436">
            <v>369</v>
          </cell>
          <cell r="M1436">
            <v>46.85</v>
          </cell>
          <cell r="N1436">
            <v>2015</v>
          </cell>
          <cell r="O1436">
            <v>235</v>
          </cell>
          <cell r="P1436" t="e">
            <v>#N/A</v>
          </cell>
        </row>
        <row r="1437">
          <cell r="B1437" t="str">
            <v>Paul Sabatier University - Toulouse III</v>
          </cell>
          <cell r="C1437" t="str">
            <v>France</v>
          </cell>
          <cell r="D1437">
            <v>13</v>
          </cell>
          <cell r="E1437">
            <v>367</v>
          </cell>
          <cell r="F1437">
            <v>567</v>
          </cell>
          <cell r="G1437">
            <v>218</v>
          </cell>
          <cell r="H1437">
            <v>158</v>
          </cell>
          <cell r="I1437">
            <v>102</v>
          </cell>
          <cell r="J1437">
            <v>321</v>
          </cell>
          <cell r="K1437">
            <v>188</v>
          </cell>
          <cell r="L1437">
            <v>514</v>
          </cell>
          <cell r="M1437">
            <v>46.81</v>
          </cell>
          <cell r="N1437">
            <v>2015</v>
          </cell>
          <cell r="O1437">
            <v>236</v>
          </cell>
          <cell r="P1437" t="e">
            <v>#N/A</v>
          </cell>
        </row>
        <row r="1438">
          <cell r="B1438" t="str">
            <v>University of Gothenburg</v>
          </cell>
          <cell r="C1438" t="str">
            <v>Sweden</v>
          </cell>
          <cell r="D1438">
            <v>6</v>
          </cell>
          <cell r="E1438">
            <v>257</v>
          </cell>
          <cell r="F1438">
            <v>294</v>
          </cell>
          <cell r="G1438">
            <v>116</v>
          </cell>
          <cell r="H1438">
            <v>217</v>
          </cell>
          <cell r="I1438">
            <v>197</v>
          </cell>
          <cell r="J1438">
            <v>136</v>
          </cell>
          <cell r="K1438">
            <v>197</v>
          </cell>
          <cell r="L1438">
            <v>871</v>
          </cell>
          <cell r="M1438">
            <v>46.79</v>
          </cell>
          <cell r="N1438">
            <v>2015</v>
          </cell>
          <cell r="O1438">
            <v>237</v>
          </cell>
          <cell r="P1438">
            <v>25.8</v>
          </cell>
        </row>
        <row r="1439">
          <cell r="B1439" t="str">
            <v>University College Dublin</v>
          </cell>
          <cell r="C1439" t="str">
            <v>Ireland</v>
          </cell>
          <cell r="D1439">
            <v>2</v>
          </cell>
          <cell r="E1439">
            <v>241</v>
          </cell>
          <cell r="F1439">
            <v>112</v>
          </cell>
          <cell r="G1439">
            <v>218</v>
          </cell>
          <cell r="H1439">
            <v>288</v>
          </cell>
          <cell r="I1439">
            <v>285</v>
          </cell>
          <cell r="J1439">
            <v>128</v>
          </cell>
          <cell r="K1439">
            <v>247</v>
          </cell>
          <cell r="L1439">
            <v>278</v>
          </cell>
          <cell r="M1439">
            <v>46.79</v>
          </cell>
          <cell r="N1439">
            <v>2015</v>
          </cell>
          <cell r="O1439">
            <v>238</v>
          </cell>
          <cell r="P1439">
            <v>42.4</v>
          </cell>
        </row>
        <row r="1440">
          <cell r="B1440" t="str">
            <v>University of Science and Technology of China</v>
          </cell>
          <cell r="C1440" t="str">
            <v>China</v>
          </cell>
          <cell r="D1440">
            <v>6</v>
          </cell>
          <cell r="E1440">
            <v>367</v>
          </cell>
          <cell r="F1440">
            <v>192</v>
          </cell>
          <cell r="G1440">
            <v>218</v>
          </cell>
          <cell r="H1440">
            <v>128</v>
          </cell>
          <cell r="I1440">
            <v>269</v>
          </cell>
          <cell r="J1440">
            <v>368</v>
          </cell>
          <cell r="K1440">
            <v>247</v>
          </cell>
          <cell r="L1440">
            <v>452</v>
          </cell>
          <cell r="M1440">
            <v>46.73</v>
          </cell>
          <cell r="N1440">
            <v>2015</v>
          </cell>
          <cell r="O1440">
            <v>239</v>
          </cell>
          <cell r="P1440">
            <v>57.5</v>
          </cell>
        </row>
        <row r="1441">
          <cell r="B1441" t="str">
            <v>University of Leicester</v>
          </cell>
          <cell r="C1441" t="str">
            <v>United Kingdom</v>
          </cell>
          <cell r="D1441">
            <v>19</v>
          </cell>
          <cell r="E1441">
            <v>367</v>
          </cell>
          <cell r="F1441">
            <v>567</v>
          </cell>
          <cell r="G1441">
            <v>218</v>
          </cell>
          <cell r="H1441">
            <v>258</v>
          </cell>
          <cell r="I1441">
            <v>139</v>
          </cell>
          <cell r="J1441">
            <v>197</v>
          </cell>
          <cell r="K1441">
            <v>170</v>
          </cell>
          <cell r="L1441">
            <v>385</v>
          </cell>
          <cell r="M1441">
            <v>46.72</v>
          </cell>
          <cell r="N1441">
            <v>2015</v>
          </cell>
          <cell r="O1441">
            <v>240</v>
          </cell>
          <cell r="P1441">
            <v>27.6</v>
          </cell>
        </row>
        <row r="1442">
          <cell r="B1442" t="str">
            <v>Autonomous University of Barcelona</v>
          </cell>
          <cell r="C1442" t="str">
            <v>Spain</v>
          </cell>
          <cell r="D1442">
            <v>3</v>
          </cell>
          <cell r="E1442">
            <v>367</v>
          </cell>
          <cell r="F1442">
            <v>567</v>
          </cell>
          <cell r="G1442">
            <v>218</v>
          </cell>
          <cell r="H1442">
            <v>144</v>
          </cell>
          <cell r="I1442">
            <v>220</v>
          </cell>
          <cell r="J1442">
            <v>264</v>
          </cell>
          <cell r="K1442">
            <v>213</v>
          </cell>
          <cell r="L1442">
            <v>277</v>
          </cell>
          <cell r="M1442">
            <v>46.72</v>
          </cell>
          <cell r="N1442">
            <v>2015</v>
          </cell>
          <cell r="O1442">
            <v>241</v>
          </cell>
          <cell r="P1442">
            <v>33.700000000000003</v>
          </cell>
        </row>
        <row r="1443">
          <cell r="B1443" t="str">
            <v>University of Dundee</v>
          </cell>
          <cell r="C1443" t="str">
            <v>United Kingdom</v>
          </cell>
          <cell r="D1443">
            <v>20</v>
          </cell>
          <cell r="E1443">
            <v>178</v>
          </cell>
          <cell r="F1443">
            <v>567</v>
          </cell>
          <cell r="G1443">
            <v>218</v>
          </cell>
          <cell r="H1443">
            <v>354</v>
          </cell>
          <cell r="I1443">
            <v>200</v>
          </cell>
          <cell r="J1443">
            <v>161</v>
          </cell>
          <cell r="K1443">
            <v>176</v>
          </cell>
          <cell r="L1443">
            <v>216</v>
          </cell>
          <cell r="M1443">
            <v>46.68</v>
          </cell>
          <cell r="N1443">
            <v>2015</v>
          </cell>
          <cell r="O1443">
            <v>242</v>
          </cell>
          <cell r="P1443">
            <v>34.1</v>
          </cell>
        </row>
        <row r="1444">
          <cell r="B1444" t="str">
            <v>Norwegian University of Science and Technology</v>
          </cell>
          <cell r="C1444" t="str">
            <v>Norway</v>
          </cell>
          <cell r="D1444">
            <v>2</v>
          </cell>
          <cell r="E1444">
            <v>252</v>
          </cell>
          <cell r="F1444">
            <v>119</v>
          </cell>
          <cell r="G1444">
            <v>75</v>
          </cell>
          <cell r="H1444">
            <v>279</v>
          </cell>
          <cell r="I1444">
            <v>366</v>
          </cell>
          <cell r="J1444">
            <v>212</v>
          </cell>
          <cell r="K1444">
            <v>273</v>
          </cell>
          <cell r="L1444">
            <v>327</v>
          </cell>
          <cell r="M1444">
            <v>46.67</v>
          </cell>
          <cell r="N1444">
            <v>2015</v>
          </cell>
          <cell r="O1444">
            <v>243</v>
          </cell>
          <cell r="P1444">
            <v>26.9</v>
          </cell>
        </row>
        <row r="1445">
          <cell r="B1445" t="str">
            <v>Nanjing University</v>
          </cell>
          <cell r="C1445" t="str">
            <v>China</v>
          </cell>
          <cell r="D1445">
            <v>7</v>
          </cell>
          <cell r="E1445">
            <v>342</v>
          </cell>
          <cell r="F1445">
            <v>362</v>
          </cell>
          <cell r="G1445">
            <v>218</v>
          </cell>
          <cell r="H1445">
            <v>134</v>
          </cell>
          <cell r="I1445">
            <v>358</v>
          </cell>
          <cell r="J1445">
            <v>234</v>
          </cell>
          <cell r="K1445">
            <v>265</v>
          </cell>
          <cell r="L1445">
            <v>164</v>
          </cell>
          <cell r="M1445">
            <v>46.61</v>
          </cell>
          <cell r="N1445">
            <v>2015</v>
          </cell>
          <cell r="O1445">
            <v>244</v>
          </cell>
          <cell r="P1445">
            <v>52.2</v>
          </cell>
        </row>
        <row r="1446">
          <cell r="B1446" t="str">
            <v>Okayama University</v>
          </cell>
          <cell r="C1446" t="str">
            <v>Japan</v>
          </cell>
          <cell r="D1446">
            <v>11</v>
          </cell>
          <cell r="E1446">
            <v>367</v>
          </cell>
          <cell r="F1446">
            <v>288</v>
          </cell>
          <cell r="G1446">
            <v>218</v>
          </cell>
          <cell r="H1446">
            <v>353</v>
          </cell>
          <cell r="I1446">
            <v>335</v>
          </cell>
          <cell r="J1446">
            <v>287</v>
          </cell>
          <cell r="K1446">
            <v>318</v>
          </cell>
          <cell r="L1446">
            <v>60</v>
          </cell>
          <cell r="M1446">
            <v>46.59</v>
          </cell>
          <cell r="N1446">
            <v>2015</v>
          </cell>
          <cell r="O1446">
            <v>245</v>
          </cell>
          <cell r="P1446">
            <v>24.3</v>
          </cell>
        </row>
        <row r="1447">
          <cell r="B1447" t="str">
            <v>London School of Hygiene &amp; Tropical Medicine</v>
          </cell>
          <cell r="C1447" t="str">
            <v>United Kingdom</v>
          </cell>
          <cell r="D1447">
            <v>21</v>
          </cell>
          <cell r="E1447">
            <v>367</v>
          </cell>
          <cell r="F1447">
            <v>567</v>
          </cell>
          <cell r="G1447">
            <v>159</v>
          </cell>
          <cell r="H1447">
            <v>300</v>
          </cell>
          <cell r="I1447">
            <v>294</v>
          </cell>
          <cell r="J1447">
            <v>264</v>
          </cell>
          <cell r="K1447">
            <v>164</v>
          </cell>
          <cell r="L1447">
            <v>736</v>
          </cell>
          <cell r="M1447">
            <v>46.59</v>
          </cell>
          <cell r="N1447">
            <v>2015</v>
          </cell>
          <cell r="O1447">
            <v>246</v>
          </cell>
          <cell r="P1447" t="e">
            <v>#N/A</v>
          </cell>
        </row>
        <row r="1448">
          <cell r="B1448" t="str">
            <v>University of Florence</v>
          </cell>
          <cell r="C1448" t="str">
            <v>Italy</v>
          </cell>
          <cell r="D1448">
            <v>6</v>
          </cell>
          <cell r="E1448">
            <v>327</v>
          </cell>
          <cell r="F1448">
            <v>326</v>
          </cell>
          <cell r="G1448">
            <v>94</v>
          </cell>
          <cell r="H1448">
            <v>218</v>
          </cell>
          <cell r="I1448">
            <v>275</v>
          </cell>
          <cell r="J1448">
            <v>197</v>
          </cell>
          <cell r="K1448">
            <v>227</v>
          </cell>
          <cell r="L1448">
            <v>564</v>
          </cell>
          <cell r="M1448">
            <v>46.58</v>
          </cell>
          <cell r="N1448">
            <v>2015</v>
          </cell>
          <cell r="O1448">
            <v>247</v>
          </cell>
          <cell r="P1448">
            <v>17.7</v>
          </cell>
        </row>
        <row r="1449">
          <cell r="B1449" t="str">
            <v>University of Cape Town</v>
          </cell>
          <cell r="C1449" t="str">
            <v>South Africa</v>
          </cell>
          <cell r="D1449">
            <v>2</v>
          </cell>
          <cell r="E1449">
            <v>104</v>
          </cell>
          <cell r="F1449">
            <v>126</v>
          </cell>
          <cell r="G1449">
            <v>146</v>
          </cell>
          <cell r="H1449">
            <v>319</v>
          </cell>
          <cell r="I1449">
            <v>236</v>
          </cell>
          <cell r="J1449">
            <v>234</v>
          </cell>
          <cell r="K1449">
            <v>265</v>
          </cell>
          <cell r="L1449">
            <v>268</v>
          </cell>
          <cell r="M1449">
            <v>46.58</v>
          </cell>
          <cell r="N1449">
            <v>2015</v>
          </cell>
          <cell r="O1449">
            <v>248</v>
          </cell>
          <cell r="P1449">
            <v>36.6</v>
          </cell>
        </row>
        <row r="1450">
          <cell r="B1450" t="str">
            <v>University of Texas Health Science Center at Houston</v>
          </cell>
          <cell r="C1450" t="str">
            <v>USA</v>
          </cell>
          <cell r="D1450">
            <v>95</v>
          </cell>
          <cell r="E1450">
            <v>367</v>
          </cell>
          <cell r="F1450">
            <v>567</v>
          </cell>
          <cell r="G1450">
            <v>155</v>
          </cell>
          <cell r="H1450">
            <v>257</v>
          </cell>
          <cell r="I1450">
            <v>162</v>
          </cell>
          <cell r="J1450">
            <v>212</v>
          </cell>
          <cell r="K1450">
            <v>190</v>
          </cell>
          <cell r="L1450">
            <v>337</v>
          </cell>
          <cell r="M1450">
            <v>46.56</v>
          </cell>
          <cell r="N1450">
            <v>2015</v>
          </cell>
          <cell r="O1450">
            <v>249</v>
          </cell>
          <cell r="P1450" t="e">
            <v>#N/A</v>
          </cell>
        </row>
        <row r="1451">
          <cell r="B1451" t="str">
            <v>Moscow Institute of Physics and Technology</v>
          </cell>
          <cell r="C1451" t="str">
            <v>Russia</v>
          </cell>
          <cell r="D1451">
            <v>2</v>
          </cell>
          <cell r="E1451">
            <v>23</v>
          </cell>
          <cell r="F1451">
            <v>339</v>
          </cell>
          <cell r="G1451">
            <v>218</v>
          </cell>
          <cell r="H1451">
            <v>949</v>
          </cell>
          <cell r="I1451">
            <v>605</v>
          </cell>
          <cell r="J1451">
            <v>812</v>
          </cell>
          <cell r="K1451">
            <v>1000</v>
          </cell>
          <cell r="L1451">
            <v>839</v>
          </cell>
          <cell r="M1451">
            <v>46.55</v>
          </cell>
          <cell r="N1451">
            <v>2015</v>
          </cell>
          <cell r="O1451">
            <v>250</v>
          </cell>
          <cell r="P1451">
            <v>34.299999999999997</v>
          </cell>
        </row>
        <row r="1452">
          <cell r="B1452" t="str">
            <v>University of DÃ¼sseldorf</v>
          </cell>
          <cell r="C1452" t="str">
            <v>Germany</v>
          </cell>
          <cell r="D1452">
            <v>21</v>
          </cell>
          <cell r="E1452">
            <v>185</v>
          </cell>
          <cell r="F1452">
            <v>567</v>
          </cell>
          <cell r="G1452">
            <v>218</v>
          </cell>
          <cell r="H1452">
            <v>297</v>
          </cell>
          <cell r="I1452">
            <v>209</v>
          </cell>
          <cell r="J1452">
            <v>182</v>
          </cell>
          <cell r="K1452">
            <v>178</v>
          </cell>
          <cell r="L1452">
            <v>454</v>
          </cell>
          <cell r="M1452">
            <v>46.54</v>
          </cell>
          <cell r="N1452">
            <v>2015</v>
          </cell>
          <cell r="O1452">
            <v>251</v>
          </cell>
          <cell r="P1452" t="e">
            <v>#N/A</v>
          </cell>
        </row>
        <row r="1453">
          <cell r="B1453" t="str">
            <v>Florida State University</v>
          </cell>
          <cell r="C1453" t="str">
            <v>USA</v>
          </cell>
          <cell r="D1453">
            <v>96</v>
          </cell>
          <cell r="E1453">
            <v>367</v>
          </cell>
          <cell r="F1453">
            <v>334</v>
          </cell>
          <cell r="G1453">
            <v>218</v>
          </cell>
          <cell r="H1453">
            <v>200</v>
          </cell>
          <cell r="I1453">
            <v>184</v>
          </cell>
          <cell r="J1453">
            <v>136</v>
          </cell>
          <cell r="K1453">
            <v>225</v>
          </cell>
          <cell r="L1453">
            <v>411</v>
          </cell>
          <cell r="M1453">
            <v>46.53</v>
          </cell>
          <cell r="N1453">
            <v>2015</v>
          </cell>
          <cell r="O1453">
            <v>252</v>
          </cell>
          <cell r="P1453">
            <v>38.5</v>
          </cell>
        </row>
        <row r="1454">
          <cell r="B1454" t="str">
            <v>University of Sussex</v>
          </cell>
          <cell r="C1454" t="str">
            <v>United Kingdom</v>
          </cell>
          <cell r="D1454">
            <v>22</v>
          </cell>
          <cell r="E1454">
            <v>151</v>
          </cell>
          <cell r="F1454">
            <v>257</v>
          </cell>
          <cell r="G1454">
            <v>57</v>
          </cell>
          <cell r="H1454">
            <v>359</v>
          </cell>
          <cell r="I1454">
            <v>250</v>
          </cell>
          <cell r="J1454">
            <v>161</v>
          </cell>
          <cell r="K1454">
            <v>308</v>
          </cell>
          <cell r="L1454">
            <v>553</v>
          </cell>
          <cell r="M1454">
            <v>46.49</v>
          </cell>
          <cell r="N1454">
            <v>2015</v>
          </cell>
          <cell r="O1454">
            <v>253</v>
          </cell>
          <cell r="P1454">
            <v>42.4</v>
          </cell>
        </row>
        <row r="1455">
          <cell r="B1455" t="str">
            <v>Thomas Jefferson University</v>
          </cell>
          <cell r="C1455" t="str">
            <v>USA</v>
          </cell>
          <cell r="D1455">
            <v>97</v>
          </cell>
          <cell r="E1455">
            <v>158</v>
          </cell>
          <cell r="F1455">
            <v>567</v>
          </cell>
          <cell r="G1455">
            <v>218</v>
          </cell>
          <cell r="H1455">
            <v>333</v>
          </cell>
          <cell r="I1455">
            <v>334</v>
          </cell>
          <cell r="J1455">
            <v>161</v>
          </cell>
          <cell r="K1455">
            <v>179</v>
          </cell>
          <cell r="L1455">
            <v>502</v>
          </cell>
          <cell r="M1455">
            <v>46.47</v>
          </cell>
          <cell r="N1455">
            <v>2015</v>
          </cell>
          <cell r="O1455">
            <v>254</v>
          </cell>
          <cell r="P1455" t="e">
            <v>#N/A</v>
          </cell>
        </row>
        <row r="1456">
          <cell r="B1456" t="str">
            <v>Delft University of Technology</v>
          </cell>
          <cell r="C1456" t="str">
            <v>Netherlands</v>
          </cell>
          <cell r="D1456">
            <v>9</v>
          </cell>
          <cell r="E1456">
            <v>307</v>
          </cell>
          <cell r="F1456">
            <v>300</v>
          </cell>
          <cell r="G1456">
            <v>218</v>
          </cell>
          <cell r="H1456">
            <v>224</v>
          </cell>
          <cell r="I1456">
            <v>224</v>
          </cell>
          <cell r="J1456">
            <v>264</v>
          </cell>
          <cell r="K1456">
            <v>247</v>
          </cell>
          <cell r="L1456">
            <v>146</v>
          </cell>
          <cell r="M1456">
            <v>46.46</v>
          </cell>
          <cell r="N1456">
            <v>2015</v>
          </cell>
          <cell r="O1456">
            <v>255</v>
          </cell>
          <cell r="P1456">
            <v>55.5</v>
          </cell>
        </row>
        <row r="1457">
          <cell r="B1457" t="str">
            <v>Virginia Polytechnic Institute and State University</v>
          </cell>
          <cell r="C1457" t="str">
            <v>USA</v>
          </cell>
          <cell r="D1457">
            <v>98</v>
          </cell>
          <cell r="E1457">
            <v>283</v>
          </cell>
          <cell r="F1457">
            <v>152</v>
          </cell>
          <cell r="G1457">
            <v>218</v>
          </cell>
          <cell r="H1457">
            <v>201</v>
          </cell>
          <cell r="I1457">
            <v>264</v>
          </cell>
          <cell r="J1457">
            <v>234</v>
          </cell>
          <cell r="K1457">
            <v>285</v>
          </cell>
          <cell r="L1457">
            <v>181</v>
          </cell>
          <cell r="M1457">
            <v>46.46</v>
          </cell>
          <cell r="N1457">
            <v>2015</v>
          </cell>
          <cell r="O1457">
            <v>256</v>
          </cell>
          <cell r="P1457">
            <v>36.9</v>
          </cell>
        </row>
        <row r="1458">
          <cell r="B1458" t="str">
            <v>University of Lisbon</v>
          </cell>
          <cell r="C1458" t="str">
            <v>Portugal</v>
          </cell>
          <cell r="D1458">
            <v>1</v>
          </cell>
          <cell r="E1458">
            <v>337</v>
          </cell>
          <cell r="F1458">
            <v>465</v>
          </cell>
          <cell r="G1458">
            <v>152</v>
          </cell>
          <cell r="H1458">
            <v>155</v>
          </cell>
          <cell r="I1458">
            <v>296</v>
          </cell>
          <cell r="J1458">
            <v>197</v>
          </cell>
          <cell r="K1458">
            <v>251</v>
          </cell>
          <cell r="L1458">
            <v>495</v>
          </cell>
          <cell r="M1458">
            <v>46.43</v>
          </cell>
          <cell r="N1458">
            <v>2015</v>
          </cell>
          <cell r="O1458">
            <v>257</v>
          </cell>
          <cell r="P1458">
            <v>30.1</v>
          </cell>
        </row>
        <row r="1459">
          <cell r="B1459" t="str">
            <v>Drexel University</v>
          </cell>
          <cell r="C1459" t="str">
            <v>USA</v>
          </cell>
          <cell r="D1459">
            <v>99</v>
          </cell>
          <cell r="E1459">
            <v>367</v>
          </cell>
          <cell r="F1459">
            <v>233</v>
          </cell>
          <cell r="G1459">
            <v>218</v>
          </cell>
          <cell r="H1459">
            <v>362</v>
          </cell>
          <cell r="I1459">
            <v>338</v>
          </cell>
          <cell r="J1459">
            <v>287</v>
          </cell>
          <cell r="K1459">
            <v>273</v>
          </cell>
          <cell r="L1459">
            <v>91</v>
          </cell>
          <cell r="M1459">
            <v>46.43</v>
          </cell>
          <cell r="N1459">
            <v>2015</v>
          </cell>
          <cell r="O1459">
            <v>258</v>
          </cell>
          <cell r="P1459">
            <v>45</v>
          </cell>
        </row>
        <row r="1460">
          <cell r="B1460" t="str">
            <v>Virginia Commonwealth University</v>
          </cell>
          <cell r="C1460" t="str">
            <v>USA</v>
          </cell>
          <cell r="D1460">
            <v>100</v>
          </cell>
          <cell r="E1460">
            <v>367</v>
          </cell>
          <cell r="F1460">
            <v>403</v>
          </cell>
          <cell r="G1460">
            <v>150</v>
          </cell>
          <cell r="H1460">
            <v>264</v>
          </cell>
          <cell r="I1460">
            <v>253</v>
          </cell>
          <cell r="J1460">
            <v>321</v>
          </cell>
          <cell r="K1460">
            <v>213</v>
          </cell>
          <cell r="L1460">
            <v>206</v>
          </cell>
          <cell r="M1460">
            <v>46.43</v>
          </cell>
          <cell r="N1460">
            <v>2015</v>
          </cell>
          <cell r="O1460">
            <v>259</v>
          </cell>
          <cell r="P1460" t="e">
            <v>#N/A</v>
          </cell>
        </row>
        <row r="1461">
          <cell r="B1461" t="str">
            <v>Oregon State University</v>
          </cell>
          <cell r="C1461" t="str">
            <v>USA</v>
          </cell>
          <cell r="D1461">
            <v>101</v>
          </cell>
          <cell r="E1461">
            <v>189</v>
          </cell>
          <cell r="F1461">
            <v>239</v>
          </cell>
          <cell r="G1461">
            <v>218</v>
          </cell>
          <cell r="H1461">
            <v>263</v>
          </cell>
          <cell r="I1461">
            <v>148</v>
          </cell>
          <cell r="J1461">
            <v>161</v>
          </cell>
          <cell r="K1461">
            <v>235</v>
          </cell>
          <cell r="L1461">
            <v>389</v>
          </cell>
          <cell r="M1461">
            <v>46.42</v>
          </cell>
          <cell r="N1461">
            <v>2015</v>
          </cell>
          <cell r="O1461">
            <v>260</v>
          </cell>
          <cell r="P1461">
            <v>27.1</v>
          </cell>
        </row>
        <row r="1462">
          <cell r="B1462" t="str">
            <v>Durham University</v>
          </cell>
          <cell r="C1462" t="str">
            <v>United Kingdom</v>
          </cell>
          <cell r="D1462">
            <v>23</v>
          </cell>
          <cell r="E1462">
            <v>132</v>
          </cell>
          <cell r="F1462">
            <v>267</v>
          </cell>
          <cell r="G1462">
            <v>116</v>
          </cell>
          <cell r="H1462">
            <v>248</v>
          </cell>
          <cell r="I1462">
            <v>199</v>
          </cell>
          <cell r="J1462">
            <v>197</v>
          </cell>
          <cell r="K1462">
            <v>242</v>
          </cell>
          <cell r="L1462">
            <v>460</v>
          </cell>
          <cell r="M1462">
            <v>46.42</v>
          </cell>
          <cell r="N1462">
            <v>2015</v>
          </cell>
          <cell r="O1462">
            <v>261</v>
          </cell>
          <cell r="P1462">
            <v>39.799999999999997</v>
          </cell>
        </row>
        <row r="1463">
          <cell r="B1463" t="str">
            <v>University of Tsukuba</v>
          </cell>
          <cell r="C1463" t="str">
            <v>Japan</v>
          </cell>
          <cell r="D1463">
            <v>12</v>
          </cell>
          <cell r="E1463">
            <v>202</v>
          </cell>
          <cell r="F1463">
            <v>567</v>
          </cell>
          <cell r="G1463">
            <v>107</v>
          </cell>
          <cell r="H1463">
            <v>230</v>
          </cell>
          <cell r="I1463">
            <v>255</v>
          </cell>
          <cell r="J1463">
            <v>212</v>
          </cell>
          <cell r="K1463">
            <v>242</v>
          </cell>
          <cell r="L1463">
            <v>213</v>
          </cell>
          <cell r="M1463">
            <v>46.41</v>
          </cell>
          <cell r="N1463">
            <v>2015</v>
          </cell>
          <cell r="O1463">
            <v>262</v>
          </cell>
          <cell r="P1463">
            <v>37.200000000000003</v>
          </cell>
        </row>
        <row r="1464">
          <cell r="B1464" t="str">
            <v>University of Reading</v>
          </cell>
          <cell r="C1464" t="str">
            <v>United Kingdom</v>
          </cell>
          <cell r="D1464">
            <v>24</v>
          </cell>
          <cell r="E1464">
            <v>258</v>
          </cell>
          <cell r="F1464">
            <v>63</v>
          </cell>
          <cell r="G1464">
            <v>218</v>
          </cell>
          <cell r="H1464">
            <v>400</v>
          </cell>
          <cell r="I1464">
            <v>347</v>
          </cell>
          <cell r="J1464">
            <v>182</v>
          </cell>
          <cell r="K1464">
            <v>361</v>
          </cell>
          <cell r="L1464">
            <v>666</v>
          </cell>
          <cell r="M1464">
            <v>46.4</v>
          </cell>
          <cell r="N1464">
            <v>2015</v>
          </cell>
          <cell r="O1464">
            <v>263</v>
          </cell>
          <cell r="P1464">
            <v>36.9</v>
          </cell>
        </row>
        <row r="1465">
          <cell r="B1465" t="str">
            <v>Lehigh University</v>
          </cell>
          <cell r="C1465" t="str">
            <v>USA</v>
          </cell>
          <cell r="D1465">
            <v>102</v>
          </cell>
          <cell r="E1465">
            <v>367</v>
          </cell>
          <cell r="F1465">
            <v>47</v>
          </cell>
          <cell r="G1465">
            <v>218</v>
          </cell>
          <cell r="H1465">
            <v>615</v>
          </cell>
          <cell r="I1465">
            <v>542</v>
          </cell>
          <cell r="J1465">
            <v>511</v>
          </cell>
          <cell r="K1465">
            <v>511</v>
          </cell>
          <cell r="L1465">
            <v>534</v>
          </cell>
          <cell r="M1465">
            <v>46.4</v>
          </cell>
          <cell r="N1465">
            <v>2015</v>
          </cell>
          <cell r="O1465">
            <v>264</v>
          </cell>
          <cell r="P1465">
            <v>20.2</v>
          </cell>
        </row>
        <row r="1466">
          <cell r="B1466" t="str">
            <v>Medical University of Vienna</v>
          </cell>
          <cell r="C1466" t="str">
            <v>Austria</v>
          </cell>
          <cell r="D1466">
            <v>2</v>
          </cell>
          <cell r="E1466">
            <v>367</v>
          </cell>
          <cell r="F1466">
            <v>567</v>
          </cell>
          <cell r="G1466">
            <v>218</v>
          </cell>
          <cell r="H1466">
            <v>251</v>
          </cell>
          <cell r="I1466">
            <v>228</v>
          </cell>
          <cell r="J1466">
            <v>212</v>
          </cell>
          <cell r="K1466">
            <v>197</v>
          </cell>
          <cell r="L1466">
            <v>366</v>
          </cell>
          <cell r="M1466">
            <v>46.39</v>
          </cell>
          <cell r="N1466">
            <v>2015</v>
          </cell>
          <cell r="O1466">
            <v>265</v>
          </cell>
          <cell r="P1466">
            <v>23.7</v>
          </cell>
        </row>
        <row r="1467">
          <cell r="B1467" t="str">
            <v>University of Auckland</v>
          </cell>
          <cell r="C1467" t="str">
            <v>New Zealand</v>
          </cell>
          <cell r="D1467">
            <v>1</v>
          </cell>
          <cell r="E1467">
            <v>235</v>
          </cell>
          <cell r="F1467">
            <v>419</v>
          </cell>
          <cell r="G1467">
            <v>218</v>
          </cell>
          <cell r="H1467">
            <v>253</v>
          </cell>
          <cell r="I1467">
            <v>260</v>
          </cell>
          <cell r="J1467">
            <v>234</v>
          </cell>
          <cell r="K1467">
            <v>256</v>
          </cell>
          <cell r="L1467">
            <v>125</v>
          </cell>
          <cell r="M1467">
            <v>46.38</v>
          </cell>
          <cell r="N1467">
            <v>2015</v>
          </cell>
          <cell r="O1467">
            <v>266</v>
          </cell>
          <cell r="P1467">
            <v>34.799999999999997</v>
          </cell>
        </row>
        <row r="1468">
          <cell r="B1468" t="str">
            <v>University of Kentucky</v>
          </cell>
          <cell r="C1468" t="str">
            <v>USA</v>
          </cell>
          <cell r="D1468">
            <v>103</v>
          </cell>
          <cell r="E1468">
            <v>332</v>
          </cell>
          <cell r="F1468">
            <v>290</v>
          </cell>
          <cell r="G1468">
            <v>218</v>
          </cell>
          <cell r="H1468">
            <v>182</v>
          </cell>
          <cell r="I1468">
            <v>216</v>
          </cell>
          <cell r="J1468">
            <v>321</v>
          </cell>
          <cell r="K1468">
            <v>231</v>
          </cell>
          <cell r="L1468">
            <v>447</v>
          </cell>
          <cell r="M1468">
            <v>46.37</v>
          </cell>
          <cell r="N1468">
            <v>2015</v>
          </cell>
          <cell r="O1468">
            <v>267</v>
          </cell>
          <cell r="P1468">
            <v>38.700000000000003</v>
          </cell>
        </row>
        <row r="1469">
          <cell r="B1469" t="str">
            <v>University of Naples Federico II</v>
          </cell>
          <cell r="C1469" t="str">
            <v>Italy</v>
          </cell>
          <cell r="D1469">
            <v>7</v>
          </cell>
          <cell r="E1469">
            <v>331</v>
          </cell>
          <cell r="F1469">
            <v>459</v>
          </cell>
          <cell r="G1469">
            <v>218</v>
          </cell>
          <cell r="H1469">
            <v>175</v>
          </cell>
          <cell r="I1469">
            <v>324</v>
          </cell>
          <cell r="J1469">
            <v>234</v>
          </cell>
          <cell r="K1469">
            <v>227</v>
          </cell>
          <cell r="L1469">
            <v>792</v>
          </cell>
          <cell r="M1469">
            <v>46.36</v>
          </cell>
          <cell r="N1469">
            <v>2015</v>
          </cell>
          <cell r="O1469">
            <v>268</v>
          </cell>
          <cell r="P1469">
            <v>24.7</v>
          </cell>
        </row>
        <row r="1470">
          <cell r="B1470" t="str">
            <v>University of Waterloo</v>
          </cell>
          <cell r="C1470" t="str">
            <v>Canada</v>
          </cell>
          <cell r="D1470">
            <v>12</v>
          </cell>
          <cell r="E1470">
            <v>367</v>
          </cell>
          <cell r="F1470">
            <v>124</v>
          </cell>
          <cell r="G1470">
            <v>218</v>
          </cell>
          <cell r="H1470">
            <v>190</v>
          </cell>
          <cell r="I1470">
            <v>333</v>
          </cell>
          <cell r="J1470">
            <v>234</v>
          </cell>
          <cell r="K1470">
            <v>292</v>
          </cell>
          <cell r="L1470">
            <v>626</v>
          </cell>
          <cell r="M1470">
            <v>46.34</v>
          </cell>
          <cell r="N1470">
            <v>2015</v>
          </cell>
          <cell r="O1470">
            <v>269</v>
          </cell>
          <cell r="P1470">
            <v>35.799999999999997</v>
          </cell>
        </row>
        <row r="1471">
          <cell r="B1471" t="str">
            <v>Charles University in Prague</v>
          </cell>
          <cell r="C1471" t="str">
            <v>Czech Republic</v>
          </cell>
          <cell r="D1471">
            <v>1</v>
          </cell>
          <cell r="E1471">
            <v>238</v>
          </cell>
          <cell r="F1471">
            <v>560</v>
          </cell>
          <cell r="G1471">
            <v>116</v>
          </cell>
          <cell r="H1471">
            <v>228</v>
          </cell>
          <cell r="I1471">
            <v>238</v>
          </cell>
          <cell r="J1471">
            <v>182</v>
          </cell>
          <cell r="K1471">
            <v>227</v>
          </cell>
          <cell r="L1471">
            <v>636</v>
          </cell>
          <cell r="M1471">
            <v>46.32</v>
          </cell>
          <cell r="N1471">
            <v>2015</v>
          </cell>
          <cell r="O1471">
            <v>270</v>
          </cell>
          <cell r="P1471">
            <v>32.299999999999997</v>
          </cell>
        </row>
        <row r="1472">
          <cell r="B1472" t="str">
            <v>Colorado State University - Fort Collins</v>
          </cell>
          <cell r="C1472" t="str">
            <v>USA</v>
          </cell>
          <cell r="D1472">
            <v>104</v>
          </cell>
          <cell r="E1472">
            <v>211</v>
          </cell>
          <cell r="F1472">
            <v>493</v>
          </cell>
          <cell r="G1472">
            <v>148</v>
          </cell>
          <cell r="H1472">
            <v>244</v>
          </cell>
          <cell r="I1472">
            <v>203</v>
          </cell>
          <cell r="J1472">
            <v>234</v>
          </cell>
          <cell r="K1472">
            <v>231</v>
          </cell>
          <cell r="L1472">
            <v>257</v>
          </cell>
          <cell r="M1472">
            <v>46.32</v>
          </cell>
          <cell r="N1472">
            <v>2015</v>
          </cell>
          <cell r="O1472">
            <v>271</v>
          </cell>
          <cell r="P1472" t="e">
            <v>#N/A</v>
          </cell>
        </row>
        <row r="1473">
          <cell r="B1473" t="str">
            <v>Tulane University</v>
          </cell>
          <cell r="C1473" t="str">
            <v>USA</v>
          </cell>
          <cell r="D1473">
            <v>105</v>
          </cell>
          <cell r="E1473">
            <v>324</v>
          </cell>
          <cell r="F1473">
            <v>144</v>
          </cell>
          <cell r="G1473">
            <v>218</v>
          </cell>
          <cell r="H1473">
            <v>365</v>
          </cell>
          <cell r="I1473">
            <v>299</v>
          </cell>
          <cell r="J1473">
            <v>264</v>
          </cell>
          <cell r="K1473">
            <v>251</v>
          </cell>
          <cell r="L1473">
            <v>258</v>
          </cell>
          <cell r="M1473">
            <v>46.31</v>
          </cell>
          <cell r="N1473">
            <v>2015</v>
          </cell>
          <cell r="O1473">
            <v>272</v>
          </cell>
          <cell r="P1473">
            <v>28</v>
          </cell>
        </row>
        <row r="1474">
          <cell r="B1474" t="str">
            <v>University at Buffalo, The State University of New York</v>
          </cell>
          <cell r="C1474" t="str">
            <v>USA</v>
          </cell>
          <cell r="D1474">
            <v>106</v>
          </cell>
          <cell r="E1474">
            <v>367</v>
          </cell>
          <cell r="F1474">
            <v>398</v>
          </cell>
          <cell r="G1474">
            <v>218</v>
          </cell>
          <cell r="H1474">
            <v>203</v>
          </cell>
          <cell r="I1474">
            <v>298</v>
          </cell>
          <cell r="J1474">
            <v>287</v>
          </cell>
          <cell r="K1474">
            <v>235</v>
          </cell>
          <cell r="L1474">
            <v>237</v>
          </cell>
          <cell r="M1474">
            <v>46.3</v>
          </cell>
          <cell r="N1474">
            <v>2015</v>
          </cell>
          <cell r="O1474">
            <v>273</v>
          </cell>
          <cell r="P1474" t="e">
            <v>#N/A</v>
          </cell>
        </row>
        <row r="1475">
          <cell r="B1475" t="str">
            <v>Brandeis University</v>
          </cell>
          <cell r="C1475" t="str">
            <v>USA</v>
          </cell>
          <cell r="D1475">
            <v>107</v>
          </cell>
          <cell r="E1475">
            <v>51</v>
          </cell>
          <cell r="F1475">
            <v>342</v>
          </cell>
          <cell r="G1475">
            <v>78</v>
          </cell>
          <cell r="H1475">
            <v>549</v>
          </cell>
          <cell r="I1475">
            <v>195</v>
          </cell>
          <cell r="J1475">
            <v>428</v>
          </cell>
          <cell r="K1475">
            <v>330</v>
          </cell>
          <cell r="L1475">
            <v>249</v>
          </cell>
          <cell r="M1475">
            <v>46.29</v>
          </cell>
          <cell r="N1475">
            <v>2015</v>
          </cell>
          <cell r="O1475">
            <v>274</v>
          </cell>
          <cell r="P1475">
            <v>25.3</v>
          </cell>
        </row>
        <row r="1476">
          <cell r="B1476" t="str">
            <v>Northeastern University</v>
          </cell>
          <cell r="C1476" t="str">
            <v>USA</v>
          </cell>
          <cell r="D1476">
            <v>108</v>
          </cell>
          <cell r="E1476">
            <v>316</v>
          </cell>
          <cell r="F1476">
            <v>125</v>
          </cell>
          <cell r="G1476">
            <v>218</v>
          </cell>
          <cell r="H1476">
            <v>370</v>
          </cell>
          <cell r="I1476">
            <v>312</v>
          </cell>
          <cell r="J1476">
            <v>264</v>
          </cell>
          <cell r="K1476">
            <v>362</v>
          </cell>
          <cell r="L1476">
            <v>86</v>
          </cell>
          <cell r="M1476">
            <v>46.29</v>
          </cell>
          <cell r="N1476">
            <v>2015</v>
          </cell>
          <cell r="O1476">
            <v>275</v>
          </cell>
          <cell r="P1476">
            <v>30.4</v>
          </cell>
        </row>
        <row r="1477">
          <cell r="B1477" t="str">
            <v>Wageningen University and Research Centre</v>
          </cell>
          <cell r="C1477" t="str">
            <v>Netherlands</v>
          </cell>
          <cell r="D1477">
            <v>10</v>
          </cell>
          <cell r="E1477">
            <v>293</v>
          </cell>
          <cell r="F1477">
            <v>512</v>
          </cell>
          <cell r="G1477">
            <v>175</v>
          </cell>
          <cell r="H1477">
            <v>214</v>
          </cell>
          <cell r="I1477">
            <v>168</v>
          </cell>
          <cell r="J1477">
            <v>234</v>
          </cell>
          <cell r="K1477">
            <v>235</v>
          </cell>
          <cell r="L1477">
            <v>477</v>
          </cell>
          <cell r="M1477">
            <v>46.26</v>
          </cell>
          <cell r="N1477">
            <v>2015</v>
          </cell>
          <cell r="O1477">
            <v>276</v>
          </cell>
          <cell r="P1477" t="e">
            <v>#N/A</v>
          </cell>
        </row>
        <row r="1478">
          <cell r="B1478" t="str">
            <v>Sun Yat-sen University</v>
          </cell>
          <cell r="C1478" t="str">
            <v>China</v>
          </cell>
          <cell r="D1478">
            <v>8</v>
          </cell>
          <cell r="E1478">
            <v>367</v>
          </cell>
          <cell r="F1478">
            <v>254</v>
          </cell>
          <cell r="G1478">
            <v>218</v>
          </cell>
          <cell r="H1478">
            <v>161</v>
          </cell>
          <cell r="I1478">
            <v>393</v>
          </cell>
          <cell r="J1478">
            <v>287</v>
          </cell>
          <cell r="K1478">
            <v>285</v>
          </cell>
          <cell r="L1478">
            <v>221</v>
          </cell>
          <cell r="M1478">
            <v>46.25</v>
          </cell>
          <cell r="N1478">
            <v>2015</v>
          </cell>
          <cell r="O1478">
            <v>277</v>
          </cell>
          <cell r="P1478">
            <v>46.2</v>
          </cell>
        </row>
        <row r="1479">
          <cell r="B1479" t="str">
            <v>University of Ulm</v>
          </cell>
          <cell r="C1479" t="str">
            <v>Germany</v>
          </cell>
          <cell r="D1479">
            <v>22</v>
          </cell>
          <cell r="E1479">
            <v>367</v>
          </cell>
          <cell r="F1479">
            <v>471</v>
          </cell>
          <cell r="G1479">
            <v>131</v>
          </cell>
          <cell r="H1479">
            <v>290</v>
          </cell>
          <cell r="I1479">
            <v>231</v>
          </cell>
          <cell r="J1479">
            <v>321</v>
          </cell>
          <cell r="K1479">
            <v>209</v>
          </cell>
          <cell r="L1479">
            <v>594</v>
          </cell>
          <cell r="M1479">
            <v>46.24</v>
          </cell>
          <cell r="N1479">
            <v>2015</v>
          </cell>
          <cell r="O1479">
            <v>278</v>
          </cell>
          <cell r="P1479" t="e">
            <v>#N/A</v>
          </cell>
        </row>
        <row r="1480">
          <cell r="B1480" t="str">
            <v>London School of Economics</v>
          </cell>
          <cell r="C1480" t="str">
            <v>United Kingdom</v>
          </cell>
          <cell r="D1480">
            <v>25</v>
          </cell>
          <cell r="E1480">
            <v>78</v>
          </cell>
          <cell r="F1480">
            <v>65</v>
          </cell>
          <cell r="G1480">
            <v>91</v>
          </cell>
          <cell r="H1480">
            <v>503</v>
          </cell>
          <cell r="I1480">
            <v>739</v>
          </cell>
          <cell r="J1480">
            <v>264</v>
          </cell>
          <cell r="K1480">
            <v>590</v>
          </cell>
          <cell r="L1480">
            <v>871</v>
          </cell>
          <cell r="M1480">
            <v>46.22</v>
          </cell>
          <cell r="N1480">
            <v>2015</v>
          </cell>
          <cell r="O1480">
            <v>279</v>
          </cell>
          <cell r="P1480" t="e">
            <v>#N/A</v>
          </cell>
        </row>
        <row r="1481">
          <cell r="B1481" t="str">
            <v>Vrije Universiteit Brussel</v>
          </cell>
          <cell r="C1481" t="str">
            <v>Belgium</v>
          </cell>
          <cell r="D1481">
            <v>5</v>
          </cell>
          <cell r="E1481">
            <v>110</v>
          </cell>
          <cell r="F1481">
            <v>567</v>
          </cell>
          <cell r="G1481">
            <v>218</v>
          </cell>
          <cell r="H1481">
            <v>294</v>
          </cell>
          <cell r="I1481">
            <v>301</v>
          </cell>
          <cell r="J1481">
            <v>161</v>
          </cell>
          <cell r="K1481">
            <v>231</v>
          </cell>
          <cell r="L1481">
            <v>506</v>
          </cell>
          <cell r="M1481">
            <v>46.21</v>
          </cell>
          <cell r="N1481">
            <v>2015</v>
          </cell>
          <cell r="O1481">
            <v>280</v>
          </cell>
          <cell r="P1481">
            <v>23.4</v>
          </cell>
        </row>
        <row r="1482">
          <cell r="B1482" t="str">
            <v>University of Delaware</v>
          </cell>
          <cell r="C1482" t="str">
            <v>USA</v>
          </cell>
          <cell r="D1482">
            <v>109</v>
          </cell>
          <cell r="E1482">
            <v>318</v>
          </cell>
          <cell r="F1482">
            <v>337</v>
          </cell>
          <cell r="G1482">
            <v>135</v>
          </cell>
          <cell r="H1482">
            <v>272</v>
          </cell>
          <cell r="I1482">
            <v>304</v>
          </cell>
          <cell r="J1482">
            <v>234</v>
          </cell>
          <cell r="K1482">
            <v>292</v>
          </cell>
          <cell r="L1482">
            <v>120</v>
          </cell>
          <cell r="M1482">
            <v>46.21</v>
          </cell>
          <cell r="N1482">
            <v>2015</v>
          </cell>
          <cell r="O1482">
            <v>281</v>
          </cell>
          <cell r="P1482">
            <v>38.4</v>
          </cell>
        </row>
        <row r="1483">
          <cell r="B1483" t="str">
            <v>Rensselaer Polytechnic Institute</v>
          </cell>
          <cell r="C1483" t="str">
            <v>USA</v>
          </cell>
          <cell r="D1483">
            <v>110</v>
          </cell>
          <cell r="E1483">
            <v>137</v>
          </cell>
          <cell r="F1483">
            <v>142</v>
          </cell>
          <cell r="G1483">
            <v>218</v>
          </cell>
          <cell r="H1483">
            <v>402</v>
          </cell>
          <cell r="I1483">
            <v>346</v>
          </cell>
          <cell r="J1483">
            <v>182</v>
          </cell>
          <cell r="K1483">
            <v>292</v>
          </cell>
          <cell r="L1483">
            <v>210</v>
          </cell>
          <cell r="M1483">
            <v>46.19</v>
          </cell>
          <cell r="N1483">
            <v>2015</v>
          </cell>
          <cell r="O1483">
            <v>282</v>
          </cell>
          <cell r="P1483">
            <v>50.5</v>
          </cell>
        </row>
        <row r="1484">
          <cell r="B1484" t="str">
            <v>University of Bergen</v>
          </cell>
          <cell r="C1484" t="str">
            <v>Norway</v>
          </cell>
          <cell r="D1484">
            <v>3</v>
          </cell>
          <cell r="E1484">
            <v>367</v>
          </cell>
          <cell r="F1484">
            <v>567</v>
          </cell>
          <cell r="G1484">
            <v>218</v>
          </cell>
          <cell r="H1484">
            <v>229</v>
          </cell>
          <cell r="I1484">
            <v>201</v>
          </cell>
          <cell r="J1484">
            <v>212</v>
          </cell>
          <cell r="K1484">
            <v>227</v>
          </cell>
          <cell r="L1484">
            <v>871</v>
          </cell>
          <cell r="M1484">
            <v>46.18</v>
          </cell>
          <cell r="N1484">
            <v>2015</v>
          </cell>
          <cell r="O1484">
            <v>283</v>
          </cell>
          <cell r="P1484">
            <v>39.9</v>
          </cell>
        </row>
        <row r="1485">
          <cell r="B1485" t="str">
            <v>Queen's University</v>
          </cell>
          <cell r="C1485" t="str">
            <v>Canada</v>
          </cell>
          <cell r="D1485">
            <v>13</v>
          </cell>
          <cell r="E1485">
            <v>322</v>
          </cell>
          <cell r="F1485">
            <v>155</v>
          </cell>
          <cell r="G1485">
            <v>218</v>
          </cell>
          <cell r="H1485">
            <v>254</v>
          </cell>
          <cell r="I1485">
            <v>274</v>
          </cell>
          <cell r="J1485">
            <v>264</v>
          </cell>
          <cell r="K1485">
            <v>281</v>
          </cell>
          <cell r="L1485">
            <v>275</v>
          </cell>
          <cell r="M1485">
            <v>46.18</v>
          </cell>
          <cell r="N1485">
            <v>2015</v>
          </cell>
          <cell r="O1485">
            <v>284</v>
          </cell>
          <cell r="P1485" t="e">
            <v>#N/A</v>
          </cell>
        </row>
        <row r="1486">
          <cell r="B1486" t="str">
            <v>University of Aberdeen</v>
          </cell>
          <cell r="C1486" t="str">
            <v>United Kingdom</v>
          </cell>
          <cell r="D1486">
            <v>26</v>
          </cell>
          <cell r="E1486">
            <v>360</v>
          </cell>
          <cell r="F1486">
            <v>314</v>
          </cell>
          <cell r="G1486">
            <v>199</v>
          </cell>
          <cell r="H1486">
            <v>273</v>
          </cell>
          <cell r="I1486">
            <v>207</v>
          </cell>
          <cell r="J1486">
            <v>287</v>
          </cell>
          <cell r="K1486">
            <v>225</v>
          </cell>
          <cell r="L1486">
            <v>422</v>
          </cell>
          <cell r="M1486">
            <v>46.17</v>
          </cell>
          <cell r="N1486">
            <v>2015</v>
          </cell>
          <cell r="O1486">
            <v>285</v>
          </cell>
          <cell r="P1486">
            <v>37.799999999999997</v>
          </cell>
        </row>
        <row r="1487">
          <cell r="B1487" t="str">
            <v>Dalhousie University</v>
          </cell>
          <cell r="C1487" t="str">
            <v>Canada</v>
          </cell>
          <cell r="D1487">
            <v>14</v>
          </cell>
          <cell r="E1487">
            <v>367</v>
          </cell>
          <cell r="F1487">
            <v>137</v>
          </cell>
          <cell r="G1487">
            <v>218</v>
          </cell>
          <cell r="H1487">
            <v>280</v>
          </cell>
          <cell r="I1487">
            <v>247</v>
          </cell>
          <cell r="J1487">
            <v>264</v>
          </cell>
          <cell r="K1487">
            <v>273</v>
          </cell>
          <cell r="L1487">
            <v>384</v>
          </cell>
          <cell r="M1487">
            <v>46.17</v>
          </cell>
          <cell r="N1487">
            <v>2015</v>
          </cell>
          <cell r="O1487">
            <v>286</v>
          </cell>
          <cell r="P1487">
            <v>41.6</v>
          </cell>
        </row>
        <row r="1488">
          <cell r="B1488" t="str">
            <v>UmeÃ¥ University</v>
          </cell>
          <cell r="C1488" t="str">
            <v>Sweden</v>
          </cell>
          <cell r="D1488">
            <v>7</v>
          </cell>
          <cell r="E1488">
            <v>367</v>
          </cell>
          <cell r="F1488">
            <v>567</v>
          </cell>
          <cell r="G1488">
            <v>218</v>
          </cell>
          <cell r="H1488">
            <v>275</v>
          </cell>
          <cell r="I1488">
            <v>198</v>
          </cell>
          <cell r="J1488">
            <v>212</v>
          </cell>
          <cell r="K1488">
            <v>219</v>
          </cell>
          <cell r="L1488">
            <v>871</v>
          </cell>
          <cell r="M1488">
            <v>46.14</v>
          </cell>
          <cell r="N1488">
            <v>2015</v>
          </cell>
          <cell r="O1488">
            <v>287</v>
          </cell>
          <cell r="P1488">
            <v>20.8</v>
          </cell>
        </row>
        <row r="1489">
          <cell r="B1489" t="str">
            <v>University of Duisburg-Essen</v>
          </cell>
          <cell r="C1489" t="str">
            <v>Germany</v>
          </cell>
          <cell r="D1489">
            <v>23</v>
          </cell>
          <cell r="E1489">
            <v>367</v>
          </cell>
          <cell r="F1489">
            <v>498</v>
          </cell>
          <cell r="G1489">
            <v>218</v>
          </cell>
          <cell r="H1489">
            <v>287</v>
          </cell>
          <cell r="I1489">
            <v>282</v>
          </cell>
          <cell r="J1489">
            <v>321</v>
          </cell>
          <cell r="K1489">
            <v>216</v>
          </cell>
          <cell r="L1489">
            <v>348</v>
          </cell>
          <cell r="M1489">
            <v>46.13</v>
          </cell>
          <cell r="N1489">
            <v>2015</v>
          </cell>
          <cell r="O1489">
            <v>288</v>
          </cell>
          <cell r="P1489">
            <v>24.4</v>
          </cell>
        </row>
        <row r="1490">
          <cell r="B1490" t="str">
            <v>City College of New York</v>
          </cell>
          <cell r="C1490" t="str">
            <v>USA</v>
          </cell>
          <cell r="D1490">
            <v>111</v>
          </cell>
          <cell r="E1490">
            <v>31</v>
          </cell>
          <cell r="F1490">
            <v>187</v>
          </cell>
          <cell r="G1490">
            <v>218</v>
          </cell>
          <cell r="H1490">
            <v>680</v>
          </cell>
          <cell r="I1490">
            <v>422</v>
          </cell>
          <cell r="J1490">
            <v>511</v>
          </cell>
          <cell r="K1490">
            <v>590</v>
          </cell>
          <cell r="L1490">
            <v>358</v>
          </cell>
          <cell r="M1490">
            <v>46.12</v>
          </cell>
          <cell r="N1490">
            <v>2015</v>
          </cell>
          <cell r="O1490">
            <v>289</v>
          </cell>
          <cell r="P1490" t="e">
            <v>#N/A</v>
          </cell>
        </row>
        <row r="1491">
          <cell r="B1491" t="str">
            <v>Hiroshima University</v>
          </cell>
          <cell r="C1491" t="str">
            <v>Japan</v>
          </cell>
          <cell r="D1491">
            <v>13</v>
          </cell>
          <cell r="E1491">
            <v>367</v>
          </cell>
          <cell r="F1491">
            <v>567</v>
          </cell>
          <cell r="G1491">
            <v>218</v>
          </cell>
          <cell r="H1491">
            <v>304</v>
          </cell>
          <cell r="I1491">
            <v>287</v>
          </cell>
          <cell r="J1491">
            <v>428</v>
          </cell>
          <cell r="K1491">
            <v>273</v>
          </cell>
          <cell r="L1491">
            <v>112</v>
          </cell>
          <cell r="M1491">
            <v>46.12</v>
          </cell>
          <cell r="N1491">
            <v>2015</v>
          </cell>
          <cell r="O1491">
            <v>290</v>
          </cell>
          <cell r="P1491">
            <v>27.7</v>
          </cell>
        </row>
        <row r="1492">
          <cell r="B1492" t="str">
            <v>University of Texas at San Antonio</v>
          </cell>
          <cell r="C1492" t="str">
            <v>USA</v>
          </cell>
          <cell r="D1492">
            <v>112</v>
          </cell>
          <cell r="E1492">
            <v>367</v>
          </cell>
          <cell r="F1492">
            <v>567</v>
          </cell>
          <cell r="G1492">
            <v>218</v>
          </cell>
          <cell r="H1492">
            <v>445</v>
          </cell>
          <cell r="I1492">
            <v>376</v>
          </cell>
          <cell r="J1492">
            <v>197</v>
          </cell>
          <cell r="K1492">
            <v>216</v>
          </cell>
          <cell r="L1492">
            <v>254</v>
          </cell>
          <cell r="M1492">
            <v>46.1</v>
          </cell>
          <cell r="N1492">
            <v>2015</v>
          </cell>
          <cell r="O1492">
            <v>291</v>
          </cell>
          <cell r="P1492">
            <v>14.1</v>
          </cell>
        </row>
        <row r="1493">
          <cell r="B1493" t="str">
            <v>Hannover Medical School</v>
          </cell>
          <cell r="C1493" t="str">
            <v>Germany</v>
          </cell>
          <cell r="D1493">
            <v>24</v>
          </cell>
          <cell r="E1493">
            <v>367</v>
          </cell>
          <cell r="F1493">
            <v>567</v>
          </cell>
          <cell r="G1493">
            <v>218</v>
          </cell>
          <cell r="H1493">
            <v>322</v>
          </cell>
          <cell r="I1493">
            <v>245</v>
          </cell>
          <cell r="J1493">
            <v>287</v>
          </cell>
          <cell r="K1493">
            <v>219</v>
          </cell>
          <cell r="L1493">
            <v>308</v>
          </cell>
          <cell r="M1493">
            <v>46.07</v>
          </cell>
          <cell r="N1493">
            <v>2015</v>
          </cell>
          <cell r="O1493">
            <v>292</v>
          </cell>
          <cell r="P1493" t="e">
            <v>#N/A</v>
          </cell>
        </row>
        <row r="1494">
          <cell r="B1494" t="str">
            <v>University of Warwick</v>
          </cell>
          <cell r="C1494" t="str">
            <v>United Kingdom</v>
          </cell>
          <cell r="D1494">
            <v>27</v>
          </cell>
          <cell r="E1494">
            <v>210</v>
          </cell>
          <cell r="F1494">
            <v>444</v>
          </cell>
          <cell r="G1494">
            <v>116</v>
          </cell>
          <cell r="H1494">
            <v>205</v>
          </cell>
          <cell r="I1494">
            <v>239</v>
          </cell>
          <cell r="J1494">
            <v>161</v>
          </cell>
          <cell r="K1494">
            <v>308</v>
          </cell>
          <cell r="L1494">
            <v>234</v>
          </cell>
          <cell r="M1494">
            <v>46.05</v>
          </cell>
          <cell r="N1494">
            <v>2015</v>
          </cell>
          <cell r="O1494">
            <v>293</v>
          </cell>
          <cell r="P1494">
            <v>39.700000000000003</v>
          </cell>
        </row>
        <row r="1495">
          <cell r="B1495" t="str">
            <v>University of Valencia</v>
          </cell>
          <cell r="C1495" t="str">
            <v>Spain</v>
          </cell>
          <cell r="D1495">
            <v>4</v>
          </cell>
          <cell r="E1495">
            <v>367</v>
          </cell>
          <cell r="F1495">
            <v>470</v>
          </cell>
          <cell r="G1495">
            <v>218</v>
          </cell>
          <cell r="H1495">
            <v>208</v>
          </cell>
          <cell r="I1495">
            <v>348</v>
          </cell>
          <cell r="J1495">
            <v>264</v>
          </cell>
          <cell r="K1495">
            <v>256</v>
          </cell>
          <cell r="L1495">
            <v>548</v>
          </cell>
          <cell r="M1495">
            <v>46.03</v>
          </cell>
          <cell r="N1495">
            <v>2015</v>
          </cell>
          <cell r="O1495">
            <v>294</v>
          </cell>
          <cell r="P1495">
            <v>15.8</v>
          </cell>
        </row>
        <row r="1496">
          <cell r="B1496" t="str">
            <v>University of Pisa</v>
          </cell>
          <cell r="C1496" t="str">
            <v>Italy</v>
          </cell>
          <cell r="D1496">
            <v>8</v>
          </cell>
          <cell r="E1496">
            <v>273</v>
          </cell>
          <cell r="F1496">
            <v>473</v>
          </cell>
          <cell r="G1496">
            <v>218</v>
          </cell>
          <cell r="H1496">
            <v>227</v>
          </cell>
          <cell r="I1496">
            <v>360</v>
          </cell>
          <cell r="J1496">
            <v>212</v>
          </cell>
          <cell r="K1496">
            <v>255</v>
          </cell>
          <cell r="L1496">
            <v>528</v>
          </cell>
          <cell r="M1496">
            <v>46.03</v>
          </cell>
          <cell r="N1496">
            <v>2015</v>
          </cell>
          <cell r="O1496">
            <v>295</v>
          </cell>
          <cell r="P1496">
            <v>18.3</v>
          </cell>
        </row>
        <row r="1497">
          <cell r="B1497" t="str">
            <v>Ruhr University Bochum</v>
          </cell>
          <cell r="C1497" t="str">
            <v>Germany</v>
          </cell>
          <cell r="D1497">
            <v>25</v>
          </cell>
          <cell r="E1497">
            <v>367</v>
          </cell>
          <cell r="F1497">
            <v>235</v>
          </cell>
          <cell r="G1497">
            <v>218</v>
          </cell>
          <cell r="H1497">
            <v>236</v>
          </cell>
          <cell r="I1497">
            <v>235</v>
          </cell>
          <cell r="J1497">
            <v>368</v>
          </cell>
          <cell r="K1497">
            <v>265</v>
          </cell>
          <cell r="L1497">
            <v>797</v>
          </cell>
          <cell r="M1497">
            <v>46</v>
          </cell>
          <cell r="N1497">
            <v>2015</v>
          </cell>
          <cell r="O1497">
            <v>296</v>
          </cell>
          <cell r="P1497">
            <v>34.9</v>
          </cell>
        </row>
        <row r="1498">
          <cell r="B1498" t="str">
            <v>Medical College of Wisconsin</v>
          </cell>
          <cell r="C1498" t="str">
            <v>USA</v>
          </cell>
          <cell r="D1498">
            <v>113</v>
          </cell>
          <cell r="E1498">
            <v>367</v>
          </cell>
          <cell r="F1498">
            <v>567</v>
          </cell>
          <cell r="G1498">
            <v>218</v>
          </cell>
          <cell r="H1498">
            <v>337</v>
          </cell>
          <cell r="I1498">
            <v>284</v>
          </cell>
          <cell r="J1498">
            <v>321</v>
          </cell>
          <cell r="K1498">
            <v>219</v>
          </cell>
          <cell r="L1498">
            <v>659</v>
          </cell>
          <cell r="M1498">
            <v>45.97</v>
          </cell>
          <cell r="N1498">
            <v>2015</v>
          </cell>
          <cell r="O1498">
            <v>297</v>
          </cell>
          <cell r="P1498">
            <v>25.4</v>
          </cell>
        </row>
        <row r="1499">
          <cell r="B1499" t="str">
            <v>University of Louisville</v>
          </cell>
          <cell r="C1499" t="str">
            <v>USA</v>
          </cell>
          <cell r="D1499">
            <v>114</v>
          </cell>
          <cell r="E1499">
            <v>367</v>
          </cell>
          <cell r="F1499">
            <v>484</v>
          </cell>
          <cell r="G1499">
            <v>218</v>
          </cell>
          <cell r="H1499">
            <v>338</v>
          </cell>
          <cell r="I1499">
            <v>405</v>
          </cell>
          <cell r="J1499">
            <v>368</v>
          </cell>
          <cell r="K1499">
            <v>300</v>
          </cell>
          <cell r="L1499">
            <v>105</v>
          </cell>
          <cell r="M1499">
            <v>45.97</v>
          </cell>
          <cell r="N1499">
            <v>2015</v>
          </cell>
          <cell r="O1499">
            <v>298</v>
          </cell>
          <cell r="P1499" t="e">
            <v>#N/A</v>
          </cell>
        </row>
        <row r="1500">
          <cell r="B1500" t="str">
            <v>University of Bordeaux</v>
          </cell>
          <cell r="C1500" t="str">
            <v>France</v>
          </cell>
          <cell r="D1500">
            <v>14</v>
          </cell>
          <cell r="E1500">
            <v>354</v>
          </cell>
          <cell r="F1500">
            <v>567</v>
          </cell>
          <cell r="G1500">
            <v>218</v>
          </cell>
          <cell r="H1500">
            <v>291</v>
          </cell>
          <cell r="I1500">
            <v>265</v>
          </cell>
          <cell r="J1500">
            <v>234</v>
          </cell>
          <cell r="K1500">
            <v>251</v>
          </cell>
          <cell r="L1500">
            <v>297</v>
          </cell>
          <cell r="M1500">
            <v>45.96</v>
          </cell>
          <cell r="N1500">
            <v>2015</v>
          </cell>
          <cell r="O1500">
            <v>299</v>
          </cell>
          <cell r="P1500">
            <v>25.3</v>
          </cell>
        </row>
        <row r="1501">
          <cell r="B1501" t="str">
            <v>University of South Carolina - Columbia</v>
          </cell>
          <cell r="C1501" t="str">
            <v>USA</v>
          </cell>
          <cell r="D1501">
            <v>115</v>
          </cell>
          <cell r="E1501">
            <v>367</v>
          </cell>
          <cell r="F1501">
            <v>299</v>
          </cell>
          <cell r="G1501">
            <v>185</v>
          </cell>
          <cell r="H1501">
            <v>262</v>
          </cell>
          <cell r="I1501">
            <v>367</v>
          </cell>
          <cell r="J1501">
            <v>146</v>
          </cell>
          <cell r="K1501">
            <v>273</v>
          </cell>
          <cell r="L1501">
            <v>649</v>
          </cell>
          <cell r="M1501">
            <v>45.95</v>
          </cell>
          <cell r="N1501">
            <v>2015</v>
          </cell>
          <cell r="O1501">
            <v>300</v>
          </cell>
          <cell r="P1501" t="e">
            <v>#N/A</v>
          </cell>
        </row>
        <row r="1502">
          <cell r="B1502" t="str">
            <v>National and Kapodistrian University of Athens</v>
          </cell>
          <cell r="C1502" t="str">
            <v>Greece</v>
          </cell>
          <cell r="D1502">
            <v>1</v>
          </cell>
          <cell r="E1502">
            <v>367</v>
          </cell>
          <cell r="F1502">
            <v>200</v>
          </cell>
          <cell r="G1502">
            <v>218</v>
          </cell>
          <cell r="H1502">
            <v>245</v>
          </cell>
          <cell r="I1502">
            <v>416</v>
          </cell>
          <cell r="J1502">
            <v>428</v>
          </cell>
          <cell r="K1502">
            <v>273</v>
          </cell>
          <cell r="L1502">
            <v>871</v>
          </cell>
          <cell r="M1502">
            <v>45.94</v>
          </cell>
          <cell r="N1502">
            <v>2015</v>
          </cell>
          <cell r="O1502">
            <v>301</v>
          </cell>
          <cell r="P1502">
            <v>26.7</v>
          </cell>
        </row>
        <row r="1503">
          <cell r="B1503" t="str">
            <v>Leipzig University</v>
          </cell>
          <cell r="C1503" t="str">
            <v>Germany</v>
          </cell>
          <cell r="D1503">
            <v>26</v>
          </cell>
          <cell r="E1503">
            <v>326</v>
          </cell>
          <cell r="F1503">
            <v>567</v>
          </cell>
          <cell r="G1503">
            <v>208</v>
          </cell>
          <cell r="H1503">
            <v>281</v>
          </cell>
          <cell r="I1503">
            <v>266</v>
          </cell>
          <cell r="J1503">
            <v>511</v>
          </cell>
          <cell r="K1503">
            <v>242</v>
          </cell>
          <cell r="L1503">
            <v>364</v>
          </cell>
          <cell r="M1503">
            <v>45.94</v>
          </cell>
          <cell r="N1503">
            <v>2015</v>
          </cell>
          <cell r="O1503">
            <v>302</v>
          </cell>
          <cell r="P1503" t="e">
            <v>#N/A</v>
          </cell>
        </row>
        <row r="1504">
          <cell r="B1504" t="str">
            <v>Medical University of South Carolina</v>
          </cell>
          <cell r="C1504" t="str">
            <v>USA</v>
          </cell>
          <cell r="D1504">
            <v>116</v>
          </cell>
          <cell r="E1504">
            <v>367</v>
          </cell>
          <cell r="F1504">
            <v>567</v>
          </cell>
          <cell r="G1504">
            <v>218</v>
          </cell>
          <cell r="H1504">
            <v>316</v>
          </cell>
          <cell r="I1504">
            <v>364</v>
          </cell>
          <cell r="J1504">
            <v>287</v>
          </cell>
          <cell r="K1504">
            <v>231</v>
          </cell>
          <cell r="L1504">
            <v>508</v>
          </cell>
          <cell r="M1504">
            <v>45.94</v>
          </cell>
          <cell r="N1504">
            <v>2015</v>
          </cell>
          <cell r="O1504">
            <v>303</v>
          </cell>
          <cell r="P1504">
            <v>43.9</v>
          </cell>
        </row>
        <row r="1505">
          <cell r="B1505" t="str">
            <v>Autonomous University of Madrid</v>
          </cell>
          <cell r="C1505" t="str">
            <v>Spain</v>
          </cell>
          <cell r="D1505">
            <v>5</v>
          </cell>
          <cell r="E1505">
            <v>367</v>
          </cell>
          <cell r="F1505">
            <v>460</v>
          </cell>
          <cell r="G1505">
            <v>218</v>
          </cell>
          <cell r="H1505">
            <v>225</v>
          </cell>
          <cell r="I1505">
            <v>256</v>
          </cell>
          <cell r="J1505">
            <v>321</v>
          </cell>
          <cell r="K1505">
            <v>262</v>
          </cell>
          <cell r="L1505">
            <v>443</v>
          </cell>
          <cell r="M1505">
            <v>45.92</v>
          </cell>
          <cell r="N1505">
            <v>2015</v>
          </cell>
          <cell r="O1505">
            <v>304</v>
          </cell>
          <cell r="P1505">
            <v>28.8</v>
          </cell>
        </row>
        <row r="1506">
          <cell r="B1506" t="str">
            <v>Dalian University of Technology</v>
          </cell>
          <cell r="C1506" t="str">
            <v>China</v>
          </cell>
          <cell r="D1506">
            <v>9</v>
          </cell>
          <cell r="E1506">
            <v>367</v>
          </cell>
          <cell r="F1506">
            <v>104</v>
          </cell>
          <cell r="G1506">
            <v>218</v>
          </cell>
          <cell r="H1506">
            <v>313</v>
          </cell>
          <cell r="I1506">
            <v>667</v>
          </cell>
          <cell r="J1506">
            <v>511</v>
          </cell>
          <cell r="K1506">
            <v>409</v>
          </cell>
          <cell r="L1506">
            <v>131</v>
          </cell>
          <cell r="M1506">
            <v>45.92</v>
          </cell>
          <cell r="N1506">
            <v>2015</v>
          </cell>
          <cell r="O1506">
            <v>305</v>
          </cell>
          <cell r="P1506">
            <v>22.6</v>
          </cell>
        </row>
        <row r="1507">
          <cell r="B1507" t="str">
            <v>Stellenbosch University</v>
          </cell>
          <cell r="C1507" t="str">
            <v>South Africa</v>
          </cell>
          <cell r="D1507">
            <v>3</v>
          </cell>
          <cell r="E1507">
            <v>367</v>
          </cell>
          <cell r="F1507">
            <v>66</v>
          </cell>
          <cell r="G1507">
            <v>218</v>
          </cell>
          <cell r="H1507">
            <v>520</v>
          </cell>
          <cell r="I1507">
            <v>503</v>
          </cell>
          <cell r="J1507">
            <v>321</v>
          </cell>
          <cell r="K1507">
            <v>486</v>
          </cell>
          <cell r="L1507">
            <v>219</v>
          </cell>
          <cell r="M1507">
            <v>45.92</v>
          </cell>
          <cell r="N1507">
            <v>2015</v>
          </cell>
          <cell r="O1507">
            <v>306</v>
          </cell>
          <cell r="P1507">
            <v>25.4</v>
          </cell>
        </row>
        <row r="1508">
          <cell r="B1508" t="str">
            <v>Kyungpook National University</v>
          </cell>
          <cell r="C1508" t="str">
            <v>South Korea</v>
          </cell>
          <cell r="D1508">
            <v>8</v>
          </cell>
          <cell r="E1508">
            <v>367</v>
          </cell>
          <cell r="F1508">
            <v>412</v>
          </cell>
          <cell r="G1508">
            <v>218</v>
          </cell>
          <cell r="H1508">
            <v>355</v>
          </cell>
          <cell r="I1508">
            <v>625</v>
          </cell>
          <cell r="J1508">
            <v>321</v>
          </cell>
          <cell r="K1508">
            <v>413</v>
          </cell>
          <cell r="L1508">
            <v>66</v>
          </cell>
          <cell r="M1508">
            <v>45.92</v>
          </cell>
          <cell r="N1508">
            <v>2015</v>
          </cell>
          <cell r="O1508">
            <v>307</v>
          </cell>
          <cell r="P1508">
            <v>21.1</v>
          </cell>
        </row>
        <row r="1509">
          <cell r="B1509" t="str">
            <v>University of Porto</v>
          </cell>
          <cell r="C1509" t="str">
            <v>Portugal</v>
          </cell>
          <cell r="D1509">
            <v>2</v>
          </cell>
          <cell r="E1509">
            <v>94</v>
          </cell>
          <cell r="F1509">
            <v>316</v>
          </cell>
          <cell r="G1509">
            <v>90</v>
          </cell>
          <cell r="H1509">
            <v>266</v>
          </cell>
          <cell r="I1509">
            <v>380</v>
          </cell>
          <cell r="J1509">
            <v>264</v>
          </cell>
          <cell r="K1509">
            <v>341</v>
          </cell>
          <cell r="L1509">
            <v>405</v>
          </cell>
          <cell r="M1509">
            <v>45.91</v>
          </cell>
          <cell r="N1509">
            <v>2015</v>
          </cell>
          <cell r="O1509">
            <v>308</v>
          </cell>
          <cell r="P1509">
            <v>17.7</v>
          </cell>
        </row>
        <row r="1510">
          <cell r="B1510" t="str">
            <v>University of St Andrews</v>
          </cell>
          <cell r="C1510" t="str">
            <v>United Kingdom</v>
          </cell>
          <cell r="D1510">
            <v>28</v>
          </cell>
          <cell r="E1510">
            <v>145</v>
          </cell>
          <cell r="F1510">
            <v>506</v>
          </cell>
          <cell r="G1510">
            <v>218</v>
          </cell>
          <cell r="H1510">
            <v>308</v>
          </cell>
          <cell r="I1510">
            <v>188</v>
          </cell>
          <cell r="J1510">
            <v>321</v>
          </cell>
          <cell r="K1510">
            <v>281</v>
          </cell>
          <cell r="L1510">
            <v>189</v>
          </cell>
          <cell r="M1510">
            <v>45.89</v>
          </cell>
          <cell r="N1510">
            <v>2015</v>
          </cell>
          <cell r="O1510">
            <v>309</v>
          </cell>
          <cell r="P1510">
            <v>44.8</v>
          </cell>
        </row>
        <row r="1511">
          <cell r="B1511" t="str">
            <v>Gwangju Institute of Science and Technology</v>
          </cell>
          <cell r="C1511" t="str">
            <v>South Korea</v>
          </cell>
          <cell r="D1511">
            <v>9</v>
          </cell>
          <cell r="E1511">
            <v>367</v>
          </cell>
          <cell r="F1511">
            <v>567</v>
          </cell>
          <cell r="G1511">
            <v>218</v>
          </cell>
          <cell r="H1511">
            <v>540</v>
          </cell>
          <cell r="I1511">
            <v>538</v>
          </cell>
          <cell r="J1511">
            <v>368</v>
          </cell>
          <cell r="K1511">
            <v>529</v>
          </cell>
          <cell r="L1511">
            <v>54</v>
          </cell>
          <cell r="M1511">
            <v>45.88</v>
          </cell>
          <cell r="N1511">
            <v>2015</v>
          </cell>
          <cell r="O1511">
            <v>310</v>
          </cell>
          <cell r="P1511">
            <v>35.200000000000003</v>
          </cell>
        </row>
        <row r="1512">
          <cell r="B1512" t="str">
            <v>Chulalongkorn University</v>
          </cell>
          <cell r="C1512" t="str">
            <v>Thailand</v>
          </cell>
          <cell r="D1512">
            <v>1</v>
          </cell>
          <cell r="E1512">
            <v>367</v>
          </cell>
          <cell r="F1512">
            <v>57</v>
          </cell>
          <cell r="G1512">
            <v>218</v>
          </cell>
          <cell r="H1512">
            <v>584</v>
          </cell>
          <cell r="I1512">
            <v>734</v>
          </cell>
          <cell r="J1512">
            <v>511</v>
          </cell>
          <cell r="K1512">
            <v>558</v>
          </cell>
          <cell r="L1512">
            <v>871</v>
          </cell>
          <cell r="M1512">
            <v>45.86</v>
          </cell>
          <cell r="N1512">
            <v>2015</v>
          </cell>
          <cell r="O1512">
            <v>311</v>
          </cell>
          <cell r="P1512">
            <v>23.8</v>
          </cell>
        </row>
        <row r="1513">
          <cell r="B1513" t="str">
            <v>University of Antwerp</v>
          </cell>
          <cell r="C1513" t="str">
            <v>Belgium</v>
          </cell>
          <cell r="D1513">
            <v>6</v>
          </cell>
          <cell r="E1513">
            <v>367</v>
          </cell>
          <cell r="F1513">
            <v>567</v>
          </cell>
          <cell r="G1513">
            <v>218</v>
          </cell>
          <cell r="H1513">
            <v>265</v>
          </cell>
          <cell r="I1513">
            <v>307</v>
          </cell>
          <cell r="J1513">
            <v>234</v>
          </cell>
          <cell r="K1513">
            <v>265</v>
          </cell>
          <cell r="L1513">
            <v>372</v>
          </cell>
          <cell r="M1513">
            <v>45.84</v>
          </cell>
          <cell r="N1513">
            <v>2015</v>
          </cell>
          <cell r="O1513">
            <v>312</v>
          </cell>
          <cell r="P1513">
            <v>21.8</v>
          </cell>
        </row>
        <row r="1514">
          <cell r="B1514" t="str">
            <v>Xiamen University</v>
          </cell>
          <cell r="C1514" t="str">
            <v>China</v>
          </cell>
          <cell r="D1514">
            <v>10</v>
          </cell>
          <cell r="E1514">
            <v>367</v>
          </cell>
          <cell r="F1514">
            <v>80</v>
          </cell>
          <cell r="G1514">
            <v>218</v>
          </cell>
          <cell r="H1514">
            <v>331</v>
          </cell>
          <cell r="I1514">
            <v>493</v>
          </cell>
          <cell r="J1514">
            <v>645</v>
          </cell>
          <cell r="K1514">
            <v>409</v>
          </cell>
          <cell r="L1514">
            <v>467</v>
          </cell>
          <cell r="M1514">
            <v>45.83</v>
          </cell>
          <cell r="N1514">
            <v>2015</v>
          </cell>
          <cell r="O1514">
            <v>313</v>
          </cell>
          <cell r="P1514">
            <v>26.7</v>
          </cell>
        </row>
        <row r="1515">
          <cell r="B1515" t="str">
            <v>University of Nebraskaâ€“Lincoln</v>
          </cell>
          <cell r="C1515" t="str">
            <v>USA</v>
          </cell>
          <cell r="D1515">
            <v>117</v>
          </cell>
          <cell r="E1515">
            <v>165</v>
          </cell>
          <cell r="F1515">
            <v>207</v>
          </cell>
          <cell r="G1515">
            <v>218</v>
          </cell>
          <cell r="H1515">
            <v>278</v>
          </cell>
          <cell r="I1515">
            <v>262</v>
          </cell>
          <cell r="J1515">
            <v>234</v>
          </cell>
          <cell r="K1515">
            <v>311</v>
          </cell>
          <cell r="L1515">
            <v>456</v>
          </cell>
          <cell r="M1515">
            <v>45.8</v>
          </cell>
          <cell r="N1515">
            <v>2015</v>
          </cell>
          <cell r="O1515">
            <v>314</v>
          </cell>
          <cell r="P1515" t="e">
            <v>#N/A</v>
          </cell>
        </row>
        <row r="1516">
          <cell r="B1516" t="str">
            <v>Nankai University</v>
          </cell>
          <cell r="C1516" t="str">
            <v>China</v>
          </cell>
          <cell r="D1516">
            <v>11</v>
          </cell>
          <cell r="E1516">
            <v>334</v>
          </cell>
          <cell r="F1516">
            <v>135</v>
          </cell>
          <cell r="G1516">
            <v>218</v>
          </cell>
          <cell r="H1516">
            <v>282</v>
          </cell>
          <cell r="I1516">
            <v>454</v>
          </cell>
          <cell r="J1516">
            <v>321</v>
          </cell>
          <cell r="K1516">
            <v>334</v>
          </cell>
          <cell r="L1516">
            <v>419</v>
          </cell>
          <cell r="M1516">
            <v>45.8</v>
          </cell>
          <cell r="N1516">
            <v>2015</v>
          </cell>
          <cell r="O1516">
            <v>315</v>
          </cell>
          <cell r="P1516" t="e">
            <v>#N/A</v>
          </cell>
        </row>
        <row r="1517">
          <cell r="B1517" t="str">
            <v>University of Stuttgart</v>
          </cell>
          <cell r="C1517" t="str">
            <v>Germany</v>
          </cell>
          <cell r="D1517">
            <v>27</v>
          </cell>
          <cell r="E1517">
            <v>82</v>
          </cell>
          <cell r="F1517">
            <v>172</v>
          </cell>
          <cell r="G1517">
            <v>218</v>
          </cell>
          <cell r="H1517">
            <v>399</v>
          </cell>
          <cell r="I1517">
            <v>369</v>
          </cell>
          <cell r="J1517">
            <v>511</v>
          </cell>
          <cell r="K1517">
            <v>335</v>
          </cell>
          <cell r="L1517">
            <v>376</v>
          </cell>
          <cell r="M1517">
            <v>45.79</v>
          </cell>
          <cell r="N1517">
            <v>2015</v>
          </cell>
          <cell r="O1517">
            <v>316</v>
          </cell>
          <cell r="P1517">
            <v>30.6</v>
          </cell>
        </row>
        <row r="1518">
          <cell r="B1518" t="str">
            <v>University of Rome Tor Vergata</v>
          </cell>
          <cell r="C1518" t="str">
            <v>Italy</v>
          </cell>
          <cell r="D1518">
            <v>9</v>
          </cell>
          <cell r="E1518">
            <v>367</v>
          </cell>
          <cell r="F1518">
            <v>557</v>
          </cell>
          <cell r="G1518">
            <v>218</v>
          </cell>
          <cell r="H1518">
            <v>267</v>
          </cell>
          <cell r="I1518">
            <v>272</v>
          </cell>
          <cell r="J1518">
            <v>287</v>
          </cell>
          <cell r="K1518">
            <v>262</v>
          </cell>
          <cell r="L1518">
            <v>816</v>
          </cell>
          <cell r="M1518">
            <v>45.79</v>
          </cell>
          <cell r="N1518">
            <v>2015</v>
          </cell>
          <cell r="O1518">
            <v>317</v>
          </cell>
          <cell r="P1518" t="e">
            <v>#N/A</v>
          </cell>
        </row>
        <row r="1519">
          <cell r="B1519" t="str">
            <v>University of Regensburg</v>
          </cell>
          <cell r="C1519" t="str">
            <v>Germany</v>
          </cell>
          <cell r="D1519">
            <v>28</v>
          </cell>
          <cell r="E1519">
            <v>367</v>
          </cell>
          <cell r="F1519">
            <v>303</v>
          </cell>
          <cell r="G1519">
            <v>218</v>
          </cell>
          <cell r="H1519">
            <v>302</v>
          </cell>
          <cell r="I1519">
            <v>241</v>
          </cell>
          <cell r="J1519">
            <v>287</v>
          </cell>
          <cell r="K1519">
            <v>270</v>
          </cell>
          <cell r="L1519">
            <v>522</v>
          </cell>
          <cell r="M1519">
            <v>45.79</v>
          </cell>
          <cell r="N1519">
            <v>2015</v>
          </cell>
          <cell r="O1519">
            <v>318</v>
          </cell>
          <cell r="P1519" t="e">
            <v>#N/A</v>
          </cell>
        </row>
        <row r="1520">
          <cell r="B1520" t="str">
            <v>Hong Kong University of Science and Technology</v>
          </cell>
          <cell r="C1520" t="str">
            <v>Hong Kong</v>
          </cell>
          <cell r="D1520">
            <v>3</v>
          </cell>
          <cell r="E1520">
            <v>367</v>
          </cell>
          <cell r="F1520">
            <v>359</v>
          </cell>
          <cell r="G1520">
            <v>218</v>
          </cell>
          <cell r="H1520">
            <v>256</v>
          </cell>
          <cell r="I1520">
            <v>466</v>
          </cell>
          <cell r="J1520">
            <v>368</v>
          </cell>
          <cell r="K1520">
            <v>300</v>
          </cell>
          <cell r="L1520">
            <v>185</v>
          </cell>
          <cell r="M1520">
            <v>45.77</v>
          </cell>
          <cell r="N1520">
            <v>2015</v>
          </cell>
          <cell r="O1520">
            <v>319</v>
          </cell>
          <cell r="P1520">
            <v>50.4</v>
          </cell>
        </row>
        <row r="1521">
          <cell r="B1521" t="str">
            <v>Kobe University</v>
          </cell>
          <cell r="C1521" t="str">
            <v>Japan</v>
          </cell>
          <cell r="D1521">
            <v>14</v>
          </cell>
          <cell r="E1521">
            <v>95</v>
          </cell>
          <cell r="F1521">
            <v>240</v>
          </cell>
          <cell r="G1521">
            <v>116</v>
          </cell>
          <cell r="H1521">
            <v>368</v>
          </cell>
          <cell r="I1521">
            <v>271</v>
          </cell>
          <cell r="J1521">
            <v>321</v>
          </cell>
          <cell r="K1521">
            <v>335</v>
          </cell>
          <cell r="L1521">
            <v>301</v>
          </cell>
          <cell r="M1521">
            <v>45.74</v>
          </cell>
          <cell r="N1521">
            <v>2015</v>
          </cell>
          <cell r="O1521">
            <v>320</v>
          </cell>
          <cell r="P1521">
            <v>28.3</v>
          </cell>
        </row>
        <row r="1522">
          <cell r="B1522" t="str">
            <v>University of LiÃ¨ge</v>
          </cell>
          <cell r="C1522" t="str">
            <v>Belgium</v>
          </cell>
          <cell r="D1522">
            <v>7</v>
          </cell>
          <cell r="E1522">
            <v>143</v>
          </cell>
          <cell r="F1522">
            <v>567</v>
          </cell>
          <cell r="G1522">
            <v>144</v>
          </cell>
          <cell r="H1522">
            <v>317</v>
          </cell>
          <cell r="I1522">
            <v>218</v>
          </cell>
          <cell r="J1522">
            <v>234</v>
          </cell>
          <cell r="K1522">
            <v>300</v>
          </cell>
          <cell r="L1522">
            <v>285</v>
          </cell>
          <cell r="M1522">
            <v>45.73</v>
          </cell>
          <cell r="N1522">
            <v>2015</v>
          </cell>
          <cell r="O1522">
            <v>321</v>
          </cell>
          <cell r="P1522">
            <v>23.5</v>
          </cell>
        </row>
        <row r="1523">
          <cell r="B1523" t="str">
            <v>Federal University of Rio de Janeiro</v>
          </cell>
          <cell r="C1523" t="str">
            <v>Brazil</v>
          </cell>
          <cell r="D1523">
            <v>2</v>
          </cell>
          <cell r="E1523">
            <v>125</v>
          </cell>
          <cell r="F1523">
            <v>116</v>
          </cell>
          <cell r="G1523">
            <v>218</v>
          </cell>
          <cell r="H1523">
            <v>305</v>
          </cell>
          <cell r="I1523">
            <v>330</v>
          </cell>
          <cell r="J1523">
            <v>645</v>
          </cell>
          <cell r="K1523">
            <v>381</v>
          </cell>
          <cell r="L1523">
            <v>295</v>
          </cell>
          <cell r="M1523">
            <v>45.72</v>
          </cell>
          <cell r="N1523">
            <v>2015</v>
          </cell>
          <cell r="O1523">
            <v>322</v>
          </cell>
          <cell r="P1523">
            <v>32.4</v>
          </cell>
        </row>
        <row r="1524">
          <cell r="B1524" t="str">
            <v>Rush University</v>
          </cell>
          <cell r="C1524" t="str">
            <v>USA</v>
          </cell>
          <cell r="D1524">
            <v>118</v>
          </cell>
          <cell r="E1524">
            <v>367</v>
          </cell>
          <cell r="F1524">
            <v>567</v>
          </cell>
          <cell r="G1524">
            <v>218</v>
          </cell>
          <cell r="H1524">
            <v>427</v>
          </cell>
          <cell r="I1524">
            <v>404</v>
          </cell>
          <cell r="J1524">
            <v>197</v>
          </cell>
          <cell r="K1524">
            <v>260</v>
          </cell>
          <cell r="L1524">
            <v>871</v>
          </cell>
          <cell r="M1524">
            <v>45.71</v>
          </cell>
          <cell r="N1524">
            <v>2015</v>
          </cell>
          <cell r="O1524">
            <v>323</v>
          </cell>
          <cell r="P1524">
            <v>37.700000000000003</v>
          </cell>
        </row>
        <row r="1525">
          <cell r="B1525" t="str">
            <v>University of Vermont</v>
          </cell>
          <cell r="C1525" t="str">
            <v>USA</v>
          </cell>
          <cell r="D1525">
            <v>119</v>
          </cell>
          <cell r="E1525">
            <v>198</v>
          </cell>
          <cell r="F1525">
            <v>256</v>
          </cell>
          <cell r="G1525">
            <v>218</v>
          </cell>
          <cell r="H1525">
            <v>357</v>
          </cell>
          <cell r="I1525">
            <v>288</v>
          </cell>
          <cell r="J1525">
            <v>368</v>
          </cell>
          <cell r="K1525">
            <v>285</v>
          </cell>
          <cell r="L1525">
            <v>397</v>
          </cell>
          <cell r="M1525">
            <v>45.7</v>
          </cell>
          <cell r="N1525">
            <v>2015</v>
          </cell>
          <cell r="O1525">
            <v>324</v>
          </cell>
          <cell r="P1525">
            <v>28.5</v>
          </cell>
        </row>
        <row r="1526">
          <cell r="B1526" t="str">
            <v>University of York</v>
          </cell>
          <cell r="C1526" t="str">
            <v>United Kingdom</v>
          </cell>
          <cell r="D1526">
            <v>29</v>
          </cell>
          <cell r="E1526">
            <v>367</v>
          </cell>
          <cell r="F1526">
            <v>567</v>
          </cell>
          <cell r="G1526">
            <v>218</v>
          </cell>
          <cell r="H1526">
            <v>270</v>
          </cell>
          <cell r="I1526">
            <v>205</v>
          </cell>
          <cell r="J1526">
            <v>161</v>
          </cell>
          <cell r="K1526">
            <v>300</v>
          </cell>
          <cell r="L1526">
            <v>406</v>
          </cell>
          <cell r="M1526">
            <v>45.69</v>
          </cell>
          <cell r="N1526">
            <v>2015</v>
          </cell>
          <cell r="O1526">
            <v>325</v>
          </cell>
          <cell r="P1526">
            <v>47.9</v>
          </cell>
        </row>
        <row r="1527">
          <cell r="B1527" t="str">
            <v>Boston College</v>
          </cell>
          <cell r="C1527" t="str">
            <v>USA</v>
          </cell>
          <cell r="D1527">
            <v>120</v>
          </cell>
          <cell r="E1527">
            <v>367</v>
          </cell>
          <cell r="F1527">
            <v>97</v>
          </cell>
          <cell r="G1527">
            <v>218</v>
          </cell>
          <cell r="H1527">
            <v>557</v>
          </cell>
          <cell r="I1527">
            <v>363</v>
          </cell>
          <cell r="J1527">
            <v>197</v>
          </cell>
          <cell r="K1527">
            <v>402</v>
          </cell>
          <cell r="L1527">
            <v>386</v>
          </cell>
          <cell r="M1527">
            <v>45.65</v>
          </cell>
          <cell r="N1527">
            <v>2015</v>
          </cell>
          <cell r="O1527">
            <v>326</v>
          </cell>
          <cell r="P1527">
            <v>40.1</v>
          </cell>
        </row>
        <row r="1528">
          <cell r="B1528" t="str">
            <v>University of Pavia</v>
          </cell>
          <cell r="C1528" t="str">
            <v>Italy</v>
          </cell>
          <cell r="D1528">
            <v>10</v>
          </cell>
          <cell r="E1528">
            <v>295</v>
          </cell>
          <cell r="F1528">
            <v>380</v>
          </cell>
          <cell r="G1528">
            <v>214</v>
          </cell>
          <cell r="H1528">
            <v>330</v>
          </cell>
          <cell r="I1528">
            <v>381</v>
          </cell>
          <cell r="J1528">
            <v>264</v>
          </cell>
          <cell r="K1528">
            <v>273</v>
          </cell>
          <cell r="L1528">
            <v>680</v>
          </cell>
          <cell r="M1528">
            <v>45.64</v>
          </cell>
          <cell r="N1528">
            <v>2015</v>
          </cell>
          <cell r="O1528">
            <v>327</v>
          </cell>
          <cell r="P1528">
            <v>25.6</v>
          </cell>
        </row>
        <row r="1529">
          <cell r="B1529" t="str">
            <v>University of Jena</v>
          </cell>
          <cell r="C1529" t="str">
            <v>Germany</v>
          </cell>
          <cell r="D1529">
            <v>29</v>
          </cell>
          <cell r="E1529">
            <v>367</v>
          </cell>
          <cell r="F1529">
            <v>567</v>
          </cell>
          <cell r="G1529">
            <v>218</v>
          </cell>
          <cell r="H1529">
            <v>260</v>
          </cell>
          <cell r="I1529">
            <v>263</v>
          </cell>
          <cell r="J1529">
            <v>321</v>
          </cell>
          <cell r="K1529">
            <v>289</v>
          </cell>
          <cell r="L1529">
            <v>457</v>
          </cell>
          <cell r="M1529">
            <v>45.64</v>
          </cell>
          <cell r="N1529">
            <v>2015</v>
          </cell>
          <cell r="O1529">
            <v>328</v>
          </cell>
          <cell r="P1529" t="e">
            <v>#N/A</v>
          </cell>
        </row>
        <row r="1530">
          <cell r="B1530" t="str">
            <v>Vita-Salute San Raffaele University</v>
          </cell>
          <cell r="C1530" t="str">
            <v>Italy</v>
          </cell>
          <cell r="D1530">
            <v>11</v>
          </cell>
          <cell r="E1530">
            <v>367</v>
          </cell>
          <cell r="F1530">
            <v>567</v>
          </cell>
          <cell r="G1530">
            <v>218</v>
          </cell>
          <cell r="H1530">
            <v>478</v>
          </cell>
          <cell r="I1530">
            <v>279</v>
          </cell>
          <cell r="J1530">
            <v>321</v>
          </cell>
          <cell r="K1530">
            <v>260</v>
          </cell>
          <cell r="L1530">
            <v>871</v>
          </cell>
          <cell r="M1530">
            <v>45.61</v>
          </cell>
          <cell r="N1530">
            <v>2015</v>
          </cell>
          <cell r="O1530">
            <v>329</v>
          </cell>
          <cell r="P1530" t="e">
            <v>#N/A</v>
          </cell>
        </row>
        <row r="1531">
          <cell r="B1531" t="str">
            <v>University of Genoa</v>
          </cell>
          <cell r="C1531" t="str">
            <v>Italy</v>
          </cell>
          <cell r="D1531">
            <v>12</v>
          </cell>
          <cell r="E1531">
            <v>367</v>
          </cell>
          <cell r="F1531">
            <v>567</v>
          </cell>
          <cell r="G1531">
            <v>218</v>
          </cell>
          <cell r="H1531">
            <v>299</v>
          </cell>
          <cell r="I1531">
            <v>402</v>
          </cell>
          <cell r="J1531">
            <v>234</v>
          </cell>
          <cell r="K1531">
            <v>285</v>
          </cell>
          <cell r="L1531">
            <v>537</v>
          </cell>
          <cell r="M1531">
            <v>45.61</v>
          </cell>
          <cell r="N1531">
            <v>2015</v>
          </cell>
          <cell r="O1531">
            <v>330</v>
          </cell>
          <cell r="P1531">
            <v>27.2</v>
          </cell>
        </row>
        <row r="1532">
          <cell r="B1532" t="str">
            <v>Tianjin University</v>
          </cell>
          <cell r="C1532" t="str">
            <v>China</v>
          </cell>
          <cell r="D1532">
            <v>12</v>
          </cell>
          <cell r="E1532">
            <v>367</v>
          </cell>
          <cell r="F1532">
            <v>77</v>
          </cell>
          <cell r="G1532">
            <v>218</v>
          </cell>
          <cell r="H1532">
            <v>348</v>
          </cell>
          <cell r="I1532">
            <v>934</v>
          </cell>
          <cell r="J1532">
            <v>428</v>
          </cell>
          <cell r="K1532">
            <v>606</v>
          </cell>
          <cell r="L1532">
            <v>245</v>
          </cell>
          <cell r="M1532">
            <v>45.61</v>
          </cell>
          <cell r="N1532">
            <v>2015</v>
          </cell>
          <cell r="O1532">
            <v>331</v>
          </cell>
          <cell r="P1532">
            <v>36.5</v>
          </cell>
        </row>
        <row r="1533">
          <cell r="B1533" t="str">
            <v>Louisiana State University - Baton Rouge</v>
          </cell>
          <cell r="C1533" t="str">
            <v>USA</v>
          </cell>
          <cell r="D1533">
            <v>121</v>
          </cell>
          <cell r="E1533">
            <v>270</v>
          </cell>
          <cell r="F1533">
            <v>177</v>
          </cell>
          <cell r="G1533">
            <v>218</v>
          </cell>
          <cell r="H1533">
            <v>292</v>
          </cell>
          <cell r="I1533">
            <v>215</v>
          </cell>
          <cell r="J1533">
            <v>197</v>
          </cell>
          <cell r="K1533">
            <v>353</v>
          </cell>
          <cell r="L1533">
            <v>458</v>
          </cell>
          <cell r="M1533">
            <v>45.61</v>
          </cell>
          <cell r="N1533">
            <v>2015</v>
          </cell>
          <cell r="O1533">
            <v>332</v>
          </cell>
          <cell r="P1533" t="e">
            <v>#N/A</v>
          </cell>
        </row>
        <row r="1534">
          <cell r="B1534" t="str">
            <v>University of Exeter</v>
          </cell>
          <cell r="C1534" t="str">
            <v>United Kingdom</v>
          </cell>
          <cell r="D1534">
            <v>30</v>
          </cell>
          <cell r="E1534">
            <v>264</v>
          </cell>
          <cell r="F1534">
            <v>481</v>
          </cell>
          <cell r="G1534">
            <v>218</v>
          </cell>
          <cell r="H1534">
            <v>293</v>
          </cell>
          <cell r="I1534">
            <v>174</v>
          </cell>
          <cell r="J1534">
            <v>428</v>
          </cell>
          <cell r="K1534">
            <v>295</v>
          </cell>
          <cell r="L1534">
            <v>353</v>
          </cell>
          <cell r="M1534">
            <v>45.59</v>
          </cell>
          <cell r="N1534">
            <v>2015</v>
          </cell>
          <cell r="O1534">
            <v>333</v>
          </cell>
          <cell r="P1534">
            <v>40.4</v>
          </cell>
        </row>
        <row r="1535">
          <cell r="B1535" t="str">
            <v>National Autonomous University of Mexico</v>
          </cell>
          <cell r="C1535" t="str">
            <v>Mexico</v>
          </cell>
          <cell r="D1535">
            <v>1</v>
          </cell>
          <cell r="E1535">
            <v>282</v>
          </cell>
          <cell r="F1535">
            <v>546</v>
          </cell>
          <cell r="G1535">
            <v>218</v>
          </cell>
          <cell r="H1535">
            <v>199</v>
          </cell>
          <cell r="I1535">
            <v>219</v>
          </cell>
          <cell r="J1535">
            <v>368</v>
          </cell>
          <cell r="K1535">
            <v>330</v>
          </cell>
          <cell r="L1535">
            <v>486</v>
          </cell>
          <cell r="M1535">
            <v>45.58</v>
          </cell>
          <cell r="N1535">
            <v>2015</v>
          </cell>
          <cell r="O1535">
            <v>334</v>
          </cell>
          <cell r="P1535">
            <v>31</v>
          </cell>
        </row>
        <row r="1536">
          <cell r="B1536" t="str">
            <v>University of Adelaide</v>
          </cell>
          <cell r="C1536" t="str">
            <v>Australia</v>
          </cell>
          <cell r="D1536">
            <v>8</v>
          </cell>
          <cell r="E1536">
            <v>219</v>
          </cell>
          <cell r="F1536">
            <v>445</v>
          </cell>
          <cell r="G1536">
            <v>218</v>
          </cell>
          <cell r="H1536">
            <v>234</v>
          </cell>
          <cell r="I1536">
            <v>243</v>
          </cell>
          <cell r="J1536">
            <v>287</v>
          </cell>
          <cell r="K1536">
            <v>318</v>
          </cell>
          <cell r="L1536">
            <v>465</v>
          </cell>
          <cell r="M1536">
            <v>45.58</v>
          </cell>
          <cell r="N1536">
            <v>2015</v>
          </cell>
          <cell r="O1536">
            <v>335</v>
          </cell>
          <cell r="P1536">
            <v>46.5</v>
          </cell>
        </row>
        <row r="1537">
          <cell r="B1537" t="str">
            <v>University of East Anglia</v>
          </cell>
          <cell r="C1537" t="str">
            <v>United Kingdom</v>
          </cell>
          <cell r="D1537">
            <v>31</v>
          </cell>
          <cell r="E1537">
            <v>206</v>
          </cell>
          <cell r="F1537">
            <v>567</v>
          </cell>
          <cell r="G1537">
            <v>179</v>
          </cell>
          <cell r="H1537">
            <v>349</v>
          </cell>
          <cell r="I1537">
            <v>211</v>
          </cell>
          <cell r="J1537">
            <v>146</v>
          </cell>
          <cell r="K1537">
            <v>313</v>
          </cell>
          <cell r="L1537">
            <v>500</v>
          </cell>
          <cell r="M1537">
            <v>45.58</v>
          </cell>
          <cell r="N1537">
            <v>2015</v>
          </cell>
          <cell r="O1537">
            <v>336</v>
          </cell>
          <cell r="P1537">
            <v>42.1</v>
          </cell>
        </row>
        <row r="1538">
          <cell r="B1538" t="str">
            <v>York University</v>
          </cell>
          <cell r="C1538" t="str">
            <v>Canada</v>
          </cell>
          <cell r="D1538">
            <v>15</v>
          </cell>
          <cell r="E1538">
            <v>367</v>
          </cell>
          <cell r="F1538">
            <v>106</v>
          </cell>
          <cell r="G1538">
            <v>218</v>
          </cell>
          <cell r="H1538">
            <v>382</v>
          </cell>
          <cell r="I1538">
            <v>408</v>
          </cell>
          <cell r="J1538">
            <v>264</v>
          </cell>
          <cell r="K1538">
            <v>388</v>
          </cell>
          <cell r="L1538">
            <v>871</v>
          </cell>
          <cell r="M1538">
            <v>45.56</v>
          </cell>
          <cell r="N1538">
            <v>2015</v>
          </cell>
          <cell r="O1538">
            <v>337</v>
          </cell>
          <cell r="P1538">
            <v>19.899999999999999</v>
          </cell>
        </row>
        <row r="1539">
          <cell r="B1539" t="str">
            <v>University of Navarra</v>
          </cell>
          <cell r="C1539" t="str">
            <v>Spain</v>
          </cell>
          <cell r="D1539">
            <v>6</v>
          </cell>
          <cell r="E1539">
            <v>367</v>
          </cell>
          <cell r="F1539">
            <v>76</v>
          </cell>
          <cell r="G1539">
            <v>218</v>
          </cell>
          <cell r="H1539">
            <v>578</v>
          </cell>
          <cell r="I1539">
            <v>722</v>
          </cell>
          <cell r="J1539">
            <v>511</v>
          </cell>
          <cell r="K1539">
            <v>503</v>
          </cell>
          <cell r="L1539">
            <v>645</v>
          </cell>
          <cell r="M1539">
            <v>45.56</v>
          </cell>
          <cell r="N1539">
            <v>2015</v>
          </cell>
          <cell r="O1539">
            <v>338</v>
          </cell>
          <cell r="P1539">
            <v>27.3</v>
          </cell>
        </row>
        <row r="1540">
          <cell r="B1540" t="str">
            <v>University of Oregon</v>
          </cell>
          <cell r="C1540" t="str">
            <v>USA</v>
          </cell>
          <cell r="D1540">
            <v>122</v>
          </cell>
          <cell r="E1540">
            <v>346</v>
          </cell>
          <cell r="F1540">
            <v>567</v>
          </cell>
          <cell r="G1540">
            <v>218</v>
          </cell>
          <cell r="H1540">
            <v>378</v>
          </cell>
          <cell r="I1540">
            <v>217</v>
          </cell>
          <cell r="J1540">
            <v>161</v>
          </cell>
          <cell r="K1540">
            <v>295</v>
          </cell>
          <cell r="L1540">
            <v>729</v>
          </cell>
          <cell r="M1540">
            <v>45.55</v>
          </cell>
          <cell r="N1540">
            <v>2015</v>
          </cell>
          <cell r="O1540">
            <v>339</v>
          </cell>
          <cell r="P1540">
            <v>31.5</v>
          </cell>
        </row>
        <row r="1541">
          <cell r="B1541" t="str">
            <v>St George's, University of London</v>
          </cell>
          <cell r="C1541" t="str">
            <v>United Kingdom</v>
          </cell>
          <cell r="D1541">
            <v>32</v>
          </cell>
          <cell r="E1541">
            <v>367</v>
          </cell>
          <cell r="F1541">
            <v>567</v>
          </cell>
          <cell r="G1541">
            <v>218</v>
          </cell>
          <cell r="H1541">
            <v>554</v>
          </cell>
          <cell r="I1541">
            <v>476</v>
          </cell>
          <cell r="J1541">
            <v>368</v>
          </cell>
          <cell r="K1541">
            <v>262</v>
          </cell>
          <cell r="L1541">
            <v>648</v>
          </cell>
          <cell r="M1541">
            <v>45.55</v>
          </cell>
          <cell r="N1541">
            <v>2015</v>
          </cell>
          <cell r="O1541">
            <v>340</v>
          </cell>
          <cell r="P1541" t="e">
            <v>#N/A</v>
          </cell>
        </row>
        <row r="1542">
          <cell r="B1542" t="str">
            <v>Indian Institute of Technology Delhi</v>
          </cell>
          <cell r="C1542" t="str">
            <v>India</v>
          </cell>
          <cell r="D1542">
            <v>1</v>
          </cell>
          <cell r="E1542">
            <v>367</v>
          </cell>
          <cell r="F1542">
            <v>59</v>
          </cell>
          <cell r="G1542">
            <v>218</v>
          </cell>
          <cell r="H1542">
            <v>635</v>
          </cell>
          <cell r="I1542">
            <v>943</v>
          </cell>
          <cell r="J1542">
            <v>812</v>
          </cell>
          <cell r="K1542">
            <v>781</v>
          </cell>
          <cell r="L1542">
            <v>625</v>
          </cell>
          <cell r="M1542">
            <v>45.54</v>
          </cell>
          <cell r="N1542">
            <v>2015</v>
          </cell>
          <cell r="O1542">
            <v>341</v>
          </cell>
          <cell r="P1542">
            <v>33.799999999999997</v>
          </cell>
        </row>
        <row r="1543">
          <cell r="B1543" t="str">
            <v>University of Trieste</v>
          </cell>
          <cell r="C1543" t="str">
            <v>Italy</v>
          </cell>
          <cell r="D1543">
            <v>13</v>
          </cell>
          <cell r="E1543">
            <v>367</v>
          </cell>
          <cell r="F1543">
            <v>443</v>
          </cell>
          <cell r="G1543">
            <v>218</v>
          </cell>
          <cell r="H1543">
            <v>395</v>
          </cell>
          <cell r="I1543">
            <v>286</v>
          </cell>
          <cell r="J1543">
            <v>287</v>
          </cell>
          <cell r="K1543">
            <v>281</v>
          </cell>
          <cell r="L1543">
            <v>616</v>
          </cell>
          <cell r="M1543">
            <v>45.54</v>
          </cell>
          <cell r="N1543">
            <v>2015</v>
          </cell>
          <cell r="O1543">
            <v>342</v>
          </cell>
          <cell r="P1543">
            <v>16.7</v>
          </cell>
        </row>
        <row r="1544">
          <cell r="B1544" t="str">
            <v>Queen's University Belfast</v>
          </cell>
          <cell r="C1544" t="str">
            <v>United Kingdom</v>
          </cell>
          <cell r="D1544">
            <v>33</v>
          </cell>
          <cell r="E1544">
            <v>183</v>
          </cell>
          <cell r="F1544">
            <v>387</v>
          </cell>
          <cell r="G1544">
            <v>218</v>
          </cell>
          <cell r="H1544">
            <v>306</v>
          </cell>
          <cell r="I1544">
            <v>276</v>
          </cell>
          <cell r="J1544">
            <v>264</v>
          </cell>
          <cell r="K1544">
            <v>313</v>
          </cell>
          <cell r="L1544">
            <v>377</v>
          </cell>
          <cell r="M1544">
            <v>45.53</v>
          </cell>
          <cell r="N1544">
            <v>2015</v>
          </cell>
          <cell r="O1544">
            <v>343</v>
          </cell>
          <cell r="P1544" t="e">
            <v>#N/A</v>
          </cell>
        </row>
        <row r="1545">
          <cell r="B1545" t="str">
            <v>University of Perugia</v>
          </cell>
          <cell r="C1545" t="str">
            <v>Italy</v>
          </cell>
          <cell r="D1545">
            <v>14</v>
          </cell>
          <cell r="E1545">
            <v>367</v>
          </cell>
          <cell r="F1545">
            <v>567</v>
          </cell>
          <cell r="G1545">
            <v>116</v>
          </cell>
          <cell r="H1545">
            <v>375</v>
          </cell>
          <cell r="I1545">
            <v>332</v>
          </cell>
          <cell r="J1545">
            <v>428</v>
          </cell>
          <cell r="K1545">
            <v>289</v>
          </cell>
          <cell r="L1545">
            <v>642</v>
          </cell>
          <cell r="M1545">
            <v>45.53</v>
          </cell>
          <cell r="N1545">
            <v>2015</v>
          </cell>
          <cell r="O1545">
            <v>344</v>
          </cell>
          <cell r="P1545" t="e">
            <v>#N/A</v>
          </cell>
        </row>
        <row r="1546">
          <cell r="B1546" t="str">
            <v>Technical University of Berlin</v>
          </cell>
          <cell r="C1546" t="str">
            <v>Germany</v>
          </cell>
          <cell r="D1546">
            <v>30</v>
          </cell>
          <cell r="E1546">
            <v>85</v>
          </cell>
          <cell r="F1546">
            <v>271</v>
          </cell>
          <cell r="G1546">
            <v>218</v>
          </cell>
          <cell r="H1546">
            <v>360</v>
          </cell>
          <cell r="I1546">
            <v>412</v>
          </cell>
          <cell r="J1546">
            <v>368</v>
          </cell>
          <cell r="K1546">
            <v>388</v>
          </cell>
          <cell r="L1546">
            <v>177</v>
          </cell>
          <cell r="M1546">
            <v>45.52</v>
          </cell>
          <cell r="N1546">
            <v>2015</v>
          </cell>
          <cell r="O1546">
            <v>345</v>
          </cell>
          <cell r="P1546">
            <v>42.2</v>
          </cell>
        </row>
        <row r="1547">
          <cell r="B1547" t="str">
            <v>University of Marburg</v>
          </cell>
          <cell r="C1547" t="str">
            <v>Germany</v>
          </cell>
          <cell r="D1547">
            <v>31</v>
          </cell>
          <cell r="E1547">
            <v>304</v>
          </cell>
          <cell r="F1547">
            <v>567</v>
          </cell>
          <cell r="G1547">
            <v>217</v>
          </cell>
          <cell r="H1547">
            <v>329</v>
          </cell>
          <cell r="I1547">
            <v>249</v>
          </cell>
          <cell r="J1547">
            <v>428</v>
          </cell>
          <cell r="K1547">
            <v>300</v>
          </cell>
          <cell r="L1547">
            <v>271</v>
          </cell>
          <cell r="M1547">
            <v>45.51</v>
          </cell>
          <cell r="N1547">
            <v>2015</v>
          </cell>
          <cell r="O1547">
            <v>346</v>
          </cell>
          <cell r="P1547" t="e">
            <v>#N/A</v>
          </cell>
        </row>
        <row r="1548">
          <cell r="B1548" t="str">
            <v>University of Innsbruck</v>
          </cell>
          <cell r="C1548" t="str">
            <v>Austria</v>
          </cell>
          <cell r="D1548">
            <v>3</v>
          </cell>
          <cell r="E1548">
            <v>197</v>
          </cell>
          <cell r="F1548">
            <v>397</v>
          </cell>
          <cell r="G1548">
            <v>112</v>
          </cell>
          <cell r="H1548">
            <v>430</v>
          </cell>
          <cell r="I1548">
            <v>222</v>
          </cell>
          <cell r="J1548">
            <v>287</v>
          </cell>
          <cell r="K1548">
            <v>311</v>
          </cell>
          <cell r="L1548">
            <v>442</v>
          </cell>
          <cell r="M1548">
            <v>45.51</v>
          </cell>
          <cell r="N1548">
            <v>2015</v>
          </cell>
          <cell r="O1548">
            <v>347</v>
          </cell>
          <cell r="P1548">
            <v>37.9</v>
          </cell>
        </row>
        <row r="1549">
          <cell r="B1549" t="str">
            <v>Eindhoven University of Technology</v>
          </cell>
          <cell r="C1549" t="str">
            <v>Netherlands</v>
          </cell>
          <cell r="D1549">
            <v>11</v>
          </cell>
          <cell r="E1549">
            <v>367</v>
          </cell>
          <cell r="F1549">
            <v>347</v>
          </cell>
          <cell r="G1549">
            <v>186</v>
          </cell>
          <cell r="H1549">
            <v>306</v>
          </cell>
          <cell r="I1549">
            <v>549</v>
          </cell>
          <cell r="J1549">
            <v>321</v>
          </cell>
          <cell r="K1549">
            <v>318</v>
          </cell>
          <cell r="L1549">
            <v>279</v>
          </cell>
          <cell r="M1549">
            <v>45.51</v>
          </cell>
          <cell r="N1549">
            <v>2015</v>
          </cell>
          <cell r="O1549">
            <v>348</v>
          </cell>
          <cell r="P1549">
            <v>55.4</v>
          </cell>
        </row>
        <row r="1550">
          <cell r="B1550" t="str">
            <v>Ben-Gurion University of the Negev</v>
          </cell>
          <cell r="C1550" t="str">
            <v>Israel</v>
          </cell>
          <cell r="D1550">
            <v>5</v>
          </cell>
          <cell r="E1550">
            <v>367</v>
          </cell>
          <cell r="F1550">
            <v>567</v>
          </cell>
          <cell r="G1550">
            <v>218</v>
          </cell>
          <cell r="H1550">
            <v>277</v>
          </cell>
          <cell r="I1550">
            <v>379</v>
          </cell>
          <cell r="J1550">
            <v>428</v>
          </cell>
          <cell r="K1550">
            <v>381</v>
          </cell>
          <cell r="L1550">
            <v>118</v>
          </cell>
          <cell r="M1550">
            <v>45.49</v>
          </cell>
          <cell r="N1550">
            <v>2015</v>
          </cell>
          <cell r="O1550">
            <v>349</v>
          </cell>
          <cell r="P1550">
            <v>25.1</v>
          </cell>
        </row>
        <row r="1551">
          <cell r="B1551" t="str">
            <v>University of Oklahoma - Norman Campus</v>
          </cell>
          <cell r="C1551" t="str">
            <v>USA</v>
          </cell>
          <cell r="D1551">
            <v>123</v>
          </cell>
          <cell r="E1551">
            <v>367</v>
          </cell>
          <cell r="F1551">
            <v>150</v>
          </cell>
          <cell r="G1551">
            <v>218</v>
          </cell>
          <cell r="H1551">
            <v>383</v>
          </cell>
          <cell r="I1551">
            <v>240</v>
          </cell>
          <cell r="J1551">
            <v>234</v>
          </cell>
          <cell r="K1551">
            <v>362</v>
          </cell>
          <cell r="L1551">
            <v>474</v>
          </cell>
          <cell r="M1551">
            <v>45.49</v>
          </cell>
          <cell r="N1551">
            <v>2015</v>
          </cell>
          <cell r="O1551">
            <v>350</v>
          </cell>
          <cell r="P1551" t="e">
            <v>#N/A</v>
          </cell>
        </row>
        <row r="1552">
          <cell r="B1552" t="str">
            <v>Wesleyan University</v>
          </cell>
          <cell r="C1552" t="str">
            <v>USA</v>
          </cell>
          <cell r="D1552">
            <v>124</v>
          </cell>
          <cell r="E1552">
            <v>154</v>
          </cell>
          <cell r="F1552">
            <v>61</v>
          </cell>
          <cell r="G1552">
            <v>218</v>
          </cell>
          <cell r="H1552">
            <v>983</v>
          </cell>
          <cell r="I1552">
            <v>506</v>
          </cell>
          <cell r="J1552">
            <v>812</v>
          </cell>
          <cell r="K1552">
            <v>850</v>
          </cell>
          <cell r="L1552">
            <v>871</v>
          </cell>
          <cell r="M1552">
            <v>45.48</v>
          </cell>
          <cell r="N1552">
            <v>2015</v>
          </cell>
          <cell r="O1552">
            <v>351</v>
          </cell>
          <cell r="P1552" t="e">
            <v>#N/A</v>
          </cell>
        </row>
        <row r="1553">
          <cell r="B1553" t="str">
            <v>University of Victoria</v>
          </cell>
          <cell r="C1553" t="str">
            <v>Canada</v>
          </cell>
          <cell r="D1553">
            <v>16</v>
          </cell>
          <cell r="E1553">
            <v>367</v>
          </cell>
          <cell r="F1553">
            <v>567</v>
          </cell>
          <cell r="G1553">
            <v>218</v>
          </cell>
          <cell r="H1553">
            <v>321</v>
          </cell>
          <cell r="I1553">
            <v>328</v>
          </cell>
          <cell r="J1553">
            <v>234</v>
          </cell>
          <cell r="K1553">
            <v>300</v>
          </cell>
          <cell r="L1553">
            <v>853</v>
          </cell>
          <cell r="M1553">
            <v>45.48</v>
          </cell>
          <cell r="N1553">
            <v>2015</v>
          </cell>
          <cell r="O1553">
            <v>352</v>
          </cell>
          <cell r="P1553">
            <v>32.9</v>
          </cell>
        </row>
        <row r="1554">
          <cell r="B1554" t="str">
            <v>Kansas State University</v>
          </cell>
          <cell r="C1554" t="str">
            <v>USA</v>
          </cell>
          <cell r="D1554">
            <v>125</v>
          </cell>
          <cell r="E1554">
            <v>130</v>
          </cell>
          <cell r="F1554">
            <v>229</v>
          </cell>
          <cell r="G1554">
            <v>218</v>
          </cell>
          <cell r="H1554">
            <v>373</v>
          </cell>
          <cell r="I1554">
            <v>320</v>
          </cell>
          <cell r="J1554">
            <v>212</v>
          </cell>
          <cell r="K1554">
            <v>358</v>
          </cell>
          <cell r="L1554">
            <v>294</v>
          </cell>
          <cell r="M1554">
            <v>45.47</v>
          </cell>
          <cell r="N1554">
            <v>2015</v>
          </cell>
          <cell r="O1554">
            <v>353</v>
          </cell>
          <cell r="P1554">
            <v>20.9</v>
          </cell>
        </row>
        <row r="1555">
          <cell r="B1555" t="str">
            <v>Hong Kong Polytechnic University</v>
          </cell>
          <cell r="C1555" t="str">
            <v>Hong Kong</v>
          </cell>
          <cell r="D1555">
            <v>4</v>
          </cell>
          <cell r="E1555">
            <v>367</v>
          </cell>
          <cell r="F1555">
            <v>166</v>
          </cell>
          <cell r="G1555">
            <v>218</v>
          </cell>
          <cell r="H1555">
            <v>259</v>
          </cell>
          <cell r="I1555">
            <v>764</v>
          </cell>
          <cell r="J1555">
            <v>511</v>
          </cell>
          <cell r="K1555">
            <v>375</v>
          </cell>
          <cell r="L1555">
            <v>329</v>
          </cell>
          <cell r="M1555">
            <v>45.47</v>
          </cell>
          <cell r="N1555">
            <v>2015</v>
          </cell>
          <cell r="O1555">
            <v>354</v>
          </cell>
          <cell r="P1555">
            <v>39.4</v>
          </cell>
        </row>
        <row r="1556">
          <cell r="B1556" t="str">
            <v>LinkÃ¶ping University</v>
          </cell>
          <cell r="C1556" t="str">
            <v>Sweden</v>
          </cell>
          <cell r="D1556">
            <v>8</v>
          </cell>
          <cell r="E1556">
            <v>367</v>
          </cell>
          <cell r="F1556">
            <v>237</v>
          </cell>
          <cell r="G1556">
            <v>218</v>
          </cell>
          <cell r="H1556">
            <v>323</v>
          </cell>
          <cell r="I1556">
            <v>401</v>
          </cell>
          <cell r="J1556">
            <v>368</v>
          </cell>
          <cell r="K1556">
            <v>324</v>
          </cell>
          <cell r="L1556">
            <v>871</v>
          </cell>
          <cell r="M1556">
            <v>45.47</v>
          </cell>
          <cell r="N1556">
            <v>2015</v>
          </cell>
          <cell r="O1556">
            <v>355</v>
          </cell>
          <cell r="P1556">
            <v>19.600000000000001</v>
          </cell>
        </row>
        <row r="1557">
          <cell r="B1557" t="str">
            <v>University of Southern Denmark</v>
          </cell>
          <cell r="C1557" t="str">
            <v>Denmark</v>
          </cell>
          <cell r="D1557">
            <v>4</v>
          </cell>
          <cell r="E1557">
            <v>367</v>
          </cell>
          <cell r="F1557">
            <v>567</v>
          </cell>
          <cell r="G1557">
            <v>218</v>
          </cell>
          <cell r="H1557">
            <v>386</v>
          </cell>
          <cell r="I1557">
            <v>327</v>
          </cell>
          <cell r="J1557">
            <v>321</v>
          </cell>
          <cell r="K1557">
            <v>295</v>
          </cell>
          <cell r="L1557">
            <v>320</v>
          </cell>
          <cell r="M1557">
            <v>45.46</v>
          </cell>
          <cell r="N1557">
            <v>2015</v>
          </cell>
          <cell r="O1557">
            <v>356</v>
          </cell>
          <cell r="P1557">
            <v>19.7</v>
          </cell>
        </row>
        <row r="1558">
          <cell r="B1558" t="str">
            <v>University of Otago</v>
          </cell>
          <cell r="C1558" t="str">
            <v>New Zealand</v>
          </cell>
          <cell r="D1558">
            <v>2</v>
          </cell>
          <cell r="E1558">
            <v>367</v>
          </cell>
          <cell r="F1558">
            <v>377</v>
          </cell>
          <cell r="G1558">
            <v>218</v>
          </cell>
          <cell r="H1558">
            <v>312</v>
          </cell>
          <cell r="I1558">
            <v>353</v>
          </cell>
          <cell r="J1558">
            <v>287</v>
          </cell>
          <cell r="K1558">
            <v>313</v>
          </cell>
          <cell r="L1558">
            <v>542</v>
          </cell>
          <cell r="M1558">
            <v>45.44</v>
          </cell>
          <cell r="N1558">
            <v>2015</v>
          </cell>
          <cell r="O1558">
            <v>357</v>
          </cell>
          <cell r="P1558">
            <v>24.5</v>
          </cell>
        </row>
        <row r="1559">
          <cell r="B1559" t="str">
            <v>Justus Liebig University Giessen</v>
          </cell>
          <cell r="C1559" t="str">
            <v>Germany</v>
          </cell>
          <cell r="D1559">
            <v>32</v>
          </cell>
          <cell r="E1559">
            <v>367</v>
          </cell>
          <cell r="F1559">
            <v>567</v>
          </cell>
          <cell r="G1559">
            <v>218</v>
          </cell>
          <cell r="H1559">
            <v>332</v>
          </cell>
          <cell r="I1559">
            <v>357</v>
          </cell>
          <cell r="J1559">
            <v>264</v>
          </cell>
          <cell r="K1559">
            <v>313</v>
          </cell>
          <cell r="L1559">
            <v>309</v>
          </cell>
          <cell r="M1559">
            <v>45.43</v>
          </cell>
          <cell r="N1559">
            <v>2015</v>
          </cell>
          <cell r="O1559">
            <v>358</v>
          </cell>
          <cell r="P1559">
            <v>32.9</v>
          </cell>
        </row>
        <row r="1560">
          <cell r="B1560" t="str">
            <v>University of New Hampshire</v>
          </cell>
          <cell r="C1560" t="str">
            <v>USA</v>
          </cell>
          <cell r="D1560">
            <v>126</v>
          </cell>
          <cell r="E1560">
            <v>367</v>
          </cell>
          <cell r="F1560">
            <v>318</v>
          </cell>
          <cell r="G1560">
            <v>79</v>
          </cell>
          <cell r="H1560">
            <v>531</v>
          </cell>
          <cell r="I1560">
            <v>273</v>
          </cell>
          <cell r="J1560">
            <v>234</v>
          </cell>
          <cell r="K1560">
            <v>362</v>
          </cell>
          <cell r="L1560">
            <v>596</v>
          </cell>
          <cell r="M1560">
            <v>45.42</v>
          </cell>
          <cell r="N1560">
            <v>2015</v>
          </cell>
          <cell r="O1560">
            <v>359</v>
          </cell>
          <cell r="P1560" t="e">
            <v>#N/A</v>
          </cell>
        </row>
        <row r="1561">
          <cell r="B1561" t="str">
            <v>College of William and Mary</v>
          </cell>
          <cell r="C1561" t="str">
            <v>USA</v>
          </cell>
          <cell r="D1561">
            <v>127</v>
          </cell>
          <cell r="E1561">
            <v>367</v>
          </cell>
          <cell r="F1561">
            <v>85</v>
          </cell>
          <cell r="G1561">
            <v>218</v>
          </cell>
          <cell r="H1561">
            <v>611</v>
          </cell>
          <cell r="I1561">
            <v>459</v>
          </cell>
          <cell r="J1561">
            <v>321</v>
          </cell>
          <cell r="K1561">
            <v>511</v>
          </cell>
          <cell r="L1561">
            <v>809</v>
          </cell>
          <cell r="M1561">
            <v>45.42</v>
          </cell>
          <cell r="N1561">
            <v>2015</v>
          </cell>
          <cell r="O1561">
            <v>360</v>
          </cell>
          <cell r="P1561" t="e">
            <v>#N/A</v>
          </cell>
        </row>
        <row r="1562">
          <cell r="B1562" t="str">
            <v>San Diego State University</v>
          </cell>
          <cell r="C1562" t="str">
            <v>USA</v>
          </cell>
          <cell r="D1562">
            <v>128</v>
          </cell>
          <cell r="E1562">
            <v>248</v>
          </cell>
          <cell r="F1562">
            <v>204</v>
          </cell>
          <cell r="G1562">
            <v>218</v>
          </cell>
          <cell r="H1562">
            <v>467</v>
          </cell>
          <cell r="I1562">
            <v>302</v>
          </cell>
          <cell r="J1562">
            <v>264</v>
          </cell>
          <cell r="K1562">
            <v>339</v>
          </cell>
          <cell r="L1562">
            <v>509</v>
          </cell>
          <cell r="M1562">
            <v>45.41</v>
          </cell>
          <cell r="N1562">
            <v>2015</v>
          </cell>
          <cell r="O1562">
            <v>361</v>
          </cell>
          <cell r="P1562">
            <v>15</v>
          </cell>
        </row>
        <row r="1563">
          <cell r="B1563" t="str">
            <v>Simon Fraser University</v>
          </cell>
          <cell r="C1563" t="str">
            <v>Canada</v>
          </cell>
          <cell r="D1563">
            <v>17</v>
          </cell>
          <cell r="E1563">
            <v>367</v>
          </cell>
          <cell r="F1563">
            <v>567</v>
          </cell>
          <cell r="G1563">
            <v>218</v>
          </cell>
          <cell r="H1563">
            <v>284</v>
          </cell>
          <cell r="I1563">
            <v>303</v>
          </cell>
          <cell r="J1563">
            <v>368</v>
          </cell>
          <cell r="K1563">
            <v>324</v>
          </cell>
          <cell r="L1563">
            <v>381</v>
          </cell>
          <cell r="M1563">
            <v>45.4</v>
          </cell>
          <cell r="N1563">
            <v>2015</v>
          </cell>
          <cell r="O1563">
            <v>362</v>
          </cell>
          <cell r="P1563">
            <v>32.9</v>
          </cell>
        </row>
        <row r="1564">
          <cell r="B1564" t="str">
            <v>University of Santiago de Compostela</v>
          </cell>
          <cell r="C1564" t="str">
            <v>Spain</v>
          </cell>
          <cell r="D1564">
            <v>7</v>
          </cell>
          <cell r="E1564">
            <v>367</v>
          </cell>
          <cell r="F1564">
            <v>489</v>
          </cell>
          <cell r="G1564">
            <v>218</v>
          </cell>
          <cell r="H1564">
            <v>385</v>
          </cell>
          <cell r="I1564">
            <v>600</v>
          </cell>
          <cell r="J1564">
            <v>287</v>
          </cell>
          <cell r="K1564">
            <v>373</v>
          </cell>
          <cell r="L1564">
            <v>126</v>
          </cell>
          <cell r="M1564">
            <v>45.4</v>
          </cell>
          <cell r="N1564">
            <v>2015</v>
          </cell>
          <cell r="O1564">
            <v>363</v>
          </cell>
          <cell r="P1564">
            <v>22.9</v>
          </cell>
        </row>
        <row r="1565">
          <cell r="B1565" t="str">
            <v>Saint Louis University</v>
          </cell>
          <cell r="C1565" t="str">
            <v>USA</v>
          </cell>
          <cell r="D1565">
            <v>129</v>
          </cell>
          <cell r="E1565">
            <v>367</v>
          </cell>
          <cell r="F1565">
            <v>261</v>
          </cell>
          <cell r="G1565">
            <v>202</v>
          </cell>
          <cell r="H1565">
            <v>458</v>
          </cell>
          <cell r="I1565">
            <v>293</v>
          </cell>
          <cell r="J1565">
            <v>428</v>
          </cell>
          <cell r="K1565">
            <v>330</v>
          </cell>
          <cell r="L1565">
            <v>286</v>
          </cell>
          <cell r="M1565">
            <v>45.39</v>
          </cell>
          <cell r="N1565">
            <v>2015</v>
          </cell>
          <cell r="O1565">
            <v>364</v>
          </cell>
          <cell r="P1565">
            <v>36.9</v>
          </cell>
        </row>
        <row r="1566">
          <cell r="B1566" t="str">
            <v>Colorado School of Mines</v>
          </cell>
          <cell r="C1566" t="str">
            <v>USA</v>
          </cell>
          <cell r="D1566">
            <v>130</v>
          </cell>
          <cell r="E1566">
            <v>367</v>
          </cell>
          <cell r="F1566">
            <v>81</v>
          </cell>
          <cell r="G1566">
            <v>218</v>
          </cell>
          <cell r="H1566">
            <v>668</v>
          </cell>
          <cell r="I1566">
            <v>601</v>
          </cell>
          <cell r="J1566">
            <v>321</v>
          </cell>
          <cell r="K1566">
            <v>565</v>
          </cell>
          <cell r="L1566">
            <v>690</v>
          </cell>
          <cell r="M1566">
            <v>45.39</v>
          </cell>
          <cell r="N1566">
            <v>2015</v>
          </cell>
          <cell r="O1566">
            <v>365</v>
          </cell>
          <cell r="P1566">
            <v>24.6</v>
          </cell>
        </row>
        <row r="1567">
          <cell r="B1567" t="str">
            <v>University of Eastern Finland</v>
          </cell>
          <cell r="C1567" t="str">
            <v>Finland</v>
          </cell>
          <cell r="D1567">
            <v>2</v>
          </cell>
          <cell r="E1567">
            <v>367</v>
          </cell>
          <cell r="F1567">
            <v>567</v>
          </cell>
          <cell r="G1567">
            <v>218</v>
          </cell>
          <cell r="H1567">
            <v>374</v>
          </cell>
          <cell r="I1567">
            <v>388</v>
          </cell>
          <cell r="J1567">
            <v>321</v>
          </cell>
          <cell r="K1567">
            <v>300</v>
          </cell>
          <cell r="L1567">
            <v>861</v>
          </cell>
          <cell r="M1567">
            <v>45.37</v>
          </cell>
          <cell r="N1567">
            <v>2015</v>
          </cell>
          <cell r="O1567">
            <v>366</v>
          </cell>
          <cell r="P1567">
            <v>23.2</v>
          </cell>
        </row>
        <row r="1568">
          <cell r="B1568" t="str">
            <v>University of Buenos Aires</v>
          </cell>
          <cell r="C1568" t="str">
            <v>Argentina</v>
          </cell>
          <cell r="D1568">
            <v>1</v>
          </cell>
          <cell r="E1568">
            <v>126</v>
          </cell>
          <cell r="F1568">
            <v>500</v>
          </cell>
          <cell r="G1568">
            <v>180</v>
          </cell>
          <cell r="H1568">
            <v>276</v>
          </cell>
          <cell r="I1568">
            <v>350</v>
          </cell>
          <cell r="J1568">
            <v>321</v>
          </cell>
          <cell r="K1568">
            <v>344</v>
          </cell>
          <cell r="L1568">
            <v>871</v>
          </cell>
          <cell r="M1568">
            <v>45.37</v>
          </cell>
          <cell r="N1568">
            <v>2015</v>
          </cell>
          <cell r="O1568">
            <v>367</v>
          </cell>
          <cell r="P1568" t="e">
            <v>#N/A</v>
          </cell>
        </row>
        <row r="1569">
          <cell r="B1569" t="str">
            <v>University of Guelph</v>
          </cell>
          <cell r="C1569" t="str">
            <v>Canada</v>
          </cell>
          <cell r="D1569">
            <v>18</v>
          </cell>
          <cell r="E1569">
            <v>367</v>
          </cell>
          <cell r="F1569">
            <v>483</v>
          </cell>
          <cell r="G1569">
            <v>218</v>
          </cell>
          <cell r="H1569">
            <v>325</v>
          </cell>
          <cell r="I1569">
            <v>277</v>
          </cell>
          <cell r="J1569">
            <v>146</v>
          </cell>
          <cell r="K1569">
            <v>344</v>
          </cell>
          <cell r="L1569">
            <v>445</v>
          </cell>
          <cell r="M1569">
            <v>45.36</v>
          </cell>
          <cell r="N1569">
            <v>2015</v>
          </cell>
          <cell r="O1569">
            <v>368</v>
          </cell>
          <cell r="P1569">
            <v>24.2</v>
          </cell>
        </row>
        <row r="1570">
          <cell r="B1570" t="str">
            <v>University of Ferrara</v>
          </cell>
          <cell r="C1570" t="str">
            <v>Italy</v>
          </cell>
          <cell r="D1570">
            <v>15</v>
          </cell>
          <cell r="E1570">
            <v>367</v>
          </cell>
          <cell r="F1570">
            <v>567</v>
          </cell>
          <cell r="G1570">
            <v>218</v>
          </cell>
          <cell r="H1570">
            <v>416</v>
          </cell>
          <cell r="I1570">
            <v>392</v>
          </cell>
          <cell r="J1570">
            <v>287</v>
          </cell>
          <cell r="K1570">
            <v>300</v>
          </cell>
          <cell r="L1570">
            <v>656</v>
          </cell>
          <cell r="M1570">
            <v>45.36</v>
          </cell>
          <cell r="N1570">
            <v>2015</v>
          </cell>
          <cell r="O1570">
            <v>369</v>
          </cell>
          <cell r="P1570">
            <v>15.8</v>
          </cell>
        </row>
        <row r="1571">
          <cell r="B1571" t="str">
            <v>Polytechnic University of Catalonia</v>
          </cell>
          <cell r="C1571" t="str">
            <v>Spain</v>
          </cell>
          <cell r="D1571">
            <v>8</v>
          </cell>
          <cell r="E1571">
            <v>367</v>
          </cell>
          <cell r="F1571">
            <v>330</v>
          </cell>
          <cell r="G1571">
            <v>218</v>
          </cell>
          <cell r="H1571">
            <v>371</v>
          </cell>
          <cell r="I1571">
            <v>576</v>
          </cell>
          <cell r="J1571">
            <v>368</v>
          </cell>
          <cell r="K1571">
            <v>540</v>
          </cell>
          <cell r="L1571">
            <v>85</v>
          </cell>
          <cell r="M1571">
            <v>45.36</v>
          </cell>
          <cell r="N1571">
            <v>2015</v>
          </cell>
          <cell r="O1571">
            <v>370</v>
          </cell>
          <cell r="P1571">
            <v>23</v>
          </cell>
        </row>
        <row r="1572">
          <cell r="B1572" t="str">
            <v>Versailles Saint-Quentin-en-Yvelines University</v>
          </cell>
          <cell r="C1572" t="str">
            <v>France</v>
          </cell>
          <cell r="D1572">
            <v>15</v>
          </cell>
          <cell r="E1572">
            <v>367</v>
          </cell>
          <cell r="F1572">
            <v>567</v>
          </cell>
          <cell r="G1572">
            <v>218</v>
          </cell>
          <cell r="H1572">
            <v>443</v>
          </cell>
          <cell r="I1572">
            <v>232</v>
          </cell>
          <cell r="J1572">
            <v>264</v>
          </cell>
          <cell r="K1572">
            <v>308</v>
          </cell>
          <cell r="L1572">
            <v>839</v>
          </cell>
          <cell r="M1572">
            <v>45.36</v>
          </cell>
          <cell r="N1572">
            <v>2015</v>
          </cell>
          <cell r="O1572">
            <v>371</v>
          </cell>
          <cell r="P1572" t="e">
            <v>#N/A</v>
          </cell>
        </row>
        <row r="1573">
          <cell r="B1573" t="str">
            <v>Saarland University</v>
          </cell>
          <cell r="C1573" t="str">
            <v>Germany</v>
          </cell>
          <cell r="D1573">
            <v>33</v>
          </cell>
          <cell r="E1573">
            <v>367</v>
          </cell>
          <cell r="F1573">
            <v>375</v>
          </cell>
          <cell r="G1573">
            <v>218</v>
          </cell>
          <cell r="H1573">
            <v>392</v>
          </cell>
          <cell r="I1573">
            <v>434</v>
          </cell>
          <cell r="J1573">
            <v>428</v>
          </cell>
          <cell r="K1573">
            <v>318</v>
          </cell>
          <cell r="L1573">
            <v>367</v>
          </cell>
          <cell r="M1573">
            <v>45.33</v>
          </cell>
          <cell r="N1573">
            <v>2015</v>
          </cell>
          <cell r="O1573">
            <v>372</v>
          </cell>
          <cell r="P1573" t="e">
            <v>#N/A</v>
          </cell>
        </row>
        <row r="1574">
          <cell r="B1574" t="str">
            <v>City University of Hong Kong</v>
          </cell>
          <cell r="C1574" t="str">
            <v>Hong Kong</v>
          </cell>
          <cell r="D1574">
            <v>5</v>
          </cell>
          <cell r="E1574">
            <v>367</v>
          </cell>
          <cell r="F1574">
            <v>567</v>
          </cell>
          <cell r="G1574">
            <v>218</v>
          </cell>
          <cell r="H1574">
            <v>252</v>
          </cell>
          <cell r="I1574">
            <v>874</v>
          </cell>
          <cell r="J1574">
            <v>511</v>
          </cell>
          <cell r="K1574">
            <v>339</v>
          </cell>
          <cell r="L1574">
            <v>387</v>
          </cell>
          <cell r="M1574">
            <v>45.33</v>
          </cell>
          <cell r="N1574">
            <v>2015</v>
          </cell>
          <cell r="O1574">
            <v>373</v>
          </cell>
          <cell r="P1574">
            <v>30.2</v>
          </cell>
        </row>
        <row r="1575">
          <cell r="B1575" t="str">
            <v>Darmstadt University of Technology</v>
          </cell>
          <cell r="C1575" t="str">
            <v>Germany</v>
          </cell>
          <cell r="D1575">
            <v>34</v>
          </cell>
          <cell r="E1575">
            <v>66</v>
          </cell>
          <cell r="F1575">
            <v>344</v>
          </cell>
          <cell r="G1575">
            <v>218</v>
          </cell>
          <cell r="H1575">
            <v>376</v>
          </cell>
          <cell r="I1575">
            <v>457</v>
          </cell>
          <cell r="J1575">
            <v>368</v>
          </cell>
          <cell r="K1575">
            <v>413</v>
          </cell>
          <cell r="L1575">
            <v>330</v>
          </cell>
          <cell r="M1575">
            <v>45.32</v>
          </cell>
          <cell r="N1575">
            <v>2015</v>
          </cell>
          <cell r="O1575">
            <v>374</v>
          </cell>
          <cell r="P1575" t="e">
            <v>#N/A</v>
          </cell>
        </row>
        <row r="1576">
          <cell r="B1576" t="str">
            <v>Pompeu Fabra University</v>
          </cell>
          <cell r="C1576" t="str">
            <v>Spain</v>
          </cell>
          <cell r="D1576">
            <v>9</v>
          </cell>
          <cell r="E1576">
            <v>367</v>
          </cell>
          <cell r="F1576">
            <v>567</v>
          </cell>
          <cell r="G1576">
            <v>218</v>
          </cell>
          <cell r="H1576">
            <v>397</v>
          </cell>
          <cell r="I1576">
            <v>164</v>
          </cell>
          <cell r="J1576">
            <v>428</v>
          </cell>
          <cell r="K1576">
            <v>318</v>
          </cell>
          <cell r="L1576">
            <v>604</v>
          </cell>
          <cell r="M1576">
            <v>45.31</v>
          </cell>
          <cell r="N1576">
            <v>2015</v>
          </cell>
          <cell r="O1576">
            <v>375</v>
          </cell>
          <cell r="P1576">
            <v>35</v>
          </cell>
        </row>
        <row r="1577">
          <cell r="B1577" t="str">
            <v>Pontifical Catholic University of Chile</v>
          </cell>
          <cell r="C1577" t="str">
            <v>Chile</v>
          </cell>
          <cell r="D1577">
            <v>1</v>
          </cell>
          <cell r="E1577">
            <v>343</v>
          </cell>
          <cell r="F1577">
            <v>139</v>
          </cell>
          <cell r="G1577">
            <v>218</v>
          </cell>
          <cell r="H1577">
            <v>446</v>
          </cell>
          <cell r="I1577">
            <v>310</v>
          </cell>
          <cell r="J1577">
            <v>645</v>
          </cell>
          <cell r="K1577">
            <v>388</v>
          </cell>
          <cell r="L1577">
            <v>396</v>
          </cell>
          <cell r="M1577">
            <v>45.31</v>
          </cell>
          <cell r="N1577">
            <v>2015</v>
          </cell>
          <cell r="O1577">
            <v>376</v>
          </cell>
          <cell r="P1577">
            <v>17.100000000000001</v>
          </cell>
        </row>
        <row r="1578">
          <cell r="B1578" t="str">
            <v>University of Bari Aldo Moro</v>
          </cell>
          <cell r="C1578" t="str">
            <v>Italy</v>
          </cell>
          <cell r="D1578">
            <v>16</v>
          </cell>
          <cell r="E1578">
            <v>367</v>
          </cell>
          <cell r="F1578">
            <v>567</v>
          </cell>
          <cell r="G1578">
            <v>218</v>
          </cell>
          <cell r="H1578">
            <v>352</v>
          </cell>
          <cell r="I1578">
            <v>322</v>
          </cell>
          <cell r="J1578">
            <v>511</v>
          </cell>
          <cell r="K1578">
            <v>313</v>
          </cell>
          <cell r="L1578">
            <v>527</v>
          </cell>
          <cell r="M1578">
            <v>45.31</v>
          </cell>
          <cell r="N1578">
            <v>2015</v>
          </cell>
          <cell r="O1578">
            <v>377</v>
          </cell>
          <cell r="P1578">
            <v>23.1</v>
          </cell>
        </row>
        <row r="1579">
          <cell r="B1579" t="str">
            <v>University of Texas Medical Branch at Galveston</v>
          </cell>
          <cell r="C1579" t="str">
            <v>USA</v>
          </cell>
          <cell r="D1579">
            <v>131</v>
          </cell>
          <cell r="E1579">
            <v>367</v>
          </cell>
          <cell r="F1579">
            <v>567</v>
          </cell>
          <cell r="G1579">
            <v>218</v>
          </cell>
          <cell r="H1579">
            <v>401</v>
          </cell>
          <cell r="I1579">
            <v>311</v>
          </cell>
          <cell r="J1579">
            <v>321</v>
          </cell>
          <cell r="K1579">
            <v>324</v>
          </cell>
          <cell r="L1579">
            <v>333</v>
          </cell>
          <cell r="M1579">
            <v>45.3</v>
          </cell>
          <cell r="N1579">
            <v>2015</v>
          </cell>
          <cell r="O1579">
            <v>378</v>
          </cell>
          <cell r="P1579" t="e">
            <v>#N/A</v>
          </cell>
        </row>
        <row r="1580">
          <cell r="B1580" t="str">
            <v>University of Delhi</v>
          </cell>
          <cell r="C1580" t="str">
            <v>India</v>
          </cell>
          <cell r="D1580">
            <v>2</v>
          </cell>
          <cell r="E1580">
            <v>240</v>
          </cell>
          <cell r="F1580">
            <v>72</v>
          </cell>
          <cell r="G1580">
            <v>218</v>
          </cell>
          <cell r="H1580">
            <v>703</v>
          </cell>
          <cell r="I1580">
            <v>763</v>
          </cell>
          <cell r="J1580">
            <v>812</v>
          </cell>
          <cell r="K1580">
            <v>796</v>
          </cell>
          <cell r="L1580">
            <v>797</v>
          </cell>
          <cell r="M1580">
            <v>45.3</v>
          </cell>
          <cell r="N1580">
            <v>2015</v>
          </cell>
          <cell r="O1580">
            <v>379</v>
          </cell>
          <cell r="P1580">
            <v>29.8</v>
          </cell>
        </row>
        <row r="1581">
          <cell r="B1581" t="str">
            <v>Washington State University, Pullman</v>
          </cell>
          <cell r="C1581" t="str">
            <v>USA</v>
          </cell>
          <cell r="D1581">
            <v>132</v>
          </cell>
          <cell r="E1581">
            <v>367</v>
          </cell>
          <cell r="F1581">
            <v>301</v>
          </cell>
          <cell r="G1581">
            <v>131</v>
          </cell>
          <cell r="H1581">
            <v>334</v>
          </cell>
          <cell r="I1581">
            <v>234</v>
          </cell>
          <cell r="J1581">
            <v>428</v>
          </cell>
          <cell r="K1581">
            <v>362</v>
          </cell>
          <cell r="L1581">
            <v>298</v>
          </cell>
          <cell r="M1581">
            <v>45.29</v>
          </cell>
          <cell r="N1581">
            <v>2015</v>
          </cell>
          <cell r="O1581">
            <v>380</v>
          </cell>
          <cell r="P1581" t="e">
            <v>#N/A</v>
          </cell>
        </row>
        <row r="1582">
          <cell r="B1582" t="str">
            <v>Temple University</v>
          </cell>
          <cell r="C1582" t="str">
            <v>USA</v>
          </cell>
          <cell r="D1582">
            <v>133</v>
          </cell>
          <cell r="E1582">
            <v>272</v>
          </cell>
          <cell r="F1582">
            <v>553</v>
          </cell>
          <cell r="G1582">
            <v>218</v>
          </cell>
          <cell r="H1582">
            <v>326</v>
          </cell>
          <cell r="I1582">
            <v>349</v>
          </cell>
          <cell r="J1582">
            <v>511</v>
          </cell>
          <cell r="K1582">
            <v>349</v>
          </cell>
          <cell r="L1582">
            <v>211</v>
          </cell>
          <cell r="M1582">
            <v>45.29</v>
          </cell>
          <cell r="N1582">
            <v>2015</v>
          </cell>
          <cell r="O1582">
            <v>381</v>
          </cell>
          <cell r="P1582">
            <v>37.200000000000003</v>
          </cell>
        </row>
        <row r="1583">
          <cell r="B1583" t="str">
            <v>University of Milan - Bicocca</v>
          </cell>
          <cell r="C1583" t="str">
            <v>Italy</v>
          </cell>
          <cell r="D1583">
            <v>17</v>
          </cell>
          <cell r="E1583">
            <v>367</v>
          </cell>
          <cell r="F1583">
            <v>567</v>
          </cell>
          <cell r="G1583">
            <v>218</v>
          </cell>
          <cell r="H1583">
            <v>390</v>
          </cell>
          <cell r="I1583">
            <v>305</v>
          </cell>
          <cell r="J1583">
            <v>287</v>
          </cell>
          <cell r="K1583">
            <v>324</v>
          </cell>
          <cell r="L1583">
            <v>468</v>
          </cell>
          <cell r="M1583">
            <v>45.28</v>
          </cell>
          <cell r="N1583">
            <v>2015</v>
          </cell>
          <cell r="O1583">
            <v>382</v>
          </cell>
          <cell r="P1583" t="e">
            <v>#N/A</v>
          </cell>
        </row>
        <row r="1584">
          <cell r="B1584" t="str">
            <v>University of Turku</v>
          </cell>
          <cell r="C1584" t="str">
            <v>Finland</v>
          </cell>
          <cell r="D1584">
            <v>3</v>
          </cell>
          <cell r="E1584">
            <v>367</v>
          </cell>
          <cell r="F1584">
            <v>531</v>
          </cell>
          <cell r="G1584">
            <v>218</v>
          </cell>
          <cell r="H1584">
            <v>320</v>
          </cell>
          <cell r="I1584">
            <v>319</v>
          </cell>
          <cell r="J1584">
            <v>812</v>
          </cell>
          <cell r="K1584">
            <v>330</v>
          </cell>
          <cell r="L1584">
            <v>568</v>
          </cell>
          <cell r="M1584">
            <v>45.27</v>
          </cell>
          <cell r="N1584">
            <v>2015</v>
          </cell>
          <cell r="O1584">
            <v>383</v>
          </cell>
          <cell r="P1584">
            <v>20.399999999999999</v>
          </cell>
        </row>
        <row r="1585">
          <cell r="B1585" t="str">
            <v>Chonnam National University</v>
          </cell>
          <cell r="C1585" t="str">
            <v>South Korea</v>
          </cell>
          <cell r="D1585">
            <v>10</v>
          </cell>
          <cell r="E1585">
            <v>367</v>
          </cell>
          <cell r="F1585">
            <v>547</v>
          </cell>
          <cell r="G1585">
            <v>218</v>
          </cell>
          <cell r="H1585">
            <v>405</v>
          </cell>
          <cell r="I1585">
            <v>589</v>
          </cell>
          <cell r="J1585">
            <v>511</v>
          </cell>
          <cell r="K1585">
            <v>437</v>
          </cell>
          <cell r="L1585">
            <v>109</v>
          </cell>
          <cell r="M1585">
            <v>45.27</v>
          </cell>
          <cell r="N1585">
            <v>2015</v>
          </cell>
          <cell r="O1585">
            <v>384</v>
          </cell>
          <cell r="P1585">
            <v>17.5</v>
          </cell>
        </row>
        <row r="1586">
          <cell r="B1586" t="str">
            <v>University of Lorraine</v>
          </cell>
          <cell r="C1586" t="str">
            <v>France</v>
          </cell>
          <cell r="D1586">
            <v>16</v>
          </cell>
          <cell r="E1586">
            <v>216</v>
          </cell>
          <cell r="F1586">
            <v>213</v>
          </cell>
          <cell r="G1586">
            <v>190</v>
          </cell>
          <cell r="H1586">
            <v>311</v>
          </cell>
          <cell r="I1586">
            <v>342</v>
          </cell>
          <cell r="J1586">
            <v>321</v>
          </cell>
          <cell r="K1586">
            <v>437</v>
          </cell>
          <cell r="L1586">
            <v>208</v>
          </cell>
          <cell r="M1586">
            <v>45.25</v>
          </cell>
          <cell r="N1586">
            <v>2015</v>
          </cell>
          <cell r="O1586">
            <v>385</v>
          </cell>
          <cell r="P1586" t="e">
            <v>#N/A</v>
          </cell>
        </row>
        <row r="1587">
          <cell r="B1587" t="str">
            <v>National Chiao Tung University</v>
          </cell>
          <cell r="C1587" t="str">
            <v>Taiwan</v>
          </cell>
          <cell r="D1587">
            <v>3</v>
          </cell>
          <cell r="E1587">
            <v>367</v>
          </cell>
          <cell r="F1587">
            <v>206</v>
          </cell>
          <cell r="G1587">
            <v>218</v>
          </cell>
          <cell r="H1587">
            <v>240</v>
          </cell>
          <cell r="I1587">
            <v>651</v>
          </cell>
          <cell r="J1587">
            <v>428</v>
          </cell>
          <cell r="K1587">
            <v>413</v>
          </cell>
          <cell r="L1587">
            <v>871</v>
          </cell>
          <cell r="M1587">
            <v>45.24</v>
          </cell>
          <cell r="N1587">
            <v>2015</v>
          </cell>
          <cell r="O1587">
            <v>386</v>
          </cell>
          <cell r="P1587">
            <v>53.2</v>
          </cell>
        </row>
        <row r="1588">
          <cell r="B1588" t="str">
            <v>Catholic University of the Sacred Heart</v>
          </cell>
          <cell r="C1588" t="str">
            <v>Italy</v>
          </cell>
          <cell r="D1588">
            <v>18</v>
          </cell>
          <cell r="E1588">
            <v>367</v>
          </cell>
          <cell r="F1588">
            <v>555</v>
          </cell>
          <cell r="G1588">
            <v>218</v>
          </cell>
          <cell r="H1588">
            <v>424</v>
          </cell>
          <cell r="I1588">
            <v>482</v>
          </cell>
          <cell r="J1588">
            <v>321</v>
          </cell>
          <cell r="K1588">
            <v>324</v>
          </cell>
          <cell r="L1588">
            <v>770</v>
          </cell>
          <cell r="M1588">
            <v>45.22</v>
          </cell>
          <cell r="N1588">
            <v>2015</v>
          </cell>
          <cell r="O1588">
            <v>387</v>
          </cell>
          <cell r="P1588">
            <v>18.600000000000001</v>
          </cell>
        </row>
        <row r="1589">
          <cell r="B1589" t="str">
            <v>University at Albany, SUNY</v>
          </cell>
          <cell r="C1589" t="str">
            <v>USA</v>
          </cell>
          <cell r="D1589">
            <v>134</v>
          </cell>
          <cell r="E1589">
            <v>180</v>
          </cell>
          <cell r="F1589">
            <v>567</v>
          </cell>
          <cell r="G1589">
            <v>165</v>
          </cell>
          <cell r="H1589">
            <v>411</v>
          </cell>
          <cell r="I1589">
            <v>374</v>
          </cell>
          <cell r="J1589">
            <v>212</v>
          </cell>
          <cell r="K1589">
            <v>353</v>
          </cell>
          <cell r="L1589">
            <v>531</v>
          </cell>
          <cell r="M1589">
            <v>45.22</v>
          </cell>
          <cell r="N1589">
            <v>2015</v>
          </cell>
          <cell r="O1589">
            <v>388</v>
          </cell>
          <cell r="P1589" t="e">
            <v>#N/A</v>
          </cell>
        </row>
        <row r="1590">
          <cell r="B1590" t="str">
            <v>Xi'an Jiaotong University</v>
          </cell>
          <cell r="C1590" t="str">
            <v>China</v>
          </cell>
          <cell r="D1590">
            <v>13</v>
          </cell>
          <cell r="E1590">
            <v>367</v>
          </cell>
          <cell r="F1590">
            <v>154</v>
          </cell>
          <cell r="G1590">
            <v>218</v>
          </cell>
          <cell r="H1590">
            <v>271</v>
          </cell>
          <cell r="I1590">
            <v>583</v>
          </cell>
          <cell r="J1590">
            <v>812</v>
          </cell>
          <cell r="K1590">
            <v>606</v>
          </cell>
          <cell r="L1590">
            <v>174</v>
          </cell>
          <cell r="M1590">
            <v>45.21</v>
          </cell>
          <cell r="N1590">
            <v>2015</v>
          </cell>
          <cell r="O1590">
            <v>389</v>
          </cell>
          <cell r="P1590" t="e">
            <v>#N/A</v>
          </cell>
        </row>
        <row r="1591">
          <cell r="B1591" t="str">
            <v>Ewha Womans University</v>
          </cell>
          <cell r="C1591" t="str">
            <v>South Korea</v>
          </cell>
          <cell r="D1591">
            <v>11</v>
          </cell>
          <cell r="E1591">
            <v>367</v>
          </cell>
          <cell r="F1591">
            <v>567</v>
          </cell>
          <cell r="G1591">
            <v>218</v>
          </cell>
          <cell r="H1591">
            <v>462</v>
          </cell>
          <cell r="I1591">
            <v>509</v>
          </cell>
          <cell r="J1591">
            <v>645</v>
          </cell>
          <cell r="K1591">
            <v>457</v>
          </cell>
          <cell r="L1591">
            <v>107</v>
          </cell>
          <cell r="M1591">
            <v>45.2</v>
          </cell>
          <cell r="N1591">
            <v>2015</v>
          </cell>
          <cell r="O1591">
            <v>390</v>
          </cell>
          <cell r="P1591">
            <v>23.5</v>
          </cell>
        </row>
        <row r="1592">
          <cell r="B1592" t="str">
            <v>Jilin University</v>
          </cell>
          <cell r="C1592" t="str">
            <v>China</v>
          </cell>
          <cell r="D1592">
            <v>14</v>
          </cell>
          <cell r="E1592">
            <v>220</v>
          </cell>
          <cell r="F1592">
            <v>338</v>
          </cell>
          <cell r="G1592">
            <v>218</v>
          </cell>
          <cell r="H1592">
            <v>239</v>
          </cell>
          <cell r="I1592">
            <v>452</v>
          </cell>
          <cell r="J1592">
            <v>645</v>
          </cell>
          <cell r="K1592">
            <v>375</v>
          </cell>
          <cell r="L1592">
            <v>551</v>
          </cell>
          <cell r="M1592">
            <v>45.2</v>
          </cell>
          <cell r="N1592">
            <v>2015</v>
          </cell>
          <cell r="O1592">
            <v>391</v>
          </cell>
          <cell r="P1592">
            <v>28.2</v>
          </cell>
        </row>
        <row r="1593">
          <cell r="B1593" t="str">
            <v>Tokyo Medical and Dental University</v>
          </cell>
          <cell r="C1593" t="str">
            <v>Japan</v>
          </cell>
          <cell r="D1593">
            <v>15</v>
          </cell>
          <cell r="E1593">
            <v>367</v>
          </cell>
          <cell r="F1593">
            <v>567</v>
          </cell>
          <cell r="G1593">
            <v>218</v>
          </cell>
          <cell r="H1593">
            <v>473</v>
          </cell>
          <cell r="I1593">
            <v>352</v>
          </cell>
          <cell r="J1593">
            <v>645</v>
          </cell>
          <cell r="K1593">
            <v>335</v>
          </cell>
          <cell r="L1593">
            <v>272</v>
          </cell>
          <cell r="M1593">
            <v>45.2</v>
          </cell>
          <cell r="N1593">
            <v>2015</v>
          </cell>
          <cell r="O1593">
            <v>392</v>
          </cell>
          <cell r="P1593" t="e">
            <v>#N/A</v>
          </cell>
        </row>
        <row r="1594">
          <cell r="B1594" t="str">
            <v>Scuola Normale Superiore di Pisa</v>
          </cell>
          <cell r="C1594" t="str">
            <v>Italy</v>
          </cell>
          <cell r="D1594">
            <v>19</v>
          </cell>
          <cell r="E1594">
            <v>263</v>
          </cell>
          <cell r="F1594">
            <v>567</v>
          </cell>
          <cell r="G1594">
            <v>61</v>
          </cell>
          <cell r="H1594">
            <v>548</v>
          </cell>
          <cell r="I1594">
            <v>526</v>
          </cell>
          <cell r="J1594">
            <v>321</v>
          </cell>
          <cell r="K1594">
            <v>503</v>
          </cell>
          <cell r="L1594">
            <v>871</v>
          </cell>
          <cell r="M1594">
            <v>45.2</v>
          </cell>
          <cell r="N1594">
            <v>2015</v>
          </cell>
          <cell r="O1594">
            <v>393</v>
          </cell>
          <cell r="P1594">
            <v>48.2</v>
          </cell>
        </row>
        <row r="1595">
          <cell r="B1595" t="str">
            <v>University of Central Florida</v>
          </cell>
          <cell r="C1595" t="str">
            <v>USA</v>
          </cell>
          <cell r="D1595">
            <v>135</v>
          </cell>
          <cell r="E1595">
            <v>367</v>
          </cell>
          <cell r="F1595">
            <v>501</v>
          </cell>
          <cell r="G1595">
            <v>218</v>
          </cell>
          <cell r="H1595">
            <v>381</v>
          </cell>
          <cell r="I1595">
            <v>386</v>
          </cell>
          <cell r="J1595">
            <v>511</v>
          </cell>
          <cell r="K1595">
            <v>381</v>
          </cell>
          <cell r="L1595">
            <v>159</v>
          </cell>
          <cell r="M1595">
            <v>45.18</v>
          </cell>
          <cell r="N1595">
            <v>2015</v>
          </cell>
          <cell r="O1595">
            <v>394</v>
          </cell>
          <cell r="P1595" t="e">
            <v>#N/A</v>
          </cell>
        </row>
        <row r="1596">
          <cell r="B1596" t="str">
            <v>Innsbruck Medical University</v>
          </cell>
          <cell r="C1596" t="str">
            <v>Austria</v>
          </cell>
          <cell r="D1596">
            <v>4</v>
          </cell>
          <cell r="E1596">
            <v>367</v>
          </cell>
          <cell r="F1596">
            <v>567</v>
          </cell>
          <cell r="G1596">
            <v>218</v>
          </cell>
          <cell r="H1596">
            <v>469</v>
          </cell>
          <cell r="I1596">
            <v>413</v>
          </cell>
          <cell r="J1596">
            <v>812</v>
          </cell>
          <cell r="K1596">
            <v>324</v>
          </cell>
          <cell r="L1596">
            <v>678</v>
          </cell>
          <cell r="M1596">
            <v>45.18</v>
          </cell>
          <cell r="N1596">
            <v>2015</v>
          </cell>
          <cell r="O1596">
            <v>395</v>
          </cell>
          <cell r="P1596" t="e">
            <v>#N/A</v>
          </cell>
        </row>
        <row r="1597">
          <cell r="B1597" t="str">
            <v>Beijing Normal University</v>
          </cell>
          <cell r="C1597" t="str">
            <v>China</v>
          </cell>
          <cell r="D1597">
            <v>15</v>
          </cell>
          <cell r="E1597">
            <v>57</v>
          </cell>
          <cell r="F1597">
            <v>567</v>
          </cell>
          <cell r="G1597">
            <v>218</v>
          </cell>
          <cell r="H1597">
            <v>363</v>
          </cell>
          <cell r="I1597">
            <v>492</v>
          </cell>
          <cell r="J1597">
            <v>428</v>
          </cell>
          <cell r="K1597">
            <v>480</v>
          </cell>
          <cell r="L1597">
            <v>755</v>
          </cell>
          <cell r="M1597">
            <v>45.17</v>
          </cell>
          <cell r="N1597">
            <v>2015</v>
          </cell>
          <cell r="O1597">
            <v>396</v>
          </cell>
          <cell r="P1597" t="e">
            <v>#N/A</v>
          </cell>
        </row>
        <row r="1598">
          <cell r="B1598" t="str">
            <v>Polytechnic University of Milan</v>
          </cell>
          <cell r="C1598" t="str">
            <v>Italy</v>
          </cell>
          <cell r="D1598">
            <v>20</v>
          </cell>
          <cell r="E1598">
            <v>103</v>
          </cell>
          <cell r="F1598">
            <v>181</v>
          </cell>
          <cell r="G1598">
            <v>191</v>
          </cell>
          <cell r="H1598">
            <v>358</v>
          </cell>
          <cell r="I1598">
            <v>510</v>
          </cell>
          <cell r="J1598">
            <v>428</v>
          </cell>
          <cell r="K1598">
            <v>503</v>
          </cell>
          <cell r="L1598">
            <v>292</v>
          </cell>
          <cell r="M1598">
            <v>45.17</v>
          </cell>
          <cell r="N1598">
            <v>2015</v>
          </cell>
          <cell r="O1598">
            <v>397</v>
          </cell>
          <cell r="P1598">
            <v>24.1</v>
          </cell>
        </row>
        <row r="1599">
          <cell r="B1599" t="str">
            <v>University of Seville</v>
          </cell>
          <cell r="C1599" t="str">
            <v>Spain</v>
          </cell>
          <cell r="D1599">
            <v>10</v>
          </cell>
          <cell r="E1599">
            <v>367</v>
          </cell>
          <cell r="F1599">
            <v>564</v>
          </cell>
          <cell r="G1599">
            <v>218</v>
          </cell>
          <cell r="H1599">
            <v>339</v>
          </cell>
          <cell r="I1599">
            <v>516</v>
          </cell>
          <cell r="J1599">
            <v>428</v>
          </cell>
          <cell r="K1599">
            <v>529</v>
          </cell>
          <cell r="L1599">
            <v>104</v>
          </cell>
          <cell r="M1599">
            <v>45.17</v>
          </cell>
          <cell r="N1599">
            <v>2015</v>
          </cell>
          <cell r="O1599">
            <v>398</v>
          </cell>
          <cell r="P1599">
            <v>21.5</v>
          </cell>
        </row>
        <row r="1600">
          <cell r="B1600" t="str">
            <v>University of Nebraska Medical Center</v>
          </cell>
          <cell r="C1600" t="str">
            <v>USA</v>
          </cell>
          <cell r="D1600">
            <v>136</v>
          </cell>
          <cell r="E1600">
            <v>367</v>
          </cell>
          <cell r="F1600">
            <v>567</v>
          </cell>
          <cell r="G1600">
            <v>218</v>
          </cell>
          <cell r="H1600">
            <v>463</v>
          </cell>
          <cell r="I1600">
            <v>399</v>
          </cell>
          <cell r="J1600">
            <v>368</v>
          </cell>
          <cell r="K1600">
            <v>344</v>
          </cell>
          <cell r="L1600">
            <v>253</v>
          </cell>
          <cell r="M1600">
            <v>45.16</v>
          </cell>
          <cell r="N1600">
            <v>2015</v>
          </cell>
          <cell r="O1600">
            <v>399</v>
          </cell>
          <cell r="P1600">
            <v>36.4</v>
          </cell>
        </row>
        <row r="1601">
          <cell r="B1601" t="str">
            <v>Huazhong University of Science and Technology</v>
          </cell>
          <cell r="C1601" t="str">
            <v>China</v>
          </cell>
          <cell r="D1601">
            <v>16</v>
          </cell>
          <cell r="E1601">
            <v>367</v>
          </cell>
          <cell r="F1601">
            <v>282</v>
          </cell>
          <cell r="G1601">
            <v>218</v>
          </cell>
          <cell r="H1601">
            <v>219</v>
          </cell>
          <cell r="I1601">
            <v>626</v>
          </cell>
          <cell r="J1601">
            <v>645</v>
          </cell>
          <cell r="K1601">
            <v>480</v>
          </cell>
          <cell r="L1601">
            <v>242</v>
          </cell>
          <cell r="M1601">
            <v>45.16</v>
          </cell>
          <cell r="N1601">
            <v>2015</v>
          </cell>
          <cell r="O1601">
            <v>400</v>
          </cell>
          <cell r="P1601">
            <v>29.3</v>
          </cell>
        </row>
        <row r="1602">
          <cell r="B1602" t="str">
            <v>Kyung Hee University</v>
          </cell>
          <cell r="C1602" t="str">
            <v>South Korea</v>
          </cell>
          <cell r="D1602">
            <v>12</v>
          </cell>
          <cell r="E1602">
            <v>245</v>
          </cell>
          <cell r="F1602">
            <v>495</v>
          </cell>
          <cell r="G1602">
            <v>218</v>
          </cell>
          <cell r="H1602">
            <v>380</v>
          </cell>
          <cell r="I1602">
            <v>584</v>
          </cell>
          <cell r="J1602">
            <v>645</v>
          </cell>
          <cell r="K1602">
            <v>558</v>
          </cell>
          <cell r="L1602">
            <v>95</v>
          </cell>
          <cell r="M1602">
            <v>45.16</v>
          </cell>
          <cell r="N1602">
            <v>2015</v>
          </cell>
          <cell r="O1602">
            <v>401</v>
          </cell>
          <cell r="P1602">
            <v>37.1</v>
          </cell>
        </row>
        <row r="1603">
          <cell r="B1603" t="str">
            <v>Chalmers University of Technology</v>
          </cell>
          <cell r="C1603" t="str">
            <v>Sweden</v>
          </cell>
          <cell r="D1603">
            <v>9</v>
          </cell>
          <cell r="E1603">
            <v>361</v>
          </cell>
          <cell r="F1603">
            <v>311</v>
          </cell>
          <cell r="G1603">
            <v>218</v>
          </cell>
          <cell r="H1603">
            <v>367</v>
          </cell>
          <cell r="I1603">
            <v>426</v>
          </cell>
          <cell r="J1603">
            <v>428</v>
          </cell>
          <cell r="K1603">
            <v>349</v>
          </cell>
          <cell r="L1603">
            <v>871</v>
          </cell>
          <cell r="M1603">
            <v>45.16</v>
          </cell>
          <cell r="N1603">
            <v>2015</v>
          </cell>
          <cell r="O1603">
            <v>402</v>
          </cell>
          <cell r="P1603">
            <v>25.9</v>
          </cell>
        </row>
        <row r="1604">
          <cell r="B1604" t="str">
            <v>Brigham Young University</v>
          </cell>
          <cell r="C1604" t="str">
            <v>USA</v>
          </cell>
          <cell r="D1604">
            <v>137</v>
          </cell>
          <cell r="E1604">
            <v>298</v>
          </cell>
          <cell r="F1604">
            <v>361</v>
          </cell>
          <cell r="G1604">
            <v>218</v>
          </cell>
          <cell r="H1604">
            <v>498</v>
          </cell>
          <cell r="I1604">
            <v>424</v>
          </cell>
          <cell r="J1604">
            <v>287</v>
          </cell>
          <cell r="K1604">
            <v>424</v>
          </cell>
          <cell r="L1604">
            <v>134</v>
          </cell>
          <cell r="M1604">
            <v>45.15</v>
          </cell>
          <cell r="N1604">
            <v>2015</v>
          </cell>
          <cell r="O1604">
            <v>403</v>
          </cell>
          <cell r="P1604" t="e">
            <v>#N/A</v>
          </cell>
        </row>
        <row r="1605">
          <cell r="B1605" t="str">
            <v>University of Campinas</v>
          </cell>
          <cell r="C1605" t="str">
            <v>Brazil</v>
          </cell>
          <cell r="D1605">
            <v>3</v>
          </cell>
          <cell r="E1605">
            <v>367</v>
          </cell>
          <cell r="F1605">
            <v>567</v>
          </cell>
          <cell r="G1605">
            <v>218</v>
          </cell>
          <cell r="H1605">
            <v>295</v>
          </cell>
          <cell r="I1605">
            <v>575</v>
          </cell>
          <cell r="J1605">
            <v>511</v>
          </cell>
          <cell r="K1605">
            <v>388</v>
          </cell>
          <cell r="L1605">
            <v>197</v>
          </cell>
          <cell r="M1605">
            <v>45.14</v>
          </cell>
          <cell r="N1605">
            <v>2015</v>
          </cell>
          <cell r="O1605">
            <v>404</v>
          </cell>
          <cell r="P1605" t="e">
            <v>#N/A</v>
          </cell>
        </row>
        <row r="1606">
          <cell r="B1606" t="str">
            <v>University of Bath</v>
          </cell>
          <cell r="C1606" t="str">
            <v>United Kingdom</v>
          </cell>
          <cell r="D1606">
            <v>34</v>
          </cell>
          <cell r="E1606">
            <v>367</v>
          </cell>
          <cell r="F1606">
            <v>368</v>
          </cell>
          <cell r="G1606">
            <v>218</v>
          </cell>
          <cell r="H1606">
            <v>388</v>
          </cell>
          <cell r="I1606">
            <v>378</v>
          </cell>
          <cell r="J1606">
            <v>287</v>
          </cell>
          <cell r="K1606">
            <v>353</v>
          </cell>
          <cell r="L1606">
            <v>478</v>
          </cell>
          <cell r="M1606">
            <v>45.14</v>
          </cell>
          <cell r="N1606">
            <v>2015</v>
          </cell>
          <cell r="O1606">
            <v>405</v>
          </cell>
          <cell r="P1606">
            <v>25.2</v>
          </cell>
        </row>
        <row r="1607">
          <cell r="B1607" t="str">
            <v>Saint Petersburg State University</v>
          </cell>
          <cell r="C1607" t="str">
            <v>Russia</v>
          </cell>
          <cell r="D1607">
            <v>3</v>
          </cell>
          <cell r="E1607">
            <v>47</v>
          </cell>
          <cell r="F1607">
            <v>250</v>
          </cell>
          <cell r="G1607">
            <v>218</v>
          </cell>
          <cell r="H1607">
            <v>621</v>
          </cell>
          <cell r="I1607">
            <v>574</v>
          </cell>
          <cell r="J1607">
            <v>645</v>
          </cell>
          <cell r="K1607">
            <v>754</v>
          </cell>
          <cell r="L1607">
            <v>816</v>
          </cell>
          <cell r="M1607">
            <v>45.14</v>
          </cell>
          <cell r="N1607">
            <v>2015</v>
          </cell>
          <cell r="O1607">
            <v>406</v>
          </cell>
          <cell r="P1607">
            <v>37.6</v>
          </cell>
        </row>
        <row r="1608">
          <cell r="B1608" t="str">
            <v>National Tsing Hua University</v>
          </cell>
          <cell r="C1608" t="str">
            <v>Taiwan</v>
          </cell>
          <cell r="D1608">
            <v>4</v>
          </cell>
          <cell r="E1608">
            <v>262</v>
          </cell>
          <cell r="F1608">
            <v>520</v>
          </cell>
          <cell r="G1608">
            <v>218</v>
          </cell>
          <cell r="H1608">
            <v>238</v>
          </cell>
          <cell r="I1608">
            <v>425</v>
          </cell>
          <cell r="J1608">
            <v>428</v>
          </cell>
          <cell r="K1608">
            <v>375</v>
          </cell>
          <cell r="L1608">
            <v>731</v>
          </cell>
          <cell r="M1608">
            <v>45.14</v>
          </cell>
          <cell r="N1608">
            <v>2015</v>
          </cell>
          <cell r="O1608">
            <v>407</v>
          </cell>
          <cell r="P1608">
            <v>52.2</v>
          </cell>
        </row>
        <row r="1609">
          <cell r="B1609" t="str">
            <v>University of Twente</v>
          </cell>
          <cell r="C1609" t="str">
            <v>Netherlands</v>
          </cell>
          <cell r="D1609">
            <v>12</v>
          </cell>
          <cell r="E1609">
            <v>367</v>
          </cell>
          <cell r="F1609">
            <v>511</v>
          </cell>
          <cell r="G1609">
            <v>218</v>
          </cell>
          <cell r="H1609">
            <v>343</v>
          </cell>
          <cell r="I1609">
            <v>511</v>
          </cell>
          <cell r="J1609">
            <v>368</v>
          </cell>
          <cell r="K1609">
            <v>358</v>
          </cell>
          <cell r="L1609">
            <v>288</v>
          </cell>
          <cell r="M1609">
            <v>45.14</v>
          </cell>
          <cell r="N1609">
            <v>2015</v>
          </cell>
          <cell r="O1609">
            <v>408</v>
          </cell>
          <cell r="P1609">
            <v>49.9</v>
          </cell>
        </row>
        <row r="1610">
          <cell r="B1610" t="str">
            <v>University of Alabama - Tuscaloosa</v>
          </cell>
          <cell r="C1610" t="str">
            <v>USA</v>
          </cell>
          <cell r="D1610">
            <v>138</v>
          </cell>
          <cell r="E1610">
            <v>325</v>
          </cell>
          <cell r="F1610">
            <v>140</v>
          </cell>
          <cell r="G1610">
            <v>218</v>
          </cell>
          <cell r="H1610">
            <v>511</v>
          </cell>
          <cell r="I1610">
            <v>490</v>
          </cell>
          <cell r="J1610">
            <v>368</v>
          </cell>
          <cell r="K1610">
            <v>471</v>
          </cell>
          <cell r="L1610">
            <v>314</v>
          </cell>
          <cell r="M1610">
            <v>45.14</v>
          </cell>
          <cell r="N1610">
            <v>2015</v>
          </cell>
          <cell r="O1610">
            <v>409</v>
          </cell>
          <cell r="P1610" t="e">
            <v>#N/A</v>
          </cell>
        </row>
        <row r="1611">
          <cell r="B1611" t="str">
            <v>Harbin Institute of Technology</v>
          </cell>
          <cell r="C1611" t="str">
            <v>China</v>
          </cell>
          <cell r="D1611">
            <v>17</v>
          </cell>
          <cell r="E1611">
            <v>367</v>
          </cell>
          <cell r="F1611">
            <v>244</v>
          </cell>
          <cell r="G1611">
            <v>218</v>
          </cell>
          <cell r="H1611">
            <v>241</v>
          </cell>
          <cell r="I1611">
            <v>847</v>
          </cell>
          <cell r="J1611">
            <v>645</v>
          </cell>
          <cell r="K1611">
            <v>437</v>
          </cell>
          <cell r="L1611">
            <v>375</v>
          </cell>
          <cell r="M1611">
            <v>45.14</v>
          </cell>
          <cell r="N1611">
            <v>2015</v>
          </cell>
          <cell r="O1611">
            <v>410</v>
          </cell>
          <cell r="P1611">
            <v>29</v>
          </cell>
        </row>
        <row r="1612">
          <cell r="B1612" t="str">
            <v>University of Verona</v>
          </cell>
          <cell r="C1612" t="str">
            <v>Italy</v>
          </cell>
          <cell r="D1612">
            <v>21</v>
          </cell>
          <cell r="E1612">
            <v>367</v>
          </cell>
          <cell r="F1612">
            <v>567</v>
          </cell>
          <cell r="G1612">
            <v>218</v>
          </cell>
          <cell r="H1612">
            <v>508</v>
          </cell>
          <cell r="I1612">
            <v>464</v>
          </cell>
          <cell r="J1612">
            <v>212</v>
          </cell>
          <cell r="K1612">
            <v>341</v>
          </cell>
          <cell r="L1612">
            <v>736</v>
          </cell>
          <cell r="M1612">
            <v>45.13</v>
          </cell>
          <cell r="N1612">
            <v>2015</v>
          </cell>
          <cell r="O1612">
            <v>411</v>
          </cell>
          <cell r="P1612" t="e">
            <v>#N/A</v>
          </cell>
        </row>
        <row r="1613">
          <cell r="B1613" t="str">
            <v>Oklahoma State Universityâ€“Stillwater</v>
          </cell>
          <cell r="C1613" t="str">
            <v>USA</v>
          </cell>
          <cell r="D1613">
            <v>139</v>
          </cell>
          <cell r="E1613">
            <v>239</v>
          </cell>
          <cell r="F1613">
            <v>153</v>
          </cell>
          <cell r="G1613">
            <v>218</v>
          </cell>
          <cell r="H1613">
            <v>447</v>
          </cell>
          <cell r="I1613">
            <v>648</v>
          </cell>
          <cell r="J1613">
            <v>428</v>
          </cell>
          <cell r="K1613">
            <v>471</v>
          </cell>
          <cell r="L1613">
            <v>303</v>
          </cell>
          <cell r="M1613">
            <v>45.13</v>
          </cell>
          <cell r="N1613">
            <v>2015</v>
          </cell>
          <cell r="O1613">
            <v>412</v>
          </cell>
          <cell r="P1613" t="e">
            <v>#N/A</v>
          </cell>
        </row>
        <row r="1614">
          <cell r="B1614" t="str">
            <v>Shandong University</v>
          </cell>
          <cell r="C1614" t="str">
            <v>China</v>
          </cell>
          <cell r="D1614">
            <v>18</v>
          </cell>
          <cell r="E1614">
            <v>367</v>
          </cell>
          <cell r="F1614">
            <v>437</v>
          </cell>
          <cell r="G1614">
            <v>218</v>
          </cell>
          <cell r="H1614">
            <v>213</v>
          </cell>
          <cell r="I1614">
            <v>604</v>
          </cell>
          <cell r="J1614">
            <v>511</v>
          </cell>
          <cell r="K1614">
            <v>409</v>
          </cell>
          <cell r="L1614">
            <v>538</v>
          </cell>
          <cell r="M1614">
            <v>45.13</v>
          </cell>
          <cell r="N1614">
            <v>2015</v>
          </cell>
          <cell r="O1614">
            <v>413</v>
          </cell>
          <cell r="P1614" t="e">
            <v>#N/A</v>
          </cell>
        </row>
        <row r="1615">
          <cell r="B1615" t="str">
            <v>George Mason University</v>
          </cell>
          <cell r="C1615" t="str">
            <v>USA</v>
          </cell>
          <cell r="D1615">
            <v>140</v>
          </cell>
          <cell r="E1615">
            <v>367</v>
          </cell>
          <cell r="F1615">
            <v>567</v>
          </cell>
          <cell r="G1615">
            <v>98</v>
          </cell>
          <cell r="H1615">
            <v>450</v>
          </cell>
          <cell r="I1615">
            <v>371</v>
          </cell>
          <cell r="J1615">
            <v>264</v>
          </cell>
          <cell r="K1615">
            <v>388</v>
          </cell>
          <cell r="L1615">
            <v>526</v>
          </cell>
          <cell r="M1615">
            <v>45.13</v>
          </cell>
          <cell r="N1615">
            <v>2015</v>
          </cell>
          <cell r="O1615">
            <v>414</v>
          </cell>
          <cell r="P1615">
            <v>29.3</v>
          </cell>
        </row>
        <row r="1616">
          <cell r="B1616" t="str">
            <v>Wuhan University</v>
          </cell>
          <cell r="C1616" t="str">
            <v>China</v>
          </cell>
          <cell r="D1616">
            <v>19</v>
          </cell>
          <cell r="E1616">
            <v>367</v>
          </cell>
          <cell r="F1616">
            <v>258</v>
          </cell>
          <cell r="G1616">
            <v>218</v>
          </cell>
          <cell r="H1616">
            <v>274</v>
          </cell>
          <cell r="I1616">
            <v>612</v>
          </cell>
          <cell r="J1616">
            <v>645</v>
          </cell>
          <cell r="K1616">
            <v>396</v>
          </cell>
          <cell r="L1616">
            <v>576</v>
          </cell>
          <cell r="M1616">
            <v>45.13</v>
          </cell>
          <cell r="N1616">
            <v>2015</v>
          </cell>
          <cell r="O1616">
            <v>415</v>
          </cell>
          <cell r="P1616">
            <v>31.3</v>
          </cell>
        </row>
        <row r="1617">
          <cell r="B1617" t="str">
            <v>Swedish University of Agricultural Sciences</v>
          </cell>
          <cell r="C1617" t="str">
            <v>Sweden</v>
          </cell>
          <cell r="D1617">
            <v>10</v>
          </cell>
          <cell r="E1617">
            <v>146</v>
          </cell>
          <cell r="F1617">
            <v>567</v>
          </cell>
          <cell r="G1617">
            <v>218</v>
          </cell>
          <cell r="H1617">
            <v>393</v>
          </cell>
          <cell r="I1617">
            <v>268</v>
          </cell>
          <cell r="J1617">
            <v>428</v>
          </cell>
          <cell r="K1617">
            <v>353</v>
          </cell>
          <cell r="L1617">
            <v>871</v>
          </cell>
          <cell r="M1617">
            <v>45.12</v>
          </cell>
          <cell r="N1617">
            <v>2015</v>
          </cell>
          <cell r="O1617">
            <v>416</v>
          </cell>
          <cell r="P1617">
            <v>43.3</v>
          </cell>
        </row>
        <row r="1618">
          <cell r="B1618" t="str">
            <v>Concordia University</v>
          </cell>
          <cell r="C1618" t="str">
            <v>Canada</v>
          </cell>
          <cell r="D1618">
            <v>19</v>
          </cell>
          <cell r="E1618">
            <v>367</v>
          </cell>
          <cell r="F1618">
            <v>99</v>
          </cell>
          <cell r="G1618">
            <v>218</v>
          </cell>
          <cell r="H1618">
            <v>545</v>
          </cell>
          <cell r="I1618">
            <v>745</v>
          </cell>
          <cell r="J1618">
            <v>645</v>
          </cell>
          <cell r="K1618">
            <v>590</v>
          </cell>
          <cell r="L1618">
            <v>718</v>
          </cell>
          <cell r="M1618">
            <v>45.12</v>
          </cell>
          <cell r="N1618">
            <v>2015</v>
          </cell>
          <cell r="O1618">
            <v>417</v>
          </cell>
          <cell r="P1618">
            <v>19.3</v>
          </cell>
        </row>
        <row r="1619">
          <cell r="B1619" t="str">
            <v>Chiba University</v>
          </cell>
          <cell r="C1619" t="str">
            <v>Japan</v>
          </cell>
          <cell r="D1619">
            <v>16</v>
          </cell>
          <cell r="E1619">
            <v>367</v>
          </cell>
          <cell r="F1619">
            <v>567</v>
          </cell>
          <cell r="G1619">
            <v>218</v>
          </cell>
          <cell r="H1619">
            <v>361</v>
          </cell>
          <cell r="I1619">
            <v>343</v>
          </cell>
          <cell r="J1619">
            <v>368</v>
          </cell>
          <cell r="K1619">
            <v>362</v>
          </cell>
          <cell r="L1619">
            <v>267</v>
          </cell>
          <cell r="M1619">
            <v>45.11</v>
          </cell>
          <cell r="N1619">
            <v>2015</v>
          </cell>
          <cell r="O1619">
            <v>418</v>
          </cell>
          <cell r="P1619">
            <v>26.9</v>
          </cell>
        </row>
        <row r="1620">
          <cell r="B1620" t="str">
            <v>Kumamoto University</v>
          </cell>
          <cell r="C1620" t="str">
            <v>Japan</v>
          </cell>
          <cell r="D1620">
            <v>17</v>
          </cell>
          <cell r="E1620">
            <v>308</v>
          </cell>
          <cell r="F1620">
            <v>353</v>
          </cell>
          <cell r="G1620">
            <v>218</v>
          </cell>
          <cell r="H1620">
            <v>495</v>
          </cell>
          <cell r="I1620">
            <v>441</v>
          </cell>
          <cell r="J1620">
            <v>428</v>
          </cell>
          <cell r="K1620">
            <v>409</v>
          </cell>
          <cell r="L1620">
            <v>152</v>
          </cell>
          <cell r="M1620">
            <v>45.11</v>
          </cell>
          <cell r="N1620">
            <v>2015</v>
          </cell>
          <cell r="O1620">
            <v>419</v>
          </cell>
          <cell r="P1620">
            <v>23.4</v>
          </cell>
        </row>
        <row r="1621">
          <cell r="B1621" t="str">
            <v>Tongji University</v>
          </cell>
          <cell r="C1621" t="str">
            <v>China</v>
          </cell>
          <cell r="D1621">
            <v>20</v>
          </cell>
          <cell r="E1621">
            <v>153</v>
          </cell>
          <cell r="F1621">
            <v>115</v>
          </cell>
          <cell r="G1621">
            <v>218</v>
          </cell>
          <cell r="H1621">
            <v>346</v>
          </cell>
          <cell r="I1621">
            <v>480</v>
          </cell>
          <cell r="J1621">
            <v>645</v>
          </cell>
          <cell r="K1621">
            <v>671</v>
          </cell>
          <cell r="L1621">
            <v>373</v>
          </cell>
          <cell r="M1621">
            <v>45.1</v>
          </cell>
          <cell r="N1621">
            <v>2015</v>
          </cell>
          <cell r="O1621">
            <v>420</v>
          </cell>
          <cell r="P1621">
            <v>28.9</v>
          </cell>
        </row>
        <row r="1622">
          <cell r="B1622" t="str">
            <v>Aalto University</v>
          </cell>
          <cell r="C1622" t="str">
            <v>Finland</v>
          </cell>
          <cell r="D1622">
            <v>4</v>
          </cell>
          <cell r="E1622">
            <v>367</v>
          </cell>
          <cell r="F1622">
            <v>224</v>
          </cell>
          <cell r="G1622">
            <v>218</v>
          </cell>
          <cell r="H1622">
            <v>336</v>
          </cell>
          <cell r="I1622">
            <v>403</v>
          </cell>
          <cell r="J1622">
            <v>645</v>
          </cell>
          <cell r="K1622">
            <v>424</v>
          </cell>
          <cell r="L1622">
            <v>246</v>
          </cell>
          <cell r="M1622">
            <v>45.1</v>
          </cell>
          <cell r="N1622">
            <v>2015</v>
          </cell>
          <cell r="O1622">
            <v>421</v>
          </cell>
          <cell r="P1622">
            <v>26.2</v>
          </cell>
        </row>
        <row r="1623">
          <cell r="B1623" t="str">
            <v>Chonbuk National University</v>
          </cell>
          <cell r="C1623" t="str">
            <v>South Korea</v>
          </cell>
          <cell r="D1623">
            <v>13</v>
          </cell>
          <cell r="E1623">
            <v>367</v>
          </cell>
          <cell r="F1623">
            <v>567</v>
          </cell>
          <cell r="G1623">
            <v>218</v>
          </cell>
          <cell r="H1623">
            <v>507</v>
          </cell>
          <cell r="I1623">
            <v>774</v>
          </cell>
          <cell r="J1623">
            <v>812</v>
          </cell>
          <cell r="K1623">
            <v>646</v>
          </cell>
          <cell r="L1623">
            <v>83</v>
          </cell>
          <cell r="M1623">
            <v>45.09</v>
          </cell>
          <cell r="N1623">
            <v>2015</v>
          </cell>
          <cell r="O1623">
            <v>422</v>
          </cell>
          <cell r="P1623">
            <v>19.7</v>
          </cell>
        </row>
        <row r="1624">
          <cell r="B1624" t="str">
            <v>Peking Union Medical College</v>
          </cell>
          <cell r="C1624" t="str">
            <v>China</v>
          </cell>
          <cell r="D1624">
            <v>21</v>
          </cell>
          <cell r="E1624">
            <v>367</v>
          </cell>
          <cell r="F1624">
            <v>567</v>
          </cell>
          <cell r="G1624">
            <v>218</v>
          </cell>
          <cell r="H1624">
            <v>324</v>
          </cell>
          <cell r="I1624">
            <v>297</v>
          </cell>
          <cell r="J1624">
            <v>368</v>
          </cell>
          <cell r="K1624">
            <v>358</v>
          </cell>
          <cell r="L1624">
            <v>797</v>
          </cell>
          <cell r="M1624">
            <v>45.09</v>
          </cell>
          <cell r="N1624">
            <v>2015</v>
          </cell>
          <cell r="O1624">
            <v>423</v>
          </cell>
          <cell r="P1624" t="e">
            <v>#N/A</v>
          </cell>
        </row>
        <row r="1625">
          <cell r="B1625" t="str">
            <v>Georgia Regents University</v>
          </cell>
          <cell r="C1625" t="str">
            <v>USA</v>
          </cell>
          <cell r="D1625">
            <v>141</v>
          </cell>
          <cell r="E1625">
            <v>367</v>
          </cell>
          <cell r="F1625">
            <v>567</v>
          </cell>
          <cell r="G1625">
            <v>218</v>
          </cell>
          <cell r="H1625">
            <v>482</v>
          </cell>
          <cell r="I1625">
            <v>418</v>
          </cell>
          <cell r="J1625">
            <v>368</v>
          </cell>
          <cell r="K1625">
            <v>341</v>
          </cell>
          <cell r="L1625">
            <v>481</v>
          </cell>
          <cell r="M1625">
            <v>45.09</v>
          </cell>
          <cell r="N1625">
            <v>2015</v>
          </cell>
          <cell r="O1625">
            <v>424</v>
          </cell>
          <cell r="P1625" t="e">
            <v>#N/A</v>
          </cell>
        </row>
        <row r="1626">
          <cell r="B1626" t="str">
            <v>University of Chile</v>
          </cell>
          <cell r="C1626" t="str">
            <v>Chile</v>
          </cell>
          <cell r="D1626">
            <v>2</v>
          </cell>
          <cell r="E1626">
            <v>242</v>
          </cell>
          <cell r="F1626">
            <v>173</v>
          </cell>
          <cell r="G1626">
            <v>218</v>
          </cell>
          <cell r="H1626">
            <v>418</v>
          </cell>
          <cell r="I1626">
            <v>351</v>
          </cell>
          <cell r="J1626">
            <v>645</v>
          </cell>
          <cell r="K1626">
            <v>424</v>
          </cell>
          <cell r="L1626">
            <v>489</v>
          </cell>
          <cell r="M1626">
            <v>45.08</v>
          </cell>
          <cell r="N1626">
            <v>2015</v>
          </cell>
          <cell r="O1626">
            <v>425</v>
          </cell>
          <cell r="P1626">
            <v>28.3</v>
          </cell>
        </row>
        <row r="1627">
          <cell r="B1627" t="str">
            <v>Lancaster University</v>
          </cell>
          <cell r="C1627" t="str">
            <v>United Kingdom</v>
          </cell>
          <cell r="D1627">
            <v>35</v>
          </cell>
          <cell r="E1627">
            <v>367</v>
          </cell>
          <cell r="F1627">
            <v>360</v>
          </cell>
          <cell r="G1627">
            <v>218</v>
          </cell>
          <cell r="H1627">
            <v>364</v>
          </cell>
          <cell r="I1627">
            <v>398</v>
          </cell>
          <cell r="J1627">
            <v>234</v>
          </cell>
          <cell r="K1627">
            <v>369</v>
          </cell>
          <cell r="L1627">
            <v>673</v>
          </cell>
          <cell r="M1627">
            <v>45.08</v>
          </cell>
          <cell r="N1627">
            <v>2015</v>
          </cell>
          <cell r="O1627">
            <v>426</v>
          </cell>
          <cell r="P1627">
            <v>43.5</v>
          </cell>
        </row>
        <row r="1628">
          <cell r="B1628" t="str">
            <v>Vienna University of Technology</v>
          </cell>
          <cell r="C1628" t="str">
            <v>Austria</v>
          </cell>
          <cell r="D1628">
            <v>5</v>
          </cell>
          <cell r="E1628">
            <v>363</v>
          </cell>
          <cell r="F1628">
            <v>350</v>
          </cell>
          <cell r="G1628">
            <v>218</v>
          </cell>
          <cell r="H1628">
            <v>377</v>
          </cell>
          <cell r="I1628">
            <v>377</v>
          </cell>
          <cell r="J1628">
            <v>321</v>
          </cell>
          <cell r="K1628">
            <v>424</v>
          </cell>
          <cell r="L1628">
            <v>171</v>
          </cell>
          <cell r="M1628">
            <v>45.08</v>
          </cell>
          <cell r="N1628">
            <v>2015</v>
          </cell>
          <cell r="O1628">
            <v>427</v>
          </cell>
          <cell r="P1628">
            <v>26.3</v>
          </cell>
        </row>
        <row r="1629">
          <cell r="B1629" t="str">
            <v>University of Denver</v>
          </cell>
          <cell r="C1629" t="str">
            <v>USA</v>
          </cell>
          <cell r="D1629">
            <v>142</v>
          </cell>
          <cell r="E1629">
            <v>312</v>
          </cell>
          <cell r="F1629">
            <v>101</v>
          </cell>
          <cell r="G1629">
            <v>218</v>
          </cell>
          <cell r="H1629">
            <v>901</v>
          </cell>
          <cell r="I1629">
            <v>522</v>
          </cell>
          <cell r="J1629">
            <v>511</v>
          </cell>
          <cell r="K1629">
            <v>590</v>
          </cell>
          <cell r="L1629">
            <v>760</v>
          </cell>
          <cell r="M1629">
            <v>45.08</v>
          </cell>
          <cell r="N1629">
            <v>2015</v>
          </cell>
          <cell r="O1629">
            <v>428</v>
          </cell>
          <cell r="P1629" t="e">
            <v>#N/A</v>
          </cell>
        </row>
        <row r="1630">
          <cell r="B1630" t="str">
            <v>University of Arkansas for Medical Sciences</v>
          </cell>
          <cell r="C1630" t="str">
            <v>USA</v>
          </cell>
          <cell r="D1630">
            <v>143</v>
          </cell>
          <cell r="E1630">
            <v>367</v>
          </cell>
          <cell r="F1630">
            <v>567</v>
          </cell>
          <cell r="G1630">
            <v>218</v>
          </cell>
          <cell r="H1630">
            <v>501</v>
          </cell>
          <cell r="I1630">
            <v>565</v>
          </cell>
          <cell r="J1630">
            <v>812</v>
          </cell>
          <cell r="K1630">
            <v>344</v>
          </cell>
          <cell r="L1630">
            <v>340</v>
          </cell>
          <cell r="M1630">
            <v>45.08</v>
          </cell>
          <cell r="N1630">
            <v>2015</v>
          </cell>
          <cell r="O1630">
            <v>429</v>
          </cell>
          <cell r="P1630" t="e">
            <v>#N/A</v>
          </cell>
        </row>
        <row r="1631">
          <cell r="B1631" t="str">
            <v>Grenoble Institute of Technology</v>
          </cell>
          <cell r="C1631" t="str">
            <v>France</v>
          </cell>
          <cell r="D1631">
            <v>17</v>
          </cell>
          <cell r="E1631">
            <v>144</v>
          </cell>
          <cell r="F1631">
            <v>567</v>
          </cell>
          <cell r="G1631">
            <v>188</v>
          </cell>
          <cell r="H1631">
            <v>328</v>
          </cell>
          <cell r="I1631">
            <v>520</v>
          </cell>
          <cell r="J1631">
            <v>428</v>
          </cell>
          <cell r="K1631">
            <v>388</v>
          </cell>
          <cell r="L1631">
            <v>345</v>
          </cell>
          <cell r="M1631">
            <v>45.06</v>
          </cell>
          <cell r="N1631">
            <v>2015</v>
          </cell>
          <cell r="O1631">
            <v>430</v>
          </cell>
          <cell r="P1631" t="e">
            <v>#N/A</v>
          </cell>
        </row>
        <row r="1632">
          <cell r="B1632" t="str">
            <v>University of Granada</v>
          </cell>
          <cell r="C1632" t="str">
            <v>Spain</v>
          </cell>
          <cell r="D1632">
            <v>11</v>
          </cell>
          <cell r="E1632">
            <v>367</v>
          </cell>
          <cell r="F1632">
            <v>567</v>
          </cell>
          <cell r="G1632">
            <v>218</v>
          </cell>
          <cell r="H1632">
            <v>303</v>
          </cell>
          <cell r="I1632">
            <v>449</v>
          </cell>
          <cell r="J1632">
            <v>321</v>
          </cell>
          <cell r="K1632">
            <v>424</v>
          </cell>
          <cell r="L1632">
            <v>190</v>
          </cell>
          <cell r="M1632">
            <v>45.06</v>
          </cell>
          <cell r="N1632">
            <v>2015</v>
          </cell>
          <cell r="O1632">
            <v>431</v>
          </cell>
          <cell r="P1632">
            <v>24.3</v>
          </cell>
        </row>
        <row r="1633">
          <cell r="B1633" t="str">
            <v>University of Modena and Reggio Emilia</v>
          </cell>
          <cell r="C1633" t="str">
            <v>Italy</v>
          </cell>
          <cell r="D1633">
            <v>22</v>
          </cell>
          <cell r="E1633">
            <v>367</v>
          </cell>
          <cell r="F1633">
            <v>567</v>
          </cell>
          <cell r="G1633">
            <v>218</v>
          </cell>
          <cell r="H1633">
            <v>435</v>
          </cell>
          <cell r="I1633">
            <v>474</v>
          </cell>
          <cell r="J1633">
            <v>368</v>
          </cell>
          <cell r="K1633">
            <v>349</v>
          </cell>
          <cell r="L1633">
            <v>709</v>
          </cell>
          <cell r="M1633">
            <v>45.04</v>
          </cell>
          <cell r="N1633">
            <v>2015</v>
          </cell>
          <cell r="O1633">
            <v>432</v>
          </cell>
          <cell r="P1633">
            <v>14.5</v>
          </cell>
        </row>
        <row r="1634">
          <cell r="B1634" t="str">
            <v>Ajou University</v>
          </cell>
          <cell r="C1634" t="str">
            <v>South Korea</v>
          </cell>
          <cell r="D1634">
            <v>14</v>
          </cell>
          <cell r="E1634">
            <v>367</v>
          </cell>
          <cell r="F1634">
            <v>426</v>
          </cell>
          <cell r="G1634">
            <v>218</v>
          </cell>
          <cell r="H1634">
            <v>646</v>
          </cell>
          <cell r="I1634">
            <v>729</v>
          </cell>
          <cell r="J1634">
            <v>645</v>
          </cell>
          <cell r="K1634">
            <v>671</v>
          </cell>
          <cell r="L1634">
            <v>89</v>
          </cell>
          <cell r="M1634">
            <v>45.04</v>
          </cell>
          <cell r="N1634">
            <v>2015</v>
          </cell>
          <cell r="O1634">
            <v>433</v>
          </cell>
          <cell r="P1634">
            <v>19.5</v>
          </cell>
        </row>
        <row r="1635">
          <cell r="B1635" t="str">
            <v>Gyeongsang National University</v>
          </cell>
          <cell r="C1635" t="str">
            <v>South Korea</v>
          </cell>
          <cell r="D1635">
            <v>15</v>
          </cell>
          <cell r="E1635">
            <v>367</v>
          </cell>
          <cell r="F1635">
            <v>567</v>
          </cell>
          <cell r="G1635">
            <v>218</v>
          </cell>
          <cell r="H1635">
            <v>633</v>
          </cell>
          <cell r="I1635">
            <v>673</v>
          </cell>
          <cell r="J1635">
            <v>645</v>
          </cell>
          <cell r="K1635">
            <v>606</v>
          </cell>
          <cell r="L1635">
            <v>93</v>
          </cell>
          <cell r="M1635">
            <v>45.04</v>
          </cell>
          <cell r="N1635">
            <v>2015</v>
          </cell>
          <cell r="O1635">
            <v>434</v>
          </cell>
          <cell r="P1635" t="e">
            <v>#N/A</v>
          </cell>
        </row>
        <row r="1636">
          <cell r="B1636" t="str">
            <v>Technical University of Madrid</v>
          </cell>
          <cell r="C1636" t="str">
            <v>Spain</v>
          </cell>
          <cell r="D1636">
            <v>12</v>
          </cell>
          <cell r="E1636">
            <v>215</v>
          </cell>
          <cell r="F1636">
            <v>212</v>
          </cell>
          <cell r="G1636">
            <v>218</v>
          </cell>
          <cell r="H1636">
            <v>470</v>
          </cell>
          <cell r="I1636">
            <v>697</v>
          </cell>
          <cell r="J1636">
            <v>645</v>
          </cell>
          <cell r="K1636">
            <v>770</v>
          </cell>
          <cell r="L1636">
            <v>110</v>
          </cell>
          <cell r="M1636">
            <v>45.03</v>
          </cell>
          <cell r="N1636">
            <v>2015</v>
          </cell>
          <cell r="O1636">
            <v>435</v>
          </cell>
          <cell r="P1636">
            <v>21.8</v>
          </cell>
        </row>
        <row r="1637">
          <cell r="B1637" t="str">
            <v>University College Cork</v>
          </cell>
          <cell r="C1637" t="str">
            <v>Ireland</v>
          </cell>
          <cell r="D1637">
            <v>3</v>
          </cell>
          <cell r="E1637">
            <v>367</v>
          </cell>
          <cell r="F1637">
            <v>430</v>
          </cell>
          <cell r="G1637">
            <v>218</v>
          </cell>
          <cell r="H1637">
            <v>426</v>
          </cell>
          <cell r="I1637">
            <v>431</v>
          </cell>
          <cell r="J1637">
            <v>368</v>
          </cell>
          <cell r="K1637">
            <v>402</v>
          </cell>
          <cell r="L1637">
            <v>195</v>
          </cell>
          <cell r="M1637">
            <v>45.03</v>
          </cell>
          <cell r="N1637">
            <v>2015</v>
          </cell>
          <cell r="O1637">
            <v>436</v>
          </cell>
          <cell r="P1637">
            <v>20.6</v>
          </cell>
        </row>
        <row r="1638">
          <cell r="B1638" t="str">
            <v>Loyola University Chicago</v>
          </cell>
          <cell r="C1638" t="str">
            <v>USA</v>
          </cell>
          <cell r="D1638">
            <v>144</v>
          </cell>
          <cell r="E1638">
            <v>367</v>
          </cell>
          <cell r="F1638">
            <v>366</v>
          </cell>
          <cell r="G1638">
            <v>218</v>
          </cell>
          <cell r="H1638">
            <v>522</v>
          </cell>
          <cell r="I1638">
            <v>438</v>
          </cell>
          <cell r="J1638">
            <v>511</v>
          </cell>
          <cell r="K1638">
            <v>353</v>
          </cell>
          <cell r="L1638">
            <v>713</v>
          </cell>
          <cell r="M1638">
            <v>45.03</v>
          </cell>
          <cell r="N1638">
            <v>2015</v>
          </cell>
          <cell r="O1638">
            <v>437</v>
          </cell>
          <cell r="P1638" t="e">
            <v>#N/A</v>
          </cell>
        </row>
        <row r="1639">
          <cell r="B1639" t="str">
            <v>Central South University</v>
          </cell>
          <cell r="C1639" t="str">
            <v>China</v>
          </cell>
          <cell r="D1639">
            <v>22</v>
          </cell>
          <cell r="E1639">
            <v>367</v>
          </cell>
          <cell r="F1639">
            <v>131</v>
          </cell>
          <cell r="G1639">
            <v>218</v>
          </cell>
          <cell r="H1639">
            <v>366</v>
          </cell>
          <cell r="I1639">
            <v>783</v>
          </cell>
          <cell r="J1639">
            <v>511</v>
          </cell>
          <cell r="K1639">
            <v>558</v>
          </cell>
          <cell r="L1639">
            <v>444</v>
          </cell>
          <cell r="M1639">
            <v>45.02</v>
          </cell>
          <cell r="N1639">
            <v>2015</v>
          </cell>
          <cell r="O1639">
            <v>438</v>
          </cell>
          <cell r="P1639" t="e">
            <v>#N/A</v>
          </cell>
        </row>
        <row r="1640">
          <cell r="B1640" t="str">
            <v>South China University of Technology</v>
          </cell>
          <cell r="C1640" t="str">
            <v>China</v>
          </cell>
          <cell r="D1640">
            <v>23</v>
          </cell>
          <cell r="E1640">
            <v>367</v>
          </cell>
          <cell r="F1640">
            <v>266</v>
          </cell>
          <cell r="G1640">
            <v>218</v>
          </cell>
          <cell r="H1640">
            <v>347</v>
          </cell>
          <cell r="I1640">
            <v>620</v>
          </cell>
          <cell r="J1640">
            <v>511</v>
          </cell>
          <cell r="K1640">
            <v>471</v>
          </cell>
          <cell r="L1640">
            <v>196</v>
          </cell>
          <cell r="M1640">
            <v>45.02</v>
          </cell>
          <cell r="N1640">
            <v>2015</v>
          </cell>
          <cell r="O1640">
            <v>439</v>
          </cell>
          <cell r="P1640">
            <v>19.5</v>
          </cell>
        </row>
        <row r="1641">
          <cell r="B1641" t="str">
            <v>Polytechnic University of Valencia</v>
          </cell>
          <cell r="C1641" t="str">
            <v>Spain</v>
          </cell>
          <cell r="D1641">
            <v>13</v>
          </cell>
          <cell r="E1641">
            <v>367</v>
          </cell>
          <cell r="F1641">
            <v>567</v>
          </cell>
          <cell r="G1641">
            <v>218</v>
          </cell>
          <cell r="H1641">
            <v>386</v>
          </cell>
          <cell r="I1641">
            <v>505</v>
          </cell>
          <cell r="J1641">
            <v>645</v>
          </cell>
          <cell r="K1641">
            <v>437</v>
          </cell>
          <cell r="L1641">
            <v>155</v>
          </cell>
          <cell r="M1641">
            <v>45.02</v>
          </cell>
          <cell r="N1641">
            <v>2015</v>
          </cell>
          <cell r="O1641">
            <v>440</v>
          </cell>
          <cell r="P1641">
            <v>19.600000000000001</v>
          </cell>
        </row>
        <row r="1642">
          <cell r="B1642" t="str">
            <v>West Virginia University</v>
          </cell>
          <cell r="C1642" t="str">
            <v>USA</v>
          </cell>
          <cell r="D1642">
            <v>145</v>
          </cell>
          <cell r="E1642">
            <v>328</v>
          </cell>
          <cell r="F1642">
            <v>178</v>
          </cell>
          <cell r="G1642">
            <v>218</v>
          </cell>
          <cell r="H1642">
            <v>441</v>
          </cell>
          <cell r="I1642">
            <v>409</v>
          </cell>
          <cell r="J1642">
            <v>428</v>
          </cell>
          <cell r="K1642">
            <v>437</v>
          </cell>
          <cell r="L1642">
            <v>617</v>
          </cell>
          <cell r="M1642">
            <v>45.02</v>
          </cell>
          <cell r="N1642">
            <v>2015</v>
          </cell>
          <cell r="O1642">
            <v>441</v>
          </cell>
          <cell r="P1642" t="e">
            <v>#N/A</v>
          </cell>
        </row>
        <row r="1643">
          <cell r="B1643" t="str">
            <v>University of Tampere</v>
          </cell>
          <cell r="C1643" t="str">
            <v>Finland</v>
          </cell>
          <cell r="D1643">
            <v>5</v>
          </cell>
          <cell r="E1643">
            <v>367</v>
          </cell>
          <cell r="F1643">
            <v>297</v>
          </cell>
          <cell r="G1643">
            <v>218</v>
          </cell>
          <cell r="H1643">
            <v>526</v>
          </cell>
          <cell r="I1643">
            <v>439</v>
          </cell>
          <cell r="J1643">
            <v>511</v>
          </cell>
          <cell r="K1643">
            <v>362</v>
          </cell>
          <cell r="L1643">
            <v>679</v>
          </cell>
          <cell r="M1643">
            <v>45.02</v>
          </cell>
          <cell r="N1643">
            <v>2015</v>
          </cell>
          <cell r="O1643">
            <v>442</v>
          </cell>
          <cell r="P1643">
            <v>22.5</v>
          </cell>
        </row>
        <row r="1644">
          <cell r="B1644" t="str">
            <v>Southeast University</v>
          </cell>
          <cell r="C1644" t="str">
            <v>China</v>
          </cell>
          <cell r="D1644">
            <v>24</v>
          </cell>
          <cell r="E1644">
            <v>168</v>
          </cell>
          <cell r="F1644">
            <v>488</v>
          </cell>
          <cell r="G1644">
            <v>218</v>
          </cell>
          <cell r="H1644">
            <v>369</v>
          </cell>
          <cell r="I1644">
            <v>702</v>
          </cell>
          <cell r="J1644">
            <v>645</v>
          </cell>
          <cell r="K1644">
            <v>480</v>
          </cell>
          <cell r="L1644">
            <v>149</v>
          </cell>
          <cell r="M1644">
            <v>45.01</v>
          </cell>
          <cell r="N1644">
            <v>2015</v>
          </cell>
          <cell r="O1644">
            <v>443</v>
          </cell>
          <cell r="P1644" t="e">
            <v>#N/A</v>
          </cell>
        </row>
        <row r="1645">
          <cell r="B1645" t="str">
            <v>Miami University</v>
          </cell>
          <cell r="C1645" t="str">
            <v>USA</v>
          </cell>
          <cell r="D1645">
            <v>146</v>
          </cell>
          <cell r="E1645">
            <v>367</v>
          </cell>
          <cell r="F1645">
            <v>102</v>
          </cell>
          <cell r="G1645">
            <v>218</v>
          </cell>
          <cell r="H1645">
            <v>715</v>
          </cell>
          <cell r="I1645">
            <v>543</v>
          </cell>
          <cell r="J1645">
            <v>511</v>
          </cell>
          <cell r="K1645">
            <v>659</v>
          </cell>
          <cell r="L1645">
            <v>871</v>
          </cell>
          <cell r="M1645">
            <v>45</v>
          </cell>
          <cell r="N1645">
            <v>2015</v>
          </cell>
          <cell r="O1645">
            <v>444</v>
          </cell>
          <cell r="P1645">
            <v>19.2</v>
          </cell>
        </row>
        <row r="1646">
          <cell r="B1646" t="str">
            <v>University of Dayton</v>
          </cell>
          <cell r="C1646" t="str">
            <v>USA</v>
          </cell>
          <cell r="D1646">
            <v>147</v>
          </cell>
          <cell r="E1646">
            <v>348</v>
          </cell>
          <cell r="F1646">
            <v>90</v>
          </cell>
          <cell r="G1646">
            <v>218</v>
          </cell>
          <cell r="H1646">
            <v>988</v>
          </cell>
          <cell r="I1646">
            <v>818</v>
          </cell>
          <cell r="J1646">
            <v>511</v>
          </cell>
          <cell r="K1646">
            <v>781</v>
          </cell>
          <cell r="L1646">
            <v>675</v>
          </cell>
          <cell r="M1646">
            <v>44.99</v>
          </cell>
          <cell r="N1646">
            <v>2015</v>
          </cell>
          <cell r="O1646">
            <v>445</v>
          </cell>
          <cell r="P1646" t="e">
            <v>#N/A</v>
          </cell>
        </row>
        <row r="1647">
          <cell r="B1647" t="str">
            <v>University of Siena</v>
          </cell>
          <cell r="C1647" t="str">
            <v>Italy</v>
          </cell>
          <cell r="D1647">
            <v>23</v>
          </cell>
          <cell r="E1647">
            <v>367</v>
          </cell>
          <cell r="F1647">
            <v>482</v>
          </cell>
          <cell r="G1647">
            <v>218</v>
          </cell>
          <cell r="H1647">
            <v>420</v>
          </cell>
          <cell r="I1647">
            <v>365</v>
          </cell>
          <cell r="J1647">
            <v>287</v>
          </cell>
          <cell r="K1647">
            <v>369</v>
          </cell>
          <cell r="L1647">
            <v>712</v>
          </cell>
          <cell r="M1647">
            <v>44.98</v>
          </cell>
          <cell r="N1647">
            <v>2015</v>
          </cell>
          <cell r="O1647">
            <v>446</v>
          </cell>
          <cell r="P1647">
            <v>23.7</v>
          </cell>
        </row>
        <row r="1648">
          <cell r="B1648" t="str">
            <v>University of Oulu</v>
          </cell>
          <cell r="C1648" t="str">
            <v>Finland</v>
          </cell>
          <cell r="D1648">
            <v>6</v>
          </cell>
          <cell r="E1648">
            <v>275</v>
          </cell>
          <cell r="F1648">
            <v>369</v>
          </cell>
          <cell r="G1648">
            <v>218</v>
          </cell>
          <cell r="H1648">
            <v>432</v>
          </cell>
          <cell r="I1648">
            <v>344</v>
          </cell>
          <cell r="J1648">
            <v>368</v>
          </cell>
          <cell r="K1648">
            <v>375</v>
          </cell>
          <cell r="L1648">
            <v>521</v>
          </cell>
          <cell r="M1648">
            <v>44.96</v>
          </cell>
          <cell r="N1648">
            <v>2015</v>
          </cell>
          <cell r="O1648">
            <v>447</v>
          </cell>
          <cell r="P1648">
            <v>23.1</v>
          </cell>
        </row>
        <row r="1649">
          <cell r="B1649" t="str">
            <v>Indian Institute of Science</v>
          </cell>
          <cell r="C1649" t="str">
            <v>India</v>
          </cell>
          <cell r="D1649">
            <v>3</v>
          </cell>
          <cell r="E1649">
            <v>367</v>
          </cell>
          <cell r="F1649">
            <v>332</v>
          </cell>
          <cell r="G1649">
            <v>218</v>
          </cell>
          <cell r="H1649">
            <v>315</v>
          </cell>
          <cell r="I1649">
            <v>537</v>
          </cell>
          <cell r="J1649">
            <v>511</v>
          </cell>
          <cell r="K1649">
            <v>447</v>
          </cell>
          <cell r="L1649">
            <v>239</v>
          </cell>
          <cell r="M1649">
            <v>44.96</v>
          </cell>
          <cell r="N1649">
            <v>2015</v>
          </cell>
          <cell r="O1649">
            <v>448</v>
          </cell>
          <cell r="P1649">
            <v>32.6</v>
          </cell>
        </row>
        <row r="1650">
          <cell r="B1650" t="str">
            <v>Macquarie University</v>
          </cell>
          <cell r="C1650" t="str">
            <v>Australia</v>
          </cell>
          <cell r="D1650">
            <v>9</v>
          </cell>
          <cell r="E1650">
            <v>367</v>
          </cell>
          <cell r="F1650">
            <v>304</v>
          </cell>
          <cell r="G1650">
            <v>218</v>
          </cell>
          <cell r="H1650">
            <v>391</v>
          </cell>
          <cell r="I1650">
            <v>292</v>
          </cell>
          <cell r="J1650">
            <v>321</v>
          </cell>
          <cell r="K1650">
            <v>402</v>
          </cell>
          <cell r="L1650">
            <v>530</v>
          </cell>
          <cell r="M1650">
            <v>44.96</v>
          </cell>
          <cell r="N1650">
            <v>2015</v>
          </cell>
          <cell r="O1650">
            <v>449</v>
          </cell>
          <cell r="P1650">
            <v>21.3</v>
          </cell>
        </row>
        <row r="1651">
          <cell r="B1651" t="str">
            <v>University of Rostock</v>
          </cell>
          <cell r="C1651" t="str">
            <v>Germany</v>
          </cell>
          <cell r="D1651">
            <v>35</v>
          </cell>
          <cell r="E1651">
            <v>364</v>
          </cell>
          <cell r="F1651">
            <v>567</v>
          </cell>
          <cell r="G1651">
            <v>218</v>
          </cell>
          <cell r="H1651">
            <v>443</v>
          </cell>
          <cell r="I1651">
            <v>591</v>
          </cell>
          <cell r="J1651">
            <v>511</v>
          </cell>
          <cell r="K1651">
            <v>373</v>
          </cell>
          <cell r="L1651">
            <v>325</v>
          </cell>
          <cell r="M1651">
            <v>44.96</v>
          </cell>
          <cell r="N1651">
            <v>2015</v>
          </cell>
          <cell r="O1651">
            <v>450</v>
          </cell>
          <cell r="P1651" t="e">
            <v>#N/A</v>
          </cell>
        </row>
        <row r="1652">
          <cell r="B1652" t="str">
            <v>Jagiellonian University</v>
          </cell>
          <cell r="C1652" t="str">
            <v>Poland</v>
          </cell>
          <cell r="D1652">
            <v>1</v>
          </cell>
          <cell r="E1652">
            <v>367</v>
          </cell>
          <cell r="F1652">
            <v>567</v>
          </cell>
          <cell r="G1652">
            <v>218</v>
          </cell>
          <cell r="H1652">
            <v>403</v>
          </cell>
          <cell r="I1652">
            <v>465</v>
          </cell>
          <cell r="J1652">
            <v>645</v>
          </cell>
          <cell r="K1652">
            <v>375</v>
          </cell>
          <cell r="L1652">
            <v>355</v>
          </cell>
          <cell r="M1652">
            <v>44.94</v>
          </cell>
          <cell r="N1652">
            <v>2015</v>
          </cell>
          <cell r="O1652">
            <v>451</v>
          </cell>
          <cell r="P1652">
            <v>25.1</v>
          </cell>
        </row>
        <row r="1653">
          <cell r="B1653" t="str">
            <v>Pusan National University</v>
          </cell>
          <cell r="C1653" t="str">
            <v>South Korea</v>
          </cell>
          <cell r="D1653">
            <v>16</v>
          </cell>
          <cell r="E1653">
            <v>367</v>
          </cell>
          <cell r="F1653">
            <v>401</v>
          </cell>
          <cell r="G1653">
            <v>218</v>
          </cell>
          <cell r="H1653">
            <v>398</v>
          </cell>
          <cell r="I1653">
            <v>488</v>
          </cell>
          <cell r="J1653">
            <v>428</v>
          </cell>
          <cell r="K1653">
            <v>503</v>
          </cell>
          <cell r="L1653">
            <v>147</v>
          </cell>
          <cell r="M1653">
            <v>44.94</v>
          </cell>
          <cell r="N1653">
            <v>2015</v>
          </cell>
          <cell r="O1653">
            <v>452</v>
          </cell>
          <cell r="P1653">
            <v>27.5</v>
          </cell>
        </row>
        <row r="1654">
          <cell r="B1654" t="str">
            <v>University of Strathclyde</v>
          </cell>
          <cell r="C1654" t="str">
            <v>United Kingdom</v>
          </cell>
          <cell r="D1654">
            <v>36</v>
          </cell>
          <cell r="E1654">
            <v>367</v>
          </cell>
          <cell r="F1654">
            <v>216</v>
          </cell>
          <cell r="G1654">
            <v>218</v>
          </cell>
          <cell r="H1654">
            <v>389</v>
          </cell>
          <cell r="I1654">
            <v>467</v>
          </cell>
          <cell r="J1654">
            <v>368</v>
          </cell>
          <cell r="K1654">
            <v>486</v>
          </cell>
          <cell r="L1654">
            <v>305</v>
          </cell>
          <cell r="M1654">
            <v>44.94</v>
          </cell>
          <cell r="N1654">
            <v>2015</v>
          </cell>
          <cell r="O1654">
            <v>453</v>
          </cell>
          <cell r="P1654">
            <v>24.4</v>
          </cell>
        </row>
        <row r="1655">
          <cell r="B1655" t="str">
            <v>University of Nevada, Reno</v>
          </cell>
          <cell r="C1655" t="str">
            <v>USA</v>
          </cell>
          <cell r="D1655">
            <v>148</v>
          </cell>
          <cell r="E1655">
            <v>367</v>
          </cell>
          <cell r="F1655">
            <v>364</v>
          </cell>
          <cell r="G1655">
            <v>218</v>
          </cell>
          <cell r="H1655">
            <v>542</v>
          </cell>
          <cell r="I1655">
            <v>382</v>
          </cell>
          <cell r="J1655">
            <v>264</v>
          </cell>
          <cell r="K1655">
            <v>381</v>
          </cell>
          <cell r="L1655">
            <v>708</v>
          </cell>
          <cell r="M1655">
            <v>44.93</v>
          </cell>
          <cell r="N1655">
            <v>2015</v>
          </cell>
          <cell r="O1655">
            <v>454</v>
          </cell>
          <cell r="P1655" t="e">
            <v>#N/A</v>
          </cell>
        </row>
        <row r="1656">
          <cell r="B1656" t="str">
            <v>University of Saskatchewan</v>
          </cell>
          <cell r="C1656" t="str">
            <v>Canada</v>
          </cell>
          <cell r="D1656">
            <v>20</v>
          </cell>
          <cell r="E1656">
            <v>336</v>
          </cell>
          <cell r="F1656">
            <v>278</v>
          </cell>
          <cell r="G1656">
            <v>218</v>
          </cell>
          <cell r="H1656">
            <v>335</v>
          </cell>
          <cell r="I1656">
            <v>442</v>
          </cell>
          <cell r="J1656">
            <v>287</v>
          </cell>
          <cell r="K1656">
            <v>457</v>
          </cell>
          <cell r="L1656">
            <v>427</v>
          </cell>
          <cell r="M1656">
            <v>44.92</v>
          </cell>
          <cell r="N1656">
            <v>2015</v>
          </cell>
          <cell r="O1656">
            <v>455</v>
          </cell>
          <cell r="P1656">
            <v>30.8</v>
          </cell>
        </row>
        <row r="1657">
          <cell r="B1657" t="str">
            <v>University of Parma</v>
          </cell>
          <cell r="C1657" t="str">
            <v>Italy</v>
          </cell>
          <cell r="D1657">
            <v>24</v>
          </cell>
          <cell r="E1657">
            <v>367</v>
          </cell>
          <cell r="F1657">
            <v>356</v>
          </cell>
          <cell r="G1657">
            <v>218</v>
          </cell>
          <cell r="H1657">
            <v>438</v>
          </cell>
          <cell r="I1657">
            <v>463</v>
          </cell>
          <cell r="J1657">
            <v>368</v>
          </cell>
          <cell r="K1657">
            <v>381</v>
          </cell>
          <cell r="L1657">
            <v>741</v>
          </cell>
          <cell r="M1657">
            <v>44.92</v>
          </cell>
          <cell r="N1657">
            <v>2015</v>
          </cell>
          <cell r="O1657">
            <v>456</v>
          </cell>
          <cell r="P1657">
            <v>17.7</v>
          </cell>
        </row>
        <row r="1658">
          <cell r="B1658" t="str">
            <v>Kanazawa University</v>
          </cell>
          <cell r="C1658" t="str">
            <v>Japan</v>
          </cell>
          <cell r="D1658">
            <v>18</v>
          </cell>
          <cell r="E1658">
            <v>367</v>
          </cell>
          <cell r="F1658">
            <v>416</v>
          </cell>
          <cell r="G1658">
            <v>218</v>
          </cell>
          <cell r="H1658">
            <v>474</v>
          </cell>
          <cell r="I1658">
            <v>419</v>
          </cell>
          <cell r="J1658">
            <v>511</v>
          </cell>
          <cell r="K1658">
            <v>381</v>
          </cell>
          <cell r="L1658">
            <v>350</v>
          </cell>
          <cell r="M1658">
            <v>44.92</v>
          </cell>
          <cell r="N1658">
            <v>2015</v>
          </cell>
          <cell r="O1658">
            <v>457</v>
          </cell>
          <cell r="P1658">
            <v>24.7</v>
          </cell>
        </row>
        <row r="1659">
          <cell r="B1659" t="str">
            <v>EÃ¶tvÃ¶s LorÃ¡nd University</v>
          </cell>
          <cell r="C1659" t="str">
            <v>Hungary</v>
          </cell>
          <cell r="D1659">
            <v>1</v>
          </cell>
          <cell r="E1659">
            <v>89</v>
          </cell>
          <cell r="F1659">
            <v>567</v>
          </cell>
          <cell r="G1659">
            <v>116</v>
          </cell>
          <cell r="H1659">
            <v>559</v>
          </cell>
          <cell r="I1659">
            <v>444</v>
          </cell>
          <cell r="J1659">
            <v>287</v>
          </cell>
          <cell r="K1659">
            <v>495</v>
          </cell>
          <cell r="L1659">
            <v>724</v>
          </cell>
          <cell r="M1659">
            <v>44.92</v>
          </cell>
          <cell r="N1659">
            <v>2015</v>
          </cell>
          <cell r="O1659">
            <v>458</v>
          </cell>
          <cell r="P1659">
            <v>21.3</v>
          </cell>
        </row>
        <row r="1660">
          <cell r="B1660" t="str">
            <v>Aristotle University of Thessaloniki</v>
          </cell>
          <cell r="C1660" t="str">
            <v>Greece</v>
          </cell>
          <cell r="D1660">
            <v>2</v>
          </cell>
          <cell r="E1660">
            <v>367</v>
          </cell>
          <cell r="F1660">
            <v>567</v>
          </cell>
          <cell r="G1660">
            <v>218</v>
          </cell>
          <cell r="H1660">
            <v>340</v>
          </cell>
          <cell r="I1660">
            <v>683</v>
          </cell>
          <cell r="J1660">
            <v>511</v>
          </cell>
          <cell r="K1660">
            <v>381</v>
          </cell>
          <cell r="L1660">
            <v>756</v>
          </cell>
          <cell r="M1660">
            <v>44.92</v>
          </cell>
          <cell r="N1660">
            <v>2015</v>
          </cell>
          <cell r="O1660">
            <v>459</v>
          </cell>
          <cell r="P1660">
            <v>22.6</v>
          </cell>
        </row>
        <row r="1661">
          <cell r="B1661" t="str">
            <v>Ohio University</v>
          </cell>
          <cell r="C1661" t="str">
            <v>USA</v>
          </cell>
          <cell r="D1661">
            <v>149</v>
          </cell>
          <cell r="E1661">
            <v>205</v>
          </cell>
          <cell r="F1661">
            <v>174</v>
          </cell>
          <cell r="G1661">
            <v>218</v>
          </cell>
          <cell r="H1661">
            <v>590</v>
          </cell>
          <cell r="I1661">
            <v>472</v>
          </cell>
          <cell r="J1661">
            <v>812</v>
          </cell>
          <cell r="K1661">
            <v>565</v>
          </cell>
          <cell r="L1661">
            <v>224</v>
          </cell>
          <cell r="M1661">
            <v>44.91</v>
          </cell>
          <cell r="N1661">
            <v>2015</v>
          </cell>
          <cell r="O1661">
            <v>460</v>
          </cell>
          <cell r="P1661">
            <v>25</v>
          </cell>
        </row>
        <row r="1662">
          <cell r="B1662" t="str">
            <v>University of Iceland</v>
          </cell>
          <cell r="C1662" t="str">
            <v>Iceland</v>
          </cell>
          <cell r="D1662">
            <v>1</v>
          </cell>
          <cell r="E1662">
            <v>367</v>
          </cell>
          <cell r="F1662">
            <v>567</v>
          </cell>
          <cell r="G1662">
            <v>218</v>
          </cell>
          <cell r="H1662">
            <v>612</v>
          </cell>
          <cell r="I1662">
            <v>295</v>
          </cell>
          <cell r="J1662">
            <v>321</v>
          </cell>
          <cell r="K1662">
            <v>369</v>
          </cell>
          <cell r="L1662">
            <v>839</v>
          </cell>
          <cell r="M1662">
            <v>44.91</v>
          </cell>
          <cell r="N1662">
            <v>2015</v>
          </cell>
          <cell r="O1662">
            <v>461</v>
          </cell>
          <cell r="P1662">
            <v>10.7</v>
          </cell>
        </row>
        <row r="1663">
          <cell r="B1663" t="str">
            <v>University of Warsaw</v>
          </cell>
          <cell r="C1663" t="str">
            <v>Poland</v>
          </cell>
          <cell r="D1663">
            <v>2</v>
          </cell>
          <cell r="E1663">
            <v>118</v>
          </cell>
          <cell r="F1663">
            <v>562</v>
          </cell>
          <cell r="G1663">
            <v>150</v>
          </cell>
          <cell r="H1663">
            <v>409</v>
          </cell>
          <cell r="I1663">
            <v>462</v>
          </cell>
          <cell r="J1663">
            <v>428</v>
          </cell>
          <cell r="K1663">
            <v>437</v>
          </cell>
          <cell r="L1663">
            <v>716</v>
          </cell>
          <cell r="M1663">
            <v>44.91</v>
          </cell>
          <cell r="N1663">
            <v>2015</v>
          </cell>
          <cell r="O1663">
            <v>462</v>
          </cell>
          <cell r="P1663">
            <v>21.6</v>
          </cell>
        </row>
        <row r="1664">
          <cell r="B1664" t="str">
            <v>Syracuse University</v>
          </cell>
          <cell r="C1664" t="str">
            <v>USA</v>
          </cell>
          <cell r="D1664">
            <v>150</v>
          </cell>
          <cell r="E1664">
            <v>138</v>
          </cell>
          <cell r="F1664">
            <v>221</v>
          </cell>
          <cell r="G1664">
            <v>218</v>
          </cell>
          <cell r="H1664">
            <v>453</v>
          </cell>
          <cell r="I1664">
            <v>494</v>
          </cell>
          <cell r="J1664">
            <v>428</v>
          </cell>
          <cell r="K1664">
            <v>495</v>
          </cell>
          <cell r="L1664">
            <v>392</v>
          </cell>
          <cell r="M1664">
            <v>44.91</v>
          </cell>
          <cell r="N1664">
            <v>2015</v>
          </cell>
          <cell r="O1664">
            <v>463</v>
          </cell>
          <cell r="P1664">
            <v>32.4</v>
          </cell>
        </row>
        <row r="1665">
          <cell r="B1665" t="str">
            <v>Bielefeld University</v>
          </cell>
          <cell r="C1665" t="str">
            <v>Germany</v>
          </cell>
          <cell r="D1665">
            <v>36</v>
          </cell>
          <cell r="E1665">
            <v>367</v>
          </cell>
          <cell r="F1665">
            <v>567</v>
          </cell>
          <cell r="G1665">
            <v>218</v>
          </cell>
          <cell r="H1665">
            <v>480</v>
          </cell>
          <cell r="I1665">
            <v>375</v>
          </cell>
          <cell r="J1665">
            <v>511</v>
          </cell>
          <cell r="K1665">
            <v>369</v>
          </cell>
          <cell r="L1665">
            <v>774</v>
          </cell>
          <cell r="M1665">
            <v>44.91</v>
          </cell>
          <cell r="N1665">
            <v>2015</v>
          </cell>
          <cell r="O1665">
            <v>464</v>
          </cell>
          <cell r="P1665">
            <v>39.9</v>
          </cell>
        </row>
        <row r="1666">
          <cell r="B1666" t="str">
            <v>Juntendo University</v>
          </cell>
          <cell r="C1666" t="str">
            <v>Japan</v>
          </cell>
          <cell r="D1666">
            <v>19</v>
          </cell>
          <cell r="E1666">
            <v>367</v>
          </cell>
          <cell r="F1666">
            <v>567</v>
          </cell>
          <cell r="G1666">
            <v>218</v>
          </cell>
          <cell r="H1666">
            <v>653</v>
          </cell>
          <cell r="I1666">
            <v>498</v>
          </cell>
          <cell r="J1666">
            <v>428</v>
          </cell>
          <cell r="K1666">
            <v>362</v>
          </cell>
          <cell r="L1666">
            <v>853</v>
          </cell>
          <cell r="M1666">
            <v>44.9</v>
          </cell>
          <cell r="N1666">
            <v>2015</v>
          </cell>
          <cell r="O1666">
            <v>465</v>
          </cell>
          <cell r="P1666">
            <v>32.299999999999997</v>
          </cell>
        </row>
        <row r="1667">
          <cell r="B1667" t="str">
            <v>University of Wyoming</v>
          </cell>
          <cell r="C1667" t="str">
            <v>USA</v>
          </cell>
          <cell r="D1667">
            <v>151</v>
          </cell>
          <cell r="E1667">
            <v>367</v>
          </cell>
          <cell r="F1667">
            <v>230</v>
          </cell>
          <cell r="G1667">
            <v>218</v>
          </cell>
          <cell r="H1667">
            <v>534</v>
          </cell>
          <cell r="I1667">
            <v>316</v>
          </cell>
          <cell r="J1667">
            <v>321</v>
          </cell>
          <cell r="K1667">
            <v>457</v>
          </cell>
          <cell r="L1667">
            <v>380</v>
          </cell>
          <cell r="M1667">
            <v>44.89</v>
          </cell>
          <cell r="N1667">
            <v>2015</v>
          </cell>
          <cell r="O1667">
            <v>466</v>
          </cell>
          <cell r="P1667">
            <v>18.399999999999999</v>
          </cell>
        </row>
        <row r="1668">
          <cell r="B1668" t="str">
            <v>University of Wollongong</v>
          </cell>
          <cell r="C1668" t="str">
            <v>Australia</v>
          </cell>
          <cell r="D1668">
            <v>10</v>
          </cell>
          <cell r="E1668">
            <v>367</v>
          </cell>
          <cell r="F1668">
            <v>269</v>
          </cell>
          <cell r="G1668">
            <v>218</v>
          </cell>
          <cell r="H1668">
            <v>431</v>
          </cell>
          <cell r="I1668">
            <v>433</v>
          </cell>
          <cell r="J1668">
            <v>428</v>
          </cell>
          <cell r="K1668">
            <v>424</v>
          </cell>
          <cell r="L1668">
            <v>493</v>
          </cell>
          <cell r="M1668">
            <v>44.88</v>
          </cell>
          <cell r="N1668">
            <v>2015</v>
          </cell>
          <cell r="O1668">
            <v>467</v>
          </cell>
          <cell r="P1668">
            <v>21.4</v>
          </cell>
        </row>
        <row r="1669">
          <cell r="B1669" t="str">
            <v>Niigata University</v>
          </cell>
          <cell r="C1669" t="str">
            <v>Japan</v>
          </cell>
          <cell r="D1669">
            <v>20</v>
          </cell>
          <cell r="E1669">
            <v>367</v>
          </cell>
          <cell r="F1669">
            <v>285</v>
          </cell>
          <cell r="G1669">
            <v>218</v>
          </cell>
          <cell r="H1669">
            <v>527</v>
          </cell>
          <cell r="I1669">
            <v>514</v>
          </cell>
          <cell r="J1669">
            <v>511</v>
          </cell>
          <cell r="K1669">
            <v>447</v>
          </cell>
          <cell r="L1669">
            <v>238</v>
          </cell>
          <cell r="M1669">
            <v>44.88</v>
          </cell>
          <cell r="N1669">
            <v>2015</v>
          </cell>
          <cell r="O1669">
            <v>468</v>
          </cell>
          <cell r="P1669">
            <v>21.9</v>
          </cell>
        </row>
        <row r="1670">
          <cell r="B1670" t="str">
            <v>Texas Tech University (TTU)</v>
          </cell>
          <cell r="C1670" t="str">
            <v>USA</v>
          </cell>
          <cell r="D1670">
            <v>152</v>
          </cell>
          <cell r="E1670">
            <v>367</v>
          </cell>
          <cell r="F1670">
            <v>184</v>
          </cell>
          <cell r="G1670">
            <v>218</v>
          </cell>
          <cell r="H1670">
            <v>455</v>
          </cell>
          <cell r="I1670">
            <v>618</v>
          </cell>
          <cell r="J1670">
            <v>287</v>
          </cell>
          <cell r="K1670">
            <v>511</v>
          </cell>
          <cell r="L1670">
            <v>809</v>
          </cell>
          <cell r="M1670">
            <v>44.87</v>
          </cell>
          <cell r="N1670">
            <v>2015</v>
          </cell>
          <cell r="O1670">
            <v>469</v>
          </cell>
          <cell r="P1670" t="e">
            <v>#N/A</v>
          </cell>
        </row>
        <row r="1671">
          <cell r="B1671" t="str">
            <v>Middle East Technical University</v>
          </cell>
          <cell r="C1671" t="str">
            <v>Turkey</v>
          </cell>
          <cell r="D1671">
            <v>1</v>
          </cell>
          <cell r="E1671">
            <v>367</v>
          </cell>
          <cell r="F1671">
            <v>120</v>
          </cell>
          <cell r="G1671">
            <v>218</v>
          </cell>
          <cell r="H1671">
            <v>550</v>
          </cell>
          <cell r="I1671">
            <v>879</v>
          </cell>
          <cell r="J1671">
            <v>511</v>
          </cell>
          <cell r="K1671">
            <v>659</v>
          </cell>
          <cell r="L1671">
            <v>871</v>
          </cell>
          <cell r="M1671">
            <v>44.87</v>
          </cell>
          <cell r="N1671">
            <v>2015</v>
          </cell>
          <cell r="O1671">
            <v>470</v>
          </cell>
          <cell r="P1671">
            <v>39.5</v>
          </cell>
        </row>
        <row r="1672">
          <cell r="B1672" t="str">
            <v>Ã‰cole normale supÃ©rieure de Lyon</v>
          </cell>
          <cell r="C1672" t="str">
            <v>France</v>
          </cell>
          <cell r="D1672">
            <v>18</v>
          </cell>
          <cell r="E1672">
            <v>367</v>
          </cell>
          <cell r="F1672">
            <v>567</v>
          </cell>
          <cell r="G1672">
            <v>135</v>
          </cell>
          <cell r="H1672">
            <v>481</v>
          </cell>
          <cell r="I1672">
            <v>210</v>
          </cell>
          <cell r="J1672">
            <v>511</v>
          </cell>
          <cell r="K1672">
            <v>413</v>
          </cell>
          <cell r="L1672">
            <v>589</v>
          </cell>
          <cell r="M1672">
            <v>44.87</v>
          </cell>
          <cell r="N1672">
            <v>2015</v>
          </cell>
          <cell r="O1672">
            <v>471</v>
          </cell>
          <cell r="P1672">
            <v>51.1</v>
          </cell>
        </row>
        <row r="1673">
          <cell r="B1673" t="str">
            <v>Brunel University</v>
          </cell>
          <cell r="C1673" t="str">
            <v>United Kingdom</v>
          </cell>
          <cell r="D1673">
            <v>37</v>
          </cell>
          <cell r="E1673">
            <v>367</v>
          </cell>
          <cell r="F1673">
            <v>236</v>
          </cell>
          <cell r="G1673">
            <v>218</v>
          </cell>
          <cell r="H1673">
            <v>497</v>
          </cell>
          <cell r="I1673">
            <v>676</v>
          </cell>
          <cell r="J1673">
            <v>511</v>
          </cell>
          <cell r="K1673">
            <v>437</v>
          </cell>
          <cell r="L1673">
            <v>667</v>
          </cell>
          <cell r="M1673">
            <v>44.86</v>
          </cell>
          <cell r="N1673">
            <v>2015</v>
          </cell>
          <cell r="O1673">
            <v>472</v>
          </cell>
          <cell r="P1673" t="e">
            <v>#N/A</v>
          </cell>
        </row>
        <row r="1674">
          <cell r="B1674" t="str">
            <v>Nihon University</v>
          </cell>
          <cell r="C1674" t="str">
            <v>Japan</v>
          </cell>
          <cell r="D1674">
            <v>21</v>
          </cell>
          <cell r="E1674">
            <v>301</v>
          </cell>
          <cell r="F1674">
            <v>565</v>
          </cell>
          <cell r="G1674">
            <v>218</v>
          </cell>
          <cell r="H1674">
            <v>599</v>
          </cell>
          <cell r="I1674">
            <v>588</v>
          </cell>
          <cell r="J1674">
            <v>812</v>
          </cell>
          <cell r="K1674">
            <v>637</v>
          </cell>
          <cell r="L1674">
            <v>113</v>
          </cell>
          <cell r="M1674">
            <v>44.86</v>
          </cell>
          <cell r="N1674">
            <v>2015</v>
          </cell>
          <cell r="O1674">
            <v>473</v>
          </cell>
          <cell r="P1674" t="e">
            <v>#N/A</v>
          </cell>
        </row>
        <row r="1675">
          <cell r="B1675" t="str">
            <v>Osaka City University</v>
          </cell>
          <cell r="C1675" t="str">
            <v>Japan</v>
          </cell>
          <cell r="D1675">
            <v>22</v>
          </cell>
          <cell r="E1675">
            <v>108</v>
          </cell>
          <cell r="F1675">
            <v>414</v>
          </cell>
          <cell r="G1675">
            <v>218</v>
          </cell>
          <cell r="H1675">
            <v>484</v>
          </cell>
          <cell r="I1675">
            <v>536</v>
          </cell>
          <cell r="J1675">
            <v>321</v>
          </cell>
          <cell r="K1675">
            <v>471</v>
          </cell>
          <cell r="L1675">
            <v>374</v>
          </cell>
          <cell r="M1675">
            <v>44.86</v>
          </cell>
          <cell r="N1675">
            <v>2015</v>
          </cell>
          <cell r="O1675">
            <v>474</v>
          </cell>
          <cell r="P1675">
            <v>26.3</v>
          </cell>
        </row>
        <row r="1676">
          <cell r="B1676" t="str">
            <v>University of Rennes 1</v>
          </cell>
          <cell r="C1676" t="str">
            <v>France</v>
          </cell>
          <cell r="D1676">
            <v>19</v>
          </cell>
          <cell r="E1676">
            <v>367</v>
          </cell>
          <cell r="F1676">
            <v>567</v>
          </cell>
          <cell r="G1676">
            <v>218</v>
          </cell>
          <cell r="H1676">
            <v>351</v>
          </cell>
          <cell r="I1676">
            <v>341</v>
          </cell>
          <cell r="J1676">
            <v>428</v>
          </cell>
          <cell r="K1676">
            <v>420</v>
          </cell>
          <cell r="L1676">
            <v>344</v>
          </cell>
          <cell r="M1676">
            <v>44.86</v>
          </cell>
          <cell r="N1676">
            <v>2015</v>
          </cell>
          <cell r="O1676">
            <v>475</v>
          </cell>
          <cell r="P1676">
            <v>17.8</v>
          </cell>
        </row>
        <row r="1677">
          <cell r="B1677" t="str">
            <v>University of Oklahoma Health Sciences Center</v>
          </cell>
          <cell r="C1677" t="str">
            <v>USA</v>
          </cell>
          <cell r="D1677">
            <v>153</v>
          </cell>
          <cell r="E1677">
            <v>367</v>
          </cell>
          <cell r="F1677">
            <v>567</v>
          </cell>
          <cell r="G1677">
            <v>218</v>
          </cell>
          <cell r="H1677">
            <v>580</v>
          </cell>
          <cell r="I1677">
            <v>461</v>
          </cell>
          <cell r="J1677">
            <v>511</v>
          </cell>
          <cell r="K1677">
            <v>375</v>
          </cell>
          <cell r="L1677">
            <v>482</v>
          </cell>
          <cell r="M1677">
            <v>44.86</v>
          </cell>
          <cell r="N1677">
            <v>2015</v>
          </cell>
          <cell r="O1677">
            <v>476</v>
          </cell>
          <cell r="P1677" t="e">
            <v>#N/A</v>
          </cell>
        </row>
        <row r="1678">
          <cell r="B1678" t="str">
            <v>East China University of Science and Technology</v>
          </cell>
          <cell r="C1678" t="str">
            <v>China</v>
          </cell>
          <cell r="D1678">
            <v>25</v>
          </cell>
          <cell r="E1678">
            <v>367</v>
          </cell>
          <cell r="F1678">
            <v>567</v>
          </cell>
          <cell r="G1678">
            <v>218</v>
          </cell>
          <cell r="H1678">
            <v>423</v>
          </cell>
          <cell r="I1678">
            <v>828</v>
          </cell>
          <cell r="J1678">
            <v>645</v>
          </cell>
          <cell r="K1678">
            <v>471</v>
          </cell>
          <cell r="L1678">
            <v>184</v>
          </cell>
          <cell r="M1678">
            <v>44.86</v>
          </cell>
          <cell r="N1678">
            <v>2015</v>
          </cell>
          <cell r="O1678">
            <v>477</v>
          </cell>
          <cell r="P1678">
            <v>24.1</v>
          </cell>
        </row>
        <row r="1679">
          <cell r="B1679" t="str">
            <v>University of KwaZulu-Natal</v>
          </cell>
          <cell r="C1679" t="str">
            <v>South Africa</v>
          </cell>
          <cell r="D1679">
            <v>4</v>
          </cell>
          <cell r="E1679">
            <v>367</v>
          </cell>
          <cell r="F1679">
            <v>148</v>
          </cell>
          <cell r="G1679">
            <v>218</v>
          </cell>
          <cell r="H1679">
            <v>562</v>
          </cell>
          <cell r="I1679">
            <v>397</v>
          </cell>
          <cell r="J1679">
            <v>368</v>
          </cell>
          <cell r="K1679">
            <v>579</v>
          </cell>
          <cell r="L1679">
            <v>539</v>
          </cell>
          <cell r="M1679">
            <v>44.85</v>
          </cell>
          <cell r="N1679">
            <v>2015</v>
          </cell>
          <cell r="O1679">
            <v>478</v>
          </cell>
          <cell r="P1679">
            <v>21.9</v>
          </cell>
        </row>
        <row r="1680">
          <cell r="B1680" t="str">
            <v>Sichuan University</v>
          </cell>
          <cell r="C1680" t="str">
            <v>China</v>
          </cell>
          <cell r="D1680">
            <v>26</v>
          </cell>
          <cell r="E1680">
            <v>367</v>
          </cell>
          <cell r="F1680">
            <v>563</v>
          </cell>
          <cell r="G1680">
            <v>218</v>
          </cell>
          <cell r="H1680">
            <v>269</v>
          </cell>
          <cell r="I1680">
            <v>478</v>
          </cell>
          <cell r="J1680">
            <v>645</v>
          </cell>
          <cell r="K1680">
            <v>447</v>
          </cell>
          <cell r="L1680">
            <v>597</v>
          </cell>
          <cell r="M1680">
            <v>44.85</v>
          </cell>
          <cell r="N1680">
            <v>2015</v>
          </cell>
          <cell r="O1680">
            <v>479</v>
          </cell>
          <cell r="P1680">
            <v>25</v>
          </cell>
        </row>
        <row r="1681">
          <cell r="B1681" t="str">
            <v>Illinois Institute of Technology</v>
          </cell>
          <cell r="C1681" t="str">
            <v>USA</v>
          </cell>
          <cell r="D1681">
            <v>154</v>
          </cell>
          <cell r="E1681">
            <v>274</v>
          </cell>
          <cell r="F1681">
            <v>114</v>
          </cell>
          <cell r="G1681">
            <v>218</v>
          </cell>
          <cell r="H1681">
            <v>784</v>
          </cell>
          <cell r="I1681">
            <v>713</v>
          </cell>
          <cell r="J1681">
            <v>511</v>
          </cell>
          <cell r="K1681">
            <v>715</v>
          </cell>
          <cell r="L1681">
            <v>861</v>
          </cell>
          <cell r="M1681">
            <v>44.85</v>
          </cell>
          <cell r="N1681">
            <v>2015</v>
          </cell>
          <cell r="O1681">
            <v>480</v>
          </cell>
          <cell r="P1681">
            <v>40.200000000000003</v>
          </cell>
        </row>
        <row r="1682">
          <cell r="B1682" t="str">
            <v>Tokyo University of Science</v>
          </cell>
          <cell r="C1682" t="str">
            <v>Japan</v>
          </cell>
          <cell r="D1682">
            <v>23</v>
          </cell>
          <cell r="E1682">
            <v>367</v>
          </cell>
          <cell r="F1682">
            <v>567</v>
          </cell>
          <cell r="G1682">
            <v>218</v>
          </cell>
          <cell r="H1682">
            <v>530</v>
          </cell>
          <cell r="I1682">
            <v>530</v>
          </cell>
          <cell r="J1682">
            <v>428</v>
          </cell>
          <cell r="K1682">
            <v>457</v>
          </cell>
          <cell r="L1682">
            <v>191</v>
          </cell>
          <cell r="M1682">
            <v>44.84</v>
          </cell>
          <cell r="N1682">
            <v>2015</v>
          </cell>
          <cell r="O1682">
            <v>481</v>
          </cell>
          <cell r="P1682">
            <v>23</v>
          </cell>
        </row>
        <row r="1683">
          <cell r="B1683" t="str">
            <v>University of Science, Malaysia</v>
          </cell>
          <cell r="C1683" t="str">
            <v>Malaysia</v>
          </cell>
          <cell r="D1683">
            <v>1</v>
          </cell>
          <cell r="E1683">
            <v>367</v>
          </cell>
          <cell r="F1683">
            <v>567</v>
          </cell>
          <cell r="G1683">
            <v>218</v>
          </cell>
          <cell r="H1683">
            <v>669</v>
          </cell>
          <cell r="I1683">
            <v>888</v>
          </cell>
          <cell r="J1683">
            <v>428</v>
          </cell>
          <cell r="K1683">
            <v>809</v>
          </cell>
          <cell r="L1683">
            <v>94</v>
          </cell>
          <cell r="M1683">
            <v>44.84</v>
          </cell>
          <cell r="N1683">
            <v>2015</v>
          </cell>
          <cell r="O1683">
            <v>482</v>
          </cell>
          <cell r="P1683" t="e">
            <v>#N/A</v>
          </cell>
        </row>
        <row r="1684">
          <cell r="B1684" t="str">
            <v>Clemson University</v>
          </cell>
          <cell r="C1684" t="str">
            <v>USA</v>
          </cell>
          <cell r="D1684">
            <v>155</v>
          </cell>
          <cell r="E1684">
            <v>367</v>
          </cell>
          <cell r="F1684">
            <v>535</v>
          </cell>
          <cell r="G1684">
            <v>218</v>
          </cell>
          <cell r="H1684">
            <v>433</v>
          </cell>
          <cell r="I1684">
            <v>497</v>
          </cell>
          <cell r="J1684">
            <v>645</v>
          </cell>
          <cell r="K1684">
            <v>396</v>
          </cell>
          <cell r="L1684">
            <v>510</v>
          </cell>
          <cell r="M1684">
            <v>44.83</v>
          </cell>
          <cell r="N1684">
            <v>2015</v>
          </cell>
          <cell r="O1684">
            <v>483</v>
          </cell>
          <cell r="P1684">
            <v>20.8</v>
          </cell>
        </row>
        <row r="1685">
          <cell r="B1685" t="str">
            <v>University of Zaragoza</v>
          </cell>
          <cell r="C1685" t="str">
            <v>Spain</v>
          </cell>
          <cell r="D1685">
            <v>14</v>
          </cell>
          <cell r="E1685">
            <v>366</v>
          </cell>
          <cell r="F1685">
            <v>408</v>
          </cell>
          <cell r="G1685">
            <v>218</v>
          </cell>
          <cell r="H1685">
            <v>342</v>
          </cell>
          <cell r="I1685">
            <v>675</v>
          </cell>
          <cell r="J1685">
            <v>428</v>
          </cell>
          <cell r="K1685">
            <v>471</v>
          </cell>
          <cell r="L1685">
            <v>276</v>
          </cell>
          <cell r="M1685">
            <v>44.83</v>
          </cell>
          <cell r="N1685">
            <v>2015</v>
          </cell>
          <cell r="O1685">
            <v>484</v>
          </cell>
          <cell r="P1685">
            <v>14.5</v>
          </cell>
        </row>
        <row r="1686">
          <cell r="B1686" t="str">
            <v>University of the Basque Country</v>
          </cell>
          <cell r="C1686" t="str">
            <v>Spain</v>
          </cell>
          <cell r="D1686">
            <v>15</v>
          </cell>
          <cell r="E1686">
            <v>367</v>
          </cell>
          <cell r="F1686">
            <v>567</v>
          </cell>
          <cell r="G1686">
            <v>218</v>
          </cell>
          <cell r="H1686">
            <v>318</v>
          </cell>
          <cell r="I1686">
            <v>387</v>
          </cell>
          <cell r="J1686">
            <v>511</v>
          </cell>
          <cell r="K1686">
            <v>480</v>
          </cell>
          <cell r="L1686">
            <v>266</v>
          </cell>
          <cell r="M1686">
            <v>44.83</v>
          </cell>
          <cell r="N1686">
            <v>2015</v>
          </cell>
          <cell r="O1686">
            <v>485</v>
          </cell>
          <cell r="P1686">
            <v>18.2</v>
          </cell>
        </row>
        <row r="1687">
          <cell r="B1687" t="str">
            <v>Nagasaki University</v>
          </cell>
          <cell r="C1687" t="str">
            <v>Japan</v>
          </cell>
          <cell r="D1687">
            <v>24</v>
          </cell>
          <cell r="E1687">
            <v>299</v>
          </cell>
          <cell r="F1687">
            <v>214</v>
          </cell>
          <cell r="G1687">
            <v>218</v>
          </cell>
          <cell r="H1687">
            <v>614</v>
          </cell>
          <cell r="I1687">
            <v>607</v>
          </cell>
          <cell r="J1687">
            <v>645</v>
          </cell>
          <cell r="K1687">
            <v>529</v>
          </cell>
          <cell r="L1687">
            <v>233</v>
          </cell>
          <cell r="M1687">
            <v>44.82</v>
          </cell>
          <cell r="N1687">
            <v>2015</v>
          </cell>
          <cell r="O1687">
            <v>486</v>
          </cell>
          <cell r="P1687">
            <v>22.8</v>
          </cell>
        </row>
        <row r="1688">
          <cell r="B1688" t="str">
            <v>Technical University of Dortmund</v>
          </cell>
          <cell r="C1688" t="str">
            <v>Germany</v>
          </cell>
          <cell r="D1688">
            <v>37</v>
          </cell>
          <cell r="E1688">
            <v>367</v>
          </cell>
          <cell r="F1688">
            <v>567</v>
          </cell>
          <cell r="G1688">
            <v>218</v>
          </cell>
          <cell r="H1688">
            <v>459</v>
          </cell>
          <cell r="I1688">
            <v>528</v>
          </cell>
          <cell r="J1688">
            <v>368</v>
          </cell>
          <cell r="K1688">
            <v>420</v>
          </cell>
          <cell r="L1688">
            <v>284</v>
          </cell>
          <cell r="M1688">
            <v>44.82</v>
          </cell>
          <cell r="N1688">
            <v>2015</v>
          </cell>
          <cell r="O1688">
            <v>487</v>
          </cell>
          <cell r="P1688">
            <v>34.200000000000003</v>
          </cell>
        </row>
        <row r="1689">
          <cell r="B1689" t="str">
            <v>University of Hawaii at Manoa</v>
          </cell>
          <cell r="C1689" t="str">
            <v>USA</v>
          </cell>
          <cell r="D1689">
            <v>156</v>
          </cell>
          <cell r="E1689">
            <v>367</v>
          </cell>
          <cell r="F1689">
            <v>435</v>
          </cell>
          <cell r="G1689">
            <v>153</v>
          </cell>
          <cell r="H1689">
            <v>448</v>
          </cell>
          <cell r="I1689">
            <v>213</v>
          </cell>
          <cell r="J1689">
            <v>368</v>
          </cell>
          <cell r="K1689">
            <v>457</v>
          </cell>
          <cell r="L1689">
            <v>490</v>
          </cell>
          <cell r="M1689">
            <v>44.82</v>
          </cell>
          <cell r="N1689">
            <v>2015</v>
          </cell>
          <cell r="O1689">
            <v>488</v>
          </cell>
          <cell r="P1689" t="e">
            <v>#N/A</v>
          </cell>
        </row>
        <row r="1690">
          <cell r="B1690" t="str">
            <v>University of Nebraska Omaha</v>
          </cell>
          <cell r="C1690" t="str">
            <v>USA</v>
          </cell>
          <cell r="D1690">
            <v>157</v>
          </cell>
          <cell r="E1690">
            <v>367</v>
          </cell>
          <cell r="F1690">
            <v>365</v>
          </cell>
          <cell r="G1690">
            <v>218</v>
          </cell>
          <cell r="H1690">
            <v>704</v>
          </cell>
          <cell r="I1690">
            <v>606</v>
          </cell>
          <cell r="J1690">
            <v>428</v>
          </cell>
          <cell r="K1690">
            <v>396</v>
          </cell>
          <cell r="L1690">
            <v>871</v>
          </cell>
          <cell r="M1690">
            <v>44.81</v>
          </cell>
          <cell r="N1690">
            <v>2015</v>
          </cell>
          <cell r="O1690">
            <v>489</v>
          </cell>
          <cell r="P1690" t="e">
            <v>#N/A</v>
          </cell>
        </row>
        <row r="1691">
          <cell r="B1691" t="str">
            <v>University of Konstanz</v>
          </cell>
          <cell r="C1691" t="str">
            <v>Germany</v>
          </cell>
          <cell r="D1691">
            <v>38</v>
          </cell>
          <cell r="E1691">
            <v>367</v>
          </cell>
          <cell r="F1691">
            <v>567</v>
          </cell>
          <cell r="G1691">
            <v>218</v>
          </cell>
          <cell r="H1691">
            <v>475</v>
          </cell>
          <cell r="I1691">
            <v>337</v>
          </cell>
          <cell r="J1691">
            <v>368</v>
          </cell>
          <cell r="K1691">
            <v>402</v>
          </cell>
          <cell r="L1691">
            <v>614</v>
          </cell>
          <cell r="M1691">
            <v>44.81</v>
          </cell>
          <cell r="N1691">
            <v>2015</v>
          </cell>
          <cell r="O1691">
            <v>490</v>
          </cell>
          <cell r="P1691">
            <v>42.7</v>
          </cell>
        </row>
        <row r="1692">
          <cell r="B1692" t="str">
            <v>Panjab University</v>
          </cell>
          <cell r="C1692" t="str">
            <v>India</v>
          </cell>
          <cell r="D1692">
            <v>4</v>
          </cell>
          <cell r="E1692">
            <v>333</v>
          </cell>
          <cell r="F1692">
            <v>167</v>
          </cell>
          <cell r="G1692">
            <v>218</v>
          </cell>
          <cell r="H1692">
            <v>720</v>
          </cell>
          <cell r="I1692">
            <v>786</v>
          </cell>
          <cell r="J1692">
            <v>368</v>
          </cell>
          <cell r="K1692">
            <v>540</v>
          </cell>
          <cell r="L1692">
            <v>824</v>
          </cell>
          <cell r="M1692">
            <v>44.8</v>
          </cell>
          <cell r="N1692">
            <v>2015</v>
          </cell>
          <cell r="O1692">
            <v>491</v>
          </cell>
          <cell r="P1692">
            <v>25.8</v>
          </cell>
        </row>
        <row r="1693">
          <cell r="B1693" t="str">
            <v>University of Hanover</v>
          </cell>
          <cell r="C1693" t="str">
            <v>Germany</v>
          </cell>
          <cell r="D1693">
            <v>39</v>
          </cell>
          <cell r="E1693">
            <v>367</v>
          </cell>
          <cell r="F1693">
            <v>485</v>
          </cell>
          <cell r="G1693">
            <v>218</v>
          </cell>
          <cell r="H1693">
            <v>434</v>
          </cell>
          <cell r="I1693">
            <v>507</v>
          </cell>
          <cell r="J1693">
            <v>368</v>
          </cell>
          <cell r="K1693">
            <v>457</v>
          </cell>
          <cell r="L1693">
            <v>250</v>
          </cell>
          <cell r="M1693">
            <v>44.8</v>
          </cell>
          <cell r="N1693">
            <v>2015</v>
          </cell>
          <cell r="O1693">
            <v>492</v>
          </cell>
          <cell r="P1693" t="e">
            <v>#N/A</v>
          </cell>
        </row>
        <row r="1694">
          <cell r="B1694" t="str">
            <v>University of Maryland, Baltimore County</v>
          </cell>
          <cell r="C1694" t="str">
            <v>USA</v>
          </cell>
          <cell r="D1694">
            <v>158</v>
          </cell>
          <cell r="E1694">
            <v>367</v>
          </cell>
          <cell r="F1694">
            <v>567</v>
          </cell>
          <cell r="G1694">
            <v>218</v>
          </cell>
          <cell r="H1694">
            <v>587</v>
          </cell>
          <cell r="I1694">
            <v>391</v>
          </cell>
          <cell r="J1694">
            <v>428</v>
          </cell>
          <cell r="K1694">
            <v>402</v>
          </cell>
          <cell r="L1694">
            <v>423</v>
          </cell>
          <cell r="M1694">
            <v>44.8</v>
          </cell>
          <cell r="N1694">
            <v>2015</v>
          </cell>
          <cell r="O1694">
            <v>493</v>
          </cell>
          <cell r="P1694">
            <v>17.600000000000001</v>
          </cell>
        </row>
        <row r="1695">
          <cell r="B1695" t="str">
            <v>University of Newcastle</v>
          </cell>
          <cell r="C1695" t="str">
            <v>Australia</v>
          </cell>
          <cell r="D1695">
            <v>11</v>
          </cell>
          <cell r="E1695">
            <v>367</v>
          </cell>
          <cell r="F1695">
            <v>567</v>
          </cell>
          <cell r="G1695">
            <v>218</v>
          </cell>
          <cell r="H1695">
            <v>408</v>
          </cell>
          <cell r="I1695">
            <v>496</v>
          </cell>
          <cell r="J1695">
            <v>812</v>
          </cell>
          <cell r="K1695">
            <v>424</v>
          </cell>
          <cell r="L1695">
            <v>322</v>
          </cell>
          <cell r="M1695">
            <v>44.79</v>
          </cell>
          <cell r="N1695">
            <v>2015</v>
          </cell>
          <cell r="O1695">
            <v>494</v>
          </cell>
          <cell r="P1695">
            <v>18.2</v>
          </cell>
        </row>
        <row r="1696">
          <cell r="B1696" t="str">
            <v>University of Ulsan</v>
          </cell>
          <cell r="C1696" t="str">
            <v>South Korea</v>
          </cell>
          <cell r="D1696">
            <v>17</v>
          </cell>
          <cell r="E1696">
            <v>367</v>
          </cell>
          <cell r="F1696">
            <v>436</v>
          </cell>
          <cell r="G1696">
            <v>218</v>
          </cell>
          <cell r="H1696">
            <v>421</v>
          </cell>
          <cell r="I1696">
            <v>599</v>
          </cell>
          <cell r="J1696">
            <v>645</v>
          </cell>
          <cell r="K1696">
            <v>424</v>
          </cell>
          <cell r="L1696">
            <v>370</v>
          </cell>
          <cell r="M1696">
            <v>44.79</v>
          </cell>
          <cell r="N1696">
            <v>2015</v>
          </cell>
          <cell r="O1696">
            <v>495</v>
          </cell>
          <cell r="P1696">
            <v>19.5</v>
          </cell>
        </row>
        <row r="1697">
          <cell r="B1697" t="str">
            <v>Renmin University of China</v>
          </cell>
          <cell r="C1697" t="str">
            <v>China</v>
          </cell>
          <cell r="D1697">
            <v>27</v>
          </cell>
          <cell r="E1697">
            <v>367</v>
          </cell>
          <cell r="F1697">
            <v>100</v>
          </cell>
          <cell r="G1697">
            <v>218</v>
          </cell>
          <cell r="H1697">
            <v>965</v>
          </cell>
          <cell r="I1697">
            <v>936</v>
          </cell>
          <cell r="J1697">
            <v>812</v>
          </cell>
          <cell r="K1697">
            <v>896</v>
          </cell>
          <cell r="L1697">
            <v>715</v>
          </cell>
          <cell r="M1697">
            <v>44.79</v>
          </cell>
          <cell r="N1697">
            <v>2015</v>
          </cell>
          <cell r="O1697">
            <v>496</v>
          </cell>
          <cell r="P1697">
            <v>36.1</v>
          </cell>
        </row>
        <row r="1698">
          <cell r="B1698" t="str">
            <v>Martin Luther University of Halle-Wittenberg</v>
          </cell>
          <cell r="C1698" t="str">
            <v>Germany</v>
          </cell>
          <cell r="D1698">
            <v>40</v>
          </cell>
          <cell r="E1698">
            <v>358</v>
          </cell>
          <cell r="F1698">
            <v>567</v>
          </cell>
          <cell r="G1698">
            <v>210</v>
          </cell>
          <cell r="H1698">
            <v>394</v>
          </cell>
          <cell r="I1698">
            <v>345</v>
          </cell>
          <cell r="J1698">
            <v>812</v>
          </cell>
          <cell r="K1698">
            <v>413</v>
          </cell>
          <cell r="L1698">
            <v>706</v>
          </cell>
          <cell r="M1698">
            <v>44.79</v>
          </cell>
          <cell r="N1698">
            <v>2015</v>
          </cell>
          <cell r="O1698">
            <v>497</v>
          </cell>
          <cell r="P1698" t="e">
            <v>#N/A</v>
          </cell>
        </row>
        <row r="1699">
          <cell r="B1699" t="str">
            <v>University of Malaya</v>
          </cell>
          <cell r="C1699" t="str">
            <v>Malaysia</v>
          </cell>
          <cell r="D1699">
            <v>2</v>
          </cell>
          <cell r="E1699">
            <v>367</v>
          </cell>
          <cell r="F1699">
            <v>138</v>
          </cell>
          <cell r="G1699">
            <v>218</v>
          </cell>
          <cell r="H1699">
            <v>572</v>
          </cell>
          <cell r="I1699">
            <v>877</v>
          </cell>
          <cell r="J1699">
            <v>428</v>
          </cell>
          <cell r="K1699">
            <v>741</v>
          </cell>
          <cell r="L1699">
            <v>274</v>
          </cell>
          <cell r="M1699">
            <v>44.79</v>
          </cell>
          <cell r="N1699">
            <v>2015</v>
          </cell>
          <cell r="O1699">
            <v>498</v>
          </cell>
          <cell r="P1699" t="e">
            <v>#N/A</v>
          </cell>
        </row>
        <row r="1700">
          <cell r="B1700" t="str">
            <v>University of Savoy</v>
          </cell>
          <cell r="C1700" t="str">
            <v>France</v>
          </cell>
          <cell r="D1700">
            <v>20</v>
          </cell>
          <cell r="E1700">
            <v>367</v>
          </cell>
          <cell r="F1700">
            <v>567</v>
          </cell>
          <cell r="G1700">
            <v>218</v>
          </cell>
          <cell r="H1700">
            <v>490</v>
          </cell>
          <cell r="I1700">
            <v>435</v>
          </cell>
          <cell r="J1700">
            <v>428</v>
          </cell>
          <cell r="K1700">
            <v>402</v>
          </cell>
          <cell r="L1700">
            <v>731</v>
          </cell>
          <cell r="M1700">
            <v>44.79</v>
          </cell>
          <cell r="N1700">
            <v>2015</v>
          </cell>
          <cell r="O1700">
            <v>499</v>
          </cell>
          <cell r="P1700" t="e">
            <v>#N/A</v>
          </cell>
        </row>
        <row r="1701">
          <cell r="B1701" t="str">
            <v>University of Udine</v>
          </cell>
          <cell r="C1701" t="str">
            <v>Italy</v>
          </cell>
          <cell r="D1701">
            <v>25</v>
          </cell>
          <cell r="E1701">
            <v>367</v>
          </cell>
          <cell r="F1701">
            <v>567</v>
          </cell>
          <cell r="G1701">
            <v>218</v>
          </cell>
          <cell r="H1701">
            <v>600</v>
          </cell>
          <cell r="I1701">
            <v>390</v>
          </cell>
          <cell r="J1701">
            <v>511</v>
          </cell>
          <cell r="K1701">
            <v>396</v>
          </cell>
          <cell r="L1701">
            <v>634</v>
          </cell>
          <cell r="M1701">
            <v>44.78</v>
          </cell>
          <cell r="N1701">
            <v>2015</v>
          </cell>
          <cell r="O1701">
            <v>500</v>
          </cell>
          <cell r="P1701" t="e">
            <v>#N/A</v>
          </cell>
        </row>
        <row r="1702">
          <cell r="B1702" t="str">
            <v>Tokyo Metropolitan University</v>
          </cell>
          <cell r="C1702" t="str">
            <v>Japan</v>
          </cell>
          <cell r="D1702">
            <v>25</v>
          </cell>
          <cell r="E1702">
            <v>367</v>
          </cell>
          <cell r="F1702">
            <v>415</v>
          </cell>
          <cell r="G1702">
            <v>218</v>
          </cell>
          <cell r="H1702">
            <v>593</v>
          </cell>
          <cell r="I1702">
            <v>460</v>
          </cell>
          <cell r="J1702">
            <v>321</v>
          </cell>
          <cell r="K1702">
            <v>413</v>
          </cell>
          <cell r="L1702">
            <v>574</v>
          </cell>
          <cell r="M1702">
            <v>44.78</v>
          </cell>
          <cell r="N1702">
            <v>2015</v>
          </cell>
          <cell r="O1702">
            <v>501</v>
          </cell>
          <cell r="P1702">
            <v>19</v>
          </cell>
        </row>
        <row r="1703">
          <cell r="B1703" t="str">
            <v>University of Sherbrooke</v>
          </cell>
          <cell r="C1703" t="str">
            <v>Canada</v>
          </cell>
          <cell r="D1703">
            <v>21</v>
          </cell>
          <cell r="E1703">
            <v>367</v>
          </cell>
          <cell r="F1703">
            <v>567</v>
          </cell>
          <cell r="G1703">
            <v>218</v>
          </cell>
          <cell r="H1703">
            <v>454</v>
          </cell>
          <cell r="I1703">
            <v>421</v>
          </cell>
          <cell r="J1703">
            <v>321</v>
          </cell>
          <cell r="K1703">
            <v>413</v>
          </cell>
          <cell r="L1703">
            <v>853</v>
          </cell>
          <cell r="M1703">
            <v>44.77</v>
          </cell>
          <cell r="N1703">
            <v>2015</v>
          </cell>
          <cell r="O1703">
            <v>502</v>
          </cell>
          <cell r="P1703" t="e">
            <v>#N/A</v>
          </cell>
        </row>
        <row r="1704">
          <cell r="B1704" t="str">
            <v>University of Brescia</v>
          </cell>
          <cell r="C1704" t="str">
            <v>Italy</v>
          </cell>
          <cell r="D1704">
            <v>26</v>
          </cell>
          <cell r="E1704">
            <v>367</v>
          </cell>
          <cell r="F1704">
            <v>567</v>
          </cell>
          <cell r="G1704">
            <v>218</v>
          </cell>
          <cell r="H1704">
            <v>585</v>
          </cell>
          <cell r="I1704">
            <v>614</v>
          </cell>
          <cell r="J1704">
            <v>645</v>
          </cell>
          <cell r="K1704">
            <v>396</v>
          </cell>
          <cell r="L1704">
            <v>816</v>
          </cell>
          <cell r="M1704">
            <v>44.77</v>
          </cell>
          <cell r="N1704">
            <v>2015</v>
          </cell>
          <cell r="O1704">
            <v>503</v>
          </cell>
          <cell r="P1704">
            <v>15.6</v>
          </cell>
        </row>
        <row r="1705">
          <cell r="B1705" t="str">
            <v>University of Ljubljana</v>
          </cell>
          <cell r="C1705" t="str">
            <v>Slovenia</v>
          </cell>
          <cell r="D1705">
            <v>1</v>
          </cell>
          <cell r="E1705">
            <v>367</v>
          </cell>
          <cell r="F1705">
            <v>567</v>
          </cell>
          <cell r="G1705">
            <v>218</v>
          </cell>
          <cell r="H1705">
            <v>341</v>
          </cell>
          <cell r="I1705">
            <v>415</v>
          </cell>
          <cell r="J1705">
            <v>321</v>
          </cell>
          <cell r="K1705">
            <v>457</v>
          </cell>
          <cell r="L1705">
            <v>507</v>
          </cell>
          <cell r="M1705">
            <v>44.77</v>
          </cell>
          <cell r="N1705">
            <v>2015</v>
          </cell>
          <cell r="O1705">
            <v>504</v>
          </cell>
          <cell r="P1705">
            <v>24.9</v>
          </cell>
        </row>
        <row r="1706">
          <cell r="B1706" t="str">
            <v>University of Nice Sophia Antipolis</v>
          </cell>
          <cell r="C1706" t="str">
            <v>France</v>
          </cell>
          <cell r="D1706">
            <v>21</v>
          </cell>
          <cell r="E1706">
            <v>266</v>
          </cell>
          <cell r="F1706">
            <v>567</v>
          </cell>
          <cell r="G1706">
            <v>218</v>
          </cell>
          <cell r="H1706">
            <v>451</v>
          </cell>
          <cell r="I1706">
            <v>259</v>
          </cell>
          <cell r="J1706">
            <v>511</v>
          </cell>
          <cell r="K1706">
            <v>424</v>
          </cell>
          <cell r="L1706">
            <v>513</v>
          </cell>
          <cell r="M1706">
            <v>44.75</v>
          </cell>
          <cell r="N1706">
            <v>2015</v>
          </cell>
          <cell r="O1706">
            <v>505</v>
          </cell>
          <cell r="P1706">
            <v>21.4</v>
          </cell>
        </row>
        <row r="1707">
          <cell r="B1707" t="str">
            <v>University of Hull</v>
          </cell>
          <cell r="C1707" t="str">
            <v>United Kingdom</v>
          </cell>
          <cell r="D1707">
            <v>38</v>
          </cell>
          <cell r="E1707">
            <v>305</v>
          </cell>
          <cell r="F1707">
            <v>253</v>
          </cell>
          <cell r="G1707">
            <v>162</v>
          </cell>
          <cell r="H1707">
            <v>602</v>
          </cell>
          <cell r="I1707">
            <v>557</v>
          </cell>
          <cell r="J1707">
            <v>511</v>
          </cell>
          <cell r="K1707">
            <v>511</v>
          </cell>
          <cell r="L1707">
            <v>524</v>
          </cell>
          <cell r="M1707">
            <v>44.75</v>
          </cell>
          <cell r="N1707">
            <v>2015</v>
          </cell>
          <cell r="O1707">
            <v>506</v>
          </cell>
          <cell r="P1707">
            <v>14.5</v>
          </cell>
        </row>
        <row r="1708">
          <cell r="B1708" t="str">
            <v>University of Coimbra</v>
          </cell>
          <cell r="C1708" t="str">
            <v>Portugal</v>
          </cell>
          <cell r="D1708">
            <v>3</v>
          </cell>
          <cell r="E1708">
            <v>359</v>
          </cell>
          <cell r="F1708">
            <v>567</v>
          </cell>
          <cell r="G1708">
            <v>218</v>
          </cell>
          <cell r="H1708">
            <v>415</v>
          </cell>
          <cell r="I1708">
            <v>423</v>
          </cell>
          <cell r="J1708">
            <v>645</v>
          </cell>
          <cell r="K1708">
            <v>424</v>
          </cell>
          <cell r="L1708">
            <v>459</v>
          </cell>
          <cell r="M1708">
            <v>44.75</v>
          </cell>
          <cell r="N1708">
            <v>2015</v>
          </cell>
          <cell r="O1708">
            <v>507</v>
          </cell>
          <cell r="P1708">
            <v>20.6</v>
          </cell>
        </row>
        <row r="1709">
          <cell r="B1709" t="str">
            <v>Creighton University</v>
          </cell>
          <cell r="C1709" t="str">
            <v>USA</v>
          </cell>
          <cell r="D1709">
            <v>159</v>
          </cell>
          <cell r="E1709">
            <v>367</v>
          </cell>
          <cell r="F1709">
            <v>567</v>
          </cell>
          <cell r="G1709">
            <v>218</v>
          </cell>
          <cell r="H1709">
            <v>824</v>
          </cell>
          <cell r="I1709">
            <v>724</v>
          </cell>
          <cell r="J1709">
            <v>368</v>
          </cell>
          <cell r="K1709">
            <v>402</v>
          </cell>
          <cell r="L1709">
            <v>615</v>
          </cell>
          <cell r="M1709">
            <v>44.75</v>
          </cell>
          <cell r="N1709">
            <v>2015</v>
          </cell>
          <cell r="O1709">
            <v>508</v>
          </cell>
          <cell r="P1709">
            <v>43.6</v>
          </cell>
        </row>
        <row r="1710">
          <cell r="B1710" t="str">
            <v>Georgia State University</v>
          </cell>
          <cell r="C1710" t="str">
            <v>USA</v>
          </cell>
          <cell r="D1710">
            <v>160</v>
          </cell>
          <cell r="E1710">
            <v>367</v>
          </cell>
          <cell r="F1710">
            <v>405</v>
          </cell>
          <cell r="G1710">
            <v>218</v>
          </cell>
          <cell r="H1710">
            <v>449</v>
          </cell>
          <cell r="I1710">
            <v>484</v>
          </cell>
          <cell r="J1710">
            <v>511</v>
          </cell>
          <cell r="K1710">
            <v>457</v>
          </cell>
          <cell r="L1710">
            <v>360</v>
          </cell>
          <cell r="M1710">
            <v>44.74</v>
          </cell>
          <cell r="N1710">
            <v>2015</v>
          </cell>
          <cell r="O1710">
            <v>509</v>
          </cell>
          <cell r="P1710">
            <v>19.600000000000001</v>
          </cell>
        </row>
        <row r="1711">
          <cell r="B1711" t="str">
            <v>University of Wisconsinâ€“Milwaukee</v>
          </cell>
          <cell r="C1711" t="str">
            <v>USA</v>
          </cell>
          <cell r="D1711">
            <v>161</v>
          </cell>
          <cell r="E1711">
            <v>229</v>
          </cell>
          <cell r="F1711">
            <v>248</v>
          </cell>
          <cell r="G1711">
            <v>218</v>
          </cell>
          <cell r="H1711">
            <v>516</v>
          </cell>
          <cell r="I1711">
            <v>491</v>
          </cell>
          <cell r="J1711">
            <v>511</v>
          </cell>
          <cell r="K1711">
            <v>503</v>
          </cell>
          <cell r="L1711">
            <v>871</v>
          </cell>
          <cell r="M1711">
            <v>44.74</v>
          </cell>
          <cell r="N1711">
            <v>2015</v>
          </cell>
          <cell r="O1711">
            <v>510</v>
          </cell>
          <cell r="P1711" t="e">
            <v>#N/A</v>
          </cell>
        </row>
        <row r="1712">
          <cell r="B1712" t="str">
            <v>Catholic University of Korea</v>
          </cell>
          <cell r="C1712" t="str">
            <v>South Korea</v>
          </cell>
          <cell r="D1712">
            <v>18</v>
          </cell>
          <cell r="E1712">
            <v>367</v>
          </cell>
          <cell r="F1712">
            <v>567</v>
          </cell>
          <cell r="G1712">
            <v>218</v>
          </cell>
          <cell r="H1712">
            <v>576</v>
          </cell>
          <cell r="I1712">
            <v>792</v>
          </cell>
          <cell r="J1712">
            <v>645</v>
          </cell>
          <cell r="K1712">
            <v>590</v>
          </cell>
          <cell r="L1712">
            <v>139</v>
          </cell>
          <cell r="M1712">
            <v>44.74</v>
          </cell>
          <cell r="N1712">
            <v>2015</v>
          </cell>
          <cell r="O1712">
            <v>511</v>
          </cell>
          <cell r="P1712" t="e">
            <v>#N/A</v>
          </cell>
        </row>
        <row r="1713">
          <cell r="B1713" t="str">
            <v>University of Tokushima</v>
          </cell>
          <cell r="C1713" t="str">
            <v>Japan</v>
          </cell>
          <cell r="D1713">
            <v>26</v>
          </cell>
          <cell r="E1713">
            <v>107</v>
          </cell>
          <cell r="F1713">
            <v>567</v>
          </cell>
          <cell r="G1713">
            <v>218</v>
          </cell>
          <cell r="H1713">
            <v>643</v>
          </cell>
          <cell r="I1713">
            <v>453</v>
          </cell>
          <cell r="J1713">
            <v>645</v>
          </cell>
          <cell r="K1713">
            <v>529</v>
          </cell>
          <cell r="L1713">
            <v>247</v>
          </cell>
          <cell r="M1713">
            <v>44.73</v>
          </cell>
          <cell r="N1713">
            <v>2015</v>
          </cell>
          <cell r="O1713">
            <v>512</v>
          </cell>
          <cell r="P1713" t="e">
            <v>#N/A</v>
          </cell>
        </row>
        <row r="1714">
          <cell r="B1714" t="str">
            <v>Yokohama City University</v>
          </cell>
          <cell r="C1714" t="str">
            <v>Japan</v>
          </cell>
          <cell r="D1714">
            <v>27</v>
          </cell>
          <cell r="E1714">
            <v>367</v>
          </cell>
          <cell r="F1714">
            <v>231</v>
          </cell>
          <cell r="G1714">
            <v>218</v>
          </cell>
          <cell r="H1714">
            <v>685</v>
          </cell>
          <cell r="I1714">
            <v>370</v>
          </cell>
          <cell r="J1714">
            <v>645</v>
          </cell>
          <cell r="K1714">
            <v>520</v>
          </cell>
          <cell r="L1714">
            <v>359</v>
          </cell>
          <cell r="M1714">
            <v>44.73</v>
          </cell>
          <cell r="N1714">
            <v>2015</v>
          </cell>
          <cell r="O1714">
            <v>513</v>
          </cell>
          <cell r="P1714">
            <v>24</v>
          </cell>
        </row>
        <row r="1715">
          <cell r="B1715" t="str">
            <v>Lanzhou University</v>
          </cell>
          <cell r="C1715" t="str">
            <v>China</v>
          </cell>
          <cell r="D1715">
            <v>28</v>
          </cell>
          <cell r="E1715">
            <v>367</v>
          </cell>
          <cell r="F1715">
            <v>567</v>
          </cell>
          <cell r="G1715">
            <v>218</v>
          </cell>
          <cell r="H1715">
            <v>350</v>
          </cell>
          <cell r="I1715">
            <v>689</v>
          </cell>
          <cell r="J1715">
            <v>645</v>
          </cell>
          <cell r="K1715">
            <v>457</v>
          </cell>
          <cell r="L1715">
            <v>624</v>
          </cell>
          <cell r="M1715">
            <v>44.72</v>
          </cell>
          <cell r="N1715">
            <v>2015</v>
          </cell>
          <cell r="O1715">
            <v>514</v>
          </cell>
          <cell r="P1715" t="e">
            <v>#N/A</v>
          </cell>
        </row>
        <row r="1716">
          <cell r="B1716" t="str">
            <v>University of Crete</v>
          </cell>
          <cell r="C1716" t="str">
            <v>Greece</v>
          </cell>
          <cell r="D1716">
            <v>3</v>
          </cell>
          <cell r="E1716">
            <v>367</v>
          </cell>
          <cell r="F1716">
            <v>567</v>
          </cell>
          <cell r="G1716">
            <v>218</v>
          </cell>
          <cell r="H1716">
            <v>491</v>
          </cell>
          <cell r="I1716">
            <v>518</v>
          </cell>
          <cell r="J1716">
            <v>511</v>
          </cell>
          <cell r="K1716">
            <v>420</v>
          </cell>
          <cell r="L1716">
            <v>871</v>
          </cell>
          <cell r="M1716">
            <v>44.72</v>
          </cell>
          <cell r="N1716">
            <v>2015</v>
          </cell>
          <cell r="O1716">
            <v>515</v>
          </cell>
          <cell r="P1716">
            <v>13.1</v>
          </cell>
        </row>
        <row r="1717">
          <cell r="B1717" t="str">
            <v>SUNY Downstate Medical Center</v>
          </cell>
          <cell r="C1717" t="str">
            <v>USA</v>
          </cell>
          <cell r="D1717">
            <v>162</v>
          </cell>
          <cell r="E1717">
            <v>367</v>
          </cell>
          <cell r="F1717">
            <v>567</v>
          </cell>
          <cell r="G1717">
            <v>155</v>
          </cell>
          <cell r="H1717">
            <v>756</v>
          </cell>
          <cell r="I1717">
            <v>446</v>
          </cell>
          <cell r="J1717">
            <v>511</v>
          </cell>
          <cell r="K1717">
            <v>437</v>
          </cell>
          <cell r="L1717">
            <v>660</v>
          </cell>
          <cell r="M1717">
            <v>44.72</v>
          </cell>
          <cell r="N1717">
            <v>2015</v>
          </cell>
          <cell r="O1717">
            <v>516</v>
          </cell>
          <cell r="P1717" t="e">
            <v>#N/A</v>
          </cell>
        </row>
        <row r="1718">
          <cell r="B1718" t="str">
            <v>University of Potsdam</v>
          </cell>
          <cell r="C1718" t="str">
            <v>Germany</v>
          </cell>
          <cell r="D1718">
            <v>41</v>
          </cell>
          <cell r="E1718">
            <v>367</v>
          </cell>
          <cell r="F1718">
            <v>567</v>
          </cell>
          <cell r="G1718">
            <v>218</v>
          </cell>
          <cell r="H1718">
            <v>485</v>
          </cell>
          <cell r="I1718">
            <v>313</v>
          </cell>
          <cell r="J1718">
            <v>511</v>
          </cell>
          <cell r="K1718">
            <v>424</v>
          </cell>
          <cell r="L1718">
            <v>584</v>
          </cell>
          <cell r="M1718">
            <v>44.72</v>
          </cell>
          <cell r="N1718">
            <v>2015</v>
          </cell>
          <cell r="O1718">
            <v>517</v>
          </cell>
          <cell r="P1718" t="e">
            <v>#N/A</v>
          </cell>
        </row>
        <row r="1719">
          <cell r="B1719" t="str">
            <v>Yokohama National University</v>
          </cell>
          <cell r="C1719" t="str">
            <v>Japan</v>
          </cell>
          <cell r="D1719">
            <v>28</v>
          </cell>
          <cell r="E1719">
            <v>88</v>
          </cell>
          <cell r="F1719">
            <v>217</v>
          </cell>
          <cell r="G1719">
            <v>135</v>
          </cell>
          <cell r="H1719">
            <v>909</v>
          </cell>
          <cell r="I1719">
            <v>865</v>
          </cell>
          <cell r="J1719">
            <v>645</v>
          </cell>
          <cell r="K1719">
            <v>809</v>
          </cell>
          <cell r="L1719">
            <v>440</v>
          </cell>
          <cell r="M1719">
            <v>44.72</v>
          </cell>
          <cell r="N1719">
            <v>2015</v>
          </cell>
          <cell r="O1719">
            <v>518</v>
          </cell>
          <cell r="P1719">
            <v>20.100000000000001</v>
          </cell>
        </row>
        <row r="1720">
          <cell r="B1720" t="str">
            <v>New Mexico State University</v>
          </cell>
          <cell r="C1720" t="str">
            <v>USA</v>
          </cell>
          <cell r="D1720">
            <v>163</v>
          </cell>
          <cell r="E1720">
            <v>367</v>
          </cell>
          <cell r="F1720">
            <v>432</v>
          </cell>
          <cell r="G1720">
            <v>218</v>
          </cell>
          <cell r="H1720">
            <v>711</v>
          </cell>
          <cell r="I1720">
            <v>585</v>
          </cell>
          <cell r="J1720">
            <v>321</v>
          </cell>
          <cell r="K1720">
            <v>424</v>
          </cell>
          <cell r="L1720">
            <v>871</v>
          </cell>
          <cell r="M1720">
            <v>44.71</v>
          </cell>
          <cell r="N1720">
            <v>2015</v>
          </cell>
          <cell r="O1720">
            <v>519</v>
          </cell>
          <cell r="P1720">
            <v>19.5</v>
          </cell>
        </row>
        <row r="1721">
          <cell r="B1721" t="str">
            <v>University of Bayreuth</v>
          </cell>
          <cell r="C1721" t="str">
            <v>Germany</v>
          </cell>
          <cell r="D1721">
            <v>42</v>
          </cell>
          <cell r="E1721">
            <v>367</v>
          </cell>
          <cell r="F1721">
            <v>567</v>
          </cell>
          <cell r="G1721">
            <v>218</v>
          </cell>
          <cell r="H1721">
            <v>457</v>
          </cell>
          <cell r="I1721">
            <v>331</v>
          </cell>
          <cell r="J1721">
            <v>321</v>
          </cell>
          <cell r="K1721">
            <v>447</v>
          </cell>
          <cell r="L1721">
            <v>603</v>
          </cell>
          <cell r="M1721">
            <v>44.71</v>
          </cell>
          <cell r="N1721">
            <v>2015</v>
          </cell>
          <cell r="O1721">
            <v>520</v>
          </cell>
          <cell r="P1721" t="e">
            <v>#N/A</v>
          </cell>
        </row>
        <row r="1722">
          <cell r="B1722" t="str">
            <v>Bar-Ilan University</v>
          </cell>
          <cell r="C1722" t="str">
            <v>Israel</v>
          </cell>
          <cell r="D1722">
            <v>6</v>
          </cell>
          <cell r="E1722">
            <v>280</v>
          </cell>
          <cell r="F1722">
            <v>392</v>
          </cell>
          <cell r="G1722">
            <v>218</v>
          </cell>
          <cell r="H1722">
            <v>404</v>
          </cell>
          <cell r="I1722">
            <v>410</v>
          </cell>
          <cell r="J1722">
            <v>645</v>
          </cell>
          <cell r="K1722">
            <v>495</v>
          </cell>
          <cell r="L1722">
            <v>338</v>
          </cell>
          <cell r="M1722">
            <v>44.71</v>
          </cell>
          <cell r="N1722">
            <v>2015</v>
          </cell>
          <cell r="O1722">
            <v>521</v>
          </cell>
          <cell r="P1722">
            <v>27.9</v>
          </cell>
        </row>
        <row r="1723">
          <cell r="B1723" t="str">
            <v>University of Mississippi - Oxford Campus</v>
          </cell>
          <cell r="C1723" t="str">
            <v>USA</v>
          </cell>
          <cell r="D1723">
            <v>164</v>
          </cell>
          <cell r="E1723">
            <v>367</v>
          </cell>
          <cell r="F1723">
            <v>567</v>
          </cell>
          <cell r="G1723">
            <v>218</v>
          </cell>
          <cell r="H1723">
            <v>508</v>
          </cell>
          <cell r="I1723">
            <v>851</v>
          </cell>
          <cell r="J1723">
            <v>428</v>
          </cell>
          <cell r="K1723">
            <v>424</v>
          </cell>
          <cell r="L1723">
            <v>611</v>
          </cell>
          <cell r="M1723">
            <v>44.7</v>
          </cell>
          <cell r="N1723">
            <v>2015</v>
          </cell>
          <cell r="O1723">
            <v>522</v>
          </cell>
          <cell r="P1723" t="e">
            <v>#N/A</v>
          </cell>
        </row>
        <row r="1724">
          <cell r="B1724" t="str">
            <v>University of Tasmania</v>
          </cell>
          <cell r="C1724" t="str">
            <v>Australia</v>
          </cell>
          <cell r="D1724">
            <v>12</v>
          </cell>
          <cell r="E1724">
            <v>367</v>
          </cell>
          <cell r="F1724">
            <v>567</v>
          </cell>
          <cell r="G1724">
            <v>218</v>
          </cell>
          <cell r="H1724">
            <v>429</v>
          </cell>
          <cell r="I1724">
            <v>261</v>
          </cell>
          <cell r="J1724">
            <v>645</v>
          </cell>
          <cell r="K1724">
            <v>447</v>
          </cell>
          <cell r="L1724">
            <v>727</v>
          </cell>
          <cell r="M1724">
            <v>44.7</v>
          </cell>
          <cell r="N1724">
            <v>2015</v>
          </cell>
          <cell r="O1724">
            <v>523</v>
          </cell>
          <cell r="P1724">
            <v>18.5</v>
          </cell>
        </row>
        <row r="1725">
          <cell r="B1725" t="str">
            <v>Graduate University for Advanced Studies</v>
          </cell>
          <cell r="C1725" t="str">
            <v>Japan</v>
          </cell>
          <cell r="D1725">
            <v>29</v>
          </cell>
          <cell r="E1725">
            <v>367</v>
          </cell>
          <cell r="F1725">
            <v>567</v>
          </cell>
          <cell r="G1725">
            <v>218</v>
          </cell>
          <cell r="H1725">
            <v>613</v>
          </cell>
          <cell r="I1725">
            <v>291</v>
          </cell>
          <cell r="J1725">
            <v>645</v>
          </cell>
          <cell r="K1725">
            <v>420</v>
          </cell>
          <cell r="L1725">
            <v>871</v>
          </cell>
          <cell r="M1725">
            <v>44.7</v>
          </cell>
          <cell r="N1725">
            <v>2015</v>
          </cell>
          <cell r="O1725">
            <v>524</v>
          </cell>
          <cell r="P1725" t="e">
            <v>#N/A</v>
          </cell>
        </row>
        <row r="1726">
          <cell r="B1726" t="str">
            <v>University of Surrey</v>
          </cell>
          <cell r="C1726" t="str">
            <v>United Kingdom</v>
          </cell>
          <cell r="D1726">
            <v>39</v>
          </cell>
          <cell r="E1726">
            <v>217</v>
          </cell>
          <cell r="F1726">
            <v>295</v>
          </cell>
          <cell r="G1726">
            <v>218</v>
          </cell>
          <cell r="H1726">
            <v>419</v>
          </cell>
          <cell r="I1726">
            <v>553</v>
          </cell>
          <cell r="J1726">
            <v>428</v>
          </cell>
          <cell r="K1726">
            <v>549</v>
          </cell>
          <cell r="L1726">
            <v>300</v>
          </cell>
          <cell r="M1726">
            <v>44.7</v>
          </cell>
          <cell r="N1726">
            <v>2015</v>
          </cell>
          <cell r="O1726">
            <v>525</v>
          </cell>
          <cell r="P1726">
            <v>32.6</v>
          </cell>
        </row>
        <row r="1727">
          <cell r="B1727" t="str">
            <v>Federal University of Minas Gerais</v>
          </cell>
          <cell r="C1727" t="str">
            <v>Brazil</v>
          </cell>
          <cell r="D1727">
            <v>4</v>
          </cell>
          <cell r="E1727">
            <v>367</v>
          </cell>
          <cell r="F1727">
            <v>425</v>
          </cell>
          <cell r="G1727">
            <v>218</v>
          </cell>
          <cell r="H1727">
            <v>417</v>
          </cell>
          <cell r="I1727">
            <v>521</v>
          </cell>
          <cell r="J1727">
            <v>428</v>
          </cell>
          <cell r="K1727">
            <v>549</v>
          </cell>
          <cell r="L1727">
            <v>207</v>
          </cell>
          <cell r="M1727">
            <v>44.7</v>
          </cell>
          <cell r="N1727">
            <v>2015</v>
          </cell>
          <cell r="O1727">
            <v>526</v>
          </cell>
          <cell r="P1727">
            <v>27.9</v>
          </cell>
        </row>
        <row r="1728">
          <cell r="B1728" t="str">
            <v>University of TromsÃ¸ - The Arctic University of Norway</v>
          </cell>
          <cell r="C1728" t="str">
            <v>Norway</v>
          </cell>
          <cell r="D1728">
            <v>4</v>
          </cell>
          <cell r="E1728">
            <v>367</v>
          </cell>
          <cell r="F1728">
            <v>567</v>
          </cell>
          <cell r="G1728">
            <v>218</v>
          </cell>
          <cell r="H1728">
            <v>493</v>
          </cell>
          <cell r="I1728">
            <v>407</v>
          </cell>
          <cell r="J1728">
            <v>287</v>
          </cell>
          <cell r="K1728">
            <v>447</v>
          </cell>
          <cell r="L1728">
            <v>824</v>
          </cell>
          <cell r="M1728">
            <v>44.7</v>
          </cell>
          <cell r="N1728">
            <v>2015</v>
          </cell>
          <cell r="O1728">
            <v>527</v>
          </cell>
          <cell r="P1728" t="e">
            <v>#N/A</v>
          </cell>
        </row>
        <row r="1729">
          <cell r="B1729" t="str">
            <v>University of Palermo</v>
          </cell>
          <cell r="C1729" t="str">
            <v>Italy</v>
          </cell>
          <cell r="D1729">
            <v>27</v>
          </cell>
          <cell r="E1729">
            <v>367</v>
          </cell>
          <cell r="F1729">
            <v>567</v>
          </cell>
          <cell r="G1729">
            <v>218</v>
          </cell>
          <cell r="H1729">
            <v>452</v>
          </cell>
          <cell r="I1729">
            <v>545</v>
          </cell>
          <cell r="J1729">
            <v>812</v>
          </cell>
          <cell r="K1729">
            <v>437</v>
          </cell>
          <cell r="L1729">
            <v>559</v>
          </cell>
          <cell r="M1729">
            <v>44.7</v>
          </cell>
          <cell r="N1729">
            <v>2015</v>
          </cell>
          <cell r="O1729">
            <v>528</v>
          </cell>
          <cell r="P1729">
            <v>15.3</v>
          </cell>
        </row>
        <row r="1730">
          <cell r="B1730" t="str">
            <v>Shinshu University</v>
          </cell>
          <cell r="C1730" t="str">
            <v>Japan</v>
          </cell>
          <cell r="D1730">
            <v>30</v>
          </cell>
          <cell r="E1730">
            <v>367</v>
          </cell>
          <cell r="F1730">
            <v>517</v>
          </cell>
          <cell r="G1730">
            <v>218</v>
          </cell>
          <cell r="H1730">
            <v>594</v>
          </cell>
          <cell r="I1730">
            <v>602</v>
          </cell>
          <cell r="J1730">
            <v>368</v>
          </cell>
          <cell r="K1730">
            <v>486</v>
          </cell>
          <cell r="L1730">
            <v>244</v>
          </cell>
          <cell r="M1730">
            <v>44.7</v>
          </cell>
          <cell r="N1730">
            <v>2015</v>
          </cell>
          <cell r="O1730">
            <v>529</v>
          </cell>
          <cell r="P1730">
            <v>20.8</v>
          </cell>
        </row>
        <row r="1731">
          <cell r="B1731" t="str">
            <v>University of Science and Technology Beijing</v>
          </cell>
          <cell r="C1731" t="str">
            <v>China</v>
          </cell>
          <cell r="D1731">
            <v>29</v>
          </cell>
          <cell r="E1731">
            <v>367</v>
          </cell>
          <cell r="F1731">
            <v>121</v>
          </cell>
          <cell r="G1731">
            <v>218</v>
          </cell>
          <cell r="H1731">
            <v>542</v>
          </cell>
          <cell r="I1731">
            <v>937</v>
          </cell>
          <cell r="J1731">
            <v>511</v>
          </cell>
          <cell r="K1731">
            <v>886</v>
          </cell>
          <cell r="L1731">
            <v>408</v>
          </cell>
          <cell r="M1731">
            <v>44.7</v>
          </cell>
          <cell r="N1731">
            <v>2015</v>
          </cell>
          <cell r="O1731">
            <v>530</v>
          </cell>
          <cell r="P1731">
            <v>25.1</v>
          </cell>
        </row>
        <row r="1732">
          <cell r="B1732" t="str">
            <v>University of Catania</v>
          </cell>
          <cell r="C1732" t="str">
            <v>Italy</v>
          </cell>
          <cell r="D1732">
            <v>28</v>
          </cell>
          <cell r="E1732">
            <v>213</v>
          </cell>
          <cell r="F1732">
            <v>567</v>
          </cell>
          <cell r="G1732">
            <v>218</v>
          </cell>
          <cell r="H1732">
            <v>438</v>
          </cell>
          <cell r="I1732">
            <v>693</v>
          </cell>
          <cell r="J1732">
            <v>428</v>
          </cell>
          <cell r="K1732">
            <v>457</v>
          </cell>
          <cell r="L1732">
            <v>853</v>
          </cell>
          <cell r="M1732">
            <v>44.69</v>
          </cell>
          <cell r="N1732">
            <v>2015</v>
          </cell>
          <cell r="O1732">
            <v>531</v>
          </cell>
          <cell r="P1732">
            <v>19.2</v>
          </cell>
        </row>
        <row r="1733">
          <cell r="B1733" t="str">
            <v>Mahidol University</v>
          </cell>
          <cell r="C1733" t="str">
            <v>Thailand</v>
          </cell>
          <cell r="D1733">
            <v>2</v>
          </cell>
          <cell r="E1733">
            <v>367</v>
          </cell>
          <cell r="F1733">
            <v>567</v>
          </cell>
          <cell r="G1733">
            <v>218</v>
          </cell>
          <cell r="H1733">
            <v>476</v>
          </cell>
          <cell r="I1733">
            <v>372</v>
          </cell>
          <cell r="J1733">
            <v>368</v>
          </cell>
          <cell r="K1733">
            <v>447</v>
          </cell>
          <cell r="L1733">
            <v>861</v>
          </cell>
          <cell r="M1733">
            <v>44.69</v>
          </cell>
          <cell r="N1733">
            <v>2015</v>
          </cell>
          <cell r="O1733">
            <v>532</v>
          </cell>
          <cell r="P1733">
            <v>29.9</v>
          </cell>
        </row>
        <row r="1734">
          <cell r="B1734" t="str">
            <v>University of Canterbury</v>
          </cell>
          <cell r="C1734" t="str">
            <v>New Zealand</v>
          </cell>
          <cell r="D1734">
            <v>3</v>
          </cell>
          <cell r="E1734">
            <v>190</v>
          </cell>
          <cell r="F1734">
            <v>195</v>
          </cell>
          <cell r="G1734">
            <v>218</v>
          </cell>
          <cell r="H1734">
            <v>569</v>
          </cell>
          <cell r="I1734">
            <v>437</v>
          </cell>
          <cell r="J1734">
            <v>428</v>
          </cell>
          <cell r="K1734">
            <v>606</v>
          </cell>
          <cell r="L1734">
            <v>871</v>
          </cell>
          <cell r="M1734">
            <v>44.68</v>
          </cell>
          <cell r="N1734">
            <v>2015</v>
          </cell>
          <cell r="O1734">
            <v>533</v>
          </cell>
          <cell r="P1734">
            <v>17.3</v>
          </cell>
        </row>
        <row r="1735">
          <cell r="B1735" t="str">
            <v>Indian Institute of Technology Madras</v>
          </cell>
          <cell r="C1735" t="str">
            <v>India</v>
          </cell>
          <cell r="D1735">
            <v>5</v>
          </cell>
          <cell r="E1735">
            <v>367</v>
          </cell>
          <cell r="F1735">
            <v>147</v>
          </cell>
          <cell r="G1735">
            <v>218</v>
          </cell>
          <cell r="H1735">
            <v>523</v>
          </cell>
          <cell r="I1735">
            <v>943</v>
          </cell>
          <cell r="J1735">
            <v>812</v>
          </cell>
          <cell r="K1735">
            <v>796</v>
          </cell>
          <cell r="L1735">
            <v>317</v>
          </cell>
          <cell r="M1735">
            <v>44.68</v>
          </cell>
          <cell r="N1735">
            <v>2015</v>
          </cell>
          <cell r="O1735">
            <v>534</v>
          </cell>
          <cell r="P1735">
            <v>34.6</v>
          </cell>
        </row>
        <row r="1736">
          <cell r="B1736" t="str">
            <v>University of Bremen</v>
          </cell>
          <cell r="C1736" t="str">
            <v>Germany</v>
          </cell>
          <cell r="D1736">
            <v>43</v>
          </cell>
          <cell r="E1736">
            <v>367</v>
          </cell>
          <cell r="F1736">
            <v>567</v>
          </cell>
          <cell r="G1736">
            <v>218</v>
          </cell>
          <cell r="H1736">
            <v>466</v>
          </cell>
          <cell r="I1736">
            <v>289</v>
          </cell>
          <cell r="J1736">
            <v>321</v>
          </cell>
          <cell r="K1736">
            <v>471</v>
          </cell>
          <cell r="L1736">
            <v>515</v>
          </cell>
          <cell r="M1736">
            <v>44.68</v>
          </cell>
          <cell r="N1736">
            <v>2015</v>
          </cell>
          <cell r="O1736">
            <v>535</v>
          </cell>
          <cell r="P1736">
            <v>33.9</v>
          </cell>
        </row>
        <row r="1737">
          <cell r="B1737" t="str">
            <v>Otto-von-Guericke University Magdeburg</v>
          </cell>
          <cell r="C1737" t="str">
            <v>Germany</v>
          </cell>
          <cell r="D1737">
            <v>44</v>
          </cell>
          <cell r="E1737">
            <v>367</v>
          </cell>
          <cell r="F1737">
            <v>567</v>
          </cell>
          <cell r="G1737">
            <v>218</v>
          </cell>
          <cell r="H1737">
            <v>486</v>
          </cell>
          <cell r="I1737">
            <v>629</v>
          </cell>
          <cell r="J1737">
            <v>511</v>
          </cell>
          <cell r="K1737">
            <v>457</v>
          </cell>
          <cell r="L1737">
            <v>388</v>
          </cell>
          <cell r="M1737">
            <v>44.68</v>
          </cell>
          <cell r="N1737">
            <v>2015</v>
          </cell>
          <cell r="O1737">
            <v>536</v>
          </cell>
          <cell r="P1737" t="e">
            <v>#N/A</v>
          </cell>
        </row>
        <row r="1738">
          <cell r="B1738" t="str">
            <v>University of Tartu</v>
          </cell>
          <cell r="C1738" t="str">
            <v>Estonia</v>
          </cell>
          <cell r="D1738">
            <v>1</v>
          </cell>
          <cell r="E1738">
            <v>365</v>
          </cell>
          <cell r="F1738">
            <v>567</v>
          </cell>
          <cell r="G1738">
            <v>218</v>
          </cell>
          <cell r="H1738">
            <v>586</v>
          </cell>
          <cell r="I1738">
            <v>318</v>
          </cell>
          <cell r="J1738">
            <v>368</v>
          </cell>
          <cell r="K1738">
            <v>457</v>
          </cell>
          <cell r="L1738">
            <v>426</v>
          </cell>
          <cell r="M1738">
            <v>44.68</v>
          </cell>
          <cell r="N1738">
            <v>2015</v>
          </cell>
          <cell r="O1738">
            <v>537</v>
          </cell>
          <cell r="P1738">
            <v>17.8</v>
          </cell>
        </row>
        <row r="1739">
          <cell r="B1739" t="str">
            <v>University of Windsor</v>
          </cell>
          <cell r="C1739" t="str">
            <v>Canada</v>
          </cell>
          <cell r="D1739">
            <v>22</v>
          </cell>
          <cell r="E1739">
            <v>367</v>
          </cell>
          <cell r="F1739">
            <v>133</v>
          </cell>
          <cell r="G1739">
            <v>218</v>
          </cell>
          <cell r="H1739">
            <v>764</v>
          </cell>
          <cell r="I1739">
            <v>912</v>
          </cell>
          <cell r="J1739">
            <v>812</v>
          </cell>
          <cell r="K1739">
            <v>754</v>
          </cell>
          <cell r="L1739">
            <v>658</v>
          </cell>
          <cell r="M1739">
            <v>44.68</v>
          </cell>
          <cell r="N1739">
            <v>2015</v>
          </cell>
          <cell r="O1739">
            <v>538</v>
          </cell>
          <cell r="P1739" t="e">
            <v>#N/A</v>
          </cell>
        </row>
        <row r="1740">
          <cell r="B1740" t="str">
            <v>University of Nantes</v>
          </cell>
          <cell r="C1740" t="str">
            <v>France</v>
          </cell>
          <cell r="D1740">
            <v>22</v>
          </cell>
          <cell r="E1740">
            <v>367</v>
          </cell>
          <cell r="F1740">
            <v>567</v>
          </cell>
          <cell r="G1740">
            <v>218</v>
          </cell>
          <cell r="H1740">
            <v>483</v>
          </cell>
          <cell r="I1740">
            <v>420</v>
          </cell>
          <cell r="J1740">
            <v>511</v>
          </cell>
          <cell r="K1740">
            <v>447</v>
          </cell>
          <cell r="L1740">
            <v>579</v>
          </cell>
          <cell r="M1740">
            <v>44.67</v>
          </cell>
          <cell r="N1740">
            <v>2015</v>
          </cell>
          <cell r="O1740">
            <v>539</v>
          </cell>
          <cell r="P1740">
            <v>19.600000000000001</v>
          </cell>
        </row>
        <row r="1741">
          <cell r="B1741" t="str">
            <v>Royal Holloway, University of London</v>
          </cell>
          <cell r="C1741" t="str">
            <v>United Kingdom</v>
          </cell>
          <cell r="D1741">
            <v>40</v>
          </cell>
          <cell r="E1741">
            <v>367</v>
          </cell>
          <cell r="F1741">
            <v>567</v>
          </cell>
          <cell r="G1741">
            <v>218</v>
          </cell>
          <cell r="H1741">
            <v>564</v>
          </cell>
          <cell r="I1741">
            <v>306</v>
          </cell>
          <cell r="J1741">
            <v>428</v>
          </cell>
          <cell r="K1741">
            <v>447</v>
          </cell>
          <cell r="L1741">
            <v>556</v>
          </cell>
          <cell r="M1741">
            <v>44.67</v>
          </cell>
          <cell r="N1741">
            <v>2015</v>
          </cell>
          <cell r="O1741">
            <v>540</v>
          </cell>
          <cell r="P1741">
            <v>37.700000000000003</v>
          </cell>
        </row>
        <row r="1742">
          <cell r="B1742" t="str">
            <v>James Cook University</v>
          </cell>
          <cell r="C1742" t="str">
            <v>Australia</v>
          </cell>
          <cell r="D1742">
            <v>13</v>
          </cell>
          <cell r="E1742">
            <v>367</v>
          </cell>
          <cell r="F1742">
            <v>567</v>
          </cell>
          <cell r="G1742">
            <v>218</v>
          </cell>
          <cell r="H1742">
            <v>505</v>
          </cell>
          <cell r="I1742">
            <v>248</v>
          </cell>
          <cell r="J1742">
            <v>428</v>
          </cell>
          <cell r="K1742">
            <v>457</v>
          </cell>
          <cell r="L1742">
            <v>665</v>
          </cell>
          <cell r="M1742">
            <v>44.67</v>
          </cell>
          <cell r="N1742">
            <v>2015</v>
          </cell>
          <cell r="O1742">
            <v>541</v>
          </cell>
          <cell r="P1742">
            <v>19</v>
          </cell>
        </row>
        <row r="1743">
          <cell r="B1743" t="str">
            <v>National Yang-Ming University</v>
          </cell>
          <cell r="C1743" t="str">
            <v>Taiwan</v>
          </cell>
          <cell r="D1743">
            <v>5</v>
          </cell>
          <cell r="E1743">
            <v>367</v>
          </cell>
          <cell r="F1743">
            <v>567</v>
          </cell>
          <cell r="G1743">
            <v>218</v>
          </cell>
          <cell r="H1743">
            <v>345</v>
          </cell>
          <cell r="I1743">
            <v>517</v>
          </cell>
          <cell r="J1743">
            <v>511</v>
          </cell>
          <cell r="K1743">
            <v>495</v>
          </cell>
          <cell r="L1743">
            <v>824</v>
          </cell>
          <cell r="M1743">
            <v>44.65</v>
          </cell>
          <cell r="N1743">
            <v>2015</v>
          </cell>
          <cell r="O1743">
            <v>542</v>
          </cell>
          <cell r="P1743">
            <v>41.5</v>
          </cell>
        </row>
        <row r="1744">
          <cell r="B1744" t="str">
            <v>University of Akron</v>
          </cell>
          <cell r="C1744" t="str">
            <v>USA</v>
          </cell>
          <cell r="D1744">
            <v>165</v>
          </cell>
          <cell r="E1744">
            <v>367</v>
          </cell>
          <cell r="F1744">
            <v>400</v>
          </cell>
          <cell r="G1744">
            <v>218</v>
          </cell>
          <cell r="H1744">
            <v>656</v>
          </cell>
          <cell r="I1744">
            <v>653</v>
          </cell>
          <cell r="J1744">
            <v>645</v>
          </cell>
          <cell r="K1744">
            <v>606</v>
          </cell>
          <cell r="L1744">
            <v>166</v>
          </cell>
          <cell r="M1744">
            <v>44.65</v>
          </cell>
          <cell r="N1744">
            <v>2015</v>
          </cell>
          <cell r="O1744">
            <v>543</v>
          </cell>
          <cell r="P1744" t="e">
            <v>#N/A</v>
          </cell>
        </row>
        <row r="1745">
          <cell r="B1745" t="str">
            <v>National Chung Hsing University</v>
          </cell>
          <cell r="C1745" t="str">
            <v>Taiwan</v>
          </cell>
          <cell r="D1745">
            <v>6</v>
          </cell>
          <cell r="E1745">
            <v>367</v>
          </cell>
          <cell r="F1745">
            <v>211</v>
          </cell>
          <cell r="G1745">
            <v>218</v>
          </cell>
          <cell r="H1745">
            <v>412</v>
          </cell>
          <cell r="I1745">
            <v>682</v>
          </cell>
          <cell r="J1745">
            <v>511</v>
          </cell>
          <cell r="K1745">
            <v>606</v>
          </cell>
          <cell r="L1745">
            <v>871</v>
          </cell>
          <cell r="M1745">
            <v>44.65</v>
          </cell>
          <cell r="N1745">
            <v>2015</v>
          </cell>
          <cell r="O1745">
            <v>544</v>
          </cell>
          <cell r="P1745">
            <v>20.2</v>
          </cell>
        </row>
        <row r="1746">
          <cell r="B1746" t="str">
            <v>City University London</v>
          </cell>
          <cell r="C1746" t="str">
            <v>United Kingdom</v>
          </cell>
          <cell r="D1746">
            <v>41</v>
          </cell>
          <cell r="E1746">
            <v>367</v>
          </cell>
          <cell r="F1746">
            <v>122</v>
          </cell>
          <cell r="G1746">
            <v>218</v>
          </cell>
          <cell r="H1746">
            <v>785</v>
          </cell>
          <cell r="I1746">
            <v>861</v>
          </cell>
          <cell r="J1746">
            <v>812</v>
          </cell>
          <cell r="K1746">
            <v>880</v>
          </cell>
          <cell r="L1746">
            <v>601</v>
          </cell>
          <cell r="M1746">
            <v>44.64</v>
          </cell>
          <cell r="N1746">
            <v>2015</v>
          </cell>
          <cell r="O1746">
            <v>545</v>
          </cell>
          <cell r="P1746">
            <v>23.5</v>
          </cell>
        </row>
        <row r="1747">
          <cell r="B1747" t="str">
            <v>New York Medical College</v>
          </cell>
          <cell r="C1747" t="str">
            <v>USA</v>
          </cell>
          <cell r="D1747">
            <v>166</v>
          </cell>
          <cell r="E1747">
            <v>367</v>
          </cell>
          <cell r="F1747">
            <v>567</v>
          </cell>
          <cell r="G1747">
            <v>218</v>
          </cell>
          <cell r="H1747">
            <v>752</v>
          </cell>
          <cell r="I1747">
            <v>622</v>
          </cell>
          <cell r="J1747">
            <v>812</v>
          </cell>
          <cell r="K1747">
            <v>437</v>
          </cell>
          <cell r="L1747">
            <v>719</v>
          </cell>
          <cell r="M1747">
            <v>44.64</v>
          </cell>
          <cell r="N1747">
            <v>2015</v>
          </cell>
          <cell r="O1747">
            <v>546</v>
          </cell>
          <cell r="P1747" t="e">
            <v>#N/A</v>
          </cell>
        </row>
        <row r="1748">
          <cell r="B1748" t="str">
            <v>Nara Institute of Science and Technology</v>
          </cell>
          <cell r="C1748" t="str">
            <v>Japan</v>
          </cell>
          <cell r="D1748">
            <v>31</v>
          </cell>
          <cell r="E1748">
            <v>367</v>
          </cell>
          <cell r="F1748">
            <v>567</v>
          </cell>
          <cell r="G1748">
            <v>218</v>
          </cell>
          <cell r="H1748">
            <v>773</v>
          </cell>
          <cell r="I1748">
            <v>329</v>
          </cell>
          <cell r="J1748">
            <v>645</v>
          </cell>
          <cell r="K1748">
            <v>495</v>
          </cell>
          <cell r="L1748">
            <v>270</v>
          </cell>
          <cell r="M1748">
            <v>44.63</v>
          </cell>
          <cell r="N1748">
            <v>2015</v>
          </cell>
          <cell r="O1748">
            <v>547</v>
          </cell>
          <cell r="P1748" t="e">
            <v>#N/A</v>
          </cell>
        </row>
        <row r="1749">
          <cell r="B1749" t="str">
            <v>Ã‰cole Centrale Paris</v>
          </cell>
          <cell r="C1749" t="str">
            <v>France</v>
          </cell>
          <cell r="D1749">
            <v>23</v>
          </cell>
          <cell r="E1749">
            <v>367</v>
          </cell>
          <cell r="F1749">
            <v>111</v>
          </cell>
          <cell r="G1749">
            <v>218</v>
          </cell>
          <cell r="H1749">
            <v>995</v>
          </cell>
          <cell r="I1749">
            <v>827</v>
          </cell>
          <cell r="J1749">
            <v>812</v>
          </cell>
          <cell r="K1749">
            <v>958</v>
          </cell>
          <cell r="L1749">
            <v>839</v>
          </cell>
          <cell r="M1749">
            <v>44.63</v>
          </cell>
          <cell r="N1749">
            <v>2015</v>
          </cell>
          <cell r="O1749">
            <v>548</v>
          </cell>
          <cell r="P1749" t="e">
            <v>#N/A</v>
          </cell>
        </row>
        <row r="1750">
          <cell r="B1750" t="str">
            <v>Auburn University</v>
          </cell>
          <cell r="C1750" t="str">
            <v>USA</v>
          </cell>
          <cell r="D1750">
            <v>167</v>
          </cell>
          <cell r="E1750">
            <v>367</v>
          </cell>
          <cell r="F1750">
            <v>232</v>
          </cell>
          <cell r="G1750">
            <v>218</v>
          </cell>
          <cell r="H1750">
            <v>472</v>
          </cell>
          <cell r="I1750">
            <v>569</v>
          </cell>
          <cell r="J1750">
            <v>368</v>
          </cell>
          <cell r="K1750">
            <v>606</v>
          </cell>
          <cell r="L1750">
            <v>425</v>
          </cell>
          <cell r="M1750">
            <v>44.63</v>
          </cell>
          <cell r="N1750">
            <v>2015</v>
          </cell>
          <cell r="O1750">
            <v>549</v>
          </cell>
          <cell r="P1750">
            <v>33.700000000000003</v>
          </cell>
        </row>
        <row r="1751">
          <cell r="B1751" t="str">
            <v>University of Arkansas - Fayetteville</v>
          </cell>
          <cell r="C1751" t="str">
            <v>USA</v>
          </cell>
          <cell r="D1751">
            <v>168</v>
          </cell>
          <cell r="E1751">
            <v>204</v>
          </cell>
          <cell r="F1751">
            <v>345</v>
          </cell>
          <cell r="G1751">
            <v>218</v>
          </cell>
          <cell r="H1751">
            <v>517</v>
          </cell>
          <cell r="I1751">
            <v>571</v>
          </cell>
          <cell r="J1751">
            <v>645</v>
          </cell>
          <cell r="K1751">
            <v>520</v>
          </cell>
          <cell r="L1751">
            <v>409</v>
          </cell>
          <cell r="M1751">
            <v>44.62</v>
          </cell>
          <cell r="N1751">
            <v>2015</v>
          </cell>
          <cell r="O1751">
            <v>550</v>
          </cell>
          <cell r="P1751" t="e">
            <v>#N/A</v>
          </cell>
        </row>
        <row r="1752">
          <cell r="B1752" t="str">
            <v>University of Zagreb</v>
          </cell>
          <cell r="C1752" t="str">
            <v>Croatia</v>
          </cell>
          <cell r="D1752">
            <v>1</v>
          </cell>
          <cell r="E1752">
            <v>367</v>
          </cell>
          <cell r="F1752">
            <v>567</v>
          </cell>
          <cell r="G1752">
            <v>218</v>
          </cell>
          <cell r="H1752">
            <v>553</v>
          </cell>
          <cell r="I1752">
            <v>541</v>
          </cell>
          <cell r="J1752">
            <v>428</v>
          </cell>
          <cell r="K1752">
            <v>471</v>
          </cell>
          <cell r="L1752">
            <v>650</v>
          </cell>
          <cell r="M1752">
            <v>44.62</v>
          </cell>
          <cell r="N1752">
            <v>2015</v>
          </cell>
          <cell r="O1752">
            <v>551</v>
          </cell>
          <cell r="P1752" t="e">
            <v>#N/A</v>
          </cell>
        </row>
        <row r="1753">
          <cell r="B1753" t="str">
            <v>University of LÃ¼beck</v>
          </cell>
          <cell r="C1753" t="str">
            <v>Germany</v>
          </cell>
          <cell r="D1753">
            <v>45</v>
          </cell>
          <cell r="E1753">
            <v>367</v>
          </cell>
          <cell r="F1753">
            <v>567</v>
          </cell>
          <cell r="G1753">
            <v>218</v>
          </cell>
          <cell r="H1753">
            <v>649</v>
          </cell>
          <cell r="I1753">
            <v>394</v>
          </cell>
          <cell r="J1753">
            <v>812</v>
          </cell>
          <cell r="K1753">
            <v>457</v>
          </cell>
          <cell r="L1753">
            <v>629</v>
          </cell>
          <cell r="M1753">
            <v>44.62</v>
          </cell>
          <cell r="N1753">
            <v>2015</v>
          </cell>
          <cell r="O1753">
            <v>552</v>
          </cell>
          <cell r="P1753" t="e">
            <v>#N/A</v>
          </cell>
        </row>
        <row r="1754">
          <cell r="B1754" t="str">
            <v>Hunan University</v>
          </cell>
          <cell r="C1754" t="str">
            <v>China</v>
          </cell>
          <cell r="D1754">
            <v>30</v>
          </cell>
          <cell r="E1754">
            <v>367</v>
          </cell>
          <cell r="F1754">
            <v>291</v>
          </cell>
          <cell r="G1754">
            <v>218</v>
          </cell>
          <cell r="H1754">
            <v>464</v>
          </cell>
          <cell r="I1754">
            <v>906</v>
          </cell>
          <cell r="J1754">
            <v>645</v>
          </cell>
          <cell r="K1754">
            <v>529</v>
          </cell>
          <cell r="L1754">
            <v>816</v>
          </cell>
          <cell r="M1754">
            <v>44.62</v>
          </cell>
          <cell r="N1754">
            <v>2015</v>
          </cell>
          <cell r="O1754">
            <v>553</v>
          </cell>
          <cell r="P1754">
            <v>18.3</v>
          </cell>
        </row>
        <row r="1755">
          <cell r="B1755" t="str">
            <v>University of Missouriâ€“Kansas City</v>
          </cell>
          <cell r="C1755" t="str">
            <v>USA</v>
          </cell>
          <cell r="D1755">
            <v>169</v>
          </cell>
          <cell r="E1755">
            <v>311</v>
          </cell>
          <cell r="F1755">
            <v>480</v>
          </cell>
          <cell r="G1755">
            <v>218</v>
          </cell>
          <cell r="H1755">
            <v>634</v>
          </cell>
          <cell r="I1755">
            <v>447</v>
          </cell>
          <cell r="J1755">
            <v>645</v>
          </cell>
          <cell r="K1755">
            <v>471</v>
          </cell>
          <cell r="L1755">
            <v>687</v>
          </cell>
          <cell r="M1755">
            <v>44.61</v>
          </cell>
          <cell r="N1755">
            <v>2015</v>
          </cell>
          <cell r="O1755">
            <v>554</v>
          </cell>
          <cell r="P1755" t="e">
            <v>#N/A</v>
          </cell>
        </row>
        <row r="1756">
          <cell r="B1756" t="str">
            <v>Tokyo Women's Medical University</v>
          </cell>
          <cell r="C1756" t="str">
            <v>Japan</v>
          </cell>
          <cell r="D1756">
            <v>32</v>
          </cell>
          <cell r="E1756">
            <v>367</v>
          </cell>
          <cell r="F1756">
            <v>567</v>
          </cell>
          <cell r="G1756">
            <v>218</v>
          </cell>
          <cell r="H1756">
            <v>787</v>
          </cell>
          <cell r="I1756">
            <v>594</v>
          </cell>
          <cell r="J1756">
            <v>511</v>
          </cell>
          <cell r="K1756">
            <v>480</v>
          </cell>
          <cell r="L1756">
            <v>362</v>
          </cell>
          <cell r="M1756">
            <v>44.61</v>
          </cell>
          <cell r="N1756">
            <v>2015</v>
          </cell>
          <cell r="O1756">
            <v>555</v>
          </cell>
          <cell r="P1756" t="e">
            <v>#N/A</v>
          </cell>
        </row>
        <row r="1757">
          <cell r="B1757" t="str">
            <v>Montana State University - Bozeman</v>
          </cell>
          <cell r="C1757" t="str">
            <v>USA</v>
          </cell>
          <cell r="D1757">
            <v>170</v>
          </cell>
          <cell r="E1757">
            <v>367</v>
          </cell>
          <cell r="F1757">
            <v>477</v>
          </cell>
          <cell r="G1757">
            <v>218</v>
          </cell>
          <cell r="H1757">
            <v>575</v>
          </cell>
          <cell r="I1757">
            <v>323</v>
          </cell>
          <cell r="J1757">
            <v>287</v>
          </cell>
          <cell r="K1757">
            <v>495</v>
          </cell>
          <cell r="L1757">
            <v>744</v>
          </cell>
          <cell r="M1757">
            <v>44.61</v>
          </cell>
          <cell r="N1757">
            <v>2015</v>
          </cell>
          <cell r="O1757">
            <v>556</v>
          </cell>
          <cell r="P1757" t="e">
            <v>#N/A</v>
          </cell>
        </row>
        <row r="1758">
          <cell r="B1758" t="str">
            <v>University of Aveiro</v>
          </cell>
          <cell r="C1758" t="str">
            <v>Portugal</v>
          </cell>
          <cell r="D1758">
            <v>4</v>
          </cell>
          <cell r="E1758">
            <v>367</v>
          </cell>
          <cell r="F1758">
            <v>567</v>
          </cell>
          <cell r="G1758">
            <v>218</v>
          </cell>
          <cell r="H1758">
            <v>413</v>
          </cell>
          <cell r="I1758">
            <v>680</v>
          </cell>
          <cell r="J1758">
            <v>511</v>
          </cell>
          <cell r="K1758">
            <v>590</v>
          </cell>
          <cell r="L1758">
            <v>212</v>
          </cell>
          <cell r="M1758">
            <v>44.61</v>
          </cell>
          <cell r="N1758">
            <v>2015</v>
          </cell>
          <cell r="O1758">
            <v>557</v>
          </cell>
          <cell r="P1758">
            <v>17</v>
          </cell>
        </row>
        <row r="1759">
          <cell r="B1759" t="str">
            <v>National University of Ireland, Galway</v>
          </cell>
          <cell r="C1759" t="str">
            <v>Ireland</v>
          </cell>
          <cell r="D1759">
            <v>4</v>
          </cell>
          <cell r="E1759">
            <v>367</v>
          </cell>
          <cell r="F1759">
            <v>567</v>
          </cell>
          <cell r="G1759">
            <v>218</v>
          </cell>
          <cell r="H1759">
            <v>588</v>
          </cell>
          <cell r="I1759">
            <v>546</v>
          </cell>
          <cell r="J1759">
            <v>645</v>
          </cell>
          <cell r="K1759">
            <v>503</v>
          </cell>
          <cell r="L1759">
            <v>293</v>
          </cell>
          <cell r="M1759">
            <v>44.61</v>
          </cell>
          <cell r="N1759">
            <v>2015</v>
          </cell>
          <cell r="O1759">
            <v>558</v>
          </cell>
          <cell r="P1759">
            <v>17.899999999999999</v>
          </cell>
        </row>
        <row r="1760">
          <cell r="B1760" t="str">
            <v>University of Oviedo</v>
          </cell>
          <cell r="C1760" t="str">
            <v>Spain</v>
          </cell>
          <cell r="D1760">
            <v>16</v>
          </cell>
          <cell r="E1760">
            <v>367</v>
          </cell>
          <cell r="F1760">
            <v>539</v>
          </cell>
          <cell r="G1760">
            <v>218</v>
          </cell>
          <cell r="H1760">
            <v>440</v>
          </cell>
          <cell r="I1760">
            <v>445</v>
          </cell>
          <cell r="J1760">
            <v>428</v>
          </cell>
          <cell r="K1760">
            <v>495</v>
          </cell>
          <cell r="L1760">
            <v>579</v>
          </cell>
          <cell r="M1760">
            <v>44.61</v>
          </cell>
          <cell r="N1760">
            <v>2015</v>
          </cell>
          <cell r="O1760">
            <v>559</v>
          </cell>
          <cell r="P1760">
            <v>19.5</v>
          </cell>
        </row>
        <row r="1761">
          <cell r="B1761" t="str">
            <v>Dongguk University</v>
          </cell>
          <cell r="C1761" t="str">
            <v>South Korea</v>
          </cell>
          <cell r="D1761">
            <v>19</v>
          </cell>
          <cell r="E1761">
            <v>367</v>
          </cell>
          <cell r="F1761">
            <v>305</v>
          </cell>
          <cell r="G1761">
            <v>218</v>
          </cell>
          <cell r="H1761">
            <v>927</v>
          </cell>
          <cell r="I1761">
            <v>917</v>
          </cell>
          <cell r="J1761">
            <v>812</v>
          </cell>
          <cell r="K1761">
            <v>997</v>
          </cell>
          <cell r="L1761">
            <v>108</v>
          </cell>
          <cell r="M1761">
            <v>44.61</v>
          </cell>
          <cell r="N1761">
            <v>2015</v>
          </cell>
          <cell r="O1761">
            <v>560</v>
          </cell>
          <cell r="P1761" t="e">
            <v>#N/A</v>
          </cell>
        </row>
        <row r="1762">
          <cell r="B1762" t="str">
            <v>University of Trento</v>
          </cell>
          <cell r="C1762" t="str">
            <v>Italy</v>
          </cell>
          <cell r="D1762">
            <v>29</v>
          </cell>
          <cell r="E1762">
            <v>367</v>
          </cell>
          <cell r="F1762">
            <v>567</v>
          </cell>
          <cell r="G1762">
            <v>218</v>
          </cell>
          <cell r="H1762">
            <v>488</v>
          </cell>
          <cell r="I1762">
            <v>556</v>
          </cell>
          <cell r="J1762">
            <v>368</v>
          </cell>
          <cell r="K1762">
            <v>486</v>
          </cell>
          <cell r="L1762">
            <v>861</v>
          </cell>
          <cell r="M1762">
            <v>44.61</v>
          </cell>
          <cell r="N1762">
            <v>2015</v>
          </cell>
          <cell r="O1762">
            <v>561</v>
          </cell>
          <cell r="P1762">
            <v>21.9</v>
          </cell>
        </row>
        <row r="1763">
          <cell r="B1763" t="str">
            <v>University Lille 1: Sciences and Technologies</v>
          </cell>
          <cell r="C1763" t="str">
            <v>France</v>
          </cell>
          <cell r="D1763">
            <v>24</v>
          </cell>
          <cell r="E1763">
            <v>367</v>
          </cell>
          <cell r="F1763">
            <v>567</v>
          </cell>
          <cell r="G1763">
            <v>218</v>
          </cell>
          <cell r="H1763">
            <v>414</v>
          </cell>
          <cell r="I1763">
            <v>400</v>
          </cell>
          <cell r="J1763">
            <v>368</v>
          </cell>
          <cell r="K1763">
            <v>511</v>
          </cell>
          <cell r="L1763">
            <v>546</v>
          </cell>
          <cell r="M1763">
            <v>44.6</v>
          </cell>
          <cell r="N1763">
            <v>2015</v>
          </cell>
          <cell r="O1763">
            <v>562</v>
          </cell>
          <cell r="P1763" t="e">
            <v>#N/A</v>
          </cell>
        </row>
        <row r="1764">
          <cell r="B1764" t="str">
            <v>Chang Gung University</v>
          </cell>
          <cell r="C1764" t="str">
            <v>Taiwan</v>
          </cell>
          <cell r="D1764">
            <v>7</v>
          </cell>
          <cell r="E1764">
            <v>367</v>
          </cell>
          <cell r="F1764">
            <v>567</v>
          </cell>
          <cell r="G1764">
            <v>218</v>
          </cell>
          <cell r="H1764">
            <v>344</v>
          </cell>
          <cell r="I1764">
            <v>598</v>
          </cell>
          <cell r="J1764">
            <v>812</v>
          </cell>
          <cell r="K1764">
            <v>520</v>
          </cell>
          <cell r="L1764">
            <v>824</v>
          </cell>
          <cell r="M1764">
            <v>44.6</v>
          </cell>
          <cell r="N1764">
            <v>2015</v>
          </cell>
          <cell r="O1764">
            <v>563</v>
          </cell>
          <cell r="P1764">
            <v>19.3</v>
          </cell>
        </row>
        <row r="1765">
          <cell r="B1765" t="str">
            <v>National Central University</v>
          </cell>
          <cell r="C1765" t="str">
            <v>Taiwan</v>
          </cell>
          <cell r="D1765">
            <v>8</v>
          </cell>
          <cell r="E1765">
            <v>225</v>
          </cell>
          <cell r="F1765">
            <v>567</v>
          </cell>
          <cell r="G1765">
            <v>218</v>
          </cell>
          <cell r="H1765">
            <v>384</v>
          </cell>
          <cell r="I1765">
            <v>468</v>
          </cell>
          <cell r="J1765">
            <v>511</v>
          </cell>
          <cell r="K1765">
            <v>520</v>
          </cell>
          <cell r="L1765">
            <v>839</v>
          </cell>
          <cell r="M1765">
            <v>44.6</v>
          </cell>
          <cell r="N1765">
            <v>2015</v>
          </cell>
          <cell r="O1765">
            <v>564</v>
          </cell>
          <cell r="P1765">
            <v>24.7</v>
          </cell>
        </row>
        <row r="1766">
          <cell r="B1766" t="str">
            <v>Aalborg University</v>
          </cell>
          <cell r="C1766" t="str">
            <v>Denmark</v>
          </cell>
          <cell r="D1766">
            <v>5</v>
          </cell>
          <cell r="E1766">
            <v>367</v>
          </cell>
          <cell r="F1766">
            <v>439</v>
          </cell>
          <cell r="G1766">
            <v>218</v>
          </cell>
          <cell r="H1766">
            <v>596</v>
          </cell>
          <cell r="I1766">
            <v>660</v>
          </cell>
          <cell r="J1766">
            <v>287</v>
          </cell>
          <cell r="K1766">
            <v>520</v>
          </cell>
          <cell r="L1766">
            <v>401</v>
          </cell>
          <cell r="M1766">
            <v>44.59</v>
          </cell>
          <cell r="N1766">
            <v>2015</v>
          </cell>
          <cell r="O1766">
            <v>565</v>
          </cell>
          <cell r="P1766">
            <v>19</v>
          </cell>
        </row>
        <row r="1767">
          <cell r="B1767" t="str">
            <v>Utah State University</v>
          </cell>
          <cell r="C1767" t="str">
            <v>USA</v>
          </cell>
          <cell r="D1767">
            <v>171</v>
          </cell>
          <cell r="E1767">
            <v>166</v>
          </cell>
          <cell r="F1767">
            <v>352</v>
          </cell>
          <cell r="G1767">
            <v>218</v>
          </cell>
          <cell r="H1767">
            <v>564</v>
          </cell>
          <cell r="I1767">
            <v>414</v>
          </cell>
          <cell r="J1767">
            <v>368</v>
          </cell>
          <cell r="K1767">
            <v>565</v>
          </cell>
          <cell r="L1767">
            <v>371</v>
          </cell>
          <cell r="M1767">
            <v>44.59</v>
          </cell>
          <cell r="N1767">
            <v>2015</v>
          </cell>
          <cell r="O1767">
            <v>566</v>
          </cell>
          <cell r="P1767" t="e">
            <v>#N/A</v>
          </cell>
        </row>
        <row r="1768">
          <cell r="B1768" t="str">
            <v>Baylor University</v>
          </cell>
          <cell r="C1768" t="str">
            <v>USA</v>
          </cell>
          <cell r="D1768">
            <v>172</v>
          </cell>
          <cell r="E1768">
            <v>367</v>
          </cell>
          <cell r="F1768">
            <v>293</v>
          </cell>
          <cell r="G1768">
            <v>218</v>
          </cell>
          <cell r="H1768">
            <v>682</v>
          </cell>
          <cell r="I1768">
            <v>681</v>
          </cell>
          <cell r="J1768">
            <v>321</v>
          </cell>
          <cell r="K1768">
            <v>540</v>
          </cell>
          <cell r="L1768">
            <v>630</v>
          </cell>
          <cell r="M1768">
            <v>44.59</v>
          </cell>
          <cell r="N1768">
            <v>2015</v>
          </cell>
          <cell r="O1768">
            <v>567</v>
          </cell>
          <cell r="P1768" t="e">
            <v>#N/A</v>
          </cell>
        </row>
        <row r="1769">
          <cell r="B1769" t="str">
            <v>Bangor University</v>
          </cell>
          <cell r="C1769" t="str">
            <v>United Kingdom</v>
          </cell>
          <cell r="D1769">
            <v>42</v>
          </cell>
          <cell r="E1769">
            <v>260</v>
          </cell>
          <cell r="F1769">
            <v>370</v>
          </cell>
          <cell r="G1769">
            <v>218</v>
          </cell>
          <cell r="H1769">
            <v>622</v>
          </cell>
          <cell r="I1769">
            <v>568</v>
          </cell>
          <cell r="J1769">
            <v>511</v>
          </cell>
          <cell r="K1769">
            <v>529</v>
          </cell>
          <cell r="L1769">
            <v>342</v>
          </cell>
          <cell r="M1769">
            <v>44.59</v>
          </cell>
          <cell r="N1769">
            <v>2015</v>
          </cell>
          <cell r="O1769">
            <v>568</v>
          </cell>
          <cell r="P1769">
            <v>24.9</v>
          </cell>
        </row>
        <row r="1770">
          <cell r="B1770" t="str">
            <v>King Saud University</v>
          </cell>
          <cell r="C1770" t="str">
            <v>Saudi Arabia</v>
          </cell>
          <cell r="D1770">
            <v>1</v>
          </cell>
          <cell r="E1770">
            <v>367</v>
          </cell>
          <cell r="F1770">
            <v>182</v>
          </cell>
          <cell r="G1770">
            <v>218</v>
          </cell>
          <cell r="H1770">
            <v>560</v>
          </cell>
          <cell r="I1770">
            <v>539</v>
          </cell>
          <cell r="J1770">
            <v>645</v>
          </cell>
          <cell r="K1770">
            <v>837</v>
          </cell>
          <cell r="L1770">
            <v>232</v>
          </cell>
          <cell r="M1770">
            <v>44.59</v>
          </cell>
          <cell r="N1770">
            <v>2015</v>
          </cell>
          <cell r="O1770">
            <v>569</v>
          </cell>
          <cell r="P1770">
            <v>21.4</v>
          </cell>
        </row>
        <row r="1771">
          <cell r="B1771" t="str">
            <v>University of Cagliari</v>
          </cell>
          <cell r="C1771" t="str">
            <v>Italy</v>
          </cell>
          <cell r="D1771">
            <v>30</v>
          </cell>
          <cell r="E1771">
            <v>367</v>
          </cell>
          <cell r="F1771">
            <v>567</v>
          </cell>
          <cell r="G1771">
            <v>218</v>
          </cell>
          <cell r="H1771">
            <v>518</v>
          </cell>
          <cell r="I1771">
            <v>567</v>
          </cell>
          <cell r="J1771">
            <v>511</v>
          </cell>
          <cell r="K1771">
            <v>486</v>
          </cell>
          <cell r="L1771">
            <v>623</v>
          </cell>
          <cell r="M1771">
            <v>44.59</v>
          </cell>
          <cell r="N1771">
            <v>2015</v>
          </cell>
          <cell r="O1771">
            <v>570</v>
          </cell>
          <cell r="P1771">
            <v>19.399999999999999</v>
          </cell>
        </row>
        <row r="1772">
          <cell r="B1772" t="str">
            <v>Kent State University</v>
          </cell>
          <cell r="C1772" t="str">
            <v>USA</v>
          </cell>
          <cell r="D1772">
            <v>173</v>
          </cell>
          <cell r="E1772">
            <v>367</v>
          </cell>
          <cell r="F1772">
            <v>567</v>
          </cell>
          <cell r="G1772">
            <v>218</v>
          </cell>
          <cell r="H1772">
            <v>610</v>
          </cell>
          <cell r="I1772">
            <v>436</v>
          </cell>
          <cell r="J1772">
            <v>511</v>
          </cell>
          <cell r="K1772">
            <v>486</v>
          </cell>
          <cell r="L1772">
            <v>498</v>
          </cell>
          <cell r="M1772">
            <v>44.58</v>
          </cell>
          <cell r="N1772">
            <v>2015</v>
          </cell>
          <cell r="O1772">
            <v>571</v>
          </cell>
          <cell r="P1772">
            <v>33.5</v>
          </cell>
        </row>
        <row r="1773">
          <cell r="B1773" t="str">
            <v>Central China Normal University</v>
          </cell>
          <cell r="C1773" t="str">
            <v>China</v>
          </cell>
          <cell r="D1773">
            <v>31</v>
          </cell>
          <cell r="E1773">
            <v>367</v>
          </cell>
          <cell r="F1773">
            <v>567</v>
          </cell>
          <cell r="G1773">
            <v>218</v>
          </cell>
          <cell r="H1773">
            <v>631</v>
          </cell>
          <cell r="I1773">
            <v>855</v>
          </cell>
          <cell r="J1773">
            <v>511</v>
          </cell>
          <cell r="K1773">
            <v>480</v>
          </cell>
          <cell r="L1773">
            <v>778</v>
          </cell>
          <cell r="M1773">
            <v>44.58</v>
          </cell>
          <cell r="N1773">
            <v>2015</v>
          </cell>
          <cell r="O1773">
            <v>572</v>
          </cell>
          <cell r="P1773" t="e">
            <v>#N/A</v>
          </cell>
        </row>
        <row r="1774">
          <cell r="B1774" t="str">
            <v>University of Fribourg</v>
          </cell>
          <cell r="C1774" t="str">
            <v>Switzerland</v>
          </cell>
          <cell r="D1774">
            <v>8</v>
          </cell>
          <cell r="E1774">
            <v>232</v>
          </cell>
          <cell r="F1774">
            <v>252</v>
          </cell>
          <cell r="G1774">
            <v>218</v>
          </cell>
          <cell r="H1774">
            <v>734</v>
          </cell>
          <cell r="I1774">
            <v>428</v>
          </cell>
          <cell r="J1774">
            <v>428</v>
          </cell>
          <cell r="K1774">
            <v>579</v>
          </cell>
          <cell r="L1774">
            <v>787</v>
          </cell>
          <cell r="M1774">
            <v>44.58</v>
          </cell>
          <cell r="N1774">
            <v>2015</v>
          </cell>
          <cell r="O1774">
            <v>573</v>
          </cell>
          <cell r="P1774">
            <v>20.8</v>
          </cell>
        </row>
        <row r="1775">
          <cell r="B1775" t="str">
            <v>Medical University of Graz</v>
          </cell>
          <cell r="C1775" t="str">
            <v>Austria</v>
          </cell>
          <cell r="D1775">
            <v>6</v>
          </cell>
          <cell r="E1775">
            <v>367</v>
          </cell>
          <cell r="F1775">
            <v>567</v>
          </cell>
          <cell r="G1775">
            <v>218</v>
          </cell>
          <cell r="H1775">
            <v>573</v>
          </cell>
          <cell r="I1775">
            <v>628</v>
          </cell>
          <cell r="J1775">
            <v>812</v>
          </cell>
          <cell r="K1775">
            <v>486</v>
          </cell>
          <cell r="L1775">
            <v>576</v>
          </cell>
          <cell r="M1775">
            <v>44.58</v>
          </cell>
          <cell r="N1775">
            <v>2015</v>
          </cell>
          <cell r="O1775">
            <v>574</v>
          </cell>
          <cell r="P1775" t="e">
            <v>#N/A</v>
          </cell>
        </row>
        <row r="1776">
          <cell r="B1776" t="str">
            <v>Second University of Naples</v>
          </cell>
          <cell r="C1776" t="str">
            <v>Italy</v>
          </cell>
          <cell r="D1776">
            <v>31</v>
          </cell>
          <cell r="E1776">
            <v>367</v>
          </cell>
          <cell r="F1776">
            <v>567</v>
          </cell>
          <cell r="G1776">
            <v>218</v>
          </cell>
          <cell r="H1776">
            <v>556</v>
          </cell>
          <cell r="I1776">
            <v>641</v>
          </cell>
          <cell r="J1776">
            <v>645</v>
          </cell>
          <cell r="K1776">
            <v>486</v>
          </cell>
          <cell r="L1776">
            <v>824</v>
          </cell>
          <cell r="M1776">
            <v>44.57</v>
          </cell>
          <cell r="N1776">
            <v>2015</v>
          </cell>
          <cell r="O1776">
            <v>575</v>
          </cell>
          <cell r="P1776" t="e">
            <v>#N/A</v>
          </cell>
        </row>
        <row r="1777">
          <cell r="B1777" t="str">
            <v>International School for Advanced Studies</v>
          </cell>
          <cell r="C1777" t="str">
            <v>Italy</v>
          </cell>
          <cell r="D1777">
            <v>32</v>
          </cell>
          <cell r="E1777">
            <v>367</v>
          </cell>
          <cell r="F1777">
            <v>567</v>
          </cell>
          <cell r="G1777">
            <v>218</v>
          </cell>
          <cell r="H1777">
            <v>623</v>
          </cell>
          <cell r="I1777">
            <v>406</v>
          </cell>
          <cell r="J1777">
            <v>812</v>
          </cell>
          <cell r="K1777">
            <v>486</v>
          </cell>
          <cell r="L1777">
            <v>768</v>
          </cell>
          <cell r="M1777">
            <v>44.57</v>
          </cell>
          <cell r="N1777">
            <v>2015</v>
          </cell>
          <cell r="O1777">
            <v>576</v>
          </cell>
          <cell r="P1777" t="e">
            <v>#N/A</v>
          </cell>
        </row>
        <row r="1778">
          <cell r="B1778" t="str">
            <v>Tampere University of Technology</v>
          </cell>
          <cell r="C1778" t="str">
            <v>Finland</v>
          </cell>
          <cell r="D1778">
            <v>7</v>
          </cell>
          <cell r="E1778">
            <v>367</v>
          </cell>
          <cell r="F1778">
            <v>156</v>
          </cell>
          <cell r="G1778">
            <v>218</v>
          </cell>
          <cell r="H1778">
            <v>816</v>
          </cell>
          <cell r="I1778">
            <v>646</v>
          </cell>
          <cell r="J1778">
            <v>645</v>
          </cell>
          <cell r="K1778">
            <v>796</v>
          </cell>
          <cell r="L1778">
            <v>746</v>
          </cell>
          <cell r="M1778">
            <v>44.56</v>
          </cell>
          <cell r="N1778">
            <v>2015</v>
          </cell>
          <cell r="O1778">
            <v>577</v>
          </cell>
          <cell r="P1778">
            <v>23.1</v>
          </cell>
        </row>
        <row r="1779">
          <cell r="B1779" t="str">
            <v>Inha University</v>
          </cell>
          <cell r="C1779" t="str">
            <v>South Korea</v>
          </cell>
          <cell r="D1779">
            <v>20</v>
          </cell>
          <cell r="E1779">
            <v>367</v>
          </cell>
          <cell r="F1779">
            <v>381</v>
          </cell>
          <cell r="G1779">
            <v>218</v>
          </cell>
          <cell r="H1779">
            <v>568</v>
          </cell>
          <cell r="I1779">
            <v>780</v>
          </cell>
          <cell r="J1779">
            <v>511</v>
          </cell>
          <cell r="K1779">
            <v>565</v>
          </cell>
          <cell r="L1779">
            <v>273</v>
          </cell>
          <cell r="M1779">
            <v>44.56</v>
          </cell>
          <cell r="N1779">
            <v>2015</v>
          </cell>
          <cell r="O1779">
            <v>578</v>
          </cell>
          <cell r="P1779">
            <v>20.7</v>
          </cell>
        </row>
        <row r="1780">
          <cell r="B1780" t="str">
            <v>Deakin University</v>
          </cell>
          <cell r="C1780" t="str">
            <v>Australia</v>
          </cell>
          <cell r="D1780">
            <v>14</v>
          </cell>
          <cell r="E1780">
            <v>367</v>
          </cell>
          <cell r="F1780">
            <v>424</v>
          </cell>
          <cell r="G1780">
            <v>218</v>
          </cell>
          <cell r="H1780">
            <v>502</v>
          </cell>
          <cell r="I1780">
            <v>647</v>
          </cell>
          <cell r="J1780">
            <v>321</v>
          </cell>
          <cell r="K1780">
            <v>529</v>
          </cell>
          <cell r="L1780">
            <v>636</v>
          </cell>
          <cell r="M1780">
            <v>44.56</v>
          </cell>
          <cell r="N1780">
            <v>2015</v>
          </cell>
          <cell r="O1780">
            <v>579</v>
          </cell>
          <cell r="P1780">
            <v>17.7</v>
          </cell>
        </row>
        <row r="1781">
          <cell r="B1781" t="str">
            <v>National Polytechnic Institute of Toulouse</v>
          </cell>
          <cell r="C1781" t="str">
            <v>France</v>
          </cell>
          <cell r="D1781">
            <v>25</v>
          </cell>
          <cell r="E1781">
            <v>367</v>
          </cell>
          <cell r="F1781">
            <v>242</v>
          </cell>
          <cell r="G1781">
            <v>218</v>
          </cell>
          <cell r="H1781">
            <v>486</v>
          </cell>
          <cell r="I1781">
            <v>672</v>
          </cell>
          <cell r="J1781">
            <v>812</v>
          </cell>
          <cell r="K1781">
            <v>646</v>
          </cell>
          <cell r="L1781">
            <v>413</v>
          </cell>
          <cell r="M1781">
            <v>44.56</v>
          </cell>
          <cell r="N1781">
            <v>2015</v>
          </cell>
          <cell r="O1781">
            <v>580</v>
          </cell>
          <cell r="P1781" t="e">
            <v>#N/A</v>
          </cell>
        </row>
        <row r="1782">
          <cell r="B1782" t="str">
            <v>Sogang University</v>
          </cell>
          <cell r="C1782" t="str">
            <v>South Korea</v>
          </cell>
          <cell r="D1782">
            <v>21</v>
          </cell>
          <cell r="E1782">
            <v>367</v>
          </cell>
          <cell r="F1782">
            <v>567</v>
          </cell>
          <cell r="G1782">
            <v>218</v>
          </cell>
          <cell r="H1782">
            <v>806</v>
          </cell>
          <cell r="I1782">
            <v>798</v>
          </cell>
          <cell r="J1782">
            <v>812</v>
          </cell>
          <cell r="K1782">
            <v>921</v>
          </cell>
          <cell r="L1782">
            <v>115</v>
          </cell>
          <cell r="M1782">
            <v>44.56</v>
          </cell>
          <cell r="N1782">
            <v>2015</v>
          </cell>
          <cell r="O1782">
            <v>581</v>
          </cell>
          <cell r="P1782">
            <v>21.5</v>
          </cell>
        </row>
        <row r="1783">
          <cell r="B1783" t="str">
            <v>University of Ioannina</v>
          </cell>
          <cell r="C1783" t="str">
            <v>Greece</v>
          </cell>
          <cell r="D1783">
            <v>4</v>
          </cell>
          <cell r="E1783">
            <v>367</v>
          </cell>
          <cell r="F1783">
            <v>567</v>
          </cell>
          <cell r="G1783">
            <v>218</v>
          </cell>
          <cell r="H1783">
            <v>597</v>
          </cell>
          <cell r="I1783">
            <v>836</v>
          </cell>
          <cell r="J1783">
            <v>645</v>
          </cell>
          <cell r="K1783">
            <v>495</v>
          </cell>
          <cell r="L1783">
            <v>871</v>
          </cell>
          <cell r="M1783">
            <v>44.55</v>
          </cell>
          <cell r="N1783">
            <v>2015</v>
          </cell>
          <cell r="O1783">
            <v>582</v>
          </cell>
          <cell r="P1783">
            <v>14.5</v>
          </cell>
        </row>
        <row r="1784">
          <cell r="B1784" t="str">
            <v>Federal University of Rio Grande do Sul</v>
          </cell>
          <cell r="C1784" t="str">
            <v>Brazil</v>
          </cell>
          <cell r="D1784">
            <v>5</v>
          </cell>
          <cell r="E1784">
            <v>367</v>
          </cell>
          <cell r="F1784">
            <v>567</v>
          </cell>
          <cell r="G1784">
            <v>218</v>
          </cell>
          <cell r="H1784">
            <v>410</v>
          </cell>
          <cell r="I1784">
            <v>578</v>
          </cell>
          <cell r="J1784">
            <v>428</v>
          </cell>
          <cell r="K1784">
            <v>529</v>
          </cell>
          <cell r="L1784">
            <v>787</v>
          </cell>
          <cell r="M1784">
            <v>44.55</v>
          </cell>
          <cell r="N1784">
            <v>2015</v>
          </cell>
          <cell r="O1784">
            <v>583</v>
          </cell>
          <cell r="P1784">
            <v>32.6</v>
          </cell>
        </row>
        <row r="1785">
          <cell r="B1785" t="str">
            <v>University of Graz</v>
          </cell>
          <cell r="C1785" t="str">
            <v>Austria</v>
          </cell>
          <cell r="D1785">
            <v>7</v>
          </cell>
          <cell r="E1785">
            <v>349</v>
          </cell>
          <cell r="F1785">
            <v>453</v>
          </cell>
          <cell r="G1785">
            <v>204</v>
          </cell>
          <cell r="H1785">
            <v>571</v>
          </cell>
          <cell r="I1785">
            <v>547</v>
          </cell>
          <cell r="J1785">
            <v>812</v>
          </cell>
          <cell r="K1785">
            <v>511</v>
          </cell>
          <cell r="L1785">
            <v>600</v>
          </cell>
          <cell r="M1785">
            <v>44.54</v>
          </cell>
          <cell r="N1785">
            <v>2015</v>
          </cell>
          <cell r="O1785">
            <v>584</v>
          </cell>
          <cell r="P1785">
            <v>24.9</v>
          </cell>
        </row>
        <row r="1786">
          <cell r="B1786" t="str">
            <v>University of Montana - Missoula</v>
          </cell>
          <cell r="C1786" t="str">
            <v>USA</v>
          </cell>
          <cell r="D1786">
            <v>174</v>
          </cell>
          <cell r="E1786">
            <v>353</v>
          </cell>
          <cell r="F1786">
            <v>567</v>
          </cell>
          <cell r="G1786">
            <v>218</v>
          </cell>
          <cell r="H1786">
            <v>713</v>
          </cell>
          <cell r="I1786">
            <v>315</v>
          </cell>
          <cell r="J1786">
            <v>428</v>
          </cell>
          <cell r="K1786">
            <v>503</v>
          </cell>
          <cell r="L1786">
            <v>702</v>
          </cell>
          <cell r="M1786">
            <v>44.54</v>
          </cell>
          <cell r="N1786">
            <v>2015</v>
          </cell>
          <cell r="O1786">
            <v>585</v>
          </cell>
          <cell r="P1786" t="e">
            <v>#N/A</v>
          </cell>
        </row>
        <row r="1787">
          <cell r="B1787" t="str">
            <v>East China Normal University</v>
          </cell>
          <cell r="C1787" t="str">
            <v>China</v>
          </cell>
          <cell r="D1787">
            <v>32</v>
          </cell>
          <cell r="E1787">
            <v>367</v>
          </cell>
          <cell r="F1787">
            <v>272</v>
          </cell>
          <cell r="G1787">
            <v>218</v>
          </cell>
          <cell r="H1787">
            <v>436</v>
          </cell>
          <cell r="I1787">
            <v>645</v>
          </cell>
          <cell r="J1787">
            <v>812</v>
          </cell>
          <cell r="K1787">
            <v>622</v>
          </cell>
          <cell r="L1787">
            <v>576</v>
          </cell>
          <cell r="M1787">
            <v>44.54</v>
          </cell>
          <cell r="N1787">
            <v>2015</v>
          </cell>
          <cell r="O1787">
            <v>586</v>
          </cell>
          <cell r="P1787">
            <v>24.6</v>
          </cell>
        </row>
        <row r="1788">
          <cell r="B1788" t="str">
            <v>Plymouth University</v>
          </cell>
          <cell r="C1788" t="str">
            <v>United Kingdom</v>
          </cell>
          <cell r="D1788">
            <v>43</v>
          </cell>
          <cell r="E1788">
            <v>367</v>
          </cell>
          <cell r="F1788">
            <v>544</v>
          </cell>
          <cell r="G1788">
            <v>218</v>
          </cell>
          <cell r="H1788">
            <v>532</v>
          </cell>
          <cell r="I1788">
            <v>429</v>
          </cell>
          <cell r="J1788">
            <v>511</v>
          </cell>
          <cell r="K1788">
            <v>511</v>
          </cell>
          <cell r="L1788">
            <v>651</v>
          </cell>
          <cell r="M1788">
            <v>44.54</v>
          </cell>
          <cell r="N1788">
            <v>2015</v>
          </cell>
          <cell r="O1788">
            <v>587</v>
          </cell>
          <cell r="P1788">
            <v>12.9</v>
          </cell>
        </row>
        <row r="1789">
          <cell r="B1789" t="str">
            <v>Victoria University of Wellington</v>
          </cell>
          <cell r="C1789" t="str">
            <v>New Zealand</v>
          </cell>
          <cell r="D1789">
            <v>4</v>
          </cell>
          <cell r="E1789">
            <v>317</v>
          </cell>
          <cell r="F1789">
            <v>223</v>
          </cell>
          <cell r="G1789">
            <v>218</v>
          </cell>
          <cell r="H1789">
            <v>606</v>
          </cell>
          <cell r="I1789">
            <v>469</v>
          </cell>
          <cell r="J1789">
            <v>645</v>
          </cell>
          <cell r="K1789">
            <v>646</v>
          </cell>
          <cell r="L1789">
            <v>809</v>
          </cell>
          <cell r="M1789">
            <v>44.54</v>
          </cell>
          <cell r="N1789">
            <v>2015</v>
          </cell>
          <cell r="O1789">
            <v>588</v>
          </cell>
          <cell r="P1789">
            <v>16.5</v>
          </cell>
        </row>
        <row r="1790">
          <cell r="B1790" t="str">
            <v>Federal University of SÃ£o Paulo</v>
          </cell>
          <cell r="C1790" t="str">
            <v>Brazil</v>
          </cell>
          <cell r="D1790">
            <v>6</v>
          </cell>
          <cell r="E1790">
            <v>367</v>
          </cell>
          <cell r="F1790">
            <v>567</v>
          </cell>
          <cell r="G1790">
            <v>218</v>
          </cell>
          <cell r="H1790">
            <v>504</v>
          </cell>
          <cell r="I1790">
            <v>638</v>
          </cell>
          <cell r="J1790">
            <v>368</v>
          </cell>
          <cell r="K1790">
            <v>520</v>
          </cell>
          <cell r="L1790">
            <v>839</v>
          </cell>
          <cell r="M1790">
            <v>44.53</v>
          </cell>
          <cell r="N1790">
            <v>2015</v>
          </cell>
          <cell r="O1790">
            <v>589</v>
          </cell>
          <cell r="P1790" t="e">
            <v>#N/A</v>
          </cell>
        </row>
        <row r="1791">
          <cell r="B1791" t="str">
            <v>Southern Illinois University Carbondale</v>
          </cell>
          <cell r="C1791" t="str">
            <v>USA</v>
          </cell>
          <cell r="D1791">
            <v>175</v>
          </cell>
          <cell r="E1791">
            <v>208</v>
          </cell>
          <cell r="F1791">
            <v>533</v>
          </cell>
          <cell r="G1791">
            <v>218</v>
          </cell>
          <cell r="H1791">
            <v>591</v>
          </cell>
          <cell r="I1791">
            <v>512</v>
          </cell>
          <cell r="J1791">
            <v>812</v>
          </cell>
          <cell r="K1791">
            <v>520</v>
          </cell>
          <cell r="L1791">
            <v>588</v>
          </cell>
          <cell r="M1791">
            <v>44.53</v>
          </cell>
          <cell r="N1791">
            <v>2015</v>
          </cell>
          <cell r="O1791">
            <v>590</v>
          </cell>
          <cell r="P1791" t="e">
            <v>#N/A</v>
          </cell>
        </row>
        <row r="1792">
          <cell r="B1792" t="str">
            <v>University of Alaska Fairbanks</v>
          </cell>
          <cell r="C1792" t="str">
            <v>USA</v>
          </cell>
          <cell r="D1792">
            <v>176</v>
          </cell>
          <cell r="E1792">
            <v>367</v>
          </cell>
          <cell r="F1792">
            <v>420</v>
          </cell>
          <cell r="G1792">
            <v>218</v>
          </cell>
          <cell r="H1792">
            <v>642</v>
          </cell>
          <cell r="I1792">
            <v>373</v>
          </cell>
          <cell r="J1792">
            <v>511</v>
          </cell>
          <cell r="K1792">
            <v>520</v>
          </cell>
          <cell r="L1792">
            <v>792</v>
          </cell>
          <cell r="M1792">
            <v>44.53</v>
          </cell>
          <cell r="N1792">
            <v>2015</v>
          </cell>
          <cell r="O1792">
            <v>591</v>
          </cell>
          <cell r="P1792">
            <v>26.1</v>
          </cell>
        </row>
        <row r="1793">
          <cell r="B1793" t="str">
            <v>University of Toledo</v>
          </cell>
          <cell r="C1793" t="str">
            <v>USA</v>
          </cell>
          <cell r="D1793">
            <v>177</v>
          </cell>
          <cell r="E1793">
            <v>367</v>
          </cell>
          <cell r="F1793">
            <v>567</v>
          </cell>
          <cell r="G1793">
            <v>218</v>
          </cell>
          <cell r="H1793">
            <v>618</v>
          </cell>
          <cell r="I1793">
            <v>555</v>
          </cell>
          <cell r="J1793">
            <v>812</v>
          </cell>
          <cell r="K1793">
            <v>606</v>
          </cell>
          <cell r="L1793">
            <v>220</v>
          </cell>
          <cell r="M1793">
            <v>44.53</v>
          </cell>
          <cell r="N1793">
            <v>2015</v>
          </cell>
          <cell r="O1793">
            <v>592</v>
          </cell>
          <cell r="P1793">
            <v>31.6</v>
          </cell>
        </row>
        <row r="1794">
          <cell r="B1794" t="str">
            <v>Carleton University</v>
          </cell>
          <cell r="C1794" t="str">
            <v>Canada</v>
          </cell>
          <cell r="D1794">
            <v>23</v>
          </cell>
          <cell r="E1794">
            <v>367</v>
          </cell>
          <cell r="F1794">
            <v>538</v>
          </cell>
          <cell r="G1794">
            <v>218</v>
          </cell>
          <cell r="H1794">
            <v>479</v>
          </cell>
          <cell r="I1794">
            <v>739</v>
          </cell>
          <cell r="J1794">
            <v>264</v>
          </cell>
          <cell r="K1794">
            <v>549</v>
          </cell>
          <cell r="L1794">
            <v>871</v>
          </cell>
          <cell r="M1794">
            <v>44.53</v>
          </cell>
          <cell r="N1794">
            <v>2015</v>
          </cell>
          <cell r="O1794">
            <v>593</v>
          </cell>
          <cell r="P1794">
            <v>17</v>
          </cell>
        </row>
        <row r="1795">
          <cell r="B1795" t="str">
            <v>Cranfield University</v>
          </cell>
          <cell r="C1795" t="str">
            <v>United Kingdom</v>
          </cell>
          <cell r="D1795">
            <v>44</v>
          </cell>
          <cell r="E1795">
            <v>367</v>
          </cell>
          <cell r="F1795">
            <v>176</v>
          </cell>
          <cell r="G1795">
            <v>218</v>
          </cell>
          <cell r="H1795">
            <v>763</v>
          </cell>
          <cell r="I1795">
            <v>762</v>
          </cell>
          <cell r="J1795">
            <v>812</v>
          </cell>
          <cell r="K1795">
            <v>770</v>
          </cell>
          <cell r="L1795">
            <v>549</v>
          </cell>
          <cell r="M1795">
            <v>44.52</v>
          </cell>
          <cell r="N1795">
            <v>2015</v>
          </cell>
          <cell r="O1795">
            <v>594</v>
          </cell>
          <cell r="P1795" t="e">
            <v>#N/A</v>
          </cell>
        </row>
        <row r="1796">
          <cell r="B1796" t="str">
            <v>Curtin University</v>
          </cell>
          <cell r="C1796" t="str">
            <v>Australia</v>
          </cell>
          <cell r="D1796">
            <v>15</v>
          </cell>
          <cell r="E1796">
            <v>367</v>
          </cell>
          <cell r="F1796">
            <v>559</v>
          </cell>
          <cell r="G1796">
            <v>218</v>
          </cell>
          <cell r="H1796">
            <v>425</v>
          </cell>
          <cell r="I1796">
            <v>384</v>
          </cell>
          <cell r="J1796">
            <v>511</v>
          </cell>
          <cell r="K1796">
            <v>549</v>
          </cell>
          <cell r="L1796">
            <v>518</v>
          </cell>
          <cell r="M1796">
            <v>44.52</v>
          </cell>
          <cell r="N1796">
            <v>2015</v>
          </cell>
          <cell r="O1796">
            <v>595</v>
          </cell>
          <cell r="P1796">
            <v>17.100000000000001</v>
          </cell>
        </row>
        <row r="1797">
          <cell r="B1797" t="str">
            <v>Indian Institute of Technology Bombay</v>
          </cell>
          <cell r="C1797" t="str">
            <v>India</v>
          </cell>
          <cell r="D1797">
            <v>6</v>
          </cell>
          <cell r="E1797">
            <v>367</v>
          </cell>
          <cell r="F1797">
            <v>507</v>
          </cell>
          <cell r="G1797">
            <v>218</v>
          </cell>
          <cell r="H1797">
            <v>521</v>
          </cell>
          <cell r="I1797">
            <v>815</v>
          </cell>
          <cell r="J1797">
            <v>645</v>
          </cell>
          <cell r="K1797">
            <v>699</v>
          </cell>
          <cell r="L1797">
            <v>176</v>
          </cell>
          <cell r="M1797">
            <v>44.52</v>
          </cell>
          <cell r="N1797">
            <v>2015</v>
          </cell>
          <cell r="O1797">
            <v>596</v>
          </cell>
          <cell r="P1797">
            <v>43.8</v>
          </cell>
        </row>
        <row r="1798">
          <cell r="B1798" t="str">
            <v>University of Portsmouth</v>
          </cell>
          <cell r="C1798" t="str">
            <v>United Kingdom</v>
          </cell>
          <cell r="D1798">
            <v>45</v>
          </cell>
          <cell r="E1798">
            <v>367</v>
          </cell>
          <cell r="F1798">
            <v>567</v>
          </cell>
          <cell r="G1798">
            <v>218</v>
          </cell>
          <cell r="H1798">
            <v>768</v>
          </cell>
          <cell r="I1798">
            <v>719</v>
          </cell>
          <cell r="J1798">
            <v>234</v>
          </cell>
          <cell r="K1798">
            <v>540</v>
          </cell>
          <cell r="L1798">
            <v>765</v>
          </cell>
          <cell r="M1798">
            <v>44.52</v>
          </cell>
          <cell r="N1798">
            <v>2015</v>
          </cell>
          <cell r="O1798">
            <v>597</v>
          </cell>
          <cell r="P1798">
            <v>12.8</v>
          </cell>
        </row>
        <row r="1799">
          <cell r="B1799" t="str">
            <v>Osaka Prefecture University</v>
          </cell>
          <cell r="C1799" t="str">
            <v>Japan</v>
          </cell>
          <cell r="D1799">
            <v>33</v>
          </cell>
          <cell r="E1799">
            <v>367</v>
          </cell>
          <cell r="F1799">
            <v>411</v>
          </cell>
          <cell r="G1799">
            <v>218</v>
          </cell>
          <cell r="H1799">
            <v>688</v>
          </cell>
          <cell r="I1799">
            <v>671</v>
          </cell>
          <cell r="J1799">
            <v>812</v>
          </cell>
          <cell r="K1799">
            <v>686</v>
          </cell>
          <cell r="L1799">
            <v>187</v>
          </cell>
          <cell r="M1799">
            <v>44.52</v>
          </cell>
          <cell r="N1799">
            <v>2015</v>
          </cell>
          <cell r="O1799">
            <v>598</v>
          </cell>
          <cell r="P1799">
            <v>21.6</v>
          </cell>
        </row>
        <row r="1800">
          <cell r="B1800" t="str">
            <v>Nagoya City University</v>
          </cell>
          <cell r="C1800" t="str">
            <v>Japan</v>
          </cell>
          <cell r="D1800">
            <v>34</v>
          </cell>
          <cell r="E1800">
            <v>367</v>
          </cell>
          <cell r="F1800">
            <v>333</v>
          </cell>
          <cell r="G1800">
            <v>218</v>
          </cell>
          <cell r="H1800">
            <v>785</v>
          </cell>
          <cell r="I1800">
            <v>525</v>
          </cell>
          <cell r="J1800">
            <v>368</v>
          </cell>
          <cell r="K1800">
            <v>565</v>
          </cell>
          <cell r="L1800">
            <v>400</v>
          </cell>
          <cell r="M1800">
            <v>44.52</v>
          </cell>
          <cell r="N1800">
            <v>2015</v>
          </cell>
          <cell r="O1800">
            <v>599</v>
          </cell>
          <cell r="P1800" t="e">
            <v>#N/A</v>
          </cell>
        </row>
        <row r="1801">
          <cell r="B1801" t="str">
            <v>LSU Health Sciences Center New Orleans</v>
          </cell>
          <cell r="C1801" t="str">
            <v>USA</v>
          </cell>
          <cell r="D1801">
            <v>178</v>
          </cell>
          <cell r="E1801">
            <v>367</v>
          </cell>
          <cell r="F1801">
            <v>567</v>
          </cell>
          <cell r="G1801">
            <v>218</v>
          </cell>
          <cell r="H1801">
            <v>823</v>
          </cell>
          <cell r="I1801">
            <v>544</v>
          </cell>
          <cell r="J1801">
            <v>645</v>
          </cell>
          <cell r="K1801">
            <v>503</v>
          </cell>
          <cell r="L1801">
            <v>661</v>
          </cell>
          <cell r="M1801">
            <v>44.52</v>
          </cell>
          <cell r="N1801">
            <v>2015</v>
          </cell>
          <cell r="O1801">
            <v>600</v>
          </cell>
          <cell r="P1801" t="e">
            <v>#N/A</v>
          </cell>
        </row>
        <row r="1802">
          <cell r="B1802" t="str">
            <v>Tata Institute of Fundamental Research</v>
          </cell>
          <cell r="C1802" t="str">
            <v>India</v>
          </cell>
          <cell r="D1802">
            <v>7</v>
          </cell>
          <cell r="E1802">
            <v>367</v>
          </cell>
          <cell r="F1802">
            <v>567</v>
          </cell>
          <cell r="G1802">
            <v>218</v>
          </cell>
          <cell r="H1802">
            <v>468</v>
          </cell>
          <cell r="I1802">
            <v>450</v>
          </cell>
          <cell r="J1802">
            <v>368</v>
          </cell>
          <cell r="K1802">
            <v>540</v>
          </cell>
          <cell r="L1802">
            <v>792</v>
          </cell>
          <cell r="M1802">
            <v>44.51</v>
          </cell>
          <cell r="N1802">
            <v>2015</v>
          </cell>
          <cell r="O1802">
            <v>601</v>
          </cell>
          <cell r="P1802" t="e">
            <v>#N/A</v>
          </cell>
        </row>
        <row r="1803">
          <cell r="B1803" t="str">
            <v>Konkuk University</v>
          </cell>
          <cell r="C1803" t="str">
            <v>South Korea</v>
          </cell>
          <cell r="D1803">
            <v>22</v>
          </cell>
          <cell r="E1803">
            <v>367</v>
          </cell>
          <cell r="F1803">
            <v>388</v>
          </cell>
          <cell r="G1803">
            <v>218</v>
          </cell>
          <cell r="H1803">
            <v>533</v>
          </cell>
          <cell r="I1803">
            <v>748</v>
          </cell>
          <cell r="J1803">
            <v>812</v>
          </cell>
          <cell r="K1803">
            <v>686</v>
          </cell>
          <cell r="L1803">
            <v>204</v>
          </cell>
          <cell r="M1803">
            <v>44.51</v>
          </cell>
          <cell r="N1803">
            <v>2015</v>
          </cell>
          <cell r="O1803">
            <v>602</v>
          </cell>
          <cell r="P1803">
            <v>20</v>
          </cell>
        </row>
        <row r="1804">
          <cell r="B1804" t="str">
            <v>University of La Laguna</v>
          </cell>
          <cell r="C1804" t="str">
            <v>Spain</v>
          </cell>
          <cell r="D1804">
            <v>17</v>
          </cell>
          <cell r="E1804">
            <v>367</v>
          </cell>
          <cell r="F1804">
            <v>567</v>
          </cell>
          <cell r="G1804">
            <v>218</v>
          </cell>
          <cell r="H1804">
            <v>514</v>
          </cell>
          <cell r="I1804">
            <v>336</v>
          </cell>
          <cell r="J1804">
            <v>645</v>
          </cell>
          <cell r="K1804">
            <v>529</v>
          </cell>
          <cell r="L1804">
            <v>661</v>
          </cell>
          <cell r="M1804">
            <v>44.51</v>
          </cell>
          <cell r="N1804">
            <v>2015</v>
          </cell>
          <cell r="O1804">
            <v>603</v>
          </cell>
          <cell r="P1804">
            <v>16.899999999999999</v>
          </cell>
        </row>
        <row r="1805">
          <cell r="B1805" t="str">
            <v>University of Hertfordshire</v>
          </cell>
          <cell r="C1805" t="str">
            <v>United Kingdom</v>
          </cell>
          <cell r="D1805">
            <v>46</v>
          </cell>
          <cell r="E1805">
            <v>367</v>
          </cell>
          <cell r="F1805">
            <v>567</v>
          </cell>
          <cell r="G1805">
            <v>218</v>
          </cell>
          <cell r="H1805">
            <v>792</v>
          </cell>
          <cell r="I1805">
            <v>396</v>
          </cell>
          <cell r="J1805">
            <v>511</v>
          </cell>
          <cell r="K1805">
            <v>511</v>
          </cell>
          <cell r="L1805">
            <v>839</v>
          </cell>
          <cell r="M1805">
            <v>44.51</v>
          </cell>
          <cell r="N1805">
            <v>2015</v>
          </cell>
          <cell r="O1805">
            <v>604</v>
          </cell>
          <cell r="P1805">
            <v>12.2</v>
          </cell>
        </row>
        <row r="1806">
          <cell r="B1806" t="str">
            <v>Florida International University</v>
          </cell>
          <cell r="C1806" t="str">
            <v>USA</v>
          </cell>
          <cell r="D1806">
            <v>179</v>
          </cell>
          <cell r="E1806">
            <v>367</v>
          </cell>
          <cell r="F1806">
            <v>567</v>
          </cell>
          <cell r="G1806">
            <v>218</v>
          </cell>
          <cell r="H1806">
            <v>496</v>
          </cell>
          <cell r="I1806">
            <v>508</v>
          </cell>
          <cell r="J1806">
            <v>428</v>
          </cell>
          <cell r="K1806">
            <v>540</v>
          </cell>
          <cell r="L1806">
            <v>585</v>
          </cell>
          <cell r="M1806">
            <v>44.5</v>
          </cell>
          <cell r="N1806">
            <v>2015</v>
          </cell>
          <cell r="O1806">
            <v>605</v>
          </cell>
          <cell r="P1806">
            <v>25.7</v>
          </cell>
        </row>
        <row r="1807">
          <cell r="B1807" t="str">
            <v>University of Rhode Island</v>
          </cell>
          <cell r="C1807" t="str">
            <v>USA</v>
          </cell>
          <cell r="D1807">
            <v>180</v>
          </cell>
          <cell r="E1807">
            <v>367</v>
          </cell>
          <cell r="F1807">
            <v>265</v>
          </cell>
          <cell r="G1807">
            <v>218</v>
          </cell>
          <cell r="H1807">
            <v>664</v>
          </cell>
          <cell r="I1807">
            <v>385</v>
          </cell>
          <cell r="J1807">
            <v>511</v>
          </cell>
          <cell r="K1807">
            <v>637</v>
          </cell>
          <cell r="L1807">
            <v>472</v>
          </cell>
          <cell r="M1807">
            <v>44.5</v>
          </cell>
          <cell r="N1807">
            <v>2015</v>
          </cell>
          <cell r="O1807">
            <v>606</v>
          </cell>
          <cell r="P1807" t="e">
            <v>#N/A</v>
          </cell>
        </row>
        <row r="1808">
          <cell r="B1808" t="str">
            <v>Mississippi State University</v>
          </cell>
          <cell r="C1808" t="str">
            <v>USA</v>
          </cell>
          <cell r="D1808">
            <v>181</v>
          </cell>
          <cell r="E1808">
            <v>155</v>
          </cell>
          <cell r="F1808">
            <v>220</v>
          </cell>
          <cell r="G1808">
            <v>218</v>
          </cell>
          <cell r="H1808">
            <v>605</v>
          </cell>
          <cell r="I1808">
            <v>608</v>
          </cell>
          <cell r="J1808">
            <v>645</v>
          </cell>
          <cell r="K1808">
            <v>754</v>
          </cell>
          <cell r="L1808">
            <v>566</v>
          </cell>
          <cell r="M1808">
            <v>44.5</v>
          </cell>
          <cell r="N1808">
            <v>2015</v>
          </cell>
          <cell r="O1808">
            <v>607</v>
          </cell>
          <cell r="P1808" t="e">
            <v>#N/A</v>
          </cell>
        </row>
        <row r="1809">
          <cell r="B1809" t="str">
            <v>Gunma University</v>
          </cell>
          <cell r="C1809" t="str">
            <v>Japan</v>
          </cell>
          <cell r="D1809">
            <v>35</v>
          </cell>
          <cell r="E1809">
            <v>367</v>
          </cell>
          <cell r="F1809">
            <v>567</v>
          </cell>
          <cell r="G1809">
            <v>218</v>
          </cell>
          <cell r="H1809">
            <v>627</v>
          </cell>
          <cell r="I1809">
            <v>531</v>
          </cell>
          <cell r="J1809">
            <v>511</v>
          </cell>
          <cell r="K1809">
            <v>590</v>
          </cell>
          <cell r="L1809">
            <v>252</v>
          </cell>
          <cell r="M1809">
            <v>44.5</v>
          </cell>
          <cell r="N1809">
            <v>2015</v>
          </cell>
          <cell r="O1809">
            <v>608</v>
          </cell>
          <cell r="P1809" t="e">
            <v>#N/A</v>
          </cell>
        </row>
        <row r="1810">
          <cell r="B1810" t="str">
            <v>University of New Orleans</v>
          </cell>
          <cell r="C1810" t="str">
            <v>USA</v>
          </cell>
          <cell r="D1810">
            <v>182</v>
          </cell>
          <cell r="E1810">
            <v>367</v>
          </cell>
          <cell r="F1810">
            <v>567</v>
          </cell>
          <cell r="G1810">
            <v>218</v>
          </cell>
          <cell r="H1810">
            <v>944</v>
          </cell>
          <cell r="I1810">
            <v>840</v>
          </cell>
          <cell r="J1810">
            <v>428</v>
          </cell>
          <cell r="K1810">
            <v>511</v>
          </cell>
          <cell r="L1810">
            <v>871</v>
          </cell>
          <cell r="M1810">
            <v>44.5</v>
          </cell>
          <cell r="N1810">
            <v>2015</v>
          </cell>
          <cell r="O1810">
            <v>609</v>
          </cell>
          <cell r="P1810" t="e">
            <v>#N/A</v>
          </cell>
        </row>
        <row r="1811">
          <cell r="B1811" t="str">
            <v>Putra University, Malaysia</v>
          </cell>
          <cell r="C1811" t="str">
            <v>Malaysia</v>
          </cell>
          <cell r="D1811">
            <v>3</v>
          </cell>
          <cell r="E1811">
            <v>367</v>
          </cell>
          <cell r="F1811">
            <v>567</v>
          </cell>
          <cell r="G1811">
            <v>218</v>
          </cell>
          <cell r="H1811">
            <v>860</v>
          </cell>
          <cell r="I1811">
            <v>900</v>
          </cell>
          <cell r="J1811">
            <v>812</v>
          </cell>
          <cell r="K1811">
            <v>989</v>
          </cell>
          <cell r="L1811">
            <v>114</v>
          </cell>
          <cell r="M1811">
            <v>44.49</v>
          </cell>
          <cell r="N1811">
            <v>2015</v>
          </cell>
          <cell r="O1811">
            <v>610</v>
          </cell>
          <cell r="P1811" t="e">
            <v>#N/A</v>
          </cell>
        </row>
        <row r="1812">
          <cell r="B1812" t="str">
            <v>Memorial University of Newfoundland</v>
          </cell>
          <cell r="C1812" t="str">
            <v>Canada</v>
          </cell>
          <cell r="D1812">
            <v>24</v>
          </cell>
          <cell r="E1812">
            <v>367</v>
          </cell>
          <cell r="F1812">
            <v>567</v>
          </cell>
          <cell r="G1812">
            <v>218</v>
          </cell>
          <cell r="H1812">
            <v>552</v>
          </cell>
          <cell r="I1812">
            <v>577</v>
          </cell>
          <cell r="J1812">
            <v>645</v>
          </cell>
          <cell r="K1812">
            <v>529</v>
          </cell>
          <cell r="L1812">
            <v>653</v>
          </cell>
          <cell r="M1812">
            <v>44.49</v>
          </cell>
          <cell r="N1812">
            <v>2015</v>
          </cell>
          <cell r="O1812">
            <v>611</v>
          </cell>
          <cell r="P1812">
            <v>18.100000000000001</v>
          </cell>
        </row>
        <row r="1813">
          <cell r="B1813" t="str">
            <v>Universidade Nova de Lisboa</v>
          </cell>
          <cell r="C1813" t="str">
            <v>Portugal</v>
          </cell>
          <cell r="D1813">
            <v>5</v>
          </cell>
          <cell r="E1813">
            <v>367</v>
          </cell>
          <cell r="F1813">
            <v>567</v>
          </cell>
          <cell r="G1813">
            <v>218</v>
          </cell>
          <cell r="H1813">
            <v>506</v>
          </cell>
          <cell r="I1813">
            <v>477</v>
          </cell>
          <cell r="J1813">
            <v>645</v>
          </cell>
          <cell r="K1813">
            <v>540</v>
          </cell>
          <cell r="L1813">
            <v>590</v>
          </cell>
          <cell r="M1813">
            <v>44.49</v>
          </cell>
          <cell r="N1813">
            <v>2015</v>
          </cell>
          <cell r="O1813">
            <v>612</v>
          </cell>
          <cell r="P1813" t="e">
            <v>#N/A</v>
          </cell>
        </row>
        <row r="1814">
          <cell r="B1814" t="str">
            <v>Griffith University</v>
          </cell>
          <cell r="C1814" t="str">
            <v>Australia</v>
          </cell>
          <cell r="D1814">
            <v>16</v>
          </cell>
          <cell r="E1814">
            <v>367</v>
          </cell>
          <cell r="F1814">
            <v>567</v>
          </cell>
          <cell r="G1814">
            <v>218</v>
          </cell>
          <cell r="H1814">
            <v>436</v>
          </cell>
          <cell r="I1814">
            <v>500</v>
          </cell>
          <cell r="J1814">
            <v>368</v>
          </cell>
          <cell r="K1814">
            <v>565</v>
          </cell>
          <cell r="L1814">
            <v>556</v>
          </cell>
          <cell r="M1814">
            <v>44.49</v>
          </cell>
          <cell r="N1814">
            <v>2015</v>
          </cell>
          <cell r="O1814">
            <v>613</v>
          </cell>
          <cell r="P1814">
            <v>15.7</v>
          </cell>
        </row>
        <row r="1815">
          <cell r="B1815" t="str">
            <v>Indian Institute of Technology Kharagpur</v>
          </cell>
          <cell r="C1815" t="str">
            <v>India</v>
          </cell>
          <cell r="D1815">
            <v>8</v>
          </cell>
          <cell r="E1815">
            <v>367</v>
          </cell>
          <cell r="F1815">
            <v>242</v>
          </cell>
          <cell r="G1815">
            <v>218</v>
          </cell>
          <cell r="H1815">
            <v>500</v>
          </cell>
          <cell r="I1815">
            <v>974</v>
          </cell>
          <cell r="J1815">
            <v>812</v>
          </cell>
          <cell r="K1815">
            <v>686</v>
          </cell>
          <cell r="L1815">
            <v>644</v>
          </cell>
          <cell r="M1815">
            <v>44.49</v>
          </cell>
          <cell r="N1815">
            <v>2015</v>
          </cell>
          <cell r="O1815">
            <v>614</v>
          </cell>
          <cell r="P1815">
            <v>44.2</v>
          </cell>
        </row>
        <row r="1816">
          <cell r="B1816" t="str">
            <v>Soochow University (Suzhou)</v>
          </cell>
          <cell r="C1816" t="str">
            <v>China</v>
          </cell>
          <cell r="D1816">
            <v>33</v>
          </cell>
          <cell r="E1816">
            <v>367</v>
          </cell>
          <cell r="F1816">
            <v>567</v>
          </cell>
          <cell r="G1816">
            <v>218</v>
          </cell>
          <cell r="H1816">
            <v>396</v>
          </cell>
          <cell r="I1816">
            <v>773</v>
          </cell>
          <cell r="J1816">
            <v>812</v>
          </cell>
          <cell r="K1816">
            <v>565</v>
          </cell>
          <cell r="L1816">
            <v>871</v>
          </cell>
          <cell r="M1816">
            <v>44.49</v>
          </cell>
          <cell r="N1816">
            <v>2015</v>
          </cell>
          <cell r="O1816">
            <v>615</v>
          </cell>
          <cell r="P1816" t="e">
            <v>#N/A</v>
          </cell>
        </row>
        <row r="1817">
          <cell r="B1817" t="str">
            <v>Texas A&amp;M Health Science Center</v>
          </cell>
          <cell r="C1817" t="str">
            <v>USA</v>
          </cell>
          <cell r="D1817">
            <v>183</v>
          </cell>
          <cell r="E1817">
            <v>367</v>
          </cell>
          <cell r="F1817">
            <v>567</v>
          </cell>
          <cell r="G1817">
            <v>218</v>
          </cell>
          <cell r="H1817">
            <v>672</v>
          </cell>
          <cell r="I1817">
            <v>440</v>
          </cell>
          <cell r="J1817">
            <v>645</v>
          </cell>
          <cell r="K1817">
            <v>558</v>
          </cell>
          <cell r="L1817">
            <v>336</v>
          </cell>
          <cell r="M1817">
            <v>44.49</v>
          </cell>
          <cell r="N1817">
            <v>2015</v>
          </cell>
          <cell r="O1817">
            <v>616</v>
          </cell>
          <cell r="P1817" t="e">
            <v>#N/A</v>
          </cell>
        </row>
        <row r="1818">
          <cell r="B1818" t="str">
            <v>Semmelweis University</v>
          </cell>
          <cell r="C1818" t="str">
            <v>Hungary</v>
          </cell>
          <cell r="D1818">
            <v>2</v>
          </cell>
          <cell r="E1818">
            <v>367</v>
          </cell>
          <cell r="F1818">
            <v>567</v>
          </cell>
          <cell r="G1818">
            <v>218</v>
          </cell>
          <cell r="H1818">
            <v>650</v>
          </cell>
          <cell r="I1818">
            <v>481</v>
          </cell>
          <cell r="J1818">
            <v>511</v>
          </cell>
          <cell r="K1818">
            <v>529</v>
          </cell>
          <cell r="L1818">
            <v>670</v>
          </cell>
          <cell r="M1818">
            <v>44.48</v>
          </cell>
          <cell r="N1818">
            <v>2015</v>
          </cell>
          <cell r="O1818">
            <v>617</v>
          </cell>
          <cell r="P1818">
            <v>19.600000000000001</v>
          </cell>
        </row>
        <row r="1819">
          <cell r="B1819" t="str">
            <v>Lille 2 University of Health and Law</v>
          </cell>
          <cell r="C1819" t="str">
            <v>France</v>
          </cell>
          <cell r="D1819">
            <v>26</v>
          </cell>
          <cell r="E1819">
            <v>367</v>
          </cell>
          <cell r="F1819">
            <v>567</v>
          </cell>
          <cell r="G1819">
            <v>218</v>
          </cell>
          <cell r="H1819">
            <v>821</v>
          </cell>
          <cell r="I1819">
            <v>631</v>
          </cell>
          <cell r="J1819">
            <v>645</v>
          </cell>
          <cell r="K1819">
            <v>520</v>
          </cell>
          <cell r="L1819">
            <v>630</v>
          </cell>
          <cell r="M1819">
            <v>44.48</v>
          </cell>
          <cell r="N1819">
            <v>2015</v>
          </cell>
          <cell r="O1819">
            <v>618</v>
          </cell>
          <cell r="P1819" t="e">
            <v>#N/A</v>
          </cell>
        </row>
        <row r="1820">
          <cell r="B1820" t="str">
            <v>Kagoshima University</v>
          </cell>
          <cell r="C1820" t="str">
            <v>Japan</v>
          </cell>
          <cell r="D1820">
            <v>36</v>
          </cell>
          <cell r="E1820">
            <v>367</v>
          </cell>
          <cell r="F1820">
            <v>281</v>
          </cell>
          <cell r="G1820">
            <v>218</v>
          </cell>
          <cell r="H1820">
            <v>733</v>
          </cell>
          <cell r="I1820">
            <v>706</v>
          </cell>
          <cell r="J1820">
            <v>511</v>
          </cell>
          <cell r="K1820">
            <v>715</v>
          </cell>
          <cell r="L1820">
            <v>251</v>
          </cell>
          <cell r="M1820">
            <v>44.48</v>
          </cell>
          <cell r="N1820">
            <v>2015</v>
          </cell>
          <cell r="O1820">
            <v>619</v>
          </cell>
          <cell r="P1820" t="e">
            <v>#N/A</v>
          </cell>
        </row>
        <row r="1821">
          <cell r="B1821" t="str">
            <v>Flinders University</v>
          </cell>
          <cell r="C1821" t="str">
            <v>Australia</v>
          </cell>
          <cell r="D1821">
            <v>17</v>
          </cell>
          <cell r="E1821">
            <v>122</v>
          </cell>
          <cell r="F1821">
            <v>567</v>
          </cell>
          <cell r="G1821">
            <v>218</v>
          </cell>
          <cell r="H1821">
            <v>518</v>
          </cell>
          <cell r="I1821">
            <v>581</v>
          </cell>
          <cell r="J1821">
            <v>812</v>
          </cell>
          <cell r="K1821">
            <v>622</v>
          </cell>
          <cell r="L1821">
            <v>686</v>
          </cell>
          <cell r="M1821">
            <v>44.48</v>
          </cell>
          <cell r="N1821">
            <v>2015</v>
          </cell>
          <cell r="O1821">
            <v>620</v>
          </cell>
          <cell r="P1821">
            <v>18.2</v>
          </cell>
        </row>
        <row r="1822">
          <cell r="B1822" t="str">
            <v>Queensland University of Technology</v>
          </cell>
          <cell r="C1822" t="str">
            <v>Australia</v>
          </cell>
          <cell r="D1822">
            <v>18</v>
          </cell>
          <cell r="E1822">
            <v>367</v>
          </cell>
          <cell r="F1822">
            <v>567</v>
          </cell>
          <cell r="G1822">
            <v>218</v>
          </cell>
          <cell r="H1822">
            <v>477</v>
          </cell>
          <cell r="I1822">
            <v>750</v>
          </cell>
          <cell r="J1822">
            <v>511</v>
          </cell>
          <cell r="K1822">
            <v>558</v>
          </cell>
          <cell r="L1822">
            <v>492</v>
          </cell>
          <cell r="M1822">
            <v>44.48</v>
          </cell>
          <cell r="N1822">
            <v>2015</v>
          </cell>
          <cell r="O1822">
            <v>621</v>
          </cell>
          <cell r="P1822">
            <v>21</v>
          </cell>
        </row>
        <row r="1823">
          <cell r="B1823" t="str">
            <v>Tokai University</v>
          </cell>
          <cell r="C1823" t="str">
            <v>Japan</v>
          </cell>
          <cell r="D1823">
            <v>37</v>
          </cell>
          <cell r="E1823">
            <v>367</v>
          </cell>
          <cell r="F1823">
            <v>567</v>
          </cell>
          <cell r="G1823">
            <v>218</v>
          </cell>
          <cell r="H1823">
            <v>721</v>
          </cell>
          <cell r="I1823">
            <v>644</v>
          </cell>
          <cell r="J1823">
            <v>645</v>
          </cell>
          <cell r="K1823">
            <v>540</v>
          </cell>
          <cell r="L1823">
            <v>448</v>
          </cell>
          <cell r="M1823">
            <v>44.48</v>
          </cell>
          <cell r="N1823">
            <v>2015</v>
          </cell>
          <cell r="O1823">
            <v>622</v>
          </cell>
          <cell r="P1823">
            <v>17.899999999999999</v>
          </cell>
        </row>
        <row r="1824">
          <cell r="B1824" t="str">
            <v>Istanbul University</v>
          </cell>
          <cell r="C1824" t="str">
            <v>Turkey</v>
          </cell>
          <cell r="D1824">
            <v>2</v>
          </cell>
          <cell r="E1824">
            <v>253</v>
          </cell>
          <cell r="F1824">
            <v>386</v>
          </cell>
          <cell r="G1824">
            <v>218</v>
          </cell>
          <cell r="H1824">
            <v>684</v>
          </cell>
          <cell r="I1824">
            <v>560</v>
          </cell>
          <cell r="J1824">
            <v>645</v>
          </cell>
          <cell r="K1824">
            <v>558</v>
          </cell>
          <cell r="L1824">
            <v>871</v>
          </cell>
          <cell r="M1824">
            <v>44.48</v>
          </cell>
          <cell r="N1824">
            <v>2015</v>
          </cell>
          <cell r="O1824">
            <v>623</v>
          </cell>
          <cell r="P1824">
            <v>26</v>
          </cell>
        </row>
        <row r="1825">
          <cell r="B1825" t="str">
            <v>Tokyo University of Agriculture and Technology</v>
          </cell>
          <cell r="C1825" t="str">
            <v>Japan</v>
          </cell>
          <cell r="D1825">
            <v>38</v>
          </cell>
          <cell r="E1825">
            <v>367</v>
          </cell>
          <cell r="F1825">
            <v>567</v>
          </cell>
          <cell r="G1825">
            <v>218</v>
          </cell>
          <cell r="H1825">
            <v>641</v>
          </cell>
          <cell r="I1825">
            <v>756</v>
          </cell>
          <cell r="J1825">
            <v>511</v>
          </cell>
          <cell r="K1825">
            <v>606</v>
          </cell>
          <cell r="L1825">
            <v>264</v>
          </cell>
          <cell r="M1825">
            <v>44.47</v>
          </cell>
          <cell r="N1825">
            <v>2015</v>
          </cell>
          <cell r="O1825">
            <v>624</v>
          </cell>
          <cell r="P1825">
            <v>26.5</v>
          </cell>
        </row>
        <row r="1826">
          <cell r="B1826" t="str">
            <v>Louisiana Tech University</v>
          </cell>
          <cell r="C1826" t="str">
            <v>USA</v>
          </cell>
          <cell r="D1826">
            <v>184</v>
          </cell>
          <cell r="E1826">
            <v>367</v>
          </cell>
          <cell r="F1826">
            <v>197</v>
          </cell>
          <cell r="G1826">
            <v>218</v>
          </cell>
          <cell r="H1826">
            <v>969</v>
          </cell>
          <cell r="I1826">
            <v>871</v>
          </cell>
          <cell r="J1826">
            <v>428</v>
          </cell>
          <cell r="K1826">
            <v>754</v>
          </cell>
          <cell r="L1826">
            <v>792</v>
          </cell>
          <cell r="M1826">
            <v>44.47</v>
          </cell>
          <cell r="N1826">
            <v>2015</v>
          </cell>
          <cell r="O1826">
            <v>625</v>
          </cell>
          <cell r="P1826" t="e">
            <v>#N/A</v>
          </cell>
        </row>
        <row r="1827">
          <cell r="B1827" t="str">
            <v>University of Texas at Arlington</v>
          </cell>
          <cell r="C1827" t="str">
            <v>USA</v>
          </cell>
          <cell r="D1827">
            <v>185</v>
          </cell>
          <cell r="E1827">
            <v>367</v>
          </cell>
          <cell r="F1827">
            <v>567</v>
          </cell>
          <cell r="G1827">
            <v>218</v>
          </cell>
          <cell r="H1827">
            <v>492</v>
          </cell>
          <cell r="I1827">
            <v>532</v>
          </cell>
          <cell r="J1827">
            <v>511</v>
          </cell>
          <cell r="K1827">
            <v>565</v>
          </cell>
          <cell r="L1827">
            <v>462</v>
          </cell>
          <cell r="M1827">
            <v>44.47</v>
          </cell>
          <cell r="N1827">
            <v>2015</v>
          </cell>
          <cell r="O1827">
            <v>626</v>
          </cell>
          <cell r="P1827">
            <v>20.100000000000001</v>
          </cell>
        </row>
        <row r="1828">
          <cell r="B1828" t="str">
            <v>China Agricultural University</v>
          </cell>
          <cell r="C1828" t="str">
            <v>China</v>
          </cell>
          <cell r="D1828">
            <v>34</v>
          </cell>
          <cell r="E1828">
            <v>367</v>
          </cell>
          <cell r="F1828">
            <v>534</v>
          </cell>
          <cell r="G1828">
            <v>218</v>
          </cell>
          <cell r="H1828">
            <v>407</v>
          </cell>
          <cell r="I1828">
            <v>362</v>
          </cell>
          <cell r="J1828">
            <v>645</v>
          </cell>
          <cell r="K1828">
            <v>590</v>
          </cell>
          <cell r="L1828">
            <v>572</v>
          </cell>
          <cell r="M1828">
            <v>44.47</v>
          </cell>
          <cell r="N1828">
            <v>2015</v>
          </cell>
          <cell r="O1828">
            <v>627</v>
          </cell>
          <cell r="P1828">
            <v>35.799999999999997</v>
          </cell>
        </row>
        <row r="1829">
          <cell r="B1829" t="str">
            <v>Chungnam National University</v>
          </cell>
          <cell r="C1829" t="str">
            <v>South Korea</v>
          </cell>
          <cell r="D1829">
            <v>23</v>
          </cell>
          <cell r="E1829">
            <v>367</v>
          </cell>
          <cell r="F1829">
            <v>567</v>
          </cell>
          <cell r="G1829">
            <v>218</v>
          </cell>
          <cell r="H1829">
            <v>470</v>
          </cell>
          <cell r="I1829">
            <v>563</v>
          </cell>
          <cell r="J1829">
            <v>645</v>
          </cell>
          <cell r="K1829">
            <v>622</v>
          </cell>
          <cell r="L1829">
            <v>290</v>
          </cell>
          <cell r="M1829">
            <v>44.47</v>
          </cell>
          <cell r="N1829">
            <v>2015</v>
          </cell>
          <cell r="O1829">
            <v>628</v>
          </cell>
          <cell r="P1829">
            <v>23.2</v>
          </cell>
        </row>
        <row r="1830">
          <cell r="B1830" t="str">
            <v>University of Minho</v>
          </cell>
          <cell r="C1830" t="str">
            <v>Portugal</v>
          </cell>
          <cell r="D1830">
            <v>6</v>
          </cell>
          <cell r="E1830">
            <v>367</v>
          </cell>
          <cell r="F1830">
            <v>567</v>
          </cell>
          <cell r="G1830">
            <v>218</v>
          </cell>
          <cell r="H1830">
            <v>588</v>
          </cell>
          <cell r="I1830">
            <v>652</v>
          </cell>
          <cell r="J1830">
            <v>287</v>
          </cell>
          <cell r="K1830">
            <v>606</v>
          </cell>
          <cell r="L1830">
            <v>363</v>
          </cell>
          <cell r="M1830">
            <v>44.46</v>
          </cell>
          <cell r="N1830">
            <v>2015</v>
          </cell>
          <cell r="O1830">
            <v>629</v>
          </cell>
          <cell r="P1830">
            <v>17.600000000000001</v>
          </cell>
        </row>
        <row r="1831">
          <cell r="B1831" t="str">
            <v>University of Eastern Piedmont Amedeo Avogadro""</v>
          </cell>
          <cell r="C1831" t="str">
            <v>Italy</v>
          </cell>
          <cell r="D1831">
            <v>33</v>
          </cell>
          <cell r="E1831">
            <v>367</v>
          </cell>
          <cell r="F1831">
            <v>567</v>
          </cell>
          <cell r="G1831">
            <v>218</v>
          </cell>
          <cell r="H1831">
            <v>693</v>
          </cell>
          <cell r="I1831">
            <v>623</v>
          </cell>
          <cell r="J1831">
            <v>645</v>
          </cell>
          <cell r="K1831">
            <v>540</v>
          </cell>
          <cell r="L1831">
            <v>739</v>
          </cell>
          <cell r="M1831">
            <v>44.46</v>
          </cell>
          <cell r="N1831">
            <v>2015</v>
          </cell>
          <cell r="O1831">
            <v>630</v>
          </cell>
          <cell r="P1831" t="e">
            <v>#N/A</v>
          </cell>
        </row>
        <row r="1832">
          <cell r="B1832" t="str">
            <v>Open University (UK)</v>
          </cell>
          <cell r="C1832" t="str">
            <v>United Kingdom</v>
          </cell>
          <cell r="D1832">
            <v>47</v>
          </cell>
          <cell r="E1832">
            <v>367</v>
          </cell>
          <cell r="F1832">
            <v>567</v>
          </cell>
          <cell r="G1832">
            <v>218</v>
          </cell>
          <cell r="H1832">
            <v>616</v>
          </cell>
          <cell r="I1832">
            <v>340</v>
          </cell>
          <cell r="J1832">
            <v>645</v>
          </cell>
          <cell r="K1832">
            <v>549</v>
          </cell>
          <cell r="L1832">
            <v>809</v>
          </cell>
          <cell r="M1832">
            <v>44.46</v>
          </cell>
          <cell r="N1832">
            <v>2015</v>
          </cell>
          <cell r="O1832">
            <v>631</v>
          </cell>
          <cell r="P1832" t="e">
            <v>#N/A</v>
          </cell>
        </row>
        <row r="1833">
          <cell r="B1833" t="str">
            <v>University of Essex</v>
          </cell>
          <cell r="C1833" t="str">
            <v>United Kingdom</v>
          </cell>
          <cell r="D1833">
            <v>48</v>
          </cell>
          <cell r="E1833">
            <v>119</v>
          </cell>
          <cell r="F1833">
            <v>358</v>
          </cell>
          <cell r="G1833">
            <v>218</v>
          </cell>
          <cell r="H1833">
            <v>694</v>
          </cell>
          <cell r="I1833">
            <v>695</v>
          </cell>
          <cell r="J1833">
            <v>511</v>
          </cell>
          <cell r="K1833">
            <v>671</v>
          </cell>
          <cell r="L1833">
            <v>871</v>
          </cell>
          <cell r="M1833">
            <v>44.45</v>
          </cell>
          <cell r="N1833">
            <v>2015</v>
          </cell>
          <cell r="O1833">
            <v>632</v>
          </cell>
          <cell r="P1833">
            <v>31.7</v>
          </cell>
        </row>
        <row r="1834">
          <cell r="B1834" t="str">
            <v>Paris-Est CrÃ©teil Val-de-Marne University</v>
          </cell>
          <cell r="C1834" t="str">
            <v>France</v>
          </cell>
          <cell r="D1834">
            <v>27</v>
          </cell>
          <cell r="E1834">
            <v>367</v>
          </cell>
          <cell r="F1834">
            <v>406</v>
          </cell>
          <cell r="G1834">
            <v>218</v>
          </cell>
          <cell r="H1834">
            <v>732</v>
          </cell>
          <cell r="I1834">
            <v>611</v>
          </cell>
          <cell r="J1834">
            <v>812</v>
          </cell>
          <cell r="K1834">
            <v>558</v>
          </cell>
          <cell r="L1834">
            <v>824</v>
          </cell>
          <cell r="M1834">
            <v>44.45</v>
          </cell>
          <cell r="N1834">
            <v>2015</v>
          </cell>
          <cell r="O1834">
            <v>633</v>
          </cell>
          <cell r="P1834" t="e">
            <v>#N/A</v>
          </cell>
        </row>
        <row r="1835">
          <cell r="B1835" t="str">
            <v>Hacettepe University</v>
          </cell>
          <cell r="C1835" t="str">
            <v>Turkey</v>
          </cell>
          <cell r="D1835">
            <v>3</v>
          </cell>
          <cell r="E1835">
            <v>367</v>
          </cell>
          <cell r="F1835">
            <v>567</v>
          </cell>
          <cell r="G1835">
            <v>218</v>
          </cell>
          <cell r="H1835">
            <v>658</v>
          </cell>
          <cell r="I1835">
            <v>630</v>
          </cell>
          <cell r="J1835">
            <v>428</v>
          </cell>
          <cell r="K1835">
            <v>549</v>
          </cell>
          <cell r="L1835">
            <v>871</v>
          </cell>
          <cell r="M1835">
            <v>44.45</v>
          </cell>
          <cell r="N1835">
            <v>2015</v>
          </cell>
          <cell r="O1835">
            <v>634</v>
          </cell>
          <cell r="P1835">
            <v>21</v>
          </cell>
        </row>
        <row r="1836">
          <cell r="B1836" t="str">
            <v>State University of New York Upstate Medical University</v>
          </cell>
          <cell r="C1836" t="str">
            <v>USA</v>
          </cell>
          <cell r="D1836">
            <v>186</v>
          </cell>
          <cell r="E1836">
            <v>367</v>
          </cell>
          <cell r="F1836">
            <v>567</v>
          </cell>
          <cell r="G1836">
            <v>218</v>
          </cell>
          <cell r="H1836">
            <v>774</v>
          </cell>
          <cell r="I1836">
            <v>632</v>
          </cell>
          <cell r="J1836">
            <v>428</v>
          </cell>
          <cell r="K1836">
            <v>549</v>
          </cell>
          <cell r="L1836">
            <v>598</v>
          </cell>
          <cell r="M1836">
            <v>44.45</v>
          </cell>
          <cell r="N1836">
            <v>2015</v>
          </cell>
          <cell r="O1836">
            <v>635</v>
          </cell>
          <cell r="P1836" t="e">
            <v>#N/A</v>
          </cell>
        </row>
        <row r="1837">
          <cell r="B1837" t="str">
            <v>Braunschweig University of Technology</v>
          </cell>
          <cell r="C1837" t="str">
            <v>Germany</v>
          </cell>
          <cell r="D1837">
            <v>46</v>
          </cell>
          <cell r="E1837">
            <v>226</v>
          </cell>
          <cell r="F1837">
            <v>567</v>
          </cell>
          <cell r="G1837">
            <v>218</v>
          </cell>
          <cell r="H1837">
            <v>551</v>
          </cell>
          <cell r="I1837">
            <v>383</v>
          </cell>
          <cell r="J1837">
            <v>645</v>
          </cell>
          <cell r="K1837">
            <v>622</v>
          </cell>
          <cell r="L1837">
            <v>343</v>
          </cell>
          <cell r="M1837">
            <v>44.44</v>
          </cell>
          <cell r="N1837">
            <v>2015</v>
          </cell>
          <cell r="O1837">
            <v>636</v>
          </cell>
          <cell r="P1837" t="e">
            <v>#N/A</v>
          </cell>
        </row>
        <row r="1838">
          <cell r="B1838" t="str">
            <v>University of Salamanca</v>
          </cell>
          <cell r="C1838" t="str">
            <v>Spain</v>
          </cell>
          <cell r="D1838">
            <v>18</v>
          </cell>
          <cell r="E1838">
            <v>367</v>
          </cell>
          <cell r="F1838">
            <v>491</v>
          </cell>
          <cell r="G1838">
            <v>218</v>
          </cell>
          <cell r="H1838">
            <v>544</v>
          </cell>
          <cell r="I1838">
            <v>483</v>
          </cell>
          <cell r="J1838">
            <v>511</v>
          </cell>
          <cell r="K1838">
            <v>565</v>
          </cell>
          <cell r="L1838">
            <v>736</v>
          </cell>
          <cell r="M1838">
            <v>44.44</v>
          </cell>
          <cell r="N1838">
            <v>2015</v>
          </cell>
          <cell r="O1838">
            <v>637</v>
          </cell>
          <cell r="P1838">
            <v>26.1</v>
          </cell>
        </row>
        <row r="1839">
          <cell r="B1839" t="str">
            <v>Indian Institute of Technology Roorkee</v>
          </cell>
          <cell r="C1839" t="str">
            <v>India</v>
          </cell>
          <cell r="D1839">
            <v>9</v>
          </cell>
          <cell r="E1839">
            <v>367</v>
          </cell>
          <cell r="F1839">
            <v>395</v>
          </cell>
          <cell r="G1839">
            <v>218</v>
          </cell>
          <cell r="H1839">
            <v>839</v>
          </cell>
          <cell r="I1839">
            <v>931</v>
          </cell>
          <cell r="J1839">
            <v>428</v>
          </cell>
          <cell r="K1839">
            <v>565</v>
          </cell>
          <cell r="L1839">
            <v>871</v>
          </cell>
          <cell r="M1839">
            <v>44.44</v>
          </cell>
          <cell r="N1839">
            <v>2015</v>
          </cell>
          <cell r="O1839">
            <v>638</v>
          </cell>
          <cell r="P1839">
            <v>30.4</v>
          </cell>
        </row>
        <row r="1840">
          <cell r="B1840" t="str">
            <v>Ã–rebro University</v>
          </cell>
          <cell r="C1840" t="str">
            <v>Sweden</v>
          </cell>
          <cell r="D1840">
            <v>11</v>
          </cell>
          <cell r="E1840">
            <v>367</v>
          </cell>
          <cell r="F1840">
            <v>529</v>
          </cell>
          <cell r="G1840">
            <v>218</v>
          </cell>
          <cell r="H1840">
            <v>816</v>
          </cell>
          <cell r="I1840">
            <v>747</v>
          </cell>
          <cell r="J1840">
            <v>428</v>
          </cell>
          <cell r="K1840">
            <v>549</v>
          </cell>
          <cell r="L1840">
            <v>871</v>
          </cell>
          <cell r="M1840">
            <v>44.44</v>
          </cell>
          <cell r="N1840">
            <v>2015</v>
          </cell>
          <cell r="O1840">
            <v>639</v>
          </cell>
          <cell r="P1840">
            <v>18.3</v>
          </cell>
        </row>
        <row r="1841">
          <cell r="B1841" t="str">
            <v>Northeast Normal University</v>
          </cell>
          <cell r="C1841" t="str">
            <v>China</v>
          </cell>
          <cell r="D1841">
            <v>35</v>
          </cell>
          <cell r="E1841">
            <v>367</v>
          </cell>
          <cell r="F1841">
            <v>567</v>
          </cell>
          <cell r="G1841">
            <v>218</v>
          </cell>
          <cell r="H1841">
            <v>678</v>
          </cell>
          <cell r="I1841">
            <v>765</v>
          </cell>
          <cell r="J1841">
            <v>645</v>
          </cell>
          <cell r="K1841">
            <v>549</v>
          </cell>
          <cell r="L1841">
            <v>871</v>
          </cell>
          <cell r="M1841">
            <v>44.44</v>
          </cell>
          <cell r="N1841">
            <v>2015</v>
          </cell>
          <cell r="O1841">
            <v>640</v>
          </cell>
          <cell r="P1841" t="e">
            <v>#N/A</v>
          </cell>
        </row>
        <row r="1842">
          <cell r="B1842" t="str">
            <v>University of Patras</v>
          </cell>
          <cell r="C1842" t="str">
            <v>Greece</v>
          </cell>
          <cell r="D1842">
            <v>5</v>
          </cell>
          <cell r="E1842">
            <v>367</v>
          </cell>
          <cell r="F1842">
            <v>567</v>
          </cell>
          <cell r="G1842">
            <v>218</v>
          </cell>
          <cell r="H1842">
            <v>510</v>
          </cell>
          <cell r="I1842">
            <v>704</v>
          </cell>
          <cell r="J1842">
            <v>511</v>
          </cell>
          <cell r="K1842">
            <v>565</v>
          </cell>
          <cell r="L1842">
            <v>731</v>
          </cell>
          <cell r="M1842">
            <v>44.44</v>
          </cell>
          <cell r="N1842">
            <v>2015</v>
          </cell>
          <cell r="O1842">
            <v>641</v>
          </cell>
          <cell r="P1842">
            <v>18.5</v>
          </cell>
        </row>
        <row r="1843">
          <cell r="B1843" t="str">
            <v>Beijing University of Chemical Technology</v>
          </cell>
          <cell r="C1843" t="str">
            <v>China</v>
          </cell>
          <cell r="D1843">
            <v>36</v>
          </cell>
          <cell r="E1843">
            <v>367</v>
          </cell>
          <cell r="F1843">
            <v>536</v>
          </cell>
          <cell r="G1843">
            <v>218</v>
          </cell>
          <cell r="H1843">
            <v>558</v>
          </cell>
          <cell r="I1843">
            <v>984</v>
          </cell>
          <cell r="J1843">
            <v>812</v>
          </cell>
          <cell r="K1843">
            <v>715</v>
          </cell>
          <cell r="L1843">
            <v>214</v>
          </cell>
          <cell r="M1843">
            <v>44.44</v>
          </cell>
          <cell r="N1843">
            <v>2015</v>
          </cell>
          <cell r="O1843">
            <v>642</v>
          </cell>
          <cell r="P1843" t="e">
            <v>#N/A</v>
          </cell>
        </row>
        <row r="1844">
          <cell r="B1844" t="str">
            <v>Northern Illinois University</v>
          </cell>
          <cell r="C1844" t="str">
            <v>USA</v>
          </cell>
          <cell r="D1844">
            <v>187</v>
          </cell>
          <cell r="E1844">
            <v>367</v>
          </cell>
          <cell r="F1844">
            <v>284</v>
          </cell>
          <cell r="G1844">
            <v>218</v>
          </cell>
          <cell r="H1844">
            <v>669</v>
          </cell>
          <cell r="I1844">
            <v>661</v>
          </cell>
          <cell r="J1844">
            <v>321</v>
          </cell>
          <cell r="K1844">
            <v>671</v>
          </cell>
          <cell r="L1844">
            <v>621</v>
          </cell>
          <cell r="M1844">
            <v>44.44</v>
          </cell>
          <cell r="N1844">
            <v>2015</v>
          </cell>
          <cell r="O1844">
            <v>643</v>
          </cell>
          <cell r="P1844" t="e">
            <v>#N/A</v>
          </cell>
        </row>
        <row r="1845">
          <cell r="B1845" t="str">
            <v>Rovira i Virgili University</v>
          </cell>
          <cell r="C1845" t="str">
            <v>Spain</v>
          </cell>
          <cell r="D1845">
            <v>19</v>
          </cell>
          <cell r="E1845">
            <v>367</v>
          </cell>
          <cell r="F1845">
            <v>567</v>
          </cell>
          <cell r="G1845">
            <v>218</v>
          </cell>
          <cell r="H1845">
            <v>555</v>
          </cell>
          <cell r="I1845">
            <v>573</v>
          </cell>
          <cell r="J1845">
            <v>428</v>
          </cell>
          <cell r="K1845">
            <v>579</v>
          </cell>
          <cell r="L1845">
            <v>485</v>
          </cell>
          <cell r="M1845">
            <v>44.44</v>
          </cell>
          <cell r="N1845">
            <v>2015</v>
          </cell>
          <cell r="O1845">
            <v>644</v>
          </cell>
          <cell r="P1845" t="e">
            <v>#N/A</v>
          </cell>
        </row>
        <row r="1846">
          <cell r="B1846" t="str">
            <v>La Trobe University</v>
          </cell>
          <cell r="C1846" t="str">
            <v>Australia</v>
          </cell>
          <cell r="D1846">
            <v>19</v>
          </cell>
          <cell r="E1846">
            <v>367</v>
          </cell>
          <cell r="F1846">
            <v>457</v>
          </cell>
          <cell r="G1846">
            <v>218</v>
          </cell>
          <cell r="H1846">
            <v>536</v>
          </cell>
          <cell r="I1846">
            <v>455</v>
          </cell>
          <cell r="J1846">
            <v>812</v>
          </cell>
          <cell r="K1846">
            <v>579</v>
          </cell>
          <cell r="L1846">
            <v>803</v>
          </cell>
          <cell r="M1846">
            <v>44.44</v>
          </cell>
          <cell r="N1846">
            <v>2015</v>
          </cell>
          <cell r="O1846">
            <v>645</v>
          </cell>
          <cell r="P1846">
            <v>19</v>
          </cell>
        </row>
        <row r="1847">
          <cell r="B1847" t="str">
            <v>Warsaw University of Technology</v>
          </cell>
          <cell r="C1847" t="str">
            <v>Poland</v>
          </cell>
          <cell r="D1847">
            <v>3</v>
          </cell>
          <cell r="E1847">
            <v>344</v>
          </cell>
          <cell r="F1847">
            <v>545</v>
          </cell>
          <cell r="G1847">
            <v>218</v>
          </cell>
          <cell r="H1847">
            <v>696</v>
          </cell>
          <cell r="I1847">
            <v>757</v>
          </cell>
          <cell r="J1847">
            <v>287</v>
          </cell>
          <cell r="K1847">
            <v>579</v>
          </cell>
          <cell r="L1847">
            <v>824</v>
          </cell>
          <cell r="M1847">
            <v>44.43</v>
          </cell>
          <cell r="N1847">
            <v>2015</v>
          </cell>
          <cell r="O1847">
            <v>646</v>
          </cell>
          <cell r="P1847">
            <v>19.399999999999999</v>
          </cell>
        </row>
        <row r="1848">
          <cell r="B1848" t="str">
            <v>Binghamton University</v>
          </cell>
          <cell r="C1848" t="str">
            <v>USA</v>
          </cell>
          <cell r="D1848">
            <v>188</v>
          </cell>
          <cell r="E1848">
            <v>367</v>
          </cell>
          <cell r="F1848">
            <v>263</v>
          </cell>
          <cell r="G1848">
            <v>218</v>
          </cell>
          <cell r="H1848">
            <v>710</v>
          </cell>
          <cell r="I1848">
            <v>593</v>
          </cell>
          <cell r="J1848">
            <v>812</v>
          </cell>
          <cell r="K1848">
            <v>671</v>
          </cell>
          <cell r="L1848">
            <v>853</v>
          </cell>
          <cell r="M1848">
            <v>44.43</v>
          </cell>
          <cell r="N1848">
            <v>2015</v>
          </cell>
          <cell r="O1848">
            <v>647</v>
          </cell>
          <cell r="P1848" t="e">
            <v>#N/A</v>
          </cell>
        </row>
        <row r="1849">
          <cell r="B1849" t="str">
            <v>Shizuoka University</v>
          </cell>
          <cell r="C1849" t="str">
            <v>Japan</v>
          </cell>
          <cell r="D1849">
            <v>39</v>
          </cell>
          <cell r="E1849">
            <v>367</v>
          </cell>
          <cell r="F1849">
            <v>476</v>
          </cell>
          <cell r="G1849">
            <v>218</v>
          </cell>
          <cell r="H1849">
            <v>834</v>
          </cell>
          <cell r="I1849">
            <v>708</v>
          </cell>
          <cell r="J1849">
            <v>645</v>
          </cell>
          <cell r="K1849">
            <v>826</v>
          </cell>
          <cell r="L1849">
            <v>163</v>
          </cell>
          <cell r="M1849">
            <v>44.43</v>
          </cell>
          <cell r="N1849">
            <v>2015</v>
          </cell>
          <cell r="O1849">
            <v>648</v>
          </cell>
          <cell r="P1849" t="e">
            <v>#N/A</v>
          </cell>
        </row>
        <row r="1850">
          <cell r="B1850" t="str">
            <v>Hong Kong Baptist University</v>
          </cell>
          <cell r="C1850" t="str">
            <v>Hong Kong</v>
          </cell>
          <cell r="D1850">
            <v>6</v>
          </cell>
          <cell r="E1850">
            <v>367</v>
          </cell>
          <cell r="F1850">
            <v>516</v>
          </cell>
          <cell r="G1850">
            <v>218</v>
          </cell>
          <cell r="H1850">
            <v>592</v>
          </cell>
          <cell r="I1850">
            <v>937</v>
          </cell>
          <cell r="J1850">
            <v>511</v>
          </cell>
          <cell r="K1850">
            <v>565</v>
          </cell>
          <cell r="L1850">
            <v>691</v>
          </cell>
          <cell r="M1850">
            <v>44.43</v>
          </cell>
          <cell r="N1850">
            <v>2015</v>
          </cell>
          <cell r="O1850">
            <v>649</v>
          </cell>
          <cell r="P1850">
            <v>32.9</v>
          </cell>
        </row>
        <row r="1851">
          <cell r="B1851" t="str">
            <v>Albany Medical College</v>
          </cell>
          <cell r="C1851" t="str">
            <v>USA</v>
          </cell>
          <cell r="D1851">
            <v>189</v>
          </cell>
          <cell r="E1851">
            <v>171</v>
          </cell>
          <cell r="F1851">
            <v>567</v>
          </cell>
          <cell r="G1851">
            <v>218</v>
          </cell>
          <cell r="H1851">
            <v>893</v>
          </cell>
          <cell r="I1851">
            <v>771</v>
          </cell>
          <cell r="J1851">
            <v>645</v>
          </cell>
          <cell r="K1851">
            <v>579</v>
          </cell>
          <cell r="L1851">
            <v>720</v>
          </cell>
          <cell r="M1851">
            <v>44.43</v>
          </cell>
          <cell r="N1851">
            <v>2015</v>
          </cell>
          <cell r="O1851">
            <v>650</v>
          </cell>
          <cell r="P1851" t="e">
            <v>#N/A</v>
          </cell>
        </row>
        <row r="1852">
          <cell r="B1852" t="str">
            <v>Ehime University</v>
          </cell>
          <cell r="C1852" t="str">
            <v>Japan</v>
          </cell>
          <cell r="D1852">
            <v>40</v>
          </cell>
          <cell r="E1852">
            <v>367</v>
          </cell>
          <cell r="F1852">
            <v>514</v>
          </cell>
          <cell r="G1852">
            <v>218</v>
          </cell>
          <cell r="H1852">
            <v>619</v>
          </cell>
          <cell r="I1852">
            <v>582</v>
          </cell>
          <cell r="J1852">
            <v>511</v>
          </cell>
          <cell r="K1852">
            <v>590</v>
          </cell>
          <cell r="L1852">
            <v>418</v>
          </cell>
          <cell r="M1852">
            <v>44.43</v>
          </cell>
          <cell r="N1852">
            <v>2015</v>
          </cell>
          <cell r="O1852">
            <v>651</v>
          </cell>
          <cell r="P1852">
            <v>19.2</v>
          </cell>
        </row>
        <row r="1853">
          <cell r="B1853" t="str">
            <v>University of Los Andes (Colombia)</v>
          </cell>
          <cell r="C1853" t="str">
            <v>Colombia</v>
          </cell>
          <cell r="D1853">
            <v>1</v>
          </cell>
          <cell r="E1853">
            <v>367</v>
          </cell>
          <cell r="F1853">
            <v>189</v>
          </cell>
          <cell r="G1853">
            <v>218</v>
          </cell>
          <cell r="H1853">
            <v>898</v>
          </cell>
          <cell r="I1853">
            <v>561</v>
          </cell>
          <cell r="J1853">
            <v>428</v>
          </cell>
          <cell r="K1853">
            <v>837</v>
          </cell>
          <cell r="L1853">
            <v>749</v>
          </cell>
          <cell r="M1853">
            <v>44.43</v>
          </cell>
          <cell r="N1853">
            <v>2015</v>
          </cell>
          <cell r="O1853">
            <v>652</v>
          </cell>
          <cell r="P1853" t="e">
            <v>#N/A</v>
          </cell>
        </row>
        <row r="1854">
          <cell r="B1854" t="str">
            <v>Polytechnic University of Turin</v>
          </cell>
          <cell r="C1854" t="str">
            <v>Italy</v>
          </cell>
          <cell r="D1854">
            <v>34</v>
          </cell>
          <cell r="E1854">
            <v>367</v>
          </cell>
          <cell r="F1854">
            <v>567</v>
          </cell>
          <cell r="G1854">
            <v>218</v>
          </cell>
          <cell r="H1854">
            <v>465</v>
          </cell>
          <cell r="I1854">
            <v>798</v>
          </cell>
          <cell r="J1854">
            <v>645</v>
          </cell>
          <cell r="K1854">
            <v>659</v>
          </cell>
          <cell r="L1854">
            <v>283</v>
          </cell>
          <cell r="M1854">
            <v>44.43</v>
          </cell>
          <cell r="N1854">
            <v>2015</v>
          </cell>
          <cell r="O1854">
            <v>653</v>
          </cell>
          <cell r="P1854">
            <v>19.3</v>
          </cell>
        </row>
        <row r="1855">
          <cell r="B1855" t="str">
            <v>University of Burgundy</v>
          </cell>
          <cell r="C1855" t="str">
            <v>France</v>
          </cell>
          <cell r="D1855">
            <v>28</v>
          </cell>
          <cell r="E1855">
            <v>224</v>
          </cell>
          <cell r="F1855">
            <v>567</v>
          </cell>
          <cell r="G1855">
            <v>218</v>
          </cell>
          <cell r="H1855">
            <v>513</v>
          </cell>
          <cell r="I1855">
            <v>527</v>
          </cell>
          <cell r="J1855">
            <v>812</v>
          </cell>
          <cell r="K1855">
            <v>590</v>
          </cell>
          <cell r="L1855">
            <v>774</v>
          </cell>
          <cell r="M1855">
            <v>44.42</v>
          </cell>
          <cell r="N1855">
            <v>2015</v>
          </cell>
          <cell r="O1855">
            <v>654</v>
          </cell>
          <cell r="P1855">
            <v>21.4</v>
          </cell>
        </row>
        <row r="1856">
          <cell r="B1856" t="str">
            <v>University of Idaho</v>
          </cell>
          <cell r="C1856" t="str">
            <v>USA</v>
          </cell>
          <cell r="D1856">
            <v>190</v>
          </cell>
          <cell r="E1856">
            <v>367</v>
          </cell>
          <cell r="F1856">
            <v>567</v>
          </cell>
          <cell r="G1856">
            <v>218</v>
          </cell>
          <cell r="H1856">
            <v>664</v>
          </cell>
          <cell r="I1856">
            <v>417</v>
          </cell>
          <cell r="J1856">
            <v>511</v>
          </cell>
          <cell r="K1856">
            <v>579</v>
          </cell>
          <cell r="L1856">
            <v>469</v>
          </cell>
          <cell r="M1856">
            <v>44.42</v>
          </cell>
          <cell r="N1856">
            <v>2015</v>
          </cell>
          <cell r="O1856">
            <v>655</v>
          </cell>
          <cell r="P1856">
            <v>29.4</v>
          </cell>
        </row>
        <row r="1857">
          <cell r="B1857" t="str">
            <v>Old Dominion University</v>
          </cell>
          <cell r="C1857" t="str">
            <v>USA</v>
          </cell>
          <cell r="D1857">
            <v>191</v>
          </cell>
          <cell r="E1857">
            <v>367</v>
          </cell>
          <cell r="F1857">
            <v>567</v>
          </cell>
          <cell r="G1857">
            <v>218</v>
          </cell>
          <cell r="H1857">
            <v>719</v>
          </cell>
          <cell r="I1857">
            <v>590</v>
          </cell>
          <cell r="J1857">
            <v>511</v>
          </cell>
          <cell r="K1857">
            <v>590</v>
          </cell>
          <cell r="L1857">
            <v>379</v>
          </cell>
          <cell r="M1857">
            <v>44.42</v>
          </cell>
          <cell r="N1857">
            <v>2015</v>
          </cell>
          <cell r="O1857">
            <v>656</v>
          </cell>
          <cell r="P1857">
            <v>17.100000000000001</v>
          </cell>
        </row>
        <row r="1858">
          <cell r="B1858" t="str">
            <v>Yamaguchi University</v>
          </cell>
          <cell r="C1858" t="str">
            <v>Japan</v>
          </cell>
          <cell r="D1858">
            <v>41</v>
          </cell>
          <cell r="E1858">
            <v>367</v>
          </cell>
          <cell r="F1858">
            <v>567</v>
          </cell>
          <cell r="G1858">
            <v>218</v>
          </cell>
          <cell r="H1858">
            <v>753</v>
          </cell>
          <cell r="I1858">
            <v>787</v>
          </cell>
          <cell r="J1858">
            <v>645</v>
          </cell>
          <cell r="K1858">
            <v>732</v>
          </cell>
          <cell r="L1858">
            <v>202</v>
          </cell>
          <cell r="M1858">
            <v>44.42</v>
          </cell>
          <cell r="N1858">
            <v>2015</v>
          </cell>
          <cell r="O1858">
            <v>657</v>
          </cell>
          <cell r="P1858" t="e">
            <v>#N/A</v>
          </cell>
        </row>
        <row r="1859">
          <cell r="B1859" t="str">
            <v>Massey University</v>
          </cell>
          <cell r="C1859" t="str">
            <v>New Zealand</v>
          </cell>
          <cell r="D1859">
            <v>5</v>
          </cell>
          <cell r="E1859">
            <v>367</v>
          </cell>
          <cell r="F1859">
            <v>496</v>
          </cell>
          <cell r="G1859">
            <v>218</v>
          </cell>
          <cell r="H1859">
            <v>570</v>
          </cell>
          <cell r="I1859">
            <v>554</v>
          </cell>
          <cell r="J1859">
            <v>812</v>
          </cell>
          <cell r="K1859">
            <v>579</v>
          </cell>
          <cell r="L1859">
            <v>723</v>
          </cell>
          <cell r="M1859">
            <v>44.42</v>
          </cell>
          <cell r="N1859">
            <v>2015</v>
          </cell>
          <cell r="O1859">
            <v>658</v>
          </cell>
          <cell r="P1859">
            <v>17.399999999999999</v>
          </cell>
        </row>
        <row r="1860">
          <cell r="B1860" t="str">
            <v>Donghua University</v>
          </cell>
          <cell r="C1860" t="str">
            <v>China</v>
          </cell>
          <cell r="D1860">
            <v>37</v>
          </cell>
          <cell r="E1860">
            <v>367</v>
          </cell>
          <cell r="F1860">
            <v>567</v>
          </cell>
          <cell r="G1860">
            <v>218</v>
          </cell>
          <cell r="H1860">
            <v>805</v>
          </cell>
          <cell r="I1860">
            <v>962</v>
          </cell>
          <cell r="J1860">
            <v>234</v>
          </cell>
          <cell r="K1860">
            <v>622</v>
          </cell>
          <cell r="L1860">
            <v>726</v>
          </cell>
          <cell r="M1860">
            <v>44.41</v>
          </cell>
          <cell r="N1860">
            <v>2015</v>
          </cell>
          <cell r="O1860">
            <v>659</v>
          </cell>
          <cell r="P1860" t="e">
            <v>#N/A</v>
          </cell>
        </row>
        <row r="1861">
          <cell r="B1861" t="str">
            <v>University of the Balearic Islands</v>
          </cell>
          <cell r="C1861" t="str">
            <v>Spain</v>
          </cell>
          <cell r="D1861">
            <v>20</v>
          </cell>
          <cell r="E1861">
            <v>367</v>
          </cell>
          <cell r="F1861">
            <v>567</v>
          </cell>
          <cell r="G1861">
            <v>218</v>
          </cell>
          <cell r="H1861">
            <v>629</v>
          </cell>
          <cell r="I1861">
            <v>558</v>
          </cell>
          <cell r="J1861">
            <v>428</v>
          </cell>
          <cell r="K1861">
            <v>590</v>
          </cell>
          <cell r="L1861">
            <v>503</v>
          </cell>
          <cell r="M1861">
            <v>44.41</v>
          </cell>
          <cell r="N1861">
            <v>2015</v>
          </cell>
          <cell r="O1861">
            <v>660</v>
          </cell>
          <cell r="P1861" t="e">
            <v>#N/A</v>
          </cell>
        </row>
        <row r="1862">
          <cell r="B1862" t="str">
            <v>Portland State University</v>
          </cell>
          <cell r="C1862" t="str">
            <v>USA</v>
          </cell>
          <cell r="D1862">
            <v>192</v>
          </cell>
          <cell r="E1862">
            <v>367</v>
          </cell>
          <cell r="F1862">
            <v>245</v>
          </cell>
          <cell r="G1862">
            <v>218</v>
          </cell>
          <cell r="H1862">
            <v>800</v>
          </cell>
          <cell r="I1862">
            <v>548</v>
          </cell>
          <cell r="J1862">
            <v>812</v>
          </cell>
          <cell r="K1862">
            <v>741</v>
          </cell>
          <cell r="L1862">
            <v>484</v>
          </cell>
          <cell r="M1862">
            <v>44.41</v>
          </cell>
          <cell r="N1862">
            <v>2015</v>
          </cell>
          <cell r="O1862">
            <v>661</v>
          </cell>
          <cell r="P1862">
            <v>16.8</v>
          </cell>
        </row>
        <row r="1863">
          <cell r="B1863" t="str">
            <v>Marche Polytechnic University</v>
          </cell>
          <cell r="C1863" t="str">
            <v>Italy</v>
          </cell>
          <cell r="D1863">
            <v>35</v>
          </cell>
          <cell r="E1863">
            <v>367</v>
          </cell>
          <cell r="F1863">
            <v>567</v>
          </cell>
          <cell r="G1863">
            <v>218</v>
          </cell>
          <cell r="H1863">
            <v>688</v>
          </cell>
          <cell r="I1863">
            <v>649</v>
          </cell>
          <cell r="J1863">
            <v>812</v>
          </cell>
          <cell r="K1863">
            <v>565</v>
          </cell>
          <cell r="L1863">
            <v>748</v>
          </cell>
          <cell r="M1863">
            <v>44.41</v>
          </cell>
          <cell r="N1863">
            <v>2015</v>
          </cell>
          <cell r="O1863">
            <v>662</v>
          </cell>
          <cell r="P1863">
            <v>15.2</v>
          </cell>
        </row>
        <row r="1864">
          <cell r="B1864" t="str">
            <v>University of QuÃ©bec at Montreal</v>
          </cell>
          <cell r="C1864" t="str">
            <v>Canada</v>
          </cell>
          <cell r="D1864">
            <v>25</v>
          </cell>
          <cell r="E1864">
            <v>367</v>
          </cell>
          <cell r="F1864">
            <v>422</v>
          </cell>
          <cell r="G1864">
            <v>218</v>
          </cell>
          <cell r="H1864">
            <v>537</v>
          </cell>
          <cell r="I1864">
            <v>534</v>
          </cell>
          <cell r="J1864">
            <v>428</v>
          </cell>
          <cell r="K1864">
            <v>622</v>
          </cell>
          <cell r="L1864">
            <v>871</v>
          </cell>
          <cell r="M1864">
            <v>44.41</v>
          </cell>
          <cell r="N1864">
            <v>2015</v>
          </cell>
          <cell r="O1864">
            <v>663</v>
          </cell>
          <cell r="P1864" t="e">
            <v>#N/A</v>
          </cell>
        </row>
        <row r="1865">
          <cell r="B1865" t="str">
            <v>UNESP, SÃ£o Paulo State University</v>
          </cell>
          <cell r="C1865" t="str">
            <v>Brazil</v>
          </cell>
          <cell r="D1865">
            <v>7</v>
          </cell>
          <cell r="E1865">
            <v>367</v>
          </cell>
          <cell r="F1865">
            <v>567</v>
          </cell>
          <cell r="G1865">
            <v>218</v>
          </cell>
          <cell r="H1865">
            <v>356</v>
          </cell>
          <cell r="I1865">
            <v>613</v>
          </cell>
          <cell r="J1865">
            <v>511</v>
          </cell>
          <cell r="K1865">
            <v>671</v>
          </cell>
          <cell r="L1865">
            <v>627</v>
          </cell>
          <cell r="M1865">
            <v>44.41</v>
          </cell>
          <cell r="N1865">
            <v>2015</v>
          </cell>
          <cell r="O1865">
            <v>664</v>
          </cell>
          <cell r="P1865" t="e">
            <v>#N/A</v>
          </cell>
        </row>
        <row r="1866">
          <cell r="B1866" t="str">
            <v>Loma Linda University</v>
          </cell>
          <cell r="C1866" t="str">
            <v>USA</v>
          </cell>
          <cell r="D1866">
            <v>193</v>
          </cell>
          <cell r="E1866">
            <v>367</v>
          </cell>
          <cell r="F1866">
            <v>567</v>
          </cell>
          <cell r="G1866">
            <v>218</v>
          </cell>
          <cell r="H1866">
            <v>848</v>
          </cell>
          <cell r="I1866">
            <v>755</v>
          </cell>
          <cell r="J1866">
            <v>645</v>
          </cell>
          <cell r="K1866">
            <v>565</v>
          </cell>
          <cell r="L1866">
            <v>555</v>
          </cell>
          <cell r="M1866">
            <v>44.41</v>
          </cell>
          <cell r="N1866">
            <v>2015</v>
          </cell>
          <cell r="O1866">
            <v>665</v>
          </cell>
          <cell r="P1866" t="e">
            <v>#N/A</v>
          </cell>
        </row>
        <row r="1867">
          <cell r="B1867" t="str">
            <v>University of Toyama</v>
          </cell>
          <cell r="C1867" t="str">
            <v>Japan</v>
          </cell>
          <cell r="D1867">
            <v>42</v>
          </cell>
          <cell r="E1867">
            <v>367</v>
          </cell>
          <cell r="F1867">
            <v>307</v>
          </cell>
          <cell r="G1867">
            <v>218</v>
          </cell>
          <cell r="H1867">
            <v>685</v>
          </cell>
          <cell r="I1867">
            <v>760</v>
          </cell>
          <cell r="J1867">
            <v>645</v>
          </cell>
          <cell r="K1867">
            <v>646</v>
          </cell>
          <cell r="L1867">
            <v>871</v>
          </cell>
          <cell r="M1867">
            <v>44.41</v>
          </cell>
          <cell r="N1867">
            <v>2015</v>
          </cell>
          <cell r="O1867">
            <v>666</v>
          </cell>
          <cell r="P1867" t="e">
            <v>#N/A</v>
          </cell>
        </row>
        <row r="1868">
          <cell r="B1868" t="str">
            <v>University of Debrecen</v>
          </cell>
          <cell r="C1868" t="str">
            <v>Hungary</v>
          </cell>
          <cell r="D1868">
            <v>3</v>
          </cell>
          <cell r="E1868">
            <v>367</v>
          </cell>
          <cell r="F1868">
            <v>567</v>
          </cell>
          <cell r="G1868">
            <v>218</v>
          </cell>
          <cell r="H1868">
            <v>687</v>
          </cell>
          <cell r="I1868">
            <v>621</v>
          </cell>
          <cell r="J1868">
            <v>428</v>
          </cell>
          <cell r="K1868">
            <v>590</v>
          </cell>
          <cell r="L1868">
            <v>499</v>
          </cell>
          <cell r="M1868">
            <v>44.4</v>
          </cell>
          <cell r="N1868">
            <v>2015</v>
          </cell>
          <cell r="O1868">
            <v>667</v>
          </cell>
          <cell r="P1868">
            <v>17.3</v>
          </cell>
        </row>
        <row r="1869">
          <cell r="B1869" t="str">
            <v>University of Maine, Orono</v>
          </cell>
          <cell r="C1869" t="str">
            <v>USA</v>
          </cell>
          <cell r="D1869">
            <v>194</v>
          </cell>
          <cell r="E1869">
            <v>345</v>
          </cell>
          <cell r="F1869">
            <v>567</v>
          </cell>
          <cell r="G1869">
            <v>218</v>
          </cell>
          <cell r="H1869">
            <v>788</v>
          </cell>
          <cell r="I1869">
            <v>427</v>
          </cell>
          <cell r="J1869">
            <v>368</v>
          </cell>
          <cell r="K1869">
            <v>637</v>
          </cell>
          <cell r="L1869">
            <v>346</v>
          </cell>
          <cell r="M1869">
            <v>44.4</v>
          </cell>
          <cell r="N1869">
            <v>2015</v>
          </cell>
          <cell r="O1869">
            <v>668</v>
          </cell>
          <cell r="P1869" t="e">
            <v>#N/A</v>
          </cell>
        </row>
        <row r="1870">
          <cell r="B1870" t="str">
            <v>Graz University of Technology</v>
          </cell>
          <cell r="C1870" t="str">
            <v>Austria</v>
          </cell>
          <cell r="D1870">
            <v>8</v>
          </cell>
          <cell r="E1870">
            <v>367</v>
          </cell>
          <cell r="F1870">
            <v>567</v>
          </cell>
          <cell r="G1870">
            <v>218</v>
          </cell>
          <cell r="H1870">
            <v>677</v>
          </cell>
          <cell r="I1870">
            <v>715</v>
          </cell>
          <cell r="J1870">
            <v>368</v>
          </cell>
          <cell r="K1870">
            <v>622</v>
          </cell>
          <cell r="L1870">
            <v>404</v>
          </cell>
          <cell r="M1870">
            <v>44.4</v>
          </cell>
          <cell r="N1870">
            <v>2015</v>
          </cell>
          <cell r="O1870">
            <v>669</v>
          </cell>
          <cell r="P1870">
            <v>26</v>
          </cell>
        </row>
        <row r="1871">
          <cell r="B1871" t="str">
            <v>Gifu University</v>
          </cell>
          <cell r="C1871" t="str">
            <v>Japan</v>
          </cell>
          <cell r="D1871">
            <v>43</v>
          </cell>
          <cell r="E1871">
            <v>367</v>
          </cell>
          <cell r="F1871">
            <v>567</v>
          </cell>
          <cell r="G1871">
            <v>218</v>
          </cell>
          <cell r="H1871">
            <v>701</v>
          </cell>
          <cell r="I1871">
            <v>658</v>
          </cell>
          <cell r="J1871">
            <v>645</v>
          </cell>
          <cell r="K1871">
            <v>606</v>
          </cell>
          <cell r="L1871">
            <v>403</v>
          </cell>
          <cell r="M1871">
            <v>44.4</v>
          </cell>
          <cell r="N1871">
            <v>2015</v>
          </cell>
          <cell r="O1871">
            <v>670</v>
          </cell>
          <cell r="P1871">
            <v>25.4</v>
          </cell>
        </row>
        <row r="1872">
          <cell r="B1872" t="str">
            <v>University of JyvÃ¤skylÃ¤</v>
          </cell>
          <cell r="C1872" t="str">
            <v>Finland</v>
          </cell>
          <cell r="D1872">
            <v>8</v>
          </cell>
          <cell r="E1872">
            <v>367</v>
          </cell>
          <cell r="F1872">
            <v>525</v>
          </cell>
          <cell r="G1872">
            <v>218</v>
          </cell>
          <cell r="H1872">
            <v>456</v>
          </cell>
          <cell r="I1872">
            <v>443</v>
          </cell>
          <cell r="J1872">
            <v>812</v>
          </cell>
          <cell r="K1872">
            <v>622</v>
          </cell>
          <cell r="L1872">
            <v>805</v>
          </cell>
          <cell r="M1872">
            <v>44.4</v>
          </cell>
          <cell r="N1872">
            <v>2015</v>
          </cell>
          <cell r="O1872">
            <v>671</v>
          </cell>
          <cell r="P1872">
            <v>24.3</v>
          </cell>
        </row>
        <row r="1873">
          <cell r="B1873" t="str">
            <v>University of Paris 13</v>
          </cell>
          <cell r="C1873" t="str">
            <v>France</v>
          </cell>
          <cell r="D1873">
            <v>29</v>
          </cell>
          <cell r="E1873">
            <v>367</v>
          </cell>
          <cell r="F1873">
            <v>567</v>
          </cell>
          <cell r="G1873">
            <v>218</v>
          </cell>
          <cell r="H1873">
            <v>669</v>
          </cell>
          <cell r="I1873">
            <v>744</v>
          </cell>
          <cell r="J1873">
            <v>645</v>
          </cell>
          <cell r="K1873">
            <v>579</v>
          </cell>
          <cell r="L1873">
            <v>700</v>
          </cell>
          <cell r="M1873">
            <v>44.4</v>
          </cell>
          <cell r="N1873">
            <v>2015</v>
          </cell>
          <cell r="O1873">
            <v>672</v>
          </cell>
          <cell r="P1873" t="e">
            <v>#N/A</v>
          </cell>
        </row>
        <row r="1874">
          <cell r="B1874" t="str">
            <v>University of Girona</v>
          </cell>
          <cell r="C1874" t="str">
            <v>Spain</v>
          </cell>
          <cell r="D1874">
            <v>21</v>
          </cell>
          <cell r="E1874">
            <v>367</v>
          </cell>
          <cell r="F1874">
            <v>567</v>
          </cell>
          <cell r="G1874">
            <v>218</v>
          </cell>
          <cell r="H1874">
            <v>662</v>
          </cell>
          <cell r="I1874">
            <v>843</v>
          </cell>
          <cell r="J1874">
            <v>645</v>
          </cell>
          <cell r="K1874">
            <v>579</v>
          </cell>
          <cell r="L1874">
            <v>756</v>
          </cell>
          <cell r="M1874">
            <v>44.4</v>
          </cell>
          <cell r="N1874">
            <v>2015</v>
          </cell>
          <cell r="O1874">
            <v>673</v>
          </cell>
          <cell r="P1874" t="e">
            <v>#N/A</v>
          </cell>
        </row>
        <row r="1875">
          <cell r="B1875" t="str">
            <v>Keele University</v>
          </cell>
          <cell r="C1875" t="str">
            <v>United Kingdom</v>
          </cell>
          <cell r="D1875">
            <v>49</v>
          </cell>
          <cell r="E1875">
            <v>367</v>
          </cell>
          <cell r="F1875">
            <v>567</v>
          </cell>
          <cell r="G1875">
            <v>218</v>
          </cell>
          <cell r="H1875">
            <v>659</v>
          </cell>
          <cell r="I1875">
            <v>533</v>
          </cell>
          <cell r="J1875">
            <v>321</v>
          </cell>
          <cell r="K1875">
            <v>606</v>
          </cell>
          <cell r="L1875">
            <v>853</v>
          </cell>
          <cell r="M1875">
            <v>44.4</v>
          </cell>
          <cell r="N1875">
            <v>2015</v>
          </cell>
          <cell r="O1875">
            <v>674</v>
          </cell>
          <cell r="P1875">
            <v>18</v>
          </cell>
        </row>
        <row r="1876">
          <cell r="B1876" t="str">
            <v>University of Poitiers</v>
          </cell>
          <cell r="C1876" t="str">
            <v>France</v>
          </cell>
          <cell r="D1876">
            <v>30</v>
          </cell>
          <cell r="E1876">
            <v>255</v>
          </cell>
          <cell r="F1876">
            <v>567</v>
          </cell>
          <cell r="G1876">
            <v>148</v>
          </cell>
          <cell r="H1876">
            <v>636</v>
          </cell>
          <cell r="I1876">
            <v>470</v>
          </cell>
          <cell r="J1876">
            <v>645</v>
          </cell>
          <cell r="K1876">
            <v>671</v>
          </cell>
          <cell r="L1876">
            <v>754</v>
          </cell>
          <cell r="M1876">
            <v>44.39</v>
          </cell>
          <cell r="N1876">
            <v>2015</v>
          </cell>
          <cell r="O1876">
            <v>675</v>
          </cell>
          <cell r="P1876" t="e">
            <v>#N/A</v>
          </cell>
        </row>
        <row r="1877">
          <cell r="B1877" t="str">
            <v>University of Insubria</v>
          </cell>
          <cell r="C1877" t="str">
            <v>Italy</v>
          </cell>
          <cell r="D1877">
            <v>36</v>
          </cell>
          <cell r="E1877">
            <v>367</v>
          </cell>
          <cell r="F1877">
            <v>567</v>
          </cell>
          <cell r="G1877">
            <v>218</v>
          </cell>
          <cell r="H1877">
            <v>705</v>
          </cell>
          <cell r="I1877">
            <v>564</v>
          </cell>
          <cell r="J1877">
            <v>645</v>
          </cell>
          <cell r="K1877">
            <v>579</v>
          </cell>
          <cell r="L1877">
            <v>871</v>
          </cell>
          <cell r="M1877">
            <v>44.39</v>
          </cell>
          <cell r="N1877">
            <v>2015</v>
          </cell>
          <cell r="O1877">
            <v>676</v>
          </cell>
          <cell r="P1877" t="e">
            <v>#N/A</v>
          </cell>
        </row>
        <row r="1878">
          <cell r="B1878" t="str">
            <v>Wuhan University of Technology</v>
          </cell>
          <cell r="C1878" t="str">
            <v>China</v>
          </cell>
          <cell r="D1878">
            <v>38</v>
          </cell>
          <cell r="E1878">
            <v>367</v>
          </cell>
          <cell r="F1878">
            <v>499</v>
          </cell>
          <cell r="G1878">
            <v>218</v>
          </cell>
          <cell r="H1878">
            <v>738</v>
          </cell>
          <cell r="I1878">
            <v>931</v>
          </cell>
          <cell r="J1878">
            <v>428</v>
          </cell>
          <cell r="K1878">
            <v>590</v>
          </cell>
          <cell r="L1878">
            <v>763</v>
          </cell>
          <cell r="M1878">
            <v>44.39</v>
          </cell>
          <cell r="N1878">
            <v>2015</v>
          </cell>
          <cell r="O1878">
            <v>677</v>
          </cell>
          <cell r="P1878">
            <v>14.8</v>
          </cell>
        </row>
        <row r="1879">
          <cell r="B1879" t="str">
            <v>University of Pretoria</v>
          </cell>
          <cell r="C1879" t="str">
            <v>South Africa</v>
          </cell>
          <cell r="D1879">
            <v>5</v>
          </cell>
          <cell r="E1879">
            <v>367</v>
          </cell>
          <cell r="F1879">
            <v>262</v>
          </cell>
          <cell r="G1879">
            <v>218</v>
          </cell>
          <cell r="H1879">
            <v>620</v>
          </cell>
          <cell r="I1879">
            <v>513</v>
          </cell>
          <cell r="J1879">
            <v>511</v>
          </cell>
          <cell r="K1879">
            <v>741</v>
          </cell>
          <cell r="L1879">
            <v>604</v>
          </cell>
          <cell r="M1879">
            <v>44.39</v>
          </cell>
          <cell r="N1879">
            <v>2015</v>
          </cell>
          <cell r="O1879">
            <v>678</v>
          </cell>
          <cell r="P1879">
            <v>25.6</v>
          </cell>
        </row>
        <row r="1880">
          <cell r="B1880" t="str">
            <v>Banaras Hindu University</v>
          </cell>
          <cell r="C1880" t="str">
            <v>India</v>
          </cell>
          <cell r="D1880">
            <v>10</v>
          </cell>
          <cell r="E1880">
            <v>243</v>
          </cell>
          <cell r="F1880">
            <v>260</v>
          </cell>
          <cell r="G1880">
            <v>218</v>
          </cell>
          <cell r="H1880">
            <v>754</v>
          </cell>
          <cell r="I1880">
            <v>904</v>
          </cell>
          <cell r="J1880">
            <v>511</v>
          </cell>
          <cell r="K1880">
            <v>741</v>
          </cell>
          <cell r="L1880">
            <v>871</v>
          </cell>
          <cell r="M1880">
            <v>44.39</v>
          </cell>
          <cell r="N1880">
            <v>2015</v>
          </cell>
          <cell r="O1880">
            <v>679</v>
          </cell>
          <cell r="P1880" t="e">
            <v>#N/A</v>
          </cell>
        </row>
        <row r="1881">
          <cell r="B1881" t="str">
            <v>University of L'Aquila</v>
          </cell>
          <cell r="C1881" t="str">
            <v>Italy</v>
          </cell>
          <cell r="D1881">
            <v>37</v>
          </cell>
          <cell r="E1881">
            <v>367</v>
          </cell>
          <cell r="F1881">
            <v>567</v>
          </cell>
          <cell r="G1881">
            <v>218</v>
          </cell>
          <cell r="H1881">
            <v>655</v>
          </cell>
          <cell r="I1881">
            <v>678</v>
          </cell>
          <cell r="J1881">
            <v>645</v>
          </cell>
          <cell r="K1881">
            <v>590</v>
          </cell>
          <cell r="L1881">
            <v>871</v>
          </cell>
          <cell r="M1881">
            <v>44.38</v>
          </cell>
          <cell r="N1881">
            <v>2015</v>
          </cell>
          <cell r="O1881">
            <v>680</v>
          </cell>
          <cell r="P1881" t="e">
            <v>#N/A</v>
          </cell>
        </row>
        <row r="1882">
          <cell r="B1882" t="str">
            <v>University of Alicante</v>
          </cell>
          <cell r="C1882" t="str">
            <v>Spain</v>
          </cell>
          <cell r="D1882">
            <v>22</v>
          </cell>
          <cell r="E1882">
            <v>367</v>
          </cell>
          <cell r="F1882">
            <v>567</v>
          </cell>
          <cell r="G1882">
            <v>218</v>
          </cell>
          <cell r="H1882">
            <v>666</v>
          </cell>
          <cell r="I1882">
            <v>779</v>
          </cell>
          <cell r="J1882">
            <v>812</v>
          </cell>
          <cell r="K1882">
            <v>686</v>
          </cell>
          <cell r="L1882">
            <v>262</v>
          </cell>
          <cell r="M1882">
            <v>44.38</v>
          </cell>
          <cell r="N1882">
            <v>2015</v>
          </cell>
          <cell r="O1882">
            <v>681</v>
          </cell>
          <cell r="P1882" t="e">
            <v>#N/A</v>
          </cell>
        </row>
        <row r="1883">
          <cell r="B1883" t="str">
            <v>American University of Beirut</v>
          </cell>
          <cell r="C1883" t="str">
            <v>Lebanon</v>
          </cell>
          <cell r="D1883">
            <v>1</v>
          </cell>
          <cell r="E1883">
            <v>114</v>
          </cell>
          <cell r="F1883">
            <v>247</v>
          </cell>
          <cell r="G1883">
            <v>218</v>
          </cell>
          <cell r="H1883">
            <v>915</v>
          </cell>
          <cell r="I1883">
            <v>892</v>
          </cell>
          <cell r="J1883">
            <v>812</v>
          </cell>
          <cell r="K1883">
            <v>880</v>
          </cell>
          <cell r="L1883">
            <v>871</v>
          </cell>
          <cell r="M1883">
            <v>44.38</v>
          </cell>
          <cell r="N1883">
            <v>2015</v>
          </cell>
          <cell r="O1883">
            <v>682</v>
          </cell>
          <cell r="P1883">
            <v>27.7</v>
          </cell>
        </row>
        <row r="1884">
          <cell r="B1884" t="str">
            <v>University of Ulster</v>
          </cell>
          <cell r="C1884" t="str">
            <v>United Kingdom</v>
          </cell>
          <cell r="D1884">
            <v>50</v>
          </cell>
          <cell r="E1884">
            <v>367</v>
          </cell>
          <cell r="F1884">
            <v>567</v>
          </cell>
          <cell r="G1884">
            <v>218</v>
          </cell>
          <cell r="H1884">
            <v>747</v>
          </cell>
          <cell r="I1884">
            <v>808</v>
          </cell>
          <cell r="J1884">
            <v>321</v>
          </cell>
          <cell r="K1884">
            <v>732</v>
          </cell>
          <cell r="L1884">
            <v>240</v>
          </cell>
          <cell r="M1884">
            <v>44.38</v>
          </cell>
          <cell r="N1884">
            <v>2015</v>
          </cell>
          <cell r="O1884">
            <v>683</v>
          </cell>
          <cell r="P1884" t="e">
            <v>#N/A</v>
          </cell>
        </row>
        <row r="1885">
          <cell r="B1885" t="str">
            <v>Shanghai University</v>
          </cell>
          <cell r="C1885" t="str">
            <v>China</v>
          </cell>
          <cell r="D1885">
            <v>39</v>
          </cell>
          <cell r="E1885">
            <v>367</v>
          </cell>
          <cell r="F1885">
            <v>567</v>
          </cell>
          <cell r="G1885">
            <v>218</v>
          </cell>
          <cell r="H1885">
            <v>494</v>
          </cell>
          <cell r="I1885">
            <v>929</v>
          </cell>
          <cell r="J1885">
            <v>812</v>
          </cell>
          <cell r="K1885">
            <v>622</v>
          </cell>
          <cell r="L1885">
            <v>782</v>
          </cell>
          <cell r="M1885">
            <v>44.38</v>
          </cell>
          <cell r="N1885">
            <v>2015</v>
          </cell>
          <cell r="O1885">
            <v>684</v>
          </cell>
          <cell r="P1885">
            <v>19.100000000000001</v>
          </cell>
        </row>
        <row r="1886">
          <cell r="B1886" t="str">
            <v>Comenius University in Bratislava</v>
          </cell>
          <cell r="C1886" t="str">
            <v>Slovak Republic</v>
          </cell>
          <cell r="D1886">
            <v>1</v>
          </cell>
          <cell r="E1886">
            <v>367</v>
          </cell>
          <cell r="F1886">
            <v>567</v>
          </cell>
          <cell r="G1886">
            <v>218</v>
          </cell>
          <cell r="H1886">
            <v>707</v>
          </cell>
          <cell r="I1886">
            <v>624</v>
          </cell>
          <cell r="J1886">
            <v>645</v>
          </cell>
          <cell r="K1886">
            <v>590</v>
          </cell>
          <cell r="L1886">
            <v>871</v>
          </cell>
          <cell r="M1886">
            <v>44.38</v>
          </cell>
          <cell r="N1886">
            <v>2015</v>
          </cell>
          <cell r="O1886">
            <v>685</v>
          </cell>
          <cell r="P1886">
            <v>23</v>
          </cell>
        </row>
        <row r="1887">
          <cell r="B1887" t="str">
            <v>University of Vigo</v>
          </cell>
          <cell r="C1887" t="str">
            <v>Spain</v>
          </cell>
          <cell r="D1887">
            <v>23</v>
          </cell>
          <cell r="E1887">
            <v>367</v>
          </cell>
          <cell r="F1887">
            <v>567</v>
          </cell>
          <cell r="G1887">
            <v>218</v>
          </cell>
          <cell r="H1887">
            <v>577</v>
          </cell>
          <cell r="I1887">
            <v>822</v>
          </cell>
          <cell r="J1887">
            <v>428</v>
          </cell>
          <cell r="K1887">
            <v>622</v>
          </cell>
          <cell r="L1887">
            <v>621</v>
          </cell>
          <cell r="M1887">
            <v>44.38</v>
          </cell>
          <cell r="N1887">
            <v>2015</v>
          </cell>
          <cell r="O1887">
            <v>686</v>
          </cell>
          <cell r="P1887">
            <v>19.399999999999999</v>
          </cell>
        </row>
        <row r="1888">
          <cell r="B1888" t="str">
            <v>University of Nevada, Las Vegas</v>
          </cell>
          <cell r="C1888" t="str">
            <v>USA</v>
          </cell>
          <cell r="D1888">
            <v>195</v>
          </cell>
          <cell r="E1888">
            <v>367</v>
          </cell>
          <cell r="F1888">
            <v>448</v>
          </cell>
          <cell r="G1888">
            <v>218</v>
          </cell>
          <cell r="H1888">
            <v>640</v>
          </cell>
          <cell r="I1888">
            <v>473</v>
          </cell>
          <cell r="J1888">
            <v>812</v>
          </cell>
          <cell r="K1888">
            <v>622</v>
          </cell>
          <cell r="L1888">
            <v>861</v>
          </cell>
          <cell r="M1888">
            <v>44.38</v>
          </cell>
          <cell r="N1888">
            <v>2015</v>
          </cell>
          <cell r="O1888">
            <v>687</v>
          </cell>
          <cell r="P1888" t="e">
            <v>#N/A</v>
          </cell>
        </row>
        <row r="1889">
          <cell r="B1889" t="str">
            <v>Swinburne University of Technology</v>
          </cell>
          <cell r="C1889" t="str">
            <v>Australia</v>
          </cell>
          <cell r="D1889">
            <v>20</v>
          </cell>
          <cell r="E1889">
            <v>367</v>
          </cell>
          <cell r="F1889">
            <v>567</v>
          </cell>
          <cell r="G1889">
            <v>218</v>
          </cell>
          <cell r="H1889">
            <v>654</v>
          </cell>
          <cell r="I1889">
            <v>456</v>
          </cell>
          <cell r="J1889">
            <v>511</v>
          </cell>
          <cell r="K1889">
            <v>606</v>
          </cell>
          <cell r="L1889">
            <v>772</v>
          </cell>
          <cell r="M1889">
            <v>44.38</v>
          </cell>
          <cell r="N1889">
            <v>2015</v>
          </cell>
          <cell r="O1889">
            <v>688</v>
          </cell>
          <cell r="P1889">
            <v>15.5</v>
          </cell>
        </row>
        <row r="1890">
          <cell r="B1890" t="str">
            <v>Tilburg University</v>
          </cell>
          <cell r="C1890" t="str">
            <v>Netherlands</v>
          </cell>
          <cell r="D1890">
            <v>13</v>
          </cell>
          <cell r="E1890">
            <v>367</v>
          </cell>
          <cell r="F1890">
            <v>289</v>
          </cell>
          <cell r="G1890">
            <v>218</v>
          </cell>
          <cell r="H1890">
            <v>566</v>
          </cell>
          <cell r="I1890">
            <v>878</v>
          </cell>
          <cell r="J1890">
            <v>428</v>
          </cell>
          <cell r="K1890">
            <v>732</v>
          </cell>
          <cell r="L1890">
            <v>871</v>
          </cell>
          <cell r="M1890">
            <v>44.37</v>
          </cell>
          <cell r="N1890">
            <v>2015</v>
          </cell>
          <cell r="O1890">
            <v>689</v>
          </cell>
          <cell r="P1890">
            <v>22.6</v>
          </cell>
        </row>
        <row r="1891">
          <cell r="B1891" t="str">
            <v>University of Messina</v>
          </cell>
          <cell r="C1891" t="str">
            <v>Italy</v>
          </cell>
          <cell r="D1891">
            <v>38</v>
          </cell>
          <cell r="E1891">
            <v>367</v>
          </cell>
          <cell r="F1891">
            <v>567</v>
          </cell>
          <cell r="G1891">
            <v>218</v>
          </cell>
          <cell r="H1891">
            <v>608</v>
          </cell>
          <cell r="I1891">
            <v>803</v>
          </cell>
          <cell r="J1891">
            <v>812</v>
          </cell>
          <cell r="K1891">
            <v>606</v>
          </cell>
          <cell r="L1891">
            <v>871</v>
          </cell>
          <cell r="M1891">
            <v>44.37</v>
          </cell>
          <cell r="N1891">
            <v>2015</v>
          </cell>
          <cell r="O1891">
            <v>690</v>
          </cell>
          <cell r="P1891" t="e">
            <v>#N/A</v>
          </cell>
        </row>
        <row r="1892">
          <cell r="B1892" t="str">
            <v>Kaiserslautern University of Technology</v>
          </cell>
          <cell r="C1892" t="str">
            <v>Germany</v>
          </cell>
          <cell r="D1892">
            <v>47</v>
          </cell>
          <cell r="E1892">
            <v>367</v>
          </cell>
          <cell r="F1892">
            <v>522</v>
          </cell>
          <cell r="G1892">
            <v>218</v>
          </cell>
          <cell r="H1892">
            <v>679</v>
          </cell>
          <cell r="I1892">
            <v>523</v>
          </cell>
          <cell r="J1892">
            <v>812</v>
          </cell>
          <cell r="K1892">
            <v>606</v>
          </cell>
          <cell r="L1892">
            <v>668</v>
          </cell>
          <cell r="M1892">
            <v>44.37</v>
          </cell>
          <cell r="N1892">
            <v>2015</v>
          </cell>
          <cell r="O1892">
            <v>691</v>
          </cell>
          <cell r="P1892" t="e">
            <v>#N/A</v>
          </cell>
        </row>
        <row r="1893">
          <cell r="B1893" t="str">
            <v>University of Kent</v>
          </cell>
          <cell r="C1893" t="str">
            <v>United Kingdom</v>
          </cell>
          <cell r="D1893">
            <v>51</v>
          </cell>
          <cell r="E1893">
            <v>367</v>
          </cell>
          <cell r="F1893">
            <v>433</v>
          </cell>
          <cell r="G1893">
            <v>218</v>
          </cell>
          <cell r="H1893">
            <v>625</v>
          </cell>
          <cell r="I1893">
            <v>458</v>
          </cell>
          <cell r="J1893">
            <v>511</v>
          </cell>
          <cell r="K1893">
            <v>637</v>
          </cell>
          <cell r="L1893">
            <v>861</v>
          </cell>
          <cell r="M1893">
            <v>44.37</v>
          </cell>
          <cell r="N1893">
            <v>2015</v>
          </cell>
          <cell r="O1893">
            <v>692</v>
          </cell>
          <cell r="P1893">
            <v>15.6</v>
          </cell>
        </row>
        <row r="1894">
          <cell r="B1894" t="str">
            <v>University of MÃ¡laga</v>
          </cell>
          <cell r="C1894" t="str">
            <v>Spain</v>
          </cell>
          <cell r="D1894">
            <v>24</v>
          </cell>
          <cell r="E1894">
            <v>367</v>
          </cell>
          <cell r="F1894">
            <v>567</v>
          </cell>
          <cell r="G1894">
            <v>218</v>
          </cell>
          <cell r="H1894">
            <v>660</v>
          </cell>
          <cell r="I1894">
            <v>830</v>
          </cell>
          <cell r="J1894">
            <v>645</v>
          </cell>
          <cell r="K1894">
            <v>781</v>
          </cell>
          <cell r="L1894">
            <v>203</v>
          </cell>
          <cell r="M1894">
            <v>44.37</v>
          </cell>
          <cell r="N1894">
            <v>2015</v>
          </cell>
          <cell r="O1894">
            <v>693</v>
          </cell>
          <cell r="P1894" t="e">
            <v>#N/A</v>
          </cell>
        </row>
        <row r="1895">
          <cell r="B1895" t="str">
            <v>Loughborough University</v>
          </cell>
          <cell r="C1895" t="str">
            <v>United Kingdom</v>
          </cell>
          <cell r="D1895">
            <v>52</v>
          </cell>
          <cell r="E1895">
            <v>367</v>
          </cell>
          <cell r="F1895">
            <v>567</v>
          </cell>
          <cell r="G1895">
            <v>218</v>
          </cell>
          <cell r="H1895">
            <v>512</v>
          </cell>
          <cell r="I1895">
            <v>806</v>
          </cell>
          <cell r="J1895">
            <v>511</v>
          </cell>
          <cell r="K1895">
            <v>646</v>
          </cell>
          <cell r="L1895">
            <v>480</v>
          </cell>
          <cell r="M1895">
            <v>44.37</v>
          </cell>
          <cell r="N1895">
            <v>2015</v>
          </cell>
          <cell r="O1895">
            <v>694</v>
          </cell>
          <cell r="P1895">
            <v>27.9</v>
          </cell>
        </row>
        <row r="1896">
          <cell r="B1896" t="str">
            <v>National Technical University of Athens</v>
          </cell>
          <cell r="C1896" t="str">
            <v>Greece</v>
          </cell>
          <cell r="D1896">
            <v>6</v>
          </cell>
          <cell r="E1896">
            <v>187</v>
          </cell>
          <cell r="F1896">
            <v>567</v>
          </cell>
          <cell r="G1896">
            <v>218</v>
          </cell>
          <cell r="H1896">
            <v>514</v>
          </cell>
          <cell r="I1896">
            <v>950</v>
          </cell>
          <cell r="J1896">
            <v>511</v>
          </cell>
          <cell r="K1896">
            <v>659</v>
          </cell>
          <cell r="L1896">
            <v>871</v>
          </cell>
          <cell r="M1896">
            <v>44.37</v>
          </cell>
          <cell r="N1896">
            <v>2015</v>
          </cell>
          <cell r="O1896">
            <v>695</v>
          </cell>
          <cell r="P1896">
            <v>20.2</v>
          </cell>
        </row>
        <row r="1897">
          <cell r="B1897" t="str">
            <v>Liverpool John Moores University</v>
          </cell>
          <cell r="C1897" t="str">
            <v>United Kingdom</v>
          </cell>
          <cell r="D1897">
            <v>53</v>
          </cell>
          <cell r="E1897">
            <v>367</v>
          </cell>
          <cell r="F1897">
            <v>567</v>
          </cell>
          <cell r="G1897">
            <v>218</v>
          </cell>
          <cell r="H1897">
            <v>723</v>
          </cell>
          <cell r="I1897">
            <v>395</v>
          </cell>
          <cell r="J1897">
            <v>511</v>
          </cell>
          <cell r="K1897">
            <v>606</v>
          </cell>
          <cell r="L1897">
            <v>871</v>
          </cell>
          <cell r="M1897">
            <v>44.37</v>
          </cell>
          <cell r="N1897">
            <v>2015</v>
          </cell>
          <cell r="O1897">
            <v>696</v>
          </cell>
          <cell r="P1897">
            <v>12.3</v>
          </cell>
        </row>
        <row r="1898">
          <cell r="B1898" t="str">
            <v>Sharif University of Technology</v>
          </cell>
          <cell r="C1898" t="str">
            <v>Iran</v>
          </cell>
          <cell r="D1898">
            <v>1</v>
          </cell>
          <cell r="E1898">
            <v>116</v>
          </cell>
          <cell r="F1898">
            <v>567</v>
          </cell>
          <cell r="G1898">
            <v>218</v>
          </cell>
          <cell r="H1898">
            <v>563</v>
          </cell>
          <cell r="I1898">
            <v>950</v>
          </cell>
          <cell r="J1898">
            <v>511</v>
          </cell>
          <cell r="K1898">
            <v>732</v>
          </cell>
          <cell r="L1898">
            <v>871</v>
          </cell>
          <cell r="M1898">
            <v>44.37</v>
          </cell>
          <cell r="N1898">
            <v>2015</v>
          </cell>
          <cell r="O1898">
            <v>697</v>
          </cell>
          <cell r="P1898">
            <v>28.5</v>
          </cell>
        </row>
        <row r="1899">
          <cell r="B1899" t="str">
            <v>Birkbeck, University of London</v>
          </cell>
          <cell r="C1899" t="str">
            <v>United Kingdom</v>
          </cell>
          <cell r="D1899">
            <v>54</v>
          </cell>
          <cell r="E1899">
            <v>300</v>
          </cell>
          <cell r="F1899">
            <v>567</v>
          </cell>
          <cell r="G1899">
            <v>218</v>
          </cell>
          <cell r="H1899">
            <v>724</v>
          </cell>
          <cell r="I1899">
            <v>339</v>
          </cell>
          <cell r="J1899">
            <v>428</v>
          </cell>
          <cell r="K1899">
            <v>622</v>
          </cell>
          <cell r="L1899">
            <v>871</v>
          </cell>
          <cell r="M1899">
            <v>44.37</v>
          </cell>
          <cell r="N1899">
            <v>2015</v>
          </cell>
          <cell r="O1899">
            <v>698</v>
          </cell>
          <cell r="P1899">
            <v>41.2</v>
          </cell>
        </row>
        <row r="1900">
          <cell r="B1900" t="str">
            <v>University FranÃ§ois Rabelais, Tours</v>
          </cell>
          <cell r="C1900" t="str">
            <v>France</v>
          </cell>
          <cell r="D1900">
            <v>31</v>
          </cell>
          <cell r="E1900">
            <v>201</v>
          </cell>
          <cell r="F1900">
            <v>567</v>
          </cell>
          <cell r="G1900">
            <v>218</v>
          </cell>
          <cell r="H1900">
            <v>667</v>
          </cell>
          <cell r="I1900">
            <v>499</v>
          </cell>
          <cell r="J1900">
            <v>812</v>
          </cell>
          <cell r="K1900">
            <v>637</v>
          </cell>
          <cell r="L1900">
            <v>703</v>
          </cell>
          <cell r="M1900">
            <v>44.37</v>
          </cell>
          <cell r="N1900">
            <v>2015</v>
          </cell>
          <cell r="O1900">
            <v>699</v>
          </cell>
          <cell r="P1900" t="e">
            <v>#N/A</v>
          </cell>
        </row>
        <row r="1901">
          <cell r="B1901" t="str">
            <v>University of Haifa</v>
          </cell>
          <cell r="C1901" t="str">
            <v>Israel</v>
          </cell>
          <cell r="D1901">
            <v>7</v>
          </cell>
          <cell r="E1901">
            <v>367</v>
          </cell>
          <cell r="F1901">
            <v>372</v>
          </cell>
          <cell r="G1901">
            <v>218</v>
          </cell>
          <cell r="H1901">
            <v>535</v>
          </cell>
          <cell r="I1901">
            <v>479</v>
          </cell>
          <cell r="J1901">
            <v>812</v>
          </cell>
          <cell r="K1901">
            <v>686</v>
          </cell>
          <cell r="L1901">
            <v>503</v>
          </cell>
          <cell r="M1901">
            <v>44.36</v>
          </cell>
          <cell r="N1901">
            <v>2015</v>
          </cell>
          <cell r="O1901">
            <v>700</v>
          </cell>
          <cell r="P1901">
            <v>25.5</v>
          </cell>
        </row>
        <row r="1902">
          <cell r="B1902" t="str">
            <v>Roma Tre University</v>
          </cell>
          <cell r="C1902" t="str">
            <v>Italy</v>
          </cell>
          <cell r="D1902">
            <v>39</v>
          </cell>
          <cell r="E1902">
            <v>367</v>
          </cell>
          <cell r="F1902">
            <v>567</v>
          </cell>
          <cell r="G1902">
            <v>218</v>
          </cell>
          <cell r="H1902">
            <v>639</v>
          </cell>
          <cell r="I1902">
            <v>637</v>
          </cell>
          <cell r="J1902">
            <v>511</v>
          </cell>
          <cell r="K1902">
            <v>622</v>
          </cell>
          <cell r="L1902">
            <v>756</v>
          </cell>
          <cell r="M1902">
            <v>44.36</v>
          </cell>
          <cell r="N1902">
            <v>2015</v>
          </cell>
          <cell r="O1902">
            <v>701</v>
          </cell>
          <cell r="P1902" t="e">
            <v>#N/A</v>
          </cell>
        </row>
        <row r="1903">
          <cell r="B1903" t="str">
            <v>Masaryk University</v>
          </cell>
          <cell r="C1903" t="str">
            <v>Czech Republic</v>
          </cell>
          <cell r="D1903">
            <v>2</v>
          </cell>
          <cell r="E1903">
            <v>367</v>
          </cell>
          <cell r="F1903">
            <v>567</v>
          </cell>
          <cell r="G1903">
            <v>218</v>
          </cell>
          <cell r="H1903">
            <v>645</v>
          </cell>
          <cell r="I1903">
            <v>519</v>
          </cell>
          <cell r="J1903">
            <v>645</v>
          </cell>
          <cell r="K1903">
            <v>622</v>
          </cell>
          <cell r="L1903">
            <v>705</v>
          </cell>
          <cell r="M1903">
            <v>44.36</v>
          </cell>
          <cell r="N1903">
            <v>2015</v>
          </cell>
          <cell r="O1903">
            <v>702</v>
          </cell>
          <cell r="P1903">
            <v>21.2</v>
          </cell>
        </row>
        <row r="1904">
          <cell r="B1904" t="str">
            <v>University of Salerno</v>
          </cell>
          <cell r="C1904" t="str">
            <v>Italy</v>
          </cell>
          <cell r="D1904">
            <v>40</v>
          </cell>
          <cell r="E1904">
            <v>367</v>
          </cell>
          <cell r="F1904">
            <v>567</v>
          </cell>
          <cell r="G1904">
            <v>218</v>
          </cell>
          <cell r="H1904">
            <v>537</v>
          </cell>
          <cell r="I1904">
            <v>835</v>
          </cell>
          <cell r="J1904">
            <v>511</v>
          </cell>
          <cell r="K1904">
            <v>646</v>
          </cell>
          <cell r="L1904">
            <v>525</v>
          </cell>
          <cell r="M1904">
            <v>44.36</v>
          </cell>
          <cell r="N1904">
            <v>2015</v>
          </cell>
          <cell r="O1904">
            <v>703</v>
          </cell>
          <cell r="P1904" t="e">
            <v>#N/A</v>
          </cell>
        </row>
        <row r="1905">
          <cell r="B1905" t="str">
            <v>King Abdullah University of Science and Technology</v>
          </cell>
          <cell r="C1905" t="str">
            <v>Saudi Arabia</v>
          </cell>
          <cell r="D1905">
            <v>2</v>
          </cell>
          <cell r="E1905">
            <v>367</v>
          </cell>
          <cell r="F1905">
            <v>567</v>
          </cell>
          <cell r="G1905">
            <v>126</v>
          </cell>
          <cell r="H1905">
            <v>691</v>
          </cell>
          <cell r="I1905">
            <v>529</v>
          </cell>
          <cell r="J1905">
            <v>812</v>
          </cell>
          <cell r="K1905">
            <v>946</v>
          </cell>
          <cell r="L1905">
            <v>182</v>
          </cell>
          <cell r="M1905">
            <v>44.36</v>
          </cell>
          <cell r="N1905">
            <v>2015</v>
          </cell>
          <cell r="O1905">
            <v>704</v>
          </cell>
          <cell r="P1905" t="e">
            <v>#N/A</v>
          </cell>
        </row>
        <row r="1906">
          <cell r="B1906" t="str">
            <v>Beihang University</v>
          </cell>
          <cell r="C1906" t="str">
            <v>China</v>
          </cell>
          <cell r="D1906">
            <v>40</v>
          </cell>
          <cell r="E1906">
            <v>367</v>
          </cell>
          <cell r="F1906">
            <v>383</v>
          </cell>
          <cell r="G1906">
            <v>218</v>
          </cell>
          <cell r="H1906">
            <v>460</v>
          </cell>
          <cell r="I1906">
            <v>865</v>
          </cell>
          <cell r="J1906">
            <v>645</v>
          </cell>
          <cell r="K1906">
            <v>770</v>
          </cell>
          <cell r="L1906">
            <v>307</v>
          </cell>
          <cell r="M1906">
            <v>44.35</v>
          </cell>
          <cell r="N1906">
            <v>2015</v>
          </cell>
          <cell r="O1906">
            <v>705</v>
          </cell>
          <cell r="P1906" t="e">
            <v>#N/A</v>
          </cell>
        </row>
        <row r="1907">
          <cell r="B1907" t="str">
            <v>Fuzhou University</v>
          </cell>
          <cell r="C1907" t="str">
            <v>China</v>
          </cell>
          <cell r="D1907">
            <v>41</v>
          </cell>
          <cell r="E1907">
            <v>367</v>
          </cell>
          <cell r="F1907">
            <v>399</v>
          </cell>
          <cell r="G1907">
            <v>218</v>
          </cell>
          <cell r="H1907">
            <v>727</v>
          </cell>
          <cell r="I1907">
            <v>984</v>
          </cell>
          <cell r="J1907">
            <v>428</v>
          </cell>
          <cell r="K1907">
            <v>671</v>
          </cell>
          <cell r="L1907">
            <v>463</v>
          </cell>
          <cell r="M1907">
            <v>44.35</v>
          </cell>
          <cell r="N1907">
            <v>2015</v>
          </cell>
          <cell r="O1907">
            <v>706</v>
          </cell>
          <cell r="P1907" t="e">
            <v>#N/A</v>
          </cell>
        </row>
        <row r="1908">
          <cell r="B1908" t="str">
            <v>Heriot-Watt University</v>
          </cell>
          <cell r="C1908" t="str">
            <v>United Kingdom</v>
          </cell>
          <cell r="D1908">
            <v>55</v>
          </cell>
          <cell r="E1908">
            <v>367</v>
          </cell>
          <cell r="F1908">
            <v>335</v>
          </cell>
          <cell r="G1908">
            <v>218</v>
          </cell>
          <cell r="H1908">
            <v>601</v>
          </cell>
          <cell r="I1908">
            <v>597</v>
          </cell>
          <cell r="J1908">
            <v>812</v>
          </cell>
          <cell r="K1908">
            <v>715</v>
          </cell>
          <cell r="L1908">
            <v>439</v>
          </cell>
          <cell r="M1908">
            <v>44.35</v>
          </cell>
          <cell r="N1908">
            <v>2015</v>
          </cell>
          <cell r="O1908">
            <v>707</v>
          </cell>
          <cell r="P1908">
            <v>21.5</v>
          </cell>
        </row>
        <row r="1909">
          <cell r="B1909" t="str">
            <v>China Medical University (Taiwan)</v>
          </cell>
          <cell r="C1909" t="str">
            <v>Taiwan</v>
          </cell>
          <cell r="D1909">
            <v>9</v>
          </cell>
          <cell r="E1909">
            <v>367</v>
          </cell>
          <cell r="F1909">
            <v>567</v>
          </cell>
          <cell r="G1909">
            <v>218</v>
          </cell>
          <cell r="H1909">
            <v>428</v>
          </cell>
          <cell r="I1909">
            <v>686</v>
          </cell>
          <cell r="J1909">
            <v>812</v>
          </cell>
          <cell r="K1909">
            <v>671</v>
          </cell>
          <cell r="L1909">
            <v>871</v>
          </cell>
          <cell r="M1909">
            <v>44.35</v>
          </cell>
          <cell r="N1909">
            <v>2015</v>
          </cell>
          <cell r="O1909">
            <v>708</v>
          </cell>
          <cell r="P1909" t="e">
            <v>#N/A</v>
          </cell>
        </row>
        <row r="1910">
          <cell r="B1910" t="str">
            <v>University of Cantabria</v>
          </cell>
          <cell r="C1910" t="str">
            <v>Spain</v>
          </cell>
          <cell r="D1910">
            <v>25</v>
          </cell>
          <cell r="E1910">
            <v>367</v>
          </cell>
          <cell r="F1910">
            <v>523</v>
          </cell>
          <cell r="G1910">
            <v>218</v>
          </cell>
          <cell r="H1910">
            <v>603</v>
          </cell>
          <cell r="I1910">
            <v>587</v>
          </cell>
          <cell r="J1910">
            <v>428</v>
          </cell>
          <cell r="K1910">
            <v>646</v>
          </cell>
          <cell r="L1910">
            <v>571</v>
          </cell>
          <cell r="M1910">
            <v>44.35</v>
          </cell>
          <cell r="N1910">
            <v>2015</v>
          </cell>
          <cell r="O1910">
            <v>709</v>
          </cell>
          <cell r="P1910" t="e">
            <v>#N/A</v>
          </cell>
        </row>
        <row r="1911">
          <cell r="B1911" t="str">
            <v>Rochester Institute of Technology</v>
          </cell>
          <cell r="C1911" t="str">
            <v>USA</v>
          </cell>
          <cell r="D1911">
            <v>196</v>
          </cell>
          <cell r="E1911">
            <v>367</v>
          </cell>
          <cell r="F1911">
            <v>431</v>
          </cell>
          <cell r="G1911">
            <v>218</v>
          </cell>
          <cell r="H1911">
            <v>905</v>
          </cell>
          <cell r="I1911">
            <v>643</v>
          </cell>
          <cell r="J1911">
            <v>287</v>
          </cell>
          <cell r="K1911">
            <v>671</v>
          </cell>
          <cell r="L1911">
            <v>587</v>
          </cell>
          <cell r="M1911">
            <v>44.35</v>
          </cell>
          <cell r="N1911">
            <v>2015</v>
          </cell>
          <cell r="O1911">
            <v>710</v>
          </cell>
          <cell r="P1911">
            <v>17.399999999999999</v>
          </cell>
        </row>
        <row r="1912">
          <cell r="B1912" t="str">
            <v>Royal College of Surgeons in Ireland</v>
          </cell>
          <cell r="C1912" t="str">
            <v>Ireland</v>
          </cell>
          <cell r="D1912">
            <v>5</v>
          </cell>
          <cell r="E1912">
            <v>367</v>
          </cell>
          <cell r="F1912">
            <v>567</v>
          </cell>
          <cell r="G1912">
            <v>218</v>
          </cell>
          <cell r="H1912">
            <v>888</v>
          </cell>
          <cell r="I1912">
            <v>714</v>
          </cell>
          <cell r="J1912">
            <v>368</v>
          </cell>
          <cell r="K1912">
            <v>646</v>
          </cell>
          <cell r="L1912">
            <v>446</v>
          </cell>
          <cell r="M1912">
            <v>44.35</v>
          </cell>
          <cell r="N1912">
            <v>2015</v>
          </cell>
          <cell r="O1912">
            <v>711</v>
          </cell>
          <cell r="P1912">
            <v>24.7</v>
          </cell>
        </row>
        <row r="1913">
          <cell r="B1913" t="str">
            <v>San Francisco State University</v>
          </cell>
          <cell r="C1913" t="str">
            <v>USA</v>
          </cell>
          <cell r="D1913">
            <v>197</v>
          </cell>
          <cell r="E1913">
            <v>271</v>
          </cell>
          <cell r="F1913">
            <v>567</v>
          </cell>
          <cell r="G1913">
            <v>218</v>
          </cell>
          <cell r="H1913">
            <v>864</v>
          </cell>
          <cell r="I1913">
            <v>572</v>
          </cell>
          <cell r="J1913">
            <v>511</v>
          </cell>
          <cell r="K1913">
            <v>622</v>
          </cell>
          <cell r="L1913">
            <v>871</v>
          </cell>
          <cell r="M1913">
            <v>44.35</v>
          </cell>
          <cell r="N1913">
            <v>2015</v>
          </cell>
          <cell r="O1913">
            <v>712</v>
          </cell>
          <cell r="P1913" t="e">
            <v>#N/A</v>
          </cell>
        </row>
        <row r="1914">
          <cell r="B1914" t="str">
            <v>Sapporo Medical University</v>
          </cell>
          <cell r="C1914" t="str">
            <v>Japan</v>
          </cell>
          <cell r="D1914">
            <v>44</v>
          </cell>
          <cell r="E1914">
            <v>367</v>
          </cell>
          <cell r="F1914">
            <v>567</v>
          </cell>
          <cell r="G1914">
            <v>218</v>
          </cell>
          <cell r="H1914">
            <v>975</v>
          </cell>
          <cell r="I1914">
            <v>837</v>
          </cell>
          <cell r="J1914">
            <v>645</v>
          </cell>
          <cell r="K1914">
            <v>637</v>
          </cell>
          <cell r="L1914">
            <v>441</v>
          </cell>
          <cell r="M1914">
            <v>44.35</v>
          </cell>
          <cell r="N1914">
            <v>2015</v>
          </cell>
          <cell r="O1914">
            <v>713</v>
          </cell>
          <cell r="P1914" t="e">
            <v>#N/A</v>
          </cell>
        </row>
        <row r="1915">
          <cell r="B1915" t="str">
            <v>Indian Institute of Technology Kanpur</v>
          </cell>
          <cell r="C1915" t="str">
            <v>India</v>
          </cell>
          <cell r="D1915">
            <v>11</v>
          </cell>
          <cell r="E1915">
            <v>174</v>
          </cell>
          <cell r="F1915">
            <v>503</v>
          </cell>
          <cell r="G1915">
            <v>218</v>
          </cell>
          <cell r="H1915">
            <v>561</v>
          </cell>
          <cell r="I1915">
            <v>848</v>
          </cell>
          <cell r="J1915">
            <v>645</v>
          </cell>
          <cell r="K1915">
            <v>715</v>
          </cell>
          <cell r="L1915">
            <v>450</v>
          </cell>
          <cell r="M1915">
            <v>44.34</v>
          </cell>
          <cell r="N1915">
            <v>2015</v>
          </cell>
          <cell r="O1915">
            <v>714</v>
          </cell>
          <cell r="P1915">
            <v>31.3</v>
          </cell>
        </row>
        <row r="1916">
          <cell r="B1916" t="str">
            <v>Johannes Kepler University of Linz</v>
          </cell>
          <cell r="C1916" t="str">
            <v>Austria</v>
          </cell>
          <cell r="D1916">
            <v>9</v>
          </cell>
          <cell r="E1916">
            <v>367</v>
          </cell>
          <cell r="F1916">
            <v>378</v>
          </cell>
          <cell r="G1916">
            <v>218</v>
          </cell>
          <cell r="H1916">
            <v>742</v>
          </cell>
          <cell r="I1916">
            <v>659</v>
          </cell>
          <cell r="J1916">
            <v>645</v>
          </cell>
          <cell r="K1916">
            <v>671</v>
          </cell>
          <cell r="L1916">
            <v>560</v>
          </cell>
          <cell r="M1916">
            <v>44.34</v>
          </cell>
          <cell r="N1916">
            <v>2015</v>
          </cell>
          <cell r="O1916">
            <v>715</v>
          </cell>
          <cell r="P1916">
            <v>18.399999999999999</v>
          </cell>
        </row>
        <row r="1917">
          <cell r="B1917" t="str">
            <v>Czech Technical University in Prague</v>
          </cell>
          <cell r="C1917" t="str">
            <v>Czech Republic</v>
          </cell>
          <cell r="D1917">
            <v>3</v>
          </cell>
          <cell r="E1917">
            <v>347</v>
          </cell>
          <cell r="F1917">
            <v>567</v>
          </cell>
          <cell r="G1917">
            <v>218</v>
          </cell>
          <cell r="H1917">
            <v>673</v>
          </cell>
          <cell r="I1917">
            <v>816</v>
          </cell>
          <cell r="J1917">
            <v>428</v>
          </cell>
          <cell r="K1917">
            <v>646</v>
          </cell>
          <cell r="L1917">
            <v>582</v>
          </cell>
          <cell r="M1917">
            <v>44.34</v>
          </cell>
          <cell r="N1917">
            <v>2015</v>
          </cell>
          <cell r="O1917">
            <v>716</v>
          </cell>
          <cell r="P1917">
            <v>20.6</v>
          </cell>
        </row>
        <row r="1918">
          <cell r="B1918" t="str">
            <v>Marquette University</v>
          </cell>
          <cell r="C1918" t="str">
            <v>USA</v>
          </cell>
          <cell r="D1918">
            <v>198</v>
          </cell>
          <cell r="E1918">
            <v>367</v>
          </cell>
          <cell r="F1918">
            <v>201</v>
          </cell>
          <cell r="G1918">
            <v>218</v>
          </cell>
          <cell r="H1918">
            <v>912</v>
          </cell>
          <cell r="I1918">
            <v>785</v>
          </cell>
          <cell r="J1918">
            <v>812</v>
          </cell>
          <cell r="K1918">
            <v>896</v>
          </cell>
          <cell r="L1918">
            <v>682</v>
          </cell>
          <cell r="M1918">
            <v>44.34</v>
          </cell>
          <cell r="N1918">
            <v>2015</v>
          </cell>
          <cell r="O1918">
            <v>717</v>
          </cell>
          <cell r="P1918" t="e">
            <v>#N/A</v>
          </cell>
        </row>
        <row r="1919">
          <cell r="B1919" t="str">
            <v>Missouri University of Science and Technology</v>
          </cell>
          <cell r="C1919" t="str">
            <v>USA</v>
          </cell>
          <cell r="D1919">
            <v>199</v>
          </cell>
          <cell r="E1919">
            <v>367</v>
          </cell>
          <cell r="F1919">
            <v>246</v>
          </cell>
          <cell r="G1919">
            <v>218</v>
          </cell>
          <cell r="H1919">
            <v>718</v>
          </cell>
          <cell r="I1919">
            <v>923</v>
          </cell>
          <cell r="J1919">
            <v>645</v>
          </cell>
          <cell r="K1919">
            <v>826</v>
          </cell>
          <cell r="L1919">
            <v>592</v>
          </cell>
          <cell r="M1919">
            <v>44.34</v>
          </cell>
          <cell r="N1919">
            <v>2015</v>
          </cell>
          <cell r="O1919">
            <v>718</v>
          </cell>
          <cell r="P1919">
            <v>23.5</v>
          </cell>
        </row>
        <row r="1920">
          <cell r="B1920" t="str">
            <v>Howard University</v>
          </cell>
          <cell r="C1920" t="str">
            <v>USA</v>
          </cell>
          <cell r="D1920">
            <v>200</v>
          </cell>
          <cell r="E1920">
            <v>294</v>
          </cell>
          <cell r="F1920">
            <v>567</v>
          </cell>
          <cell r="G1920">
            <v>218</v>
          </cell>
          <cell r="H1920">
            <v>934</v>
          </cell>
          <cell r="I1920">
            <v>665</v>
          </cell>
          <cell r="J1920">
            <v>511</v>
          </cell>
          <cell r="K1920">
            <v>699</v>
          </cell>
          <cell r="L1920">
            <v>296</v>
          </cell>
          <cell r="M1920">
            <v>44.33</v>
          </cell>
          <cell r="N1920">
            <v>2015</v>
          </cell>
          <cell r="O1920">
            <v>719</v>
          </cell>
          <cell r="P1920">
            <v>38.799999999999997</v>
          </cell>
        </row>
        <row r="1921">
          <cell r="B1921" t="str">
            <v>Aston University</v>
          </cell>
          <cell r="C1921" t="str">
            <v>United Kingdom</v>
          </cell>
          <cell r="D1921">
            <v>56</v>
          </cell>
          <cell r="E1921">
            <v>367</v>
          </cell>
          <cell r="F1921">
            <v>355</v>
          </cell>
          <cell r="G1921">
            <v>218</v>
          </cell>
          <cell r="H1921">
            <v>827</v>
          </cell>
          <cell r="I1921">
            <v>895</v>
          </cell>
          <cell r="J1921">
            <v>645</v>
          </cell>
          <cell r="K1921">
            <v>754</v>
          </cell>
          <cell r="L1921">
            <v>306</v>
          </cell>
          <cell r="M1921">
            <v>44.33</v>
          </cell>
          <cell r="N1921">
            <v>2015</v>
          </cell>
          <cell r="O1921">
            <v>720</v>
          </cell>
          <cell r="P1921">
            <v>16.2</v>
          </cell>
        </row>
        <row r="1922">
          <cell r="B1922" t="str">
            <v>Ã‰cole normale supÃ©rieure de Cachan</v>
          </cell>
          <cell r="C1922" t="str">
            <v>France</v>
          </cell>
          <cell r="D1922">
            <v>32</v>
          </cell>
          <cell r="E1922">
            <v>121</v>
          </cell>
          <cell r="F1922">
            <v>323</v>
          </cell>
          <cell r="G1922">
            <v>218</v>
          </cell>
          <cell r="H1922">
            <v>895</v>
          </cell>
          <cell r="I1922">
            <v>776</v>
          </cell>
          <cell r="J1922">
            <v>428</v>
          </cell>
          <cell r="K1922">
            <v>826</v>
          </cell>
          <cell r="L1922">
            <v>871</v>
          </cell>
          <cell r="M1922">
            <v>44.33</v>
          </cell>
          <cell r="N1922">
            <v>2015</v>
          </cell>
          <cell r="O1922">
            <v>721</v>
          </cell>
          <cell r="P1922" t="e">
            <v>#N/A</v>
          </cell>
        </row>
        <row r="1923">
          <cell r="B1923" t="str">
            <v>Jichi Medical University</v>
          </cell>
          <cell r="C1923" t="str">
            <v>Japan</v>
          </cell>
          <cell r="D1923">
            <v>45</v>
          </cell>
          <cell r="E1923">
            <v>367</v>
          </cell>
          <cell r="F1923">
            <v>567</v>
          </cell>
          <cell r="G1923">
            <v>218</v>
          </cell>
          <cell r="H1923">
            <v>930</v>
          </cell>
          <cell r="I1923">
            <v>633</v>
          </cell>
          <cell r="J1923">
            <v>511</v>
          </cell>
          <cell r="K1923">
            <v>637</v>
          </cell>
          <cell r="L1923">
            <v>641</v>
          </cell>
          <cell r="M1923">
            <v>44.33</v>
          </cell>
          <cell r="N1923">
            <v>2015</v>
          </cell>
          <cell r="O1923">
            <v>722</v>
          </cell>
          <cell r="P1923" t="e">
            <v>#N/A</v>
          </cell>
        </row>
        <row r="1924">
          <cell r="B1924" t="str">
            <v>Rutgers, The State University of New Jersey - Newark</v>
          </cell>
          <cell r="C1924" t="str">
            <v>USA</v>
          </cell>
          <cell r="D1924">
            <v>201</v>
          </cell>
          <cell r="E1924">
            <v>367</v>
          </cell>
          <cell r="F1924">
            <v>567</v>
          </cell>
          <cell r="G1924">
            <v>218</v>
          </cell>
          <cell r="H1924">
            <v>832</v>
          </cell>
          <cell r="I1924">
            <v>515</v>
          </cell>
          <cell r="J1924">
            <v>645</v>
          </cell>
          <cell r="K1924">
            <v>637</v>
          </cell>
          <cell r="L1924">
            <v>871</v>
          </cell>
          <cell r="M1924">
            <v>44.33</v>
          </cell>
          <cell r="N1924">
            <v>2015</v>
          </cell>
          <cell r="O1924">
            <v>723</v>
          </cell>
          <cell r="P1924" t="e">
            <v>#N/A</v>
          </cell>
        </row>
        <row r="1925">
          <cell r="B1925" t="str">
            <v>PalackÃ½ University, Olomouc</v>
          </cell>
          <cell r="C1925" t="str">
            <v>Czech Republic</v>
          </cell>
          <cell r="D1925">
            <v>4</v>
          </cell>
          <cell r="E1925">
            <v>367</v>
          </cell>
          <cell r="F1925">
            <v>567</v>
          </cell>
          <cell r="G1925">
            <v>218</v>
          </cell>
          <cell r="H1925">
            <v>739</v>
          </cell>
          <cell r="I1925">
            <v>562</v>
          </cell>
          <cell r="J1925">
            <v>511</v>
          </cell>
          <cell r="K1925">
            <v>659</v>
          </cell>
          <cell r="L1925">
            <v>475</v>
          </cell>
          <cell r="M1925">
            <v>44.33</v>
          </cell>
          <cell r="N1925">
            <v>2015</v>
          </cell>
          <cell r="O1925">
            <v>724</v>
          </cell>
          <cell r="P1925" t="e">
            <v>#N/A</v>
          </cell>
        </row>
        <row r="1926">
          <cell r="B1926" t="str">
            <v>Ankara University</v>
          </cell>
          <cell r="C1926" t="str">
            <v>Turkey</v>
          </cell>
          <cell r="D1926">
            <v>4</v>
          </cell>
          <cell r="E1926">
            <v>367</v>
          </cell>
          <cell r="F1926">
            <v>341</v>
          </cell>
          <cell r="G1926">
            <v>218</v>
          </cell>
          <cell r="H1926">
            <v>743</v>
          </cell>
          <cell r="I1926">
            <v>728</v>
          </cell>
          <cell r="J1926">
            <v>511</v>
          </cell>
          <cell r="K1926">
            <v>699</v>
          </cell>
          <cell r="L1926">
            <v>871</v>
          </cell>
          <cell r="M1926">
            <v>44.33</v>
          </cell>
          <cell r="N1926">
            <v>2015</v>
          </cell>
          <cell r="O1926">
            <v>725</v>
          </cell>
          <cell r="P1926" t="e">
            <v>#N/A</v>
          </cell>
        </row>
        <row r="1927">
          <cell r="B1927" t="str">
            <v>University of Belgrade</v>
          </cell>
          <cell r="C1927" t="str">
            <v>Serbia</v>
          </cell>
          <cell r="D1927">
            <v>1</v>
          </cell>
          <cell r="E1927">
            <v>276</v>
          </cell>
          <cell r="F1927">
            <v>567</v>
          </cell>
          <cell r="G1927">
            <v>218</v>
          </cell>
          <cell r="H1927">
            <v>422</v>
          </cell>
          <cell r="I1927">
            <v>694</v>
          </cell>
          <cell r="J1927">
            <v>511</v>
          </cell>
          <cell r="K1927">
            <v>715</v>
          </cell>
          <cell r="L1927">
            <v>824</v>
          </cell>
          <cell r="M1927">
            <v>44.33</v>
          </cell>
          <cell r="N1927">
            <v>2015</v>
          </cell>
          <cell r="O1927">
            <v>726</v>
          </cell>
          <cell r="P1927">
            <v>20.399999999999999</v>
          </cell>
        </row>
        <row r="1928">
          <cell r="B1928" t="str">
            <v>Toho University</v>
          </cell>
          <cell r="C1928" t="str">
            <v>Japan</v>
          </cell>
          <cell r="D1928">
            <v>46</v>
          </cell>
          <cell r="E1928">
            <v>367</v>
          </cell>
          <cell r="F1928">
            <v>567</v>
          </cell>
          <cell r="G1928">
            <v>159</v>
          </cell>
          <cell r="H1928">
            <v>836</v>
          </cell>
          <cell r="I1928">
            <v>824</v>
          </cell>
          <cell r="J1928">
            <v>812</v>
          </cell>
          <cell r="K1928">
            <v>699</v>
          </cell>
          <cell r="L1928">
            <v>787</v>
          </cell>
          <cell r="M1928">
            <v>44.33</v>
          </cell>
          <cell r="N1928">
            <v>2015</v>
          </cell>
          <cell r="O1928">
            <v>727</v>
          </cell>
          <cell r="P1928" t="e">
            <v>#N/A</v>
          </cell>
        </row>
        <row r="1929">
          <cell r="B1929" t="str">
            <v>Kyoto Prefectural University of Medicine</v>
          </cell>
          <cell r="C1929" t="str">
            <v>Japan</v>
          </cell>
          <cell r="D1929">
            <v>47</v>
          </cell>
          <cell r="E1929">
            <v>367</v>
          </cell>
          <cell r="F1929">
            <v>567</v>
          </cell>
          <cell r="G1929">
            <v>218</v>
          </cell>
          <cell r="H1929">
            <v>852</v>
          </cell>
          <cell r="I1929">
            <v>752</v>
          </cell>
          <cell r="J1929">
            <v>645</v>
          </cell>
          <cell r="K1929">
            <v>637</v>
          </cell>
          <cell r="L1929">
            <v>871</v>
          </cell>
          <cell r="M1929">
            <v>44.33</v>
          </cell>
          <cell r="N1929">
            <v>2015</v>
          </cell>
          <cell r="O1929">
            <v>728</v>
          </cell>
          <cell r="P1929" t="e">
            <v>#N/A</v>
          </cell>
        </row>
        <row r="1930">
          <cell r="B1930" t="str">
            <v>Swansea University</v>
          </cell>
          <cell r="C1930" t="str">
            <v>United Kingdom</v>
          </cell>
          <cell r="D1930">
            <v>57</v>
          </cell>
          <cell r="E1930">
            <v>367</v>
          </cell>
          <cell r="F1930">
            <v>428</v>
          </cell>
          <cell r="G1930">
            <v>218</v>
          </cell>
          <cell r="H1930">
            <v>523</v>
          </cell>
          <cell r="I1930">
            <v>566</v>
          </cell>
          <cell r="J1930">
            <v>645</v>
          </cell>
          <cell r="K1930">
            <v>699</v>
          </cell>
          <cell r="L1930">
            <v>595</v>
          </cell>
          <cell r="M1930">
            <v>44.32</v>
          </cell>
          <cell r="N1930">
            <v>2015</v>
          </cell>
          <cell r="O1930">
            <v>729</v>
          </cell>
          <cell r="P1930">
            <v>17.600000000000001</v>
          </cell>
        </row>
        <row r="1931">
          <cell r="B1931" t="str">
            <v>UniversitÃ© de Namur</v>
          </cell>
          <cell r="C1931" t="str">
            <v>Belgium</v>
          </cell>
          <cell r="D1931">
            <v>8</v>
          </cell>
          <cell r="E1931">
            <v>164</v>
          </cell>
          <cell r="F1931">
            <v>464</v>
          </cell>
          <cell r="G1931">
            <v>218</v>
          </cell>
          <cell r="H1931">
            <v>881</v>
          </cell>
          <cell r="I1931">
            <v>700</v>
          </cell>
          <cell r="J1931">
            <v>645</v>
          </cell>
          <cell r="K1931">
            <v>699</v>
          </cell>
          <cell r="L1931">
            <v>716</v>
          </cell>
          <cell r="M1931">
            <v>44.32</v>
          </cell>
          <cell r="N1931">
            <v>2015</v>
          </cell>
          <cell r="O1931">
            <v>730</v>
          </cell>
          <cell r="P1931" t="e">
            <v>#N/A</v>
          </cell>
        </row>
        <row r="1932">
          <cell r="B1932" t="str">
            <v>University of Szeged</v>
          </cell>
          <cell r="C1932" t="str">
            <v>Hungary</v>
          </cell>
          <cell r="D1932">
            <v>4</v>
          </cell>
          <cell r="E1932">
            <v>367</v>
          </cell>
          <cell r="F1932">
            <v>567</v>
          </cell>
          <cell r="G1932">
            <v>205</v>
          </cell>
          <cell r="H1932">
            <v>657</v>
          </cell>
          <cell r="I1932">
            <v>720</v>
          </cell>
          <cell r="J1932">
            <v>812</v>
          </cell>
          <cell r="K1932">
            <v>659</v>
          </cell>
          <cell r="L1932">
            <v>532</v>
          </cell>
          <cell r="M1932">
            <v>44.32</v>
          </cell>
          <cell r="N1932">
            <v>2015</v>
          </cell>
          <cell r="O1932">
            <v>731</v>
          </cell>
          <cell r="P1932">
            <v>20</v>
          </cell>
        </row>
        <row r="1933">
          <cell r="B1933" t="str">
            <v>Kitasato University</v>
          </cell>
          <cell r="C1933" t="str">
            <v>Japan</v>
          </cell>
          <cell r="D1933">
            <v>48</v>
          </cell>
          <cell r="E1933">
            <v>367</v>
          </cell>
          <cell r="F1933">
            <v>567</v>
          </cell>
          <cell r="G1933">
            <v>218</v>
          </cell>
          <cell r="H1933">
            <v>725</v>
          </cell>
          <cell r="I1933">
            <v>595</v>
          </cell>
          <cell r="J1933">
            <v>812</v>
          </cell>
          <cell r="K1933">
            <v>646</v>
          </cell>
          <cell r="L1933">
            <v>871</v>
          </cell>
          <cell r="M1933">
            <v>44.32</v>
          </cell>
          <cell r="N1933">
            <v>2015</v>
          </cell>
          <cell r="O1933">
            <v>732</v>
          </cell>
          <cell r="P1933" t="e">
            <v>#N/A</v>
          </cell>
        </row>
        <row r="1934">
          <cell r="B1934" t="str">
            <v>Hasselt University</v>
          </cell>
          <cell r="C1934" t="str">
            <v>Belgium</v>
          </cell>
          <cell r="D1934">
            <v>9</v>
          </cell>
          <cell r="E1934">
            <v>367</v>
          </cell>
          <cell r="F1934">
            <v>340</v>
          </cell>
          <cell r="G1934">
            <v>218</v>
          </cell>
          <cell r="H1934">
            <v>829</v>
          </cell>
          <cell r="I1934">
            <v>904</v>
          </cell>
          <cell r="J1934">
            <v>645</v>
          </cell>
          <cell r="K1934">
            <v>699</v>
          </cell>
          <cell r="L1934">
            <v>761</v>
          </cell>
          <cell r="M1934">
            <v>44.32</v>
          </cell>
          <cell r="N1934">
            <v>2015</v>
          </cell>
          <cell r="O1934">
            <v>733</v>
          </cell>
          <cell r="P1934" t="e">
            <v>#N/A</v>
          </cell>
        </row>
        <row r="1935">
          <cell r="B1935" t="str">
            <v>University of CÃ³rdoba (Spain)</v>
          </cell>
          <cell r="C1935" t="str">
            <v>Spain</v>
          </cell>
          <cell r="D1935">
            <v>26</v>
          </cell>
          <cell r="E1935">
            <v>367</v>
          </cell>
          <cell r="F1935">
            <v>567</v>
          </cell>
          <cell r="G1935">
            <v>218</v>
          </cell>
          <cell r="H1935">
            <v>632</v>
          </cell>
          <cell r="I1935">
            <v>725</v>
          </cell>
          <cell r="J1935">
            <v>812</v>
          </cell>
          <cell r="K1935">
            <v>659</v>
          </cell>
          <cell r="L1935">
            <v>633</v>
          </cell>
          <cell r="M1935">
            <v>44.32</v>
          </cell>
          <cell r="N1935">
            <v>2015</v>
          </cell>
          <cell r="O1935">
            <v>734</v>
          </cell>
          <cell r="P1935" t="e">
            <v>#N/A</v>
          </cell>
        </row>
        <row r="1936">
          <cell r="B1936" t="str">
            <v>Ã…bo Akademi University</v>
          </cell>
          <cell r="C1936" t="str">
            <v>Finland</v>
          </cell>
          <cell r="D1936">
            <v>9</v>
          </cell>
          <cell r="E1936">
            <v>367</v>
          </cell>
          <cell r="F1936">
            <v>567</v>
          </cell>
          <cell r="G1936">
            <v>218</v>
          </cell>
          <cell r="H1936">
            <v>765</v>
          </cell>
          <cell r="I1936">
            <v>679</v>
          </cell>
          <cell r="J1936">
            <v>645</v>
          </cell>
          <cell r="K1936">
            <v>646</v>
          </cell>
          <cell r="L1936">
            <v>731</v>
          </cell>
          <cell r="M1936">
            <v>44.32</v>
          </cell>
          <cell r="N1936">
            <v>2015</v>
          </cell>
          <cell r="O1936">
            <v>735</v>
          </cell>
          <cell r="P1936" t="e">
            <v>#N/A</v>
          </cell>
        </row>
        <row r="1937">
          <cell r="B1937" t="str">
            <v>Tottori University</v>
          </cell>
          <cell r="C1937" t="str">
            <v>Japan</v>
          </cell>
          <cell r="D1937">
            <v>49</v>
          </cell>
          <cell r="E1937">
            <v>367</v>
          </cell>
          <cell r="F1937">
            <v>343</v>
          </cell>
          <cell r="G1937">
            <v>218</v>
          </cell>
          <cell r="H1937">
            <v>908</v>
          </cell>
          <cell r="I1937">
            <v>721</v>
          </cell>
          <cell r="J1937">
            <v>511</v>
          </cell>
          <cell r="K1937">
            <v>741</v>
          </cell>
          <cell r="L1937">
            <v>390</v>
          </cell>
          <cell r="M1937">
            <v>44.32</v>
          </cell>
          <cell r="N1937">
            <v>2015</v>
          </cell>
          <cell r="O1937">
            <v>736</v>
          </cell>
          <cell r="P1937">
            <v>24.3</v>
          </cell>
        </row>
        <row r="1938">
          <cell r="B1938" t="str">
            <v>Kindai University</v>
          </cell>
          <cell r="C1938" t="str">
            <v>Japan</v>
          </cell>
          <cell r="D1938">
            <v>50</v>
          </cell>
          <cell r="E1938">
            <v>367</v>
          </cell>
          <cell r="F1938">
            <v>567</v>
          </cell>
          <cell r="G1938">
            <v>218</v>
          </cell>
          <cell r="H1938">
            <v>680</v>
          </cell>
          <cell r="I1938">
            <v>712</v>
          </cell>
          <cell r="J1938">
            <v>428</v>
          </cell>
          <cell r="K1938">
            <v>686</v>
          </cell>
          <cell r="L1938">
            <v>437</v>
          </cell>
          <cell r="M1938">
            <v>44.32</v>
          </cell>
          <cell r="N1938">
            <v>2015</v>
          </cell>
          <cell r="O1938">
            <v>737</v>
          </cell>
          <cell r="P1938" t="e">
            <v>#N/A</v>
          </cell>
        </row>
        <row r="1939">
          <cell r="B1939" t="str">
            <v>University of Castillaâ€“La Mancha</v>
          </cell>
          <cell r="C1939" t="str">
            <v>Spain</v>
          </cell>
          <cell r="D1939">
            <v>27</v>
          </cell>
          <cell r="E1939">
            <v>367</v>
          </cell>
          <cell r="F1939">
            <v>567</v>
          </cell>
          <cell r="G1939">
            <v>218</v>
          </cell>
          <cell r="H1939">
            <v>627</v>
          </cell>
          <cell r="I1939">
            <v>751</v>
          </cell>
          <cell r="J1939">
            <v>812</v>
          </cell>
          <cell r="K1939">
            <v>671</v>
          </cell>
          <cell r="L1939">
            <v>519</v>
          </cell>
          <cell r="M1939">
            <v>44.31</v>
          </cell>
          <cell r="N1939">
            <v>2015</v>
          </cell>
          <cell r="O1939">
            <v>738</v>
          </cell>
          <cell r="P1939" t="e">
            <v>#N/A</v>
          </cell>
        </row>
        <row r="1940">
          <cell r="B1940" t="str">
            <v>University of Augsburg</v>
          </cell>
          <cell r="C1940" t="str">
            <v>Germany</v>
          </cell>
          <cell r="D1940">
            <v>48</v>
          </cell>
          <cell r="E1940">
            <v>367</v>
          </cell>
          <cell r="F1940">
            <v>567</v>
          </cell>
          <cell r="G1940">
            <v>218</v>
          </cell>
          <cell r="H1940">
            <v>816</v>
          </cell>
          <cell r="I1940">
            <v>684</v>
          </cell>
          <cell r="J1940">
            <v>812</v>
          </cell>
          <cell r="K1940">
            <v>646</v>
          </cell>
          <cell r="L1940">
            <v>792</v>
          </cell>
          <cell r="M1940">
            <v>44.31</v>
          </cell>
          <cell r="N1940">
            <v>2015</v>
          </cell>
          <cell r="O1940">
            <v>739</v>
          </cell>
          <cell r="P1940" t="e">
            <v>#N/A</v>
          </cell>
        </row>
        <row r="1941">
          <cell r="B1941" t="str">
            <v>Paul ValÃ©ry University, Montpellier III</v>
          </cell>
          <cell r="C1941" t="str">
            <v>France</v>
          </cell>
          <cell r="D1941">
            <v>33</v>
          </cell>
          <cell r="E1941">
            <v>367</v>
          </cell>
          <cell r="F1941">
            <v>567</v>
          </cell>
          <cell r="G1941">
            <v>218</v>
          </cell>
          <cell r="H1941">
            <v>837</v>
          </cell>
          <cell r="I1941">
            <v>502</v>
          </cell>
          <cell r="J1941">
            <v>287</v>
          </cell>
          <cell r="K1941">
            <v>686</v>
          </cell>
          <cell r="L1941">
            <v>871</v>
          </cell>
          <cell r="M1941">
            <v>44.31</v>
          </cell>
          <cell r="N1941">
            <v>2015</v>
          </cell>
          <cell r="O1941">
            <v>740</v>
          </cell>
          <cell r="P1941" t="e">
            <v>#N/A</v>
          </cell>
        </row>
        <row r="1942">
          <cell r="B1942" t="str">
            <v>University of Mons</v>
          </cell>
          <cell r="C1942" t="str">
            <v>Belgium</v>
          </cell>
          <cell r="D1942">
            <v>10</v>
          </cell>
          <cell r="E1942">
            <v>367</v>
          </cell>
          <cell r="F1942">
            <v>567</v>
          </cell>
          <cell r="G1942">
            <v>218</v>
          </cell>
          <cell r="H1942">
            <v>812</v>
          </cell>
          <cell r="I1942">
            <v>793</v>
          </cell>
          <cell r="J1942">
            <v>645</v>
          </cell>
          <cell r="K1942">
            <v>659</v>
          </cell>
          <cell r="L1942">
            <v>517</v>
          </cell>
          <cell r="M1942">
            <v>44.31</v>
          </cell>
          <cell r="N1942">
            <v>2015</v>
          </cell>
          <cell r="O1942">
            <v>741</v>
          </cell>
          <cell r="P1942" t="e">
            <v>#N/A</v>
          </cell>
        </row>
        <row r="1943">
          <cell r="B1943" t="str">
            <v>Istanbul Technical University</v>
          </cell>
          <cell r="C1943" t="str">
            <v>Turkey</v>
          </cell>
          <cell r="D1943">
            <v>5</v>
          </cell>
          <cell r="E1943">
            <v>367</v>
          </cell>
          <cell r="F1943">
            <v>440</v>
          </cell>
          <cell r="G1943">
            <v>218</v>
          </cell>
          <cell r="H1943">
            <v>646</v>
          </cell>
          <cell r="I1943">
            <v>875</v>
          </cell>
          <cell r="J1943">
            <v>368</v>
          </cell>
          <cell r="K1943">
            <v>699</v>
          </cell>
          <cell r="L1943">
            <v>839</v>
          </cell>
          <cell r="M1943">
            <v>44.31</v>
          </cell>
          <cell r="N1943">
            <v>2015</v>
          </cell>
          <cell r="O1943">
            <v>742</v>
          </cell>
          <cell r="P1943">
            <v>25.1</v>
          </cell>
        </row>
        <row r="1944">
          <cell r="B1944" t="str">
            <v>University of Natural Resources and Life Sciences, Vienna</v>
          </cell>
          <cell r="C1944" t="str">
            <v>Austria</v>
          </cell>
          <cell r="D1944">
            <v>10</v>
          </cell>
          <cell r="E1944">
            <v>367</v>
          </cell>
          <cell r="F1944">
            <v>567</v>
          </cell>
          <cell r="G1944">
            <v>218</v>
          </cell>
          <cell r="H1944">
            <v>778</v>
          </cell>
          <cell r="I1944">
            <v>627</v>
          </cell>
          <cell r="J1944">
            <v>511</v>
          </cell>
          <cell r="K1944">
            <v>659</v>
          </cell>
          <cell r="L1944">
            <v>611</v>
          </cell>
          <cell r="M1944">
            <v>44.31</v>
          </cell>
          <cell r="N1944">
            <v>2015</v>
          </cell>
          <cell r="O1944">
            <v>743</v>
          </cell>
          <cell r="P1944" t="e">
            <v>#N/A</v>
          </cell>
        </row>
        <row r="1945">
          <cell r="B1945" t="str">
            <v>National University of La Plata</v>
          </cell>
          <cell r="C1945" t="str">
            <v>Argentina</v>
          </cell>
          <cell r="D1945">
            <v>2</v>
          </cell>
          <cell r="E1945">
            <v>367</v>
          </cell>
          <cell r="F1945">
            <v>513</v>
          </cell>
          <cell r="G1945">
            <v>218</v>
          </cell>
          <cell r="H1945">
            <v>546</v>
          </cell>
          <cell r="I1945">
            <v>559</v>
          </cell>
          <cell r="J1945">
            <v>511</v>
          </cell>
          <cell r="K1945">
            <v>686</v>
          </cell>
          <cell r="L1945">
            <v>871</v>
          </cell>
          <cell r="M1945">
            <v>44.31</v>
          </cell>
          <cell r="N1945">
            <v>2015</v>
          </cell>
          <cell r="O1945">
            <v>744</v>
          </cell>
          <cell r="P1945" t="e">
            <v>#N/A</v>
          </cell>
        </row>
        <row r="1946">
          <cell r="B1946" t="str">
            <v>University of Calabria</v>
          </cell>
          <cell r="C1946" t="str">
            <v>Italy</v>
          </cell>
          <cell r="D1946">
            <v>41</v>
          </cell>
          <cell r="E1946">
            <v>367</v>
          </cell>
          <cell r="F1946">
            <v>567</v>
          </cell>
          <cell r="G1946">
            <v>218</v>
          </cell>
          <cell r="H1946">
            <v>583</v>
          </cell>
          <cell r="I1946">
            <v>890</v>
          </cell>
          <cell r="J1946">
            <v>428</v>
          </cell>
          <cell r="K1946">
            <v>686</v>
          </cell>
          <cell r="L1946">
            <v>700</v>
          </cell>
          <cell r="M1946">
            <v>44.31</v>
          </cell>
          <cell r="N1946">
            <v>2015</v>
          </cell>
          <cell r="O1946">
            <v>745</v>
          </cell>
          <cell r="P1946" t="e">
            <v>#N/A</v>
          </cell>
        </row>
        <row r="1947">
          <cell r="B1947" t="str">
            <v>University of Memphis</v>
          </cell>
          <cell r="C1947" t="str">
            <v>USA</v>
          </cell>
          <cell r="D1947">
            <v>202</v>
          </cell>
          <cell r="E1947">
            <v>367</v>
          </cell>
          <cell r="F1947">
            <v>382</v>
          </cell>
          <cell r="G1947">
            <v>218</v>
          </cell>
          <cell r="H1947">
            <v>782</v>
          </cell>
          <cell r="I1947">
            <v>640</v>
          </cell>
          <cell r="J1947">
            <v>511</v>
          </cell>
          <cell r="K1947">
            <v>741</v>
          </cell>
          <cell r="L1947">
            <v>394</v>
          </cell>
          <cell r="M1947">
            <v>44.3</v>
          </cell>
          <cell r="N1947">
            <v>2015</v>
          </cell>
          <cell r="O1947">
            <v>746</v>
          </cell>
          <cell r="P1947" t="e">
            <v>#N/A</v>
          </cell>
        </row>
        <row r="1948">
          <cell r="B1948" t="str">
            <v>G. d'Annunzio University, Chieti-Pescara</v>
          </cell>
          <cell r="C1948" t="str">
            <v>Italy</v>
          </cell>
          <cell r="D1948">
            <v>42</v>
          </cell>
          <cell r="E1948">
            <v>367</v>
          </cell>
          <cell r="F1948">
            <v>567</v>
          </cell>
          <cell r="G1948">
            <v>218</v>
          </cell>
          <cell r="H1948">
            <v>750</v>
          </cell>
          <cell r="I1948">
            <v>615</v>
          </cell>
          <cell r="J1948">
            <v>812</v>
          </cell>
          <cell r="K1948">
            <v>659</v>
          </cell>
          <cell r="L1948">
            <v>871</v>
          </cell>
          <cell r="M1948">
            <v>44.3</v>
          </cell>
          <cell r="N1948">
            <v>2015</v>
          </cell>
          <cell r="O1948">
            <v>747</v>
          </cell>
          <cell r="P1948" t="e">
            <v>#N/A</v>
          </cell>
        </row>
        <row r="1949">
          <cell r="B1949" t="str">
            <v>University of Missouriâ€“St. Louis</v>
          </cell>
          <cell r="C1949" t="str">
            <v>USA</v>
          </cell>
          <cell r="D1949">
            <v>203</v>
          </cell>
          <cell r="E1949">
            <v>367</v>
          </cell>
          <cell r="F1949">
            <v>371</v>
          </cell>
          <cell r="G1949">
            <v>218</v>
          </cell>
          <cell r="H1949">
            <v>897</v>
          </cell>
          <cell r="I1949">
            <v>524</v>
          </cell>
          <cell r="J1949">
            <v>428</v>
          </cell>
          <cell r="K1949">
            <v>715</v>
          </cell>
          <cell r="L1949">
            <v>634</v>
          </cell>
          <cell r="M1949">
            <v>44.3</v>
          </cell>
          <cell r="N1949">
            <v>2015</v>
          </cell>
          <cell r="O1949">
            <v>748</v>
          </cell>
          <cell r="P1949" t="e">
            <v>#N/A</v>
          </cell>
        </row>
        <row r="1950">
          <cell r="B1950" t="str">
            <v>Beijing Institute of Technology</v>
          </cell>
          <cell r="C1950" t="str">
            <v>China</v>
          </cell>
          <cell r="D1950">
            <v>42</v>
          </cell>
          <cell r="E1950">
            <v>367</v>
          </cell>
          <cell r="F1950">
            <v>567</v>
          </cell>
          <cell r="G1950">
            <v>218</v>
          </cell>
          <cell r="H1950">
            <v>528</v>
          </cell>
          <cell r="I1950">
            <v>969</v>
          </cell>
          <cell r="J1950">
            <v>511</v>
          </cell>
          <cell r="K1950">
            <v>699</v>
          </cell>
          <cell r="L1950">
            <v>569</v>
          </cell>
          <cell r="M1950">
            <v>44.3</v>
          </cell>
          <cell r="N1950">
            <v>2015</v>
          </cell>
          <cell r="O1950">
            <v>749</v>
          </cell>
          <cell r="P1950">
            <v>25.9</v>
          </cell>
        </row>
        <row r="1951">
          <cell r="B1951" t="str">
            <v>University of Ã‰vry Val d'Essonne</v>
          </cell>
          <cell r="C1951" t="str">
            <v>France</v>
          </cell>
          <cell r="D1951">
            <v>34</v>
          </cell>
          <cell r="E1951">
            <v>367</v>
          </cell>
          <cell r="F1951">
            <v>567</v>
          </cell>
          <cell r="G1951">
            <v>218</v>
          </cell>
          <cell r="H1951">
            <v>996</v>
          </cell>
          <cell r="I1951">
            <v>368</v>
          </cell>
          <cell r="J1951">
            <v>645</v>
          </cell>
          <cell r="K1951">
            <v>659</v>
          </cell>
          <cell r="L1951">
            <v>871</v>
          </cell>
          <cell r="M1951">
            <v>44.3</v>
          </cell>
          <cell r="N1951">
            <v>2015</v>
          </cell>
          <cell r="O1951">
            <v>750</v>
          </cell>
          <cell r="P1951" t="e">
            <v>#N/A</v>
          </cell>
        </row>
        <row r="1952">
          <cell r="B1952" t="str">
            <v>University of South Australia</v>
          </cell>
          <cell r="C1952" t="str">
            <v>Australia</v>
          </cell>
          <cell r="D1952">
            <v>21</v>
          </cell>
          <cell r="E1952">
            <v>367</v>
          </cell>
          <cell r="F1952">
            <v>324</v>
          </cell>
          <cell r="G1952">
            <v>218</v>
          </cell>
          <cell r="H1952">
            <v>604</v>
          </cell>
          <cell r="I1952">
            <v>746</v>
          </cell>
          <cell r="J1952">
            <v>812</v>
          </cell>
          <cell r="K1952">
            <v>781</v>
          </cell>
          <cell r="L1952">
            <v>431</v>
          </cell>
          <cell r="M1952">
            <v>44.3</v>
          </cell>
          <cell r="N1952">
            <v>2015</v>
          </cell>
          <cell r="O1952">
            <v>751</v>
          </cell>
          <cell r="P1952">
            <v>20.6</v>
          </cell>
        </row>
        <row r="1953">
          <cell r="B1953" t="str">
            <v>University of Alabama in Huntsville</v>
          </cell>
          <cell r="C1953" t="str">
            <v>USA</v>
          </cell>
          <cell r="D1953">
            <v>204</v>
          </cell>
          <cell r="E1953">
            <v>367</v>
          </cell>
          <cell r="F1953">
            <v>567</v>
          </cell>
          <cell r="G1953">
            <v>218</v>
          </cell>
          <cell r="H1953">
            <v>921</v>
          </cell>
          <cell r="I1953">
            <v>432</v>
          </cell>
          <cell r="J1953">
            <v>645</v>
          </cell>
          <cell r="K1953">
            <v>659</v>
          </cell>
          <cell r="L1953">
            <v>805</v>
          </cell>
          <cell r="M1953">
            <v>44.3</v>
          </cell>
          <cell r="N1953">
            <v>2015</v>
          </cell>
          <cell r="O1953">
            <v>752</v>
          </cell>
          <cell r="P1953" t="e">
            <v>#N/A</v>
          </cell>
        </row>
        <row r="1954">
          <cell r="B1954" t="str">
            <v>University of Salzburg</v>
          </cell>
          <cell r="C1954" t="str">
            <v>Austria</v>
          </cell>
          <cell r="D1954">
            <v>11</v>
          </cell>
          <cell r="E1954">
            <v>367</v>
          </cell>
          <cell r="F1954">
            <v>270</v>
          </cell>
          <cell r="G1954">
            <v>218</v>
          </cell>
          <cell r="H1954">
            <v>933</v>
          </cell>
          <cell r="I1954">
            <v>738</v>
          </cell>
          <cell r="J1954">
            <v>812</v>
          </cell>
          <cell r="K1954">
            <v>796</v>
          </cell>
          <cell r="L1954">
            <v>871</v>
          </cell>
          <cell r="M1954">
            <v>44.3</v>
          </cell>
          <cell r="N1954">
            <v>2015</v>
          </cell>
          <cell r="O1954">
            <v>753</v>
          </cell>
          <cell r="P1954" t="e">
            <v>#N/A</v>
          </cell>
        </row>
        <row r="1955">
          <cell r="B1955" t="str">
            <v>University of Mississippi Medical Center</v>
          </cell>
          <cell r="C1955" t="str">
            <v>USA</v>
          </cell>
          <cell r="D1955">
            <v>205</v>
          </cell>
          <cell r="E1955">
            <v>367</v>
          </cell>
          <cell r="F1955">
            <v>567</v>
          </cell>
          <cell r="G1955">
            <v>218</v>
          </cell>
          <cell r="H1955">
            <v>775</v>
          </cell>
          <cell r="I1955">
            <v>504</v>
          </cell>
          <cell r="J1955">
            <v>511</v>
          </cell>
          <cell r="K1955">
            <v>671</v>
          </cell>
          <cell r="L1955">
            <v>871</v>
          </cell>
          <cell r="M1955">
            <v>44.29</v>
          </cell>
          <cell r="N1955">
            <v>2015</v>
          </cell>
          <cell r="O1955">
            <v>754</v>
          </cell>
          <cell r="P1955" t="e">
            <v>#N/A</v>
          </cell>
        </row>
        <row r="1956">
          <cell r="B1956" t="str">
            <v>National Research Nuclear University MEPhI</v>
          </cell>
          <cell r="C1956" t="str">
            <v>Russia</v>
          </cell>
          <cell r="D1956">
            <v>4</v>
          </cell>
          <cell r="E1956">
            <v>306</v>
          </cell>
          <cell r="F1956">
            <v>567</v>
          </cell>
          <cell r="G1956">
            <v>218</v>
          </cell>
          <cell r="H1956">
            <v>957</v>
          </cell>
          <cell r="I1956">
            <v>699</v>
          </cell>
          <cell r="J1956">
            <v>428</v>
          </cell>
          <cell r="K1956">
            <v>671</v>
          </cell>
          <cell r="L1956">
            <v>871</v>
          </cell>
          <cell r="M1956">
            <v>44.29</v>
          </cell>
          <cell r="N1956">
            <v>2015</v>
          </cell>
          <cell r="O1956">
            <v>755</v>
          </cell>
          <cell r="P1956">
            <v>20.9</v>
          </cell>
        </row>
        <row r="1957">
          <cell r="B1957" t="str">
            <v>Chung-Ang University</v>
          </cell>
          <cell r="C1957" t="str">
            <v>South Korea</v>
          </cell>
          <cell r="D1957">
            <v>24</v>
          </cell>
          <cell r="E1957">
            <v>367</v>
          </cell>
          <cell r="F1957">
            <v>461</v>
          </cell>
          <cell r="G1957">
            <v>218</v>
          </cell>
          <cell r="H1957">
            <v>637</v>
          </cell>
          <cell r="I1957">
            <v>781</v>
          </cell>
          <cell r="J1957">
            <v>511</v>
          </cell>
          <cell r="K1957">
            <v>886</v>
          </cell>
          <cell r="L1957">
            <v>218</v>
          </cell>
          <cell r="M1957">
            <v>44.29</v>
          </cell>
          <cell r="N1957">
            <v>2015</v>
          </cell>
          <cell r="O1957">
            <v>756</v>
          </cell>
          <cell r="P1957">
            <v>29.9</v>
          </cell>
        </row>
        <row r="1958">
          <cell r="B1958" t="str">
            <v>Kaohsiung Medical University</v>
          </cell>
          <cell r="C1958" t="str">
            <v>Taiwan</v>
          </cell>
          <cell r="D1958">
            <v>10</v>
          </cell>
          <cell r="E1958">
            <v>367</v>
          </cell>
          <cell r="F1958">
            <v>567</v>
          </cell>
          <cell r="G1958">
            <v>218</v>
          </cell>
          <cell r="H1958">
            <v>539</v>
          </cell>
          <cell r="I1958">
            <v>854</v>
          </cell>
          <cell r="J1958">
            <v>812</v>
          </cell>
          <cell r="K1958">
            <v>699</v>
          </cell>
          <cell r="L1958">
            <v>661</v>
          </cell>
          <cell r="M1958">
            <v>44.29</v>
          </cell>
          <cell r="N1958">
            <v>2015</v>
          </cell>
          <cell r="O1958">
            <v>757</v>
          </cell>
          <cell r="P1958">
            <v>20.6</v>
          </cell>
        </row>
        <row r="1959">
          <cell r="B1959" t="str">
            <v>University of NeuchÃ¢tel</v>
          </cell>
          <cell r="C1959" t="str">
            <v>Switzerland</v>
          </cell>
          <cell r="D1959">
            <v>9</v>
          </cell>
          <cell r="E1959">
            <v>352</v>
          </cell>
          <cell r="F1959">
            <v>567</v>
          </cell>
          <cell r="G1959">
            <v>218</v>
          </cell>
          <cell r="H1959">
            <v>863</v>
          </cell>
          <cell r="I1959">
            <v>635</v>
          </cell>
          <cell r="J1959">
            <v>812</v>
          </cell>
          <cell r="K1959">
            <v>671</v>
          </cell>
          <cell r="L1959">
            <v>640</v>
          </cell>
          <cell r="M1959">
            <v>44.29</v>
          </cell>
          <cell r="N1959">
            <v>2015</v>
          </cell>
          <cell r="O1959">
            <v>758</v>
          </cell>
          <cell r="P1959">
            <v>24.2</v>
          </cell>
        </row>
        <row r="1960">
          <cell r="B1960" t="str">
            <v>University of Yamanashi</v>
          </cell>
          <cell r="C1960" t="str">
            <v>Japan</v>
          </cell>
          <cell r="D1960">
            <v>51</v>
          </cell>
          <cell r="E1960">
            <v>367</v>
          </cell>
          <cell r="F1960">
            <v>567</v>
          </cell>
          <cell r="G1960">
            <v>218</v>
          </cell>
          <cell r="H1960">
            <v>869</v>
          </cell>
          <cell r="I1960">
            <v>862</v>
          </cell>
          <cell r="J1960">
            <v>645</v>
          </cell>
          <cell r="K1960">
            <v>715</v>
          </cell>
          <cell r="L1960">
            <v>382</v>
          </cell>
          <cell r="M1960">
            <v>44.29</v>
          </cell>
          <cell r="N1960">
            <v>2015</v>
          </cell>
          <cell r="O1960">
            <v>759</v>
          </cell>
          <cell r="P1960" t="e">
            <v>#N/A</v>
          </cell>
        </row>
        <row r="1961">
          <cell r="B1961" t="str">
            <v>Yamagata University</v>
          </cell>
          <cell r="C1961" t="str">
            <v>Japan</v>
          </cell>
          <cell r="D1961">
            <v>52</v>
          </cell>
          <cell r="E1961">
            <v>367</v>
          </cell>
          <cell r="F1961">
            <v>567</v>
          </cell>
          <cell r="G1961">
            <v>218</v>
          </cell>
          <cell r="H1961">
            <v>775</v>
          </cell>
          <cell r="I1961">
            <v>736</v>
          </cell>
          <cell r="J1961">
            <v>812</v>
          </cell>
          <cell r="K1961">
            <v>686</v>
          </cell>
          <cell r="L1961">
            <v>535</v>
          </cell>
          <cell r="M1961">
            <v>44.29</v>
          </cell>
          <cell r="N1961">
            <v>2015</v>
          </cell>
          <cell r="O1961">
            <v>760</v>
          </cell>
          <cell r="P1961" t="e">
            <v>#N/A</v>
          </cell>
        </row>
        <row r="1962">
          <cell r="B1962" t="str">
            <v>New Jersey Institute of Technology</v>
          </cell>
          <cell r="C1962" t="str">
            <v>USA</v>
          </cell>
          <cell r="D1962">
            <v>206</v>
          </cell>
          <cell r="E1962">
            <v>259</v>
          </cell>
          <cell r="F1962">
            <v>472</v>
          </cell>
          <cell r="G1962">
            <v>218</v>
          </cell>
          <cell r="H1962">
            <v>791</v>
          </cell>
          <cell r="I1962">
            <v>670</v>
          </cell>
          <cell r="J1962">
            <v>812</v>
          </cell>
          <cell r="K1962">
            <v>741</v>
          </cell>
          <cell r="L1962">
            <v>391</v>
          </cell>
          <cell r="M1962">
            <v>44.28</v>
          </cell>
          <cell r="N1962">
            <v>2015</v>
          </cell>
          <cell r="O1962">
            <v>761</v>
          </cell>
          <cell r="P1962">
            <v>17.100000000000001</v>
          </cell>
        </row>
        <row r="1963">
          <cell r="B1963" t="str">
            <v>East Carolina University</v>
          </cell>
          <cell r="C1963" t="str">
            <v>USA</v>
          </cell>
          <cell r="D1963">
            <v>207</v>
          </cell>
          <cell r="E1963">
            <v>367</v>
          </cell>
          <cell r="F1963">
            <v>394</v>
          </cell>
          <cell r="G1963">
            <v>218</v>
          </cell>
          <cell r="H1963">
            <v>699</v>
          </cell>
          <cell r="I1963">
            <v>685</v>
          </cell>
          <cell r="J1963">
            <v>812</v>
          </cell>
          <cell r="K1963">
            <v>732</v>
          </cell>
          <cell r="L1963">
            <v>639</v>
          </cell>
          <cell r="M1963">
            <v>44.28</v>
          </cell>
          <cell r="N1963">
            <v>2015</v>
          </cell>
          <cell r="O1963">
            <v>762</v>
          </cell>
          <cell r="P1963" t="e">
            <v>#N/A</v>
          </cell>
        </row>
        <row r="1964">
          <cell r="B1964" t="str">
            <v>University of Hyogo</v>
          </cell>
          <cell r="C1964" t="str">
            <v>Japan</v>
          </cell>
          <cell r="D1964">
            <v>53</v>
          </cell>
          <cell r="E1964">
            <v>367</v>
          </cell>
          <cell r="F1964">
            <v>567</v>
          </cell>
          <cell r="G1964">
            <v>218</v>
          </cell>
          <cell r="H1964">
            <v>813</v>
          </cell>
          <cell r="I1964">
            <v>475</v>
          </cell>
          <cell r="J1964">
            <v>511</v>
          </cell>
          <cell r="K1964">
            <v>686</v>
          </cell>
          <cell r="L1964">
            <v>787</v>
          </cell>
          <cell r="M1964">
            <v>44.28</v>
          </cell>
          <cell r="N1964">
            <v>2015</v>
          </cell>
          <cell r="O1964">
            <v>763</v>
          </cell>
          <cell r="P1964" t="e">
            <v>#N/A</v>
          </cell>
        </row>
        <row r="1965">
          <cell r="B1965" t="str">
            <v>University of Picardie Jules Verne</v>
          </cell>
          <cell r="C1965" t="str">
            <v>France</v>
          </cell>
          <cell r="D1965">
            <v>35</v>
          </cell>
          <cell r="E1965">
            <v>367</v>
          </cell>
          <cell r="F1965">
            <v>567</v>
          </cell>
          <cell r="G1965">
            <v>218</v>
          </cell>
          <cell r="H1965">
            <v>826</v>
          </cell>
          <cell r="I1965">
            <v>782</v>
          </cell>
          <cell r="J1965">
            <v>428</v>
          </cell>
          <cell r="K1965">
            <v>699</v>
          </cell>
          <cell r="L1965">
            <v>543</v>
          </cell>
          <cell r="M1965">
            <v>44.28</v>
          </cell>
          <cell r="N1965">
            <v>2015</v>
          </cell>
          <cell r="O1965">
            <v>764</v>
          </cell>
          <cell r="P1965" t="e">
            <v>#N/A</v>
          </cell>
        </row>
        <row r="1966">
          <cell r="B1966" t="str">
            <v>University of Salento</v>
          </cell>
          <cell r="C1966" t="str">
            <v>Italy</v>
          </cell>
          <cell r="D1966">
            <v>43</v>
          </cell>
          <cell r="E1966">
            <v>367</v>
          </cell>
          <cell r="F1966">
            <v>567</v>
          </cell>
          <cell r="G1966">
            <v>218</v>
          </cell>
          <cell r="H1966">
            <v>661</v>
          </cell>
          <cell r="I1966">
            <v>743</v>
          </cell>
          <cell r="J1966">
            <v>511</v>
          </cell>
          <cell r="K1966">
            <v>699</v>
          </cell>
          <cell r="L1966">
            <v>654</v>
          </cell>
          <cell r="M1966">
            <v>44.28</v>
          </cell>
          <cell r="N1966">
            <v>2015</v>
          </cell>
          <cell r="O1966">
            <v>765</v>
          </cell>
          <cell r="P1966">
            <v>26.5</v>
          </cell>
        </row>
        <row r="1967">
          <cell r="B1967" t="str">
            <v>Northern Arizona University</v>
          </cell>
          <cell r="C1967" t="str">
            <v>USA</v>
          </cell>
          <cell r="D1967">
            <v>208</v>
          </cell>
          <cell r="E1967">
            <v>367</v>
          </cell>
          <cell r="F1967">
            <v>537</v>
          </cell>
          <cell r="G1967">
            <v>218</v>
          </cell>
          <cell r="H1967">
            <v>939</v>
          </cell>
          <cell r="I1967">
            <v>489</v>
          </cell>
          <cell r="J1967">
            <v>645</v>
          </cell>
          <cell r="K1967">
            <v>686</v>
          </cell>
          <cell r="L1967">
            <v>609</v>
          </cell>
          <cell r="M1967">
            <v>44.28</v>
          </cell>
          <cell r="N1967">
            <v>2015</v>
          </cell>
          <cell r="O1967">
            <v>766</v>
          </cell>
          <cell r="P1967" t="e">
            <v>#N/A</v>
          </cell>
        </row>
        <row r="1968">
          <cell r="B1968" t="str">
            <v>Miguel HernÃ¡ndez University of Elche</v>
          </cell>
          <cell r="C1968" t="str">
            <v>Spain</v>
          </cell>
          <cell r="D1968">
            <v>28</v>
          </cell>
          <cell r="E1968">
            <v>367</v>
          </cell>
          <cell r="F1968">
            <v>567</v>
          </cell>
          <cell r="G1968">
            <v>218</v>
          </cell>
          <cell r="H1968">
            <v>757</v>
          </cell>
          <cell r="I1968">
            <v>617</v>
          </cell>
          <cell r="J1968">
            <v>812</v>
          </cell>
          <cell r="K1968">
            <v>699</v>
          </cell>
          <cell r="L1968">
            <v>497</v>
          </cell>
          <cell r="M1968">
            <v>44.28</v>
          </cell>
          <cell r="N1968">
            <v>2015</v>
          </cell>
          <cell r="O1968">
            <v>767</v>
          </cell>
          <cell r="P1968" t="e">
            <v>#N/A</v>
          </cell>
        </row>
        <row r="1969">
          <cell r="B1969" t="str">
            <v>University of Tehran</v>
          </cell>
          <cell r="C1969" t="str">
            <v>Iran</v>
          </cell>
          <cell r="D1969">
            <v>2</v>
          </cell>
          <cell r="E1969">
            <v>181</v>
          </cell>
          <cell r="F1969">
            <v>567</v>
          </cell>
          <cell r="G1969">
            <v>218</v>
          </cell>
          <cell r="H1969">
            <v>489</v>
          </cell>
          <cell r="I1969">
            <v>984</v>
          </cell>
          <cell r="J1969">
            <v>812</v>
          </cell>
          <cell r="K1969">
            <v>770</v>
          </cell>
          <cell r="L1969">
            <v>871</v>
          </cell>
          <cell r="M1969">
            <v>44.28</v>
          </cell>
          <cell r="N1969">
            <v>2015</v>
          </cell>
          <cell r="O1969">
            <v>768</v>
          </cell>
          <cell r="P1969">
            <v>26.1</v>
          </cell>
        </row>
        <row r="1970">
          <cell r="B1970" t="str">
            <v>Blaise Pascal University</v>
          </cell>
          <cell r="C1970" t="str">
            <v>France</v>
          </cell>
          <cell r="D1970">
            <v>36</v>
          </cell>
          <cell r="E1970">
            <v>367</v>
          </cell>
          <cell r="F1970">
            <v>567</v>
          </cell>
          <cell r="G1970">
            <v>192</v>
          </cell>
          <cell r="H1970">
            <v>735</v>
          </cell>
          <cell r="I1970">
            <v>701</v>
          </cell>
          <cell r="J1970">
            <v>645</v>
          </cell>
          <cell r="K1970">
            <v>699</v>
          </cell>
          <cell r="L1970">
            <v>619</v>
          </cell>
          <cell r="M1970">
            <v>44.28</v>
          </cell>
          <cell r="N1970">
            <v>2015</v>
          </cell>
          <cell r="O1970">
            <v>769</v>
          </cell>
          <cell r="P1970">
            <v>20.2</v>
          </cell>
        </row>
        <row r="1971">
          <cell r="B1971" t="str">
            <v>Yeungnam University</v>
          </cell>
          <cell r="C1971" t="str">
            <v>South Korea</v>
          </cell>
          <cell r="D1971">
            <v>25</v>
          </cell>
          <cell r="E1971">
            <v>367</v>
          </cell>
          <cell r="F1971">
            <v>417</v>
          </cell>
          <cell r="G1971">
            <v>218</v>
          </cell>
          <cell r="H1971">
            <v>761</v>
          </cell>
          <cell r="I1971">
            <v>974</v>
          </cell>
          <cell r="J1971">
            <v>812</v>
          </cell>
          <cell r="K1971">
            <v>867</v>
          </cell>
          <cell r="L1971">
            <v>231</v>
          </cell>
          <cell r="M1971">
            <v>44.27</v>
          </cell>
          <cell r="N1971">
            <v>2015</v>
          </cell>
          <cell r="O1971">
            <v>770</v>
          </cell>
          <cell r="P1971">
            <v>18.600000000000001</v>
          </cell>
        </row>
        <row r="1972">
          <cell r="B1972" t="str">
            <v>Kurume University</v>
          </cell>
          <cell r="C1972" t="str">
            <v>Japan</v>
          </cell>
          <cell r="D1972">
            <v>54</v>
          </cell>
          <cell r="E1972">
            <v>367</v>
          </cell>
          <cell r="F1972">
            <v>567</v>
          </cell>
          <cell r="G1972">
            <v>218</v>
          </cell>
          <cell r="H1972">
            <v>986</v>
          </cell>
          <cell r="I1972">
            <v>770</v>
          </cell>
          <cell r="J1972">
            <v>812</v>
          </cell>
          <cell r="K1972">
            <v>699</v>
          </cell>
          <cell r="L1972">
            <v>473</v>
          </cell>
          <cell r="M1972">
            <v>44.27</v>
          </cell>
          <cell r="N1972">
            <v>2015</v>
          </cell>
          <cell r="O1972">
            <v>771</v>
          </cell>
          <cell r="P1972" t="e">
            <v>#N/A</v>
          </cell>
        </row>
        <row r="1973">
          <cell r="B1973" t="str">
            <v>Institut national des sciences AppliquÃ©es de Lyon</v>
          </cell>
          <cell r="C1973" t="str">
            <v>France</v>
          </cell>
          <cell r="D1973">
            <v>37</v>
          </cell>
          <cell r="E1973">
            <v>367</v>
          </cell>
          <cell r="F1973">
            <v>567</v>
          </cell>
          <cell r="G1973">
            <v>218</v>
          </cell>
          <cell r="H1973">
            <v>547</v>
          </cell>
          <cell r="I1973">
            <v>674</v>
          </cell>
          <cell r="J1973">
            <v>645</v>
          </cell>
          <cell r="K1973">
            <v>732</v>
          </cell>
          <cell r="L1973">
            <v>558</v>
          </cell>
          <cell r="M1973">
            <v>44.27</v>
          </cell>
          <cell r="N1973">
            <v>2015</v>
          </cell>
          <cell r="O1973">
            <v>772</v>
          </cell>
          <cell r="P1973" t="e">
            <v>#N/A</v>
          </cell>
        </row>
        <row r="1974">
          <cell r="B1974" t="str">
            <v>Saga University</v>
          </cell>
          <cell r="C1974" t="str">
            <v>Japan</v>
          </cell>
          <cell r="D1974">
            <v>55</v>
          </cell>
          <cell r="E1974">
            <v>367</v>
          </cell>
          <cell r="F1974">
            <v>567</v>
          </cell>
          <cell r="G1974">
            <v>218</v>
          </cell>
          <cell r="H1974">
            <v>808</v>
          </cell>
          <cell r="I1974">
            <v>791</v>
          </cell>
          <cell r="J1974">
            <v>812</v>
          </cell>
          <cell r="K1974">
            <v>715</v>
          </cell>
          <cell r="L1974">
            <v>435</v>
          </cell>
          <cell r="M1974">
            <v>44.27</v>
          </cell>
          <cell r="N1974">
            <v>2015</v>
          </cell>
          <cell r="O1974">
            <v>773</v>
          </cell>
          <cell r="P1974" t="e">
            <v>#N/A</v>
          </cell>
        </row>
        <row r="1975">
          <cell r="B1975" t="str">
            <v>Chongqing University</v>
          </cell>
          <cell r="C1975" t="str">
            <v>China</v>
          </cell>
          <cell r="D1975">
            <v>43</v>
          </cell>
          <cell r="E1975">
            <v>367</v>
          </cell>
          <cell r="F1975">
            <v>283</v>
          </cell>
          <cell r="G1975">
            <v>218</v>
          </cell>
          <cell r="H1975">
            <v>630</v>
          </cell>
          <cell r="I1975">
            <v>892</v>
          </cell>
          <cell r="J1975">
            <v>645</v>
          </cell>
          <cell r="K1975">
            <v>837</v>
          </cell>
          <cell r="L1975">
            <v>809</v>
          </cell>
          <cell r="M1975">
            <v>44.27</v>
          </cell>
          <cell r="N1975">
            <v>2015</v>
          </cell>
          <cell r="O1975">
            <v>774</v>
          </cell>
          <cell r="P1975">
            <v>19.5</v>
          </cell>
        </row>
        <row r="1976">
          <cell r="B1976" t="str">
            <v>Jikei University School of Medicine</v>
          </cell>
          <cell r="C1976" t="str">
            <v>Japan</v>
          </cell>
          <cell r="D1976">
            <v>56</v>
          </cell>
          <cell r="E1976">
            <v>367</v>
          </cell>
          <cell r="F1976">
            <v>567</v>
          </cell>
          <cell r="G1976">
            <v>218</v>
          </cell>
          <cell r="H1976">
            <v>959</v>
          </cell>
          <cell r="I1976">
            <v>711</v>
          </cell>
          <cell r="J1976">
            <v>645</v>
          </cell>
          <cell r="K1976">
            <v>686</v>
          </cell>
          <cell r="L1976">
            <v>797</v>
          </cell>
          <cell r="M1976">
            <v>44.27</v>
          </cell>
          <cell r="N1976">
            <v>2015</v>
          </cell>
          <cell r="O1976">
            <v>775</v>
          </cell>
          <cell r="P1976" t="e">
            <v>#N/A</v>
          </cell>
        </row>
        <row r="1977">
          <cell r="B1977" t="str">
            <v>Second Military Medical University</v>
          </cell>
          <cell r="C1977" t="str">
            <v>China</v>
          </cell>
          <cell r="D1977">
            <v>44</v>
          </cell>
          <cell r="E1977">
            <v>367</v>
          </cell>
          <cell r="F1977">
            <v>567</v>
          </cell>
          <cell r="G1977">
            <v>218</v>
          </cell>
          <cell r="H1977">
            <v>579</v>
          </cell>
          <cell r="I1977">
            <v>664</v>
          </cell>
          <cell r="J1977">
            <v>645</v>
          </cell>
          <cell r="K1977">
            <v>754</v>
          </cell>
          <cell r="L1977">
            <v>395</v>
          </cell>
          <cell r="M1977">
            <v>44.27</v>
          </cell>
          <cell r="N1977">
            <v>2015</v>
          </cell>
          <cell r="O1977">
            <v>776</v>
          </cell>
          <cell r="P1977" t="e">
            <v>#N/A</v>
          </cell>
        </row>
        <row r="1978">
          <cell r="B1978" t="str">
            <v>Jawaharlal Nehru Centre for Advanced Scientific Research</v>
          </cell>
          <cell r="C1978" t="str">
            <v>India</v>
          </cell>
          <cell r="D1978">
            <v>12</v>
          </cell>
          <cell r="E1978">
            <v>367</v>
          </cell>
          <cell r="F1978">
            <v>567</v>
          </cell>
          <cell r="G1978">
            <v>218</v>
          </cell>
          <cell r="H1978">
            <v>868</v>
          </cell>
          <cell r="I1978">
            <v>650</v>
          </cell>
          <cell r="J1978">
            <v>645</v>
          </cell>
          <cell r="K1978">
            <v>715</v>
          </cell>
          <cell r="L1978">
            <v>453</v>
          </cell>
          <cell r="M1978">
            <v>44.27</v>
          </cell>
          <cell r="N1978">
            <v>2015</v>
          </cell>
          <cell r="O1978">
            <v>777</v>
          </cell>
          <cell r="P1978" t="e">
            <v>#N/A</v>
          </cell>
        </row>
        <row r="1979">
          <cell r="B1979" t="str">
            <v>University of North Texas, Denton</v>
          </cell>
          <cell r="C1979" t="str">
            <v>USA</v>
          </cell>
          <cell r="D1979">
            <v>209</v>
          </cell>
          <cell r="E1979">
            <v>367</v>
          </cell>
          <cell r="F1979">
            <v>567</v>
          </cell>
          <cell r="G1979">
            <v>218</v>
          </cell>
          <cell r="H1979">
            <v>675</v>
          </cell>
          <cell r="I1979">
            <v>636</v>
          </cell>
          <cell r="J1979">
            <v>645</v>
          </cell>
          <cell r="K1979">
            <v>715</v>
          </cell>
          <cell r="L1979">
            <v>554</v>
          </cell>
          <cell r="M1979">
            <v>44.27</v>
          </cell>
          <cell r="N1979">
            <v>2015</v>
          </cell>
          <cell r="O1979">
            <v>778</v>
          </cell>
          <cell r="P1979" t="e">
            <v>#N/A</v>
          </cell>
        </row>
        <row r="1980">
          <cell r="B1980" t="str">
            <v>Ege University</v>
          </cell>
          <cell r="C1980" t="str">
            <v>Turkey</v>
          </cell>
          <cell r="D1980">
            <v>6</v>
          </cell>
          <cell r="E1980">
            <v>367</v>
          </cell>
          <cell r="F1980">
            <v>567</v>
          </cell>
          <cell r="G1980">
            <v>218</v>
          </cell>
          <cell r="H1980">
            <v>761</v>
          </cell>
          <cell r="I1980">
            <v>839</v>
          </cell>
          <cell r="J1980">
            <v>511</v>
          </cell>
          <cell r="K1980">
            <v>699</v>
          </cell>
          <cell r="L1980">
            <v>871</v>
          </cell>
          <cell r="M1980">
            <v>44.27</v>
          </cell>
          <cell r="N1980">
            <v>2015</v>
          </cell>
          <cell r="O1980">
            <v>779</v>
          </cell>
          <cell r="P1980" t="e">
            <v>#N/A</v>
          </cell>
        </row>
        <row r="1981">
          <cell r="B1981" t="str">
            <v>Mie University</v>
          </cell>
          <cell r="C1981" t="str">
            <v>Japan</v>
          </cell>
          <cell r="D1981">
            <v>57</v>
          </cell>
          <cell r="E1981">
            <v>367</v>
          </cell>
          <cell r="F1981">
            <v>567</v>
          </cell>
          <cell r="G1981">
            <v>218</v>
          </cell>
          <cell r="H1981">
            <v>835</v>
          </cell>
          <cell r="I1981">
            <v>860</v>
          </cell>
          <cell r="J1981">
            <v>645</v>
          </cell>
          <cell r="K1981">
            <v>741</v>
          </cell>
          <cell r="L1981">
            <v>368</v>
          </cell>
          <cell r="M1981">
            <v>44.27</v>
          </cell>
          <cell r="N1981">
            <v>2015</v>
          </cell>
          <cell r="O1981">
            <v>780</v>
          </cell>
          <cell r="P1981" t="e">
            <v>#N/A</v>
          </cell>
        </row>
        <row r="1982">
          <cell r="B1982" t="str">
            <v>Ã‰cole Polytechnique de MontrÃ©al</v>
          </cell>
          <cell r="C1982" t="str">
            <v>Canada</v>
          </cell>
          <cell r="D1982">
            <v>26</v>
          </cell>
          <cell r="E1982">
            <v>367</v>
          </cell>
          <cell r="F1982">
            <v>507</v>
          </cell>
          <cell r="G1982">
            <v>218</v>
          </cell>
          <cell r="H1982">
            <v>716</v>
          </cell>
          <cell r="I1982">
            <v>921</v>
          </cell>
          <cell r="J1982">
            <v>511</v>
          </cell>
          <cell r="K1982">
            <v>741</v>
          </cell>
          <cell r="L1982">
            <v>412</v>
          </cell>
          <cell r="M1982">
            <v>44.27</v>
          </cell>
          <cell r="N1982">
            <v>2015</v>
          </cell>
          <cell r="O1982">
            <v>781</v>
          </cell>
          <cell r="P1982" t="e">
            <v>#N/A</v>
          </cell>
        </row>
        <row r="1983">
          <cell r="B1983" t="str">
            <v>AGH University of Science and Technology</v>
          </cell>
          <cell r="C1983" t="str">
            <v>Poland</v>
          </cell>
          <cell r="D1983">
            <v>4</v>
          </cell>
          <cell r="E1983">
            <v>267</v>
          </cell>
          <cell r="F1983">
            <v>279</v>
          </cell>
          <cell r="G1983">
            <v>218</v>
          </cell>
          <cell r="H1983">
            <v>708</v>
          </cell>
          <cell r="I1983">
            <v>891</v>
          </cell>
          <cell r="J1983">
            <v>511</v>
          </cell>
          <cell r="K1983">
            <v>896</v>
          </cell>
          <cell r="L1983">
            <v>398</v>
          </cell>
          <cell r="M1983">
            <v>44.26</v>
          </cell>
          <cell r="N1983">
            <v>2015</v>
          </cell>
          <cell r="O1983">
            <v>782</v>
          </cell>
          <cell r="P1983">
            <v>14.2</v>
          </cell>
        </row>
        <row r="1984">
          <cell r="B1984" t="str">
            <v>University of Electronic Science and Technology of China</v>
          </cell>
          <cell r="C1984" t="str">
            <v>China</v>
          </cell>
          <cell r="D1984">
            <v>45</v>
          </cell>
          <cell r="E1984">
            <v>367</v>
          </cell>
          <cell r="F1984">
            <v>308</v>
          </cell>
          <cell r="G1984">
            <v>218</v>
          </cell>
          <cell r="H1984">
            <v>529</v>
          </cell>
          <cell r="I1984">
            <v>912</v>
          </cell>
          <cell r="J1984">
            <v>812</v>
          </cell>
          <cell r="K1984">
            <v>837</v>
          </cell>
          <cell r="L1984">
            <v>552</v>
          </cell>
          <cell r="M1984">
            <v>44.26</v>
          </cell>
          <cell r="N1984">
            <v>2015</v>
          </cell>
          <cell r="O1984">
            <v>783</v>
          </cell>
          <cell r="P1984">
            <v>20.5</v>
          </cell>
        </row>
        <row r="1985">
          <cell r="B1985" t="str">
            <v>University of Stirling</v>
          </cell>
          <cell r="C1985" t="str">
            <v>United Kingdom</v>
          </cell>
          <cell r="D1985">
            <v>58</v>
          </cell>
          <cell r="E1985">
            <v>367</v>
          </cell>
          <cell r="F1985">
            <v>357</v>
          </cell>
          <cell r="G1985">
            <v>218</v>
          </cell>
          <cell r="H1985">
            <v>772</v>
          </cell>
          <cell r="I1985">
            <v>707</v>
          </cell>
          <cell r="J1985">
            <v>812</v>
          </cell>
          <cell r="K1985">
            <v>754</v>
          </cell>
          <cell r="L1985">
            <v>871</v>
          </cell>
          <cell r="M1985">
            <v>44.26</v>
          </cell>
          <cell r="N1985">
            <v>2015</v>
          </cell>
          <cell r="O1985">
            <v>784</v>
          </cell>
          <cell r="P1985">
            <v>18.2</v>
          </cell>
        </row>
        <row r="1986">
          <cell r="B1986" t="str">
            <v>University of Greifswald</v>
          </cell>
          <cell r="C1986" t="str">
            <v>Germany</v>
          </cell>
          <cell r="D1986">
            <v>49</v>
          </cell>
          <cell r="E1986">
            <v>367</v>
          </cell>
          <cell r="F1986">
            <v>567</v>
          </cell>
          <cell r="G1986">
            <v>211</v>
          </cell>
          <cell r="H1986">
            <v>714</v>
          </cell>
          <cell r="I1986">
            <v>487</v>
          </cell>
          <cell r="J1986">
            <v>812</v>
          </cell>
          <cell r="K1986">
            <v>732</v>
          </cell>
          <cell r="L1986">
            <v>476</v>
          </cell>
          <cell r="M1986">
            <v>44.26</v>
          </cell>
          <cell r="N1986">
            <v>2015</v>
          </cell>
          <cell r="O1986">
            <v>785</v>
          </cell>
          <cell r="P1986">
            <v>30.1</v>
          </cell>
        </row>
        <row r="1987">
          <cell r="B1987" t="str">
            <v>National Polytechnic Institute</v>
          </cell>
          <cell r="C1987" t="str">
            <v>Mexico</v>
          </cell>
          <cell r="D1987">
            <v>2</v>
          </cell>
          <cell r="E1987">
            <v>330</v>
          </cell>
          <cell r="F1987">
            <v>567</v>
          </cell>
          <cell r="G1987">
            <v>218</v>
          </cell>
          <cell r="H1987">
            <v>573</v>
          </cell>
          <cell r="I1987">
            <v>579</v>
          </cell>
          <cell r="J1987">
            <v>428</v>
          </cell>
          <cell r="K1987">
            <v>741</v>
          </cell>
          <cell r="L1987">
            <v>620</v>
          </cell>
          <cell r="M1987">
            <v>44.26</v>
          </cell>
          <cell r="N1987">
            <v>2015</v>
          </cell>
          <cell r="O1987">
            <v>786</v>
          </cell>
          <cell r="P1987" t="e">
            <v>#N/A</v>
          </cell>
        </row>
        <row r="1988">
          <cell r="B1988" t="str">
            <v>Jacobs University Bremen</v>
          </cell>
          <cell r="C1988" t="str">
            <v>Germany</v>
          </cell>
          <cell r="D1988">
            <v>50</v>
          </cell>
          <cell r="E1988">
            <v>367</v>
          </cell>
          <cell r="F1988">
            <v>567</v>
          </cell>
          <cell r="G1988">
            <v>218</v>
          </cell>
          <cell r="H1988">
            <v>894</v>
          </cell>
          <cell r="I1988">
            <v>666</v>
          </cell>
          <cell r="J1988">
            <v>511</v>
          </cell>
          <cell r="K1988">
            <v>715</v>
          </cell>
          <cell r="L1988">
            <v>533</v>
          </cell>
          <cell r="M1988">
            <v>44.26</v>
          </cell>
          <cell r="N1988">
            <v>2015</v>
          </cell>
          <cell r="O1988">
            <v>787</v>
          </cell>
          <cell r="P1988" t="e">
            <v>#N/A</v>
          </cell>
        </row>
        <row r="1989">
          <cell r="B1989" t="str">
            <v>Capital Medical University</v>
          </cell>
          <cell r="C1989" t="str">
            <v>China</v>
          </cell>
          <cell r="D1989">
            <v>46</v>
          </cell>
          <cell r="E1989">
            <v>367</v>
          </cell>
          <cell r="F1989">
            <v>567</v>
          </cell>
          <cell r="G1989">
            <v>218</v>
          </cell>
          <cell r="H1989">
            <v>525</v>
          </cell>
          <cell r="I1989">
            <v>754</v>
          </cell>
          <cell r="J1989">
            <v>511</v>
          </cell>
          <cell r="K1989">
            <v>741</v>
          </cell>
          <cell r="L1989">
            <v>871</v>
          </cell>
          <cell r="M1989">
            <v>44.26</v>
          </cell>
          <cell r="N1989">
            <v>2015</v>
          </cell>
          <cell r="O1989">
            <v>788</v>
          </cell>
          <cell r="P1989">
            <v>26.3</v>
          </cell>
        </row>
        <row r="1990">
          <cell r="B1990" t="str">
            <v>Norwegian University of Life Sciences</v>
          </cell>
          <cell r="C1990" t="str">
            <v>Norway</v>
          </cell>
          <cell r="D1990">
            <v>5</v>
          </cell>
          <cell r="E1990">
            <v>367</v>
          </cell>
          <cell r="F1990">
            <v>567</v>
          </cell>
          <cell r="G1990">
            <v>218</v>
          </cell>
          <cell r="H1990">
            <v>769</v>
          </cell>
          <cell r="I1990">
            <v>570</v>
          </cell>
          <cell r="J1990">
            <v>511</v>
          </cell>
          <cell r="K1990">
            <v>715</v>
          </cell>
          <cell r="L1990">
            <v>782</v>
          </cell>
          <cell r="M1990">
            <v>44.26</v>
          </cell>
          <cell r="N1990">
            <v>2015</v>
          </cell>
          <cell r="O1990">
            <v>789</v>
          </cell>
          <cell r="P1990" t="e">
            <v>#N/A</v>
          </cell>
        </row>
        <row r="1991">
          <cell r="B1991" t="str">
            <v>Michigan Technological University</v>
          </cell>
          <cell r="C1991" t="str">
            <v>USA</v>
          </cell>
          <cell r="D1991">
            <v>210</v>
          </cell>
          <cell r="E1991">
            <v>341</v>
          </cell>
          <cell r="F1991">
            <v>467</v>
          </cell>
          <cell r="G1991">
            <v>218</v>
          </cell>
          <cell r="H1991">
            <v>794</v>
          </cell>
          <cell r="I1991">
            <v>769</v>
          </cell>
          <cell r="J1991">
            <v>428</v>
          </cell>
          <cell r="K1991">
            <v>741</v>
          </cell>
          <cell r="L1991">
            <v>581</v>
          </cell>
          <cell r="M1991">
            <v>44.25</v>
          </cell>
          <cell r="N1991">
            <v>2015</v>
          </cell>
          <cell r="O1991">
            <v>790</v>
          </cell>
          <cell r="P1991">
            <v>21.2</v>
          </cell>
        </row>
        <row r="1992">
          <cell r="B1992" t="str">
            <v>Vilnius University</v>
          </cell>
          <cell r="C1992" t="str">
            <v>Lithuania</v>
          </cell>
          <cell r="D1992">
            <v>1</v>
          </cell>
          <cell r="E1992">
            <v>340</v>
          </cell>
          <cell r="F1992">
            <v>567</v>
          </cell>
          <cell r="G1992">
            <v>218</v>
          </cell>
          <cell r="H1992">
            <v>799</v>
          </cell>
          <cell r="I1992">
            <v>642</v>
          </cell>
          <cell r="J1992">
            <v>645</v>
          </cell>
          <cell r="K1992">
            <v>715</v>
          </cell>
          <cell r="L1992">
            <v>684</v>
          </cell>
          <cell r="M1992">
            <v>44.25</v>
          </cell>
          <cell r="N1992">
            <v>2015</v>
          </cell>
          <cell r="O1992">
            <v>791</v>
          </cell>
          <cell r="P1992">
            <v>18.3</v>
          </cell>
        </row>
        <row r="1993">
          <cell r="B1993" t="str">
            <v>North Dakota State University - Main Campus</v>
          </cell>
          <cell r="C1993" t="str">
            <v>USA</v>
          </cell>
          <cell r="D1993">
            <v>211</v>
          </cell>
          <cell r="E1993">
            <v>172</v>
          </cell>
          <cell r="F1993">
            <v>567</v>
          </cell>
          <cell r="G1993">
            <v>218</v>
          </cell>
          <cell r="H1993">
            <v>702</v>
          </cell>
          <cell r="I1993">
            <v>790</v>
          </cell>
          <cell r="J1993">
            <v>812</v>
          </cell>
          <cell r="K1993">
            <v>770</v>
          </cell>
          <cell r="L1993">
            <v>871</v>
          </cell>
          <cell r="M1993">
            <v>44.25</v>
          </cell>
          <cell r="N1993">
            <v>2015</v>
          </cell>
          <cell r="O1993">
            <v>792</v>
          </cell>
          <cell r="P1993" t="e">
            <v>#N/A</v>
          </cell>
        </row>
        <row r="1994">
          <cell r="B1994" t="str">
            <v>University of Hohenheim</v>
          </cell>
          <cell r="C1994" t="str">
            <v>Germany</v>
          </cell>
          <cell r="D1994">
            <v>51</v>
          </cell>
          <cell r="E1994">
            <v>367</v>
          </cell>
          <cell r="F1994">
            <v>567</v>
          </cell>
          <cell r="G1994">
            <v>218</v>
          </cell>
          <cell r="H1994">
            <v>767</v>
          </cell>
          <cell r="I1994">
            <v>691</v>
          </cell>
          <cell r="J1994">
            <v>645</v>
          </cell>
          <cell r="K1994">
            <v>715</v>
          </cell>
          <cell r="L1994">
            <v>782</v>
          </cell>
          <cell r="M1994">
            <v>44.25</v>
          </cell>
          <cell r="N1994">
            <v>2015</v>
          </cell>
          <cell r="O1994">
            <v>793</v>
          </cell>
          <cell r="P1994">
            <v>30.9</v>
          </cell>
        </row>
        <row r="1995">
          <cell r="B1995" t="str">
            <v>University of North Carolina at Charlotte</v>
          </cell>
          <cell r="C1995" t="str">
            <v>USA</v>
          </cell>
          <cell r="D1995">
            <v>212</v>
          </cell>
          <cell r="E1995">
            <v>367</v>
          </cell>
          <cell r="F1995">
            <v>310</v>
          </cell>
          <cell r="G1995">
            <v>218</v>
          </cell>
          <cell r="H1995">
            <v>741</v>
          </cell>
          <cell r="I1995">
            <v>662</v>
          </cell>
          <cell r="J1995">
            <v>511</v>
          </cell>
          <cell r="K1995">
            <v>826</v>
          </cell>
          <cell r="L1995">
            <v>593</v>
          </cell>
          <cell r="M1995">
            <v>44.25</v>
          </cell>
          <cell r="N1995">
            <v>2015</v>
          </cell>
          <cell r="O1995">
            <v>794</v>
          </cell>
          <cell r="P1995" t="e">
            <v>#N/A</v>
          </cell>
        </row>
        <row r="1996">
          <cell r="B1996" t="str">
            <v>Zhengzhou University</v>
          </cell>
          <cell r="C1996" t="str">
            <v>China</v>
          </cell>
          <cell r="D1996">
            <v>47</v>
          </cell>
          <cell r="E1996">
            <v>367</v>
          </cell>
          <cell r="F1996">
            <v>427</v>
          </cell>
          <cell r="G1996">
            <v>218</v>
          </cell>
          <cell r="H1996">
            <v>663</v>
          </cell>
          <cell r="I1996">
            <v>806</v>
          </cell>
          <cell r="J1996">
            <v>812</v>
          </cell>
          <cell r="K1996">
            <v>754</v>
          </cell>
          <cell r="L1996">
            <v>749</v>
          </cell>
          <cell r="M1996">
            <v>44.25</v>
          </cell>
          <cell r="N1996">
            <v>2015</v>
          </cell>
          <cell r="O1996">
            <v>795</v>
          </cell>
          <cell r="P1996" t="e">
            <v>#N/A</v>
          </cell>
        </row>
        <row r="1997">
          <cell r="B1997" t="str">
            <v>Cairo University</v>
          </cell>
          <cell r="C1997" t="str">
            <v>Egypt</v>
          </cell>
          <cell r="D1997">
            <v>1</v>
          </cell>
          <cell r="E1997">
            <v>285</v>
          </cell>
          <cell r="F1997">
            <v>469</v>
          </cell>
          <cell r="G1997">
            <v>180</v>
          </cell>
          <cell r="H1997">
            <v>697</v>
          </cell>
          <cell r="I1997">
            <v>730</v>
          </cell>
          <cell r="J1997">
            <v>511</v>
          </cell>
          <cell r="K1997">
            <v>781</v>
          </cell>
          <cell r="L1997">
            <v>871</v>
          </cell>
          <cell r="M1997">
            <v>44.25</v>
          </cell>
          <cell r="N1997">
            <v>2015</v>
          </cell>
          <cell r="O1997">
            <v>796</v>
          </cell>
          <cell r="P1997">
            <v>18.899999999999999</v>
          </cell>
        </row>
        <row r="1998">
          <cell r="B1998" t="str">
            <v>University of Caen Lower Normandy</v>
          </cell>
          <cell r="C1998" t="str">
            <v>France</v>
          </cell>
          <cell r="D1998">
            <v>38</v>
          </cell>
          <cell r="E1998">
            <v>207</v>
          </cell>
          <cell r="F1998">
            <v>567</v>
          </cell>
          <cell r="G1998">
            <v>218</v>
          </cell>
          <cell r="H1998">
            <v>637</v>
          </cell>
          <cell r="I1998">
            <v>768</v>
          </cell>
          <cell r="J1998">
            <v>812</v>
          </cell>
          <cell r="K1998">
            <v>754</v>
          </cell>
          <cell r="L1998">
            <v>787</v>
          </cell>
          <cell r="M1998">
            <v>44.25</v>
          </cell>
          <cell r="N1998">
            <v>2015</v>
          </cell>
          <cell r="O1998">
            <v>797</v>
          </cell>
          <cell r="P1998" t="e">
            <v>#N/A</v>
          </cell>
        </row>
        <row r="1999">
          <cell r="B1999" t="str">
            <v>Saitama Medical University</v>
          </cell>
          <cell r="C1999" t="str">
            <v>Japan</v>
          </cell>
          <cell r="D1999">
            <v>58</v>
          </cell>
          <cell r="E1999">
            <v>367</v>
          </cell>
          <cell r="F1999">
            <v>567</v>
          </cell>
          <cell r="G1999">
            <v>218</v>
          </cell>
          <cell r="H1999">
            <v>993</v>
          </cell>
          <cell r="I1999">
            <v>586</v>
          </cell>
          <cell r="J1999">
            <v>645</v>
          </cell>
          <cell r="K1999">
            <v>732</v>
          </cell>
          <cell r="L1999">
            <v>488</v>
          </cell>
          <cell r="M1999">
            <v>44.25</v>
          </cell>
          <cell r="N1999">
            <v>2015</v>
          </cell>
          <cell r="O1999">
            <v>798</v>
          </cell>
          <cell r="P1999" t="e">
            <v>#N/A</v>
          </cell>
        </row>
        <row r="2000">
          <cell r="B2000" t="str">
            <v>University of Murcia</v>
          </cell>
          <cell r="C2000" t="str">
            <v>Spain</v>
          </cell>
          <cell r="D2000">
            <v>29</v>
          </cell>
          <cell r="E2000">
            <v>367</v>
          </cell>
          <cell r="F2000">
            <v>567</v>
          </cell>
          <cell r="G2000">
            <v>218</v>
          </cell>
          <cell r="H2000">
            <v>541</v>
          </cell>
          <cell r="I2000">
            <v>703</v>
          </cell>
          <cell r="J2000">
            <v>428</v>
          </cell>
          <cell r="K2000">
            <v>781</v>
          </cell>
          <cell r="L2000">
            <v>479</v>
          </cell>
          <cell r="M2000">
            <v>44.24</v>
          </cell>
          <cell r="N2000">
            <v>2015</v>
          </cell>
          <cell r="O2000">
            <v>799</v>
          </cell>
          <cell r="P2000">
            <v>19.3</v>
          </cell>
        </row>
        <row r="2001">
          <cell r="B2001" t="str">
            <v>Showa University</v>
          </cell>
          <cell r="C2001" t="str">
            <v>Japan</v>
          </cell>
          <cell r="D2001">
            <v>59</v>
          </cell>
          <cell r="E2001">
            <v>367</v>
          </cell>
          <cell r="F2001">
            <v>567</v>
          </cell>
          <cell r="G2001">
            <v>218</v>
          </cell>
          <cell r="H2001">
            <v>985</v>
          </cell>
          <cell r="I2001">
            <v>759</v>
          </cell>
          <cell r="J2001">
            <v>645</v>
          </cell>
          <cell r="K2001">
            <v>715</v>
          </cell>
          <cell r="L2001">
            <v>727</v>
          </cell>
          <cell r="M2001">
            <v>44.24</v>
          </cell>
          <cell r="N2001">
            <v>2015</v>
          </cell>
          <cell r="O2001">
            <v>800</v>
          </cell>
          <cell r="P2001">
            <v>28.5</v>
          </cell>
        </row>
        <row r="2002">
          <cell r="B2002" t="str">
            <v>University of Oldenburg</v>
          </cell>
          <cell r="C2002" t="str">
            <v>Germany</v>
          </cell>
          <cell r="D2002">
            <v>52</v>
          </cell>
          <cell r="E2002">
            <v>367</v>
          </cell>
          <cell r="F2002">
            <v>567</v>
          </cell>
          <cell r="G2002">
            <v>218</v>
          </cell>
          <cell r="H2002">
            <v>729</v>
          </cell>
          <cell r="I2002">
            <v>619</v>
          </cell>
          <cell r="J2002">
            <v>645</v>
          </cell>
          <cell r="K2002">
            <v>732</v>
          </cell>
          <cell r="L2002">
            <v>816</v>
          </cell>
          <cell r="M2002">
            <v>44.24</v>
          </cell>
          <cell r="N2002">
            <v>2015</v>
          </cell>
          <cell r="O2002">
            <v>801</v>
          </cell>
          <cell r="P2002" t="e">
            <v>#N/A</v>
          </cell>
        </row>
        <row r="2003">
          <cell r="B2003" t="str">
            <v>Magna GrÃ¦cia University of Catanzaro</v>
          </cell>
          <cell r="C2003" t="str">
            <v>Italy</v>
          </cell>
          <cell r="D2003">
            <v>44</v>
          </cell>
          <cell r="E2003">
            <v>367</v>
          </cell>
          <cell r="F2003">
            <v>567</v>
          </cell>
          <cell r="G2003">
            <v>218</v>
          </cell>
          <cell r="H2003">
            <v>948</v>
          </cell>
          <cell r="I2003">
            <v>813</v>
          </cell>
          <cell r="J2003">
            <v>812</v>
          </cell>
          <cell r="K2003">
            <v>715</v>
          </cell>
          <cell r="L2003">
            <v>766</v>
          </cell>
          <cell r="M2003">
            <v>44.24</v>
          </cell>
          <cell r="N2003">
            <v>2015</v>
          </cell>
          <cell r="O2003">
            <v>802</v>
          </cell>
          <cell r="P2003" t="e">
            <v>#N/A</v>
          </cell>
        </row>
        <row r="2004">
          <cell r="B2004" t="str">
            <v>National Sun Yat-sen University</v>
          </cell>
          <cell r="C2004" t="str">
            <v>Taiwan</v>
          </cell>
          <cell r="D2004">
            <v>11</v>
          </cell>
          <cell r="E2004">
            <v>367</v>
          </cell>
          <cell r="F2004">
            <v>567</v>
          </cell>
          <cell r="G2004">
            <v>218</v>
          </cell>
          <cell r="H2004">
            <v>461</v>
          </cell>
          <cell r="I2004">
            <v>950</v>
          </cell>
          <cell r="J2004">
            <v>511</v>
          </cell>
          <cell r="K2004">
            <v>781</v>
          </cell>
          <cell r="L2004">
            <v>871</v>
          </cell>
          <cell r="M2004">
            <v>44.24</v>
          </cell>
          <cell r="N2004">
            <v>2015</v>
          </cell>
          <cell r="O2004">
            <v>803</v>
          </cell>
          <cell r="P2004">
            <v>46.1</v>
          </cell>
        </row>
        <row r="2005">
          <cell r="B2005" t="str">
            <v>Nanjing University of Science and Technology</v>
          </cell>
          <cell r="C2005" t="str">
            <v>China</v>
          </cell>
          <cell r="D2005">
            <v>48</v>
          </cell>
          <cell r="E2005">
            <v>367</v>
          </cell>
          <cell r="F2005">
            <v>331</v>
          </cell>
          <cell r="G2005">
            <v>218</v>
          </cell>
          <cell r="H2005">
            <v>796</v>
          </cell>
          <cell r="I2005">
            <v>943</v>
          </cell>
          <cell r="J2005">
            <v>368</v>
          </cell>
          <cell r="K2005">
            <v>826</v>
          </cell>
          <cell r="L2005">
            <v>694</v>
          </cell>
          <cell r="M2005">
            <v>44.24</v>
          </cell>
          <cell r="N2005">
            <v>2015</v>
          </cell>
          <cell r="O2005">
            <v>804</v>
          </cell>
          <cell r="P2005" t="e">
            <v>#N/A</v>
          </cell>
        </row>
        <row r="2006">
          <cell r="B2006" t="str">
            <v>University of ConcepciÃ³n</v>
          </cell>
          <cell r="C2006" t="str">
            <v>Chile</v>
          </cell>
          <cell r="D2006">
            <v>3</v>
          </cell>
          <cell r="E2006">
            <v>367</v>
          </cell>
          <cell r="F2006">
            <v>567</v>
          </cell>
          <cell r="G2006">
            <v>218</v>
          </cell>
          <cell r="H2006">
            <v>712</v>
          </cell>
          <cell r="I2006">
            <v>451</v>
          </cell>
          <cell r="J2006">
            <v>812</v>
          </cell>
          <cell r="K2006">
            <v>754</v>
          </cell>
          <cell r="L2006">
            <v>505</v>
          </cell>
          <cell r="M2006">
            <v>44.23</v>
          </cell>
          <cell r="N2006">
            <v>2015</v>
          </cell>
          <cell r="O2006">
            <v>805</v>
          </cell>
          <cell r="P2006" t="e">
            <v>#N/A</v>
          </cell>
        </row>
        <row r="2007">
          <cell r="B2007" t="str">
            <v>Chungbuk National University</v>
          </cell>
          <cell r="C2007" t="str">
            <v>South Korea</v>
          </cell>
          <cell r="D2007">
            <v>26</v>
          </cell>
          <cell r="E2007">
            <v>367</v>
          </cell>
          <cell r="F2007">
            <v>567</v>
          </cell>
          <cell r="G2007">
            <v>218</v>
          </cell>
          <cell r="H2007">
            <v>745</v>
          </cell>
          <cell r="I2007">
            <v>859</v>
          </cell>
          <cell r="J2007">
            <v>812</v>
          </cell>
          <cell r="K2007">
            <v>809</v>
          </cell>
          <cell r="L2007">
            <v>319</v>
          </cell>
          <cell r="M2007">
            <v>44.23</v>
          </cell>
          <cell r="N2007">
            <v>2015</v>
          </cell>
          <cell r="O2007">
            <v>806</v>
          </cell>
          <cell r="P2007" t="e">
            <v>#N/A</v>
          </cell>
        </row>
        <row r="2008">
          <cell r="B2008" t="str">
            <v>Taipei Medical University</v>
          </cell>
          <cell r="C2008" t="str">
            <v>Taiwan</v>
          </cell>
          <cell r="D2008">
            <v>12</v>
          </cell>
          <cell r="E2008">
            <v>367</v>
          </cell>
          <cell r="F2008">
            <v>567</v>
          </cell>
          <cell r="G2008">
            <v>218</v>
          </cell>
          <cell r="H2008">
            <v>499</v>
          </cell>
          <cell r="I2008">
            <v>883</v>
          </cell>
          <cell r="J2008">
            <v>645</v>
          </cell>
          <cell r="K2008">
            <v>781</v>
          </cell>
          <cell r="L2008">
            <v>661</v>
          </cell>
          <cell r="M2008">
            <v>44.23</v>
          </cell>
          <cell r="N2008">
            <v>2015</v>
          </cell>
          <cell r="O2008">
            <v>807</v>
          </cell>
          <cell r="P2008">
            <v>25.7</v>
          </cell>
        </row>
        <row r="2009">
          <cell r="B2009" t="str">
            <v>Jaume I University</v>
          </cell>
          <cell r="C2009" t="str">
            <v>Spain</v>
          </cell>
          <cell r="D2009">
            <v>30</v>
          </cell>
          <cell r="E2009">
            <v>367</v>
          </cell>
          <cell r="F2009">
            <v>567</v>
          </cell>
          <cell r="G2009">
            <v>218</v>
          </cell>
          <cell r="H2009">
            <v>794</v>
          </cell>
          <cell r="I2009">
            <v>958</v>
          </cell>
          <cell r="J2009">
            <v>645</v>
          </cell>
          <cell r="K2009">
            <v>741</v>
          </cell>
          <cell r="L2009">
            <v>643</v>
          </cell>
          <cell r="M2009">
            <v>44.23</v>
          </cell>
          <cell r="N2009">
            <v>2015</v>
          </cell>
          <cell r="O2009">
            <v>808</v>
          </cell>
          <cell r="P2009" t="e">
            <v>#N/A</v>
          </cell>
        </row>
        <row r="2010">
          <cell r="B2010" t="str">
            <v>Bowling Green State University</v>
          </cell>
          <cell r="C2010" t="str">
            <v>USA</v>
          </cell>
          <cell r="D2010">
            <v>213</v>
          </cell>
          <cell r="E2010">
            <v>367</v>
          </cell>
          <cell r="F2010">
            <v>373</v>
          </cell>
          <cell r="G2010">
            <v>218</v>
          </cell>
          <cell r="H2010">
            <v>910</v>
          </cell>
          <cell r="I2010">
            <v>705</v>
          </cell>
          <cell r="J2010">
            <v>645</v>
          </cell>
          <cell r="K2010">
            <v>781</v>
          </cell>
          <cell r="L2010">
            <v>824</v>
          </cell>
          <cell r="M2010">
            <v>44.23</v>
          </cell>
          <cell r="N2010">
            <v>2015</v>
          </cell>
          <cell r="O2010">
            <v>809</v>
          </cell>
          <cell r="P2010" t="e">
            <v>#N/A</v>
          </cell>
        </row>
        <row r="2011">
          <cell r="B2011" t="str">
            <v>Nanjing University of Technology</v>
          </cell>
          <cell r="C2011" t="str">
            <v>China</v>
          </cell>
          <cell r="D2011">
            <v>49</v>
          </cell>
          <cell r="E2011">
            <v>367</v>
          </cell>
          <cell r="F2011">
            <v>567</v>
          </cell>
          <cell r="G2011">
            <v>218</v>
          </cell>
          <cell r="H2011">
            <v>748</v>
          </cell>
          <cell r="I2011">
            <v>984</v>
          </cell>
          <cell r="J2011">
            <v>812</v>
          </cell>
          <cell r="K2011">
            <v>932</v>
          </cell>
          <cell r="L2011">
            <v>217</v>
          </cell>
          <cell r="M2011">
            <v>44.22</v>
          </cell>
          <cell r="N2011">
            <v>2015</v>
          </cell>
          <cell r="O2011">
            <v>810</v>
          </cell>
          <cell r="P2011" t="e">
            <v>#N/A</v>
          </cell>
        </row>
        <row r="2012">
          <cell r="B2012" t="str">
            <v>University of New England (Australia)</v>
          </cell>
          <cell r="C2012" t="str">
            <v>Australia</v>
          </cell>
          <cell r="D2012">
            <v>22</v>
          </cell>
          <cell r="E2012">
            <v>367</v>
          </cell>
          <cell r="F2012">
            <v>251</v>
          </cell>
          <cell r="G2012">
            <v>218</v>
          </cell>
          <cell r="H2012">
            <v>938</v>
          </cell>
          <cell r="I2012">
            <v>634</v>
          </cell>
          <cell r="J2012">
            <v>511</v>
          </cell>
          <cell r="K2012">
            <v>932</v>
          </cell>
          <cell r="L2012">
            <v>797</v>
          </cell>
          <cell r="M2012">
            <v>44.22</v>
          </cell>
          <cell r="N2012">
            <v>2015</v>
          </cell>
          <cell r="O2012">
            <v>811</v>
          </cell>
          <cell r="P2012" t="e">
            <v>#N/A</v>
          </cell>
        </row>
        <row r="2013">
          <cell r="B2013" t="str">
            <v>Kangwon National University</v>
          </cell>
          <cell r="C2013" t="str">
            <v>South Korea</v>
          </cell>
          <cell r="D2013">
            <v>27</v>
          </cell>
          <cell r="E2013">
            <v>367</v>
          </cell>
          <cell r="F2013">
            <v>567</v>
          </cell>
          <cell r="G2013">
            <v>218</v>
          </cell>
          <cell r="H2013">
            <v>706</v>
          </cell>
          <cell r="I2013">
            <v>819</v>
          </cell>
          <cell r="J2013">
            <v>645</v>
          </cell>
          <cell r="K2013">
            <v>781</v>
          </cell>
          <cell r="L2013">
            <v>428</v>
          </cell>
          <cell r="M2013">
            <v>44.22</v>
          </cell>
          <cell r="N2013">
            <v>2015</v>
          </cell>
          <cell r="O2013">
            <v>812</v>
          </cell>
          <cell r="P2013" t="e">
            <v>#N/A</v>
          </cell>
        </row>
        <row r="2014">
          <cell r="B2014" t="str">
            <v>Inje University</v>
          </cell>
          <cell r="C2014" t="str">
            <v>South Korea</v>
          </cell>
          <cell r="D2014">
            <v>28</v>
          </cell>
          <cell r="E2014">
            <v>367</v>
          </cell>
          <cell r="F2014">
            <v>567</v>
          </cell>
          <cell r="G2014">
            <v>218</v>
          </cell>
          <cell r="H2014">
            <v>838</v>
          </cell>
          <cell r="I2014">
            <v>928</v>
          </cell>
          <cell r="J2014">
            <v>812</v>
          </cell>
          <cell r="K2014">
            <v>809</v>
          </cell>
          <cell r="L2014">
            <v>331</v>
          </cell>
          <cell r="M2014">
            <v>44.22</v>
          </cell>
          <cell r="N2014">
            <v>2015</v>
          </cell>
          <cell r="O2014">
            <v>813</v>
          </cell>
          <cell r="P2014" t="e">
            <v>#N/A</v>
          </cell>
        </row>
        <row r="2015">
          <cell r="B2015" t="str">
            <v>Aberystwyth University</v>
          </cell>
          <cell r="C2015" t="str">
            <v>United Kingdom</v>
          </cell>
          <cell r="D2015">
            <v>59</v>
          </cell>
          <cell r="E2015">
            <v>367</v>
          </cell>
          <cell r="F2015">
            <v>567</v>
          </cell>
          <cell r="G2015">
            <v>218</v>
          </cell>
          <cell r="H2015">
            <v>842</v>
          </cell>
          <cell r="I2015">
            <v>552</v>
          </cell>
          <cell r="J2015">
            <v>511</v>
          </cell>
          <cell r="K2015">
            <v>754</v>
          </cell>
          <cell r="L2015">
            <v>607</v>
          </cell>
          <cell r="M2015">
            <v>44.22</v>
          </cell>
          <cell r="N2015">
            <v>2015</v>
          </cell>
          <cell r="O2015">
            <v>814</v>
          </cell>
          <cell r="P2015">
            <v>19.8</v>
          </cell>
        </row>
        <row r="2016">
          <cell r="B2016" t="str">
            <v>University of Technology, Sydney</v>
          </cell>
          <cell r="C2016" t="str">
            <v>Australia</v>
          </cell>
          <cell r="D2016">
            <v>23</v>
          </cell>
          <cell r="E2016">
            <v>367</v>
          </cell>
          <cell r="F2016">
            <v>543</v>
          </cell>
          <cell r="G2016">
            <v>218</v>
          </cell>
          <cell r="H2016">
            <v>580</v>
          </cell>
          <cell r="I2016">
            <v>668</v>
          </cell>
          <cell r="J2016">
            <v>511</v>
          </cell>
          <cell r="K2016">
            <v>796</v>
          </cell>
          <cell r="L2016">
            <v>520</v>
          </cell>
          <cell r="M2016">
            <v>44.22</v>
          </cell>
          <cell r="N2016">
            <v>2015</v>
          </cell>
          <cell r="O2016">
            <v>815</v>
          </cell>
          <cell r="P2016" t="e">
            <v>#N/A</v>
          </cell>
        </row>
        <row r="2017">
          <cell r="B2017" t="str">
            <v>University of Franche-ComtÃ©</v>
          </cell>
          <cell r="C2017" t="str">
            <v>France</v>
          </cell>
          <cell r="D2017">
            <v>39</v>
          </cell>
          <cell r="E2017">
            <v>302</v>
          </cell>
          <cell r="F2017">
            <v>567</v>
          </cell>
          <cell r="G2017">
            <v>218</v>
          </cell>
          <cell r="H2017">
            <v>743</v>
          </cell>
          <cell r="I2017">
            <v>814</v>
          </cell>
          <cell r="J2017">
            <v>511</v>
          </cell>
          <cell r="K2017">
            <v>770</v>
          </cell>
          <cell r="L2017">
            <v>583</v>
          </cell>
          <cell r="M2017">
            <v>44.22</v>
          </cell>
          <cell r="N2017">
            <v>2015</v>
          </cell>
          <cell r="O2017">
            <v>816</v>
          </cell>
          <cell r="P2017" t="e">
            <v>#N/A</v>
          </cell>
        </row>
        <row r="2018">
          <cell r="B2018" t="str">
            <v>University of Sassari</v>
          </cell>
          <cell r="C2018" t="str">
            <v>Italy</v>
          </cell>
          <cell r="D2018">
            <v>45</v>
          </cell>
          <cell r="E2018">
            <v>367</v>
          </cell>
          <cell r="F2018">
            <v>567</v>
          </cell>
          <cell r="G2018">
            <v>218</v>
          </cell>
          <cell r="H2018">
            <v>758</v>
          </cell>
          <cell r="I2018">
            <v>592</v>
          </cell>
          <cell r="J2018">
            <v>812</v>
          </cell>
          <cell r="K2018">
            <v>754</v>
          </cell>
          <cell r="L2018">
            <v>805</v>
          </cell>
          <cell r="M2018">
            <v>44.21</v>
          </cell>
          <cell r="N2018">
            <v>2015</v>
          </cell>
          <cell r="O2018">
            <v>817</v>
          </cell>
          <cell r="P2018" t="e">
            <v>#N/A</v>
          </cell>
        </row>
        <row r="2019">
          <cell r="B2019" t="str">
            <v>Chiang Mai University</v>
          </cell>
          <cell r="C2019" t="str">
            <v>Thailand</v>
          </cell>
          <cell r="D2019">
            <v>3</v>
          </cell>
          <cell r="E2019">
            <v>367</v>
          </cell>
          <cell r="F2019">
            <v>550</v>
          </cell>
          <cell r="G2019">
            <v>218</v>
          </cell>
          <cell r="H2019">
            <v>847</v>
          </cell>
          <cell r="I2019">
            <v>753</v>
          </cell>
          <cell r="J2019">
            <v>511</v>
          </cell>
          <cell r="K2019">
            <v>754</v>
          </cell>
          <cell r="L2019">
            <v>871</v>
          </cell>
          <cell r="M2019">
            <v>44.21</v>
          </cell>
          <cell r="N2019">
            <v>2015</v>
          </cell>
          <cell r="O2019">
            <v>818</v>
          </cell>
          <cell r="P2019">
            <v>17.8</v>
          </cell>
        </row>
        <row r="2020">
          <cell r="B2020" t="str">
            <v>Budapest University of Technology and Economics</v>
          </cell>
          <cell r="C2020" t="str">
            <v>Hungary</v>
          </cell>
          <cell r="D2020">
            <v>5</v>
          </cell>
          <cell r="E2020">
            <v>256</v>
          </cell>
          <cell r="F2020">
            <v>567</v>
          </cell>
          <cell r="G2020">
            <v>218</v>
          </cell>
          <cell r="H2020">
            <v>740</v>
          </cell>
          <cell r="I2020">
            <v>761</v>
          </cell>
          <cell r="J2020">
            <v>645</v>
          </cell>
          <cell r="K2020">
            <v>781</v>
          </cell>
          <cell r="L2020">
            <v>529</v>
          </cell>
          <cell r="M2020">
            <v>44.21</v>
          </cell>
          <cell r="N2020">
            <v>2015</v>
          </cell>
          <cell r="O2020">
            <v>819</v>
          </cell>
          <cell r="P2020">
            <v>17.100000000000001</v>
          </cell>
        </row>
        <row r="2021">
          <cell r="B2021" t="str">
            <v>University of Maribor</v>
          </cell>
          <cell r="C2021" t="str">
            <v>Slovenia</v>
          </cell>
          <cell r="D2021">
            <v>2</v>
          </cell>
          <cell r="E2021">
            <v>367</v>
          </cell>
          <cell r="F2021">
            <v>567</v>
          </cell>
          <cell r="G2021">
            <v>218</v>
          </cell>
          <cell r="H2021">
            <v>853</v>
          </cell>
          <cell r="I2021">
            <v>820</v>
          </cell>
          <cell r="J2021">
            <v>511</v>
          </cell>
          <cell r="K2021">
            <v>754</v>
          </cell>
          <cell r="L2021">
            <v>752</v>
          </cell>
          <cell r="M2021">
            <v>44.21</v>
          </cell>
          <cell r="N2021">
            <v>2015</v>
          </cell>
          <cell r="O2021">
            <v>820</v>
          </cell>
          <cell r="P2021">
            <v>17.100000000000001</v>
          </cell>
        </row>
        <row r="2022">
          <cell r="B2022" t="str">
            <v>University of Bradford</v>
          </cell>
          <cell r="C2022" t="str">
            <v>United Kingdom</v>
          </cell>
          <cell r="D2022">
            <v>60</v>
          </cell>
          <cell r="E2022">
            <v>367</v>
          </cell>
          <cell r="F2022">
            <v>287</v>
          </cell>
          <cell r="G2022">
            <v>218</v>
          </cell>
          <cell r="H2022">
            <v>859</v>
          </cell>
          <cell r="I2022">
            <v>772</v>
          </cell>
          <cell r="J2022">
            <v>812</v>
          </cell>
          <cell r="K2022">
            <v>886</v>
          </cell>
          <cell r="L2022">
            <v>567</v>
          </cell>
          <cell r="M2022">
            <v>44.21</v>
          </cell>
          <cell r="N2022">
            <v>2015</v>
          </cell>
          <cell r="O2022">
            <v>821</v>
          </cell>
          <cell r="P2022">
            <v>18.7</v>
          </cell>
        </row>
        <row r="2023">
          <cell r="B2023" t="str">
            <v>University of Perpignan Via Domitia</v>
          </cell>
          <cell r="C2023" t="str">
            <v>France</v>
          </cell>
          <cell r="D2023">
            <v>40</v>
          </cell>
          <cell r="E2023">
            <v>160</v>
          </cell>
          <cell r="F2023">
            <v>567</v>
          </cell>
          <cell r="G2023">
            <v>218</v>
          </cell>
          <cell r="H2023">
            <v>974</v>
          </cell>
          <cell r="I2023">
            <v>580</v>
          </cell>
          <cell r="J2023">
            <v>428</v>
          </cell>
          <cell r="K2023">
            <v>826</v>
          </cell>
          <cell r="L2023">
            <v>871</v>
          </cell>
          <cell r="M2023">
            <v>44.21</v>
          </cell>
          <cell r="N2023">
            <v>2015</v>
          </cell>
          <cell r="O2023">
            <v>822</v>
          </cell>
          <cell r="P2023" t="e">
            <v>#N/A</v>
          </cell>
        </row>
        <row r="2024">
          <cell r="B2024" t="str">
            <v>Florida Institute of Technology</v>
          </cell>
          <cell r="C2024" t="str">
            <v>USA</v>
          </cell>
          <cell r="D2024">
            <v>214</v>
          </cell>
          <cell r="E2024">
            <v>367</v>
          </cell>
          <cell r="F2024">
            <v>567</v>
          </cell>
          <cell r="G2024">
            <v>218</v>
          </cell>
          <cell r="H2024">
            <v>973</v>
          </cell>
          <cell r="I2024">
            <v>793</v>
          </cell>
          <cell r="J2024">
            <v>368</v>
          </cell>
          <cell r="K2024">
            <v>770</v>
          </cell>
          <cell r="L2024">
            <v>871</v>
          </cell>
          <cell r="M2024">
            <v>44.21</v>
          </cell>
          <cell r="N2024">
            <v>2015</v>
          </cell>
          <cell r="O2024">
            <v>823</v>
          </cell>
          <cell r="P2024">
            <v>16.2</v>
          </cell>
        </row>
        <row r="2025">
          <cell r="B2025" t="str">
            <v>University of Brighton</v>
          </cell>
          <cell r="C2025" t="str">
            <v>United Kingdom</v>
          </cell>
          <cell r="D2025">
            <v>61</v>
          </cell>
          <cell r="E2025">
            <v>367</v>
          </cell>
          <cell r="F2025">
            <v>567</v>
          </cell>
          <cell r="G2025">
            <v>218</v>
          </cell>
          <cell r="H2025">
            <v>854</v>
          </cell>
          <cell r="I2025">
            <v>829</v>
          </cell>
          <cell r="J2025">
            <v>812</v>
          </cell>
          <cell r="K2025">
            <v>754</v>
          </cell>
          <cell r="L2025">
            <v>766</v>
          </cell>
          <cell r="M2025">
            <v>44.21</v>
          </cell>
          <cell r="N2025">
            <v>2015</v>
          </cell>
          <cell r="O2025">
            <v>824</v>
          </cell>
          <cell r="P2025">
            <v>16.7</v>
          </cell>
        </row>
        <row r="2026">
          <cell r="B2026" t="str">
            <v>University of Massachusetts Boston</v>
          </cell>
          <cell r="C2026" t="str">
            <v>USA</v>
          </cell>
          <cell r="D2026">
            <v>215</v>
          </cell>
          <cell r="E2026">
            <v>367</v>
          </cell>
          <cell r="F2026">
            <v>429</v>
          </cell>
          <cell r="G2026">
            <v>218</v>
          </cell>
          <cell r="H2026">
            <v>846</v>
          </cell>
          <cell r="I2026">
            <v>698</v>
          </cell>
          <cell r="J2026">
            <v>428</v>
          </cell>
          <cell r="K2026">
            <v>796</v>
          </cell>
          <cell r="L2026">
            <v>824</v>
          </cell>
          <cell r="M2026">
            <v>44.21</v>
          </cell>
          <cell r="N2026">
            <v>2015</v>
          </cell>
          <cell r="O2026">
            <v>825</v>
          </cell>
          <cell r="P2026" t="e">
            <v>#N/A</v>
          </cell>
        </row>
        <row r="2027">
          <cell r="B2027" t="str">
            <v>Rio de Janeiro State University</v>
          </cell>
          <cell r="C2027" t="str">
            <v>Brazil</v>
          </cell>
          <cell r="D2027">
            <v>8</v>
          </cell>
          <cell r="E2027">
            <v>367</v>
          </cell>
          <cell r="F2027">
            <v>567</v>
          </cell>
          <cell r="G2027">
            <v>218</v>
          </cell>
          <cell r="H2027">
            <v>760</v>
          </cell>
          <cell r="I2027">
            <v>910</v>
          </cell>
          <cell r="J2027">
            <v>511</v>
          </cell>
          <cell r="K2027">
            <v>770</v>
          </cell>
          <cell r="L2027">
            <v>739</v>
          </cell>
          <cell r="M2027">
            <v>44.21</v>
          </cell>
          <cell r="N2027">
            <v>2015</v>
          </cell>
          <cell r="O2027">
            <v>826</v>
          </cell>
          <cell r="P2027" t="e">
            <v>#N/A</v>
          </cell>
        </row>
        <row r="2028">
          <cell r="B2028" t="str">
            <v>Nagoya Institute of Technology</v>
          </cell>
          <cell r="C2028" t="str">
            <v>Japan</v>
          </cell>
          <cell r="D2028">
            <v>60</v>
          </cell>
          <cell r="E2028">
            <v>367</v>
          </cell>
          <cell r="F2028">
            <v>504</v>
          </cell>
          <cell r="G2028">
            <v>218</v>
          </cell>
          <cell r="H2028">
            <v>825</v>
          </cell>
          <cell r="I2028">
            <v>958</v>
          </cell>
          <cell r="J2028">
            <v>645</v>
          </cell>
          <cell r="K2028">
            <v>921</v>
          </cell>
          <cell r="L2028">
            <v>229</v>
          </cell>
          <cell r="M2028">
            <v>44.2</v>
          </cell>
          <cell r="N2028">
            <v>2015</v>
          </cell>
          <cell r="O2028">
            <v>827</v>
          </cell>
          <cell r="P2028" t="e">
            <v>#N/A</v>
          </cell>
        </row>
        <row r="2029">
          <cell r="B2029" t="str">
            <v>Jiangnan University</v>
          </cell>
          <cell r="C2029" t="str">
            <v>China</v>
          </cell>
          <cell r="D2029">
            <v>50</v>
          </cell>
          <cell r="E2029">
            <v>367</v>
          </cell>
          <cell r="F2029">
            <v>567</v>
          </cell>
          <cell r="G2029">
            <v>218</v>
          </cell>
          <cell r="H2029">
            <v>783</v>
          </cell>
          <cell r="I2029">
            <v>912</v>
          </cell>
          <cell r="J2029">
            <v>812</v>
          </cell>
          <cell r="K2029">
            <v>770</v>
          </cell>
          <cell r="L2029">
            <v>628</v>
          </cell>
          <cell r="M2029">
            <v>44.2</v>
          </cell>
          <cell r="N2029">
            <v>2015</v>
          </cell>
          <cell r="O2029">
            <v>828</v>
          </cell>
          <cell r="P2029" t="e">
            <v>#N/A</v>
          </cell>
        </row>
        <row r="2030">
          <cell r="B2030" t="str">
            <v>Murdoch University</v>
          </cell>
          <cell r="C2030" t="str">
            <v>Australia</v>
          </cell>
          <cell r="D2030">
            <v>24</v>
          </cell>
          <cell r="E2030">
            <v>367</v>
          </cell>
          <cell r="F2030">
            <v>527</v>
          </cell>
          <cell r="G2030">
            <v>218</v>
          </cell>
          <cell r="H2030">
            <v>827</v>
          </cell>
          <cell r="I2030">
            <v>501</v>
          </cell>
          <cell r="J2030">
            <v>645</v>
          </cell>
          <cell r="K2030">
            <v>770</v>
          </cell>
          <cell r="L2030">
            <v>770</v>
          </cell>
          <cell r="M2030">
            <v>44.2</v>
          </cell>
          <cell r="N2030">
            <v>2015</v>
          </cell>
          <cell r="O2030">
            <v>829</v>
          </cell>
          <cell r="P2030">
            <v>19.399999999999999</v>
          </cell>
        </row>
        <row r="2031">
          <cell r="B2031" t="str">
            <v>University of Wales, Trinity Saint David</v>
          </cell>
          <cell r="C2031" t="str">
            <v>United Kingdom</v>
          </cell>
          <cell r="D2031">
            <v>62</v>
          </cell>
          <cell r="E2031">
            <v>367</v>
          </cell>
          <cell r="F2031">
            <v>567</v>
          </cell>
          <cell r="G2031">
            <v>218</v>
          </cell>
          <cell r="H2031">
            <v>1000</v>
          </cell>
          <cell r="I2031">
            <v>927</v>
          </cell>
          <cell r="J2031">
            <v>645</v>
          </cell>
          <cell r="K2031">
            <v>754</v>
          </cell>
          <cell r="L2031">
            <v>871</v>
          </cell>
          <cell r="M2031">
            <v>44.2</v>
          </cell>
          <cell r="N2031">
            <v>2015</v>
          </cell>
          <cell r="O2031">
            <v>830</v>
          </cell>
          <cell r="P2031" t="e">
            <v>#N/A</v>
          </cell>
        </row>
        <row r="2032">
          <cell r="B2032" t="str">
            <v>University of Rouen</v>
          </cell>
          <cell r="C2032" t="str">
            <v>France</v>
          </cell>
          <cell r="D2032">
            <v>41</v>
          </cell>
          <cell r="E2032">
            <v>362</v>
          </cell>
          <cell r="F2032">
            <v>567</v>
          </cell>
          <cell r="G2032">
            <v>218</v>
          </cell>
          <cell r="H2032">
            <v>700</v>
          </cell>
          <cell r="I2032">
            <v>722</v>
          </cell>
          <cell r="J2032">
            <v>812</v>
          </cell>
          <cell r="K2032">
            <v>809</v>
          </cell>
          <cell r="L2032">
            <v>414</v>
          </cell>
          <cell r="M2032">
            <v>44.2</v>
          </cell>
          <cell r="N2032">
            <v>2015</v>
          </cell>
          <cell r="O2032">
            <v>831</v>
          </cell>
          <cell r="P2032" t="e">
            <v>#N/A</v>
          </cell>
        </row>
        <row r="2033">
          <cell r="B2033" t="str">
            <v>The Catholic University of America</v>
          </cell>
          <cell r="C2033" t="str">
            <v>USA</v>
          </cell>
          <cell r="D2033">
            <v>216</v>
          </cell>
          <cell r="E2033">
            <v>367</v>
          </cell>
          <cell r="F2033">
            <v>407</v>
          </cell>
          <cell r="G2033">
            <v>218</v>
          </cell>
          <cell r="H2033">
            <v>947</v>
          </cell>
          <cell r="I2033">
            <v>596</v>
          </cell>
          <cell r="J2033">
            <v>511</v>
          </cell>
          <cell r="K2033">
            <v>809</v>
          </cell>
          <cell r="L2033">
            <v>674</v>
          </cell>
          <cell r="M2033">
            <v>44.2</v>
          </cell>
          <cell r="N2033">
            <v>2015</v>
          </cell>
          <cell r="O2033">
            <v>832</v>
          </cell>
          <cell r="P2033" t="e">
            <v>#N/A</v>
          </cell>
        </row>
        <row r="2034">
          <cell r="B2034" t="str">
            <v>Wright State University - Dayton</v>
          </cell>
          <cell r="C2034" t="str">
            <v>USA</v>
          </cell>
          <cell r="D2034">
            <v>217</v>
          </cell>
          <cell r="E2034">
            <v>367</v>
          </cell>
          <cell r="F2034">
            <v>567</v>
          </cell>
          <cell r="G2034">
            <v>218</v>
          </cell>
          <cell r="H2034">
            <v>810</v>
          </cell>
          <cell r="I2034">
            <v>805</v>
          </cell>
          <cell r="J2034">
            <v>812</v>
          </cell>
          <cell r="K2034">
            <v>770</v>
          </cell>
          <cell r="L2034">
            <v>824</v>
          </cell>
          <cell r="M2034">
            <v>44.2</v>
          </cell>
          <cell r="N2034">
            <v>2015</v>
          </cell>
          <cell r="O2034">
            <v>833</v>
          </cell>
          <cell r="P2034" t="e">
            <v>#N/A</v>
          </cell>
        </row>
        <row r="2035">
          <cell r="B2035" t="str">
            <v>Dankook University</v>
          </cell>
          <cell r="C2035" t="str">
            <v>South Korea</v>
          </cell>
          <cell r="D2035">
            <v>29</v>
          </cell>
          <cell r="E2035">
            <v>367</v>
          </cell>
          <cell r="F2035">
            <v>567</v>
          </cell>
          <cell r="G2035">
            <v>218</v>
          </cell>
          <cell r="H2035">
            <v>888</v>
          </cell>
          <cell r="I2035">
            <v>948</v>
          </cell>
          <cell r="J2035">
            <v>645</v>
          </cell>
          <cell r="K2035">
            <v>896</v>
          </cell>
          <cell r="L2035">
            <v>241</v>
          </cell>
          <cell r="M2035">
            <v>44.2</v>
          </cell>
          <cell r="N2035">
            <v>2015</v>
          </cell>
          <cell r="O2035">
            <v>834</v>
          </cell>
          <cell r="P2035" t="e">
            <v>#N/A</v>
          </cell>
        </row>
        <row r="2036">
          <cell r="B2036" t="str">
            <v>Clarkson University</v>
          </cell>
          <cell r="C2036" t="str">
            <v>USA</v>
          </cell>
          <cell r="D2036">
            <v>218</v>
          </cell>
          <cell r="E2036">
            <v>367</v>
          </cell>
          <cell r="F2036">
            <v>390</v>
          </cell>
          <cell r="G2036">
            <v>218</v>
          </cell>
          <cell r="H2036">
            <v>981</v>
          </cell>
          <cell r="I2036">
            <v>974</v>
          </cell>
          <cell r="J2036">
            <v>812</v>
          </cell>
          <cell r="K2036">
            <v>809</v>
          </cell>
          <cell r="L2036">
            <v>685</v>
          </cell>
          <cell r="M2036">
            <v>44.19</v>
          </cell>
          <cell r="N2036">
            <v>2015</v>
          </cell>
          <cell r="O2036">
            <v>835</v>
          </cell>
          <cell r="P2036" t="e">
            <v>#N/A</v>
          </cell>
        </row>
        <row r="2037">
          <cell r="B2037" t="str">
            <v>University of Regina</v>
          </cell>
          <cell r="C2037" t="str">
            <v>Canada</v>
          </cell>
          <cell r="D2037">
            <v>27</v>
          </cell>
          <cell r="E2037">
            <v>367</v>
          </cell>
          <cell r="F2037">
            <v>567</v>
          </cell>
          <cell r="G2037">
            <v>218</v>
          </cell>
          <cell r="H2037">
            <v>851</v>
          </cell>
          <cell r="I2037">
            <v>737</v>
          </cell>
          <cell r="J2037">
            <v>645</v>
          </cell>
          <cell r="K2037">
            <v>781</v>
          </cell>
          <cell r="L2037">
            <v>573</v>
          </cell>
          <cell r="M2037">
            <v>44.19</v>
          </cell>
          <cell r="N2037">
            <v>2015</v>
          </cell>
          <cell r="O2037">
            <v>836</v>
          </cell>
          <cell r="P2037">
            <v>15.6</v>
          </cell>
        </row>
        <row r="2038">
          <cell r="B2038" t="str">
            <v>BoÄŸaziÃ§i University</v>
          </cell>
          <cell r="C2038" t="str">
            <v>Turkey</v>
          </cell>
          <cell r="D2038">
            <v>7</v>
          </cell>
          <cell r="E2038">
            <v>367</v>
          </cell>
          <cell r="F2038">
            <v>519</v>
          </cell>
          <cell r="G2038">
            <v>218</v>
          </cell>
          <cell r="H2038">
            <v>843</v>
          </cell>
          <cell r="I2038">
            <v>766</v>
          </cell>
          <cell r="J2038">
            <v>511</v>
          </cell>
          <cell r="K2038">
            <v>781</v>
          </cell>
          <cell r="L2038">
            <v>824</v>
          </cell>
          <cell r="M2038">
            <v>44.19</v>
          </cell>
          <cell r="N2038">
            <v>2015</v>
          </cell>
          <cell r="O2038">
            <v>837</v>
          </cell>
          <cell r="P2038">
            <v>24.5</v>
          </cell>
        </row>
        <row r="2039">
          <cell r="B2039" t="str">
            <v>KÅchi University</v>
          </cell>
          <cell r="C2039" t="str">
            <v>Japan</v>
          </cell>
          <cell r="D2039">
            <v>61</v>
          </cell>
          <cell r="E2039">
            <v>367</v>
          </cell>
          <cell r="F2039">
            <v>567</v>
          </cell>
          <cell r="G2039">
            <v>218</v>
          </cell>
          <cell r="H2039">
            <v>942</v>
          </cell>
          <cell r="I2039">
            <v>788</v>
          </cell>
          <cell r="J2039">
            <v>812</v>
          </cell>
          <cell r="K2039">
            <v>781</v>
          </cell>
          <cell r="L2039">
            <v>536</v>
          </cell>
          <cell r="M2039">
            <v>44.19</v>
          </cell>
          <cell r="N2039">
            <v>2015</v>
          </cell>
          <cell r="O2039">
            <v>838</v>
          </cell>
          <cell r="P2039" t="e">
            <v>#N/A</v>
          </cell>
        </row>
        <row r="2040">
          <cell r="B2040" t="str">
            <v>University of Miyazaki</v>
          </cell>
          <cell r="C2040" t="str">
            <v>Japan</v>
          </cell>
          <cell r="D2040">
            <v>62</v>
          </cell>
          <cell r="E2040">
            <v>290</v>
          </cell>
          <cell r="F2040">
            <v>567</v>
          </cell>
          <cell r="G2040">
            <v>218</v>
          </cell>
          <cell r="H2040">
            <v>952</v>
          </cell>
          <cell r="I2040">
            <v>692</v>
          </cell>
          <cell r="J2040">
            <v>645</v>
          </cell>
          <cell r="K2040">
            <v>826</v>
          </cell>
          <cell r="L2040">
            <v>393</v>
          </cell>
          <cell r="M2040">
            <v>44.19</v>
          </cell>
          <cell r="N2040">
            <v>2015</v>
          </cell>
          <cell r="O2040">
            <v>839</v>
          </cell>
          <cell r="P2040" t="e">
            <v>#N/A</v>
          </cell>
        </row>
        <row r="2041">
          <cell r="B2041" t="str">
            <v>University of Electro-Communications</v>
          </cell>
          <cell r="C2041" t="str">
            <v>Japan</v>
          </cell>
          <cell r="D2041">
            <v>63</v>
          </cell>
          <cell r="E2041">
            <v>161</v>
          </cell>
          <cell r="F2041">
            <v>567</v>
          </cell>
          <cell r="G2041">
            <v>218</v>
          </cell>
          <cell r="H2041">
            <v>857</v>
          </cell>
          <cell r="I2041">
            <v>833</v>
          </cell>
          <cell r="J2041">
            <v>645</v>
          </cell>
          <cell r="K2041">
            <v>906</v>
          </cell>
          <cell r="L2041">
            <v>332</v>
          </cell>
          <cell r="M2041">
            <v>44.19</v>
          </cell>
          <cell r="N2041">
            <v>2015</v>
          </cell>
          <cell r="O2041">
            <v>840</v>
          </cell>
          <cell r="P2041" t="e">
            <v>#N/A</v>
          </cell>
        </row>
        <row r="2042">
          <cell r="B2042" t="str">
            <v>University of Valladolid</v>
          </cell>
          <cell r="C2042" t="str">
            <v>Spain</v>
          </cell>
          <cell r="D2042">
            <v>31</v>
          </cell>
          <cell r="E2042">
            <v>367</v>
          </cell>
          <cell r="F2042">
            <v>454</v>
          </cell>
          <cell r="G2042">
            <v>218</v>
          </cell>
          <cell r="H2042">
            <v>691</v>
          </cell>
          <cell r="I2042">
            <v>888</v>
          </cell>
          <cell r="J2042">
            <v>812</v>
          </cell>
          <cell r="K2042">
            <v>850</v>
          </cell>
          <cell r="L2042">
            <v>407</v>
          </cell>
          <cell r="M2042">
            <v>44.19</v>
          </cell>
          <cell r="N2042">
            <v>2015</v>
          </cell>
          <cell r="O2042">
            <v>841</v>
          </cell>
          <cell r="P2042" t="e">
            <v>#N/A</v>
          </cell>
        </row>
        <row r="2043">
          <cell r="B2043" t="str">
            <v>Bilkent University</v>
          </cell>
          <cell r="C2043" t="str">
            <v>Turkey</v>
          </cell>
          <cell r="D2043">
            <v>8</v>
          </cell>
          <cell r="E2043">
            <v>367</v>
          </cell>
          <cell r="F2043">
            <v>475</v>
          </cell>
          <cell r="G2043">
            <v>218</v>
          </cell>
          <cell r="H2043">
            <v>781</v>
          </cell>
          <cell r="I2043">
            <v>789</v>
          </cell>
          <cell r="J2043">
            <v>812</v>
          </cell>
          <cell r="K2043">
            <v>796</v>
          </cell>
          <cell r="L2043">
            <v>871</v>
          </cell>
          <cell r="M2043">
            <v>44.19</v>
          </cell>
          <cell r="N2043">
            <v>2015</v>
          </cell>
          <cell r="O2043">
            <v>842</v>
          </cell>
          <cell r="P2043">
            <v>34.299999999999997</v>
          </cell>
        </row>
        <row r="2044">
          <cell r="B2044" t="str">
            <v>Dublin City University</v>
          </cell>
          <cell r="C2044" t="str">
            <v>Ireland</v>
          </cell>
          <cell r="D2044">
            <v>6</v>
          </cell>
          <cell r="E2044">
            <v>367</v>
          </cell>
          <cell r="F2044">
            <v>567</v>
          </cell>
          <cell r="G2044">
            <v>218</v>
          </cell>
          <cell r="H2044">
            <v>803</v>
          </cell>
          <cell r="I2044">
            <v>933</v>
          </cell>
          <cell r="J2044">
            <v>511</v>
          </cell>
          <cell r="K2044">
            <v>850</v>
          </cell>
          <cell r="L2044">
            <v>347</v>
          </cell>
          <cell r="M2044">
            <v>44.19</v>
          </cell>
          <cell r="N2044">
            <v>2015</v>
          </cell>
          <cell r="O2044">
            <v>843</v>
          </cell>
          <cell r="P2044">
            <v>26.1</v>
          </cell>
        </row>
        <row r="2045">
          <cell r="B2045" t="str">
            <v>University of South Alabama</v>
          </cell>
          <cell r="C2045" t="str">
            <v>USA</v>
          </cell>
          <cell r="D2045">
            <v>219</v>
          </cell>
          <cell r="E2045">
            <v>367</v>
          </cell>
          <cell r="F2045">
            <v>567</v>
          </cell>
          <cell r="G2045">
            <v>218</v>
          </cell>
          <cell r="H2045">
            <v>979</v>
          </cell>
          <cell r="I2045">
            <v>784</v>
          </cell>
          <cell r="J2045">
            <v>812</v>
          </cell>
          <cell r="K2045">
            <v>796</v>
          </cell>
          <cell r="L2045">
            <v>464</v>
          </cell>
          <cell r="M2045">
            <v>44.19</v>
          </cell>
          <cell r="N2045">
            <v>2015</v>
          </cell>
          <cell r="O2045">
            <v>844</v>
          </cell>
          <cell r="P2045" t="e">
            <v>#N/A</v>
          </cell>
        </row>
        <row r="2046">
          <cell r="B2046" t="str">
            <v>Sofia University</v>
          </cell>
          <cell r="C2046" t="str">
            <v>Bulgaria</v>
          </cell>
          <cell r="D2046">
            <v>1</v>
          </cell>
          <cell r="E2046">
            <v>254</v>
          </cell>
          <cell r="F2046">
            <v>567</v>
          </cell>
          <cell r="G2046">
            <v>218</v>
          </cell>
          <cell r="H2046">
            <v>814</v>
          </cell>
          <cell r="I2046">
            <v>881</v>
          </cell>
          <cell r="J2046">
            <v>645</v>
          </cell>
          <cell r="K2046">
            <v>796</v>
          </cell>
          <cell r="L2046">
            <v>871</v>
          </cell>
          <cell r="M2046">
            <v>44.19</v>
          </cell>
          <cell r="N2046">
            <v>2015</v>
          </cell>
          <cell r="O2046">
            <v>845</v>
          </cell>
          <cell r="P2046" t="e">
            <v>#N/A</v>
          </cell>
        </row>
        <row r="2047">
          <cell r="B2047" t="str">
            <v>Ocean University of China</v>
          </cell>
          <cell r="C2047" t="str">
            <v>China</v>
          </cell>
          <cell r="D2047">
            <v>51</v>
          </cell>
          <cell r="E2047">
            <v>367</v>
          </cell>
          <cell r="F2047">
            <v>567</v>
          </cell>
          <cell r="G2047">
            <v>218</v>
          </cell>
          <cell r="H2047">
            <v>648</v>
          </cell>
          <cell r="I2047">
            <v>735</v>
          </cell>
          <cell r="J2047">
            <v>812</v>
          </cell>
          <cell r="K2047">
            <v>809</v>
          </cell>
          <cell r="L2047">
            <v>541</v>
          </cell>
          <cell r="M2047">
            <v>44.19</v>
          </cell>
          <cell r="N2047">
            <v>2015</v>
          </cell>
          <cell r="O2047">
            <v>846</v>
          </cell>
          <cell r="P2047">
            <v>18.899999999999999</v>
          </cell>
        </row>
        <row r="2048">
          <cell r="B2048" t="str">
            <v>King Fahd University of Petroleum and Minerals</v>
          </cell>
          <cell r="C2048" t="str">
            <v>Saudi Arabia</v>
          </cell>
          <cell r="D2048">
            <v>3</v>
          </cell>
          <cell r="E2048">
            <v>367</v>
          </cell>
          <cell r="F2048">
            <v>234</v>
          </cell>
          <cell r="G2048">
            <v>218</v>
          </cell>
          <cell r="H2048">
            <v>934</v>
          </cell>
          <cell r="I2048">
            <v>950</v>
          </cell>
          <cell r="J2048">
            <v>812</v>
          </cell>
          <cell r="K2048">
            <v>984</v>
          </cell>
          <cell r="L2048">
            <v>871</v>
          </cell>
          <cell r="M2048">
            <v>44.19</v>
          </cell>
          <cell r="N2048">
            <v>2015</v>
          </cell>
          <cell r="O2048">
            <v>847</v>
          </cell>
          <cell r="P2048">
            <v>25.4</v>
          </cell>
        </row>
        <row r="2049">
          <cell r="B2049" t="str">
            <v>University of Veterinary Medicine Vienna</v>
          </cell>
          <cell r="C2049" t="str">
            <v>Austria</v>
          </cell>
          <cell r="D2049">
            <v>12</v>
          </cell>
          <cell r="E2049">
            <v>367</v>
          </cell>
          <cell r="F2049">
            <v>567</v>
          </cell>
          <cell r="G2049">
            <v>184</v>
          </cell>
          <cell r="H2049">
            <v>872</v>
          </cell>
          <cell r="I2049">
            <v>687</v>
          </cell>
          <cell r="J2049">
            <v>511</v>
          </cell>
          <cell r="K2049">
            <v>809</v>
          </cell>
          <cell r="L2049">
            <v>654</v>
          </cell>
          <cell r="M2049">
            <v>44.19</v>
          </cell>
          <cell r="N2049">
            <v>2015</v>
          </cell>
          <cell r="O2049">
            <v>848</v>
          </cell>
          <cell r="P2049" t="e">
            <v>#N/A</v>
          </cell>
        </row>
        <row r="2050">
          <cell r="B2050" t="str">
            <v>University of AlcalÃ¡</v>
          </cell>
          <cell r="C2050" t="str">
            <v>Spain</v>
          </cell>
          <cell r="D2050">
            <v>32</v>
          </cell>
          <cell r="E2050">
            <v>367</v>
          </cell>
          <cell r="F2050">
            <v>567</v>
          </cell>
          <cell r="G2050">
            <v>218</v>
          </cell>
          <cell r="H2050">
            <v>746</v>
          </cell>
          <cell r="I2050">
            <v>657</v>
          </cell>
          <cell r="J2050">
            <v>812</v>
          </cell>
          <cell r="K2050">
            <v>796</v>
          </cell>
          <cell r="L2050">
            <v>608</v>
          </cell>
          <cell r="M2050">
            <v>44.18</v>
          </cell>
          <cell r="N2050">
            <v>2015</v>
          </cell>
          <cell r="O2050">
            <v>849</v>
          </cell>
          <cell r="P2050">
            <v>17.600000000000001</v>
          </cell>
        </row>
        <row r="2051">
          <cell r="B2051" t="str">
            <v>Hunter College</v>
          </cell>
          <cell r="C2051" t="str">
            <v>USA</v>
          </cell>
          <cell r="D2051">
            <v>220</v>
          </cell>
          <cell r="E2051">
            <v>261</v>
          </cell>
          <cell r="F2051">
            <v>438</v>
          </cell>
          <cell r="G2051">
            <v>218</v>
          </cell>
          <cell r="H2051">
            <v>822</v>
          </cell>
          <cell r="I2051">
            <v>610</v>
          </cell>
          <cell r="J2051">
            <v>812</v>
          </cell>
          <cell r="K2051">
            <v>826</v>
          </cell>
          <cell r="L2051">
            <v>805</v>
          </cell>
          <cell r="M2051">
            <v>44.18</v>
          </cell>
          <cell r="N2051">
            <v>2015</v>
          </cell>
          <cell r="O2051">
            <v>850</v>
          </cell>
          <cell r="P2051" t="e">
            <v>#N/A</v>
          </cell>
        </row>
        <row r="2052">
          <cell r="B2052" t="str">
            <v>All India Institute of Medical Sciences, New Delhi</v>
          </cell>
          <cell r="C2052" t="str">
            <v>India</v>
          </cell>
          <cell r="D2052">
            <v>13</v>
          </cell>
          <cell r="E2052">
            <v>367</v>
          </cell>
          <cell r="F2052">
            <v>567</v>
          </cell>
          <cell r="G2052">
            <v>218</v>
          </cell>
          <cell r="H2052">
            <v>887</v>
          </cell>
          <cell r="I2052">
            <v>886</v>
          </cell>
          <cell r="J2052">
            <v>645</v>
          </cell>
          <cell r="K2052">
            <v>781</v>
          </cell>
          <cell r="L2052">
            <v>839</v>
          </cell>
          <cell r="M2052">
            <v>44.18</v>
          </cell>
          <cell r="N2052">
            <v>2015</v>
          </cell>
          <cell r="O2052">
            <v>851</v>
          </cell>
          <cell r="P2052" t="e">
            <v>#N/A</v>
          </cell>
        </row>
        <row r="2053">
          <cell r="B2053" t="str">
            <v>Gazi University</v>
          </cell>
          <cell r="C2053" t="str">
            <v>Turkey</v>
          </cell>
          <cell r="D2053">
            <v>9</v>
          </cell>
          <cell r="E2053">
            <v>367</v>
          </cell>
          <cell r="F2053">
            <v>468</v>
          </cell>
          <cell r="G2053">
            <v>218</v>
          </cell>
          <cell r="H2053">
            <v>750</v>
          </cell>
          <cell r="I2053">
            <v>942</v>
          </cell>
          <cell r="J2053">
            <v>645</v>
          </cell>
          <cell r="K2053">
            <v>809</v>
          </cell>
          <cell r="L2053">
            <v>871</v>
          </cell>
          <cell r="M2053">
            <v>44.18</v>
          </cell>
          <cell r="N2053">
            <v>2015</v>
          </cell>
          <cell r="O2053">
            <v>852</v>
          </cell>
          <cell r="P2053" t="e">
            <v>#N/A</v>
          </cell>
        </row>
        <row r="2054">
          <cell r="B2054" t="str">
            <v>National University of Ireland, Maynooth</v>
          </cell>
          <cell r="C2054" t="str">
            <v>Ireland</v>
          </cell>
          <cell r="D2054">
            <v>7</v>
          </cell>
          <cell r="E2054">
            <v>244</v>
          </cell>
          <cell r="F2054">
            <v>567</v>
          </cell>
          <cell r="G2054">
            <v>218</v>
          </cell>
          <cell r="H2054">
            <v>992</v>
          </cell>
          <cell r="I2054">
            <v>710</v>
          </cell>
          <cell r="J2054">
            <v>812</v>
          </cell>
          <cell r="K2054">
            <v>809</v>
          </cell>
          <cell r="L2054">
            <v>561</v>
          </cell>
          <cell r="M2054">
            <v>44.18</v>
          </cell>
          <cell r="N2054">
            <v>2015</v>
          </cell>
          <cell r="O2054">
            <v>853</v>
          </cell>
          <cell r="P2054">
            <v>22.9</v>
          </cell>
        </row>
        <row r="2055">
          <cell r="B2055" t="str">
            <v>Tehran University of Medical Sciences</v>
          </cell>
          <cell r="C2055" t="str">
            <v>Iran</v>
          </cell>
          <cell r="D2055">
            <v>3</v>
          </cell>
          <cell r="E2055">
            <v>367</v>
          </cell>
          <cell r="F2055">
            <v>567</v>
          </cell>
          <cell r="G2055">
            <v>218</v>
          </cell>
          <cell r="H2055">
            <v>771</v>
          </cell>
          <cell r="I2055">
            <v>899</v>
          </cell>
          <cell r="J2055">
            <v>812</v>
          </cell>
          <cell r="K2055">
            <v>796</v>
          </cell>
          <cell r="L2055">
            <v>871</v>
          </cell>
          <cell r="M2055">
            <v>44.18</v>
          </cell>
          <cell r="N2055">
            <v>2015</v>
          </cell>
          <cell r="O2055">
            <v>854</v>
          </cell>
          <cell r="P2055">
            <v>51.8</v>
          </cell>
        </row>
        <row r="2056">
          <cell r="B2056" t="str">
            <v>University of the Ryukyus</v>
          </cell>
          <cell r="C2056" t="str">
            <v>Japan</v>
          </cell>
          <cell r="D2056">
            <v>64</v>
          </cell>
          <cell r="E2056">
            <v>367</v>
          </cell>
          <cell r="F2056">
            <v>567</v>
          </cell>
          <cell r="G2056">
            <v>218</v>
          </cell>
          <cell r="H2056">
            <v>922</v>
          </cell>
          <cell r="I2056">
            <v>663</v>
          </cell>
          <cell r="J2056">
            <v>645</v>
          </cell>
          <cell r="K2056">
            <v>796</v>
          </cell>
          <cell r="L2056">
            <v>618</v>
          </cell>
          <cell r="M2056">
            <v>44.18</v>
          </cell>
          <cell r="N2056">
            <v>2015</v>
          </cell>
          <cell r="O2056">
            <v>855</v>
          </cell>
          <cell r="P2056" t="e">
            <v>#N/A</v>
          </cell>
        </row>
        <row r="2057">
          <cell r="B2057" t="str">
            <v>Florida Atlantic University</v>
          </cell>
          <cell r="C2057" t="str">
            <v>USA</v>
          </cell>
          <cell r="D2057">
            <v>221</v>
          </cell>
          <cell r="E2057">
            <v>367</v>
          </cell>
          <cell r="F2057">
            <v>567</v>
          </cell>
          <cell r="G2057">
            <v>218</v>
          </cell>
          <cell r="H2057">
            <v>855</v>
          </cell>
          <cell r="I2057">
            <v>741</v>
          </cell>
          <cell r="J2057">
            <v>812</v>
          </cell>
          <cell r="K2057">
            <v>796</v>
          </cell>
          <cell r="L2057">
            <v>714</v>
          </cell>
          <cell r="M2057">
            <v>44.17</v>
          </cell>
          <cell r="N2057">
            <v>2015</v>
          </cell>
          <cell r="O2057">
            <v>856</v>
          </cell>
          <cell r="P2057" t="e">
            <v>#N/A</v>
          </cell>
        </row>
        <row r="2058">
          <cell r="B2058" t="str">
            <v>University of Siegen</v>
          </cell>
          <cell r="C2058" t="str">
            <v>Germany</v>
          </cell>
          <cell r="D2058">
            <v>53</v>
          </cell>
          <cell r="E2058">
            <v>367</v>
          </cell>
          <cell r="F2058">
            <v>532</v>
          </cell>
          <cell r="G2058">
            <v>218</v>
          </cell>
          <cell r="H2058">
            <v>870</v>
          </cell>
          <cell r="I2058">
            <v>732</v>
          </cell>
          <cell r="J2058">
            <v>428</v>
          </cell>
          <cell r="K2058">
            <v>809</v>
          </cell>
          <cell r="L2058">
            <v>769</v>
          </cell>
          <cell r="M2058">
            <v>44.17</v>
          </cell>
          <cell r="N2058">
            <v>2015</v>
          </cell>
          <cell r="O2058">
            <v>857</v>
          </cell>
          <cell r="P2058" t="e">
            <v>#N/A</v>
          </cell>
        </row>
        <row r="2059">
          <cell r="B2059" t="str">
            <v>Huazhong Agricultural University</v>
          </cell>
          <cell r="C2059" t="str">
            <v>China</v>
          </cell>
          <cell r="D2059">
            <v>52</v>
          </cell>
          <cell r="E2059">
            <v>367</v>
          </cell>
          <cell r="F2059">
            <v>567</v>
          </cell>
          <cell r="G2059">
            <v>218</v>
          </cell>
          <cell r="H2059">
            <v>651</v>
          </cell>
          <cell r="I2059">
            <v>535</v>
          </cell>
          <cell r="J2059">
            <v>645</v>
          </cell>
          <cell r="K2059">
            <v>837</v>
          </cell>
          <cell r="L2059">
            <v>494</v>
          </cell>
          <cell r="M2059">
            <v>44.17</v>
          </cell>
          <cell r="N2059">
            <v>2015</v>
          </cell>
          <cell r="O2059">
            <v>858</v>
          </cell>
          <cell r="P2059" t="e">
            <v>#N/A</v>
          </cell>
        </row>
        <row r="2060">
          <cell r="B2060" t="str">
            <v>University of Angers</v>
          </cell>
          <cell r="C2060" t="str">
            <v>France</v>
          </cell>
          <cell r="D2060">
            <v>42</v>
          </cell>
          <cell r="E2060">
            <v>367</v>
          </cell>
          <cell r="F2060">
            <v>567</v>
          </cell>
          <cell r="G2060">
            <v>218</v>
          </cell>
          <cell r="H2060">
            <v>840</v>
          </cell>
          <cell r="I2060">
            <v>801</v>
          </cell>
          <cell r="J2060">
            <v>812</v>
          </cell>
          <cell r="K2060">
            <v>809</v>
          </cell>
          <cell r="L2060">
            <v>550</v>
          </cell>
          <cell r="M2060">
            <v>44.17</v>
          </cell>
          <cell r="N2060">
            <v>2015</v>
          </cell>
          <cell r="O2060">
            <v>859</v>
          </cell>
          <cell r="P2060" t="e">
            <v>#N/A</v>
          </cell>
        </row>
        <row r="2061">
          <cell r="B2061" t="str">
            <v>University of Seoul</v>
          </cell>
          <cell r="C2061" t="str">
            <v>South Korea</v>
          </cell>
          <cell r="D2061">
            <v>30</v>
          </cell>
          <cell r="E2061">
            <v>367</v>
          </cell>
          <cell r="F2061">
            <v>567</v>
          </cell>
          <cell r="G2061">
            <v>218</v>
          </cell>
          <cell r="H2061">
            <v>989</v>
          </cell>
          <cell r="I2061">
            <v>907</v>
          </cell>
          <cell r="J2061">
            <v>645</v>
          </cell>
          <cell r="K2061">
            <v>921</v>
          </cell>
          <cell r="L2061">
            <v>259</v>
          </cell>
          <cell r="M2061">
            <v>44.17</v>
          </cell>
          <cell r="N2061">
            <v>2015</v>
          </cell>
          <cell r="O2061">
            <v>860</v>
          </cell>
          <cell r="P2061">
            <v>21</v>
          </cell>
        </row>
        <row r="2062">
          <cell r="B2062" t="str">
            <v>Brock University</v>
          </cell>
          <cell r="C2062" t="str">
            <v>Canada</v>
          </cell>
          <cell r="D2062">
            <v>28</v>
          </cell>
          <cell r="E2062">
            <v>367</v>
          </cell>
          <cell r="F2062">
            <v>567</v>
          </cell>
          <cell r="G2062">
            <v>218</v>
          </cell>
          <cell r="H2062">
            <v>877</v>
          </cell>
          <cell r="I2062">
            <v>727</v>
          </cell>
          <cell r="J2062">
            <v>511</v>
          </cell>
          <cell r="K2062">
            <v>809</v>
          </cell>
          <cell r="L2062">
            <v>638</v>
          </cell>
          <cell r="M2062">
            <v>44.17</v>
          </cell>
          <cell r="N2062">
            <v>2015</v>
          </cell>
          <cell r="O2062">
            <v>861</v>
          </cell>
          <cell r="P2062" t="e">
            <v>#N/A</v>
          </cell>
        </row>
        <row r="2063">
          <cell r="B2063" t="str">
            <v>Fukuoka University</v>
          </cell>
          <cell r="C2063" t="str">
            <v>Japan</v>
          </cell>
          <cell r="D2063">
            <v>65</v>
          </cell>
          <cell r="E2063">
            <v>367</v>
          </cell>
          <cell r="F2063">
            <v>567</v>
          </cell>
          <cell r="G2063">
            <v>218</v>
          </cell>
          <cell r="H2063">
            <v>971</v>
          </cell>
          <cell r="I2063">
            <v>876</v>
          </cell>
          <cell r="J2063">
            <v>812</v>
          </cell>
          <cell r="K2063">
            <v>837</v>
          </cell>
          <cell r="L2063">
            <v>416</v>
          </cell>
          <cell r="M2063">
            <v>44.17</v>
          </cell>
          <cell r="N2063">
            <v>2015</v>
          </cell>
          <cell r="O2063">
            <v>862</v>
          </cell>
          <cell r="P2063" t="e">
            <v>#N/A</v>
          </cell>
        </row>
        <row r="2064">
          <cell r="B2064" t="str">
            <v>Hamamatsu University School of Medicine</v>
          </cell>
          <cell r="C2064" t="str">
            <v>Japan</v>
          </cell>
          <cell r="D2064">
            <v>66</v>
          </cell>
          <cell r="E2064">
            <v>367</v>
          </cell>
          <cell r="F2064">
            <v>567</v>
          </cell>
          <cell r="G2064">
            <v>218</v>
          </cell>
          <cell r="H2064">
            <v>990</v>
          </cell>
          <cell r="I2064">
            <v>917</v>
          </cell>
          <cell r="J2064">
            <v>645</v>
          </cell>
          <cell r="K2064">
            <v>826</v>
          </cell>
          <cell r="L2064">
            <v>470</v>
          </cell>
          <cell r="M2064">
            <v>44.17</v>
          </cell>
          <cell r="N2064">
            <v>2015</v>
          </cell>
          <cell r="O2064">
            <v>863</v>
          </cell>
          <cell r="P2064" t="e">
            <v>#N/A</v>
          </cell>
        </row>
        <row r="2065">
          <cell r="B2065" t="str">
            <v>Nanjing Normal University</v>
          </cell>
          <cell r="C2065" t="str">
            <v>China</v>
          </cell>
          <cell r="D2065">
            <v>53</v>
          </cell>
          <cell r="E2065">
            <v>367</v>
          </cell>
          <cell r="F2065">
            <v>456</v>
          </cell>
          <cell r="G2065">
            <v>218</v>
          </cell>
          <cell r="H2065">
            <v>729</v>
          </cell>
          <cell r="I2065">
            <v>709</v>
          </cell>
          <cell r="J2065">
            <v>428</v>
          </cell>
          <cell r="K2065">
            <v>850</v>
          </cell>
          <cell r="L2065">
            <v>742</v>
          </cell>
          <cell r="M2065">
            <v>44.17</v>
          </cell>
          <cell r="N2065">
            <v>2015</v>
          </cell>
          <cell r="O2065">
            <v>864</v>
          </cell>
          <cell r="P2065" t="e">
            <v>#N/A</v>
          </cell>
        </row>
        <row r="2066">
          <cell r="B2066" t="str">
            <v>National Chung Cheng University</v>
          </cell>
          <cell r="C2066" t="str">
            <v>Taiwan</v>
          </cell>
          <cell r="D2066">
            <v>13</v>
          </cell>
          <cell r="E2066">
            <v>367</v>
          </cell>
          <cell r="F2066">
            <v>567</v>
          </cell>
          <cell r="G2066">
            <v>218</v>
          </cell>
          <cell r="H2066">
            <v>796</v>
          </cell>
          <cell r="I2066">
            <v>991</v>
          </cell>
          <cell r="J2066">
            <v>645</v>
          </cell>
          <cell r="K2066">
            <v>809</v>
          </cell>
          <cell r="L2066">
            <v>871</v>
          </cell>
          <cell r="M2066">
            <v>44.17</v>
          </cell>
          <cell r="N2066">
            <v>2015</v>
          </cell>
          <cell r="O2066">
            <v>865</v>
          </cell>
          <cell r="P2066">
            <v>21.3</v>
          </cell>
        </row>
        <row r="2067">
          <cell r="B2067" t="str">
            <v>Nanjing Agricultural University</v>
          </cell>
          <cell r="C2067" t="str">
            <v>China</v>
          </cell>
          <cell r="D2067">
            <v>54</v>
          </cell>
          <cell r="E2067">
            <v>367</v>
          </cell>
          <cell r="F2067">
            <v>567</v>
          </cell>
          <cell r="G2067">
            <v>218</v>
          </cell>
          <cell r="H2067">
            <v>617</v>
          </cell>
          <cell r="I2067">
            <v>726</v>
          </cell>
          <cell r="J2067">
            <v>812</v>
          </cell>
          <cell r="K2067">
            <v>837</v>
          </cell>
          <cell r="L2067">
            <v>601</v>
          </cell>
          <cell r="M2067">
            <v>44.16</v>
          </cell>
          <cell r="N2067">
            <v>2015</v>
          </cell>
          <cell r="O2067">
            <v>866</v>
          </cell>
          <cell r="P2067" t="e">
            <v>#N/A</v>
          </cell>
        </row>
        <row r="2068">
          <cell r="B2068" t="str">
            <v>University of the Republic (Uruguay)</v>
          </cell>
          <cell r="C2068" t="str">
            <v>Uruguay</v>
          </cell>
          <cell r="D2068">
            <v>66</v>
          </cell>
          <cell r="E2068">
            <v>367</v>
          </cell>
          <cell r="F2068">
            <v>567</v>
          </cell>
          <cell r="G2068">
            <v>218</v>
          </cell>
          <cell r="H2068">
            <v>814</v>
          </cell>
          <cell r="I2068">
            <v>669</v>
          </cell>
          <cell r="J2068">
            <v>812</v>
          </cell>
          <cell r="K2068">
            <v>809</v>
          </cell>
          <cell r="L2068">
            <v>871</v>
          </cell>
          <cell r="M2068">
            <v>44.16</v>
          </cell>
          <cell r="N2068">
            <v>2015</v>
          </cell>
          <cell r="O2068">
            <v>867</v>
          </cell>
          <cell r="P2068" t="e">
            <v>#N/A</v>
          </cell>
        </row>
        <row r="2069">
          <cell r="B2069" t="str">
            <v>Sejong University</v>
          </cell>
          <cell r="C2069" t="str">
            <v>South Korea</v>
          </cell>
          <cell r="D2069">
            <v>31</v>
          </cell>
          <cell r="E2069">
            <v>367</v>
          </cell>
          <cell r="F2069">
            <v>567</v>
          </cell>
          <cell r="G2069">
            <v>218</v>
          </cell>
          <cell r="H2069">
            <v>788</v>
          </cell>
          <cell r="I2069">
            <v>845</v>
          </cell>
          <cell r="J2069">
            <v>812</v>
          </cell>
          <cell r="K2069">
            <v>837</v>
          </cell>
          <cell r="L2069">
            <v>466</v>
          </cell>
          <cell r="M2069">
            <v>44.16</v>
          </cell>
          <cell r="N2069">
            <v>2015</v>
          </cell>
          <cell r="O2069">
            <v>868</v>
          </cell>
          <cell r="P2069">
            <v>18.899999999999999</v>
          </cell>
        </row>
        <row r="2070">
          <cell r="B2070" t="str">
            <v>Makerere University</v>
          </cell>
          <cell r="C2070" t="str">
            <v>Uganda</v>
          </cell>
          <cell r="D2070">
            <v>1</v>
          </cell>
          <cell r="E2070">
            <v>367</v>
          </cell>
          <cell r="F2070">
            <v>567</v>
          </cell>
          <cell r="G2070">
            <v>218</v>
          </cell>
          <cell r="H2070">
            <v>882</v>
          </cell>
          <cell r="I2070">
            <v>656</v>
          </cell>
          <cell r="J2070">
            <v>645</v>
          </cell>
          <cell r="K2070">
            <v>809</v>
          </cell>
          <cell r="L2070">
            <v>871</v>
          </cell>
          <cell r="M2070">
            <v>44.16</v>
          </cell>
          <cell r="N2070">
            <v>2015</v>
          </cell>
          <cell r="O2070">
            <v>869</v>
          </cell>
          <cell r="P2070">
            <v>15.1</v>
          </cell>
        </row>
        <row r="2071">
          <cell r="B2071" t="str">
            <v>University of New Brunswick</v>
          </cell>
          <cell r="C2071" t="str">
            <v>Canada</v>
          </cell>
          <cell r="D2071">
            <v>29</v>
          </cell>
          <cell r="E2071">
            <v>367</v>
          </cell>
          <cell r="F2071">
            <v>354</v>
          </cell>
          <cell r="G2071">
            <v>218</v>
          </cell>
          <cell r="H2071">
            <v>777</v>
          </cell>
          <cell r="I2071">
            <v>802</v>
          </cell>
          <cell r="J2071">
            <v>812</v>
          </cell>
          <cell r="K2071">
            <v>886</v>
          </cell>
          <cell r="L2071">
            <v>591</v>
          </cell>
          <cell r="M2071">
            <v>44.16</v>
          </cell>
          <cell r="N2071">
            <v>2015</v>
          </cell>
          <cell r="O2071">
            <v>870</v>
          </cell>
          <cell r="P2071" t="e">
            <v>#N/A</v>
          </cell>
        </row>
        <row r="2072">
          <cell r="B2072" t="str">
            <v>Northeastern University (China)</v>
          </cell>
          <cell r="C2072" t="str">
            <v>China</v>
          </cell>
          <cell r="D2072">
            <v>55</v>
          </cell>
          <cell r="E2072">
            <v>367</v>
          </cell>
          <cell r="F2072">
            <v>315</v>
          </cell>
          <cell r="G2072">
            <v>218</v>
          </cell>
          <cell r="H2072">
            <v>759</v>
          </cell>
          <cell r="I2072">
            <v>974</v>
          </cell>
          <cell r="J2072">
            <v>812</v>
          </cell>
          <cell r="K2072">
            <v>906</v>
          </cell>
          <cell r="L2072">
            <v>698</v>
          </cell>
          <cell r="M2072">
            <v>44.16</v>
          </cell>
          <cell r="N2072">
            <v>2015</v>
          </cell>
          <cell r="O2072">
            <v>871</v>
          </cell>
          <cell r="P2072" t="e">
            <v>#N/A</v>
          </cell>
        </row>
        <row r="2073">
          <cell r="B2073" t="str">
            <v>University of Extremadura</v>
          </cell>
          <cell r="C2073" t="str">
            <v>Spain</v>
          </cell>
          <cell r="D2073">
            <v>33</v>
          </cell>
          <cell r="E2073">
            <v>367</v>
          </cell>
          <cell r="F2073">
            <v>567</v>
          </cell>
          <cell r="G2073">
            <v>218</v>
          </cell>
          <cell r="H2073">
            <v>766</v>
          </cell>
          <cell r="I2073">
            <v>958</v>
          </cell>
          <cell r="J2073">
            <v>812</v>
          </cell>
          <cell r="K2073">
            <v>826</v>
          </cell>
          <cell r="L2073">
            <v>630</v>
          </cell>
          <cell r="M2073">
            <v>44.16</v>
          </cell>
          <cell r="N2073">
            <v>2015</v>
          </cell>
          <cell r="O2073">
            <v>872</v>
          </cell>
          <cell r="P2073" t="e">
            <v>#N/A</v>
          </cell>
        </row>
        <row r="2074">
          <cell r="B2074" t="str">
            <v>RMIT University</v>
          </cell>
          <cell r="C2074" t="str">
            <v>Australia</v>
          </cell>
          <cell r="D2074">
            <v>25</v>
          </cell>
          <cell r="E2074">
            <v>367</v>
          </cell>
          <cell r="F2074">
            <v>561</v>
          </cell>
          <cell r="G2074">
            <v>218</v>
          </cell>
          <cell r="H2074">
            <v>690</v>
          </cell>
          <cell r="I2074">
            <v>929</v>
          </cell>
          <cell r="J2074">
            <v>812</v>
          </cell>
          <cell r="K2074">
            <v>837</v>
          </cell>
          <cell r="L2074">
            <v>585</v>
          </cell>
          <cell r="M2074">
            <v>44.16</v>
          </cell>
          <cell r="N2074">
            <v>2015</v>
          </cell>
          <cell r="O2074">
            <v>873</v>
          </cell>
          <cell r="P2074">
            <v>24.7</v>
          </cell>
        </row>
        <row r="2075">
          <cell r="B2075" t="str">
            <v>Royal Veterinary College, University of London</v>
          </cell>
          <cell r="C2075" t="str">
            <v>United Kingdom</v>
          </cell>
          <cell r="D2075">
            <v>63</v>
          </cell>
          <cell r="E2075">
            <v>246</v>
          </cell>
          <cell r="F2075">
            <v>567</v>
          </cell>
          <cell r="G2075">
            <v>218</v>
          </cell>
          <cell r="H2075">
            <v>896</v>
          </cell>
          <cell r="I2075">
            <v>550</v>
          </cell>
          <cell r="J2075">
            <v>511</v>
          </cell>
          <cell r="K2075">
            <v>837</v>
          </cell>
          <cell r="L2075">
            <v>746</v>
          </cell>
          <cell r="M2075">
            <v>44.16</v>
          </cell>
          <cell r="N2075">
            <v>2015</v>
          </cell>
          <cell r="O2075">
            <v>874</v>
          </cell>
          <cell r="P2075" t="e">
            <v>#N/A</v>
          </cell>
        </row>
        <row r="2076">
          <cell r="B2076" t="str">
            <v>Chung Yuan Christian University</v>
          </cell>
          <cell r="C2076" t="str">
            <v>Taiwan</v>
          </cell>
          <cell r="D2076">
            <v>14</v>
          </cell>
          <cell r="E2076">
            <v>249</v>
          </cell>
          <cell r="F2076">
            <v>320</v>
          </cell>
          <cell r="G2076">
            <v>218</v>
          </cell>
          <cell r="H2076">
            <v>779</v>
          </cell>
          <cell r="I2076">
            <v>962</v>
          </cell>
          <cell r="J2076">
            <v>812</v>
          </cell>
          <cell r="K2076">
            <v>921</v>
          </cell>
          <cell r="L2076">
            <v>871</v>
          </cell>
          <cell r="M2076">
            <v>44.16</v>
          </cell>
          <cell r="N2076">
            <v>2015</v>
          </cell>
          <cell r="O2076">
            <v>875</v>
          </cell>
          <cell r="P2076">
            <v>15.9</v>
          </cell>
        </row>
        <row r="2077">
          <cell r="B2077" t="str">
            <v>University of OsnabrÃ¼ck</v>
          </cell>
          <cell r="C2077" t="str">
            <v>Germany</v>
          </cell>
          <cell r="D2077">
            <v>54</v>
          </cell>
          <cell r="E2077">
            <v>367</v>
          </cell>
          <cell r="F2077">
            <v>567</v>
          </cell>
          <cell r="G2077">
            <v>218</v>
          </cell>
          <cell r="H2077">
            <v>844</v>
          </cell>
          <cell r="I2077">
            <v>654</v>
          </cell>
          <cell r="J2077">
            <v>511</v>
          </cell>
          <cell r="K2077">
            <v>826</v>
          </cell>
          <cell r="L2077">
            <v>871</v>
          </cell>
          <cell r="M2077">
            <v>44.15</v>
          </cell>
          <cell r="N2077">
            <v>2015</v>
          </cell>
          <cell r="O2077">
            <v>876</v>
          </cell>
          <cell r="P2077" t="e">
            <v>#N/A</v>
          </cell>
        </row>
        <row r="2078">
          <cell r="B2078" t="str">
            <v>Northwest University (China)</v>
          </cell>
          <cell r="C2078" t="str">
            <v>China</v>
          </cell>
          <cell r="D2078">
            <v>56</v>
          </cell>
          <cell r="E2078">
            <v>367</v>
          </cell>
          <cell r="F2078">
            <v>567</v>
          </cell>
          <cell r="G2078">
            <v>218</v>
          </cell>
          <cell r="H2078">
            <v>904</v>
          </cell>
          <cell r="I2078">
            <v>848</v>
          </cell>
          <cell r="J2078">
            <v>368</v>
          </cell>
          <cell r="K2078">
            <v>837</v>
          </cell>
          <cell r="L2078">
            <v>871</v>
          </cell>
          <cell r="M2078">
            <v>44.15</v>
          </cell>
          <cell r="N2078">
            <v>2015</v>
          </cell>
          <cell r="O2078">
            <v>877</v>
          </cell>
          <cell r="P2078" t="e">
            <v>#N/A</v>
          </cell>
        </row>
        <row r="2079">
          <cell r="B2079" t="str">
            <v>Chosun University</v>
          </cell>
          <cell r="C2079" t="str">
            <v>South Korea</v>
          </cell>
          <cell r="D2079">
            <v>32</v>
          </cell>
          <cell r="E2079">
            <v>367</v>
          </cell>
          <cell r="F2079">
            <v>567</v>
          </cell>
          <cell r="G2079">
            <v>218</v>
          </cell>
          <cell r="H2079">
            <v>942</v>
          </cell>
          <cell r="I2079">
            <v>984</v>
          </cell>
          <cell r="J2079">
            <v>812</v>
          </cell>
          <cell r="K2079">
            <v>991</v>
          </cell>
          <cell r="L2079">
            <v>209</v>
          </cell>
          <cell r="M2079">
            <v>44.15</v>
          </cell>
          <cell r="N2079">
            <v>2015</v>
          </cell>
          <cell r="O2079">
            <v>878</v>
          </cell>
          <cell r="P2079" t="e">
            <v>#N/A</v>
          </cell>
        </row>
        <row r="2080">
          <cell r="B2080" t="str">
            <v>University of OrlÃ©ans</v>
          </cell>
          <cell r="C2080" t="str">
            <v>France</v>
          </cell>
          <cell r="D2080">
            <v>43</v>
          </cell>
          <cell r="E2080">
            <v>367</v>
          </cell>
          <cell r="F2080">
            <v>524</v>
          </cell>
          <cell r="G2080">
            <v>218</v>
          </cell>
          <cell r="H2080">
            <v>754</v>
          </cell>
          <cell r="I2080">
            <v>495</v>
          </cell>
          <cell r="J2080">
            <v>645</v>
          </cell>
          <cell r="K2080">
            <v>837</v>
          </cell>
          <cell r="L2080">
            <v>839</v>
          </cell>
          <cell r="M2080">
            <v>44.15</v>
          </cell>
          <cell r="N2080">
            <v>2015</v>
          </cell>
          <cell r="O2080">
            <v>879</v>
          </cell>
          <cell r="P2080" t="e">
            <v>#N/A</v>
          </cell>
        </row>
        <row r="2081">
          <cell r="B2081" t="str">
            <v>Jean Monnet University</v>
          </cell>
          <cell r="C2081" t="str">
            <v>France</v>
          </cell>
          <cell r="D2081">
            <v>44</v>
          </cell>
          <cell r="E2081">
            <v>367</v>
          </cell>
          <cell r="F2081">
            <v>567</v>
          </cell>
          <cell r="G2081">
            <v>218</v>
          </cell>
          <cell r="H2081">
            <v>626</v>
          </cell>
          <cell r="I2081">
            <v>486</v>
          </cell>
          <cell r="J2081">
            <v>812</v>
          </cell>
          <cell r="K2081">
            <v>850</v>
          </cell>
          <cell r="L2081">
            <v>710</v>
          </cell>
          <cell r="M2081">
            <v>44.15</v>
          </cell>
          <cell r="N2081">
            <v>2015</v>
          </cell>
          <cell r="O2081">
            <v>880</v>
          </cell>
          <cell r="P2081" t="e">
            <v>#N/A</v>
          </cell>
        </row>
        <row r="2082">
          <cell r="B2082" t="str">
            <v>Ã‰cole centrale de Lyon</v>
          </cell>
          <cell r="C2082" t="str">
            <v>France</v>
          </cell>
          <cell r="D2082">
            <v>45</v>
          </cell>
          <cell r="E2082">
            <v>367</v>
          </cell>
          <cell r="F2082">
            <v>255</v>
          </cell>
          <cell r="G2082">
            <v>218</v>
          </cell>
          <cell r="H2082">
            <v>856</v>
          </cell>
          <cell r="I2082">
            <v>841</v>
          </cell>
          <cell r="J2082">
            <v>812</v>
          </cell>
          <cell r="K2082">
            <v>991</v>
          </cell>
          <cell r="L2082">
            <v>570</v>
          </cell>
          <cell r="M2082">
            <v>44.15</v>
          </cell>
          <cell r="N2082">
            <v>2015</v>
          </cell>
          <cell r="O2082">
            <v>881</v>
          </cell>
          <cell r="P2082" t="e">
            <v>#N/A</v>
          </cell>
        </row>
        <row r="2083">
          <cell r="B2083" t="str">
            <v>University of Western Sydney</v>
          </cell>
          <cell r="C2083" t="str">
            <v>Australia</v>
          </cell>
          <cell r="D2083">
            <v>26</v>
          </cell>
          <cell r="E2083">
            <v>367</v>
          </cell>
          <cell r="F2083">
            <v>567</v>
          </cell>
          <cell r="G2083">
            <v>218</v>
          </cell>
          <cell r="H2083">
            <v>651</v>
          </cell>
          <cell r="I2083">
            <v>551</v>
          </cell>
          <cell r="J2083">
            <v>645</v>
          </cell>
          <cell r="K2083">
            <v>850</v>
          </cell>
          <cell r="L2083">
            <v>647</v>
          </cell>
          <cell r="M2083">
            <v>44.15</v>
          </cell>
          <cell r="N2083">
            <v>2015</v>
          </cell>
          <cell r="O2083">
            <v>882</v>
          </cell>
          <cell r="P2083" t="e">
            <v>#N/A</v>
          </cell>
        </row>
        <row r="2084">
          <cell r="B2084" t="str">
            <v>Hefei University of Technology</v>
          </cell>
          <cell r="C2084" t="str">
            <v>China</v>
          </cell>
          <cell r="D2084">
            <v>57</v>
          </cell>
          <cell r="E2084">
            <v>367</v>
          </cell>
          <cell r="F2084">
            <v>302</v>
          </cell>
          <cell r="G2084">
            <v>218</v>
          </cell>
          <cell r="H2084">
            <v>914</v>
          </cell>
          <cell r="I2084">
            <v>974</v>
          </cell>
          <cell r="J2084">
            <v>812</v>
          </cell>
          <cell r="K2084">
            <v>932</v>
          </cell>
          <cell r="L2084">
            <v>871</v>
          </cell>
          <cell r="M2084">
            <v>44.15</v>
          </cell>
          <cell r="N2084">
            <v>2015</v>
          </cell>
          <cell r="O2084">
            <v>883</v>
          </cell>
          <cell r="P2084" t="e">
            <v>#N/A</v>
          </cell>
        </row>
        <row r="2085">
          <cell r="B2085" t="str">
            <v>University of Massachusetts Lowell</v>
          </cell>
          <cell r="C2085" t="str">
            <v>USA</v>
          </cell>
          <cell r="D2085">
            <v>222</v>
          </cell>
          <cell r="E2085">
            <v>367</v>
          </cell>
          <cell r="F2085">
            <v>528</v>
          </cell>
          <cell r="G2085">
            <v>218</v>
          </cell>
          <cell r="H2085">
            <v>936</v>
          </cell>
          <cell r="I2085">
            <v>943</v>
          </cell>
          <cell r="J2085">
            <v>321</v>
          </cell>
          <cell r="K2085">
            <v>946</v>
          </cell>
          <cell r="L2085">
            <v>304</v>
          </cell>
          <cell r="M2085">
            <v>44.15</v>
          </cell>
          <cell r="N2085">
            <v>2015</v>
          </cell>
          <cell r="O2085">
            <v>884</v>
          </cell>
          <cell r="P2085" t="e">
            <v>#N/A</v>
          </cell>
        </row>
        <row r="2086">
          <cell r="B2086" t="str">
            <v>Manchester Metropolitan University</v>
          </cell>
          <cell r="C2086" t="str">
            <v>United Kingdom</v>
          </cell>
          <cell r="D2086">
            <v>64</v>
          </cell>
          <cell r="E2086">
            <v>367</v>
          </cell>
          <cell r="F2086">
            <v>458</v>
          </cell>
          <cell r="G2086">
            <v>218</v>
          </cell>
          <cell r="H2086">
            <v>941</v>
          </cell>
          <cell r="I2086">
            <v>677</v>
          </cell>
          <cell r="J2086">
            <v>812</v>
          </cell>
          <cell r="K2086">
            <v>850</v>
          </cell>
          <cell r="L2086">
            <v>721</v>
          </cell>
          <cell r="M2086">
            <v>44.14</v>
          </cell>
          <cell r="N2086">
            <v>2015</v>
          </cell>
          <cell r="O2086">
            <v>885</v>
          </cell>
          <cell r="P2086">
            <v>22.7</v>
          </cell>
        </row>
        <row r="2087">
          <cell r="B2087" t="str">
            <v>Nanjing Medical University</v>
          </cell>
          <cell r="C2087" t="str">
            <v>China</v>
          </cell>
          <cell r="D2087">
            <v>58</v>
          </cell>
          <cell r="E2087">
            <v>367</v>
          </cell>
          <cell r="F2087">
            <v>567</v>
          </cell>
          <cell r="G2087">
            <v>218</v>
          </cell>
          <cell r="H2087">
            <v>582</v>
          </cell>
          <cell r="I2087">
            <v>696</v>
          </cell>
          <cell r="J2087">
            <v>812</v>
          </cell>
          <cell r="K2087">
            <v>867</v>
          </cell>
          <cell r="L2087">
            <v>761</v>
          </cell>
          <cell r="M2087">
            <v>44.14</v>
          </cell>
          <cell r="N2087">
            <v>2015</v>
          </cell>
          <cell r="O2087">
            <v>886</v>
          </cell>
          <cell r="P2087" t="e">
            <v>#N/A</v>
          </cell>
        </row>
        <row r="2088">
          <cell r="B2088" t="str">
            <v>Kyoto Institute of Technology</v>
          </cell>
          <cell r="C2088" t="str">
            <v>Japan</v>
          </cell>
          <cell r="D2088">
            <v>67</v>
          </cell>
          <cell r="E2088">
            <v>367</v>
          </cell>
          <cell r="F2088">
            <v>567</v>
          </cell>
          <cell r="G2088">
            <v>218</v>
          </cell>
          <cell r="H2088">
            <v>982</v>
          </cell>
          <cell r="I2088">
            <v>868</v>
          </cell>
          <cell r="J2088">
            <v>812</v>
          </cell>
          <cell r="K2088">
            <v>921</v>
          </cell>
          <cell r="L2088">
            <v>287</v>
          </cell>
          <cell r="M2088">
            <v>44.14</v>
          </cell>
          <cell r="N2088">
            <v>2015</v>
          </cell>
          <cell r="O2088">
            <v>887</v>
          </cell>
          <cell r="P2088" t="e">
            <v>#N/A</v>
          </cell>
        </row>
        <row r="2089">
          <cell r="B2089" t="str">
            <v>Shanghai Normal University</v>
          </cell>
          <cell r="C2089" t="str">
            <v>China</v>
          </cell>
          <cell r="D2089">
            <v>59</v>
          </cell>
          <cell r="E2089">
            <v>367</v>
          </cell>
          <cell r="F2089">
            <v>463</v>
          </cell>
          <cell r="G2089">
            <v>218</v>
          </cell>
          <cell r="H2089">
            <v>919</v>
          </cell>
          <cell r="I2089">
            <v>950</v>
          </cell>
          <cell r="J2089">
            <v>812</v>
          </cell>
          <cell r="K2089">
            <v>850</v>
          </cell>
          <cell r="L2089">
            <v>871</v>
          </cell>
          <cell r="M2089">
            <v>44.14</v>
          </cell>
          <cell r="N2089">
            <v>2015</v>
          </cell>
          <cell r="O2089">
            <v>888</v>
          </cell>
          <cell r="P2089" t="e">
            <v>#N/A</v>
          </cell>
        </row>
        <row r="2090">
          <cell r="B2090" t="str">
            <v>Southwest University</v>
          </cell>
          <cell r="C2090" t="str">
            <v>China</v>
          </cell>
          <cell r="D2090">
            <v>60</v>
          </cell>
          <cell r="E2090">
            <v>268</v>
          </cell>
          <cell r="F2090">
            <v>567</v>
          </cell>
          <cell r="G2090">
            <v>218</v>
          </cell>
          <cell r="H2090">
            <v>695</v>
          </cell>
          <cell r="I2090">
            <v>897</v>
          </cell>
          <cell r="J2090">
            <v>645</v>
          </cell>
          <cell r="K2090">
            <v>867</v>
          </cell>
          <cell r="L2090">
            <v>669</v>
          </cell>
          <cell r="M2090">
            <v>44.14</v>
          </cell>
          <cell r="N2090">
            <v>2015</v>
          </cell>
          <cell r="O2090">
            <v>889</v>
          </cell>
          <cell r="P2090" t="e">
            <v>#N/A</v>
          </cell>
        </row>
        <row r="2091">
          <cell r="B2091" t="str">
            <v>Adam Mickiewicz University in PoznaÅ„</v>
          </cell>
          <cell r="C2091" t="str">
            <v>Poland</v>
          </cell>
          <cell r="D2091">
            <v>5</v>
          </cell>
          <cell r="E2091">
            <v>150</v>
          </cell>
          <cell r="F2091">
            <v>567</v>
          </cell>
          <cell r="G2091">
            <v>218</v>
          </cell>
          <cell r="H2091">
            <v>675</v>
          </cell>
          <cell r="I2091">
            <v>775</v>
          </cell>
          <cell r="J2091">
            <v>812</v>
          </cell>
          <cell r="K2091">
            <v>932</v>
          </cell>
          <cell r="L2091">
            <v>657</v>
          </cell>
          <cell r="M2091">
            <v>44.14</v>
          </cell>
          <cell r="N2091">
            <v>2015</v>
          </cell>
          <cell r="O2091">
            <v>890</v>
          </cell>
          <cell r="P2091" t="e">
            <v>#N/A</v>
          </cell>
        </row>
        <row r="2092">
          <cell r="B2092" t="str">
            <v>University of Calcutta</v>
          </cell>
          <cell r="C2092" t="str">
            <v>India</v>
          </cell>
          <cell r="D2092">
            <v>14</v>
          </cell>
          <cell r="E2092">
            <v>140</v>
          </cell>
          <cell r="F2092">
            <v>346</v>
          </cell>
          <cell r="G2092">
            <v>209</v>
          </cell>
          <cell r="H2092">
            <v>964</v>
          </cell>
          <cell r="I2092">
            <v>900</v>
          </cell>
          <cell r="J2092">
            <v>645</v>
          </cell>
          <cell r="K2092">
            <v>994</v>
          </cell>
          <cell r="L2092">
            <v>424</v>
          </cell>
          <cell r="M2092">
            <v>44.14</v>
          </cell>
          <cell r="N2092">
            <v>2015</v>
          </cell>
          <cell r="O2092">
            <v>891</v>
          </cell>
          <cell r="P2092">
            <v>34.700000000000003</v>
          </cell>
        </row>
        <row r="2093">
          <cell r="B2093" t="str">
            <v>University of PÃ©cs</v>
          </cell>
          <cell r="C2093" t="str">
            <v>Hungary</v>
          </cell>
          <cell r="D2093">
            <v>6</v>
          </cell>
          <cell r="E2093">
            <v>367</v>
          </cell>
          <cell r="F2093">
            <v>567</v>
          </cell>
          <cell r="G2093">
            <v>218</v>
          </cell>
          <cell r="H2093">
            <v>962</v>
          </cell>
          <cell r="I2093">
            <v>812</v>
          </cell>
          <cell r="J2093">
            <v>812</v>
          </cell>
          <cell r="K2093">
            <v>850</v>
          </cell>
          <cell r="L2093">
            <v>501</v>
          </cell>
          <cell r="M2093">
            <v>44.14</v>
          </cell>
          <cell r="N2093">
            <v>2015</v>
          </cell>
          <cell r="O2093">
            <v>892</v>
          </cell>
          <cell r="P2093">
            <v>19.7</v>
          </cell>
        </row>
        <row r="2094">
          <cell r="B2094" t="str">
            <v>Queens College, City University of New York</v>
          </cell>
          <cell r="C2094" t="str">
            <v>USA</v>
          </cell>
          <cell r="D2094">
            <v>223</v>
          </cell>
          <cell r="E2094">
            <v>323</v>
          </cell>
          <cell r="F2094">
            <v>374</v>
          </cell>
          <cell r="G2094">
            <v>218</v>
          </cell>
          <cell r="H2094">
            <v>977</v>
          </cell>
          <cell r="I2094">
            <v>690</v>
          </cell>
          <cell r="J2094">
            <v>812</v>
          </cell>
          <cell r="K2094">
            <v>886</v>
          </cell>
          <cell r="L2094">
            <v>729</v>
          </cell>
          <cell r="M2094">
            <v>44.14</v>
          </cell>
          <cell r="N2094">
            <v>2015</v>
          </cell>
          <cell r="O2094">
            <v>893</v>
          </cell>
          <cell r="P2094" t="e">
            <v>#N/A</v>
          </cell>
        </row>
        <row r="2095">
          <cell r="B2095" t="str">
            <v>University of Lleida</v>
          </cell>
          <cell r="C2095" t="str">
            <v>Spain</v>
          </cell>
          <cell r="D2095">
            <v>34</v>
          </cell>
          <cell r="E2095">
            <v>367</v>
          </cell>
          <cell r="F2095">
            <v>567</v>
          </cell>
          <cell r="G2095">
            <v>218</v>
          </cell>
          <cell r="H2095">
            <v>883</v>
          </cell>
          <cell r="I2095">
            <v>850</v>
          </cell>
          <cell r="J2095">
            <v>812</v>
          </cell>
          <cell r="K2095">
            <v>837</v>
          </cell>
          <cell r="L2095">
            <v>809</v>
          </cell>
          <cell r="M2095">
            <v>44.14</v>
          </cell>
          <cell r="N2095">
            <v>2015</v>
          </cell>
          <cell r="O2095">
            <v>894</v>
          </cell>
          <cell r="P2095" t="e">
            <v>#N/A</v>
          </cell>
        </row>
        <row r="2096">
          <cell r="B2096" t="str">
            <v>Nanjing University of Aeronautics and Astronautics</v>
          </cell>
          <cell r="C2096" t="str">
            <v>China</v>
          </cell>
          <cell r="D2096">
            <v>61</v>
          </cell>
          <cell r="E2096">
            <v>367</v>
          </cell>
          <cell r="F2096">
            <v>486</v>
          </cell>
          <cell r="G2096">
            <v>218</v>
          </cell>
          <cell r="H2096">
            <v>709</v>
          </cell>
          <cell r="I2096">
            <v>974</v>
          </cell>
          <cell r="J2096">
            <v>812</v>
          </cell>
          <cell r="K2096">
            <v>867</v>
          </cell>
          <cell r="L2096">
            <v>853</v>
          </cell>
          <cell r="M2096">
            <v>44.14</v>
          </cell>
          <cell r="N2096">
            <v>2015</v>
          </cell>
          <cell r="O2096">
            <v>895</v>
          </cell>
          <cell r="P2096" t="e">
            <v>#N/A</v>
          </cell>
        </row>
        <row r="2097">
          <cell r="B2097" t="str">
            <v>University of Western Brittany</v>
          </cell>
          <cell r="C2097" t="str">
            <v>France</v>
          </cell>
          <cell r="D2097">
            <v>46</v>
          </cell>
          <cell r="E2097">
            <v>367</v>
          </cell>
          <cell r="F2097">
            <v>567</v>
          </cell>
          <cell r="G2097">
            <v>218</v>
          </cell>
          <cell r="H2097">
            <v>840</v>
          </cell>
          <cell r="I2097">
            <v>616</v>
          </cell>
          <cell r="J2097">
            <v>812</v>
          </cell>
          <cell r="K2097">
            <v>850</v>
          </cell>
          <cell r="L2097">
            <v>599</v>
          </cell>
          <cell r="M2097">
            <v>44.13</v>
          </cell>
          <cell r="N2097">
            <v>2015</v>
          </cell>
          <cell r="O2097">
            <v>896</v>
          </cell>
          <cell r="P2097" t="e">
            <v>#N/A</v>
          </cell>
        </row>
        <row r="2098">
          <cell r="B2098" t="str">
            <v>University of North Carolina at Greensboro</v>
          </cell>
          <cell r="C2098" t="str">
            <v>USA</v>
          </cell>
          <cell r="D2098">
            <v>224</v>
          </cell>
          <cell r="E2098">
            <v>367</v>
          </cell>
          <cell r="F2098">
            <v>567</v>
          </cell>
          <cell r="G2098">
            <v>218</v>
          </cell>
          <cell r="H2098">
            <v>899</v>
          </cell>
          <cell r="I2098">
            <v>825</v>
          </cell>
          <cell r="J2098">
            <v>645</v>
          </cell>
          <cell r="K2098">
            <v>850</v>
          </cell>
          <cell r="L2098">
            <v>575</v>
          </cell>
          <cell r="M2098">
            <v>44.13</v>
          </cell>
          <cell r="N2098">
            <v>2015</v>
          </cell>
          <cell r="O2098">
            <v>897</v>
          </cell>
          <cell r="P2098">
            <v>18.2</v>
          </cell>
        </row>
        <row r="2099">
          <cell r="B2099" t="str">
            <v>Pukyong National University</v>
          </cell>
          <cell r="C2099" t="str">
            <v>South Korea</v>
          </cell>
          <cell r="D2099">
            <v>33</v>
          </cell>
          <cell r="E2099">
            <v>367</v>
          </cell>
          <cell r="F2099">
            <v>567</v>
          </cell>
          <cell r="G2099">
            <v>218</v>
          </cell>
          <cell r="H2099">
            <v>906</v>
          </cell>
          <cell r="I2099">
            <v>962</v>
          </cell>
          <cell r="J2099">
            <v>812</v>
          </cell>
          <cell r="K2099">
            <v>896</v>
          </cell>
          <cell r="L2099">
            <v>356</v>
          </cell>
          <cell r="M2099">
            <v>44.13</v>
          </cell>
          <cell r="N2099">
            <v>2015</v>
          </cell>
          <cell r="O2099">
            <v>898</v>
          </cell>
          <cell r="P2099" t="e">
            <v>#N/A</v>
          </cell>
        </row>
        <row r="2100">
          <cell r="B2100" t="str">
            <v>Fourth Military Medical University</v>
          </cell>
          <cell r="C2100" t="str">
            <v>China</v>
          </cell>
          <cell r="D2100">
            <v>62</v>
          </cell>
          <cell r="E2100">
            <v>367</v>
          </cell>
          <cell r="F2100">
            <v>567</v>
          </cell>
          <cell r="G2100">
            <v>218</v>
          </cell>
          <cell r="H2100">
            <v>609</v>
          </cell>
          <cell r="I2100">
            <v>716</v>
          </cell>
          <cell r="J2100">
            <v>645</v>
          </cell>
          <cell r="K2100">
            <v>880</v>
          </cell>
          <cell r="L2100">
            <v>692</v>
          </cell>
          <cell r="M2100">
            <v>44.13</v>
          </cell>
          <cell r="N2100">
            <v>2015</v>
          </cell>
          <cell r="O2100">
            <v>899</v>
          </cell>
          <cell r="P2100" t="e">
            <v>#N/A</v>
          </cell>
        </row>
        <row r="2101">
          <cell r="B2101" t="str">
            <v>University of Fukui</v>
          </cell>
          <cell r="C2101" t="str">
            <v>Japan</v>
          </cell>
          <cell r="D2101">
            <v>68</v>
          </cell>
          <cell r="E2101">
            <v>367</v>
          </cell>
          <cell r="F2101">
            <v>567</v>
          </cell>
          <cell r="G2101">
            <v>218</v>
          </cell>
          <cell r="H2101">
            <v>950</v>
          </cell>
          <cell r="I2101">
            <v>797</v>
          </cell>
          <cell r="J2101">
            <v>812</v>
          </cell>
          <cell r="K2101">
            <v>850</v>
          </cell>
          <cell r="L2101">
            <v>610</v>
          </cell>
          <cell r="M2101">
            <v>44.13</v>
          </cell>
          <cell r="N2101">
            <v>2015</v>
          </cell>
          <cell r="O2101">
            <v>900</v>
          </cell>
          <cell r="P2101" t="e">
            <v>#N/A</v>
          </cell>
        </row>
        <row r="2102">
          <cell r="B2102" t="str">
            <v>University of Southern Mississippi</v>
          </cell>
          <cell r="C2102" t="str">
            <v>USA</v>
          </cell>
          <cell r="D2102">
            <v>225</v>
          </cell>
          <cell r="E2102">
            <v>367</v>
          </cell>
          <cell r="F2102">
            <v>567</v>
          </cell>
          <cell r="G2102">
            <v>218</v>
          </cell>
          <cell r="H2102">
            <v>913</v>
          </cell>
          <cell r="I2102">
            <v>853</v>
          </cell>
          <cell r="J2102">
            <v>812</v>
          </cell>
          <cell r="K2102">
            <v>850</v>
          </cell>
          <cell r="L2102">
            <v>676</v>
          </cell>
          <cell r="M2102">
            <v>44.13</v>
          </cell>
          <cell r="N2102">
            <v>2015</v>
          </cell>
          <cell r="O2102">
            <v>901</v>
          </cell>
          <cell r="P2102">
            <v>21</v>
          </cell>
        </row>
        <row r="2103">
          <cell r="B2103" t="str">
            <v>University of Mannheim</v>
          </cell>
          <cell r="C2103" t="str">
            <v>Germany</v>
          </cell>
          <cell r="D2103">
            <v>55</v>
          </cell>
          <cell r="E2103">
            <v>367</v>
          </cell>
          <cell r="F2103">
            <v>518</v>
          </cell>
          <cell r="G2103">
            <v>218</v>
          </cell>
          <cell r="H2103">
            <v>916</v>
          </cell>
          <cell r="I2103">
            <v>903</v>
          </cell>
          <cell r="J2103">
            <v>428</v>
          </cell>
          <cell r="K2103">
            <v>867</v>
          </cell>
          <cell r="L2103">
            <v>871</v>
          </cell>
          <cell r="M2103">
            <v>44.13</v>
          </cell>
          <cell r="N2103">
            <v>2015</v>
          </cell>
          <cell r="O2103">
            <v>902</v>
          </cell>
          <cell r="P2103">
            <v>34.5</v>
          </cell>
        </row>
        <row r="2104">
          <cell r="B2104" t="str">
            <v>Shimane University</v>
          </cell>
          <cell r="C2104" t="str">
            <v>Japan</v>
          </cell>
          <cell r="D2104">
            <v>69</v>
          </cell>
          <cell r="E2104">
            <v>367</v>
          </cell>
          <cell r="F2104">
            <v>567</v>
          </cell>
          <cell r="G2104">
            <v>218</v>
          </cell>
          <cell r="H2104">
            <v>956</v>
          </cell>
          <cell r="I2104">
            <v>717</v>
          </cell>
          <cell r="J2104">
            <v>645</v>
          </cell>
          <cell r="K2104">
            <v>850</v>
          </cell>
          <cell r="L2104">
            <v>695</v>
          </cell>
          <cell r="M2104">
            <v>44.13</v>
          </cell>
          <cell r="N2104">
            <v>2015</v>
          </cell>
          <cell r="O2104">
            <v>903</v>
          </cell>
          <cell r="P2104" t="e">
            <v>#N/A</v>
          </cell>
        </row>
        <row r="2105">
          <cell r="B2105" t="str">
            <v>China University of Geosciences (Wuhan)</v>
          </cell>
          <cell r="C2105" t="str">
            <v>China</v>
          </cell>
          <cell r="D2105">
            <v>63</v>
          </cell>
          <cell r="E2105">
            <v>367</v>
          </cell>
          <cell r="F2105">
            <v>558</v>
          </cell>
          <cell r="G2105">
            <v>218</v>
          </cell>
          <cell r="H2105">
            <v>928</v>
          </cell>
          <cell r="I2105">
            <v>639</v>
          </cell>
          <cell r="J2105">
            <v>428</v>
          </cell>
          <cell r="K2105">
            <v>867</v>
          </cell>
          <cell r="L2105">
            <v>752</v>
          </cell>
          <cell r="M2105">
            <v>44.13</v>
          </cell>
          <cell r="N2105">
            <v>2015</v>
          </cell>
          <cell r="O2105">
            <v>904</v>
          </cell>
          <cell r="P2105">
            <v>21.1</v>
          </cell>
        </row>
        <row r="2106">
          <cell r="B2106" t="str">
            <v>University of Thessaly</v>
          </cell>
          <cell r="C2106" t="str">
            <v>Greece</v>
          </cell>
          <cell r="D2106">
            <v>7</v>
          </cell>
          <cell r="E2106">
            <v>367</v>
          </cell>
          <cell r="F2106">
            <v>567</v>
          </cell>
          <cell r="G2106">
            <v>218</v>
          </cell>
          <cell r="H2106">
            <v>875</v>
          </cell>
          <cell r="I2106">
            <v>984</v>
          </cell>
          <cell r="J2106">
            <v>812</v>
          </cell>
          <cell r="K2106">
            <v>850</v>
          </cell>
          <cell r="L2106">
            <v>871</v>
          </cell>
          <cell r="M2106">
            <v>44.13</v>
          </cell>
          <cell r="N2106">
            <v>2015</v>
          </cell>
          <cell r="O2106">
            <v>905</v>
          </cell>
          <cell r="P2106" t="e">
            <v>#N/A</v>
          </cell>
        </row>
        <row r="2107">
          <cell r="B2107" t="str">
            <v>Oakland University</v>
          </cell>
          <cell r="C2107" t="str">
            <v>USA</v>
          </cell>
          <cell r="D2107">
            <v>226</v>
          </cell>
          <cell r="E2107">
            <v>367</v>
          </cell>
          <cell r="F2107">
            <v>567</v>
          </cell>
          <cell r="G2107">
            <v>218</v>
          </cell>
          <cell r="H2107">
            <v>888</v>
          </cell>
          <cell r="I2107">
            <v>810</v>
          </cell>
          <cell r="J2107">
            <v>812</v>
          </cell>
          <cell r="K2107">
            <v>850</v>
          </cell>
          <cell r="L2107">
            <v>871</v>
          </cell>
          <cell r="M2107">
            <v>44.13</v>
          </cell>
          <cell r="N2107">
            <v>2015</v>
          </cell>
          <cell r="O2107">
            <v>906</v>
          </cell>
          <cell r="P2107">
            <v>18.100000000000001</v>
          </cell>
        </row>
        <row r="2108">
          <cell r="B2108" t="str">
            <v>Wilfrid Laurier University</v>
          </cell>
          <cell r="C2108" t="str">
            <v>Canada</v>
          </cell>
          <cell r="D2108">
            <v>30</v>
          </cell>
          <cell r="E2108">
            <v>367</v>
          </cell>
          <cell r="F2108">
            <v>298</v>
          </cell>
          <cell r="G2108">
            <v>218</v>
          </cell>
          <cell r="H2108">
            <v>952</v>
          </cell>
          <cell r="I2108">
            <v>921</v>
          </cell>
          <cell r="J2108">
            <v>812</v>
          </cell>
          <cell r="K2108">
            <v>969</v>
          </cell>
          <cell r="L2108">
            <v>871</v>
          </cell>
          <cell r="M2108">
            <v>44.13</v>
          </cell>
          <cell r="N2108">
            <v>2015</v>
          </cell>
          <cell r="O2108">
            <v>907</v>
          </cell>
          <cell r="P2108" t="e">
            <v>#N/A</v>
          </cell>
        </row>
        <row r="2109">
          <cell r="B2109" t="str">
            <v>Teikyo University</v>
          </cell>
          <cell r="C2109" t="str">
            <v>Japan</v>
          </cell>
          <cell r="D2109">
            <v>70</v>
          </cell>
          <cell r="E2109">
            <v>367</v>
          </cell>
          <cell r="F2109">
            <v>567</v>
          </cell>
          <cell r="G2109">
            <v>218</v>
          </cell>
          <cell r="H2109">
            <v>966</v>
          </cell>
          <cell r="I2109">
            <v>767</v>
          </cell>
          <cell r="J2109">
            <v>812</v>
          </cell>
          <cell r="K2109">
            <v>850</v>
          </cell>
          <cell r="L2109">
            <v>803</v>
          </cell>
          <cell r="M2109">
            <v>44.12</v>
          </cell>
          <cell r="N2109">
            <v>2015</v>
          </cell>
          <cell r="O2109">
            <v>908</v>
          </cell>
          <cell r="P2109" t="e">
            <v>#N/A</v>
          </cell>
        </row>
        <row r="2110">
          <cell r="B2110" t="str">
            <v>Saitama University</v>
          </cell>
          <cell r="C2110" t="str">
            <v>Japan</v>
          </cell>
          <cell r="D2110">
            <v>71</v>
          </cell>
          <cell r="E2110">
            <v>367</v>
          </cell>
          <cell r="F2110">
            <v>349</v>
          </cell>
          <cell r="G2110">
            <v>218</v>
          </cell>
          <cell r="H2110">
            <v>959</v>
          </cell>
          <cell r="I2110">
            <v>609</v>
          </cell>
          <cell r="J2110">
            <v>511</v>
          </cell>
          <cell r="K2110">
            <v>932</v>
          </cell>
          <cell r="L2110">
            <v>545</v>
          </cell>
          <cell r="M2110">
            <v>44.12</v>
          </cell>
          <cell r="N2110">
            <v>2015</v>
          </cell>
          <cell r="O2110">
            <v>909</v>
          </cell>
          <cell r="P2110">
            <v>18.600000000000001</v>
          </cell>
        </row>
        <row r="2111">
          <cell r="B2111" t="str">
            <v>Trent University</v>
          </cell>
          <cell r="C2111" t="str">
            <v>Canada</v>
          </cell>
          <cell r="D2111">
            <v>31</v>
          </cell>
          <cell r="E2111">
            <v>367</v>
          </cell>
          <cell r="F2111">
            <v>509</v>
          </cell>
          <cell r="G2111">
            <v>218</v>
          </cell>
          <cell r="H2111">
            <v>923</v>
          </cell>
          <cell r="I2111">
            <v>777</v>
          </cell>
          <cell r="J2111">
            <v>511</v>
          </cell>
          <cell r="K2111">
            <v>867</v>
          </cell>
          <cell r="L2111">
            <v>782</v>
          </cell>
          <cell r="M2111">
            <v>44.12</v>
          </cell>
          <cell r="N2111">
            <v>2015</v>
          </cell>
          <cell r="O2111">
            <v>910</v>
          </cell>
          <cell r="P2111" t="e">
            <v>#N/A</v>
          </cell>
        </row>
        <row r="2112">
          <cell r="B2112" t="str">
            <v>Nicolaus Copernicus University in ToruÅ„</v>
          </cell>
          <cell r="C2112" t="str">
            <v>Poland</v>
          </cell>
          <cell r="D2112">
            <v>6</v>
          </cell>
          <cell r="E2112">
            <v>367</v>
          </cell>
          <cell r="F2112">
            <v>567</v>
          </cell>
          <cell r="G2112">
            <v>218</v>
          </cell>
          <cell r="H2112">
            <v>873</v>
          </cell>
          <cell r="I2112">
            <v>821</v>
          </cell>
          <cell r="J2112">
            <v>511</v>
          </cell>
          <cell r="K2112">
            <v>867</v>
          </cell>
          <cell r="L2112">
            <v>698</v>
          </cell>
          <cell r="M2112">
            <v>44.12</v>
          </cell>
          <cell r="N2112">
            <v>2015</v>
          </cell>
          <cell r="O2112">
            <v>911</v>
          </cell>
          <cell r="P2112" t="e">
            <v>#N/A</v>
          </cell>
        </row>
        <row r="2113">
          <cell r="B2113" t="str">
            <v>Tarbiat Modares University</v>
          </cell>
          <cell r="C2113" t="str">
            <v>Iran</v>
          </cell>
          <cell r="D2113">
            <v>4</v>
          </cell>
          <cell r="E2113">
            <v>367</v>
          </cell>
          <cell r="F2113">
            <v>567</v>
          </cell>
          <cell r="G2113">
            <v>218</v>
          </cell>
          <cell r="H2113">
            <v>769</v>
          </cell>
          <cell r="I2113">
            <v>991</v>
          </cell>
          <cell r="J2113">
            <v>812</v>
          </cell>
          <cell r="K2113">
            <v>867</v>
          </cell>
          <cell r="L2113">
            <v>871</v>
          </cell>
          <cell r="M2113">
            <v>44.12</v>
          </cell>
          <cell r="N2113">
            <v>2015</v>
          </cell>
          <cell r="O2113">
            <v>912</v>
          </cell>
          <cell r="P2113" t="e">
            <v>#N/A</v>
          </cell>
        </row>
        <row r="2114">
          <cell r="B2114" t="str">
            <v>University of North Dakota</v>
          </cell>
          <cell r="C2114" t="str">
            <v>USA</v>
          </cell>
          <cell r="D2114">
            <v>227</v>
          </cell>
          <cell r="E2114">
            <v>367</v>
          </cell>
          <cell r="F2114">
            <v>567</v>
          </cell>
          <cell r="G2114">
            <v>218</v>
          </cell>
          <cell r="H2114">
            <v>917</v>
          </cell>
          <cell r="I2114">
            <v>731</v>
          </cell>
          <cell r="J2114">
            <v>812</v>
          </cell>
          <cell r="K2114">
            <v>867</v>
          </cell>
          <cell r="L2114">
            <v>606</v>
          </cell>
          <cell r="M2114">
            <v>44.12</v>
          </cell>
          <cell r="N2114">
            <v>2015</v>
          </cell>
          <cell r="O2114">
            <v>913</v>
          </cell>
          <cell r="P2114" t="e">
            <v>#N/A</v>
          </cell>
        </row>
        <row r="2115">
          <cell r="B2115" t="str">
            <v>Isfahan University of Technology</v>
          </cell>
          <cell r="C2115" t="str">
            <v>Iran</v>
          </cell>
          <cell r="D2115">
            <v>5</v>
          </cell>
          <cell r="E2115">
            <v>367</v>
          </cell>
          <cell r="F2115">
            <v>567</v>
          </cell>
          <cell r="G2115">
            <v>218</v>
          </cell>
          <cell r="H2115">
            <v>682</v>
          </cell>
          <cell r="I2115">
            <v>923</v>
          </cell>
          <cell r="J2115">
            <v>645</v>
          </cell>
          <cell r="K2115">
            <v>880</v>
          </cell>
          <cell r="L2115">
            <v>871</v>
          </cell>
          <cell r="M2115">
            <v>44.12</v>
          </cell>
          <cell r="N2115">
            <v>2015</v>
          </cell>
          <cell r="O2115">
            <v>914</v>
          </cell>
          <cell r="P2115">
            <v>20.7</v>
          </cell>
        </row>
        <row r="2116">
          <cell r="B2116" t="str">
            <v>Fluminense Federal University</v>
          </cell>
          <cell r="C2116" t="str">
            <v>Brazil</v>
          </cell>
          <cell r="D2116">
            <v>9</v>
          </cell>
          <cell r="E2116">
            <v>367</v>
          </cell>
          <cell r="F2116">
            <v>313</v>
          </cell>
          <cell r="G2116">
            <v>218</v>
          </cell>
          <cell r="H2116">
            <v>802</v>
          </cell>
          <cell r="I2116">
            <v>892</v>
          </cell>
          <cell r="J2116">
            <v>645</v>
          </cell>
          <cell r="K2116">
            <v>958</v>
          </cell>
          <cell r="L2116">
            <v>871</v>
          </cell>
          <cell r="M2116">
            <v>44.12</v>
          </cell>
          <cell r="N2116">
            <v>2015</v>
          </cell>
          <cell r="O2116">
            <v>915</v>
          </cell>
          <cell r="P2116" t="e">
            <v>#N/A</v>
          </cell>
        </row>
        <row r="2117">
          <cell r="B2117" t="str">
            <v>National Taiwan University of Science and Technology</v>
          </cell>
          <cell r="C2117" t="str">
            <v>Taiwan</v>
          </cell>
          <cell r="D2117">
            <v>15</v>
          </cell>
          <cell r="E2117">
            <v>367</v>
          </cell>
          <cell r="F2117">
            <v>567</v>
          </cell>
          <cell r="G2117">
            <v>218</v>
          </cell>
          <cell r="H2117">
            <v>598</v>
          </cell>
          <cell r="I2117">
            <v>991</v>
          </cell>
          <cell r="J2117">
            <v>812</v>
          </cell>
          <cell r="K2117">
            <v>886</v>
          </cell>
          <cell r="L2117">
            <v>823</v>
          </cell>
          <cell r="M2117">
            <v>44.12</v>
          </cell>
          <cell r="N2117">
            <v>2015</v>
          </cell>
          <cell r="O2117">
            <v>916</v>
          </cell>
          <cell r="P2117" t="e">
            <v>#N/A</v>
          </cell>
        </row>
        <row r="2118">
          <cell r="B2118" t="str">
            <v>University of Lethbridge</v>
          </cell>
          <cell r="C2118" t="str">
            <v>Canada</v>
          </cell>
          <cell r="D2118">
            <v>32</v>
          </cell>
          <cell r="E2118">
            <v>367</v>
          </cell>
          <cell r="F2118">
            <v>567</v>
          </cell>
          <cell r="G2118">
            <v>218</v>
          </cell>
          <cell r="H2118">
            <v>957</v>
          </cell>
          <cell r="I2118">
            <v>718</v>
          </cell>
          <cell r="J2118">
            <v>511</v>
          </cell>
          <cell r="K2118">
            <v>867</v>
          </cell>
          <cell r="L2118">
            <v>853</v>
          </cell>
          <cell r="M2118">
            <v>44.12</v>
          </cell>
          <cell r="N2118">
            <v>2015</v>
          </cell>
          <cell r="O2118">
            <v>917</v>
          </cell>
          <cell r="P2118" t="e">
            <v>#N/A</v>
          </cell>
        </row>
        <row r="2119">
          <cell r="B2119" t="str">
            <v>Federal University of Santa Catarina</v>
          </cell>
          <cell r="C2119" t="str">
            <v>Brazil</v>
          </cell>
          <cell r="D2119">
            <v>10</v>
          </cell>
          <cell r="E2119">
            <v>367</v>
          </cell>
          <cell r="F2119">
            <v>567</v>
          </cell>
          <cell r="G2119">
            <v>218</v>
          </cell>
          <cell r="H2119">
            <v>606</v>
          </cell>
          <cell r="I2119">
            <v>941</v>
          </cell>
          <cell r="J2119">
            <v>812</v>
          </cell>
          <cell r="K2119">
            <v>886</v>
          </cell>
          <cell r="L2119">
            <v>763</v>
          </cell>
          <cell r="M2119">
            <v>44.12</v>
          </cell>
          <cell r="N2119">
            <v>2015</v>
          </cell>
          <cell r="O2119">
            <v>918</v>
          </cell>
          <cell r="P2119">
            <v>26</v>
          </cell>
        </row>
        <row r="2120">
          <cell r="B2120" t="str">
            <v>University of Camerino</v>
          </cell>
          <cell r="C2120" t="str">
            <v>Italy</v>
          </cell>
          <cell r="D2120">
            <v>46</v>
          </cell>
          <cell r="E2120">
            <v>367</v>
          </cell>
          <cell r="F2120">
            <v>567</v>
          </cell>
          <cell r="G2120">
            <v>218</v>
          </cell>
          <cell r="H2120">
            <v>903</v>
          </cell>
          <cell r="I2120">
            <v>826</v>
          </cell>
          <cell r="J2120">
            <v>812</v>
          </cell>
          <cell r="K2120">
            <v>867</v>
          </cell>
          <cell r="L2120">
            <v>724</v>
          </cell>
          <cell r="M2120">
            <v>44.12</v>
          </cell>
          <cell r="N2120">
            <v>2015</v>
          </cell>
          <cell r="O2120">
            <v>919</v>
          </cell>
          <cell r="P2120" t="e">
            <v>#N/A</v>
          </cell>
        </row>
        <row r="2121">
          <cell r="B2121" t="str">
            <v>University of BrasÃ­lia</v>
          </cell>
          <cell r="C2121" t="str">
            <v>Brazil</v>
          </cell>
          <cell r="D2121">
            <v>11</v>
          </cell>
          <cell r="E2121">
            <v>367</v>
          </cell>
          <cell r="F2121">
            <v>367</v>
          </cell>
          <cell r="G2121">
            <v>218</v>
          </cell>
          <cell r="H2121">
            <v>807</v>
          </cell>
          <cell r="I2121">
            <v>688</v>
          </cell>
          <cell r="J2121">
            <v>812</v>
          </cell>
          <cell r="K2121">
            <v>921</v>
          </cell>
          <cell r="L2121">
            <v>871</v>
          </cell>
          <cell r="M2121">
            <v>44.12</v>
          </cell>
          <cell r="N2121">
            <v>2015</v>
          </cell>
          <cell r="O2121">
            <v>920</v>
          </cell>
          <cell r="P2121">
            <v>21.9</v>
          </cell>
        </row>
        <row r="2122">
          <cell r="B2122" t="str">
            <v>University of WrocÅ‚aw</v>
          </cell>
          <cell r="C2122" t="str">
            <v>Poland</v>
          </cell>
          <cell r="D2122">
            <v>7</v>
          </cell>
          <cell r="E2122">
            <v>355</v>
          </cell>
          <cell r="F2122">
            <v>567</v>
          </cell>
          <cell r="G2122">
            <v>218</v>
          </cell>
          <cell r="H2122">
            <v>736</v>
          </cell>
          <cell r="I2122">
            <v>842</v>
          </cell>
          <cell r="J2122">
            <v>645</v>
          </cell>
          <cell r="K2122">
            <v>880</v>
          </cell>
          <cell r="L2122">
            <v>871</v>
          </cell>
          <cell r="M2122">
            <v>44.12</v>
          </cell>
          <cell r="N2122">
            <v>2015</v>
          </cell>
          <cell r="O2122">
            <v>921</v>
          </cell>
          <cell r="P2122" t="e">
            <v>#N/A</v>
          </cell>
        </row>
        <row r="2123">
          <cell r="B2123" t="str">
            <v>University of Basilicata</v>
          </cell>
          <cell r="C2123" t="str">
            <v>Italy</v>
          </cell>
          <cell r="D2123">
            <v>47</v>
          </cell>
          <cell r="E2123">
            <v>367</v>
          </cell>
          <cell r="F2123">
            <v>567</v>
          </cell>
          <cell r="G2123">
            <v>218</v>
          </cell>
          <cell r="H2123">
            <v>940</v>
          </cell>
          <cell r="I2123">
            <v>900</v>
          </cell>
          <cell r="J2123">
            <v>645</v>
          </cell>
          <cell r="K2123">
            <v>867</v>
          </cell>
          <cell r="L2123">
            <v>871</v>
          </cell>
          <cell r="M2123">
            <v>44.12</v>
          </cell>
          <cell r="N2123">
            <v>2015</v>
          </cell>
          <cell r="O2123">
            <v>922</v>
          </cell>
          <cell r="P2123" t="e">
            <v>#N/A</v>
          </cell>
        </row>
        <row r="2124">
          <cell r="B2124" t="str">
            <v>Jadavpur University</v>
          </cell>
          <cell r="C2124" t="str">
            <v>India</v>
          </cell>
          <cell r="D2124">
            <v>15</v>
          </cell>
          <cell r="E2124">
            <v>367</v>
          </cell>
          <cell r="F2124">
            <v>515</v>
          </cell>
          <cell r="G2124">
            <v>218</v>
          </cell>
          <cell r="H2124">
            <v>849</v>
          </cell>
          <cell r="I2124">
            <v>991</v>
          </cell>
          <cell r="J2124">
            <v>428</v>
          </cell>
          <cell r="K2124">
            <v>886</v>
          </cell>
          <cell r="L2124">
            <v>735</v>
          </cell>
          <cell r="M2124">
            <v>44.11</v>
          </cell>
          <cell r="N2124">
            <v>2015</v>
          </cell>
          <cell r="O2124">
            <v>923</v>
          </cell>
          <cell r="P2124">
            <v>32.799999999999997</v>
          </cell>
        </row>
        <row r="2125">
          <cell r="B2125" t="str">
            <v>South China Normal University</v>
          </cell>
          <cell r="C2125" t="str">
            <v>China</v>
          </cell>
          <cell r="D2125">
            <v>64</v>
          </cell>
          <cell r="E2125">
            <v>367</v>
          </cell>
          <cell r="F2125">
            <v>452</v>
          </cell>
          <cell r="G2125">
            <v>218</v>
          </cell>
          <cell r="H2125">
            <v>674</v>
          </cell>
          <cell r="I2125">
            <v>912</v>
          </cell>
          <cell r="J2125">
            <v>645</v>
          </cell>
          <cell r="K2125">
            <v>906</v>
          </cell>
          <cell r="L2125">
            <v>744</v>
          </cell>
          <cell r="M2125">
            <v>44.11</v>
          </cell>
          <cell r="N2125">
            <v>2015</v>
          </cell>
          <cell r="O2125">
            <v>924</v>
          </cell>
          <cell r="P2125" t="e">
            <v>#N/A</v>
          </cell>
        </row>
        <row r="2126">
          <cell r="B2126" t="str">
            <v>University of Hyderabad</v>
          </cell>
          <cell r="C2126" t="str">
            <v>India</v>
          </cell>
          <cell r="D2126">
            <v>16</v>
          </cell>
          <cell r="E2126">
            <v>367</v>
          </cell>
          <cell r="F2126">
            <v>567</v>
          </cell>
          <cell r="G2126">
            <v>218</v>
          </cell>
          <cell r="H2126">
            <v>879</v>
          </cell>
          <cell r="I2126">
            <v>910</v>
          </cell>
          <cell r="J2126">
            <v>812</v>
          </cell>
          <cell r="K2126">
            <v>880</v>
          </cell>
          <cell r="L2126">
            <v>871</v>
          </cell>
          <cell r="M2126">
            <v>44.11</v>
          </cell>
          <cell r="N2126">
            <v>2015</v>
          </cell>
          <cell r="O2126">
            <v>925</v>
          </cell>
          <cell r="P2126" t="e">
            <v>#N/A</v>
          </cell>
        </row>
        <row r="2127">
          <cell r="B2127" t="str">
            <v>Ritsumeikan University</v>
          </cell>
          <cell r="C2127" t="str">
            <v>Japan</v>
          </cell>
          <cell r="D2127">
            <v>72</v>
          </cell>
          <cell r="E2127">
            <v>367</v>
          </cell>
          <cell r="F2127">
            <v>325</v>
          </cell>
          <cell r="G2127">
            <v>218</v>
          </cell>
          <cell r="H2127">
            <v>906</v>
          </cell>
          <cell r="I2127">
            <v>882</v>
          </cell>
          <cell r="J2127">
            <v>511</v>
          </cell>
          <cell r="K2127">
            <v>984</v>
          </cell>
          <cell r="L2127">
            <v>430</v>
          </cell>
          <cell r="M2127">
            <v>44.1</v>
          </cell>
          <cell r="N2127">
            <v>2015</v>
          </cell>
          <cell r="O2127">
            <v>926</v>
          </cell>
          <cell r="P2127" t="e">
            <v>#N/A</v>
          </cell>
        </row>
        <row r="2128">
          <cell r="B2128" t="str">
            <v>Carlos III University of Madrid</v>
          </cell>
          <cell r="C2128" t="str">
            <v>Spain</v>
          </cell>
          <cell r="D2128">
            <v>35</v>
          </cell>
          <cell r="E2128">
            <v>367</v>
          </cell>
          <cell r="F2128">
            <v>567</v>
          </cell>
          <cell r="G2128">
            <v>218</v>
          </cell>
          <cell r="H2128">
            <v>643</v>
          </cell>
          <cell r="I2128">
            <v>958</v>
          </cell>
          <cell r="J2128">
            <v>812</v>
          </cell>
          <cell r="K2128">
            <v>946</v>
          </cell>
          <cell r="L2128">
            <v>383</v>
          </cell>
          <cell r="M2128">
            <v>44.1</v>
          </cell>
          <cell r="N2128">
            <v>2015</v>
          </cell>
          <cell r="O2128">
            <v>927</v>
          </cell>
          <cell r="P2128">
            <v>23.2</v>
          </cell>
        </row>
        <row r="2129">
          <cell r="B2129" t="str">
            <v>University of Cyprus</v>
          </cell>
          <cell r="C2129" t="str">
            <v>Cyprus</v>
          </cell>
          <cell r="D2129">
            <v>1</v>
          </cell>
          <cell r="E2129">
            <v>367</v>
          </cell>
          <cell r="F2129">
            <v>567</v>
          </cell>
          <cell r="G2129">
            <v>218</v>
          </cell>
          <cell r="H2129">
            <v>820</v>
          </cell>
          <cell r="I2129">
            <v>896</v>
          </cell>
          <cell r="J2129">
            <v>645</v>
          </cell>
          <cell r="K2129">
            <v>886</v>
          </cell>
          <cell r="L2129">
            <v>816</v>
          </cell>
          <cell r="M2129">
            <v>44.1</v>
          </cell>
          <cell r="N2129">
            <v>2015</v>
          </cell>
          <cell r="O2129">
            <v>928</v>
          </cell>
          <cell r="P2129">
            <v>18</v>
          </cell>
        </row>
        <row r="2130">
          <cell r="B2130" t="str">
            <v>University of Texas at El Paso</v>
          </cell>
          <cell r="C2130" t="str">
            <v>USA</v>
          </cell>
          <cell r="D2130">
            <v>228</v>
          </cell>
          <cell r="E2130">
            <v>367</v>
          </cell>
          <cell r="F2130">
            <v>442</v>
          </cell>
          <cell r="G2130">
            <v>218</v>
          </cell>
          <cell r="H2130">
            <v>910</v>
          </cell>
          <cell r="I2130">
            <v>838</v>
          </cell>
          <cell r="J2130">
            <v>812</v>
          </cell>
          <cell r="K2130">
            <v>906</v>
          </cell>
          <cell r="L2130">
            <v>706</v>
          </cell>
          <cell r="M2130">
            <v>44.1</v>
          </cell>
          <cell r="N2130">
            <v>2015</v>
          </cell>
          <cell r="O2130">
            <v>929</v>
          </cell>
          <cell r="P2130">
            <v>18.600000000000001</v>
          </cell>
        </row>
        <row r="2131">
          <cell r="B2131" t="str">
            <v>University of CÃ¡diz</v>
          </cell>
          <cell r="C2131" t="str">
            <v>Spain</v>
          </cell>
          <cell r="D2131">
            <v>36</v>
          </cell>
          <cell r="E2131">
            <v>367</v>
          </cell>
          <cell r="F2131">
            <v>567</v>
          </cell>
          <cell r="G2131">
            <v>218</v>
          </cell>
          <cell r="H2131">
            <v>850</v>
          </cell>
          <cell r="I2131">
            <v>816</v>
          </cell>
          <cell r="J2131">
            <v>812</v>
          </cell>
          <cell r="K2131">
            <v>969</v>
          </cell>
          <cell r="L2131">
            <v>311</v>
          </cell>
          <cell r="M2131">
            <v>44.1</v>
          </cell>
          <cell r="N2131">
            <v>2015</v>
          </cell>
          <cell r="O2131">
            <v>930</v>
          </cell>
          <cell r="P2131" t="e">
            <v>#N/A</v>
          </cell>
        </row>
        <row r="2132">
          <cell r="B2132" t="str">
            <v>Shahid Beheshti University of Medical Sciences</v>
          </cell>
          <cell r="C2132" t="str">
            <v>Iran</v>
          </cell>
          <cell r="D2132">
            <v>6</v>
          </cell>
          <cell r="E2132">
            <v>367</v>
          </cell>
          <cell r="F2132">
            <v>567</v>
          </cell>
          <cell r="G2132">
            <v>218</v>
          </cell>
          <cell r="H2132">
            <v>833</v>
          </cell>
          <cell r="I2132">
            <v>920</v>
          </cell>
          <cell r="J2132">
            <v>812</v>
          </cell>
          <cell r="K2132">
            <v>886</v>
          </cell>
          <cell r="L2132">
            <v>871</v>
          </cell>
          <cell r="M2132">
            <v>44.1</v>
          </cell>
          <cell r="N2132">
            <v>2015</v>
          </cell>
          <cell r="O2132">
            <v>931</v>
          </cell>
          <cell r="P2132" t="e">
            <v>#N/A</v>
          </cell>
        </row>
        <row r="2133">
          <cell r="B2133" t="str">
            <v>National Taiwan Normal University</v>
          </cell>
          <cell r="C2133" t="str">
            <v>Taiwan</v>
          </cell>
          <cell r="D2133">
            <v>16</v>
          </cell>
          <cell r="E2133">
            <v>367</v>
          </cell>
          <cell r="F2133">
            <v>478</v>
          </cell>
          <cell r="G2133">
            <v>218</v>
          </cell>
          <cell r="H2133">
            <v>731</v>
          </cell>
          <cell r="I2133">
            <v>939</v>
          </cell>
          <cell r="J2133">
            <v>645</v>
          </cell>
          <cell r="K2133">
            <v>906</v>
          </cell>
          <cell r="L2133">
            <v>871</v>
          </cell>
          <cell r="M2133">
            <v>44.1</v>
          </cell>
          <cell r="N2133">
            <v>2015</v>
          </cell>
          <cell r="O2133">
            <v>932</v>
          </cell>
          <cell r="P2133">
            <v>26.2</v>
          </cell>
        </row>
        <row r="2134">
          <cell r="B2134" t="str">
            <v>National University of CÃ³rdoba</v>
          </cell>
          <cell r="C2134" t="str">
            <v>Argentina</v>
          </cell>
          <cell r="D2134">
            <v>3</v>
          </cell>
          <cell r="E2134">
            <v>367</v>
          </cell>
          <cell r="F2134">
            <v>567</v>
          </cell>
          <cell r="G2134">
            <v>218</v>
          </cell>
          <cell r="H2134">
            <v>717</v>
          </cell>
          <cell r="I2134">
            <v>796</v>
          </cell>
          <cell r="J2134">
            <v>645</v>
          </cell>
          <cell r="K2134">
            <v>896</v>
          </cell>
          <cell r="L2134">
            <v>871</v>
          </cell>
          <cell r="M2134">
            <v>44.1</v>
          </cell>
          <cell r="N2134">
            <v>2015</v>
          </cell>
          <cell r="O2134">
            <v>933</v>
          </cell>
          <cell r="P2134">
            <v>16</v>
          </cell>
        </row>
        <row r="2135">
          <cell r="B2135" t="str">
            <v>Federal University of ParanÃ¡</v>
          </cell>
          <cell r="C2135" t="str">
            <v>Brazil</v>
          </cell>
          <cell r="D2135">
            <v>12</v>
          </cell>
          <cell r="E2135">
            <v>367</v>
          </cell>
          <cell r="F2135">
            <v>497</v>
          </cell>
          <cell r="G2135">
            <v>218</v>
          </cell>
          <cell r="H2135">
            <v>697</v>
          </cell>
          <cell r="I2135">
            <v>800</v>
          </cell>
          <cell r="J2135">
            <v>812</v>
          </cell>
          <cell r="K2135">
            <v>906</v>
          </cell>
          <cell r="L2135">
            <v>772</v>
          </cell>
          <cell r="M2135">
            <v>44.1</v>
          </cell>
          <cell r="N2135">
            <v>2015</v>
          </cell>
          <cell r="O2135">
            <v>934</v>
          </cell>
          <cell r="P2135" t="e">
            <v>#N/A</v>
          </cell>
        </row>
        <row r="2136">
          <cell r="B2136" t="str">
            <v>University of JaÃ©n</v>
          </cell>
          <cell r="C2136" t="str">
            <v>Spain</v>
          </cell>
          <cell r="D2136">
            <v>37</v>
          </cell>
          <cell r="E2136">
            <v>367</v>
          </cell>
          <cell r="F2136">
            <v>567</v>
          </cell>
          <cell r="G2136">
            <v>218</v>
          </cell>
          <cell r="H2136">
            <v>920</v>
          </cell>
          <cell r="I2136">
            <v>871</v>
          </cell>
          <cell r="J2136">
            <v>645</v>
          </cell>
          <cell r="K2136">
            <v>896</v>
          </cell>
          <cell r="L2136">
            <v>563</v>
          </cell>
          <cell r="M2136">
            <v>44.09</v>
          </cell>
          <cell r="N2136">
            <v>2015</v>
          </cell>
          <cell r="O2136">
            <v>935</v>
          </cell>
          <cell r="P2136" t="e">
            <v>#N/A</v>
          </cell>
        </row>
        <row r="2137">
          <cell r="B2137" t="str">
            <v>University of California, Merced</v>
          </cell>
          <cell r="C2137" t="str">
            <v>USA</v>
          </cell>
          <cell r="D2137">
            <v>229</v>
          </cell>
          <cell r="E2137">
            <v>367</v>
          </cell>
          <cell r="F2137">
            <v>567</v>
          </cell>
          <cell r="G2137">
            <v>218</v>
          </cell>
          <cell r="H2137">
            <v>899</v>
          </cell>
          <cell r="I2137">
            <v>540</v>
          </cell>
          <cell r="J2137">
            <v>812</v>
          </cell>
          <cell r="K2137">
            <v>906</v>
          </cell>
          <cell r="L2137">
            <v>491</v>
          </cell>
          <cell r="M2137">
            <v>44.09</v>
          </cell>
          <cell r="N2137">
            <v>2015</v>
          </cell>
          <cell r="O2137">
            <v>936</v>
          </cell>
          <cell r="P2137" t="e">
            <v>#N/A</v>
          </cell>
        </row>
        <row r="2138">
          <cell r="B2138" t="str">
            <v>University of Waikato</v>
          </cell>
          <cell r="C2138" t="str">
            <v>New Zealand</v>
          </cell>
          <cell r="D2138">
            <v>6</v>
          </cell>
          <cell r="E2138">
            <v>367</v>
          </cell>
          <cell r="F2138">
            <v>474</v>
          </cell>
          <cell r="G2138">
            <v>218</v>
          </cell>
          <cell r="H2138">
            <v>945</v>
          </cell>
          <cell r="I2138">
            <v>870</v>
          </cell>
          <cell r="J2138">
            <v>511</v>
          </cell>
          <cell r="K2138">
            <v>906</v>
          </cell>
          <cell r="L2138">
            <v>703</v>
          </cell>
          <cell r="M2138">
            <v>44.09</v>
          </cell>
          <cell r="N2138">
            <v>2015</v>
          </cell>
          <cell r="O2138">
            <v>937</v>
          </cell>
          <cell r="P2138">
            <v>13.3</v>
          </cell>
        </row>
        <row r="2139">
          <cell r="B2139" t="str">
            <v>University of Central Lancashire</v>
          </cell>
          <cell r="C2139" t="str">
            <v>United Kingdom</v>
          </cell>
          <cell r="D2139">
            <v>65</v>
          </cell>
          <cell r="E2139">
            <v>367</v>
          </cell>
          <cell r="F2139">
            <v>494</v>
          </cell>
          <cell r="G2139">
            <v>218</v>
          </cell>
          <cell r="H2139">
            <v>946</v>
          </cell>
          <cell r="I2139">
            <v>603</v>
          </cell>
          <cell r="J2139">
            <v>511</v>
          </cell>
          <cell r="K2139">
            <v>906</v>
          </cell>
          <cell r="L2139">
            <v>749</v>
          </cell>
          <cell r="M2139">
            <v>44.09</v>
          </cell>
          <cell r="N2139">
            <v>2015</v>
          </cell>
          <cell r="O2139">
            <v>938</v>
          </cell>
          <cell r="P2139">
            <v>15.7</v>
          </cell>
        </row>
        <row r="2140">
          <cell r="B2140" t="str">
            <v>Federal University of Pernambuco</v>
          </cell>
          <cell r="C2140" t="str">
            <v>Brazil</v>
          </cell>
          <cell r="D2140">
            <v>13</v>
          </cell>
          <cell r="E2140">
            <v>367</v>
          </cell>
          <cell r="F2140">
            <v>552</v>
          </cell>
          <cell r="G2140">
            <v>218</v>
          </cell>
          <cell r="H2140">
            <v>749</v>
          </cell>
          <cell r="I2140">
            <v>884</v>
          </cell>
          <cell r="J2140">
            <v>812</v>
          </cell>
          <cell r="K2140">
            <v>946</v>
          </cell>
          <cell r="L2140">
            <v>417</v>
          </cell>
          <cell r="M2140">
            <v>44.09</v>
          </cell>
          <cell r="N2140">
            <v>2015</v>
          </cell>
          <cell r="O2140">
            <v>939</v>
          </cell>
          <cell r="P2140" t="e">
            <v>#N/A</v>
          </cell>
        </row>
        <row r="2141">
          <cell r="B2141" t="str">
            <v>University of AlmerÃ­a</v>
          </cell>
          <cell r="C2141" t="str">
            <v>Spain</v>
          </cell>
          <cell r="D2141">
            <v>38</v>
          </cell>
          <cell r="E2141">
            <v>367</v>
          </cell>
          <cell r="F2141">
            <v>567</v>
          </cell>
          <cell r="G2141">
            <v>218</v>
          </cell>
          <cell r="H2141">
            <v>967</v>
          </cell>
          <cell r="I2141">
            <v>974</v>
          </cell>
          <cell r="J2141">
            <v>812</v>
          </cell>
          <cell r="K2141">
            <v>896</v>
          </cell>
          <cell r="L2141">
            <v>681</v>
          </cell>
          <cell r="M2141">
            <v>44.09</v>
          </cell>
          <cell r="N2141">
            <v>2015</v>
          </cell>
          <cell r="O2141">
            <v>940</v>
          </cell>
          <cell r="P2141" t="e">
            <v>#N/A</v>
          </cell>
        </row>
        <row r="2142">
          <cell r="B2142" t="str">
            <v>Federal University of SÃ£o Carlos</v>
          </cell>
          <cell r="C2142" t="str">
            <v>Brazil</v>
          </cell>
          <cell r="D2142">
            <v>14</v>
          </cell>
          <cell r="E2142">
            <v>367</v>
          </cell>
          <cell r="F2142">
            <v>567</v>
          </cell>
          <cell r="G2142">
            <v>218</v>
          </cell>
          <cell r="H2142">
            <v>722</v>
          </cell>
          <cell r="I2142">
            <v>948</v>
          </cell>
          <cell r="J2142">
            <v>812</v>
          </cell>
          <cell r="K2142">
            <v>906</v>
          </cell>
          <cell r="L2142">
            <v>774</v>
          </cell>
          <cell r="M2142">
            <v>44.09</v>
          </cell>
          <cell r="N2142">
            <v>2015</v>
          </cell>
          <cell r="O2142">
            <v>941</v>
          </cell>
          <cell r="P2142">
            <v>29</v>
          </cell>
        </row>
        <row r="2143">
          <cell r="B2143" t="str">
            <v>Charles Darwin University</v>
          </cell>
          <cell r="C2143" t="str">
            <v>Australia</v>
          </cell>
          <cell r="D2143">
            <v>27</v>
          </cell>
          <cell r="E2143">
            <v>367</v>
          </cell>
          <cell r="F2143">
            <v>567</v>
          </cell>
          <cell r="G2143">
            <v>218</v>
          </cell>
          <cell r="H2143">
            <v>931</v>
          </cell>
          <cell r="I2143">
            <v>742</v>
          </cell>
          <cell r="J2143">
            <v>645</v>
          </cell>
          <cell r="K2143">
            <v>896</v>
          </cell>
          <cell r="L2143">
            <v>871</v>
          </cell>
          <cell r="M2143">
            <v>44.09</v>
          </cell>
          <cell r="N2143">
            <v>2015</v>
          </cell>
          <cell r="O2143">
            <v>942</v>
          </cell>
          <cell r="P2143">
            <v>16.399999999999999</v>
          </cell>
        </row>
        <row r="2144">
          <cell r="B2144" t="str">
            <v>Yangzhou University</v>
          </cell>
          <cell r="C2144" t="str">
            <v>China</v>
          </cell>
          <cell r="D2144">
            <v>65</v>
          </cell>
          <cell r="E2144">
            <v>367</v>
          </cell>
          <cell r="F2144">
            <v>567</v>
          </cell>
          <cell r="G2144">
            <v>218</v>
          </cell>
          <cell r="H2144">
            <v>891</v>
          </cell>
          <cell r="I2144">
            <v>873</v>
          </cell>
          <cell r="J2144">
            <v>812</v>
          </cell>
          <cell r="K2144">
            <v>896</v>
          </cell>
          <cell r="L2144">
            <v>871</v>
          </cell>
          <cell r="M2144">
            <v>44.09</v>
          </cell>
          <cell r="N2144">
            <v>2015</v>
          </cell>
          <cell r="O2144">
            <v>943</v>
          </cell>
          <cell r="P2144" t="e">
            <v>#N/A</v>
          </cell>
        </row>
        <row r="2145">
          <cell r="B2145" t="str">
            <v>WrocÅ‚aw University of Technology</v>
          </cell>
          <cell r="C2145" t="str">
            <v>Poland</v>
          </cell>
          <cell r="D2145">
            <v>8</v>
          </cell>
          <cell r="E2145">
            <v>367</v>
          </cell>
          <cell r="F2145">
            <v>409</v>
          </cell>
          <cell r="G2145">
            <v>218</v>
          </cell>
          <cell r="H2145">
            <v>798</v>
          </cell>
          <cell r="I2145">
            <v>947</v>
          </cell>
          <cell r="J2145">
            <v>645</v>
          </cell>
          <cell r="K2145">
            <v>946</v>
          </cell>
          <cell r="L2145">
            <v>861</v>
          </cell>
          <cell r="M2145">
            <v>44.09</v>
          </cell>
          <cell r="N2145">
            <v>2015</v>
          </cell>
          <cell r="O2145">
            <v>944</v>
          </cell>
          <cell r="P2145" t="e">
            <v>#N/A</v>
          </cell>
        </row>
        <row r="2146">
          <cell r="B2146" t="str">
            <v>Hirosaki University</v>
          </cell>
          <cell r="C2146" t="str">
            <v>Japan</v>
          </cell>
          <cell r="D2146">
            <v>73</v>
          </cell>
          <cell r="E2146">
            <v>367</v>
          </cell>
          <cell r="F2146">
            <v>505</v>
          </cell>
          <cell r="G2146">
            <v>218</v>
          </cell>
          <cell r="H2146">
            <v>951</v>
          </cell>
          <cell r="I2146">
            <v>844</v>
          </cell>
          <cell r="J2146">
            <v>511</v>
          </cell>
          <cell r="K2146">
            <v>906</v>
          </cell>
          <cell r="L2146">
            <v>693</v>
          </cell>
          <cell r="M2146">
            <v>44.08</v>
          </cell>
          <cell r="N2146">
            <v>2015</v>
          </cell>
          <cell r="O2146">
            <v>945</v>
          </cell>
          <cell r="P2146" t="e">
            <v>#N/A</v>
          </cell>
        </row>
        <row r="2147">
          <cell r="B2147" t="str">
            <v>National Taiwan Ocean University</v>
          </cell>
          <cell r="C2147" t="str">
            <v>Taiwan</v>
          </cell>
          <cell r="D2147">
            <v>17</v>
          </cell>
          <cell r="E2147">
            <v>367</v>
          </cell>
          <cell r="F2147">
            <v>413</v>
          </cell>
          <cell r="G2147">
            <v>218</v>
          </cell>
          <cell r="H2147">
            <v>790</v>
          </cell>
          <cell r="I2147">
            <v>940</v>
          </cell>
          <cell r="J2147">
            <v>812</v>
          </cell>
          <cell r="K2147">
            <v>946</v>
          </cell>
          <cell r="L2147">
            <v>871</v>
          </cell>
          <cell r="M2147">
            <v>44.08</v>
          </cell>
          <cell r="N2147">
            <v>2015</v>
          </cell>
          <cell r="O2147">
            <v>946</v>
          </cell>
          <cell r="P2147">
            <v>12.5</v>
          </cell>
        </row>
        <row r="2148">
          <cell r="B2148" t="str">
            <v>Jiangsu University</v>
          </cell>
          <cell r="C2148" t="str">
            <v>China</v>
          </cell>
          <cell r="D2148">
            <v>66</v>
          </cell>
          <cell r="E2148">
            <v>367</v>
          </cell>
          <cell r="F2148">
            <v>556</v>
          </cell>
          <cell r="G2148">
            <v>218</v>
          </cell>
          <cell r="H2148">
            <v>808</v>
          </cell>
          <cell r="I2148">
            <v>969</v>
          </cell>
          <cell r="J2148">
            <v>812</v>
          </cell>
          <cell r="K2148">
            <v>981</v>
          </cell>
          <cell r="L2148">
            <v>323</v>
          </cell>
          <cell r="M2148">
            <v>44.08</v>
          </cell>
          <cell r="N2148">
            <v>2015</v>
          </cell>
          <cell r="O2148">
            <v>947</v>
          </cell>
          <cell r="P2148" t="e">
            <v>#N/A</v>
          </cell>
        </row>
        <row r="2149">
          <cell r="B2149" t="str">
            <v>Northwestern Polytechnical University</v>
          </cell>
          <cell r="C2149" t="str">
            <v>China</v>
          </cell>
          <cell r="D2149">
            <v>67</v>
          </cell>
          <cell r="E2149">
            <v>367</v>
          </cell>
          <cell r="F2149">
            <v>351</v>
          </cell>
          <cell r="G2149">
            <v>218</v>
          </cell>
          <cell r="H2149">
            <v>566</v>
          </cell>
          <cell r="I2149">
            <v>962</v>
          </cell>
          <cell r="J2149">
            <v>812</v>
          </cell>
          <cell r="K2149">
            <v>989</v>
          </cell>
          <cell r="L2149">
            <v>871</v>
          </cell>
          <cell r="M2149">
            <v>44.08</v>
          </cell>
          <cell r="N2149">
            <v>2015</v>
          </cell>
          <cell r="O2149">
            <v>948</v>
          </cell>
          <cell r="P2149">
            <v>23.4</v>
          </cell>
        </row>
        <row r="2150">
          <cell r="B2150" t="str">
            <v>Xiangtan University</v>
          </cell>
          <cell r="C2150" t="str">
            <v>China</v>
          </cell>
          <cell r="D2150">
            <v>68</v>
          </cell>
          <cell r="E2150">
            <v>367</v>
          </cell>
          <cell r="F2150">
            <v>384</v>
          </cell>
          <cell r="G2150">
            <v>218</v>
          </cell>
          <cell r="H2150">
            <v>862</v>
          </cell>
          <cell r="I2150">
            <v>935</v>
          </cell>
          <cell r="J2150">
            <v>812</v>
          </cell>
          <cell r="K2150">
            <v>958</v>
          </cell>
          <cell r="L2150">
            <v>778</v>
          </cell>
          <cell r="M2150">
            <v>44.08</v>
          </cell>
          <cell r="N2150">
            <v>2015</v>
          </cell>
          <cell r="O2150">
            <v>949</v>
          </cell>
          <cell r="P2150" t="e">
            <v>#N/A</v>
          </cell>
        </row>
        <row r="2151">
          <cell r="B2151" t="str">
            <v>United Arab Emirates University</v>
          </cell>
          <cell r="C2151" t="str">
            <v>United Arab Emirates</v>
          </cell>
          <cell r="D2151">
            <v>1</v>
          </cell>
          <cell r="E2151">
            <v>367</v>
          </cell>
          <cell r="F2151">
            <v>521</v>
          </cell>
          <cell r="G2151">
            <v>218</v>
          </cell>
          <cell r="H2151">
            <v>994</v>
          </cell>
          <cell r="I2151">
            <v>851</v>
          </cell>
          <cell r="J2151">
            <v>812</v>
          </cell>
          <cell r="K2151">
            <v>906</v>
          </cell>
          <cell r="L2151">
            <v>689</v>
          </cell>
          <cell r="M2151">
            <v>44.08</v>
          </cell>
          <cell r="N2151">
            <v>2015</v>
          </cell>
          <cell r="O2151">
            <v>950</v>
          </cell>
          <cell r="P2151">
            <v>18.8</v>
          </cell>
        </row>
        <row r="2152">
          <cell r="B2152" t="str">
            <v>Gachon University</v>
          </cell>
          <cell r="C2152" t="str">
            <v>South Korea</v>
          </cell>
          <cell r="D2152">
            <v>34</v>
          </cell>
          <cell r="E2152">
            <v>367</v>
          </cell>
          <cell r="F2152">
            <v>567</v>
          </cell>
          <cell r="G2152">
            <v>218</v>
          </cell>
          <cell r="H2152">
            <v>918</v>
          </cell>
          <cell r="I2152">
            <v>880</v>
          </cell>
          <cell r="J2152">
            <v>812</v>
          </cell>
          <cell r="K2152">
            <v>932</v>
          </cell>
          <cell r="L2152">
            <v>451</v>
          </cell>
          <cell r="M2152">
            <v>44.08</v>
          </cell>
          <cell r="N2152">
            <v>2015</v>
          </cell>
          <cell r="O2152">
            <v>951</v>
          </cell>
          <cell r="P2152" t="e">
            <v>#N/A</v>
          </cell>
        </row>
        <row r="2153">
          <cell r="B2153" t="str">
            <v>Hallym University</v>
          </cell>
          <cell r="C2153" t="str">
            <v>South Korea</v>
          </cell>
          <cell r="D2153">
            <v>35</v>
          </cell>
          <cell r="E2153">
            <v>367</v>
          </cell>
          <cell r="F2153">
            <v>567</v>
          </cell>
          <cell r="G2153">
            <v>218</v>
          </cell>
          <cell r="H2153">
            <v>884</v>
          </cell>
          <cell r="I2153">
            <v>908</v>
          </cell>
          <cell r="J2153">
            <v>812</v>
          </cell>
          <cell r="K2153">
            <v>921</v>
          </cell>
          <cell r="L2153">
            <v>565</v>
          </cell>
          <cell r="M2153">
            <v>44.08</v>
          </cell>
          <cell r="N2153">
            <v>2015</v>
          </cell>
          <cell r="O2153">
            <v>952</v>
          </cell>
          <cell r="P2153" t="e">
            <v>#N/A</v>
          </cell>
        </row>
        <row r="2154">
          <cell r="B2154" t="str">
            <v>Harbin Engineering University</v>
          </cell>
          <cell r="C2154" t="str">
            <v>China</v>
          </cell>
          <cell r="D2154">
            <v>69</v>
          </cell>
          <cell r="E2154">
            <v>367</v>
          </cell>
          <cell r="F2154">
            <v>567</v>
          </cell>
          <cell r="G2154">
            <v>218</v>
          </cell>
          <cell r="H2154">
            <v>970</v>
          </cell>
          <cell r="I2154">
            <v>991</v>
          </cell>
          <cell r="J2154">
            <v>645</v>
          </cell>
          <cell r="K2154">
            <v>906</v>
          </cell>
          <cell r="L2154">
            <v>839</v>
          </cell>
          <cell r="M2154">
            <v>44.07</v>
          </cell>
          <cell r="N2154">
            <v>2015</v>
          </cell>
          <cell r="O2154">
            <v>953</v>
          </cell>
          <cell r="P2154" t="e">
            <v>#N/A</v>
          </cell>
        </row>
        <row r="2155">
          <cell r="B2155" t="str">
            <v>Dokuz EylÃ¼l University</v>
          </cell>
          <cell r="C2155" t="str">
            <v>Turkey</v>
          </cell>
          <cell r="D2155">
            <v>10</v>
          </cell>
          <cell r="E2155">
            <v>367</v>
          </cell>
          <cell r="F2155">
            <v>567</v>
          </cell>
          <cell r="G2155">
            <v>218</v>
          </cell>
          <cell r="H2155">
            <v>931</v>
          </cell>
          <cell r="I2155">
            <v>957</v>
          </cell>
          <cell r="J2155">
            <v>812</v>
          </cell>
          <cell r="K2155">
            <v>906</v>
          </cell>
          <cell r="L2155">
            <v>871</v>
          </cell>
          <cell r="M2155">
            <v>44.07</v>
          </cell>
          <cell r="N2155">
            <v>2015</v>
          </cell>
          <cell r="O2155">
            <v>954</v>
          </cell>
          <cell r="P2155" t="e">
            <v>#N/A</v>
          </cell>
        </row>
        <row r="2156">
          <cell r="B2156" t="str">
            <v>Jinan University</v>
          </cell>
          <cell r="C2156" t="str">
            <v>China</v>
          </cell>
          <cell r="D2156">
            <v>70</v>
          </cell>
          <cell r="E2156">
            <v>367</v>
          </cell>
          <cell r="F2156">
            <v>336</v>
          </cell>
          <cell r="G2156">
            <v>218</v>
          </cell>
          <cell r="H2156">
            <v>793</v>
          </cell>
          <cell r="I2156">
            <v>897</v>
          </cell>
          <cell r="J2156">
            <v>812</v>
          </cell>
          <cell r="K2156">
            <v>984</v>
          </cell>
          <cell r="L2156">
            <v>688</v>
          </cell>
          <cell r="M2156">
            <v>44.07</v>
          </cell>
          <cell r="N2156">
            <v>2015</v>
          </cell>
          <cell r="O2156">
            <v>955</v>
          </cell>
          <cell r="P2156" t="e">
            <v>#N/A</v>
          </cell>
        </row>
        <row r="2157">
          <cell r="B2157" t="str">
            <v>Shiraz University</v>
          </cell>
          <cell r="C2157" t="str">
            <v>Iran</v>
          </cell>
          <cell r="D2157">
            <v>7</v>
          </cell>
          <cell r="E2157">
            <v>367</v>
          </cell>
          <cell r="F2157">
            <v>567</v>
          </cell>
          <cell r="G2157">
            <v>218</v>
          </cell>
          <cell r="H2157">
            <v>865</v>
          </cell>
          <cell r="I2157">
            <v>962</v>
          </cell>
          <cell r="J2157">
            <v>645</v>
          </cell>
          <cell r="K2157">
            <v>921</v>
          </cell>
          <cell r="L2157">
            <v>871</v>
          </cell>
          <cell r="M2157">
            <v>44.07</v>
          </cell>
          <cell r="N2157">
            <v>2015</v>
          </cell>
          <cell r="O2157">
            <v>956</v>
          </cell>
          <cell r="P2157" t="e">
            <v>#N/A</v>
          </cell>
        </row>
        <row r="2158">
          <cell r="B2158" t="str">
            <v>Third Military Medical University</v>
          </cell>
          <cell r="C2158" t="str">
            <v>China</v>
          </cell>
          <cell r="D2158">
            <v>71</v>
          </cell>
          <cell r="E2158">
            <v>367</v>
          </cell>
          <cell r="F2158">
            <v>567</v>
          </cell>
          <cell r="G2158">
            <v>218</v>
          </cell>
          <cell r="H2158">
            <v>737</v>
          </cell>
          <cell r="I2158">
            <v>809</v>
          </cell>
          <cell r="J2158">
            <v>645</v>
          </cell>
          <cell r="K2158">
            <v>932</v>
          </cell>
          <cell r="L2158">
            <v>721</v>
          </cell>
          <cell r="M2158">
            <v>44.07</v>
          </cell>
          <cell r="N2158">
            <v>2015</v>
          </cell>
          <cell r="O2158">
            <v>957</v>
          </cell>
          <cell r="P2158" t="e">
            <v>#N/A</v>
          </cell>
        </row>
        <row r="2159">
          <cell r="B2159" t="str">
            <v>Amirkabir University of Technology</v>
          </cell>
          <cell r="C2159" t="str">
            <v>Iran</v>
          </cell>
          <cell r="D2159">
            <v>8</v>
          </cell>
          <cell r="E2159">
            <v>367</v>
          </cell>
          <cell r="F2159">
            <v>567</v>
          </cell>
          <cell r="G2159">
            <v>218</v>
          </cell>
          <cell r="H2159">
            <v>725</v>
          </cell>
          <cell r="I2159">
            <v>962</v>
          </cell>
          <cell r="J2159">
            <v>645</v>
          </cell>
          <cell r="K2159">
            <v>932</v>
          </cell>
          <cell r="L2159">
            <v>871</v>
          </cell>
          <cell r="M2159">
            <v>44.07</v>
          </cell>
          <cell r="N2159">
            <v>2015</v>
          </cell>
          <cell r="O2159">
            <v>958</v>
          </cell>
          <cell r="P2159">
            <v>24.5</v>
          </cell>
        </row>
        <row r="2160">
          <cell r="B2160" t="str">
            <v>Public University of Navarre</v>
          </cell>
          <cell r="C2160" t="str">
            <v>Spain</v>
          </cell>
          <cell r="D2160">
            <v>39</v>
          </cell>
          <cell r="E2160">
            <v>367</v>
          </cell>
          <cell r="F2160">
            <v>567</v>
          </cell>
          <cell r="G2160">
            <v>218</v>
          </cell>
          <cell r="H2160">
            <v>972</v>
          </cell>
          <cell r="I2160">
            <v>831</v>
          </cell>
          <cell r="J2160">
            <v>812</v>
          </cell>
          <cell r="K2160">
            <v>921</v>
          </cell>
          <cell r="L2160">
            <v>697</v>
          </cell>
          <cell r="M2160">
            <v>44.07</v>
          </cell>
          <cell r="N2160">
            <v>2015</v>
          </cell>
          <cell r="O2160">
            <v>959</v>
          </cell>
          <cell r="P2160" t="e">
            <v>#N/A</v>
          </cell>
        </row>
        <row r="2161">
          <cell r="B2161" t="str">
            <v>Federico Santa MarÃ­a Technical University</v>
          </cell>
          <cell r="C2161" t="str">
            <v>Chile</v>
          </cell>
          <cell r="D2161">
            <v>4</v>
          </cell>
          <cell r="E2161">
            <v>367</v>
          </cell>
          <cell r="F2161">
            <v>567</v>
          </cell>
          <cell r="G2161">
            <v>218</v>
          </cell>
          <cell r="H2161">
            <v>955</v>
          </cell>
          <cell r="I2161">
            <v>923</v>
          </cell>
          <cell r="J2161">
            <v>368</v>
          </cell>
          <cell r="K2161">
            <v>946</v>
          </cell>
          <cell r="L2161">
            <v>645</v>
          </cell>
          <cell r="M2161">
            <v>44.07</v>
          </cell>
          <cell r="N2161">
            <v>2015</v>
          </cell>
          <cell r="O2161">
            <v>960</v>
          </cell>
          <cell r="P2161">
            <v>13</v>
          </cell>
        </row>
        <row r="2162">
          <cell r="B2162" t="str">
            <v>Federal University of ABC</v>
          </cell>
          <cell r="C2162" t="str">
            <v>Brazil</v>
          </cell>
          <cell r="D2162">
            <v>15</v>
          </cell>
          <cell r="E2162">
            <v>367</v>
          </cell>
          <cell r="F2162">
            <v>567</v>
          </cell>
          <cell r="G2162">
            <v>218</v>
          </cell>
          <cell r="H2162">
            <v>929</v>
          </cell>
          <cell r="I2162">
            <v>923</v>
          </cell>
          <cell r="J2162">
            <v>645</v>
          </cell>
          <cell r="K2162">
            <v>921</v>
          </cell>
          <cell r="L2162">
            <v>871</v>
          </cell>
          <cell r="M2162">
            <v>44.07</v>
          </cell>
          <cell r="N2162">
            <v>2015</v>
          </cell>
          <cell r="O2162">
            <v>961</v>
          </cell>
          <cell r="P2162" t="e">
            <v>#N/A</v>
          </cell>
        </row>
        <row r="2163">
          <cell r="B2163" t="str">
            <v>University of Puerto Rico at MayagÃ¼ez</v>
          </cell>
          <cell r="C2163" t="str">
            <v>Puerto Rico</v>
          </cell>
          <cell r="D2163">
            <v>1</v>
          </cell>
          <cell r="E2163">
            <v>367</v>
          </cell>
          <cell r="F2163">
            <v>567</v>
          </cell>
          <cell r="G2163">
            <v>218</v>
          </cell>
          <cell r="H2163">
            <v>998</v>
          </cell>
          <cell r="I2163">
            <v>793</v>
          </cell>
          <cell r="J2163">
            <v>645</v>
          </cell>
          <cell r="K2163">
            <v>921</v>
          </cell>
          <cell r="L2163">
            <v>871</v>
          </cell>
          <cell r="M2163">
            <v>44.06</v>
          </cell>
          <cell r="N2163">
            <v>2015</v>
          </cell>
          <cell r="O2163">
            <v>962</v>
          </cell>
          <cell r="P2163" t="e">
            <v>#N/A</v>
          </cell>
        </row>
        <row r="2164">
          <cell r="B2164" t="str">
            <v>Southern Medical University</v>
          </cell>
          <cell r="C2164" t="str">
            <v>China</v>
          </cell>
          <cell r="D2164">
            <v>72</v>
          </cell>
          <cell r="E2164">
            <v>367</v>
          </cell>
          <cell r="F2164">
            <v>567</v>
          </cell>
          <cell r="G2164">
            <v>218</v>
          </cell>
          <cell r="H2164">
            <v>801</v>
          </cell>
          <cell r="I2164">
            <v>758</v>
          </cell>
          <cell r="J2164">
            <v>812</v>
          </cell>
          <cell r="K2164">
            <v>932</v>
          </cell>
          <cell r="L2164">
            <v>782</v>
          </cell>
          <cell r="M2164">
            <v>44.06</v>
          </cell>
          <cell r="N2164">
            <v>2015</v>
          </cell>
          <cell r="O2164">
            <v>963</v>
          </cell>
          <cell r="P2164" t="e">
            <v>#N/A</v>
          </cell>
        </row>
        <row r="2165">
          <cell r="B2165" t="str">
            <v>University of Silesia</v>
          </cell>
          <cell r="C2165" t="str">
            <v>Poland</v>
          </cell>
          <cell r="D2165">
            <v>9</v>
          </cell>
          <cell r="E2165">
            <v>367</v>
          </cell>
          <cell r="F2165">
            <v>567</v>
          </cell>
          <cell r="G2165">
            <v>218</v>
          </cell>
          <cell r="H2165">
            <v>867</v>
          </cell>
          <cell r="I2165">
            <v>864</v>
          </cell>
          <cell r="J2165">
            <v>511</v>
          </cell>
          <cell r="K2165">
            <v>932</v>
          </cell>
          <cell r="L2165">
            <v>871</v>
          </cell>
          <cell r="M2165">
            <v>44.06</v>
          </cell>
          <cell r="N2165">
            <v>2015</v>
          </cell>
          <cell r="O2165">
            <v>964</v>
          </cell>
          <cell r="P2165" t="e">
            <v>#N/A</v>
          </cell>
        </row>
        <row r="2166">
          <cell r="B2166" t="str">
            <v>Ain Shams University</v>
          </cell>
          <cell r="C2166" t="str">
            <v>Egypt</v>
          </cell>
          <cell r="D2166">
            <v>2</v>
          </cell>
          <cell r="E2166">
            <v>367</v>
          </cell>
          <cell r="F2166">
            <v>567</v>
          </cell>
          <cell r="G2166">
            <v>218</v>
          </cell>
          <cell r="H2166">
            <v>875</v>
          </cell>
          <cell r="I2166">
            <v>832</v>
          </cell>
          <cell r="J2166">
            <v>511</v>
          </cell>
          <cell r="K2166">
            <v>932</v>
          </cell>
          <cell r="L2166">
            <v>871</v>
          </cell>
          <cell r="M2166">
            <v>44.06</v>
          </cell>
          <cell r="N2166">
            <v>2015</v>
          </cell>
          <cell r="O2166">
            <v>965</v>
          </cell>
          <cell r="P2166" t="e">
            <v>#N/A</v>
          </cell>
        </row>
        <row r="2167">
          <cell r="B2167" t="str">
            <v>University of Valenciennes and Hainaut-Cambresis</v>
          </cell>
          <cell r="C2167" t="str">
            <v>France</v>
          </cell>
          <cell r="D2167">
            <v>47</v>
          </cell>
          <cell r="E2167">
            <v>367</v>
          </cell>
          <cell r="F2167">
            <v>567</v>
          </cell>
          <cell r="G2167">
            <v>218</v>
          </cell>
          <cell r="H2167">
            <v>866</v>
          </cell>
          <cell r="I2167">
            <v>950</v>
          </cell>
          <cell r="J2167">
            <v>645</v>
          </cell>
          <cell r="K2167">
            <v>932</v>
          </cell>
          <cell r="L2167">
            <v>871</v>
          </cell>
          <cell r="M2167">
            <v>44.06</v>
          </cell>
          <cell r="N2167">
            <v>2015</v>
          </cell>
          <cell r="O2167">
            <v>966</v>
          </cell>
          <cell r="P2167" t="e">
            <v>#N/A</v>
          </cell>
        </row>
        <row r="2168">
          <cell r="B2168" t="str">
            <v>Chung Shan Medical University</v>
          </cell>
          <cell r="C2168" t="str">
            <v>Taiwan</v>
          </cell>
          <cell r="D2168">
            <v>18</v>
          </cell>
          <cell r="E2168">
            <v>367</v>
          </cell>
          <cell r="F2168">
            <v>567</v>
          </cell>
          <cell r="G2168">
            <v>218</v>
          </cell>
          <cell r="H2168">
            <v>727</v>
          </cell>
          <cell r="I2168">
            <v>973</v>
          </cell>
          <cell r="J2168">
            <v>645</v>
          </cell>
          <cell r="K2168">
            <v>946</v>
          </cell>
          <cell r="L2168">
            <v>871</v>
          </cell>
          <cell r="M2168">
            <v>44.06</v>
          </cell>
          <cell r="N2168">
            <v>2015</v>
          </cell>
          <cell r="O2168">
            <v>967</v>
          </cell>
          <cell r="P2168" t="e">
            <v>#N/A</v>
          </cell>
        </row>
        <row r="2169">
          <cell r="B2169" t="str">
            <v>National University of Colombia</v>
          </cell>
          <cell r="C2169" t="str">
            <v>Colombia</v>
          </cell>
          <cell r="D2169">
            <v>2</v>
          </cell>
          <cell r="E2169">
            <v>367</v>
          </cell>
          <cell r="F2169">
            <v>312</v>
          </cell>
          <cell r="G2169">
            <v>218</v>
          </cell>
          <cell r="H2169">
            <v>871</v>
          </cell>
          <cell r="I2169">
            <v>732</v>
          </cell>
          <cell r="J2169">
            <v>812</v>
          </cell>
          <cell r="K2169">
            <v>994</v>
          </cell>
          <cell r="L2169">
            <v>861</v>
          </cell>
          <cell r="M2169">
            <v>44.06</v>
          </cell>
          <cell r="N2169">
            <v>2015</v>
          </cell>
          <cell r="O2169">
            <v>968</v>
          </cell>
          <cell r="P2169" t="e">
            <v>#N/A</v>
          </cell>
        </row>
        <row r="2170">
          <cell r="B2170" t="str">
            <v>South China Agricultural University</v>
          </cell>
          <cell r="C2170" t="str">
            <v>China</v>
          </cell>
          <cell r="D2170">
            <v>73</v>
          </cell>
          <cell r="E2170">
            <v>367</v>
          </cell>
          <cell r="F2170">
            <v>567</v>
          </cell>
          <cell r="G2170">
            <v>218</v>
          </cell>
          <cell r="H2170">
            <v>877</v>
          </cell>
          <cell r="I2170">
            <v>811</v>
          </cell>
          <cell r="J2170">
            <v>812</v>
          </cell>
          <cell r="K2170">
            <v>932</v>
          </cell>
          <cell r="L2170">
            <v>871</v>
          </cell>
          <cell r="M2170">
            <v>44.06</v>
          </cell>
          <cell r="N2170">
            <v>2015</v>
          </cell>
          <cell r="O2170">
            <v>969</v>
          </cell>
          <cell r="P2170" t="e">
            <v>#N/A</v>
          </cell>
        </row>
        <row r="2171">
          <cell r="B2171" t="str">
            <v>Ibaraki University</v>
          </cell>
          <cell r="C2171" t="str">
            <v>Japan</v>
          </cell>
          <cell r="D2171">
            <v>74</v>
          </cell>
          <cell r="E2171">
            <v>367</v>
          </cell>
          <cell r="F2171">
            <v>567</v>
          </cell>
          <cell r="G2171">
            <v>218</v>
          </cell>
          <cell r="H2171">
            <v>999</v>
          </cell>
          <cell r="I2171">
            <v>448</v>
          </cell>
          <cell r="J2171">
            <v>645</v>
          </cell>
          <cell r="K2171">
            <v>946</v>
          </cell>
          <cell r="L2171">
            <v>562</v>
          </cell>
          <cell r="M2171">
            <v>44.06</v>
          </cell>
          <cell r="N2171">
            <v>2015</v>
          </cell>
          <cell r="O2171">
            <v>970</v>
          </cell>
          <cell r="P2171" t="e">
            <v>#N/A</v>
          </cell>
        </row>
        <row r="2172">
          <cell r="B2172" t="str">
            <v>Fu Jen Catholic University</v>
          </cell>
          <cell r="C2172" t="str">
            <v>Taiwan</v>
          </cell>
          <cell r="D2172">
            <v>19</v>
          </cell>
          <cell r="E2172">
            <v>367</v>
          </cell>
          <cell r="F2172">
            <v>446</v>
          </cell>
          <cell r="G2172">
            <v>218</v>
          </cell>
          <cell r="H2172">
            <v>984</v>
          </cell>
          <cell r="I2172">
            <v>887</v>
          </cell>
          <cell r="J2172">
            <v>812</v>
          </cell>
          <cell r="K2172">
            <v>958</v>
          </cell>
          <cell r="L2172">
            <v>824</v>
          </cell>
          <cell r="M2172">
            <v>44.06</v>
          </cell>
          <cell r="N2172">
            <v>2015</v>
          </cell>
          <cell r="O2172">
            <v>971</v>
          </cell>
          <cell r="P2172">
            <v>14.4</v>
          </cell>
        </row>
        <row r="2173">
          <cell r="B2173" t="str">
            <v>Hunan Normal University</v>
          </cell>
          <cell r="C2173" t="str">
            <v>China</v>
          </cell>
          <cell r="D2173">
            <v>74</v>
          </cell>
          <cell r="E2173">
            <v>367</v>
          </cell>
          <cell r="F2173">
            <v>567</v>
          </cell>
          <cell r="G2173">
            <v>218</v>
          </cell>
          <cell r="H2173">
            <v>923</v>
          </cell>
          <cell r="I2173">
            <v>917</v>
          </cell>
          <cell r="J2173">
            <v>812</v>
          </cell>
          <cell r="K2173">
            <v>932</v>
          </cell>
          <cell r="L2173">
            <v>871</v>
          </cell>
          <cell r="M2173">
            <v>44.06</v>
          </cell>
          <cell r="N2173">
            <v>2015</v>
          </cell>
          <cell r="O2173">
            <v>972</v>
          </cell>
          <cell r="P2173" t="e">
            <v>#N/A</v>
          </cell>
        </row>
        <row r="2174">
          <cell r="B2174" t="str">
            <v>Ulsan National Institute of Science and Technology</v>
          </cell>
          <cell r="C2174" t="str">
            <v>South Korea</v>
          </cell>
          <cell r="D2174">
            <v>36</v>
          </cell>
          <cell r="E2174">
            <v>367</v>
          </cell>
          <cell r="F2174">
            <v>567</v>
          </cell>
          <cell r="G2174">
            <v>218</v>
          </cell>
          <cell r="H2174">
            <v>880</v>
          </cell>
          <cell r="I2174">
            <v>912</v>
          </cell>
          <cell r="J2174">
            <v>645</v>
          </cell>
          <cell r="K2174">
            <v>984</v>
          </cell>
          <cell r="L2174">
            <v>349</v>
          </cell>
          <cell r="M2174">
            <v>44.06</v>
          </cell>
          <cell r="N2174">
            <v>2015</v>
          </cell>
          <cell r="O2174">
            <v>973</v>
          </cell>
          <cell r="P2174" t="e">
            <v>#N/A</v>
          </cell>
        </row>
        <row r="2175">
          <cell r="B2175" t="str">
            <v>Federal University of Santa Maria</v>
          </cell>
          <cell r="C2175" t="str">
            <v>Brazil</v>
          </cell>
          <cell r="D2175">
            <v>16</v>
          </cell>
          <cell r="E2175">
            <v>367</v>
          </cell>
          <cell r="F2175">
            <v>396</v>
          </cell>
          <cell r="G2175">
            <v>218</v>
          </cell>
          <cell r="H2175">
            <v>954</v>
          </cell>
          <cell r="I2175">
            <v>974</v>
          </cell>
          <cell r="J2175">
            <v>812</v>
          </cell>
          <cell r="K2175">
            <v>975</v>
          </cell>
          <cell r="L2175">
            <v>871</v>
          </cell>
          <cell r="M2175">
            <v>44.05</v>
          </cell>
          <cell r="N2175">
            <v>2015</v>
          </cell>
          <cell r="O2175">
            <v>974</v>
          </cell>
          <cell r="P2175" t="e">
            <v>#N/A</v>
          </cell>
        </row>
        <row r="2176">
          <cell r="B2176" t="str">
            <v>Shenzhen University</v>
          </cell>
          <cell r="C2176" t="str">
            <v>China</v>
          </cell>
          <cell r="D2176">
            <v>75</v>
          </cell>
          <cell r="E2176">
            <v>367</v>
          </cell>
          <cell r="F2176">
            <v>410</v>
          </cell>
          <cell r="G2176">
            <v>218</v>
          </cell>
          <cell r="H2176">
            <v>976</v>
          </cell>
          <cell r="I2176">
            <v>778</v>
          </cell>
          <cell r="J2176">
            <v>645</v>
          </cell>
          <cell r="K2176">
            <v>999</v>
          </cell>
          <cell r="L2176">
            <v>318</v>
          </cell>
          <cell r="M2176">
            <v>44.05</v>
          </cell>
          <cell r="N2176">
            <v>2015</v>
          </cell>
          <cell r="O2176">
            <v>975</v>
          </cell>
          <cell r="P2176" t="e">
            <v>#N/A</v>
          </cell>
        </row>
        <row r="2177">
          <cell r="B2177" t="str">
            <v>Tianjin Medical University</v>
          </cell>
          <cell r="C2177" t="str">
            <v>China</v>
          </cell>
          <cell r="D2177">
            <v>76</v>
          </cell>
          <cell r="E2177">
            <v>367</v>
          </cell>
          <cell r="F2177">
            <v>567</v>
          </cell>
          <cell r="G2177">
            <v>218</v>
          </cell>
          <cell r="H2177">
            <v>885</v>
          </cell>
          <cell r="I2177">
            <v>857</v>
          </cell>
          <cell r="J2177">
            <v>812</v>
          </cell>
          <cell r="K2177">
            <v>946</v>
          </cell>
          <cell r="L2177">
            <v>839</v>
          </cell>
          <cell r="M2177">
            <v>44.05</v>
          </cell>
          <cell r="N2177">
            <v>2015</v>
          </cell>
          <cell r="O2177">
            <v>976</v>
          </cell>
          <cell r="P2177" t="e">
            <v>#N/A</v>
          </cell>
        </row>
        <row r="2178">
          <cell r="B2178" t="str">
            <v>Beijing University of Technology</v>
          </cell>
          <cell r="C2178" t="str">
            <v>China</v>
          </cell>
          <cell r="D2178">
            <v>77</v>
          </cell>
          <cell r="E2178">
            <v>367</v>
          </cell>
          <cell r="F2178">
            <v>567</v>
          </cell>
          <cell r="G2178">
            <v>218</v>
          </cell>
          <cell r="H2178">
            <v>780</v>
          </cell>
          <cell r="I2178">
            <v>950</v>
          </cell>
          <cell r="J2178">
            <v>812</v>
          </cell>
          <cell r="K2178">
            <v>969</v>
          </cell>
          <cell r="L2178">
            <v>512</v>
          </cell>
          <cell r="M2178">
            <v>44.05</v>
          </cell>
          <cell r="N2178">
            <v>2015</v>
          </cell>
          <cell r="O2178">
            <v>977</v>
          </cell>
          <cell r="P2178" t="e">
            <v>#N/A</v>
          </cell>
        </row>
        <row r="2179">
          <cell r="B2179" t="str">
            <v>University of Reims Champagne-Ardenne</v>
          </cell>
          <cell r="C2179" t="str">
            <v>France</v>
          </cell>
          <cell r="D2179">
            <v>48</v>
          </cell>
          <cell r="E2179">
            <v>367</v>
          </cell>
          <cell r="F2179">
            <v>567</v>
          </cell>
          <cell r="G2179">
            <v>218</v>
          </cell>
          <cell r="H2179">
            <v>967</v>
          </cell>
          <cell r="I2179">
            <v>884</v>
          </cell>
          <cell r="J2179">
            <v>645</v>
          </cell>
          <cell r="K2179">
            <v>958</v>
          </cell>
          <cell r="L2179">
            <v>544</v>
          </cell>
          <cell r="M2179">
            <v>44.05</v>
          </cell>
          <cell r="N2179">
            <v>2015</v>
          </cell>
          <cell r="O2179">
            <v>978</v>
          </cell>
          <cell r="P2179" t="e">
            <v>#N/A</v>
          </cell>
        </row>
        <row r="2180">
          <cell r="B2180" t="str">
            <v>Yuan Ze University</v>
          </cell>
          <cell r="C2180" t="str">
            <v>Taiwan</v>
          </cell>
          <cell r="D2180">
            <v>20</v>
          </cell>
          <cell r="E2180">
            <v>367</v>
          </cell>
          <cell r="F2180">
            <v>567</v>
          </cell>
          <cell r="G2180">
            <v>218</v>
          </cell>
          <cell r="H2180">
            <v>923</v>
          </cell>
          <cell r="I2180">
            <v>984</v>
          </cell>
          <cell r="J2180">
            <v>812</v>
          </cell>
          <cell r="K2180">
            <v>946</v>
          </cell>
          <cell r="L2180">
            <v>871</v>
          </cell>
          <cell r="M2180">
            <v>44.05</v>
          </cell>
          <cell r="N2180">
            <v>2015</v>
          </cell>
          <cell r="O2180">
            <v>979</v>
          </cell>
          <cell r="P2180">
            <v>10.8</v>
          </cell>
        </row>
        <row r="2181">
          <cell r="B2181" t="str">
            <v>University of Chemistry and Technology, Prague</v>
          </cell>
          <cell r="C2181" t="str">
            <v>Czech Republic</v>
          </cell>
          <cell r="D2181">
            <v>5</v>
          </cell>
          <cell r="E2181">
            <v>367</v>
          </cell>
          <cell r="F2181">
            <v>567</v>
          </cell>
          <cell r="G2181">
            <v>218</v>
          </cell>
          <cell r="H2181">
            <v>991</v>
          </cell>
          <cell r="I2181">
            <v>868</v>
          </cell>
          <cell r="J2181">
            <v>812</v>
          </cell>
          <cell r="K2181">
            <v>946</v>
          </cell>
          <cell r="L2181">
            <v>778</v>
          </cell>
          <cell r="M2181">
            <v>44.05</v>
          </cell>
          <cell r="N2181">
            <v>2015</v>
          </cell>
          <cell r="O2181">
            <v>980</v>
          </cell>
          <cell r="P2181">
            <v>21.6</v>
          </cell>
        </row>
        <row r="2182">
          <cell r="B2182" t="str">
            <v>University of Limerick</v>
          </cell>
          <cell r="C2182" t="str">
            <v>Ireland</v>
          </cell>
          <cell r="D2182">
            <v>8</v>
          </cell>
          <cell r="E2182">
            <v>367</v>
          </cell>
          <cell r="F2182">
            <v>529</v>
          </cell>
          <cell r="G2182">
            <v>218</v>
          </cell>
          <cell r="H2182">
            <v>892</v>
          </cell>
          <cell r="I2182">
            <v>863</v>
          </cell>
          <cell r="J2182">
            <v>812</v>
          </cell>
          <cell r="K2182">
            <v>969</v>
          </cell>
          <cell r="L2182">
            <v>516</v>
          </cell>
          <cell r="M2182">
            <v>44.05</v>
          </cell>
          <cell r="N2182">
            <v>2015</v>
          </cell>
          <cell r="O2182">
            <v>981</v>
          </cell>
          <cell r="P2182">
            <v>19.8</v>
          </cell>
        </row>
        <row r="2183">
          <cell r="B2183" t="str">
            <v>China Medical University (PRC)</v>
          </cell>
          <cell r="C2183" t="str">
            <v>China</v>
          </cell>
          <cell r="D2183">
            <v>78</v>
          </cell>
          <cell r="E2183">
            <v>367</v>
          </cell>
          <cell r="F2183">
            <v>567</v>
          </cell>
          <cell r="G2183">
            <v>218</v>
          </cell>
          <cell r="H2183">
            <v>804</v>
          </cell>
          <cell r="I2183">
            <v>749</v>
          </cell>
          <cell r="J2183">
            <v>645</v>
          </cell>
          <cell r="K2183">
            <v>958</v>
          </cell>
          <cell r="L2183">
            <v>871</v>
          </cell>
          <cell r="M2183">
            <v>44.04</v>
          </cell>
          <cell r="N2183">
            <v>2015</v>
          </cell>
          <cell r="O2183">
            <v>982</v>
          </cell>
          <cell r="P2183" t="e">
            <v>#N/A</v>
          </cell>
        </row>
        <row r="2184">
          <cell r="B2184" t="str">
            <v>Feng Chia University</v>
          </cell>
          <cell r="C2184" t="str">
            <v>Taiwan</v>
          </cell>
          <cell r="D2184">
            <v>21</v>
          </cell>
          <cell r="E2184">
            <v>367</v>
          </cell>
          <cell r="F2184">
            <v>434</v>
          </cell>
          <cell r="G2184">
            <v>218</v>
          </cell>
          <cell r="H2184">
            <v>902</v>
          </cell>
          <cell r="I2184">
            <v>991</v>
          </cell>
          <cell r="J2184">
            <v>812</v>
          </cell>
          <cell r="K2184">
            <v>975</v>
          </cell>
          <cell r="L2184">
            <v>871</v>
          </cell>
          <cell r="M2184">
            <v>44.04</v>
          </cell>
          <cell r="N2184">
            <v>2015</v>
          </cell>
          <cell r="O2184">
            <v>983</v>
          </cell>
          <cell r="P2184">
            <v>14.6</v>
          </cell>
        </row>
        <row r="2185">
          <cell r="B2185" t="str">
            <v>Zhejiang University of Technology</v>
          </cell>
          <cell r="C2185" t="str">
            <v>China</v>
          </cell>
          <cell r="D2185">
            <v>79</v>
          </cell>
          <cell r="E2185">
            <v>367</v>
          </cell>
          <cell r="F2185">
            <v>567</v>
          </cell>
          <cell r="G2185">
            <v>218</v>
          </cell>
          <cell r="H2185">
            <v>858</v>
          </cell>
          <cell r="I2185">
            <v>991</v>
          </cell>
          <cell r="J2185">
            <v>812</v>
          </cell>
          <cell r="K2185">
            <v>958</v>
          </cell>
          <cell r="L2185">
            <v>672</v>
          </cell>
          <cell r="M2185">
            <v>44.04</v>
          </cell>
          <cell r="N2185">
            <v>2015</v>
          </cell>
          <cell r="O2185">
            <v>984</v>
          </cell>
          <cell r="P2185" t="e">
            <v>#N/A</v>
          </cell>
        </row>
        <row r="2186">
          <cell r="B2186" t="str">
            <v>Novosibirsk State University</v>
          </cell>
          <cell r="C2186" t="str">
            <v>Russia</v>
          </cell>
          <cell r="D2186">
            <v>5</v>
          </cell>
          <cell r="E2186">
            <v>167</v>
          </cell>
          <cell r="F2186">
            <v>567</v>
          </cell>
          <cell r="G2186">
            <v>218</v>
          </cell>
          <cell r="H2186">
            <v>819</v>
          </cell>
          <cell r="I2186">
            <v>858</v>
          </cell>
          <cell r="J2186">
            <v>645</v>
          </cell>
          <cell r="K2186">
            <v>991</v>
          </cell>
          <cell r="L2186">
            <v>871</v>
          </cell>
          <cell r="M2186">
            <v>44.04</v>
          </cell>
          <cell r="N2186">
            <v>2015</v>
          </cell>
          <cell r="O2186">
            <v>985</v>
          </cell>
          <cell r="P2186">
            <v>24.6</v>
          </cell>
        </row>
        <row r="2187">
          <cell r="B2187" t="str">
            <v>University of Bucharest</v>
          </cell>
          <cell r="C2187" t="str">
            <v>Romania</v>
          </cell>
          <cell r="D2187">
            <v>1</v>
          </cell>
          <cell r="E2187">
            <v>237</v>
          </cell>
          <cell r="F2187">
            <v>567</v>
          </cell>
          <cell r="G2187">
            <v>218</v>
          </cell>
          <cell r="H2187">
            <v>845</v>
          </cell>
          <cell r="I2187">
            <v>804</v>
          </cell>
          <cell r="J2187">
            <v>645</v>
          </cell>
          <cell r="K2187">
            <v>975</v>
          </cell>
          <cell r="L2187">
            <v>871</v>
          </cell>
          <cell r="M2187">
            <v>44.04</v>
          </cell>
          <cell r="N2187">
            <v>2015</v>
          </cell>
          <cell r="O2187">
            <v>986</v>
          </cell>
          <cell r="P2187">
            <v>34.299999999999997</v>
          </cell>
        </row>
        <row r="2188">
          <cell r="B2188" t="str">
            <v>BabeÈ™-Bolyai University</v>
          </cell>
          <cell r="C2188" t="str">
            <v>Romania</v>
          </cell>
          <cell r="D2188">
            <v>2</v>
          </cell>
          <cell r="E2188">
            <v>367</v>
          </cell>
          <cell r="F2188">
            <v>567</v>
          </cell>
          <cell r="G2188">
            <v>218</v>
          </cell>
          <cell r="H2188">
            <v>874</v>
          </cell>
          <cell r="I2188">
            <v>855</v>
          </cell>
          <cell r="J2188">
            <v>812</v>
          </cell>
          <cell r="K2188">
            <v>958</v>
          </cell>
          <cell r="L2188">
            <v>871</v>
          </cell>
          <cell r="M2188">
            <v>44.04</v>
          </cell>
          <cell r="N2188">
            <v>2015</v>
          </cell>
          <cell r="O2188">
            <v>987</v>
          </cell>
          <cell r="P2188" t="e">
            <v>#N/A</v>
          </cell>
        </row>
        <row r="2189">
          <cell r="B2189" t="str">
            <v>Mansoura University</v>
          </cell>
          <cell r="C2189" t="str">
            <v>Egypt</v>
          </cell>
          <cell r="D2189">
            <v>3</v>
          </cell>
          <cell r="E2189">
            <v>367</v>
          </cell>
          <cell r="F2189">
            <v>567</v>
          </cell>
          <cell r="G2189">
            <v>218</v>
          </cell>
          <cell r="H2189">
            <v>987</v>
          </cell>
          <cell r="I2189">
            <v>969</v>
          </cell>
          <cell r="J2189">
            <v>645</v>
          </cell>
          <cell r="K2189">
            <v>958</v>
          </cell>
          <cell r="L2189">
            <v>871</v>
          </cell>
          <cell r="M2189">
            <v>44.04</v>
          </cell>
          <cell r="N2189">
            <v>2015</v>
          </cell>
          <cell r="O2189">
            <v>988</v>
          </cell>
          <cell r="P2189" t="e">
            <v>#N/A</v>
          </cell>
        </row>
        <row r="2190">
          <cell r="B2190" t="str">
            <v>University of Pau and Pays de l'Adour</v>
          </cell>
          <cell r="C2190" t="str">
            <v>France</v>
          </cell>
          <cell r="D2190">
            <v>49</v>
          </cell>
          <cell r="E2190">
            <v>367</v>
          </cell>
          <cell r="F2190">
            <v>567</v>
          </cell>
          <cell r="G2190">
            <v>218</v>
          </cell>
          <cell r="H2190">
            <v>980</v>
          </cell>
          <cell r="I2190">
            <v>991</v>
          </cell>
          <cell r="J2190">
            <v>812</v>
          </cell>
          <cell r="K2190">
            <v>958</v>
          </cell>
          <cell r="L2190">
            <v>809</v>
          </cell>
          <cell r="M2190">
            <v>44.04</v>
          </cell>
          <cell r="N2190">
            <v>2015</v>
          </cell>
          <cell r="O2190">
            <v>989</v>
          </cell>
          <cell r="P2190" t="e">
            <v>#N/A</v>
          </cell>
        </row>
        <row r="2191">
          <cell r="B2191" t="str">
            <v>Henan Normal University</v>
          </cell>
          <cell r="C2191" t="str">
            <v>China</v>
          </cell>
          <cell r="D2191">
            <v>80</v>
          </cell>
          <cell r="E2191">
            <v>367</v>
          </cell>
          <cell r="F2191">
            <v>567</v>
          </cell>
          <cell r="G2191">
            <v>218</v>
          </cell>
          <cell r="H2191">
            <v>959</v>
          </cell>
          <cell r="I2191">
            <v>991</v>
          </cell>
          <cell r="J2191">
            <v>812</v>
          </cell>
          <cell r="K2191">
            <v>958</v>
          </cell>
          <cell r="L2191">
            <v>871</v>
          </cell>
          <cell r="M2191">
            <v>44.04</v>
          </cell>
          <cell r="N2191">
            <v>2015</v>
          </cell>
          <cell r="O2191">
            <v>990</v>
          </cell>
          <cell r="P2191" t="e">
            <v>#N/A</v>
          </cell>
        </row>
        <row r="2192">
          <cell r="B2192" t="str">
            <v>Xidian University</v>
          </cell>
          <cell r="C2192" t="str">
            <v>China</v>
          </cell>
          <cell r="D2192">
            <v>81</v>
          </cell>
          <cell r="E2192">
            <v>367</v>
          </cell>
          <cell r="F2192">
            <v>542</v>
          </cell>
          <cell r="G2192">
            <v>218</v>
          </cell>
          <cell r="H2192">
            <v>830</v>
          </cell>
          <cell r="I2192">
            <v>974</v>
          </cell>
          <cell r="J2192">
            <v>812</v>
          </cell>
          <cell r="K2192">
            <v>984</v>
          </cell>
          <cell r="L2192">
            <v>434</v>
          </cell>
          <cell r="M2192">
            <v>44.03</v>
          </cell>
          <cell r="N2192">
            <v>2015</v>
          </cell>
          <cell r="O2192">
            <v>991</v>
          </cell>
          <cell r="P2192">
            <v>17.899999999999999</v>
          </cell>
        </row>
        <row r="2193">
          <cell r="B2193" t="str">
            <v>Federal University of Bahia</v>
          </cell>
          <cell r="C2193" t="str">
            <v>Brazil</v>
          </cell>
          <cell r="D2193">
            <v>17</v>
          </cell>
          <cell r="E2193">
            <v>367</v>
          </cell>
          <cell r="F2193">
            <v>540</v>
          </cell>
          <cell r="G2193">
            <v>218</v>
          </cell>
          <cell r="H2193">
            <v>962</v>
          </cell>
          <cell r="I2193">
            <v>865</v>
          </cell>
          <cell r="J2193">
            <v>645</v>
          </cell>
          <cell r="K2193">
            <v>969</v>
          </cell>
          <cell r="L2193">
            <v>774</v>
          </cell>
          <cell r="M2193">
            <v>44.03</v>
          </cell>
          <cell r="N2193">
            <v>2015</v>
          </cell>
          <cell r="O2193">
            <v>992</v>
          </cell>
          <cell r="P2193">
            <v>18.2</v>
          </cell>
        </row>
        <row r="2194">
          <cell r="B2194" t="str">
            <v>Southwest Jiaotong University</v>
          </cell>
          <cell r="C2194" t="str">
            <v>China</v>
          </cell>
          <cell r="D2194">
            <v>82</v>
          </cell>
          <cell r="E2194">
            <v>367</v>
          </cell>
          <cell r="F2194">
            <v>327</v>
          </cell>
          <cell r="G2194">
            <v>218</v>
          </cell>
          <cell r="H2194">
            <v>937</v>
          </cell>
          <cell r="I2194">
            <v>962</v>
          </cell>
          <cell r="J2194">
            <v>812</v>
          </cell>
          <cell r="K2194">
            <v>998</v>
          </cell>
          <cell r="L2194">
            <v>861</v>
          </cell>
          <cell r="M2194">
            <v>44.03</v>
          </cell>
          <cell r="N2194">
            <v>2015</v>
          </cell>
          <cell r="O2194">
            <v>993</v>
          </cell>
          <cell r="P2194" t="e">
            <v>#N/A</v>
          </cell>
        </row>
        <row r="2195">
          <cell r="B2195" t="str">
            <v>Ryerson University</v>
          </cell>
          <cell r="C2195" t="str">
            <v>Canada</v>
          </cell>
          <cell r="D2195">
            <v>33</v>
          </cell>
          <cell r="E2195">
            <v>367</v>
          </cell>
          <cell r="F2195">
            <v>567</v>
          </cell>
          <cell r="G2195">
            <v>218</v>
          </cell>
          <cell r="H2195">
            <v>811</v>
          </cell>
          <cell r="I2195">
            <v>969</v>
          </cell>
          <cell r="J2195">
            <v>511</v>
          </cell>
          <cell r="K2195">
            <v>975</v>
          </cell>
          <cell r="L2195">
            <v>756</v>
          </cell>
          <cell r="M2195">
            <v>44.03</v>
          </cell>
          <cell r="N2195">
            <v>2015</v>
          </cell>
          <cell r="O2195">
            <v>994</v>
          </cell>
          <cell r="P2195" t="e">
            <v>#N/A</v>
          </cell>
        </row>
        <row r="2196">
          <cell r="B2196" t="str">
            <v>King Abdulaziz University</v>
          </cell>
          <cell r="C2196" t="str">
            <v>Saudi Arabia</v>
          </cell>
          <cell r="D2196">
            <v>4</v>
          </cell>
          <cell r="E2196">
            <v>367</v>
          </cell>
          <cell r="F2196">
            <v>449</v>
          </cell>
          <cell r="G2196">
            <v>218</v>
          </cell>
          <cell r="H2196">
            <v>595</v>
          </cell>
          <cell r="I2196">
            <v>430</v>
          </cell>
          <cell r="J2196">
            <v>645</v>
          </cell>
          <cell r="K2196">
            <v>994</v>
          </cell>
          <cell r="L2196">
            <v>839</v>
          </cell>
          <cell r="M2196">
            <v>44.03</v>
          </cell>
          <cell r="N2196">
            <v>2015</v>
          </cell>
          <cell r="O2196">
            <v>995</v>
          </cell>
          <cell r="P2196">
            <v>19.7</v>
          </cell>
        </row>
        <row r="2197">
          <cell r="B2197" t="str">
            <v>University of the Algarve</v>
          </cell>
          <cell r="C2197" t="str">
            <v>Portugal</v>
          </cell>
          <cell r="D2197">
            <v>7</v>
          </cell>
          <cell r="E2197">
            <v>367</v>
          </cell>
          <cell r="F2197">
            <v>567</v>
          </cell>
          <cell r="G2197">
            <v>218</v>
          </cell>
          <cell r="H2197">
            <v>926</v>
          </cell>
          <cell r="I2197">
            <v>845</v>
          </cell>
          <cell r="J2197">
            <v>812</v>
          </cell>
          <cell r="K2197">
            <v>969</v>
          </cell>
          <cell r="L2197">
            <v>816</v>
          </cell>
          <cell r="M2197">
            <v>44.03</v>
          </cell>
          <cell r="N2197">
            <v>2015</v>
          </cell>
          <cell r="O2197">
            <v>996</v>
          </cell>
          <cell r="P2197" t="e">
            <v>#N/A</v>
          </cell>
        </row>
        <row r="2198">
          <cell r="B2198" t="str">
            <v>Alexandria University</v>
          </cell>
          <cell r="C2198" t="str">
            <v>Egypt</v>
          </cell>
          <cell r="D2198">
            <v>4</v>
          </cell>
          <cell r="E2198">
            <v>236</v>
          </cell>
          <cell r="F2198">
            <v>566</v>
          </cell>
          <cell r="G2198">
            <v>218</v>
          </cell>
          <cell r="H2198">
            <v>997</v>
          </cell>
          <cell r="I2198">
            <v>908</v>
          </cell>
          <cell r="J2198">
            <v>645</v>
          </cell>
          <cell r="K2198">
            <v>981</v>
          </cell>
          <cell r="L2198">
            <v>871</v>
          </cell>
          <cell r="M2198">
            <v>44.03</v>
          </cell>
          <cell r="N2198">
            <v>2015</v>
          </cell>
          <cell r="O2198">
            <v>997</v>
          </cell>
          <cell r="P2198">
            <v>29.5</v>
          </cell>
        </row>
        <row r="2199">
          <cell r="B2199" t="str">
            <v>Federal University of CearÃ¡</v>
          </cell>
          <cell r="C2199" t="str">
            <v>Brazil</v>
          </cell>
          <cell r="D2199">
            <v>18</v>
          </cell>
          <cell r="E2199">
            <v>367</v>
          </cell>
          <cell r="F2199">
            <v>549</v>
          </cell>
          <cell r="G2199">
            <v>218</v>
          </cell>
          <cell r="H2199">
            <v>830</v>
          </cell>
          <cell r="I2199">
            <v>823</v>
          </cell>
          <cell r="J2199">
            <v>812</v>
          </cell>
          <cell r="K2199">
            <v>975</v>
          </cell>
          <cell r="L2199">
            <v>824</v>
          </cell>
          <cell r="M2199">
            <v>44.03</v>
          </cell>
          <cell r="N2199">
            <v>2015</v>
          </cell>
          <cell r="O2199">
            <v>998</v>
          </cell>
          <cell r="P2199" t="e">
            <v>#N/A</v>
          </cell>
        </row>
        <row r="2200">
          <cell r="B2200" t="str">
            <v>University of A CoruÃ±a</v>
          </cell>
          <cell r="C2200" t="str">
            <v>Spain</v>
          </cell>
          <cell r="D2200">
            <v>40</v>
          </cell>
          <cell r="E2200">
            <v>367</v>
          </cell>
          <cell r="F2200">
            <v>567</v>
          </cell>
          <cell r="G2200">
            <v>218</v>
          </cell>
          <cell r="H2200">
            <v>886</v>
          </cell>
          <cell r="I2200">
            <v>974</v>
          </cell>
          <cell r="J2200">
            <v>812</v>
          </cell>
          <cell r="K2200">
            <v>975</v>
          </cell>
          <cell r="L2200">
            <v>651</v>
          </cell>
          <cell r="M2200">
            <v>44.02</v>
          </cell>
          <cell r="N2200">
            <v>2015</v>
          </cell>
          <cell r="O2200">
            <v>999</v>
          </cell>
          <cell r="P2200">
            <v>18.3</v>
          </cell>
        </row>
        <row r="2201">
          <cell r="B2201" t="str">
            <v>China Pharmaceutical University</v>
          </cell>
          <cell r="C2201" t="str">
            <v>China</v>
          </cell>
          <cell r="D2201">
            <v>83</v>
          </cell>
          <cell r="E2201">
            <v>367</v>
          </cell>
          <cell r="F2201">
            <v>567</v>
          </cell>
          <cell r="G2201">
            <v>218</v>
          </cell>
          <cell r="H2201">
            <v>861</v>
          </cell>
          <cell r="I2201">
            <v>991</v>
          </cell>
          <cell r="J2201">
            <v>812</v>
          </cell>
          <cell r="K2201">
            <v>981</v>
          </cell>
          <cell r="L2201">
            <v>547</v>
          </cell>
          <cell r="M2201">
            <v>44.02</v>
          </cell>
          <cell r="N2201">
            <v>2015</v>
          </cell>
          <cell r="O2201">
            <v>1000</v>
          </cell>
          <cell r="P2201" t="e">
            <v>#N/A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50"/>
  <sheetViews>
    <sheetView tabSelected="1" topLeftCell="A1018" workbookViewId="0">
      <selection activeCell="D1028" sqref="D1028"/>
    </sheetView>
  </sheetViews>
  <sheetFormatPr defaultRowHeight="14.4" x14ac:dyDescent="0.3"/>
  <cols>
    <col min="1" max="1" width="51.33203125" customWidth="1"/>
    <col min="2" max="3" width="20.5546875" customWidth="1"/>
  </cols>
  <sheetData>
    <row r="1" spans="1:26" x14ac:dyDescent="0.3">
      <c r="A1" t="s">
        <v>0</v>
      </c>
      <c r="B1" t="s">
        <v>1250</v>
      </c>
      <c r="C1" t="s">
        <v>1274</v>
      </c>
      <c r="D1" t="s">
        <v>1273</v>
      </c>
      <c r="E1" t="s">
        <v>1272</v>
      </c>
      <c r="F1" t="s">
        <v>1271</v>
      </c>
      <c r="G1" t="s">
        <v>1270</v>
      </c>
      <c r="H1" t="s">
        <v>1269</v>
      </c>
      <c r="I1" t="s">
        <v>1268</v>
      </c>
      <c r="J1" t="s">
        <v>1267</v>
      </c>
      <c r="K1" t="s">
        <v>1266</v>
      </c>
      <c r="L1" t="s">
        <v>1265</v>
      </c>
      <c r="M1" t="s">
        <v>1264</v>
      </c>
      <c r="N1" t="s">
        <v>1263</v>
      </c>
      <c r="O1" t="s">
        <v>1251</v>
      </c>
      <c r="P1" t="s">
        <v>1252</v>
      </c>
      <c r="Q1" t="s">
        <v>1253</v>
      </c>
      <c r="R1" t="s">
        <v>1254</v>
      </c>
      <c r="S1" t="s">
        <v>1255</v>
      </c>
      <c r="T1" t="s">
        <v>1256</v>
      </c>
      <c r="U1" t="s">
        <v>1257</v>
      </c>
      <c r="V1" t="s">
        <v>1258</v>
      </c>
      <c r="W1" t="s">
        <v>1259</v>
      </c>
      <c r="X1" t="s">
        <v>1260</v>
      </c>
      <c r="Y1" t="s">
        <v>1261</v>
      </c>
      <c r="Z1" t="s">
        <v>1262</v>
      </c>
    </row>
    <row r="2" spans="1:26" x14ac:dyDescent="0.3">
      <c r="A2" t="s">
        <v>1</v>
      </c>
      <c r="B2" t="str">
        <f>IFERROR(VLOOKUP(A2,[1]timesData!$B:$P,2,FALSE),VLOOKUP(A2,[2]cwurData!$B:$P,2,FALSE))</f>
        <v>United States of America</v>
      </c>
      <c r="C2">
        <f>VLOOKUP(A2,[1]timesData!$B:$P,3,FALSE)</f>
        <v>1</v>
      </c>
      <c r="D2">
        <f>VLOOKUP(A3,[1]timesData!$B:$P,3,FALSE)</f>
        <v>2</v>
      </c>
      <c r="E2">
        <f>VLOOKUP(A3,[1]timesData!$B:$P,4,FALSE)</f>
        <v>54.6</v>
      </c>
      <c r="F2">
        <f>VLOOKUP(A3,[1]timesData!$B:$P,5,FALSE)</f>
        <v>98</v>
      </c>
      <c r="G2">
        <f>VLOOKUP(A3,[1]timesData!$B:$P,6,FALSE)</f>
        <v>99.9</v>
      </c>
      <c r="H2">
        <f>VLOOKUP(A3,[1]timesData!$B:$P,7,FALSE)</f>
        <v>83.7</v>
      </c>
      <c r="I2">
        <f>VLOOKUP(A3,[1]timesData!$B:$P,8,FALSE)</f>
        <v>96</v>
      </c>
      <c r="J2">
        <f>VLOOKUP(A3,[1]timesData!$B:$P,9,FALSE)</f>
        <v>2243</v>
      </c>
      <c r="K2">
        <f>VLOOKUP(A3,[1]timesData!$B:$P,10,FALSE)</f>
        <v>6.9</v>
      </c>
      <c r="L2">
        <f>VLOOKUP(A3,[1]timesData!$B:$P,11,FALSE)</f>
        <v>0.27</v>
      </c>
      <c r="M2" t="str">
        <f>VLOOKUP(A3,[1]timesData!$B:$P,12,FALSE)</f>
        <v>33 : 67</v>
      </c>
      <c r="N2">
        <f>VLOOKUP(A3,[1]timesData!$B:$P,13,FALSE)</f>
        <v>2011</v>
      </c>
      <c r="O2">
        <f>VLOOKUP(A2,[2]cwurData!$B:$P,14,FALSE)</f>
        <v>1</v>
      </c>
      <c r="P2">
        <f>VLOOKUP(A2,[2]cwurData!$B:$N, 3, FALSE)</f>
        <v>1</v>
      </c>
      <c r="Q2">
        <f>VLOOKUP(A2,[2]cwurData!$B:$N, 4, FALSE)</f>
        <v>7</v>
      </c>
      <c r="R2">
        <f>VLOOKUP(A2,[2]cwurData!$B:$N, 5, FALSE)</f>
        <v>9</v>
      </c>
      <c r="S2">
        <f>VLOOKUP(A2,[2]cwurData!$B:$N, 6, FALSE)</f>
        <v>1</v>
      </c>
      <c r="T2">
        <f>VLOOKUP(A2,[2]cwurData!$B:$N, 7, FALSE)</f>
        <v>1</v>
      </c>
      <c r="U2">
        <f>VLOOKUP(A2,[2]cwurData!$B:$N, 8, FALSE)</f>
        <v>1</v>
      </c>
      <c r="V2">
        <f>VLOOKUP(A2,[2]cwurData!$B:$N, 9, FALSE)</f>
        <v>1</v>
      </c>
      <c r="W2">
        <f>VLOOKUP(A2,[2]cwurData!$B:$N, 10, FALSE)</f>
        <v>0</v>
      </c>
      <c r="X2">
        <f>VLOOKUP(A2,[2]cwurData!$B:$N, 11, FALSE)</f>
        <v>5</v>
      </c>
      <c r="Y2">
        <f>VLOOKUP(A2,[2]cwurData!$B:$N, 12, FALSE)</f>
        <v>100</v>
      </c>
      <c r="Z2">
        <f>VLOOKUP(A2,[2]cwurData!$B:$N, 13, FALSE)</f>
        <v>2012</v>
      </c>
    </row>
    <row r="3" spans="1:26" x14ac:dyDescent="0.3">
      <c r="A3" t="s">
        <v>2</v>
      </c>
      <c r="B3" t="str">
        <f>IFERROR(VLOOKUP(A3,[1]timesData!$B:$P,2,FALSE),VLOOKUP(A3,[2]cwurData!$B:$P,2,FALSE))</f>
        <v>United States of America</v>
      </c>
      <c r="C3">
        <f>VLOOKUP(A3,[1]timesData!$B:$P,3,FALSE)</f>
        <v>2</v>
      </c>
      <c r="D3">
        <f>VLOOKUP(A4,[1]timesData!$B:$P,3,FALSE)</f>
        <v>3</v>
      </c>
      <c r="E3">
        <f>VLOOKUP(A4,[1]timesData!$B:$P,4,FALSE)</f>
        <v>82.3</v>
      </c>
      <c r="F3">
        <f>VLOOKUP(A4,[1]timesData!$B:$P,5,FALSE)</f>
        <v>91.4</v>
      </c>
      <c r="G3">
        <f>VLOOKUP(A4,[1]timesData!$B:$P,6,FALSE)</f>
        <v>99.9</v>
      </c>
      <c r="H3">
        <f>VLOOKUP(A4,[1]timesData!$B:$P,7,FALSE)</f>
        <v>87.5</v>
      </c>
      <c r="I3">
        <f>VLOOKUP(A4,[1]timesData!$B:$P,8,FALSE)</f>
        <v>95.6</v>
      </c>
      <c r="J3">
        <f>VLOOKUP(A4,[1]timesData!$B:$P,9,FALSE)</f>
        <v>11074</v>
      </c>
      <c r="K3">
        <f>VLOOKUP(A4,[1]timesData!$B:$P,10,FALSE)</f>
        <v>9</v>
      </c>
      <c r="L3">
        <f>VLOOKUP(A4,[1]timesData!$B:$P,11,FALSE)</f>
        <v>0.33</v>
      </c>
      <c r="M3" t="str">
        <f>VLOOKUP(A4,[1]timesData!$B:$P,12,FALSE)</f>
        <v>37 : 63</v>
      </c>
      <c r="N3">
        <f>VLOOKUP(A4,[1]timesData!$B:$P,13,FALSE)</f>
        <v>2011</v>
      </c>
      <c r="O3">
        <f>VLOOKUP(A3,[2]cwurData!$B:$P,14,FALSE)</f>
        <v>5</v>
      </c>
      <c r="P3">
        <f>VLOOKUP(A3,[2]cwurData!$B:$N, 3, FALSE)</f>
        <v>4</v>
      </c>
      <c r="Q3">
        <f>VLOOKUP(A3,[2]cwurData!$B:$N, 4, FALSE)</f>
        <v>2</v>
      </c>
      <c r="R3">
        <f>VLOOKUP(A3,[2]cwurData!$B:$N, 5, FALSE)</f>
        <v>29</v>
      </c>
      <c r="S3">
        <f>VLOOKUP(A3,[2]cwurData!$B:$N, 6, FALSE)</f>
        <v>7</v>
      </c>
      <c r="T3">
        <f>VLOOKUP(A3,[2]cwurData!$B:$N, 7, FALSE)</f>
        <v>37</v>
      </c>
      <c r="U3">
        <f>VLOOKUP(A3,[2]cwurData!$B:$N, 8, FALSE)</f>
        <v>22</v>
      </c>
      <c r="V3">
        <f>VLOOKUP(A3,[2]cwurData!$B:$N, 9, FALSE)</f>
        <v>22</v>
      </c>
      <c r="W3">
        <f>VLOOKUP(A3,[2]cwurData!$B:$N, 10, FALSE)</f>
        <v>0</v>
      </c>
      <c r="X3">
        <f>VLOOKUP(A3,[2]cwurData!$B:$N, 11, FALSE)</f>
        <v>18</v>
      </c>
      <c r="Y3">
        <f>VLOOKUP(A3,[2]cwurData!$B:$N, 12, FALSE)</f>
        <v>85.21</v>
      </c>
      <c r="Z3">
        <f>VLOOKUP(A3,[2]cwurData!$B:$N, 13, FALSE)</f>
        <v>2012</v>
      </c>
    </row>
    <row r="4" spans="1:26" x14ac:dyDescent="0.3">
      <c r="A4" t="s">
        <v>3</v>
      </c>
      <c r="B4" t="str">
        <f>IFERROR(VLOOKUP(A4,[1]timesData!$B:$P,2,FALSE),VLOOKUP(A4,[2]cwurData!$B:$P,2,FALSE))</f>
        <v>United States of America</v>
      </c>
      <c r="C4">
        <f>VLOOKUP(A4,[1]timesData!$B:$P,3,FALSE)</f>
        <v>3</v>
      </c>
      <c r="D4">
        <f>VLOOKUP(A5,[1]timesData!$B:$P,3,FALSE)</f>
        <v>4</v>
      </c>
      <c r="E4">
        <f>VLOOKUP(A5,[1]timesData!$B:$P,4,FALSE)</f>
        <v>29.5</v>
      </c>
      <c r="F4">
        <f>VLOOKUP(A5,[1]timesData!$B:$P,5,FALSE)</f>
        <v>98.1</v>
      </c>
      <c r="G4">
        <f>VLOOKUP(A5,[1]timesData!$B:$P,6,FALSE)</f>
        <v>99.2</v>
      </c>
      <c r="H4">
        <f>VLOOKUP(A5,[1]timesData!$B:$P,7,FALSE)</f>
        <v>64.3</v>
      </c>
      <c r="I4">
        <f>VLOOKUP(A5,[1]timesData!$B:$P,8,FALSE)</f>
        <v>94.3</v>
      </c>
      <c r="J4">
        <f>VLOOKUP(A5,[1]timesData!$B:$P,9,FALSE)</f>
        <v>15596</v>
      </c>
      <c r="K4">
        <f>VLOOKUP(A5,[1]timesData!$B:$P,10,FALSE)</f>
        <v>7.8</v>
      </c>
      <c r="L4">
        <f>VLOOKUP(A5,[1]timesData!$B:$P,11,FALSE)</f>
        <v>0.22</v>
      </c>
      <c r="M4">
        <f>VLOOKUP(A5,[1]timesData!$B:$P,12,FALSE)</f>
        <v>1.7902777777777779</v>
      </c>
      <c r="N4">
        <f>VLOOKUP(A5,[1]timesData!$B:$P,13,FALSE)</f>
        <v>2011</v>
      </c>
      <c r="O4">
        <f>VLOOKUP(A4,[2]cwurData!$B:$P,14,FALSE)</f>
        <v>2</v>
      </c>
      <c r="P4">
        <f>VLOOKUP(A4,[2]cwurData!$B:$N, 3, FALSE)</f>
        <v>2</v>
      </c>
      <c r="Q4">
        <f>VLOOKUP(A4,[2]cwurData!$B:$N, 4, FALSE)</f>
        <v>9</v>
      </c>
      <c r="R4">
        <f>VLOOKUP(A4,[2]cwurData!$B:$N, 5, FALSE)</f>
        <v>17</v>
      </c>
      <c r="S4">
        <f>VLOOKUP(A4,[2]cwurData!$B:$N, 6, FALSE)</f>
        <v>3</v>
      </c>
      <c r="T4">
        <f>VLOOKUP(A4,[2]cwurData!$B:$N, 7, FALSE)</f>
        <v>12</v>
      </c>
      <c r="U4">
        <f>VLOOKUP(A4,[2]cwurData!$B:$N, 8, FALSE)</f>
        <v>4</v>
      </c>
      <c r="V4">
        <f>VLOOKUP(A4,[2]cwurData!$B:$N, 9, FALSE)</f>
        <v>4</v>
      </c>
      <c r="W4">
        <f>VLOOKUP(A4,[2]cwurData!$B:$N, 10, FALSE)</f>
        <v>0</v>
      </c>
      <c r="X4">
        <f>VLOOKUP(A4,[2]cwurData!$B:$N, 11, FALSE)</f>
        <v>1</v>
      </c>
      <c r="Y4">
        <f>VLOOKUP(A4,[2]cwurData!$B:$N, 12, FALSE)</f>
        <v>91.67</v>
      </c>
      <c r="Z4">
        <f>VLOOKUP(A4,[2]cwurData!$B:$N, 13, FALSE)</f>
        <v>2012</v>
      </c>
    </row>
    <row r="5" spans="1:26" x14ac:dyDescent="0.3">
      <c r="A5" t="s">
        <v>4</v>
      </c>
      <c r="B5" t="str">
        <f>IFERROR(VLOOKUP(A5,[1]timesData!$B:$P,2,FALSE),VLOOKUP(A5,[2]cwurData!$B:$P,2,FALSE))</f>
        <v>United States of America</v>
      </c>
      <c r="C5">
        <f>VLOOKUP(A5,[1]timesData!$B:$P,3,FALSE)</f>
        <v>4</v>
      </c>
      <c r="D5">
        <f>VLOOKUP(A6,[1]timesData!$B:$P,3,FALSE)</f>
        <v>5</v>
      </c>
      <c r="E5">
        <f>VLOOKUP(A6,[1]timesData!$B:$P,4,FALSE)</f>
        <v>70.3</v>
      </c>
      <c r="F5">
        <f>VLOOKUP(A6,[1]timesData!$B:$P,5,FALSE)</f>
        <v>95.4</v>
      </c>
      <c r="G5">
        <f>VLOOKUP(A6,[1]timesData!$B:$P,6,FALSE)</f>
        <v>99.9</v>
      </c>
      <c r="H5" t="str">
        <f>VLOOKUP(A6,[1]timesData!$B:$P,7,FALSE)</f>
        <v>-</v>
      </c>
      <c r="I5">
        <f>VLOOKUP(A6,[1]timesData!$B:$P,8,FALSE)</f>
        <v>94.2</v>
      </c>
      <c r="J5">
        <f>VLOOKUP(A6,[1]timesData!$B:$P,9,FALSE)</f>
        <v>7929</v>
      </c>
      <c r="K5">
        <f>VLOOKUP(A6,[1]timesData!$B:$P,10,FALSE)</f>
        <v>8.4</v>
      </c>
      <c r="L5">
        <f>VLOOKUP(A6,[1]timesData!$B:$P,11,FALSE)</f>
        <v>0.27</v>
      </c>
      <c r="M5">
        <f>VLOOKUP(A6,[1]timesData!$B:$P,12,FALSE)</f>
        <v>1.9131944444444444</v>
      </c>
      <c r="N5">
        <f>VLOOKUP(A6,[1]timesData!$B:$P,13,FALSE)</f>
        <v>2011</v>
      </c>
      <c r="O5">
        <f>VLOOKUP(A5,[2]cwurData!$B:$P,14,FALSE)</f>
        <v>3</v>
      </c>
      <c r="P5">
        <f>VLOOKUP(A5,[2]cwurData!$B:$N, 3, FALSE)</f>
        <v>3</v>
      </c>
      <c r="Q5">
        <f>VLOOKUP(A5,[2]cwurData!$B:$N, 4, FALSE)</f>
        <v>17</v>
      </c>
      <c r="R5">
        <f>VLOOKUP(A5,[2]cwurData!$B:$N, 5, FALSE)</f>
        <v>11</v>
      </c>
      <c r="S5">
        <f>VLOOKUP(A5,[2]cwurData!$B:$N, 6, FALSE)</f>
        <v>5</v>
      </c>
      <c r="T5">
        <f>VLOOKUP(A5,[2]cwurData!$B:$N, 7, FALSE)</f>
        <v>4</v>
      </c>
      <c r="U5">
        <f>VLOOKUP(A5,[2]cwurData!$B:$N, 8, FALSE)</f>
        <v>2</v>
      </c>
      <c r="V5">
        <f>VLOOKUP(A5,[2]cwurData!$B:$N, 9, FALSE)</f>
        <v>2</v>
      </c>
      <c r="W5">
        <f>VLOOKUP(A5,[2]cwurData!$B:$N, 10, FALSE)</f>
        <v>0</v>
      </c>
      <c r="X5">
        <f>VLOOKUP(A5,[2]cwurData!$B:$N, 11, FALSE)</f>
        <v>15</v>
      </c>
      <c r="Y5">
        <f>VLOOKUP(A5,[2]cwurData!$B:$N, 12, FALSE)</f>
        <v>89.5</v>
      </c>
      <c r="Z5">
        <f>VLOOKUP(A5,[2]cwurData!$B:$N, 13, FALSE)</f>
        <v>2012</v>
      </c>
    </row>
    <row r="6" spans="1:26" x14ac:dyDescent="0.3">
      <c r="A6" t="s">
        <v>5</v>
      </c>
      <c r="B6" t="str">
        <f>IFERROR(VLOOKUP(A6,[1]timesData!$B:$P,2,FALSE),VLOOKUP(A6,[2]cwurData!$B:$P,2,FALSE))</f>
        <v>United States of America</v>
      </c>
      <c r="C6">
        <f>VLOOKUP(A6,[1]timesData!$B:$P,3,FALSE)</f>
        <v>5</v>
      </c>
      <c r="D6">
        <f>VLOOKUP(A7,[1]timesData!$B:$P,3,FALSE)</f>
        <v>6</v>
      </c>
      <c r="E6">
        <f>VLOOKUP(A7,[1]timesData!$B:$P,4,FALSE)</f>
        <v>77.7</v>
      </c>
      <c r="F6">
        <f>VLOOKUP(A7,[1]timesData!$B:$P,5,FALSE)</f>
        <v>94.1</v>
      </c>
      <c r="G6">
        <f>VLOOKUP(A7,[1]timesData!$B:$P,6,FALSE)</f>
        <v>94</v>
      </c>
      <c r="H6">
        <f>VLOOKUP(A7,[1]timesData!$B:$P,7,FALSE)</f>
        <v>57</v>
      </c>
      <c r="I6">
        <f>VLOOKUP(A7,[1]timesData!$B:$P,8,FALSE)</f>
        <v>91.2</v>
      </c>
      <c r="J6">
        <f>VLOOKUP(A7,[1]timesData!$B:$P,9,FALSE)</f>
        <v>18812</v>
      </c>
      <c r="K6">
        <f>VLOOKUP(A7,[1]timesData!$B:$P,10,FALSE)</f>
        <v>11.8</v>
      </c>
      <c r="L6">
        <f>VLOOKUP(A7,[1]timesData!$B:$P,11,FALSE)</f>
        <v>0.34</v>
      </c>
      <c r="M6">
        <f>VLOOKUP(A7,[1]timesData!$B:$P,12,FALSE)</f>
        <v>1.9541666666666666</v>
      </c>
      <c r="N6">
        <f>VLOOKUP(A7,[1]timesData!$B:$P,13,FALSE)</f>
        <v>2011</v>
      </c>
      <c r="O6">
        <f>VLOOKUP(A6,[2]cwurData!$B:$P,14,FALSE)</f>
        <v>6</v>
      </c>
      <c r="P6">
        <f>VLOOKUP(A6,[2]cwurData!$B:$N, 3, FALSE)</f>
        <v>5</v>
      </c>
      <c r="Q6">
        <f>VLOOKUP(A6,[2]cwurData!$B:$N, 4, FALSE)</f>
        <v>8</v>
      </c>
      <c r="R6">
        <f>VLOOKUP(A6,[2]cwurData!$B:$N, 5, FALSE)</f>
        <v>14</v>
      </c>
      <c r="S6">
        <f>VLOOKUP(A6,[2]cwurData!$B:$N, 6, FALSE)</f>
        <v>2</v>
      </c>
      <c r="T6">
        <f>VLOOKUP(A6,[2]cwurData!$B:$N, 7, FALSE)</f>
        <v>53</v>
      </c>
      <c r="U6">
        <f>VLOOKUP(A6,[2]cwurData!$B:$N, 8, FALSE)</f>
        <v>33</v>
      </c>
      <c r="V6">
        <f>VLOOKUP(A6,[2]cwurData!$B:$N, 9, FALSE)</f>
        <v>26</v>
      </c>
      <c r="W6">
        <f>VLOOKUP(A6,[2]cwurData!$B:$N, 10, FALSE)</f>
        <v>0</v>
      </c>
      <c r="X6">
        <f>VLOOKUP(A6,[2]cwurData!$B:$N, 11, FALSE)</f>
        <v>101</v>
      </c>
      <c r="Y6">
        <f>VLOOKUP(A6,[2]cwurData!$B:$N, 12, FALSE)</f>
        <v>82.5</v>
      </c>
      <c r="Z6">
        <f>VLOOKUP(A6,[2]cwurData!$B:$N, 13, FALSE)</f>
        <v>2012</v>
      </c>
    </row>
    <row r="7" spans="1:26" x14ac:dyDescent="0.3">
      <c r="A7" t="s">
        <v>6</v>
      </c>
      <c r="B7" t="str">
        <f>IFERROR(VLOOKUP(A7,[1]timesData!$B:$P,2,FALSE),VLOOKUP(A7,[2]cwurData!$B:$P,2,FALSE))</f>
        <v>United Kingdom</v>
      </c>
      <c r="C7">
        <f>VLOOKUP(A7,[1]timesData!$B:$P,3,FALSE)</f>
        <v>6</v>
      </c>
      <c r="D7">
        <f>VLOOKUP(A8,[1]timesData!$B:$P,3,FALSE)</f>
        <v>6</v>
      </c>
      <c r="E7">
        <f>VLOOKUP(A8,[1]timesData!$B:$P,4,FALSE)</f>
        <v>77.2</v>
      </c>
      <c r="F7">
        <f>VLOOKUP(A8,[1]timesData!$B:$P,5,FALSE)</f>
        <v>93.9</v>
      </c>
      <c r="G7">
        <f>VLOOKUP(A8,[1]timesData!$B:$P,6,FALSE)</f>
        <v>95.1</v>
      </c>
      <c r="H7">
        <f>VLOOKUP(A8,[1]timesData!$B:$P,7,FALSE)</f>
        <v>73.5</v>
      </c>
      <c r="I7">
        <f>VLOOKUP(A8,[1]timesData!$B:$P,8,FALSE)</f>
        <v>91.2</v>
      </c>
      <c r="J7">
        <f>VLOOKUP(A8,[1]timesData!$B:$P,9,FALSE)</f>
        <v>19919</v>
      </c>
      <c r="K7">
        <f>VLOOKUP(A8,[1]timesData!$B:$P,10,FALSE)</f>
        <v>11.6</v>
      </c>
      <c r="L7">
        <f>VLOOKUP(A8,[1]timesData!$B:$P,11,FALSE)</f>
        <v>0.34</v>
      </c>
      <c r="M7">
        <f>VLOOKUP(A8,[1]timesData!$B:$P,12,FALSE)</f>
        <v>1.9541666666666666</v>
      </c>
      <c r="N7">
        <f>VLOOKUP(A8,[1]timesData!$B:$P,13,FALSE)</f>
        <v>2011</v>
      </c>
      <c r="O7">
        <f>VLOOKUP(A7,[2]cwurData!$B:$P,14,FALSE)</f>
        <v>4</v>
      </c>
      <c r="P7">
        <f>VLOOKUP(A7,[2]cwurData!$B:$N, 3, FALSE)</f>
        <v>1</v>
      </c>
      <c r="Q7">
        <f>VLOOKUP(A7,[2]cwurData!$B:$N, 4, FALSE)</f>
        <v>10</v>
      </c>
      <c r="R7">
        <f>VLOOKUP(A7,[2]cwurData!$B:$N, 5, FALSE)</f>
        <v>24</v>
      </c>
      <c r="S7">
        <f>VLOOKUP(A7,[2]cwurData!$B:$N, 6, FALSE)</f>
        <v>4</v>
      </c>
      <c r="T7">
        <f>VLOOKUP(A7,[2]cwurData!$B:$N, 7, FALSE)</f>
        <v>16</v>
      </c>
      <c r="U7">
        <f>VLOOKUP(A7,[2]cwurData!$B:$N, 8, FALSE)</f>
        <v>16</v>
      </c>
      <c r="V7">
        <f>VLOOKUP(A7,[2]cwurData!$B:$N, 9, FALSE)</f>
        <v>11</v>
      </c>
      <c r="W7">
        <f>VLOOKUP(A7,[2]cwurData!$B:$N, 10, FALSE)</f>
        <v>0</v>
      </c>
      <c r="X7">
        <f>VLOOKUP(A7,[2]cwurData!$B:$N, 11, FALSE)</f>
        <v>50</v>
      </c>
      <c r="Y7">
        <f>VLOOKUP(A7,[2]cwurData!$B:$N, 12, FALSE)</f>
        <v>86.17</v>
      </c>
      <c r="Z7">
        <f>VLOOKUP(A7,[2]cwurData!$B:$N, 13, FALSE)</f>
        <v>2012</v>
      </c>
    </row>
    <row r="8" spans="1:26" x14ac:dyDescent="0.3">
      <c r="A8" t="s">
        <v>7</v>
      </c>
      <c r="B8" t="str">
        <f>IFERROR(VLOOKUP(A8,[1]timesData!$B:$P,2,FALSE),VLOOKUP(A8,[2]cwurData!$B:$P,2,FALSE))</f>
        <v>United Kingdom</v>
      </c>
      <c r="C8">
        <f>VLOOKUP(A8,[1]timesData!$B:$P,3,FALSE)</f>
        <v>6</v>
      </c>
      <c r="D8">
        <f>VLOOKUP(A9,[1]timesData!$B:$P,3,FALSE)</f>
        <v>8</v>
      </c>
      <c r="E8">
        <f>VLOOKUP(A9,[1]timesData!$B:$P,4,FALSE)</f>
        <v>39.6</v>
      </c>
      <c r="F8">
        <f>VLOOKUP(A9,[1]timesData!$B:$P,5,FALSE)</f>
        <v>99.3</v>
      </c>
      <c r="G8">
        <f>VLOOKUP(A9,[1]timesData!$B:$P,6,FALSE)</f>
        <v>97.8</v>
      </c>
      <c r="H8" t="str">
        <f>VLOOKUP(A9,[1]timesData!$B:$P,7,FALSE)</f>
        <v>-</v>
      </c>
      <c r="I8">
        <f>VLOOKUP(A9,[1]timesData!$B:$P,8,FALSE)</f>
        <v>91.1</v>
      </c>
      <c r="J8">
        <f>VLOOKUP(A9,[1]timesData!$B:$P,9,FALSE)</f>
        <v>36186</v>
      </c>
      <c r="K8">
        <f>VLOOKUP(A9,[1]timesData!$B:$P,10,FALSE)</f>
        <v>16.399999999999999</v>
      </c>
      <c r="L8">
        <f>VLOOKUP(A9,[1]timesData!$B:$P,11,FALSE)</f>
        <v>0.15</v>
      </c>
      <c r="M8">
        <f>VLOOKUP(A9,[1]timesData!$B:$P,12,FALSE)</f>
        <v>2.1180555555555554</v>
      </c>
      <c r="N8">
        <f>VLOOKUP(A9,[1]timesData!$B:$P,13,FALSE)</f>
        <v>2011</v>
      </c>
      <c r="O8">
        <f>VLOOKUP(A8,[2]cwurData!$B:$P,14,FALSE)</f>
        <v>7</v>
      </c>
      <c r="P8">
        <f>VLOOKUP(A8,[2]cwurData!$B:$N, 3, FALSE)</f>
        <v>2</v>
      </c>
      <c r="Q8">
        <f>VLOOKUP(A8,[2]cwurData!$B:$N, 4, FALSE)</f>
        <v>13</v>
      </c>
      <c r="R8">
        <f>VLOOKUP(A8,[2]cwurData!$B:$N, 5, FALSE)</f>
        <v>28</v>
      </c>
      <c r="S8">
        <f>VLOOKUP(A8,[2]cwurData!$B:$N, 6, FALSE)</f>
        <v>9</v>
      </c>
      <c r="T8">
        <f>VLOOKUP(A8,[2]cwurData!$B:$N, 7, FALSE)</f>
        <v>15</v>
      </c>
      <c r="U8">
        <f>VLOOKUP(A8,[2]cwurData!$B:$N, 8, FALSE)</f>
        <v>13</v>
      </c>
      <c r="V8">
        <f>VLOOKUP(A8,[2]cwurData!$B:$N, 9, FALSE)</f>
        <v>19</v>
      </c>
      <c r="W8">
        <f>VLOOKUP(A8,[2]cwurData!$B:$N, 10, FALSE)</f>
        <v>0</v>
      </c>
      <c r="X8">
        <f>VLOOKUP(A8,[2]cwurData!$B:$N, 11, FALSE)</f>
        <v>26</v>
      </c>
      <c r="Y8">
        <f>VLOOKUP(A8,[2]cwurData!$B:$N, 12, FALSE)</f>
        <v>82.34</v>
      </c>
      <c r="Z8">
        <f>VLOOKUP(A8,[2]cwurData!$B:$N, 13, FALSE)</f>
        <v>2012</v>
      </c>
    </row>
    <row r="9" spans="1:26" x14ac:dyDescent="0.3">
      <c r="A9" t="s">
        <v>8</v>
      </c>
      <c r="B9" t="str">
        <f>IFERROR(VLOOKUP(A9,[1]timesData!$B:$P,2,FALSE),VLOOKUP(A9,[2]cwurData!$B:$P,2,FALSE))</f>
        <v>United States of America</v>
      </c>
      <c r="C9">
        <f>VLOOKUP(A9,[1]timesData!$B:$P,3,FALSE)</f>
        <v>8</v>
      </c>
      <c r="D9">
        <f>VLOOKUP(A10,[1]timesData!$B:$P,3,FALSE)</f>
        <v>9</v>
      </c>
      <c r="E9">
        <f>VLOOKUP(A10,[1]timesData!$B:$P,4,FALSE)</f>
        <v>90</v>
      </c>
      <c r="F9">
        <f>VLOOKUP(A10,[1]timesData!$B:$P,5,FALSE)</f>
        <v>94.5</v>
      </c>
      <c r="G9">
        <f>VLOOKUP(A10,[1]timesData!$B:$P,6,FALSE)</f>
        <v>88.3</v>
      </c>
      <c r="H9">
        <f>VLOOKUP(A10,[1]timesData!$B:$P,7,FALSE)</f>
        <v>92.9</v>
      </c>
      <c r="I9">
        <f>VLOOKUP(A10,[1]timesData!$B:$P,8,FALSE)</f>
        <v>90.6</v>
      </c>
      <c r="J9">
        <f>VLOOKUP(A10,[1]timesData!$B:$P,9,FALSE)</f>
        <v>15060</v>
      </c>
      <c r="K9">
        <f>VLOOKUP(A10,[1]timesData!$B:$P,10,FALSE)</f>
        <v>11.7</v>
      </c>
      <c r="L9">
        <f>VLOOKUP(A10,[1]timesData!$B:$P,11,FALSE)</f>
        <v>0.51</v>
      </c>
      <c r="M9" t="str">
        <f>VLOOKUP(A10,[1]timesData!$B:$P,12,FALSE)</f>
        <v>37 : 63</v>
      </c>
      <c r="N9">
        <f>VLOOKUP(A10,[1]timesData!$B:$P,13,FALSE)</f>
        <v>2011</v>
      </c>
      <c r="O9">
        <f>VLOOKUP(A9,[2]cwurData!$B:$P,14,FALSE)</f>
        <v>10</v>
      </c>
      <c r="P9">
        <f>VLOOKUP(A9,[2]cwurData!$B:$N, 3, FALSE)</f>
        <v>8</v>
      </c>
      <c r="Q9">
        <f>VLOOKUP(A9,[2]cwurData!$B:$N, 4, FALSE)</f>
        <v>16</v>
      </c>
      <c r="R9">
        <f>VLOOKUP(A9,[2]cwurData!$B:$N, 5, FALSE)</f>
        <v>52</v>
      </c>
      <c r="S9">
        <f>VLOOKUP(A9,[2]cwurData!$B:$N, 6, FALSE)</f>
        <v>6</v>
      </c>
      <c r="T9">
        <f>VLOOKUP(A9,[2]cwurData!$B:$N, 7, FALSE)</f>
        <v>6</v>
      </c>
      <c r="U9">
        <f>VLOOKUP(A9,[2]cwurData!$B:$N, 8, FALSE)</f>
        <v>5</v>
      </c>
      <c r="V9">
        <f>VLOOKUP(A9,[2]cwurData!$B:$N, 9, FALSE)</f>
        <v>3</v>
      </c>
      <c r="W9">
        <f>VLOOKUP(A9,[2]cwurData!$B:$N, 10, FALSE)</f>
        <v>0</v>
      </c>
      <c r="X9">
        <f>VLOOKUP(A9,[2]cwurData!$B:$N, 11, FALSE)</f>
        <v>16</v>
      </c>
      <c r="Y9">
        <f>VLOOKUP(A9,[2]cwurData!$B:$N, 12, FALSE)</f>
        <v>78.55</v>
      </c>
      <c r="Z9">
        <f>VLOOKUP(A9,[2]cwurData!$B:$N, 13, FALSE)</f>
        <v>2012</v>
      </c>
    </row>
    <row r="10" spans="1:26" x14ac:dyDescent="0.3">
      <c r="A10" t="s">
        <v>9</v>
      </c>
      <c r="B10" t="str">
        <f>IFERROR(VLOOKUP(A10,[1]timesData!$B:$P,2,FALSE),VLOOKUP(A10,[2]cwurData!$B:$P,2,FALSE))</f>
        <v>United Kingdom</v>
      </c>
      <c r="C10">
        <f>VLOOKUP(A10,[1]timesData!$B:$P,3,FALSE)</f>
        <v>9</v>
      </c>
      <c r="D10">
        <f>VLOOKUP(A11,[1]timesData!$B:$P,3,FALSE)</f>
        <v>10</v>
      </c>
      <c r="E10">
        <f>VLOOKUP(A11,[1]timesData!$B:$P,4,FALSE)</f>
        <v>59.2</v>
      </c>
      <c r="F10">
        <f>VLOOKUP(A11,[1]timesData!$B:$P,5,FALSE)</f>
        <v>89.7</v>
      </c>
      <c r="G10">
        <f>VLOOKUP(A11,[1]timesData!$B:$P,6,FALSE)</f>
        <v>91.5</v>
      </c>
      <c r="H10" t="str">
        <f>VLOOKUP(A11,[1]timesData!$B:$P,7,FALSE)</f>
        <v>-</v>
      </c>
      <c r="I10">
        <f>VLOOKUP(A11,[1]timesData!$B:$P,8,FALSE)</f>
        <v>89.5</v>
      </c>
      <c r="J10">
        <f>VLOOKUP(A11,[1]timesData!$B:$P,9,FALSE)</f>
        <v>11751</v>
      </c>
      <c r="K10">
        <f>VLOOKUP(A11,[1]timesData!$B:$P,10,FALSE)</f>
        <v>4.4000000000000004</v>
      </c>
      <c r="L10">
        <f>VLOOKUP(A11,[1]timesData!$B:$P,11,FALSE)</f>
        <v>0.2</v>
      </c>
      <c r="M10">
        <f>VLOOKUP(A11,[1]timesData!$B:$P,12,FALSE)</f>
        <v>2.1180555555555554</v>
      </c>
      <c r="N10">
        <f>VLOOKUP(A11,[1]timesData!$B:$P,13,FALSE)</f>
        <v>2011</v>
      </c>
      <c r="O10">
        <f>VLOOKUP(A10,[2]cwurData!$B:$P,14,FALSE)</f>
        <v>28</v>
      </c>
      <c r="P10">
        <f>VLOOKUP(A10,[2]cwurData!$B:$N, 3, FALSE)</f>
        <v>3</v>
      </c>
      <c r="Q10">
        <f>VLOOKUP(A10,[2]cwurData!$B:$N, 4, FALSE)</f>
        <v>84</v>
      </c>
      <c r="R10">
        <f>VLOOKUP(A10,[2]cwurData!$B:$N, 5, FALSE)</f>
        <v>73</v>
      </c>
      <c r="S10">
        <f>VLOOKUP(A10,[2]cwurData!$B:$N, 6, FALSE)</f>
        <v>35</v>
      </c>
      <c r="T10">
        <f>VLOOKUP(A10,[2]cwurData!$B:$N, 7, FALSE)</f>
        <v>26</v>
      </c>
      <c r="U10">
        <f>VLOOKUP(A10,[2]cwurData!$B:$N, 8, FALSE)</f>
        <v>26</v>
      </c>
      <c r="V10">
        <f>VLOOKUP(A10,[2]cwurData!$B:$N, 9, FALSE)</f>
        <v>29</v>
      </c>
      <c r="W10">
        <f>VLOOKUP(A10,[2]cwurData!$B:$N, 10, FALSE)</f>
        <v>0</v>
      </c>
      <c r="X10">
        <f>VLOOKUP(A10,[2]cwurData!$B:$N, 11, FALSE)</f>
        <v>41</v>
      </c>
      <c r="Y10">
        <f>VLOOKUP(A10,[2]cwurData!$B:$N, 12, FALSE)</f>
        <v>57.53</v>
      </c>
      <c r="Z10">
        <f>VLOOKUP(A10,[2]cwurData!$B:$N, 13, FALSE)</f>
        <v>2012</v>
      </c>
    </row>
    <row r="11" spans="1:26" x14ac:dyDescent="0.3">
      <c r="A11" t="s">
        <v>10</v>
      </c>
      <c r="B11" t="str">
        <f>IFERROR(VLOOKUP(A11,[1]timesData!$B:$P,2,FALSE),VLOOKUP(A11,[2]cwurData!$B:$P,2,FALSE))</f>
        <v>United States of America</v>
      </c>
      <c r="C11">
        <f>VLOOKUP(A11,[1]timesData!$B:$P,3,FALSE)</f>
        <v>10</v>
      </c>
      <c r="D11">
        <f>VLOOKUP(A12,[1]timesData!$B:$P,3,FALSE)</f>
        <v>11</v>
      </c>
      <c r="E11">
        <f>VLOOKUP(A12,[1]timesData!$B:$P,4,FALSE)</f>
        <v>48.1</v>
      </c>
      <c r="F11">
        <f>VLOOKUP(A12,[1]timesData!$B:$P,5,FALSE)</f>
        <v>92.9</v>
      </c>
      <c r="G11">
        <f>VLOOKUP(A12,[1]timesData!$B:$P,6,FALSE)</f>
        <v>93.2</v>
      </c>
      <c r="H11" t="str">
        <f>VLOOKUP(A12,[1]timesData!$B:$P,7,FALSE)</f>
        <v>-</v>
      </c>
      <c r="I11">
        <f>VLOOKUP(A12,[1]timesData!$B:$P,8,FALSE)</f>
        <v>87.7</v>
      </c>
      <c r="J11">
        <f>VLOOKUP(A12,[1]timesData!$B:$P,9,FALSE)</f>
        <v>38206</v>
      </c>
      <c r="K11">
        <f>VLOOKUP(A12,[1]timesData!$B:$P,10,FALSE)</f>
        <v>10.3</v>
      </c>
      <c r="L11">
        <f>VLOOKUP(A12,[1]timesData!$B:$P,11,FALSE)</f>
        <v>0.15</v>
      </c>
      <c r="M11">
        <f>VLOOKUP(A12,[1]timesData!$B:$P,12,FALSE)</f>
        <v>2.2000000000000002</v>
      </c>
      <c r="N11">
        <f>VLOOKUP(A12,[1]timesData!$B:$P,13,FALSE)</f>
        <v>2011</v>
      </c>
      <c r="O11">
        <f>VLOOKUP(A11,[2]cwurData!$B:$P,14,FALSE)</f>
        <v>8</v>
      </c>
      <c r="P11">
        <f>VLOOKUP(A11,[2]cwurData!$B:$N, 3, FALSE)</f>
        <v>6</v>
      </c>
      <c r="Q11">
        <f>VLOOKUP(A11,[2]cwurData!$B:$N, 4, FALSE)</f>
        <v>14</v>
      </c>
      <c r="R11">
        <f>VLOOKUP(A11,[2]cwurData!$B:$N, 5, FALSE)</f>
        <v>31</v>
      </c>
      <c r="S11">
        <f>VLOOKUP(A11,[2]cwurData!$B:$N, 6, FALSE)</f>
        <v>12</v>
      </c>
      <c r="T11">
        <f>VLOOKUP(A11,[2]cwurData!$B:$N, 7, FALSE)</f>
        <v>14</v>
      </c>
      <c r="U11">
        <f>VLOOKUP(A11,[2]cwurData!$B:$N, 8, FALSE)</f>
        <v>6</v>
      </c>
      <c r="V11">
        <f>VLOOKUP(A11,[2]cwurData!$B:$N, 9, FALSE)</f>
        <v>15</v>
      </c>
      <c r="W11">
        <f>VLOOKUP(A11,[2]cwurData!$B:$N, 10, FALSE)</f>
        <v>0</v>
      </c>
      <c r="X11">
        <f>VLOOKUP(A11,[2]cwurData!$B:$N, 11, FALSE)</f>
        <v>66</v>
      </c>
      <c r="Y11">
        <f>VLOOKUP(A11,[2]cwurData!$B:$N, 12, FALSE)</f>
        <v>79.14</v>
      </c>
      <c r="Z11">
        <f>VLOOKUP(A11,[2]cwurData!$B:$N, 13, FALSE)</f>
        <v>2012</v>
      </c>
    </row>
    <row r="12" spans="1:26" x14ac:dyDescent="0.3">
      <c r="A12" t="s">
        <v>11</v>
      </c>
      <c r="B12" t="str">
        <f>IFERROR(VLOOKUP(A12,[1]timesData!$B:$P,2,FALSE),VLOOKUP(A12,[2]cwurData!$B:$P,2,FALSE))</f>
        <v>United States of America</v>
      </c>
      <c r="C12">
        <f>VLOOKUP(A12,[1]timesData!$B:$P,3,FALSE)</f>
        <v>11</v>
      </c>
      <c r="D12">
        <f>VLOOKUP(A13,[1]timesData!$B:$P,3,FALSE)</f>
        <v>12</v>
      </c>
      <c r="E12">
        <f>VLOOKUP(A13,[1]timesData!$B:$P,4,FALSE)</f>
        <v>62.8</v>
      </c>
      <c r="F12">
        <f>VLOOKUP(A13,[1]timesData!$B:$P,5,FALSE)</f>
        <v>87.9</v>
      </c>
      <c r="G12">
        <f>VLOOKUP(A13,[1]timesData!$B:$P,6,FALSE)</f>
        <v>96.9</v>
      </c>
      <c r="H12" t="str">
        <f>VLOOKUP(A13,[1]timesData!$B:$P,7,FALSE)</f>
        <v>-</v>
      </c>
      <c r="I12">
        <f>VLOOKUP(A13,[1]timesData!$B:$P,8,FALSE)</f>
        <v>86.9</v>
      </c>
      <c r="J12">
        <f>VLOOKUP(A13,[1]timesData!$B:$P,9,FALSE)</f>
        <v>14221</v>
      </c>
      <c r="K12">
        <f>VLOOKUP(A13,[1]timesData!$B:$P,10,FALSE)</f>
        <v>6.9</v>
      </c>
      <c r="L12">
        <f>VLOOKUP(A13,[1]timesData!$B:$P,11,FALSE)</f>
        <v>0.21</v>
      </c>
      <c r="M12">
        <f>VLOOKUP(A13,[1]timesData!$B:$P,12,FALSE)</f>
        <v>1.7902777777777779</v>
      </c>
      <c r="N12">
        <f>VLOOKUP(A13,[1]timesData!$B:$P,13,FALSE)</f>
        <v>2011</v>
      </c>
      <c r="O12">
        <f>VLOOKUP(A12,[2]cwurData!$B:$P,14,FALSE)</f>
        <v>19</v>
      </c>
      <c r="P12">
        <f>VLOOKUP(A12,[2]cwurData!$B:$N, 3, FALSE)</f>
        <v>13</v>
      </c>
      <c r="Q12">
        <f>VLOOKUP(A12,[2]cwurData!$B:$N, 4, FALSE)</f>
        <v>62</v>
      </c>
      <c r="R12">
        <f>VLOOKUP(A12,[2]cwurData!$B:$N, 5, FALSE)</f>
        <v>59</v>
      </c>
      <c r="S12">
        <f>VLOOKUP(A12,[2]cwurData!$B:$N, 6, FALSE)</f>
        <v>23</v>
      </c>
      <c r="T12">
        <f>VLOOKUP(A12,[2]cwurData!$B:$N, 7, FALSE)</f>
        <v>3</v>
      </c>
      <c r="U12">
        <f>VLOOKUP(A12,[2]cwurData!$B:$N, 8, FALSE)</f>
        <v>11</v>
      </c>
      <c r="V12">
        <f>VLOOKUP(A12,[2]cwurData!$B:$N, 9, FALSE)</f>
        <v>6</v>
      </c>
      <c r="W12">
        <f>VLOOKUP(A12,[2]cwurData!$B:$N, 10, FALSE)</f>
        <v>0</v>
      </c>
      <c r="X12">
        <f>VLOOKUP(A12,[2]cwurData!$B:$N, 11, FALSE)</f>
        <v>13</v>
      </c>
      <c r="Y12">
        <f>VLOOKUP(A12,[2]cwurData!$B:$N, 12, FALSE)</f>
        <v>64.05</v>
      </c>
      <c r="Z12">
        <f>VLOOKUP(A12,[2]cwurData!$B:$N, 13, FALSE)</f>
        <v>2012</v>
      </c>
    </row>
    <row r="13" spans="1:26" x14ac:dyDescent="0.3">
      <c r="A13" t="s">
        <v>12</v>
      </c>
      <c r="B13" t="str">
        <f>IFERROR(VLOOKUP(A13,[1]timesData!$B:$P,2,FALSE),VLOOKUP(A13,[2]cwurData!$B:$P,2,FALSE))</f>
        <v>United States of America</v>
      </c>
      <c r="C13">
        <f>VLOOKUP(A13,[1]timesData!$B:$P,3,FALSE)</f>
        <v>12</v>
      </c>
      <c r="D13">
        <f>VLOOKUP(A14,[1]timesData!$B:$P,3,FALSE)</f>
        <v>13</v>
      </c>
      <c r="E13">
        <f>VLOOKUP(A14,[1]timesData!$B:$P,4,FALSE)</f>
        <v>58.5</v>
      </c>
      <c r="F13">
        <f>VLOOKUP(A14,[1]timesData!$B:$P,5,FALSE)</f>
        <v>89.2</v>
      </c>
      <c r="G13">
        <f>VLOOKUP(A14,[1]timesData!$B:$P,6,FALSE)</f>
        <v>92.3</v>
      </c>
      <c r="H13">
        <f>VLOOKUP(A14,[1]timesData!$B:$P,7,FALSE)</f>
        <v>100</v>
      </c>
      <c r="I13">
        <f>VLOOKUP(A14,[1]timesData!$B:$P,8,FALSE)</f>
        <v>86.4</v>
      </c>
      <c r="J13">
        <f>VLOOKUP(A14,[1]timesData!$B:$P,9,FALSE)</f>
        <v>15128</v>
      </c>
      <c r="K13">
        <f>VLOOKUP(A14,[1]timesData!$B:$P,10,FALSE)</f>
        <v>3.6</v>
      </c>
      <c r="L13">
        <f>VLOOKUP(A14,[1]timesData!$B:$P,11,FALSE)</f>
        <v>0.23</v>
      </c>
      <c r="M13">
        <f>VLOOKUP(A14,[1]timesData!$B:$P,12,FALSE)</f>
        <v>2.1180555555555554</v>
      </c>
      <c r="N13">
        <f>VLOOKUP(A14,[1]timesData!$B:$P,13,FALSE)</f>
        <v>2011</v>
      </c>
      <c r="O13">
        <f>VLOOKUP(A13,[2]cwurData!$B:$P,14,FALSE)</f>
        <v>11</v>
      </c>
      <c r="P13">
        <f>VLOOKUP(A13,[2]cwurData!$B:$N, 3, FALSE)</f>
        <v>9</v>
      </c>
      <c r="Q13">
        <f>VLOOKUP(A13,[2]cwurData!$B:$N, 4, FALSE)</f>
        <v>15</v>
      </c>
      <c r="R13">
        <f>VLOOKUP(A13,[2]cwurData!$B:$N, 5, FALSE)</f>
        <v>26</v>
      </c>
      <c r="S13">
        <f>VLOOKUP(A13,[2]cwurData!$B:$N, 6, FALSE)</f>
        <v>8</v>
      </c>
      <c r="T13">
        <f>VLOOKUP(A13,[2]cwurData!$B:$N, 7, FALSE)</f>
        <v>34</v>
      </c>
      <c r="U13">
        <f>VLOOKUP(A13,[2]cwurData!$B:$N, 8, FALSE)</f>
        <v>20</v>
      </c>
      <c r="V13">
        <f>VLOOKUP(A13,[2]cwurData!$B:$N, 9, FALSE)</f>
        <v>28</v>
      </c>
      <c r="W13">
        <f>VLOOKUP(A13,[2]cwurData!$B:$N, 10, FALSE)</f>
        <v>0</v>
      </c>
      <c r="X13">
        <f>VLOOKUP(A13,[2]cwurData!$B:$N, 11, FALSE)</f>
        <v>101</v>
      </c>
      <c r="Y13">
        <f>VLOOKUP(A13,[2]cwurData!$B:$N, 12, FALSE)</f>
        <v>73.819999999999993</v>
      </c>
      <c r="Z13">
        <f>VLOOKUP(A13,[2]cwurData!$B:$N, 13, FALSE)</f>
        <v>2012</v>
      </c>
    </row>
    <row r="14" spans="1:26" x14ac:dyDescent="0.3">
      <c r="A14" t="s">
        <v>13</v>
      </c>
      <c r="B14" t="str">
        <f>IFERROR(VLOOKUP(A14,[1]timesData!$B:$P,2,FALSE),VLOOKUP(A14,[2]cwurData!$B:$P,2,FALSE))</f>
        <v>United States of America</v>
      </c>
      <c r="C14">
        <f>VLOOKUP(A14,[1]timesData!$B:$P,3,FALSE)</f>
        <v>13</v>
      </c>
      <c r="D14">
        <f>VLOOKUP(A15,[1]timesData!$B:$P,3,FALSE)</f>
        <v>14</v>
      </c>
      <c r="E14">
        <f>VLOOKUP(A15,[1]timesData!$B:$P,4,FALSE)</f>
        <v>62.4</v>
      </c>
      <c r="F14">
        <f>VLOOKUP(A15,[1]timesData!$B:$P,5,FALSE)</f>
        <v>88.8</v>
      </c>
      <c r="G14">
        <f>VLOOKUP(A15,[1]timesData!$B:$P,6,FALSE)</f>
        <v>88.1</v>
      </c>
      <c r="H14">
        <f>VLOOKUP(A15,[1]timesData!$B:$P,7,FALSE)</f>
        <v>34.700000000000003</v>
      </c>
      <c r="I14">
        <f>VLOOKUP(A15,[1]timesData!$B:$P,8,FALSE)</f>
        <v>83.9</v>
      </c>
      <c r="J14">
        <f>VLOOKUP(A15,[1]timesData!$B:$P,9,FALSE)</f>
        <v>21424</v>
      </c>
      <c r="K14">
        <f>VLOOKUP(A15,[1]timesData!$B:$P,10,FALSE)</f>
        <v>10.199999999999999</v>
      </c>
      <c r="L14">
        <f>VLOOKUP(A15,[1]timesData!$B:$P,11,FALSE)</f>
        <v>0.19</v>
      </c>
      <c r="M14">
        <f>VLOOKUP(A15,[1]timesData!$B:$P,12,FALSE)</f>
        <v>2.036111111111111</v>
      </c>
      <c r="N14">
        <f>VLOOKUP(A15,[1]timesData!$B:$P,13,FALSE)</f>
        <v>2011</v>
      </c>
      <c r="O14">
        <f>VLOOKUP(A14,[2]cwurData!$B:$P,14,FALSE)</f>
        <v>15</v>
      </c>
      <c r="P14">
        <f>VLOOKUP(A14,[2]cwurData!$B:$N, 3, FALSE)</f>
        <v>12</v>
      </c>
      <c r="Q14">
        <f>VLOOKUP(A14,[2]cwurData!$B:$N, 4, FALSE)</f>
        <v>34</v>
      </c>
      <c r="R14">
        <f>VLOOKUP(A14,[2]cwurData!$B:$N, 5, FALSE)</f>
        <v>77</v>
      </c>
      <c r="S14">
        <f>VLOOKUP(A14,[2]cwurData!$B:$N, 6, FALSE)</f>
        <v>20</v>
      </c>
      <c r="T14">
        <f>VLOOKUP(A14,[2]cwurData!$B:$N, 7, FALSE)</f>
        <v>11</v>
      </c>
      <c r="U14">
        <f>VLOOKUP(A14,[2]cwurData!$B:$N, 8, FALSE)</f>
        <v>9</v>
      </c>
      <c r="V14">
        <f>VLOOKUP(A14,[2]cwurData!$B:$N, 9, FALSE)</f>
        <v>9</v>
      </c>
      <c r="W14">
        <f>VLOOKUP(A14,[2]cwurData!$B:$N, 10, FALSE)</f>
        <v>0</v>
      </c>
      <c r="X14">
        <f>VLOOKUP(A14,[2]cwurData!$B:$N, 11, FALSE)</f>
        <v>7</v>
      </c>
      <c r="Y14">
        <f>VLOOKUP(A14,[2]cwurData!$B:$N, 12, FALSE)</f>
        <v>66.94</v>
      </c>
      <c r="Z14">
        <f>VLOOKUP(A14,[2]cwurData!$B:$N, 13, FALSE)</f>
        <v>2012</v>
      </c>
    </row>
    <row r="15" spans="1:26" x14ac:dyDescent="0.3">
      <c r="A15" t="s">
        <v>14</v>
      </c>
      <c r="B15" t="str">
        <f>IFERROR(VLOOKUP(A15,[1]timesData!$B:$P,2,FALSE),VLOOKUP(A15,[2]cwurData!$B:$P,2,FALSE))</f>
        <v>United States of America</v>
      </c>
      <c r="C15">
        <f>VLOOKUP(A15,[1]timesData!$B:$P,3,FALSE)</f>
        <v>14</v>
      </c>
      <c r="D15">
        <f>VLOOKUP(A16,[1]timesData!$B:$P,3,FALSE)</f>
        <v>15</v>
      </c>
      <c r="E15">
        <f>VLOOKUP(A16,[1]timesData!$B:$P,4,FALSE)</f>
        <v>93.7</v>
      </c>
      <c r="F15">
        <f>VLOOKUP(A16,[1]timesData!$B:$P,5,FALSE)</f>
        <v>87.8</v>
      </c>
      <c r="G15">
        <f>VLOOKUP(A16,[1]timesData!$B:$P,6,FALSE)</f>
        <v>83.1</v>
      </c>
      <c r="H15" t="str">
        <f>VLOOKUP(A16,[1]timesData!$B:$P,7,FALSE)</f>
        <v>-</v>
      </c>
      <c r="I15">
        <f>VLOOKUP(A16,[1]timesData!$B:$P,8,FALSE)</f>
        <v>83.4</v>
      </c>
      <c r="J15">
        <f>VLOOKUP(A16,[1]timesData!$B:$P,9,FALSE)</f>
        <v>18178</v>
      </c>
      <c r="K15">
        <f>VLOOKUP(A16,[1]timesData!$B:$P,10,FALSE)</f>
        <v>14.7</v>
      </c>
      <c r="L15">
        <f>VLOOKUP(A16,[1]timesData!$B:$P,11,FALSE)</f>
        <v>0.37</v>
      </c>
      <c r="M15" t="str">
        <f>VLOOKUP(A16,[1]timesData!$B:$P,12,FALSE)</f>
        <v>31 : 69</v>
      </c>
      <c r="N15">
        <f>VLOOKUP(A16,[1]timesData!$B:$P,13,FALSE)</f>
        <v>2011</v>
      </c>
      <c r="O15">
        <f>VLOOKUP(A15,[2]cwurData!$B:$P,14,FALSE)</f>
        <v>12</v>
      </c>
      <c r="P15">
        <f>VLOOKUP(A15,[2]cwurData!$B:$N, 3, FALSE)</f>
        <v>10</v>
      </c>
      <c r="Q15">
        <f>VLOOKUP(A15,[2]cwurData!$B:$N, 4, FALSE)</f>
        <v>21</v>
      </c>
      <c r="R15">
        <f>VLOOKUP(A15,[2]cwurData!$B:$N, 5, FALSE)</f>
        <v>42</v>
      </c>
      <c r="S15">
        <f>VLOOKUP(A15,[2]cwurData!$B:$N, 6, FALSE)</f>
        <v>14</v>
      </c>
      <c r="T15">
        <f>VLOOKUP(A15,[2]cwurData!$B:$N, 7, FALSE)</f>
        <v>22</v>
      </c>
      <c r="U15">
        <f>VLOOKUP(A15,[2]cwurData!$B:$N, 8, FALSE)</f>
        <v>21</v>
      </c>
      <c r="V15">
        <f>VLOOKUP(A15,[2]cwurData!$B:$N, 9, FALSE)</f>
        <v>16</v>
      </c>
      <c r="W15">
        <f>VLOOKUP(A15,[2]cwurData!$B:$N, 10, FALSE)</f>
        <v>0</v>
      </c>
      <c r="X15">
        <f>VLOOKUP(A15,[2]cwurData!$B:$N, 11, FALSE)</f>
        <v>10</v>
      </c>
      <c r="Y15">
        <f>VLOOKUP(A15,[2]cwurData!$B:$N, 12, FALSE)</f>
        <v>73.69</v>
      </c>
      <c r="Z15">
        <f>VLOOKUP(A15,[2]cwurData!$B:$N, 13, FALSE)</f>
        <v>2012</v>
      </c>
    </row>
    <row r="16" spans="1:26" x14ac:dyDescent="0.3">
      <c r="A16" t="s">
        <v>15</v>
      </c>
      <c r="B16" t="str">
        <f>IFERROR(VLOOKUP(A16,[1]timesData!$B:$P,2,FALSE),VLOOKUP(A16,[2]cwurData!$B:$P,2,FALSE))</f>
        <v>Switzerland</v>
      </c>
      <c r="C16">
        <f>VLOOKUP(A16,[1]timesData!$B:$P,3,FALSE)</f>
        <v>15</v>
      </c>
      <c r="D16">
        <f>VLOOKUP(A17,[1]timesData!$B:$P,3,FALSE)</f>
        <v>15</v>
      </c>
      <c r="E16">
        <f>VLOOKUP(A17,[1]timesData!$B:$P,4,FALSE)</f>
        <v>53.3</v>
      </c>
      <c r="F16">
        <f>VLOOKUP(A17,[1]timesData!$B:$P,5,FALSE)</f>
        <v>89.1</v>
      </c>
      <c r="G16">
        <f>VLOOKUP(A17,[1]timesData!$B:$P,6,FALSE)</f>
        <v>84.1</v>
      </c>
      <c r="H16">
        <f>VLOOKUP(A17,[1]timesData!$B:$P,7,FALSE)</f>
        <v>59.6</v>
      </c>
      <c r="I16">
        <f>VLOOKUP(A17,[1]timesData!$B:$P,8,FALSE)</f>
        <v>83.4</v>
      </c>
      <c r="J16">
        <f>VLOOKUP(A17,[1]timesData!$B:$P,9,FALSE)</f>
        <v>41786</v>
      </c>
      <c r="K16">
        <f>VLOOKUP(A17,[1]timesData!$B:$P,10,FALSE)</f>
        <v>9</v>
      </c>
      <c r="L16">
        <f>VLOOKUP(A17,[1]timesData!$B:$P,11,FALSE)</f>
        <v>0.16</v>
      </c>
      <c r="M16">
        <f>VLOOKUP(A17,[1]timesData!$B:$P,12,FALSE)</f>
        <v>2.036111111111111</v>
      </c>
      <c r="N16">
        <f>VLOOKUP(A17,[1]timesData!$B:$P,13,FALSE)</f>
        <v>2011</v>
      </c>
      <c r="O16" t="e">
        <f>VLOOKUP(A16,[2]cwurData!$B:$P,14,FALSE)</f>
        <v>#N/A</v>
      </c>
      <c r="P16" t="e">
        <f>VLOOKUP(A16,[2]cwurData!$B:$N, 3, FALSE)</f>
        <v>#N/A</v>
      </c>
      <c r="Q16" t="e">
        <f>VLOOKUP(A16,[2]cwurData!$B:$N, 4, FALSE)</f>
        <v>#N/A</v>
      </c>
      <c r="R16" t="e">
        <f>VLOOKUP(A16,[2]cwurData!$B:$N, 5, FALSE)</f>
        <v>#N/A</v>
      </c>
      <c r="S16" t="e">
        <f>VLOOKUP(A16,[2]cwurData!$B:$N, 6, FALSE)</f>
        <v>#N/A</v>
      </c>
      <c r="T16" t="e">
        <f>VLOOKUP(A16,[2]cwurData!$B:$N, 7, FALSE)</f>
        <v>#N/A</v>
      </c>
      <c r="U16" t="e">
        <f>VLOOKUP(A16,[2]cwurData!$B:$N, 8, FALSE)</f>
        <v>#N/A</v>
      </c>
      <c r="V16" t="e">
        <f>VLOOKUP(A16,[2]cwurData!$B:$N, 9, FALSE)</f>
        <v>#N/A</v>
      </c>
      <c r="W16" t="e">
        <f>VLOOKUP(A16,[2]cwurData!$B:$N, 10, FALSE)</f>
        <v>#N/A</v>
      </c>
      <c r="X16" t="e">
        <f>VLOOKUP(A16,[2]cwurData!$B:$N, 11, FALSE)</f>
        <v>#N/A</v>
      </c>
      <c r="Y16" t="e">
        <f>VLOOKUP(A16,[2]cwurData!$B:$N, 12, FALSE)</f>
        <v>#N/A</v>
      </c>
      <c r="Z16" t="e">
        <f>VLOOKUP(A16,[2]cwurData!$B:$N, 13, FALSE)</f>
        <v>#N/A</v>
      </c>
    </row>
    <row r="17" spans="1:26" x14ac:dyDescent="0.3">
      <c r="A17" t="s">
        <v>16</v>
      </c>
      <c r="B17" t="str">
        <f>IFERROR(VLOOKUP(A17,[1]timesData!$B:$P,2,FALSE),VLOOKUP(A17,[2]cwurData!$B:$P,2,FALSE))</f>
        <v>United States of America</v>
      </c>
      <c r="C17">
        <f>VLOOKUP(A17,[1]timesData!$B:$P,3,FALSE)</f>
        <v>15</v>
      </c>
      <c r="D17">
        <f>VLOOKUP(A18,[1]timesData!$B:$P,3,FALSE)</f>
        <v>17</v>
      </c>
      <c r="E17" t="str">
        <f>VLOOKUP(A18,[1]timesData!$B:$P,4,FALSE)</f>
        <v>-</v>
      </c>
      <c r="F17">
        <f>VLOOKUP(A18,[1]timesData!$B:$P,5,FALSE)</f>
        <v>87.9</v>
      </c>
      <c r="G17">
        <f>VLOOKUP(A18,[1]timesData!$B:$P,6,FALSE)</f>
        <v>82.2</v>
      </c>
      <c r="H17" t="str">
        <f>VLOOKUP(A18,[1]timesData!$B:$P,7,FALSE)</f>
        <v>-</v>
      </c>
      <c r="I17">
        <f>VLOOKUP(A18,[1]timesData!$B:$P,8,FALSE)</f>
        <v>82</v>
      </c>
      <c r="J17">
        <f>VLOOKUP(A18,[1]timesData!$B:$P,9,FALSE)</f>
        <v>66198</v>
      </c>
      <c r="K17">
        <f>VLOOKUP(A18,[1]timesData!$B:$P,10,FALSE)</f>
        <v>19.5</v>
      </c>
      <c r="L17">
        <f>VLOOKUP(A18,[1]timesData!$B:$P,11,FALSE)</f>
        <v>0.15</v>
      </c>
      <c r="M17">
        <f>VLOOKUP(A18,[1]timesData!$B:$P,12,FALSE)</f>
        <v>0</v>
      </c>
      <c r="N17">
        <f>VLOOKUP(A18,[1]timesData!$B:$P,13,FALSE)</f>
        <v>2011</v>
      </c>
      <c r="O17" t="e">
        <f>VLOOKUP(A17,[2]cwurData!$B:$P,14,FALSE)</f>
        <v>#N/A</v>
      </c>
      <c r="P17" t="e">
        <f>VLOOKUP(A17,[2]cwurData!$B:$N, 3, FALSE)</f>
        <v>#N/A</v>
      </c>
      <c r="Q17" t="e">
        <f>VLOOKUP(A17,[2]cwurData!$B:$N, 4, FALSE)</f>
        <v>#N/A</v>
      </c>
      <c r="R17" t="e">
        <f>VLOOKUP(A17,[2]cwurData!$B:$N, 5, FALSE)</f>
        <v>#N/A</v>
      </c>
      <c r="S17" t="e">
        <f>VLOOKUP(A17,[2]cwurData!$B:$N, 6, FALSE)</f>
        <v>#N/A</v>
      </c>
      <c r="T17" t="e">
        <f>VLOOKUP(A17,[2]cwurData!$B:$N, 7, FALSE)</f>
        <v>#N/A</v>
      </c>
      <c r="U17" t="e">
        <f>VLOOKUP(A17,[2]cwurData!$B:$N, 8, FALSE)</f>
        <v>#N/A</v>
      </c>
      <c r="V17" t="e">
        <f>VLOOKUP(A17,[2]cwurData!$B:$N, 9, FALSE)</f>
        <v>#N/A</v>
      </c>
      <c r="W17" t="e">
        <f>VLOOKUP(A17,[2]cwurData!$B:$N, 10, FALSE)</f>
        <v>#N/A</v>
      </c>
      <c r="X17" t="e">
        <f>VLOOKUP(A17,[2]cwurData!$B:$N, 11, FALSE)</f>
        <v>#N/A</v>
      </c>
      <c r="Y17" t="e">
        <f>VLOOKUP(A17,[2]cwurData!$B:$N, 12, FALSE)</f>
        <v>#N/A</v>
      </c>
      <c r="Z17" t="e">
        <f>VLOOKUP(A17,[2]cwurData!$B:$N, 13, FALSE)</f>
        <v>#N/A</v>
      </c>
    </row>
    <row r="18" spans="1:26" x14ac:dyDescent="0.3">
      <c r="A18" t="s">
        <v>17</v>
      </c>
      <c r="B18" t="str">
        <f>IFERROR(VLOOKUP(A18,[1]timesData!$B:$P,2,FALSE),VLOOKUP(A18,[2]cwurData!$B:$P,2,FALSE))</f>
        <v>Canada</v>
      </c>
      <c r="C18">
        <f>VLOOKUP(A18,[1]timesData!$B:$P,3,FALSE)</f>
        <v>17</v>
      </c>
      <c r="D18">
        <f>VLOOKUP(A19,[1]timesData!$B:$P,3,FALSE)</f>
        <v>18</v>
      </c>
      <c r="E18">
        <f>VLOOKUP(A19,[1]timesData!$B:$P,4,FALSE)</f>
        <v>90.9</v>
      </c>
      <c r="F18">
        <f>VLOOKUP(A19,[1]timesData!$B:$P,5,FALSE)</f>
        <v>73.8</v>
      </c>
      <c r="G18">
        <f>VLOOKUP(A19,[1]timesData!$B:$P,6,FALSE)</f>
        <v>92.6</v>
      </c>
      <c r="H18" t="str">
        <f>VLOOKUP(A19,[1]timesData!$B:$P,7,FALSE)</f>
        <v>-</v>
      </c>
      <c r="I18">
        <f>VLOOKUP(A19,[1]timesData!$B:$P,8,FALSE)</f>
        <v>81</v>
      </c>
      <c r="J18">
        <f>VLOOKUP(A19,[1]timesData!$B:$P,9,FALSE)</f>
        <v>25055</v>
      </c>
      <c r="K18">
        <f>VLOOKUP(A19,[1]timesData!$B:$P,10,FALSE)</f>
        <v>5.9</v>
      </c>
      <c r="L18">
        <f>VLOOKUP(A19,[1]timesData!$B:$P,11,FALSE)</f>
        <v>0.28000000000000003</v>
      </c>
      <c r="M18">
        <f>VLOOKUP(A19,[1]timesData!$B:$P,12,FALSE)</f>
        <v>0</v>
      </c>
      <c r="N18">
        <f>VLOOKUP(A19,[1]timesData!$B:$P,13,FALSE)</f>
        <v>2011</v>
      </c>
      <c r="O18">
        <f>VLOOKUP(A18,[2]cwurData!$B:$P,14,FALSE)</f>
        <v>35</v>
      </c>
      <c r="P18">
        <f>VLOOKUP(A18,[2]cwurData!$B:$N, 3, FALSE)</f>
        <v>1</v>
      </c>
      <c r="Q18">
        <f>VLOOKUP(A18,[2]cwurData!$B:$N, 4, FALSE)</f>
        <v>101</v>
      </c>
      <c r="R18">
        <f>VLOOKUP(A18,[2]cwurData!$B:$N, 5, FALSE)</f>
        <v>101</v>
      </c>
      <c r="S18">
        <f>VLOOKUP(A18,[2]cwurData!$B:$N, 6, FALSE)</f>
        <v>34</v>
      </c>
      <c r="T18">
        <f>VLOOKUP(A18,[2]cwurData!$B:$N, 7, FALSE)</f>
        <v>7</v>
      </c>
      <c r="U18">
        <f>VLOOKUP(A18,[2]cwurData!$B:$N, 8, FALSE)</f>
        <v>14</v>
      </c>
      <c r="V18">
        <f>VLOOKUP(A18,[2]cwurData!$B:$N, 9, FALSE)</f>
        <v>18</v>
      </c>
      <c r="W18">
        <f>VLOOKUP(A18,[2]cwurData!$B:$N, 10, FALSE)</f>
        <v>0</v>
      </c>
      <c r="X18">
        <f>VLOOKUP(A18,[2]cwurData!$B:$N, 11, FALSE)</f>
        <v>101</v>
      </c>
      <c r="Y18">
        <f>VLOOKUP(A18,[2]cwurData!$B:$N, 12, FALSE)</f>
        <v>53.43</v>
      </c>
      <c r="Z18">
        <f>VLOOKUP(A18,[2]cwurData!$B:$N, 13, FALSE)</f>
        <v>2012</v>
      </c>
    </row>
    <row r="19" spans="1:26" x14ac:dyDescent="0.3">
      <c r="A19" t="s">
        <v>18</v>
      </c>
      <c r="B19" t="str">
        <f>IFERROR(VLOOKUP(A19,[1]timesData!$B:$P,2,FALSE),VLOOKUP(A19,[2]cwurData!$B:$P,2,FALSE))</f>
        <v>United States of America</v>
      </c>
      <c r="C19">
        <f>VLOOKUP(A19,[1]timesData!$B:$P,3,FALSE)</f>
        <v>18</v>
      </c>
      <c r="D19">
        <f>VLOOKUP(A20,[1]timesData!$B:$P,3,FALSE)</f>
        <v>19</v>
      </c>
      <c r="E19">
        <f>VLOOKUP(A20,[1]timesData!$B:$P,4,FALSE)</f>
        <v>32.9</v>
      </c>
      <c r="F19">
        <f>VLOOKUP(A20,[1]timesData!$B:$P,5,FALSE)</f>
        <v>82.7</v>
      </c>
      <c r="G19">
        <f>VLOOKUP(A20,[1]timesData!$B:$P,6,FALSE)</f>
        <v>93.6</v>
      </c>
      <c r="H19">
        <f>VLOOKUP(A20,[1]timesData!$B:$P,7,FALSE)</f>
        <v>43.7</v>
      </c>
      <c r="I19">
        <f>VLOOKUP(A20,[1]timesData!$B:$P,8,FALSE)</f>
        <v>79.5</v>
      </c>
      <c r="J19">
        <f>VLOOKUP(A20,[1]timesData!$B:$P,9,FALSE)</f>
        <v>20376</v>
      </c>
      <c r="K19">
        <f>VLOOKUP(A20,[1]timesData!$B:$P,10,FALSE)</f>
        <v>6.5</v>
      </c>
      <c r="L19">
        <f>VLOOKUP(A20,[1]timesData!$B:$P,11,FALSE)</f>
        <v>0.2</v>
      </c>
      <c r="M19">
        <f>VLOOKUP(A20,[1]timesData!$B:$P,12,FALSE)</f>
        <v>2.1590277777777778</v>
      </c>
      <c r="N19">
        <f>VLOOKUP(A20,[1]timesData!$B:$P,13,FALSE)</f>
        <v>2011</v>
      </c>
      <c r="O19">
        <f>VLOOKUP(A19,[2]cwurData!$B:$P,14,FALSE)</f>
        <v>9</v>
      </c>
      <c r="P19">
        <f>VLOOKUP(A19,[2]cwurData!$B:$N, 3, FALSE)</f>
        <v>7</v>
      </c>
      <c r="Q19">
        <f>VLOOKUP(A19,[2]cwurData!$B:$N, 4, FALSE)</f>
        <v>23</v>
      </c>
      <c r="R19">
        <f>VLOOKUP(A19,[2]cwurData!$B:$N, 5, FALSE)</f>
        <v>21</v>
      </c>
      <c r="S19">
        <f>VLOOKUP(A19,[2]cwurData!$B:$N, 6, FALSE)</f>
        <v>10</v>
      </c>
      <c r="T19">
        <f>VLOOKUP(A19,[2]cwurData!$B:$N, 7, FALSE)</f>
        <v>13</v>
      </c>
      <c r="U19">
        <f>VLOOKUP(A19,[2]cwurData!$B:$N, 8, FALSE)</f>
        <v>12</v>
      </c>
      <c r="V19">
        <f>VLOOKUP(A19,[2]cwurData!$B:$N, 9, FALSE)</f>
        <v>14</v>
      </c>
      <c r="W19">
        <f>VLOOKUP(A19,[2]cwurData!$B:$N, 10, FALSE)</f>
        <v>0</v>
      </c>
      <c r="X19">
        <f>VLOOKUP(A19,[2]cwurData!$B:$N, 11, FALSE)</f>
        <v>5</v>
      </c>
      <c r="Y19">
        <f>VLOOKUP(A19,[2]cwurData!$B:$N, 12, FALSE)</f>
        <v>78.86</v>
      </c>
      <c r="Z19">
        <f>VLOOKUP(A19,[2]cwurData!$B:$N, 13, FALSE)</f>
        <v>2012</v>
      </c>
    </row>
    <row r="20" spans="1:26" x14ac:dyDescent="0.3">
      <c r="A20" t="s">
        <v>19</v>
      </c>
      <c r="B20" t="str">
        <f>IFERROR(VLOOKUP(A20,[1]timesData!$B:$P,2,FALSE),VLOOKUP(A20,[2]cwurData!$B:$P,2,FALSE))</f>
        <v>United States of America</v>
      </c>
      <c r="C20">
        <f>VLOOKUP(A20,[1]timesData!$B:$P,3,FALSE)</f>
        <v>19</v>
      </c>
      <c r="D20">
        <f>VLOOKUP(A21,[1]timesData!$B:$P,3,FALSE)</f>
        <v>20</v>
      </c>
      <c r="E20">
        <f>VLOOKUP(A21,[1]timesData!$B:$P,4,FALSE)</f>
        <v>39.1</v>
      </c>
      <c r="F20">
        <f>VLOOKUP(A21,[1]timesData!$B:$P,5,FALSE)</f>
        <v>79.3</v>
      </c>
      <c r="G20">
        <f>VLOOKUP(A21,[1]timesData!$B:$P,6,FALSE)</f>
        <v>95.7</v>
      </c>
      <c r="H20">
        <f>VLOOKUP(A21,[1]timesData!$B:$P,7,FALSE)</f>
        <v>53.7</v>
      </c>
      <c r="I20">
        <f>VLOOKUP(A21,[1]timesData!$B:$P,8,FALSE)</f>
        <v>79.3</v>
      </c>
      <c r="J20">
        <f>VLOOKUP(A21,[1]timesData!$B:$P,9,FALSE)</f>
        <v>11885</v>
      </c>
      <c r="K20">
        <f>VLOOKUP(A21,[1]timesData!$B:$P,10,FALSE)</f>
        <v>13.1</v>
      </c>
      <c r="L20">
        <f>VLOOKUP(A21,[1]timesData!$B:$P,11,FALSE)</f>
        <v>0.35</v>
      </c>
      <c r="M20" t="str">
        <f>VLOOKUP(A21,[1]timesData!$B:$P,12,FALSE)</f>
        <v>39 : 61</v>
      </c>
      <c r="N20">
        <f>VLOOKUP(A21,[1]timesData!$B:$P,13,FALSE)</f>
        <v>2011</v>
      </c>
      <c r="O20">
        <f>VLOOKUP(A20,[2]cwurData!$B:$P,14,FALSE)</f>
        <v>13</v>
      </c>
      <c r="P20">
        <f>VLOOKUP(A20,[2]cwurData!$B:$N, 3, FALSE)</f>
        <v>11</v>
      </c>
      <c r="Q20">
        <f>VLOOKUP(A20,[2]cwurData!$B:$N, 4, FALSE)</f>
        <v>31</v>
      </c>
      <c r="R20">
        <f>VLOOKUP(A20,[2]cwurData!$B:$N, 5, FALSE)</f>
        <v>16</v>
      </c>
      <c r="S20">
        <f>VLOOKUP(A20,[2]cwurData!$B:$N, 6, FALSE)</f>
        <v>24</v>
      </c>
      <c r="T20">
        <f>VLOOKUP(A20,[2]cwurData!$B:$N, 7, FALSE)</f>
        <v>9</v>
      </c>
      <c r="U20">
        <f>VLOOKUP(A20,[2]cwurData!$B:$N, 8, FALSE)</f>
        <v>10</v>
      </c>
      <c r="V20">
        <f>VLOOKUP(A20,[2]cwurData!$B:$N, 9, FALSE)</f>
        <v>8</v>
      </c>
      <c r="W20">
        <f>VLOOKUP(A20,[2]cwurData!$B:$N, 10, FALSE)</f>
        <v>0</v>
      </c>
      <c r="X20">
        <f>VLOOKUP(A20,[2]cwurData!$B:$N, 11, FALSE)</f>
        <v>9</v>
      </c>
      <c r="Y20">
        <f>VLOOKUP(A20,[2]cwurData!$B:$N, 12, FALSE)</f>
        <v>73.64</v>
      </c>
      <c r="Z20">
        <f>VLOOKUP(A20,[2]cwurData!$B:$N, 13, FALSE)</f>
        <v>2012</v>
      </c>
    </row>
    <row r="21" spans="1:26" x14ac:dyDescent="0.3">
      <c r="A21" t="s">
        <v>20</v>
      </c>
      <c r="B21" t="str">
        <f>IFERROR(VLOOKUP(A21,[1]timesData!$B:$P,2,FALSE),VLOOKUP(A21,[2]cwurData!$B:$P,2,FALSE))</f>
        <v>United States of America</v>
      </c>
      <c r="C21">
        <f>VLOOKUP(A21,[1]timesData!$B:$P,3,FALSE)</f>
        <v>20</v>
      </c>
      <c r="D21">
        <f>VLOOKUP(A22,[1]timesData!$B:$P,3,FALSE)</f>
        <v>21</v>
      </c>
      <c r="E21">
        <f>VLOOKUP(A22,[1]timesData!$B:$P,4,FALSE)</f>
        <v>91.4</v>
      </c>
      <c r="F21">
        <f>VLOOKUP(A22,[1]timesData!$B:$P,5,FALSE)</f>
        <v>71.400000000000006</v>
      </c>
      <c r="G21">
        <f>VLOOKUP(A22,[1]timesData!$B:$P,6,FALSE)</f>
        <v>96.1</v>
      </c>
      <c r="H21">
        <f>VLOOKUP(A22,[1]timesData!$B:$P,7,FALSE)</f>
        <v>56.5</v>
      </c>
      <c r="I21">
        <f>VLOOKUP(A22,[1]timesData!$B:$P,8,FALSE)</f>
        <v>79.2</v>
      </c>
      <c r="J21">
        <f>VLOOKUP(A22,[1]timesData!$B:$P,9,FALSE)</f>
        <v>19835</v>
      </c>
      <c r="K21">
        <f>VLOOKUP(A22,[1]timesData!$B:$P,10,FALSE)</f>
        <v>17.600000000000001</v>
      </c>
      <c r="L21">
        <f>VLOOKUP(A22,[1]timesData!$B:$P,11,FALSE)</f>
        <v>0.38</v>
      </c>
      <c r="M21">
        <f>VLOOKUP(A22,[1]timesData!$B:$P,12,FALSE)</f>
        <v>2.2409722222222221</v>
      </c>
      <c r="N21">
        <f>VLOOKUP(A22,[1]timesData!$B:$P,13,FALSE)</f>
        <v>2011</v>
      </c>
      <c r="O21">
        <f>VLOOKUP(A21,[2]cwurData!$B:$P,14,FALSE)</f>
        <v>43</v>
      </c>
      <c r="P21">
        <f>VLOOKUP(A21,[2]cwurData!$B:$N, 3, FALSE)</f>
        <v>31</v>
      </c>
      <c r="Q21">
        <f>VLOOKUP(A21,[2]cwurData!$B:$N, 4, FALSE)</f>
        <v>30</v>
      </c>
      <c r="R21">
        <f>VLOOKUP(A21,[2]cwurData!$B:$N, 5, FALSE)</f>
        <v>81</v>
      </c>
      <c r="S21">
        <f>VLOOKUP(A21,[2]cwurData!$B:$N, 6, FALSE)</f>
        <v>26</v>
      </c>
      <c r="T21">
        <f>VLOOKUP(A21,[2]cwurData!$B:$N, 7, FALSE)</f>
        <v>101</v>
      </c>
      <c r="U21">
        <f>VLOOKUP(A21,[2]cwurData!$B:$N, 8, FALSE)</f>
        <v>101</v>
      </c>
      <c r="V21">
        <f>VLOOKUP(A21,[2]cwurData!$B:$N, 9, FALSE)</f>
        <v>61</v>
      </c>
      <c r="W21">
        <f>VLOOKUP(A21,[2]cwurData!$B:$N, 10, FALSE)</f>
        <v>0</v>
      </c>
      <c r="X21">
        <f>VLOOKUP(A21,[2]cwurData!$B:$N, 11, FALSE)</f>
        <v>101</v>
      </c>
      <c r="Y21">
        <f>VLOOKUP(A21,[2]cwurData!$B:$N, 12, FALSE)</f>
        <v>51.6</v>
      </c>
      <c r="Z21">
        <f>VLOOKUP(A21,[2]cwurData!$B:$N, 13, FALSE)</f>
        <v>2012</v>
      </c>
    </row>
    <row r="22" spans="1:26" x14ac:dyDescent="0.3">
      <c r="A22" t="s">
        <v>21</v>
      </c>
      <c r="B22" t="str">
        <f>IFERROR(VLOOKUP(A22,[1]timesData!$B:$P,2,FALSE),VLOOKUP(A22,[2]cwurData!$B:$P,2,FALSE))</f>
        <v>Hong Kong</v>
      </c>
      <c r="C22">
        <f>VLOOKUP(A22,[1]timesData!$B:$P,3,FALSE)</f>
        <v>21</v>
      </c>
      <c r="D22">
        <f>VLOOKUP(A23,[1]timesData!$B:$P,3,FALSE)</f>
        <v>22</v>
      </c>
      <c r="E22">
        <f>VLOOKUP(A23,[1]timesData!$B:$P,4,FALSE)</f>
        <v>90.8</v>
      </c>
      <c r="F22">
        <f>VLOOKUP(A23,[1]timesData!$B:$P,5,FALSE)</f>
        <v>81.599999999999994</v>
      </c>
      <c r="G22">
        <f>VLOOKUP(A23,[1]timesData!$B:$P,6,FALSE)</f>
        <v>80.599999999999994</v>
      </c>
      <c r="H22">
        <f>VLOOKUP(A23,[1]timesData!$B:$P,7,FALSE)</f>
        <v>39</v>
      </c>
      <c r="I22">
        <f>VLOOKUP(A23,[1]timesData!$B:$P,8,FALSE)</f>
        <v>78.400000000000006</v>
      </c>
      <c r="J22">
        <f>VLOOKUP(A23,[1]timesData!$B:$P,9,FALSE)</f>
        <v>26607</v>
      </c>
      <c r="K22">
        <f>VLOOKUP(A23,[1]timesData!$B:$P,10,FALSE)</f>
        <v>10.7</v>
      </c>
      <c r="L22">
        <f>VLOOKUP(A23,[1]timesData!$B:$P,11,FALSE)</f>
        <v>0.46</v>
      </c>
      <c r="M22">
        <f>VLOOKUP(A23,[1]timesData!$B:$P,12,FALSE)</f>
        <v>2.3638888888888889</v>
      </c>
      <c r="N22">
        <f>VLOOKUP(A23,[1]timesData!$B:$P,13,FALSE)</f>
        <v>2011</v>
      </c>
      <c r="O22">
        <f>VLOOKUP(A22,[2]cwurData!$B:$P,14,FALSE)</f>
        <v>155</v>
      </c>
      <c r="P22">
        <f>VLOOKUP(A22,[2]cwurData!$B:$N, 3, FALSE)</f>
        <v>1</v>
      </c>
      <c r="Q22">
        <f>VLOOKUP(A22,[2]cwurData!$B:$N, 4, FALSE)</f>
        <v>272</v>
      </c>
      <c r="R22">
        <f>VLOOKUP(A22,[2]cwurData!$B:$N, 5, FALSE)</f>
        <v>116</v>
      </c>
      <c r="S22">
        <f>VLOOKUP(A22,[2]cwurData!$B:$N, 6, FALSE)</f>
        <v>210</v>
      </c>
      <c r="T22">
        <f>VLOOKUP(A22,[2]cwurData!$B:$N, 7, FALSE)</f>
        <v>98</v>
      </c>
      <c r="U22">
        <f>VLOOKUP(A22,[2]cwurData!$B:$N, 8, FALSE)</f>
        <v>195</v>
      </c>
      <c r="V22">
        <f>VLOOKUP(A22,[2]cwurData!$B:$N, 9, FALSE)</f>
        <v>176</v>
      </c>
      <c r="W22">
        <f>VLOOKUP(A22,[2]cwurData!$B:$N, 10, FALSE)</f>
        <v>118</v>
      </c>
      <c r="X22">
        <f>VLOOKUP(A22,[2]cwurData!$B:$N, 11, FALSE)</f>
        <v>481</v>
      </c>
      <c r="Y22">
        <f>VLOOKUP(A22,[2]cwurData!$B:$N, 12, FALSE)</f>
        <v>49.1</v>
      </c>
      <c r="Z22">
        <f>VLOOKUP(A22,[2]cwurData!$B:$N, 13, FALSE)</f>
        <v>2014</v>
      </c>
    </row>
    <row r="23" spans="1:26" x14ac:dyDescent="0.3">
      <c r="A23" t="s">
        <v>22</v>
      </c>
      <c r="B23" t="str">
        <f>IFERROR(VLOOKUP(A23,[1]timesData!$B:$P,2,FALSE),VLOOKUP(A23,[2]cwurData!$B:$P,2,FALSE))</f>
        <v>United Kingdom</v>
      </c>
      <c r="C23">
        <f>VLOOKUP(A23,[1]timesData!$B:$P,3,FALSE)</f>
        <v>22</v>
      </c>
      <c r="D23">
        <f>VLOOKUP(A24,[1]timesData!$B:$P,3,FALSE)</f>
        <v>23</v>
      </c>
      <c r="E23">
        <f>VLOOKUP(A24,[1]timesData!$B:$P,4,FALSE)</f>
        <v>49</v>
      </c>
      <c r="F23">
        <f>VLOOKUP(A24,[1]timesData!$B:$P,5,FALSE)</f>
        <v>77.099999999999994</v>
      </c>
      <c r="G23">
        <f>VLOOKUP(A24,[1]timesData!$B:$P,6,FALSE)</f>
        <v>95.9</v>
      </c>
      <c r="H23">
        <f>VLOOKUP(A24,[1]timesData!$B:$P,7,FALSE)</f>
        <v>32.799999999999997</v>
      </c>
      <c r="I23">
        <f>VLOOKUP(A24,[1]timesData!$B:$P,8,FALSE)</f>
        <v>78</v>
      </c>
      <c r="J23">
        <f>VLOOKUP(A24,[1]timesData!$B:$P,9,FALSE)</f>
        <v>44020</v>
      </c>
      <c r="K23">
        <f>VLOOKUP(A24,[1]timesData!$B:$P,10,FALSE)</f>
        <v>11.8</v>
      </c>
      <c r="L23">
        <f>VLOOKUP(A24,[1]timesData!$B:$P,11,FALSE)</f>
        <v>0.13</v>
      </c>
      <c r="M23">
        <f>VLOOKUP(A24,[1]timesData!$B:$P,12,FALSE)</f>
        <v>2.2409722222222221</v>
      </c>
      <c r="N23">
        <f>VLOOKUP(A24,[1]timesData!$B:$P,13,FALSE)</f>
        <v>2011</v>
      </c>
      <c r="O23">
        <f>VLOOKUP(A23,[2]cwurData!$B:$P,14,FALSE)</f>
        <v>31</v>
      </c>
      <c r="P23">
        <f>VLOOKUP(A23,[2]cwurData!$B:$N, 3, FALSE)</f>
        <v>4</v>
      </c>
      <c r="Q23">
        <f>VLOOKUP(A23,[2]cwurData!$B:$N, 4, FALSE)</f>
        <v>35</v>
      </c>
      <c r="R23">
        <f>VLOOKUP(A23,[2]cwurData!$B:$N, 5, FALSE)</f>
        <v>101</v>
      </c>
      <c r="S23">
        <f>VLOOKUP(A23,[2]cwurData!$B:$N, 6, FALSE)</f>
        <v>45</v>
      </c>
      <c r="T23">
        <f>VLOOKUP(A23,[2]cwurData!$B:$N, 7, FALSE)</f>
        <v>27</v>
      </c>
      <c r="U23">
        <f>VLOOKUP(A23,[2]cwurData!$B:$N, 8, FALSE)</f>
        <v>23</v>
      </c>
      <c r="V23">
        <f>VLOOKUP(A23,[2]cwurData!$B:$N, 9, FALSE)</f>
        <v>33</v>
      </c>
      <c r="W23">
        <f>VLOOKUP(A23,[2]cwurData!$B:$N, 10, FALSE)</f>
        <v>0</v>
      </c>
      <c r="X23">
        <f>VLOOKUP(A23,[2]cwurData!$B:$N, 11, FALSE)</f>
        <v>86</v>
      </c>
      <c r="Y23">
        <f>VLOOKUP(A23,[2]cwurData!$B:$N, 12, FALSE)</f>
        <v>55.21</v>
      </c>
      <c r="Z23">
        <f>VLOOKUP(A23,[2]cwurData!$B:$N, 13, FALSE)</f>
        <v>2012</v>
      </c>
    </row>
    <row r="24" spans="1:26" x14ac:dyDescent="0.3">
      <c r="A24" t="s">
        <v>23</v>
      </c>
      <c r="B24" t="str">
        <f>IFERROR(VLOOKUP(A24,[1]timesData!$B:$P,2,FALSE),VLOOKUP(A24,[2]cwurData!$B:$P,2,FALSE))</f>
        <v>United States of America</v>
      </c>
      <c r="C24">
        <f>VLOOKUP(A24,[1]timesData!$B:$P,3,FALSE)</f>
        <v>23</v>
      </c>
      <c r="D24">
        <f>VLOOKUP(A25,[1]timesData!$B:$P,3,FALSE)</f>
        <v>24</v>
      </c>
      <c r="E24">
        <f>VLOOKUP(A25,[1]timesData!$B:$P,4,FALSE)</f>
        <v>49.4</v>
      </c>
      <c r="F24">
        <f>VLOOKUP(A25,[1]timesData!$B:$P,5,FALSE)</f>
        <v>71.5</v>
      </c>
      <c r="G24">
        <f>VLOOKUP(A25,[1]timesData!$B:$P,6,FALSE)</f>
        <v>92.3</v>
      </c>
      <c r="H24">
        <f>VLOOKUP(A25,[1]timesData!$B:$P,7,FALSE)</f>
        <v>100</v>
      </c>
      <c r="I24">
        <f>VLOOKUP(A25,[1]timesData!$B:$P,8,FALSE)</f>
        <v>76.5</v>
      </c>
      <c r="J24">
        <f>VLOOKUP(A25,[1]timesData!$B:$P,9,FALSE)</f>
        <v>15172</v>
      </c>
      <c r="K24">
        <f>VLOOKUP(A25,[1]timesData!$B:$P,10,FALSE)</f>
        <v>4.8</v>
      </c>
      <c r="L24">
        <f>VLOOKUP(A25,[1]timesData!$B:$P,11,FALSE)</f>
        <v>0.17</v>
      </c>
      <c r="M24">
        <f>VLOOKUP(A25,[1]timesData!$B:$P,12,FALSE)</f>
        <v>2.0770833333333334</v>
      </c>
      <c r="N24">
        <f>VLOOKUP(A25,[1]timesData!$B:$P,13,FALSE)</f>
        <v>2011</v>
      </c>
      <c r="O24" t="e">
        <f>VLOOKUP(A24,[2]cwurData!$B:$P,14,FALSE)</f>
        <v>#N/A</v>
      </c>
      <c r="P24" t="e">
        <f>VLOOKUP(A24,[2]cwurData!$B:$N, 3, FALSE)</f>
        <v>#N/A</v>
      </c>
      <c r="Q24" t="e">
        <f>VLOOKUP(A24,[2]cwurData!$B:$N, 4, FALSE)</f>
        <v>#N/A</v>
      </c>
      <c r="R24" t="e">
        <f>VLOOKUP(A24,[2]cwurData!$B:$N, 5, FALSE)</f>
        <v>#N/A</v>
      </c>
      <c r="S24" t="e">
        <f>VLOOKUP(A24,[2]cwurData!$B:$N, 6, FALSE)</f>
        <v>#N/A</v>
      </c>
      <c r="T24" t="e">
        <f>VLOOKUP(A24,[2]cwurData!$B:$N, 7, FALSE)</f>
        <v>#N/A</v>
      </c>
      <c r="U24" t="e">
        <f>VLOOKUP(A24,[2]cwurData!$B:$N, 8, FALSE)</f>
        <v>#N/A</v>
      </c>
      <c r="V24" t="e">
        <f>VLOOKUP(A24,[2]cwurData!$B:$N, 9, FALSE)</f>
        <v>#N/A</v>
      </c>
      <c r="W24" t="e">
        <f>VLOOKUP(A24,[2]cwurData!$B:$N, 10, FALSE)</f>
        <v>#N/A</v>
      </c>
      <c r="X24" t="e">
        <f>VLOOKUP(A24,[2]cwurData!$B:$N, 11, FALSE)</f>
        <v>#N/A</v>
      </c>
      <c r="Y24" t="e">
        <f>VLOOKUP(A24,[2]cwurData!$B:$N, 12, FALSE)</f>
        <v>#N/A</v>
      </c>
      <c r="Z24" t="e">
        <f>VLOOKUP(A24,[2]cwurData!$B:$N, 13, FALSE)</f>
        <v>#N/A</v>
      </c>
    </row>
    <row r="25" spans="1:26" x14ac:dyDescent="0.3">
      <c r="A25" t="s">
        <v>24</v>
      </c>
      <c r="B25" t="str">
        <f>IFERROR(VLOOKUP(A25,[1]timesData!$B:$P,2,FALSE),VLOOKUP(A25,[2]cwurData!$B:$P,2,FALSE))</f>
        <v>United States of America</v>
      </c>
      <c r="C25">
        <f>VLOOKUP(A25,[1]timesData!$B:$P,3,FALSE)</f>
        <v>24</v>
      </c>
      <c r="D25">
        <f>VLOOKUP(A26,[1]timesData!$B:$P,3,FALSE)</f>
        <v>25</v>
      </c>
      <c r="E25">
        <f>VLOOKUP(A26,[1]timesData!$B:$P,4,FALSE)</f>
        <v>60.5</v>
      </c>
      <c r="F25">
        <f>VLOOKUP(A26,[1]timesData!$B:$P,5,FALSE)</f>
        <v>68.8</v>
      </c>
      <c r="G25">
        <f>VLOOKUP(A26,[1]timesData!$B:$P,6,FALSE)</f>
        <v>95.3</v>
      </c>
      <c r="H25" t="str">
        <f>VLOOKUP(A26,[1]timesData!$B:$P,7,FALSE)</f>
        <v>-</v>
      </c>
      <c r="I25">
        <f>VLOOKUP(A26,[1]timesData!$B:$P,8,FALSE)</f>
        <v>75.900000000000006</v>
      </c>
      <c r="J25">
        <f>VLOOKUP(A26,[1]timesData!$B:$P,9,FALSE)</f>
        <v>18334</v>
      </c>
      <c r="K25">
        <f>VLOOKUP(A26,[1]timesData!$B:$P,10,FALSE)</f>
        <v>13.8</v>
      </c>
      <c r="L25">
        <f>VLOOKUP(A26,[1]timesData!$B:$P,11,FALSE)</f>
        <v>0.15</v>
      </c>
      <c r="M25">
        <f>VLOOKUP(A26,[1]timesData!$B:$P,12,FALSE)</f>
        <v>2.036111111111111</v>
      </c>
      <c r="N25">
        <f>VLOOKUP(A26,[1]timesData!$B:$P,13,FALSE)</f>
        <v>2011</v>
      </c>
      <c r="O25">
        <f>VLOOKUP(A25,[2]cwurData!$B:$P,14,FALSE)</f>
        <v>27</v>
      </c>
      <c r="P25">
        <f>VLOOKUP(A25,[2]cwurData!$B:$N, 3, FALSE)</f>
        <v>20</v>
      </c>
      <c r="Q25">
        <f>VLOOKUP(A25,[2]cwurData!$B:$N, 4, FALSE)</f>
        <v>65</v>
      </c>
      <c r="R25">
        <f>VLOOKUP(A25,[2]cwurData!$B:$N, 5, FALSE)</f>
        <v>43</v>
      </c>
      <c r="S25">
        <f>VLOOKUP(A25,[2]cwurData!$B:$N, 6, FALSE)</f>
        <v>55</v>
      </c>
      <c r="T25">
        <f>VLOOKUP(A25,[2]cwurData!$B:$N, 7, FALSE)</f>
        <v>20</v>
      </c>
      <c r="U25">
        <f>VLOOKUP(A25,[2]cwurData!$B:$N, 8, FALSE)</f>
        <v>15</v>
      </c>
      <c r="V25">
        <f>VLOOKUP(A25,[2]cwurData!$B:$N, 9, FALSE)</f>
        <v>12</v>
      </c>
      <c r="W25">
        <f>VLOOKUP(A25,[2]cwurData!$B:$N, 10, FALSE)</f>
        <v>0</v>
      </c>
      <c r="X25">
        <f>VLOOKUP(A25,[2]cwurData!$B:$N, 11, FALSE)</f>
        <v>20</v>
      </c>
      <c r="Y25">
        <f>VLOOKUP(A25,[2]cwurData!$B:$N, 12, FALSE)</f>
        <v>58.37</v>
      </c>
      <c r="Z25">
        <f>VLOOKUP(A25,[2]cwurData!$B:$N, 13, FALSE)</f>
        <v>2012</v>
      </c>
    </row>
    <row r="26" spans="1:26" x14ac:dyDescent="0.3">
      <c r="A26" t="s">
        <v>25</v>
      </c>
      <c r="B26" t="str">
        <f>IFERROR(VLOOKUP(A26,[1]timesData!$B:$P,2,FALSE),VLOOKUP(A26,[2]cwurData!$B:$P,2,FALSE))</f>
        <v>United States of America</v>
      </c>
      <c r="C26">
        <f>VLOOKUP(A26,[1]timesData!$B:$P,3,FALSE)</f>
        <v>25</v>
      </c>
      <c r="D26">
        <f>VLOOKUP(A27,[1]timesData!$B:$P,3,FALSE)</f>
        <v>26</v>
      </c>
      <c r="E26">
        <f>VLOOKUP(A27,[1]timesData!$B:$P,4,FALSE)</f>
        <v>18.399999999999999</v>
      </c>
      <c r="F26">
        <f>VLOOKUP(A27,[1]timesData!$B:$P,5,FALSE)</f>
        <v>91.9</v>
      </c>
      <c r="G26">
        <f>VLOOKUP(A27,[1]timesData!$B:$P,6,FALSE)</f>
        <v>58.1</v>
      </c>
      <c r="H26" t="str">
        <f>VLOOKUP(A27,[1]timesData!$B:$P,7,FALSE)</f>
        <v>-</v>
      </c>
      <c r="I26">
        <f>VLOOKUP(A27,[1]timesData!$B:$P,8,FALSE)</f>
        <v>75.599999999999994</v>
      </c>
      <c r="J26">
        <f>VLOOKUP(A27,[1]timesData!$B:$P,9,FALSE)</f>
        <v>26199</v>
      </c>
      <c r="K26">
        <f>VLOOKUP(A27,[1]timesData!$B:$P,10,FALSE)</f>
        <v>5.7</v>
      </c>
      <c r="L26">
        <f>VLOOKUP(A27,[1]timesData!$B:$P,11,FALSE)</f>
        <v>0.1</v>
      </c>
      <c r="M26">
        <f>VLOOKUP(A27,[1]timesData!$B:$P,12,FALSE)</f>
        <v>0</v>
      </c>
      <c r="N26">
        <f>VLOOKUP(A27,[1]timesData!$B:$P,13,FALSE)</f>
        <v>2011</v>
      </c>
      <c r="O26">
        <f>VLOOKUP(A26,[2]cwurData!$B:$P,14,FALSE)</f>
        <v>33</v>
      </c>
      <c r="P26">
        <f>VLOOKUP(A26,[2]cwurData!$B:$N, 3, FALSE)</f>
        <v>23</v>
      </c>
      <c r="Q26">
        <f>VLOOKUP(A26,[2]cwurData!$B:$N, 4, FALSE)</f>
        <v>101</v>
      </c>
      <c r="R26">
        <f>VLOOKUP(A26,[2]cwurData!$B:$N, 5, FALSE)</f>
        <v>32</v>
      </c>
      <c r="S26">
        <f>VLOOKUP(A26,[2]cwurData!$B:$N, 6, FALSE)</f>
        <v>101</v>
      </c>
      <c r="T26">
        <f>VLOOKUP(A26,[2]cwurData!$B:$N, 7, FALSE)</f>
        <v>24</v>
      </c>
      <c r="U26">
        <f>VLOOKUP(A26,[2]cwurData!$B:$N, 8, FALSE)</f>
        <v>25</v>
      </c>
      <c r="V26">
        <f>VLOOKUP(A26,[2]cwurData!$B:$N, 9, FALSE)</f>
        <v>20</v>
      </c>
      <c r="W26">
        <f>VLOOKUP(A26,[2]cwurData!$B:$N, 10, FALSE)</f>
        <v>0</v>
      </c>
      <c r="X26">
        <f>VLOOKUP(A26,[2]cwurData!$B:$N, 11, FALSE)</f>
        <v>35</v>
      </c>
      <c r="Y26">
        <f>VLOOKUP(A26,[2]cwurData!$B:$N, 12, FALSE)</f>
        <v>54.4</v>
      </c>
      <c r="Z26">
        <f>VLOOKUP(A26,[2]cwurData!$B:$N, 13, FALSE)</f>
        <v>2012</v>
      </c>
    </row>
    <row r="27" spans="1:26" x14ac:dyDescent="0.3">
      <c r="A27" t="s">
        <v>26</v>
      </c>
      <c r="B27" t="str">
        <f>IFERROR(VLOOKUP(A27,[1]timesData!$B:$P,2,FALSE),VLOOKUP(A27,[2]cwurData!$B:$P,2,FALSE))</f>
        <v>Japan</v>
      </c>
      <c r="C27">
        <f>VLOOKUP(A27,[1]timesData!$B:$P,3,FALSE)</f>
        <v>26</v>
      </c>
      <c r="D27">
        <f>VLOOKUP(A28,[1]timesData!$B:$P,3,FALSE)</f>
        <v>27</v>
      </c>
      <c r="E27">
        <f>VLOOKUP(A28,[1]timesData!$B:$P,4,FALSE)</f>
        <v>73.2</v>
      </c>
      <c r="F27">
        <f>VLOOKUP(A28,[1]timesData!$B:$P,5,FALSE)</f>
        <v>72.599999999999994</v>
      </c>
      <c r="G27">
        <f>VLOOKUP(A28,[1]timesData!$B:$P,6,FALSE)</f>
        <v>83.2</v>
      </c>
      <c r="H27">
        <f>VLOOKUP(A28,[1]timesData!$B:$P,7,FALSE)</f>
        <v>95.1</v>
      </c>
      <c r="I27">
        <f>VLOOKUP(A28,[1]timesData!$B:$P,8,FALSE)</f>
        <v>75.3</v>
      </c>
      <c r="J27">
        <f>VLOOKUP(A28,[1]timesData!$B:$P,9,FALSE)</f>
        <v>19967</v>
      </c>
      <c r="K27">
        <f>VLOOKUP(A28,[1]timesData!$B:$P,10,FALSE)</f>
        <v>20.100000000000001</v>
      </c>
      <c r="L27">
        <f>VLOOKUP(A28,[1]timesData!$B:$P,11,FALSE)</f>
        <v>0.26</v>
      </c>
      <c r="M27" t="str">
        <f>VLOOKUP(A28,[1]timesData!$B:$P,12,FALSE)</f>
        <v>31 : 69</v>
      </c>
      <c r="N27">
        <f>VLOOKUP(A28,[1]timesData!$B:$P,13,FALSE)</f>
        <v>2011</v>
      </c>
      <c r="O27">
        <f>VLOOKUP(A27,[2]cwurData!$B:$P,14,FALSE)</f>
        <v>14</v>
      </c>
      <c r="P27">
        <f>VLOOKUP(A27,[2]cwurData!$B:$N, 3, FALSE)</f>
        <v>1</v>
      </c>
      <c r="Q27">
        <f>VLOOKUP(A27,[2]cwurData!$B:$N, 4, FALSE)</f>
        <v>32</v>
      </c>
      <c r="R27">
        <f>VLOOKUP(A27,[2]cwurData!$B:$N, 5, FALSE)</f>
        <v>19</v>
      </c>
      <c r="S27">
        <f>VLOOKUP(A27,[2]cwurData!$B:$N, 6, FALSE)</f>
        <v>31</v>
      </c>
      <c r="T27">
        <f>VLOOKUP(A27,[2]cwurData!$B:$N, 7, FALSE)</f>
        <v>8</v>
      </c>
      <c r="U27">
        <f>VLOOKUP(A27,[2]cwurData!$B:$N, 8, FALSE)</f>
        <v>19</v>
      </c>
      <c r="V27">
        <f>VLOOKUP(A27,[2]cwurData!$B:$N, 9, FALSE)</f>
        <v>23</v>
      </c>
      <c r="W27">
        <f>VLOOKUP(A27,[2]cwurData!$B:$N, 10, FALSE)</f>
        <v>0</v>
      </c>
      <c r="X27">
        <f>VLOOKUP(A27,[2]cwurData!$B:$N, 11, FALSE)</f>
        <v>3</v>
      </c>
      <c r="Y27">
        <f>VLOOKUP(A27,[2]cwurData!$B:$N, 12, FALSE)</f>
        <v>69.489999999999995</v>
      </c>
      <c r="Z27">
        <f>VLOOKUP(A27,[2]cwurData!$B:$N, 13, FALSE)</f>
        <v>2012</v>
      </c>
    </row>
    <row r="28" spans="1:26" x14ac:dyDescent="0.3">
      <c r="A28" t="s">
        <v>27</v>
      </c>
      <c r="B28" t="str">
        <f>IFERROR(VLOOKUP(A28,[1]timesData!$B:$P,2,FALSE),VLOOKUP(A28,[2]cwurData!$B:$P,2,FALSE))</f>
        <v>United States of America</v>
      </c>
      <c r="C28">
        <f>VLOOKUP(A28,[1]timesData!$B:$P,3,FALSE)</f>
        <v>27</v>
      </c>
      <c r="D28">
        <f>VLOOKUP(A29,[1]timesData!$B:$P,3,FALSE)</f>
        <v>27</v>
      </c>
      <c r="E28">
        <f>VLOOKUP(A29,[1]timesData!$B:$P,4,FALSE)</f>
        <v>23.8</v>
      </c>
      <c r="F28">
        <f>VLOOKUP(A29,[1]timesData!$B:$P,5,FALSE)</f>
        <v>77.3</v>
      </c>
      <c r="G28">
        <f>VLOOKUP(A29,[1]timesData!$B:$P,6,FALSE)</f>
        <v>90.6</v>
      </c>
      <c r="H28">
        <f>VLOOKUP(A29,[1]timesData!$B:$P,7,FALSE)</f>
        <v>55.3</v>
      </c>
      <c r="I28">
        <f>VLOOKUP(A29,[1]timesData!$B:$P,8,FALSE)</f>
        <v>75.8</v>
      </c>
      <c r="J28">
        <f>VLOOKUP(A29,[1]timesData!$B:$P,9,FALSE)</f>
        <v>39655</v>
      </c>
      <c r="K28">
        <f>VLOOKUP(A29,[1]timesData!$B:$P,10,FALSE)</f>
        <v>10.8</v>
      </c>
      <c r="L28">
        <f>VLOOKUP(A29,[1]timesData!$B:$P,11,FALSE)</f>
        <v>0.11</v>
      </c>
      <c r="M28">
        <f>VLOOKUP(A29,[1]timesData!$B:$P,12,FALSE)</f>
        <v>2.1590277777777778</v>
      </c>
      <c r="N28">
        <f>VLOOKUP(A29,[1]timesData!$B:$P,13,FALSE)</f>
        <v>2012</v>
      </c>
      <c r="O28">
        <f>VLOOKUP(A28,[2]cwurData!$B:$P,14,FALSE)</f>
        <v>87</v>
      </c>
      <c r="P28">
        <f>VLOOKUP(A28,[2]cwurData!$B:$N, 3, FALSE)</f>
        <v>56</v>
      </c>
      <c r="Q28">
        <f>VLOOKUP(A28,[2]cwurData!$B:$N, 4, FALSE)</f>
        <v>101</v>
      </c>
      <c r="R28">
        <f>VLOOKUP(A28,[2]cwurData!$B:$N, 5, FALSE)</f>
        <v>67</v>
      </c>
      <c r="S28">
        <f>VLOOKUP(A28,[2]cwurData!$B:$N, 6, FALSE)</f>
        <v>101</v>
      </c>
      <c r="T28">
        <f>VLOOKUP(A28,[2]cwurData!$B:$N, 7, FALSE)</f>
        <v>79</v>
      </c>
      <c r="U28">
        <f>VLOOKUP(A28,[2]cwurData!$B:$N, 8, FALSE)</f>
        <v>101</v>
      </c>
      <c r="V28">
        <f>VLOOKUP(A28,[2]cwurData!$B:$N, 9, FALSE)</f>
        <v>46</v>
      </c>
      <c r="W28">
        <f>VLOOKUP(A28,[2]cwurData!$B:$N, 10, FALSE)</f>
        <v>0</v>
      </c>
      <c r="X28">
        <f>VLOOKUP(A28,[2]cwurData!$B:$N, 11, FALSE)</f>
        <v>40</v>
      </c>
      <c r="Y28">
        <f>VLOOKUP(A28,[2]cwurData!$B:$N, 12, FALSE)</f>
        <v>44.71</v>
      </c>
      <c r="Z28">
        <f>VLOOKUP(A28,[2]cwurData!$B:$N, 13, FALSE)</f>
        <v>2012</v>
      </c>
    </row>
    <row r="29" spans="1:26" x14ac:dyDescent="0.3">
      <c r="A29" t="s">
        <v>201</v>
      </c>
      <c r="B29" t="str">
        <f>IFERROR(VLOOKUP(A29,[1]timesData!$B:$P,2,FALSE),VLOOKUP(A29,[2]cwurData!$B:$P,2,FALSE))</f>
        <v>United States of America</v>
      </c>
      <c r="C29">
        <f>VLOOKUP(A29,[1]timesData!$B:$P,3,FALSE)</f>
        <v>27</v>
      </c>
      <c r="D29">
        <f>VLOOKUP(A30,[1]timesData!$B:$P,3,FALSE)</f>
        <v>28</v>
      </c>
      <c r="E29">
        <f>VLOOKUP(A30,[1]timesData!$B:$P,4,FALSE)</f>
        <v>32.6</v>
      </c>
      <c r="F29">
        <f>VLOOKUP(A30,[1]timesData!$B:$P,5,FALSE)</f>
        <v>62.5</v>
      </c>
      <c r="G29">
        <f>VLOOKUP(A30,[1]timesData!$B:$P,6,FALSE)</f>
        <v>96.5</v>
      </c>
      <c r="H29">
        <f>VLOOKUP(A30,[1]timesData!$B:$P,7,FALSE)</f>
        <v>100</v>
      </c>
      <c r="I29">
        <f>VLOOKUP(A30,[1]timesData!$B:$P,8,FALSE)</f>
        <v>75.099999999999994</v>
      </c>
      <c r="J29">
        <f>VLOOKUP(A30,[1]timesData!$B:$P,9,FALSE)</f>
        <v>3055</v>
      </c>
      <c r="K29">
        <f>VLOOKUP(A30,[1]timesData!$B:$P,10,FALSE)</f>
        <v>10.1</v>
      </c>
      <c r="L29">
        <f>VLOOKUP(A30,[1]timesData!$B:$P,11,FALSE)</f>
        <v>0.04</v>
      </c>
      <c r="M29">
        <f>VLOOKUP(A30,[1]timesData!$B:$P,12,FALSE)</f>
        <v>0.88888888888888884</v>
      </c>
      <c r="N29">
        <f>VLOOKUP(A30,[1]timesData!$B:$P,13,FALSE)</f>
        <v>2011</v>
      </c>
      <c r="O29" t="e">
        <f>VLOOKUP(A29,[2]cwurData!$B:$P,14,FALSE)</f>
        <v>#N/A</v>
      </c>
      <c r="P29" t="e">
        <f>VLOOKUP(A29,[2]cwurData!$B:$N, 3, FALSE)</f>
        <v>#N/A</v>
      </c>
      <c r="Q29" t="e">
        <f>VLOOKUP(A29,[2]cwurData!$B:$N, 4, FALSE)</f>
        <v>#N/A</v>
      </c>
      <c r="R29" t="e">
        <f>VLOOKUP(A29,[2]cwurData!$B:$N, 5, FALSE)</f>
        <v>#N/A</v>
      </c>
      <c r="S29" t="e">
        <f>VLOOKUP(A29,[2]cwurData!$B:$N, 6, FALSE)</f>
        <v>#N/A</v>
      </c>
      <c r="T29" t="e">
        <f>VLOOKUP(A29,[2]cwurData!$B:$N, 7, FALSE)</f>
        <v>#N/A</v>
      </c>
      <c r="U29" t="e">
        <f>VLOOKUP(A29,[2]cwurData!$B:$N, 8, FALSE)</f>
        <v>#N/A</v>
      </c>
      <c r="V29" t="e">
        <f>VLOOKUP(A29,[2]cwurData!$B:$N, 9, FALSE)</f>
        <v>#N/A</v>
      </c>
      <c r="W29" t="e">
        <f>VLOOKUP(A29,[2]cwurData!$B:$N, 10, FALSE)</f>
        <v>#N/A</v>
      </c>
      <c r="X29" t="e">
        <f>VLOOKUP(A29,[2]cwurData!$B:$N, 11, FALSE)</f>
        <v>#N/A</v>
      </c>
      <c r="Y29" t="e">
        <f>VLOOKUP(A29,[2]cwurData!$B:$N, 12, FALSE)</f>
        <v>#N/A</v>
      </c>
      <c r="Z29" t="e">
        <f>VLOOKUP(A29,[2]cwurData!$B:$N, 13, FALSE)</f>
        <v>#N/A</v>
      </c>
    </row>
    <row r="30" spans="1:26" x14ac:dyDescent="0.3">
      <c r="A30" t="s">
        <v>28</v>
      </c>
      <c r="B30" t="str">
        <f>IFERROR(VLOOKUP(A30,[1]timesData!$B:$P,2,FALSE),VLOOKUP(A30,[2]cwurData!$B:$P,2,FALSE))</f>
        <v>South Korea</v>
      </c>
      <c r="C30">
        <f>VLOOKUP(A30,[1]timesData!$B:$P,3,FALSE)</f>
        <v>28</v>
      </c>
      <c r="D30">
        <f>VLOOKUP(A31,[1]timesData!$B:$P,3,FALSE)</f>
        <v>29</v>
      </c>
      <c r="E30">
        <f>VLOOKUP(A31,[1]timesData!$B:$P,4,FALSE)</f>
        <v>38.799999999999997</v>
      </c>
      <c r="F30">
        <f>VLOOKUP(A31,[1]timesData!$B:$P,5,FALSE)</f>
        <v>76.099999999999994</v>
      </c>
      <c r="G30">
        <f>VLOOKUP(A31,[1]timesData!$B:$P,6,FALSE)</f>
        <v>89.6</v>
      </c>
      <c r="H30">
        <f>VLOOKUP(A31,[1]timesData!$B:$P,7,FALSE)</f>
        <v>57.7</v>
      </c>
      <c r="I30">
        <f>VLOOKUP(A31,[1]timesData!$B:$P,8,FALSE)</f>
        <v>74.900000000000006</v>
      </c>
      <c r="J30">
        <f>VLOOKUP(A31,[1]timesData!$B:$P,9,FALSE)</f>
        <v>49427</v>
      </c>
      <c r="K30">
        <f>VLOOKUP(A31,[1]timesData!$B:$P,10,FALSE)</f>
        <v>17.399999999999999</v>
      </c>
      <c r="L30">
        <f>VLOOKUP(A31,[1]timesData!$B:$P,11,FALSE)</f>
        <v>0.09</v>
      </c>
      <c r="M30">
        <f>VLOOKUP(A31,[1]timesData!$B:$P,12,FALSE)</f>
        <v>2.1590277777777778</v>
      </c>
      <c r="N30">
        <f>VLOOKUP(A31,[1]timesData!$B:$P,13,FALSE)</f>
        <v>2012</v>
      </c>
      <c r="O30">
        <f>VLOOKUP(A30,[2]cwurData!$B:$P,14,FALSE)</f>
        <v>186</v>
      </c>
      <c r="P30">
        <f>VLOOKUP(A30,[2]cwurData!$B:$N, 3, FALSE)</f>
        <v>6</v>
      </c>
      <c r="Q30">
        <f>VLOOKUP(A30,[2]cwurData!$B:$N, 4, FALSE)</f>
        <v>355</v>
      </c>
      <c r="R30">
        <f>VLOOKUP(A30,[2]cwurData!$B:$N, 5, FALSE)</f>
        <v>478</v>
      </c>
      <c r="S30">
        <f>VLOOKUP(A30,[2]cwurData!$B:$N, 6, FALSE)</f>
        <v>210</v>
      </c>
      <c r="T30">
        <f>VLOOKUP(A30,[2]cwurData!$B:$N, 7, FALSE)</f>
        <v>279</v>
      </c>
      <c r="U30">
        <f>VLOOKUP(A30,[2]cwurData!$B:$N, 8, FALSE)</f>
        <v>346</v>
      </c>
      <c r="V30">
        <f>VLOOKUP(A30,[2]cwurData!$B:$N, 9, FALSE)</f>
        <v>220</v>
      </c>
      <c r="W30">
        <f>VLOOKUP(A30,[2]cwurData!$B:$N, 10, FALSE)</f>
        <v>295</v>
      </c>
      <c r="X30">
        <f>VLOOKUP(A30,[2]cwurData!$B:$N, 11, FALSE)</f>
        <v>25</v>
      </c>
      <c r="Y30">
        <f>VLOOKUP(A30,[2]cwurData!$B:$N, 12, FALSE)</f>
        <v>48.35</v>
      </c>
      <c r="Z30">
        <f>VLOOKUP(A30,[2]cwurData!$B:$N, 13, FALSE)</f>
        <v>2014</v>
      </c>
    </row>
    <row r="31" spans="1:26" x14ac:dyDescent="0.3">
      <c r="A31" t="s">
        <v>202</v>
      </c>
      <c r="B31" t="str">
        <f>IFERROR(VLOOKUP(A31,[1]timesData!$B:$P,2,FALSE),VLOOKUP(A31,[2]cwurData!$B:$P,2,FALSE))</f>
        <v>United States of America</v>
      </c>
      <c r="C31">
        <f>VLOOKUP(A31,[1]timesData!$B:$P,3,FALSE)</f>
        <v>29</v>
      </c>
      <c r="D31">
        <f>VLOOKUP(A32,[1]timesData!$B:$P,3,FALSE)</f>
        <v>29</v>
      </c>
      <c r="E31">
        <f>VLOOKUP(A32,[1]timesData!$B:$P,4,FALSE)</f>
        <v>64.3</v>
      </c>
      <c r="F31">
        <f>VLOOKUP(A32,[1]timesData!$B:$P,5,FALSE)</f>
        <v>68</v>
      </c>
      <c r="G31">
        <f>VLOOKUP(A32,[1]timesData!$B:$P,6,FALSE)</f>
        <v>98.8</v>
      </c>
      <c r="H31">
        <f>VLOOKUP(A32,[1]timesData!$B:$P,7,FALSE)</f>
        <v>89.8</v>
      </c>
      <c r="I31">
        <f>VLOOKUP(A32,[1]timesData!$B:$P,8,FALSE)</f>
        <v>75</v>
      </c>
      <c r="J31">
        <f>VLOOKUP(A32,[1]timesData!$B:$P,9,FALSE)</f>
        <v>22020</v>
      </c>
      <c r="K31">
        <f>VLOOKUP(A32,[1]timesData!$B:$P,10,FALSE)</f>
        <v>27.3</v>
      </c>
      <c r="L31">
        <f>VLOOKUP(A32,[1]timesData!$B:$P,11,FALSE)</f>
        <v>0.11</v>
      </c>
      <c r="M31">
        <f>VLOOKUP(A32,[1]timesData!$B:$P,12,FALSE)</f>
        <v>2.2000000000000002</v>
      </c>
      <c r="N31">
        <f>VLOOKUP(A32,[1]timesData!$B:$P,13,FALSE)</f>
        <v>2011</v>
      </c>
      <c r="O31">
        <f>VLOOKUP(A31,[2]cwurData!$B:$P,14,FALSE)</f>
        <v>30</v>
      </c>
      <c r="P31">
        <f>VLOOKUP(A31,[2]cwurData!$B:$N, 3, FALSE)</f>
        <v>22</v>
      </c>
      <c r="Q31">
        <f>VLOOKUP(A31,[2]cwurData!$B:$N, 4, FALSE)</f>
        <v>101</v>
      </c>
      <c r="R31">
        <f>VLOOKUP(A31,[2]cwurData!$B:$N, 5, FALSE)</f>
        <v>78</v>
      </c>
      <c r="S31">
        <f>VLOOKUP(A31,[2]cwurData!$B:$N, 6, FALSE)</f>
        <v>27</v>
      </c>
      <c r="T31">
        <f>VLOOKUP(A31,[2]cwurData!$B:$N, 7, FALSE)</f>
        <v>41</v>
      </c>
      <c r="U31">
        <f>VLOOKUP(A31,[2]cwurData!$B:$N, 8, FALSE)</f>
        <v>47</v>
      </c>
      <c r="V31">
        <f>VLOOKUP(A31,[2]cwurData!$B:$N, 9, FALSE)</f>
        <v>40</v>
      </c>
      <c r="W31">
        <f>VLOOKUP(A31,[2]cwurData!$B:$N, 10, FALSE)</f>
        <v>0</v>
      </c>
      <c r="X31">
        <f>VLOOKUP(A31,[2]cwurData!$B:$N, 11, FALSE)</f>
        <v>57</v>
      </c>
      <c r="Y31">
        <f>VLOOKUP(A31,[2]cwurData!$B:$N, 12, FALSE)</f>
        <v>56.18</v>
      </c>
      <c r="Z31">
        <f>VLOOKUP(A31,[2]cwurData!$B:$N, 13, FALSE)</f>
        <v>2012</v>
      </c>
    </row>
    <row r="32" spans="1:26" x14ac:dyDescent="0.3">
      <c r="A32" t="s">
        <v>29</v>
      </c>
      <c r="B32" t="str">
        <f>IFERROR(VLOOKUP(A32,[1]timesData!$B:$P,2,FALSE),VLOOKUP(A32,[2]cwurData!$B:$P,2,FALSE))</f>
        <v>United States of America</v>
      </c>
      <c r="C32">
        <f>VLOOKUP(A32,[1]timesData!$B:$P,3,FALSE)</f>
        <v>29</v>
      </c>
      <c r="D32">
        <f>VLOOKUP(A33,[1]timesData!$B:$P,3,FALSE)</f>
        <v>30</v>
      </c>
      <c r="E32">
        <f>VLOOKUP(A33,[1]timesData!$B:$P,4,FALSE)</f>
        <v>21.5</v>
      </c>
      <c r="F32">
        <f>VLOOKUP(A33,[1]timesData!$B:$P,5,FALSE)</f>
        <v>75.099999999999994</v>
      </c>
      <c r="G32">
        <f>VLOOKUP(A33,[1]timesData!$B:$P,6,FALSE)</f>
        <v>85</v>
      </c>
      <c r="H32">
        <f>VLOOKUP(A33,[1]timesData!$B:$P,7,FALSE)</f>
        <v>50.2</v>
      </c>
      <c r="I32">
        <f>VLOOKUP(A33,[1]timesData!$B:$P,8,FALSE)</f>
        <v>73.8</v>
      </c>
      <c r="J32">
        <f>VLOOKUP(A33,[1]timesData!$B:$P,9,FALSE)</f>
        <v>26518</v>
      </c>
      <c r="K32">
        <f>VLOOKUP(A33,[1]timesData!$B:$P,10,FALSE)</f>
        <v>7.3</v>
      </c>
      <c r="L32">
        <f>VLOOKUP(A33,[1]timesData!$B:$P,11,FALSE)</f>
        <v>0.08</v>
      </c>
      <c r="M32">
        <f>VLOOKUP(A33,[1]timesData!$B:$P,12,FALSE)</f>
        <v>2.4458333333333333</v>
      </c>
      <c r="N32">
        <f>VLOOKUP(A33,[1]timesData!$B:$P,13,FALSE)</f>
        <v>2011</v>
      </c>
      <c r="O32">
        <f>VLOOKUP(A32,[2]cwurData!$B:$P,14,FALSE)</f>
        <v>40</v>
      </c>
      <c r="P32">
        <f>VLOOKUP(A32,[2]cwurData!$B:$N, 3, FALSE)</f>
        <v>29</v>
      </c>
      <c r="Q32">
        <f>VLOOKUP(A32,[2]cwurData!$B:$N, 4, FALSE)</f>
        <v>101</v>
      </c>
      <c r="R32">
        <f>VLOOKUP(A32,[2]cwurData!$B:$N, 5, FALSE)</f>
        <v>101</v>
      </c>
      <c r="S32">
        <f>VLOOKUP(A32,[2]cwurData!$B:$N, 6, FALSE)</f>
        <v>28</v>
      </c>
      <c r="T32">
        <f>VLOOKUP(A32,[2]cwurData!$B:$N, 7, FALSE)</f>
        <v>68</v>
      </c>
      <c r="U32">
        <f>VLOOKUP(A32,[2]cwurData!$B:$N, 8, FALSE)</f>
        <v>72</v>
      </c>
      <c r="V32">
        <f>VLOOKUP(A32,[2]cwurData!$B:$N, 9, FALSE)</f>
        <v>36</v>
      </c>
      <c r="W32">
        <f>VLOOKUP(A32,[2]cwurData!$B:$N, 10, FALSE)</f>
        <v>0</v>
      </c>
      <c r="X32">
        <f>VLOOKUP(A32,[2]cwurData!$B:$N, 11, FALSE)</f>
        <v>101</v>
      </c>
      <c r="Y32">
        <f>VLOOKUP(A32,[2]cwurData!$B:$N, 12, FALSE)</f>
        <v>52.15</v>
      </c>
      <c r="Z32">
        <f>VLOOKUP(A32,[2]cwurData!$B:$N, 13, FALSE)</f>
        <v>2012</v>
      </c>
    </row>
    <row r="33" spans="1:26" x14ac:dyDescent="0.3">
      <c r="A33" t="s">
        <v>31</v>
      </c>
      <c r="B33" t="str">
        <f>IFERROR(VLOOKUP(A33,[1]timesData!$B:$P,2,FALSE),VLOOKUP(A33,[2]cwurData!$B:$P,2,FALSE))</f>
        <v>United States of America</v>
      </c>
      <c r="C33">
        <f>VLOOKUP(A33,[1]timesData!$B:$P,3,FALSE)</f>
        <v>30</v>
      </c>
      <c r="D33">
        <f>VLOOKUP(A34,[1]timesData!$B:$P,3,FALSE)</f>
        <v>30</v>
      </c>
      <c r="E33">
        <f>VLOOKUP(A34,[1]timesData!$B:$P,4,FALSE)</f>
        <v>93.3</v>
      </c>
      <c r="F33">
        <f>VLOOKUP(A34,[1]timesData!$B:$P,5,FALSE)</f>
        <v>74.8</v>
      </c>
      <c r="G33">
        <f>VLOOKUP(A34,[1]timesData!$B:$P,6,FALSE)</f>
        <v>80.3</v>
      </c>
      <c r="H33">
        <f>VLOOKUP(A34,[1]timesData!$B:$P,7,FALSE)</f>
        <v>42.6</v>
      </c>
      <c r="I33">
        <f>VLOOKUP(A34,[1]timesData!$B:$P,8,FALSE)</f>
        <v>73.8</v>
      </c>
      <c r="J33">
        <f>VLOOKUP(A34,[1]timesData!$B:$P,9,FALSE)</f>
        <v>50152</v>
      </c>
      <c r="K33">
        <f>VLOOKUP(A34,[1]timesData!$B:$P,10,FALSE)</f>
        <v>17.600000000000001</v>
      </c>
      <c r="L33">
        <f>VLOOKUP(A34,[1]timesData!$B:$P,11,FALSE)</f>
        <v>0.25</v>
      </c>
      <c r="M33">
        <f>VLOOKUP(A34,[1]timesData!$B:$P,12,FALSE)</f>
        <v>2.2819444444444446</v>
      </c>
      <c r="N33">
        <f>VLOOKUP(A34,[1]timesData!$B:$P,13,FALSE)</f>
        <v>2011</v>
      </c>
      <c r="O33">
        <f>VLOOKUP(A33,[2]cwurData!$B:$P,14,FALSE)</f>
        <v>36</v>
      </c>
      <c r="P33">
        <f>VLOOKUP(A33,[2]cwurData!$B:$N, 3, FALSE)</f>
        <v>25</v>
      </c>
      <c r="Q33">
        <f>VLOOKUP(A33,[2]cwurData!$B:$N, 4, FALSE)</f>
        <v>101</v>
      </c>
      <c r="R33">
        <f>VLOOKUP(A33,[2]cwurData!$B:$N, 5, FALSE)</f>
        <v>86</v>
      </c>
      <c r="S33">
        <f>VLOOKUP(A33,[2]cwurData!$B:$N, 6, FALSE)</f>
        <v>56</v>
      </c>
      <c r="T33">
        <f>VLOOKUP(A33,[2]cwurData!$B:$N, 7, FALSE)</f>
        <v>31</v>
      </c>
      <c r="U33">
        <f>VLOOKUP(A33,[2]cwurData!$B:$N, 8, FALSE)</f>
        <v>29</v>
      </c>
      <c r="V33">
        <f>VLOOKUP(A33,[2]cwurData!$B:$N, 9, FALSE)</f>
        <v>31</v>
      </c>
      <c r="W33">
        <f>VLOOKUP(A33,[2]cwurData!$B:$N, 10, FALSE)</f>
        <v>0</v>
      </c>
      <c r="X33">
        <f>VLOOKUP(A33,[2]cwurData!$B:$N, 11, FALSE)</f>
        <v>29</v>
      </c>
      <c r="Y33">
        <f>VLOOKUP(A33,[2]cwurData!$B:$N, 12, FALSE)</f>
        <v>53.09</v>
      </c>
      <c r="Z33">
        <f>VLOOKUP(A33,[2]cwurData!$B:$N, 13, FALSE)</f>
        <v>2012</v>
      </c>
    </row>
    <row r="34" spans="1:26" x14ac:dyDescent="0.3">
      <c r="A34" t="s">
        <v>30</v>
      </c>
      <c r="B34" t="str">
        <f>IFERROR(VLOOKUP(A34,[1]timesData!$B:$P,2,FALSE),VLOOKUP(A34,[2]cwurData!$B:$P,2,FALSE))</f>
        <v>Canada</v>
      </c>
      <c r="C34">
        <f>VLOOKUP(A34,[1]timesData!$B:$P,3,FALSE)</f>
        <v>30</v>
      </c>
      <c r="D34">
        <f>VLOOKUP(A35,[1]timesData!$B:$P,3,FALSE)</f>
        <v>32</v>
      </c>
      <c r="E34">
        <f>VLOOKUP(A35,[1]timesData!$B:$P,4,FALSE)</f>
        <v>31.6</v>
      </c>
      <c r="F34">
        <f>VLOOKUP(A35,[1]timesData!$B:$P,5,FALSE)</f>
        <v>76.3</v>
      </c>
      <c r="G34">
        <f>VLOOKUP(A35,[1]timesData!$B:$P,6,FALSE)</f>
        <v>90.8</v>
      </c>
      <c r="H34">
        <f>VLOOKUP(A35,[1]timesData!$B:$P,7,FALSE)</f>
        <v>51.8</v>
      </c>
      <c r="I34">
        <f>VLOOKUP(A35,[1]timesData!$B:$P,8,FALSE)</f>
        <v>73.2</v>
      </c>
      <c r="J34">
        <f>VLOOKUP(A35,[1]timesData!$B:$P,9,FALSE)</f>
        <v>27233</v>
      </c>
      <c r="K34">
        <f>VLOOKUP(A35,[1]timesData!$B:$P,10,FALSE)</f>
        <v>6.5</v>
      </c>
      <c r="L34">
        <f>VLOOKUP(A35,[1]timesData!$B:$P,11,FALSE)</f>
        <v>0.11</v>
      </c>
      <c r="M34">
        <f>VLOOKUP(A35,[1]timesData!$B:$P,12,FALSE)</f>
        <v>2.036111111111111</v>
      </c>
      <c r="N34">
        <f>VLOOKUP(A35,[1]timesData!$B:$P,13,FALSE)</f>
        <v>2011</v>
      </c>
      <c r="O34">
        <f>VLOOKUP(A34,[2]cwurData!$B:$P,14,FALSE)</f>
        <v>67</v>
      </c>
      <c r="P34">
        <f>VLOOKUP(A34,[2]cwurData!$B:$N, 3, FALSE)</f>
        <v>3</v>
      </c>
      <c r="Q34">
        <f>VLOOKUP(A34,[2]cwurData!$B:$N, 4, FALSE)</f>
        <v>101</v>
      </c>
      <c r="R34">
        <f>VLOOKUP(A34,[2]cwurData!$B:$N, 5, FALSE)</f>
        <v>101</v>
      </c>
      <c r="S34">
        <f>VLOOKUP(A34,[2]cwurData!$B:$N, 6, FALSE)</f>
        <v>93</v>
      </c>
      <c r="T34">
        <f>VLOOKUP(A34,[2]cwurData!$B:$N, 7, FALSE)</f>
        <v>28</v>
      </c>
      <c r="U34">
        <f>VLOOKUP(A34,[2]cwurData!$B:$N, 8, FALSE)</f>
        <v>38</v>
      </c>
      <c r="V34">
        <f>VLOOKUP(A34,[2]cwurData!$B:$N, 9, FALSE)</f>
        <v>48</v>
      </c>
      <c r="W34">
        <f>VLOOKUP(A34,[2]cwurData!$B:$N, 10, FALSE)</f>
        <v>0</v>
      </c>
      <c r="X34">
        <f>VLOOKUP(A34,[2]cwurData!$B:$N, 11, FALSE)</f>
        <v>101</v>
      </c>
      <c r="Y34">
        <f>VLOOKUP(A34,[2]cwurData!$B:$N, 12, FALSE)</f>
        <v>47.74</v>
      </c>
      <c r="Z34">
        <f>VLOOKUP(A34,[2]cwurData!$B:$N, 13, FALSE)</f>
        <v>2012</v>
      </c>
    </row>
    <row r="35" spans="1:26" x14ac:dyDescent="0.3">
      <c r="A35" t="s">
        <v>32</v>
      </c>
      <c r="B35" t="str">
        <f>IFERROR(VLOOKUP(A35,[1]timesData!$B:$P,2,FALSE),VLOOKUP(A35,[2]cwurData!$B:$P,2,FALSE))</f>
        <v>United States of America</v>
      </c>
      <c r="C35">
        <f>VLOOKUP(A35,[1]timesData!$B:$P,3,FALSE)</f>
        <v>32</v>
      </c>
      <c r="D35">
        <f>VLOOKUP(A36,[1]timesData!$B:$P,3,FALSE)</f>
        <v>33</v>
      </c>
      <c r="E35">
        <f>VLOOKUP(A36,[1]timesData!$B:$P,4,FALSE)</f>
        <v>55.9</v>
      </c>
      <c r="F35">
        <f>VLOOKUP(A36,[1]timesData!$B:$P,5,FALSE)</f>
        <v>80.900000000000006</v>
      </c>
      <c r="G35">
        <f>VLOOKUP(A36,[1]timesData!$B:$P,6,FALSE)</f>
        <v>72.900000000000006</v>
      </c>
      <c r="H35" t="str">
        <f>VLOOKUP(A36,[1]timesData!$B:$P,7,FALSE)</f>
        <v>-</v>
      </c>
      <c r="I35">
        <f>VLOOKUP(A36,[1]timesData!$B:$P,8,FALSE)</f>
        <v>73</v>
      </c>
      <c r="J35">
        <f>VLOOKUP(A36,[1]timesData!$B:$P,9,FALSE)</f>
        <v>42727</v>
      </c>
      <c r="K35">
        <f>VLOOKUP(A36,[1]timesData!$B:$P,10,FALSE)</f>
        <v>18.7</v>
      </c>
      <c r="L35">
        <f>VLOOKUP(A36,[1]timesData!$B:$P,11,FALSE)</f>
        <v>0.2</v>
      </c>
      <c r="M35">
        <f>VLOOKUP(A36,[1]timesData!$B:$P,12,FALSE)</f>
        <v>1.9951388888888888</v>
      </c>
      <c r="N35">
        <f>VLOOKUP(A36,[1]timesData!$B:$P,13,FALSE)</f>
        <v>2011</v>
      </c>
      <c r="O35">
        <f>VLOOKUP(A35,[2]cwurData!$B:$P,14,FALSE)</f>
        <v>20</v>
      </c>
      <c r="P35">
        <f>VLOOKUP(A35,[2]cwurData!$B:$N, 3, FALSE)</f>
        <v>14</v>
      </c>
      <c r="Q35">
        <f>VLOOKUP(A35,[2]cwurData!$B:$N, 4, FALSE)</f>
        <v>61</v>
      </c>
      <c r="R35">
        <f>VLOOKUP(A35,[2]cwurData!$B:$N, 5, FALSE)</f>
        <v>101</v>
      </c>
      <c r="S35">
        <f>VLOOKUP(A35,[2]cwurData!$B:$N, 6, FALSE)</f>
        <v>15</v>
      </c>
      <c r="T35">
        <f>VLOOKUP(A35,[2]cwurData!$B:$N, 7, FALSE)</f>
        <v>10</v>
      </c>
      <c r="U35">
        <f>VLOOKUP(A35,[2]cwurData!$B:$N, 8, FALSE)</f>
        <v>8</v>
      </c>
      <c r="V35">
        <f>VLOOKUP(A35,[2]cwurData!$B:$N, 9, FALSE)</f>
        <v>10</v>
      </c>
      <c r="W35">
        <f>VLOOKUP(A35,[2]cwurData!$B:$N, 10, FALSE)</f>
        <v>0</v>
      </c>
      <c r="X35">
        <f>VLOOKUP(A35,[2]cwurData!$B:$N, 11, FALSE)</f>
        <v>22</v>
      </c>
      <c r="Y35">
        <f>VLOOKUP(A35,[2]cwurData!$B:$N, 12, FALSE)</f>
        <v>63.11</v>
      </c>
      <c r="Z35">
        <f>VLOOKUP(A35,[2]cwurData!$B:$N, 13, FALSE)</f>
        <v>2012</v>
      </c>
    </row>
    <row r="36" spans="1:26" x14ac:dyDescent="0.3">
      <c r="A36" t="s">
        <v>33</v>
      </c>
      <c r="B36" t="str">
        <f>IFERROR(VLOOKUP(A36,[1]timesData!$B:$P,2,FALSE),VLOOKUP(A36,[2]cwurData!$B:$P,2,FALSE))</f>
        <v>United States of America</v>
      </c>
      <c r="C36">
        <f>VLOOKUP(A36,[1]timesData!$B:$P,3,FALSE)</f>
        <v>33</v>
      </c>
      <c r="D36">
        <f>VLOOKUP(A37,[1]timesData!$B:$P,3,FALSE)</f>
        <v>34</v>
      </c>
      <c r="E36">
        <f>VLOOKUP(A37,[1]timesData!$B:$P,4,FALSE)</f>
        <v>97.8</v>
      </c>
      <c r="F36">
        <f>VLOOKUP(A37,[1]timesData!$B:$P,5,FALSE)</f>
        <v>72.599999999999994</v>
      </c>
      <c r="G36">
        <f>VLOOKUP(A37,[1]timesData!$B:$P,6,FALSE)</f>
        <v>78.7</v>
      </c>
      <c r="H36">
        <f>VLOOKUP(A37,[1]timesData!$B:$P,7,FALSE)</f>
        <v>40.5</v>
      </c>
      <c r="I36">
        <f>VLOOKUP(A37,[1]timesData!$B:$P,8,FALSE)</f>
        <v>72.900000000000006</v>
      </c>
      <c r="J36">
        <f>VLOOKUP(A37,[1]timesData!$B:$P,9,FALSE)</f>
        <v>31592</v>
      </c>
      <c r="K36">
        <f>VLOOKUP(A37,[1]timesData!$B:$P,10,FALSE)</f>
        <v>15.5</v>
      </c>
      <c r="L36">
        <f>VLOOKUP(A37,[1]timesData!$B:$P,11,FALSE)</f>
        <v>0.34</v>
      </c>
      <c r="M36">
        <f>VLOOKUP(A37,[1]timesData!$B:$P,12,FALSE)</f>
        <v>2.0770833333333334</v>
      </c>
      <c r="N36">
        <f>VLOOKUP(A37,[1]timesData!$B:$P,13,FALSE)</f>
        <v>2011</v>
      </c>
      <c r="O36" t="e">
        <f>VLOOKUP(A36,[2]cwurData!$B:$P,14,FALSE)</f>
        <v>#N/A</v>
      </c>
      <c r="P36" t="e">
        <f>VLOOKUP(A36,[2]cwurData!$B:$N, 3, FALSE)</f>
        <v>#N/A</v>
      </c>
      <c r="Q36" t="e">
        <f>VLOOKUP(A36,[2]cwurData!$B:$N, 4, FALSE)</f>
        <v>#N/A</v>
      </c>
      <c r="R36" t="e">
        <f>VLOOKUP(A36,[2]cwurData!$B:$N, 5, FALSE)</f>
        <v>#N/A</v>
      </c>
      <c r="S36" t="e">
        <f>VLOOKUP(A36,[2]cwurData!$B:$N, 6, FALSE)</f>
        <v>#N/A</v>
      </c>
      <c r="T36" t="e">
        <f>VLOOKUP(A36,[2]cwurData!$B:$N, 7, FALSE)</f>
        <v>#N/A</v>
      </c>
      <c r="U36" t="e">
        <f>VLOOKUP(A36,[2]cwurData!$B:$N, 8, FALSE)</f>
        <v>#N/A</v>
      </c>
      <c r="V36" t="e">
        <f>VLOOKUP(A36,[2]cwurData!$B:$N, 9, FALSE)</f>
        <v>#N/A</v>
      </c>
      <c r="W36" t="e">
        <f>VLOOKUP(A36,[2]cwurData!$B:$N, 10, FALSE)</f>
        <v>#N/A</v>
      </c>
      <c r="X36" t="e">
        <f>VLOOKUP(A36,[2]cwurData!$B:$N, 11, FALSE)</f>
        <v>#N/A</v>
      </c>
      <c r="Y36" t="e">
        <f>VLOOKUP(A36,[2]cwurData!$B:$N, 12, FALSE)</f>
        <v>#N/A</v>
      </c>
      <c r="Z36" t="e">
        <f>VLOOKUP(A36,[2]cwurData!$B:$N, 13, FALSE)</f>
        <v>#N/A</v>
      </c>
    </row>
    <row r="37" spans="1:26" x14ac:dyDescent="0.3">
      <c r="A37" t="s">
        <v>34</v>
      </c>
      <c r="B37" t="str">
        <f>IFERROR(VLOOKUP(A37,[1]timesData!$B:$P,2,FALSE),VLOOKUP(A37,[2]cwurData!$B:$P,2,FALSE))</f>
        <v>Singapore</v>
      </c>
      <c r="C37">
        <f>VLOOKUP(A37,[1]timesData!$B:$P,3,FALSE)</f>
        <v>34</v>
      </c>
      <c r="D37">
        <f>VLOOKUP(A38,[1]timesData!$B:$P,3,FALSE)</f>
        <v>35</v>
      </c>
      <c r="E37">
        <f>VLOOKUP(A38,[1]timesData!$B:$P,4,FALSE)</f>
        <v>85.9</v>
      </c>
      <c r="F37">
        <f>VLOOKUP(A38,[1]timesData!$B:$P,5,FALSE)</f>
        <v>74.900000000000006</v>
      </c>
      <c r="G37">
        <f>VLOOKUP(A38,[1]timesData!$B:$P,6,FALSE)</f>
        <v>69</v>
      </c>
      <c r="H37" t="str">
        <f>VLOOKUP(A38,[1]timesData!$B:$P,7,FALSE)</f>
        <v>-</v>
      </c>
      <c r="I37">
        <f>VLOOKUP(A38,[1]timesData!$B:$P,8,FALSE)</f>
        <v>71.7</v>
      </c>
      <c r="J37">
        <f>VLOOKUP(A38,[1]timesData!$B:$P,9,FALSE)</f>
        <v>31326</v>
      </c>
      <c r="K37">
        <f>VLOOKUP(A38,[1]timesData!$B:$P,10,FALSE)</f>
        <v>13.7</v>
      </c>
      <c r="L37">
        <f>VLOOKUP(A38,[1]timesData!$B:$P,11,FALSE)</f>
        <v>0.23</v>
      </c>
      <c r="M37">
        <f>VLOOKUP(A38,[1]timesData!$B:$P,12,FALSE)</f>
        <v>2.3638888888888889</v>
      </c>
      <c r="N37">
        <f>VLOOKUP(A38,[1]timesData!$B:$P,13,FALSE)</f>
        <v>2011</v>
      </c>
      <c r="O37">
        <f>VLOOKUP(A37,[2]cwurData!$B:$P,14,FALSE)</f>
        <v>87</v>
      </c>
      <c r="P37">
        <f>VLOOKUP(A37,[2]cwurData!$B:$N, 3, FALSE)</f>
        <v>1</v>
      </c>
      <c r="Q37">
        <f>VLOOKUP(A37,[2]cwurData!$B:$N, 4, FALSE)</f>
        <v>101</v>
      </c>
      <c r="R37">
        <f>VLOOKUP(A37,[2]cwurData!$B:$N, 5, FALSE)</f>
        <v>101</v>
      </c>
      <c r="S37">
        <f>VLOOKUP(A37,[2]cwurData!$B:$N, 6, FALSE)</f>
        <v>101</v>
      </c>
      <c r="T37">
        <f>VLOOKUP(A37,[2]cwurData!$B:$N, 7, FALSE)</f>
        <v>44</v>
      </c>
      <c r="U37">
        <f>VLOOKUP(A37,[2]cwurData!$B:$N, 8, FALSE)</f>
        <v>101</v>
      </c>
      <c r="V37">
        <f>VLOOKUP(A37,[2]cwurData!$B:$N, 9, FALSE)</f>
        <v>50</v>
      </c>
      <c r="W37">
        <f>VLOOKUP(A37,[2]cwurData!$B:$N, 10, FALSE)</f>
        <v>0</v>
      </c>
      <c r="X37">
        <f>VLOOKUP(A37,[2]cwurData!$B:$N, 11, FALSE)</f>
        <v>27</v>
      </c>
      <c r="Y37">
        <f>VLOOKUP(A37,[2]cwurData!$B:$N, 12, FALSE)</f>
        <v>45.2</v>
      </c>
      <c r="Z37">
        <f>VLOOKUP(A37,[2]cwurData!$B:$N, 13, FALSE)</f>
        <v>2013</v>
      </c>
    </row>
    <row r="38" spans="1:26" x14ac:dyDescent="0.3">
      <c r="A38" t="s">
        <v>35</v>
      </c>
      <c r="B38" t="str">
        <f>IFERROR(VLOOKUP(A38,[1]timesData!$B:$P,2,FALSE),VLOOKUP(A38,[2]cwurData!$B:$P,2,FALSE))</f>
        <v>Canada</v>
      </c>
      <c r="C38">
        <f>VLOOKUP(A38,[1]timesData!$B:$P,3,FALSE)</f>
        <v>35</v>
      </c>
      <c r="D38">
        <f>VLOOKUP(A39,[1]timesData!$B:$P,3,FALSE)</f>
        <v>36</v>
      </c>
      <c r="E38">
        <f>VLOOKUP(A39,[1]timesData!$B:$P,4,FALSE)</f>
        <v>88</v>
      </c>
      <c r="F38">
        <f>VLOOKUP(A39,[1]timesData!$B:$P,5,FALSE)</f>
        <v>69.2</v>
      </c>
      <c r="G38">
        <f>VLOOKUP(A39,[1]timesData!$B:$P,6,FALSE)</f>
        <v>83.3</v>
      </c>
      <c r="H38">
        <f>VLOOKUP(A39,[1]timesData!$B:$P,7,FALSE)</f>
        <v>47.7</v>
      </c>
      <c r="I38">
        <f>VLOOKUP(A39,[1]timesData!$B:$P,8,FALSE)</f>
        <v>71</v>
      </c>
      <c r="J38">
        <f>VLOOKUP(A39,[1]timesData!$B:$P,9,FALSE)</f>
        <v>40128</v>
      </c>
      <c r="K38">
        <f>VLOOKUP(A39,[1]timesData!$B:$P,10,FALSE)</f>
        <v>23.7</v>
      </c>
      <c r="L38">
        <f>VLOOKUP(A39,[1]timesData!$B:$P,11,FALSE)</f>
        <v>0.35</v>
      </c>
      <c r="M38">
        <f>VLOOKUP(A39,[1]timesData!$B:$P,12,FALSE)</f>
        <v>2.3229166666666665</v>
      </c>
      <c r="N38">
        <f>VLOOKUP(A39,[1]timesData!$B:$P,13,FALSE)</f>
        <v>2011</v>
      </c>
      <c r="O38">
        <f>VLOOKUP(A38,[2]cwurData!$B:$P,14,FALSE)</f>
        <v>41</v>
      </c>
      <c r="P38">
        <f>VLOOKUP(A38,[2]cwurData!$B:$N, 3, FALSE)</f>
        <v>2</v>
      </c>
      <c r="Q38">
        <f>VLOOKUP(A38,[2]cwurData!$B:$N, 4, FALSE)</f>
        <v>70</v>
      </c>
      <c r="R38">
        <f>VLOOKUP(A38,[2]cwurData!$B:$N, 5, FALSE)</f>
        <v>91</v>
      </c>
      <c r="S38">
        <f>VLOOKUP(A38,[2]cwurData!$B:$N, 6, FALSE)</f>
        <v>54</v>
      </c>
      <c r="T38">
        <f>VLOOKUP(A38,[2]cwurData!$B:$N, 7, FALSE)</f>
        <v>33</v>
      </c>
      <c r="U38">
        <f>VLOOKUP(A38,[2]cwurData!$B:$N, 8, FALSE)</f>
        <v>39</v>
      </c>
      <c r="V38">
        <f>VLOOKUP(A38,[2]cwurData!$B:$N, 9, FALSE)</f>
        <v>47</v>
      </c>
      <c r="W38">
        <f>VLOOKUP(A38,[2]cwurData!$B:$N, 10, FALSE)</f>
        <v>0</v>
      </c>
      <c r="X38">
        <f>VLOOKUP(A38,[2]cwurData!$B:$N, 11, FALSE)</f>
        <v>101</v>
      </c>
      <c r="Y38">
        <f>VLOOKUP(A38,[2]cwurData!$B:$N, 12, FALSE)</f>
        <v>51.72</v>
      </c>
      <c r="Z38">
        <f>VLOOKUP(A38,[2]cwurData!$B:$N, 13, FALSE)</f>
        <v>2012</v>
      </c>
    </row>
    <row r="39" spans="1:26" x14ac:dyDescent="0.3">
      <c r="A39" t="s">
        <v>36</v>
      </c>
      <c r="B39" t="str">
        <f>IFERROR(VLOOKUP(A39,[1]timesData!$B:$P,2,FALSE),VLOOKUP(A39,[2]cwurData!$B:$P,2,FALSE))</f>
        <v>Australia</v>
      </c>
      <c r="C39">
        <f>VLOOKUP(A39,[1]timesData!$B:$P,3,FALSE)</f>
        <v>36</v>
      </c>
      <c r="D39">
        <f>VLOOKUP(A40,[1]timesData!$B:$P,3,FALSE)</f>
        <v>37</v>
      </c>
      <c r="E39">
        <f>VLOOKUP(A40,[1]timesData!$B:$P,4,FALSE)</f>
        <v>68.599999999999994</v>
      </c>
      <c r="F39">
        <f>VLOOKUP(A40,[1]timesData!$B:$P,5,FALSE)</f>
        <v>61.3</v>
      </c>
      <c r="G39">
        <f>VLOOKUP(A40,[1]timesData!$B:$P,6,FALSE)</f>
        <v>72.2</v>
      </c>
      <c r="H39">
        <f>VLOOKUP(A40,[1]timesData!$B:$P,7,FALSE)</f>
        <v>98.6</v>
      </c>
      <c r="I39">
        <f>VLOOKUP(A40,[1]timesData!$B:$P,8,FALSE)</f>
        <v>70.7</v>
      </c>
      <c r="J39">
        <f>VLOOKUP(A40,[1]timesData!$B:$P,9,FALSE)</f>
        <v>40148</v>
      </c>
      <c r="K39">
        <f>VLOOKUP(A40,[1]timesData!$B:$P,10,FALSE)</f>
        <v>8.3000000000000007</v>
      </c>
      <c r="L39">
        <f>VLOOKUP(A40,[1]timesData!$B:$P,11,FALSE)</f>
        <v>0.14000000000000001</v>
      </c>
      <c r="M39">
        <f>VLOOKUP(A40,[1]timesData!$B:$P,12,FALSE)</f>
        <v>0</v>
      </c>
      <c r="N39">
        <f>VLOOKUP(A40,[1]timesData!$B:$P,13,FALSE)</f>
        <v>2011</v>
      </c>
      <c r="O39">
        <f>VLOOKUP(A39,[2]cwurData!$B:$P,14,FALSE)</f>
        <v>97</v>
      </c>
      <c r="P39">
        <f>VLOOKUP(A39,[2]cwurData!$B:$N, 3, FALSE)</f>
        <v>2</v>
      </c>
      <c r="Q39">
        <f>VLOOKUP(A39,[2]cwurData!$B:$N, 4, FALSE)</f>
        <v>136</v>
      </c>
      <c r="R39">
        <f>VLOOKUP(A39,[2]cwurData!$B:$N, 5, FALSE)</f>
        <v>101</v>
      </c>
      <c r="S39">
        <f>VLOOKUP(A39,[2]cwurData!$B:$N, 6, FALSE)</f>
        <v>210</v>
      </c>
      <c r="T39">
        <f>VLOOKUP(A39,[2]cwurData!$B:$N, 7, FALSE)</f>
        <v>45</v>
      </c>
      <c r="U39">
        <f>VLOOKUP(A39,[2]cwurData!$B:$N, 8, FALSE)</f>
        <v>74</v>
      </c>
      <c r="V39">
        <f>VLOOKUP(A39,[2]cwurData!$B:$N, 9, FALSE)</f>
        <v>87</v>
      </c>
      <c r="W39">
        <f>VLOOKUP(A39,[2]cwurData!$B:$N, 10, FALSE)</f>
        <v>81</v>
      </c>
      <c r="X39">
        <f>VLOOKUP(A39,[2]cwurData!$B:$N, 11, FALSE)</f>
        <v>194</v>
      </c>
      <c r="Y39">
        <f>VLOOKUP(A39,[2]cwurData!$B:$N, 12, FALSE)</f>
        <v>51.43</v>
      </c>
      <c r="Z39">
        <f>VLOOKUP(A39,[2]cwurData!$B:$N, 13, FALSE)</f>
        <v>2014</v>
      </c>
    </row>
    <row r="40" spans="1:26" x14ac:dyDescent="0.3">
      <c r="A40" t="s">
        <v>37</v>
      </c>
      <c r="B40" t="str">
        <f>IFERROR(VLOOKUP(A40,[1]timesData!$B:$P,2,FALSE),VLOOKUP(A40,[2]cwurData!$B:$P,2,FALSE))</f>
        <v>China</v>
      </c>
      <c r="C40">
        <f>VLOOKUP(A40,[1]timesData!$B:$P,3,FALSE)</f>
        <v>37</v>
      </c>
      <c r="D40">
        <f>VLOOKUP(A41,[1]timesData!$B:$P,3,FALSE)</f>
        <v>38</v>
      </c>
      <c r="E40">
        <f>VLOOKUP(A41,[1]timesData!$B:$P,4,FALSE)</f>
        <v>56.4</v>
      </c>
      <c r="F40">
        <f>VLOOKUP(A41,[1]timesData!$B:$P,5,FALSE)</f>
        <v>63</v>
      </c>
      <c r="G40">
        <f>VLOOKUP(A41,[1]timesData!$B:$P,6,FALSE)</f>
        <v>88.6</v>
      </c>
      <c r="H40" t="str">
        <f>VLOOKUP(A41,[1]timesData!$B:$P,7,FALSE)</f>
        <v>-</v>
      </c>
      <c r="I40">
        <f>VLOOKUP(A41,[1]timesData!$B:$P,8,FALSE)</f>
        <v>69.900000000000006</v>
      </c>
      <c r="J40">
        <f>VLOOKUP(A41,[1]timesData!$B:$P,9,FALSE)</f>
        <v>12528</v>
      </c>
      <c r="K40">
        <f>VLOOKUP(A41,[1]timesData!$B:$P,10,FALSE)</f>
        <v>5.7</v>
      </c>
      <c r="L40">
        <f>VLOOKUP(A41,[1]timesData!$B:$P,11,FALSE)</f>
        <v>0.17</v>
      </c>
      <c r="M40">
        <f>VLOOKUP(A41,[1]timesData!$B:$P,12,FALSE)</f>
        <v>0</v>
      </c>
      <c r="N40">
        <f>VLOOKUP(A41,[1]timesData!$B:$P,13,FALSE)</f>
        <v>2011</v>
      </c>
      <c r="O40">
        <f>VLOOKUP(A40,[2]cwurData!$B:$P,14,FALSE)</f>
        <v>55</v>
      </c>
      <c r="P40">
        <f>VLOOKUP(A40,[2]cwurData!$B:$N, 3, FALSE)</f>
        <v>1</v>
      </c>
      <c r="Q40">
        <f>VLOOKUP(A40,[2]cwurData!$B:$N, 4, FALSE)</f>
        <v>355</v>
      </c>
      <c r="R40">
        <f>VLOOKUP(A40,[2]cwurData!$B:$N, 5, FALSE)</f>
        <v>35</v>
      </c>
      <c r="S40">
        <f>VLOOKUP(A40,[2]cwurData!$B:$N, 6, FALSE)</f>
        <v>210</v>
      </c>
      <c r="T40">
        <f>VLOOKUP(A40,[2]cwurData!$B:$N, 7, FALSE)</f>
        <v>65</v>
      </c>
      <c r="U40">
        <f>VLOOKUP(A40,[2]cwurData!$B:$N, 8, FALSE)</f>
        <v>155</v>
      </c>
      <c r="V40">
        <f>VLOOKUP(A40,[2]cwurData!$B:$N, 9, FALSE)</f>
        <v>250</v>
      </c>
      <c r="W40">
        <f>VLOOKUP(A40,[2]cwurData!$B:$N, 10, FALSE)</f>
        <v>155</v>
      </c>
      <c r="X40">
        <f>VLOOKUP(A40,[2]cwurData!$B:$N, 11, FALSE)</f>
        <v>7</v>
      </c>
      <c r="Y40">
        <f>VLOOKUP(A40,[2]cwurData!$B:$N, 12, FALSE)</f>
        <v>55.3</v>
      </c>
      <c r="Z40">
        <f>VLOOKUP(A40,[2]cwurData!$B:$N, 13, FALSE)</f>
        <v>2014</v>
      </c>
    </row>
    <row r="41" spans="1:26" x14ac:dyDescent="0.3">
      <c r="A41" t="s">
        <v>38</v>
      </c>
      <c r="B41" t="str">
        <f>IFERROR(VLOOKUP(A41,[1]timesData!$B:$P,2,FALSE),VLOOKUP(A41,[2]cwurData!$B:$P,2,FALSE))</f>
        <v>United States of America</v>
      </c>
      <c r="C41">
        <f>VLOOKUP(A41,[1]timesData!$B:$P,3,FALSE)</f>
        <v>38</v>
      </c>
      <c r="D41">
        <f>VLOOKUP(A42,[1]timesData!$B:$P,3,FALSE)</f>
        <v>39</v>
      </c>
      <c r="E41">
        <f>VLOOKUP(A42,[1]timesData!$B:$P,4,FALSE)</f>
        <v>77.900000000000006</v>
      </c>
      <c r="F41">
        <f>VLOOKUP(A42,[1]timesData!$B:$P,5,FALSE)</f>
        <v>56.1</v>
      </c>
      <c r="G41">
        <f>VLOOKUP(A42,[1]timesData!$B:$P,6,FALSE)</f>
        <v>91.4</v>
      </c>
      <c r="H41" t="str">
        <f>VLOOKUP(A42,[1]timesData!$B:$P,7,FALSE)</f>
        <v>-</v>
      </c>
      <c r="I41">
        <f>VLOOKUP(A42,[1]timesData!$B:$P,8,FALSE)</f>
        <v>69.5</v>
      </c>
      <c r="J41">
        <f>VLOOKUP(A42,[1]timesData!$B:$P,9,FALSE)</f>
        <v>2429</v>
      </c>
      <c r="K41">
        <f>VLOOKUP(A42,[1]timesData!$B:$P,10,FALSE)</f>
        <v>4.8</v>
      </c>
      <c r="L41">
        <f>VLOOKUP(A42,[1]timesData!$B:$P,11,FALSE)</f>
        <v>0.3</v>
      </c>
      <c r="M41">
        <f>VLOOKUP(A42,[1]timesData!$B:$P,12,FALSE)</f>
        <v>0.80694444444444446</v>
      </c>
      <c r="N41">
        <f>VLOOKUP(A42,[1]timesData!$B:$P,13,FALSE)</f>
        <v>2011</v>
      </c>
      <c r="O41" t="e">
        <f>VLOOKUP(A41,[2]cwurData!$B:$P,14,FALSE)</f>
        <v>#N/A</v>
      </c>
      <c r="P41" t="e">
        <f>VLOOKUP(A41,[2]cwurData!$B:$N, 3, FALSE)</f>
        <v>#N/A</v>
      </c>
      <c r="Q41" t="e">
        <f>VLOOKUP(A41,[2]cwurData!$B:$N, 4, FALSE)</f>
        <v>#N/A</v>
      </c>
      <c r="R41" t="e">
        <f>VLOOKUP(A41,[2]cwurData!$B:$N, 5, FALSE)</f>
        <v>#N/A</v>
      </c>
      <c r="S41" t="e">
        <f>VLOOKUP(A41,[2]cwurData!$B:$N, 6, FALSE)</f>
        <v>#N/A</v>
      </c>
      <c r="T41" t="e">
        <f>VLOOKUP(A41,[2]cwurData!$B:$N, 7, FALSE)</f>
        <v>#N/A</v>
      </c>
      <c r="U41" t="e">
        <f>VLOOKUP(A41,[2]cwurData!$B:$N, 8, FALSE)</f>
        <v>#N/A</v>
      </c>
      <c r="V41" t="e">
        <f>VLOOKUP(A41,[2]cwurData!$B:$N, 9, FALSE)</f>
        <v>#N/A</v>
      </c>
      <c r="W41" t="e">
        <f>VLOOKUP(A41,[2]cwurData!$B:$N, 10, FALSE)</f>
        <v>#N/A</v>
      </c>
      <c r="X41" t="e">
        <f>VLOOKUP(A41,[2]cwurData!$B:$N, 11, FALSE)</f>
        <v>#N/A</v>
      </c>
      <c r="Y41" t="e">
        <f>VLOOKUP(A41,[2]cwurData!$B:$N, 12, FALSE)</f>
        <v>#N/A</v>
      </c>
      <c r="Z41" t="e">
        <f>VLOOKUP(A41,[2]cwurData!$B:$N, 13, FALSE)</f>
        <v>#N/A</v>
      </c>
    </row>
    <row r="42" spans="1:26" x14ac:dyDescent="0.3">
      <c r="A42" t="s">
        <v>39</v>
      </c>
      <c r="B42" t="str">
        <f>IFERROR(VLOOKUP(A42,[1]timesData!$B:$P,2,FALSE),VLOOKUP(A42,[2]cwurData!$B:$P,2,FALSE))</f>
        <v>France</v>
      </c>
      <c r="C42">
        <f>VLOOKUP(A42,[1]timesData!$B:$P,3,FALSE)</f>
        <v>39</v>
      </c>
      <c r="D42">
        <f>VLOOKUP(A43,[1]timesData!$B:$P,3,FALSE)</f>
        <v>40</v>
      </c>
      <c r="E42">
        <f>VLOOKUP(A43,[1]timesData!$B:$P,4,FALSE)</f>
        <v>67.3</v>
      </c>
      <c r="F42">
        <f>VLOOKUP(A43,[1]timesData!$B:$P,5,FALSE)</f>
        <v>61.9</v>
      </c>
      <c r="G42">
        <f>VLOOKUP(A43,[1]timesData!$B:$P,6,FALSE)</f>
        <v>86.8</v>
      </c>
      <c r="H42">
        <f>VLOOKUP(A43,[1]timesData!$B:$P,7,FALSE)</f>
        <v>42.2</v>
      </c>
      <c r="I42">
        <f>VLOOKUP(A43,[1]timesData!$B:$P,8,FALSE)</f>
        <v>69.2</v>
      </c>
      <c r="J42">
        <f>VLOOKUP(A43,[1]timesData!$B:$P,9,FALSE)</f>
        <v>25774</v>
      </c>
      <c r="K42">
        <f>VLOOKUP(A43,[1]timesData!$B:$P,10,FALSE)</f>
        <v>14.1</v>
      </c>
      <c r="L42">
        <f>VLOOKUP(A43,[1]timesData!$B:$P,11,FALSE)</f>
        <v>0.36</v>
      </c>
      <c r="M42">
        <f>VLOOKUP(A43,[1]timesData!$B:$P,12,FALSE)</f>
        <v>2.4458333333333333</v>
      </c>
      <c r="N42">
        <f>VLOOKUP(A43,[1]timesData!$B:$P,13,FALSE)</f>
        <v>2011</v>
      </c>
      <c r="O42">
        <f>VLOOKUP(A42,[2]cwurData!$B:$P,14,FALSE)</f>
        <v>61</v>
      </c>
      <c r="P42">
        <f>VLOOKUP(A42,[2]cwurData!$B:$N, 3, FALSE)</f>
        <v>3</v>
      </c>
      <c r="Q42">
        <f>VLOOKUP(A42,[2]cwurData!$B:$N, 4, FALSE)</f>
        <v>47</v>
      </c>
      <c r="R42">
        <f>VLOOKUP(A42,[2]cwurData!$B:$N, 5, FALSE)</f>
        <v>3</v>
      </c>
      <c r="S42">
        <f>VLOOKUP(A42,[2]cwurData!$B:$N, 6, FALSE)</f>
        <v>101</v>
      </c>
      <c r="T42">
        <f>VLOOKUP(A42,[2]cwurData!$B:$N, 7, FALSE)</f>
        <v>101</v>
      </c>
      <c r="U42">
        <f>VLOOKUP(A42,[2]cwurData!$B:$N, 8, FALSE)</f>
        <v>101</v>
      </c>
      <c r="V42">
        <f>VLOOKUP(A42,[2]cwurData!$B:$N, 9, FALSE)</f>
        <v>101</v>
      </c>
      <c r="W42">
        <f>VLOOKUP(A42,[2]cwurData!$B:$N, 10, FALSE)</f>
        <v>0</v>
      </c>
      <c r="X42">
        <f>VLOOKUP(A42,[2]cwurData!$B:$N, 11, FALSE)</f>
        <v>101</v>
      </c>
      <c r="Y42">
        <f>VLOOKUP(A42,[2]cwurData!$B:$N, 12, FALSE)</f>
        <v>48.33</v>
      </c>
      <c r="Z42">
        <f>VLOOKUP(A42,[2]cwurData!$B:$N, 13, FALSE)</f>
        <v>2012</v>
      </c>
    </row>
    <row r="43" spans="1:26" x14ac:dyDescent="0.3">
      <c r="A43" t="s">
        <v>40</v>
      </c>
      <c r="B43" t="str">
        <f>IFERROR(VLOOKUP(A43,[1]timesData!$B:$P,2,FALSE),VLOOKUP(A43,[2]cwurData!$B:$P,2,FALSE))</f>
        <v>United Kingdom</v>
      </c>
      <c r="C43">
        <f>VLOOKUP(A43,[1]timesData!$B:$P,3,FALSE)</f>
        <v>40</v>
      </c>
      <c r="D43">
        <f>VLOOKUP(A44,[1]timesData!$B:$P,3,FALSE)</f>
        <v>41</v>
      </c>
      <c r="E43">
        <f>VLOOKUP(A44,[1]timesData!$B:$P,4,FALSE)</f>
        <v>97.4</v>
      </c>
      <c r="F43">
        <f>VLOOKUP(A44,[1]timesData!$B:$P,5,FALSE)</f>
        <v>51.8</v>
      </c>
      <c r="G43">
        <f>VLOOKUP(A44,[1]timesData!$B:$P,6,FALSE)</f>
        <v>98.2</v>
      </c>
      <c r="H43">
        <f>VLOOKUP(A44,[1]timesData!$B:$P,7,FALSE)</f>
        <v>64.099999999999994</v>
      </c>
      <c r="I43">
        <f>VLOOKUP(A44,[1]timesData!$B:$P,8,FALSE)</f>
        <v>69</v>
      </c>
      <c r="J43">
        <f>VLOOKUP(A44,[1]timesData!$B:$P,9,FALSE)</f>
        <v>11385</v>
      </c>
      <c r="K43">
        <f>VLOOKUP(A44,[1]timesData!$B:$P,10,FALSE)</f>
        <v>23.8</v>
      </c>
      <c r="L43">
        <f>VLOOKUP(A44,[1]timesData!$B:$P,11,FALSE)</f>
        <v>0.36</v>
      </c>
      <c r="M43">
        <f>VLOOKUP(A44,[1]timesData!$B:$P,12,FALSE)</f>
        <v>0</v>
      </c>
      <c r="N43">
        <f>VLOOKUP(A44,[1]timesData!$B:$P,13,FALSE)</f>
        <v>2011</v>
      </c>
      <c r="O43">
        <f>VLOOKUP(A43,[2]cwurData!$B:$P,14,FALSE)</f>
        <v>60</v>
      </c>
      <c r="P43">
        <f>VLOOKUP(A43,[2]cwurData!$B:$N, 3, FALSE)</f>
        <v>1</v>
      </c>
      <c r="Q43">
        <f>VLOOKUP(A43,[2]cwurData!$B:$N, 4, FALSE)</f>
        <v>71</v>
      </c>
      <c r="R43">
        <f>VLOOKUP(A43,[2]cwurData!$B:$N, 5, FALSE)</f>
        <v>101</v>
      </c>
      <c r="S43">
        <f>VLOOKUP(A43,[2]cwurData!$B:$N, 6, FALSE)</f>
        <v>43</v>
      </c>
      <c r="T43">
        <f>VLOOKUP(A43,[2]cwurData!$B:$N, 7, FALSE)</f>
        <v>64</v>
      </c>
      <c r="U43">
        <f>VLOOKUP(A43,[2]cwurData!$B:$N, 8, FALSE)</f>
        <v>41</v>
      </c>
      <c r="V43">
        <f>VLOOKUP(A43,[2]cwurData!$B:$N, 9, FALSE)</f>
        <v>70</v>
      </c>
      <c r="W43">
        <f>VLOOKUP(A43,[2]cwurData!$B:$N, 10, FALSE)</f>
        <v>0</v>
      </c>
      <c r="X43">
        <f>VLOOKUP(A43,[2]cwurData!$B:$N, 11, FALSE)</f>
        <v>101</v>
      </c>
      <c r="Y43">
        <f>VLOOKUP(A43,[2]cwurData!$B:$N, 12, FALSE)</f>
        <v>48.43</v>
      </c>
      <c r="Z43">
        <f>VLOOKUP(A43,[2]cwurData!$B:$N, 13, FALSE)</f>
        <v>2012</v>
      </c>
    </row>
    <row r="44" spans="1:26" x14ac:dyDescent="0.3">
      <c r="A44" t="s">
        <v>41</v>
      </c>
      <c r="B44" t="str">
        <f>IFERROR(VLOOKUP(A44,[1]timesData!$B:$P,2,FALSE),VLOOKUP(A44,[2]cwurData!$B:$P,2,FALSE))</f>
        <v>Hong Kong</v>
      </c>
      <c r="C44">
        <f>VLOOKUP(A44,[1]timesData!$B:$P,3,FALSE)</f>
        <v>41</v>
      </c>
      <c r="D44">
        <f>VLOOKUP(A45,[1]timesData!$B:$P,3,FALSE)</f>
        <v>42</v>
      </c>
      <c r="E44">
        <f>VLOOKUP(A45,[1]timesData!$B:$P,4,FALSE)</f>
        <v>44.9</v>
      </c>
      <c r="F44">
        <f>VLOOKUP(A45,[1]timesData!$B:$P,5,FALSE)</f>
        <v>48.2</v>
      </c>
      <c r="G44">
        <f>VLOOKUP(A45,[1]timesData!$B:$P,6,FALSE)</f>
        <v>95.7</v>
      </c>
      <c r="H44">
        <f>VLOOKUP(A45,[1]timesData!$B:$P,7,FALSE)</f>
        <v>30.7</v>
      </c>
      <c r="I44">
        <f>VLOOKUP(A45,[1]timesData!$B:$P,8,FALSE)</f>
        <v>68.599999999999994</v>
      </c>
      <c r="J44">
        <f>VLOOKUP(A45,[1]timesData!$B:$P,9,FALSE)</f>
        <v>2400</v>
      </c>
      <c r="K44">
        <f>VLOOKUP(A45,[1]timesData!$B:$P,10,FALSE)</f>
        <v>7.9</v>
      </c>
      <c r="L44">
        <f>VLOOKUP(A45,[1]timesData!$B:$P,11,FALSE)</f>
        <v>0.2</v>
      </c>
      <c r="M44">
        <f>VLOOKUP(A45,[1]timesData!$B:$P,12,FALSE)</f>
        <v>1.9541666666666666</v>
      </c>
      <c r="N44">
        <f>VLOOKUP(A45,[1]timesData!$B:$P,13,FALSE)</f>
        <v>2011</v>
      </c>
      <c r="O44">
        <f>VLOOKUP(A44,[2]cwurData!$B:$P,14,FALSE)</f>
        <v>291</v>
      </c>
      <c r="P44">
        <f>VLOOKUP(A44,[2]cwurData!$B:$N, 3, FALSE)</f>
        <v>3</v>
      </c>
      <c r="Q44">
        <f>VLOOKUP(A44,[2]cwurData!$B:$N, 4, FALSE)</f>
        <v>355</v>
      </c>
      <c r="R44">
        <f>VLOOKUP(A44,[2]cwurData!$B:$N, 5, FALSE)</f>
        <v>279</v>
      </c>
      <c r="S44">
        <f>VLOOKUP(A44,[2]cwurData!$B:$N, 6, FALSE)</f>
        <v>210</v>
      </c>
      <c r="T44">
        <f>VLOOKUP(A44,[2]cwurData!$B:$N, 7, FALSE)</f>
        <v>256</v>
      </c>
      <c r="U44">
        <f>VLOOKUP(A44,[2]cwurData!$B:$N, 8, FALSE)</f>
        <v>469</v>
      </c>
      <c r="V44">
        <f>VLOOKUP(A44,[2]cwurData!$B:$N, 9, FALSE)</f>
        <v>363</v>
      </c>
      <c r="W44">
        <f>VLOOKUP(A44,[2]cwurData!$B:$N, 10, FALSE)</f>
        <v>295</v>
      </c>
      <c r="X44">
        <f>VLOOKUP(A44,[2]cwurData!$B:$N, 11, FALSE)</f>
        <v>128</v>
      </c>
      <c r="Y44">
        <f>VLOOKUP(A44,[2]cwurData!$B:$N, 12, FALSE)</f>
        <v>46.42</v>
      </c>
      <c r="Z44">
        <f>VLOOKUP(A44,[2]cwurData!$B:$N, 13, FALSE)</f>
        <v>2014</v>
      </c>
    </row>
    <row r="45" spans="1:26" x14ac:dyDescent="0.3">
      <c r="A45" t="s">
        <v>42</v>
      </c>
      <c r="B45" t="str">
        <f>IFERROR(VLOOKUP(A45,[1]timesData!$B:$P,2,FALSE),VLOOKUP(A45,[2]cwurData!$B:$P,2,FALSE))</f>
        <v>France</v>
      </c>
      <c r="C45">
        <f>VLOOKUP(A45,[1]timesData!$B:$P,3,FALSE)</f>
        <v>42</v>
      </c>
      <c r="D45">
        <f>VLOOKUP(A46,[1]timesData!$B:$P,3,FALSE)</f>
        <v>43</v>
      </c>
      <c r="E45" t="str">
        <f>VLOOKUP(A46,[1]timesData!$B:$P,4,FALSE)</f>
        <v>-</v>
      </c>
      <c r="F45">
        <f>VLOOKUP(A46,[1]timesData!$B:$P,5,FALSE)</f>
        <v>72.7</v>
      </c>
      <c r="G45">
        <f>VLOOKUP(A46,[1]timesData!$B:$P,6,FALSE)</f>
        <v>62.3</v>
      </c>
      <c r="H45">
        <f>VLOOKUP(A46,[1]timesData!$B:$P,7,FALSE)</f>
        <v>73.3</v>
      </c>
      <c r="I45">
        <f>VLOOKUP(A46,[1]timesData!$B:$P,8,FALSE)</f>
        <v>67</v>
      </c>
      <c r="J45">
        <f>VLOOKUP(A46,[1]timesData!$B:$P,9,FALSE)</f>
        <v>7774</v>
      </c>
      <c r="K45">
        <f>VLOOKUP(A46,[1]timesData!$B:$P,10,FALSE)</f>
        <v>11.5</v>
      </c>
      <c r="L45">
        <f>VLOOKUP(A46,[1]timesData!$B:$P,11,FALSE)</f>
        <v>0.22</v>
      </c>
      <c r="M45">
        <f>VLOOKUP(A46,[1]timesData!$B:$P,12,FALSE)</f>
        <v>2.9375</v>
      </c>
      <c r="N45">
        <f>VLOOKUP(A46,[1]timesData!$B:$P,13,FALSE)</f>
        <v>2011</v>
      </c>
      <c r="O45" t="e">
        <f>VLOOKUP(A45,[2]cwurData!$B:$P,14,FALSE)</f>
        <v>#N/A</v>
      </c>
      <c r="P45" t="e">
        <f>VLOOKUP(A45,[2]cwurData!$B:$N, 3, FALSE)</f>
        <v>#N/A</v>
      </c>
      <c r="Q45" t="e">
        <f>VLOOKUP(A45,[2]cwurData!$B:$N, 4, FALSE)</f>
        <v>#N/A</v>
      </c>
      <c r="R45" t="e">
        <f>VLOOKUP(A45,[2]cwurData!$B:$N, 5, FALSE)</f>
        <v>#N/A</v>
      </c>
      <c r="S45" t="e">
        <f>VLOOKUP(A45,[2]cwurData!$B:$N, 6, FALSE)</f>
        <v>#N/A</v>
      </c>
      <c r="T45" t="e">
        <f>VLOOKUP(A45,[2]cwurData!$B:$N, 7, FALSE)</f>
        <v>#N/A</v>
      </c>
      <c r="U45" t="e">
        <f>VLOOKUP(A45,[2]cwurData!$B:$N, 8, FALSE)</f>
        <v>#N/A</v>
      </c>
      <c r="V45" t="e">
        <f>VLOOKUP(A45,[2]cwurData!$B:$N, 9, FALSE)</f>
        <v>#N/A</v>
      </c>
      <c r="W45" t="e">
        <f>VLOOKUP(A45,[2]cwurData!$B:$N, 10, FALSE)</f>
        <v>#N/A</v>
      </c>
      <c r="X45" t="e">
        <f>VLOOKUP(A45,[2]cwurData!$B:$N, 11, FALSE)</f>
        <v>#N/A</v>
      </c>
      <c r="Y45" t="e">
        <f>VLOOKUP(A45,[2]cwurData!$B:$N, 12, FALSE)</f>
        <v>#N/A</v>
      </c>
      <c r="Z45" t="e">
        <f>VLOOKUP(A45,[2]cwurData!$B:$N, 13, FALSE)</f>
        <v>#N/A</v>
      </c>
    </row>
    <row r="46" spans="1:26" x14ac:dyDescent="0.3">
      <c r="A46" t="s">
        <v>44</v>
      </c>
      <c r="B46" t="str">
        <f>IFERROR(VLOOKUP(A46,[1]timesData!$B:$P,2,FALSE),VLOOKUP(A46,[2]cwurData!$B:$P,2,FALSE))</f>
        <v>Sweden</v>
      </c>
      <c r="C46">
        <f>VLOOKUP(A46,[1]timesData!$B:$P,3,FALSE)</f>
        <v>43</v>
      </c>
      <c r="D46">
        <f>VLOOKUP(A47,[1]timesData!$B:$P,3,FALSE)</f>
        <v>43</v>
      </c>
      <c r="E46">
        <f>VLOOKUP(A47,[1]timesData!$B:$P,4,FALSE)</f>
        <v>93.9</v>
      </c>
      <c r="F46">
        <f>VLOOKUP(A47,[1]timesData!$B:$P,5,FALSE)</f>
        <v>62.4</v>
      </c>
      <c r="G46">
        <f>VLOOKUP(A47,[1]timesData!$B:$P,6,FALSE)</f>
        <v>81</v>
      </c>
      <c r="H46" t="str">
        <f>VLOOKUP(A47,[1]timesData!$B:$P,7,FALSE)</f>
        <v>-</v>
      </c>
      <c r="I46">
        <f>VLOOKUP(A47,[1]timesData!$B:$P,8,FALSE)</f>
        <v>67</v>
      </c>
      <c r="J46">
        <f>VLOOKUP(A47,[1]timesData!$B:$P,9,FALSE)</f>
        <v>14604</v>
      </c>
      <c r="K46">
        <f>VLOOKUP(A47,[1]timesData!$B:$P,10,FALSE)</f>
        <v>19.2</v>
      </c>
      <c r="L46">
        <f>VLOOKUP(A47,[1]timesData!$B:$P,11,FALSE)</f>
        <v>0.35</v>
      </c>
      <c r="M46">
        <f>VLOOKUP(A47,[1]timesData!$B:$P,12,FALSE)</f>
        <v>2.2000000000000002</v>
      </c>
      <c r="N46">
        <f>VLOOKUP(A47,[1]timesData!$B:$P,13,FALSE)</f>
        <v>2011</v>
      </c>
      <c r="O46">
        <f>VLOOKUP(A46,[2]cwurData!$B:$P,14,FALSE)</f>
        <v>70</v>
      </c>
      <c r="P46">
        <f>VLOOKUP(A46,[2]cwurData!$B:$N, 3, FALSE)</f>
        <v>1</v>
      </c>
      <c r="Q46">
        <f>VLOOKUP(A46,[2]cwurData!$B:$N, 4, FALSE)</f>
        <v>51</v>
      </c>
      <c r="R46">
        <f>VLOOKUP(A46,[2]cwurData!$B:$N, 5, FALSE)</f>
        <v>101</v>
      </c>
      <c r="S46">
        <f>VLOOKUP(A46,[2]cwurData!$B:$N, 6, FALSE)</f>
        <v>42</v>
      </c>
      <c r="T46">
        <f>VLOOKUP(A46,[2]cwurData!$B:$N, 7, FALSE)</f>
        <v>84</v>
      </c>
      <c r="U46">
        <f>VLOOKUP(A46,[2]cwurData!$B:$N, 8, FALSE)</f>
        <v>49</v>
      </c>
      <c r="V46">
        <f>VLOOKUP(A46,[2]cwurData!$B:$N, 9, FALSE)</f>
        <v>95</v>
      </c>
      <c r="W46">
        <f>VLOOKUP(A46,[2]cwurData!$B:$N, 10, FALSE)</f>
        <v>0</v>
      </c>
      <c r="X46">
        <f>VLOOKUP(A46,[2]cwurData!$B:$N, 11, FALSE)</f>
        <v>101</v>
      </c>
      <c r="Y46">
        <f>VLOOKUP(A46,[2]cwurData!$B:$N, 12, FALSE)</f>
        <v>47.61</v>
      </c>
      <c r="Z46">
        <f>VLOOKUP(A46,[2]cwurData!$B:$N, 13, FALSE)</f>
        <v>2012</v>
      </c>
    </row>
    <row r="47" spans="1:26" x14ac:dyDescent="0.3">
      <c r="A47" t="s">
        <v>43</v>
      </c>
      <c r="B47" t="str">
        <f>IFERROR(VLOOKUP(A47,[1]timesData!$B:$P,2,FALSE),VLOOKUP(A47,[2]cwurData!$B:$P,2,FALSE))</f>
        <v>Australia</v>
      </c>
      <c r="C47">
        <f>VLOOKUP(A47,[1]timesData!$B:$P,3,FALSE)</f>
        <v>43</v>
      </c>
      <c r="D47">
        <f>VLOOKUP(A48,[1]timesData!$B:$P,3,FALSE)</f>
        <v>43</v>
      </c>
      <c r="E47">
        <f>VLOOKUP(A48,[1]timesData!$B:$P,4,FALSE)</f>
        <v>44.5</v>
      </c>
      <c r="F47">
        <f>VLOOKUP(A48,[1]timesData!$B:$P,5,FALSE)</f>
        <v>55.9</v>
      </c>
      <c r="G47">
        <f>VLOOKUP(A48,[1]timesData!$B:$P,6,FALSE)</f>
        <v>92.5</v>
      </c>
      <c r="H47">
        <f>VLOOKUP(A48,[1]timesData!$B:$P,7,FALSE)</f>
        <v>31.7</v>
      </c>
      <c r="I47">
        <f>VLOOKUP(A48,[1]timesData!$B:$P,8,FALSE)</f>
        <v>67</v>
      </c>
      <c r="J47">
        <f>VLOOKUP(A48,[1]timesData!$B:$P,9,FALSE)</f>
        <v>25581</v>
      </c>
      <c r="K47">
        <f>VLOOKUP(A48,[1]timesData!$B:$P,10,FALSE)</f>
        <v>25.6</v>
      </c>
      <c r="L47">
        <f>VLOOKUP(A48,[1]timesData!$B:$P,11,FALSE)</f>
        <v>0.12</v>
      </c>
      <c r="M47">
        <f>VLOOKUP(A48,[1]timesData!$B:$P,12,FALSE)</f>
        <v>2.1590277777777778</v>
      </c>
      <c r="N47">
        <f>VLOOKUP(A48,[1]timesData!$B:$P,13,FALSE)</f>
        <v>2011</v>
      </c>
      <c r="O47">
        <f>VLOOKUP(A47,[2]cwurData!$B:$P,14,FALSE)</f>
        <v>96</v>
      </c>
      <c r="P47">
        <f>VLOOKUP(A47,[2]cwurData!$B:$N, 3, FALSE)</f>
        <v>2</v>
      </c>
      <c r="Q47">
        <f>VLOOKUP(A47,[2]cwurData!$B:$N, 4, FALSE)</f>
        <v>101</v>
      </c>
      <c r="R47">
        <f>VLOOKUP(A47,[2]cwurData!$B:$N, 5, FALSE)</f>
        <v>101</v>
      </c>
      <c r="S47">
        <f>VLOOKUP(A47,[2]cwurData!$B:$N, 6, FALSE)</f>
        <v>43</v>
      </c>
      <c r="T47">
        <f>VLOOKUP(A47,[2]cwurData!$B:$N, 7, FALSE)</f>
        <v>101</v>
      </c>
      <c r="U47">
        <f>VLOOKUP(A47,[2]cwurData!$B:$N, 8, FALSE)</f>
        <v>101</v>
      </c>
      <c r="V47">
        <f>VLOOKUP(A47,[2]cwurData!$B:$N, 9, FALSE)</f>
        <v>101</v>
      </c>
      <c r="W47">
        <f>VLOOKUP(A47,[2]cwurData!$B:$N, 10, FALSE)</f>
        <v>0</v>
      </c>
      <c r="X47">
        <f>VLOOKUP(A47,[2]cwurData!$B:$N, 11, FALSE)</f>
        <v>101</v>
      </c>
      <c r="Y47">
        <f>VLOOKUP(A47,[2]cwurData!$B:$N, 12, FALSE)</f>
        <v>44.5</v>
      </c>
      <c r="Z47">
        <f>VLOOKUP(A47,[2]cwurData!$B:$N, 13, FALSE)</f>
        <v>2013</v>
      </c>
    </row>
    <row r="48" spans="1:26" x14ac:dyDescent="0.3">
      <c r="A48" t="s">
        <v>45</v>
      </c>
      <c r="B48" t="str">
        <f>IFERROR(VLOOKUP(A48,[1]timesData!$B:$P,2,FALSE),VLOOKUP(A48,[2]cwurData!$B:$P,2,FALSE))</f>
        <v>Germany</v>
      </c>
      <c r="C48">
        <f>VLOOKUP(A48,[1]timesData!$B:$P,3,FALSE)</f>
        <v>43</v>
      </c>
      <c r="D48">
        <f>VLOOKUP(A49,[1]timesData!$B:$P,3,FALSE)</f>
        <v>43</v>
      </c>
      <c r="E48">
        <f>VLOOKUP(A49,[1]timesData!$B:$P,4,FALSE)</f>
        <v>43.7</v>
      </c>
      <c r="F48">
        <f>VLOOKUP(A49,[1]timesData!$B:$P,5,FALSE)</f>
        <v>64.599999999999994</v>
      </c>
      <c r="G48">
        <f>VLOOKUP(A49,[1]timesData!$B:$P,6,FALSE)</f>
        <v>83.4</v>
      </c>
      <c r="H48" t="str">
        <f>VLOOKUP(A49,[1]timesData!$B:$P,7,FALSE)</f>
        <v>-</v>
      </c>
      <c r="I48">
        <f>VLOOKUP(A49,[1]timesData!$B:$P,8,FALSE)</f>
        <v>67</v>
      </c>
      <c r="J48">
        <f>VLOOKUP(A49,[1]timesData!$B:$P,9,FALSE)</f>
        <v>0</v>
      </c>
      <c r="K48">
        <f>VLOOKUP(A49,[1]timesData!$B:$P,10,FALSE)</f>
        <v>0</v>
      </c>
      <c r="L48">
        <f>VLOOKUP(A49,[1]timesData!$B:$P,11,FALSE)</f>
        <v>0</v>
      </c>
      <c r="M48">
        <f>VLOOKUP(A49,[1]timesData!$B:$P,12,FALSE)</f>
        <v>0</v>
      </c>
      <c r="N48">
        <f>VLOOKUP(A49,[1]timesData!$B:$P,13,FALSE)</f>
        <v>2011</v>
      </c>
      <c r="O48">
        <f>VLOOKUP(A48,[2]cwurData!$B:$P,14,FALSE)</f>
        <v>169</v>
      </c>
      <c r="P48">
        <f>VLOOKUP(A48,[2]cwurData!$B:$N, 3, FALSE)</f>
        <v>10</v>
      </c>
      <c r="Q48">
        <f>VLOOKUP(A48,[2]cwurData!$B:$N, 4, FALSE)</f>
        <v>39</v>
      </c>
      <c r="R48">
        <f>VLOOKUP(A48,[2]cwurData!$B:$N, 5, FALSE)</f>
        <v>174</v>
      </c>
      <c r="S48">
        <f>VLOOKUP(A48,[2]cwurData!$B:$N, 6, FALSE)</f>
        <v>172</v>
      </c>
      <c r="T48">
        <f>VLOOKUP(A48,[2]cwurData!$B:$N, 7, FALSE)</f>
        <v>172</v>
      </c>
      <c r="U48">
        <f>VLOOKUP(A48,[2]cwurData!$B:$N, 8, FALSE)</f>
        <v>152</v>
      </c>
      <c r="V48">
        <f>VLOOKUP(A48,[2]cwurData!$B:$N, 9, FALSE)</f>
        <v>310</v>
      </c>
      <c r="W48">
        <f>VLOOKUP(A48,[2]cwurData!$B:$N, 10, FALSE)</f>
        <v>196</v>
      </c>
      <c r="X48">
        <f>VLOOKUP(A48,[2]cwurData!$B:$N, 11, FALSE)</f>
        <v>373</v>
      </c>
      <c r="Y48">
        <f>VLOOKUP(A48,[2]cwurData!$B:$N, 12, FALSE)</f>
        <v>48.77</v>
      </c>
      <c r="Z48">
        <f>VLOOKUP(A48,[2]cwurData!$B:$N, 13, FALSE)</f>
        <v>2014</v>
      </c>
    </row>
    <row r="49" spans="1:26" x14ac:dyDescent="0.3">
      <c r="A49" t="s">
        <v>46</v>
      </c>
      <c r="B49" t="str">
        <f>IFERROR(VLOOKUP(A49,[1]timesData!$B:$P,2,FALSE),VLOOKUP(A49,[2]cwurData!$B:$P,2,FALSE))</f>
        <v>United States of America</v>
      </c>
      <c r="C49">
        <f>VLOOKUP(A49,[1]timesData!$B:$P,3,FALSE)</f>
        <v>43</v>
      </c>
      <c r="D49">
        <f>VLOOKUP(A50,[1]timesData!$B:$P,3,FALSE)</f>
        <v>47</v>
      </c>
      <c r="E49">
        <f>VLOOKUP(A50,[1]timesData!$B:$P,4,FALSE)</f>
        <v>31.2</v>
      </c>
      <c r="F49">
        <f>VLOOKUP(A50,[1]timesData!$B:$P,5,FALSE)</f>
        <v>50.6</v>
      </c>
      <c r="G49">
        <f>VLOOKUP(A50,[1]timesData!$B:$P,6,FALSE)</f>
        <v>99.1</v>
      </c>
      <c r="H49">
        <f>VLOOKUP(A50,[1]timesData!$B:$P,7,FALSE)</f>
        <v>29.2</v>
      </c>
      <c r="I49">
        <f>VLOOKUP(A50,[1]timesData!$B:$P,8,FALSE)</f>
        <v>66.900000000000006</v>
      </c>
      <c r="J49">
        <f>VLOOKUP(A50,[1]timesData!$B:$P,9,FALSE)</f>
        <v>6333</v>
      </c>
      <c r="K49">
        <f>VLOOKUP(A50,[1]timesData!$B:$P,10,FALSE)</f>
        <v>9</v>
      </c>
      <c r="L49">
        <f>VLOOKUP(A50,[1]timesData!$B:$P,11,FALSE)</f>
        <v>0.26</v>
      </c>
      <c r="M49">
        <f>VLOOKUP(A50,[1]timesData!$B:$P,12,FALSE)</f>
        <v>1.8722222222222222</v>
      </c>
      <c r="N49">
        <f>VLOOKUP(A50,[1]timesData!$B:$P,13,FALSE)</f>
        <v>2011</v>
      </c>
      <c r="O49" t="e">
        <f>VLOOKUP(A49,[2]cwurData!$B:$P,14,FALSE)</f>
        <v>#N/A</v>
      </c>
      <c r="P49" t="e">
        <f>VLOOKUP(A49,[2]cwurData!$B:$N, 3, FALSE)</f>
        <v>#N/A</v>
      </c>
      <c r="Q49" t="e">
        <f>VLOOKUP(A49,[2]cwurData!$B:$N, 4, FALSE)</f>
        <v>#N/A</v>
      </c>
      <c r="R49" t="e">
        <f>VLOOKUP(A49,[2]cwurData!$B:$N, 5, FALSE)</f>
        <v>#N/A</v>
      </c>
      <c r="S49" t="e">
        <f>VLOOKUP(A49,[2]cwurData!$B:$N, 6, FALSE)</f>
        <v>#N/A</v>
      </c>
      <c r="T49" t="e">
        <f>VLOOKUP(A49,[2]cwurData!$B:$N, 7, FALSE)</f>
        <v>#N/A</v>
      </c>
      <c r="U49" t="e">
        <f>VLOOKUP(A49,[2]cwurData!$B:$N, 8, FALSE)</f>
        <v>#N/A</v>
      </c>
      <c r="V49" t="e">
        <f>VLOOKUP(A49,[2]cwurData!$B:$N, 9, FALSE)</f>
        <v>#N/A</v>
      </c>
      <c r="W49" t="e">
        <f>VLOOKUP(A49,[2]cwurData!$B:$N, 10, FALSE)</f>
        <v>#N/A</v>
      </c>
      <c r="X49" t="e">
        <f>VLOOKUP(A49,[2]cwurData!$B:$N, 11, FALSE)</f>
        <v>#N/A</v>
      </c>
      <c r="Y49" t="e">
        <f>VLOOKUP(A49,[2]cwurData!$B:$N, 12, FALSE)</f>
        <v>#N/A</v>
      </c>
      <c r="Z49" t="e">
        <f>VLOOKUP(A49,[2]cwurData!$B:$N, 13, FALSE)</f>
        <v>#N/A</v>
      </c>
    </row>
    <row r="50" spans="1:26" x14ac:dyDescent="0.3">
      <c r="A50" t="s">
        <v>47</v>
      </c>
      <c r="B50" t="str">
        <f>IFERROR(VLOOKUP(A50,[1]timesData!$B:$P,2,FALSE),VLOOKUP(A50,[2]cwurData!$B:$P,2,FALSE))</f>
        <v>United States of America</v>
      </c>
      <c r="C50">
        <f>VLOOKUP(A50,[1]timesData!$B:$P,3,FALSE)</f>
        <v>47</v>
      </c>
      <c r="D50">
        <f>VLOOKUP(A51,[1]timesData!$B:$P,3,FALSE)</f>
        <v>48</v>
      </c>
      <c r="E50">
        <f>VLOOKUP(A51,[1]timesData!$B:$P,4,FALSE)</f>
        <v>100</v>
      </c>
      <c r="F50">
        <f>VLOOKUP(A51,[1]timesData!$B:$P,5,FALSE)</f>
        <v>56.1</v>
      </c>
      <c r="G50">
        <f>VLOOKUP(A51,[1]timesData!$B:$P,6,FALSE)</f>
        <v>83.8</v>
      </c>
      <c r="H50">
        <f>VLOOKUP(A51,[1]timesData!$B:$P,7,FALSE)</f>
        <v>38</v>
      </c>
      <c r="I50">
        <f>VLOOKUP(A51,[1]timesData!$B:$P,8,FALSE)</f>
        <v>66.5</v>
      </c>
      <c r="J50">
        <f>VLOOKUP(A51,[1]timesData!$B:$P,9,FALSE)</f>
        <v>9666</v>
      </c>
      <c r="K50">
        <f>VLOOKUP(A51,[1]timesData!$B:$P,10,FALSE)</f>
        <v>10.5</v>
      </c>
      <c r="L50">
        <f>VLOOKUP(A51,[1]timesData!$B:$P,11,FALSE)</f>
        <v>0.54</v>
      </c>
      <c r="M50" t="str">
        <f>VLOOKUP(A51,[1]timesData!$B:$P,12,FALSE)</f>
        <v>27 : 73</v>
      </c>
      <c r="N50">
        <f>VLOOKUP(A51,[1]timesData!$B:$P,13,FALSE)</f>
        <v>2011</v>
      </c>
      <c r="O50">
        <f>VLOOKUP(A50,[2]cwurData!$B:$P,14,FALSE)</f>
        <v>57</v>
      </c>
      <c r="P50">
        <f>VLOOKUP(A50,[2]cwurData!$B:$N, 3, FALSE)</f>
        <v>41</v>
      </c>
      <c r="Q50">
        <f>VLOOKUP(A50,[2]cwurData!$B:$N, 4, FALSE)</f>
        <v>28</v>
      </c>
      <c r="R50">
        <f>VLOOKUP(A50,[2]cwurData!$B:$N, 5, FALSE)</f>
        <v>53</v>
      </c>
      <c r="S50">
        <f>VLOOKUP(A50,[2]cwurData!$B:$N, 6, FALSE)</f>
        <v>94</v>
      </c>
      <c r="T50">
        <f>VLOOKUP(A50,[2]cwurData!$B:$N, 7, FALSE)</f>
        <v>101</v>
      </c>
      <c r="U50">
        <f>VLOOKUP(A50,[2]cwurData!$B:$N, 8, FALSE)</f>
        <v>101</v>
      </c>
      <c r="V50">
        <f>VLOOKUP(A50,[2]cwurData!$B:$N, 9, FALSE)</f>
        <v>53</v>
      </c>
      <c r="W50">
        <f>VLOOKUP(A50,[2]cwurData!$B:$N, 10, FALSE)</f>
        <v>0</v>
      </c>
      <c r="X50">
        <f>VLOOKUP(A50,[2]cwurData!$B:$N, 11, FALSE)</f>
        <v>101</v>
      </c>
      <c r="Y50">
        <f>VLOOKUP(A50,[2]cwurData!$B:$N, 12, FALSE)</f>
        <v>48.76</v>
      </c>
      <c r="Z50">
        <f>VLOOKUP(A50,[2]cwurData!$B:$N, 13, FALSE)</f>
        <v>2012</v>
      </c>
    </row>
    <row r="51" spans="1:26" x14ac:dyDescent="0.3">
      <c r="A51" t="s">
        <v>48</v>
      </c>
      <c r="B51" t="str">
        <f>IFERROR(VLOOKUP(A51,[1]timesData!$B:$P,2,FALSE),VLOOKUP(A51,[2]cwurData!$B:$P,2,FALSE))</f>
        <v>Switzerland</v>
      </c>
      <c r="C51">
        <f>VLOOKUP(A51,[1]timesData!$B:$P,3,FALSE)</f>
        <v>48</v>
      </c>
      <c r="D51">
        <f>VLOOKUP(A52,[1]timesData!$B:$P,3,FALSE)</f>
        <v>49</v>
      </c>
      <c r="E51">
        <f>VLOOKUP(A52,[1]timesData!$B:$P,4,FALSE)</f>
        <v>66.3</v>
      </c>
      <c r="F51">
        <f>VLOOKUP(A52,[1]timesData!$B:$P,5,FALSE)</f>
        <v>54.7</v>
      </c>
      <c r="G51">
        <f>VLOOKUP(A52,[1]timesData!$B:$P,6,FALSE)</f>
        <v>91.6</v>
      </c>
      <c r="H51" t="str">
        <f>VLOOKUP(A52,[1]timesData!$B:$P,7,FALSE)</f>
        <v>-</v>
      </c>
      <c r="I51">
        <f>VLOOKUP(A52,[1]timesData!$B:$P,8,FALSE)</f>
        <v>66</v>
      </c>
      <c r="J51">
        <f>VLOOKUP(A52,[1]timesData!$B:$P,9,FALSE)</f>
        <v>26614</v>
      </c>
      <c r="K51">
        <f>VLOOKUP(A52,[1]timesData!$B:$P,10,FALSE)</f>
        <v>16.100000000000001</v>
      </c>
      <c r="L51">
        <f>VLOOKUP(A52,[1]timesData!$B:$P,11,FALSE)</f>
        <v>0.16</v>
      </c>
      <c r="M51">
        <f>VLOOKUP(A52,[1]timesData!$B:$P,12,FALSE)</f>
        <v>2.2000000000000002</v>
      </c>
      <c r="N51">
        <f>VLOOKUP(A52,[1]timesData!$B:$P,13,FALSE)</f>
        <v>2011</v>
      </c>
      <c r="O51" t="e">
        <f>VLOOKUP(A51,[2]cwurData!$B:$P,14,FALSE)</f>
        <v>#N/A</v>
      </c>
      <c r="P51" t="e">
        <f>VLOOKUP(A51,[2]cwurData!$B:$N, 3, FALSE)</f>
        <v>#N/A</v>
      </c>
      <c r="Q51" t="e">
        <f>VLOOKUP(A51,[2]cwurData!$B:$N, 4, FALSE)</f>
        <v>#N/A</v>
      </c>
      <c r="R51" t="e">
        <f>VLOOKUP(A51,[2]cwurData!$B:$N, 5, FALSE)</f>
        <v>#N/A</v>
      </c>
      <c r="S51" t="e">
        <f>VLOOKUP(A51,[2]cwurData!$B:$N, 6, FALSE)</f>
        <v>#N/A</v>
      </c>
      <c r="T51" t="e">
        <f>VLOOKUP(A51,[2]cwurData!$B:$N, 7, FALSE)</f>
        <v>#N/A</v>
      </c>
      <c r="U51" t="e">
        <f>VLOOKUP(A51,[2]cwurData!$B:$N, 8, FALSE)</f>
        <v>#N/A</v>
      </c>
      <c r="V51" t="e">
        <f>VLOOKUP(A51,[2]cwurData!$B:$N, 9, FALSE)</f>
        <v>#N/A</v>
      </c>
      <c r="W51" t="e">
        <f>VLOOKUP(A51,[2]cwurData!$B:$N, 10, FALSE)</f>
        <v>#N/A</v>
      </c>
      <c r="X51" t="e">
        <f>VLOOKUP(A51,[2]cwurData!$B:$N, 11, FALSE)</f>
        <v>#N/A</v>
      </c>
      <c r="Y51" t="e">
        <f>VLOOKUP(A51,[2]cwurData!$B:$N, 12, FALSE)</f>
        <v>#N/A</v>
      </c>
      <c r="Z51" t="e">
        <f>VLOOKUP(A51,[2]cwurData!$B:$N, 13, FALSE)</f>
        <v>#N/A</v>
      </c>
    </row>
    <row r="52" spans="1:26" x14ac:dyDescent="0.3">
      <c r="A52" t="s">
        <v>49</v>
      </c>
      <c r="B52" t="str">
        <f>IFERROR(VLOOKUP(A52,[1]timesData!$B:$P,2,FALSE),VLOOKUP(A52,[2]cwurData!$B:$P,2,FALSE))</f>
        <v>United States of America</v>
      </c>
      <c r="C52">
        <f>VLOOKUP(A52,[1]timesData!$B:$P,3,FALSE)</f>
        <v>49</v>
      </c>
      <c r="D52">
        <f>VLOOKUP(A53,[1]timesData!$B:$P,3,FALSE)</f>
        <v>49</v>
      </c>
      <c r="E52" t="str">
        <f>VLOOKUP(A53,[1]timesData!$B:$P,4,FALSE)</f>
        <v>-</v>
      </c>
      <c r="F52">
        <f>VLOOKUP(A53,[1]timesData!$B:$P,5,FALSE)</f>
        <v>48.6</v>
      </c>
      <c r="G52">
        <f>VLOOKUP(A53,[1]timesData!$B:$P,6,FALSE)</f>
        <v>92.7</v>
      </c>
      <c r="H52">
        <f>VLOOKUP(A53,[1]timesData!$B:$P,7,FALSE)</f>
        <v>30.3</v>
      </c>
      <c r="I52">
        <f>VLOOKUP(A53,[1]timesData!$B:$P,8,FALSE)</f>
        <v>66</v>
      </c>
      <c r="J52">
        <f>VLOOKUP(A53,[1]timesData!$B:$P,9,FALSE)</f>
        <v>14290</v>
      </c>
      <c r="K52">
        <f>VLOOKUP(A53,[1]timesData!$B:$P,10,FALSE)</f>
        <v>7.9</v>
      </c>
      <c r="L52">
        <f>VLOOKUP(A53,[1]timesData!$B:$P,11,FALSE)</f>
        <v>0.02</v>
      </c>
      <c r="M52">
        <f>VLOOKUP(A53,[1]timesData!$B:$P,12,FALSE)</f>
        <v>0</v>
      </c>
      <c r="N52">
        <f>VLOOKUP(A53,[1]timesData!$B:$P,13,FALSE)</f>
        <v>2011</v>
      </c>
      <c r="O52">
        <f>VLOOKUP(A52,[2]cwurData!$B:$P,14,FALSE)</f>
        <v>47</v>
      </c>
      <c r="P52">
        <f>VLOOKUP(A52,[2]cwurData!$B:$N, 3, FALSE)</f>
        <v>35</v>
      </c>
      <c r="Q52">
        <f>VLOOKUP(A52,[2]cwurData!$B:$N, 4, FALSE)</f>
        <v>101</v>
      </c>
      <c r="R52">
        <f>VLOOKUP(A52,[2]cwurData!$B:$N, 5, FALSE)</f>
        <v>101</v>
      </c>
      <c r="S52">
        <f>VLOOKUP(A52,[2]cwurData!$B:$N, 6, FALSE)</f>
        <v>38</v>
      </c>
      <c r="T52">
        <f>VLOOKUP(A52,[2]cwurData!$B:$N, 7, FALSE)</f>
        <v>59</v>
      </c>
      <c r="U52">
        <f>VLOOKUP(A52,[2]cwurData!$B:$N, 8, FALSE)</f>
        <v>57</v>
      </c>
      <c r="V52">
        <f>VLOOKUP(A52,[2]cwurData!$B:$N, 9, FALSE)</f>
        <v>52</v>
      </c>
      <c r="W52">
        <f>VLOOKUP(A52,[2]cwurData!$B:$N, 10, FALSE)</f>
        <v>0</v>
      </c>
      <c r="X52">
        <f>VLOOKUP(A52,[2]cwurData!$B:$N, 11, FALSE)</f>
        <v>65</v>
      </c>
      <c r="Y52">
        <f>VLOOKUP(A52,[2]cwurData!$B:$N, 12, FALSE)</f>
        <v>50.64</v>
      </c>
      <c r="Z52">
        <f>VLOOKUP(A52,[2]cwurData!$B:$N, 13, FALSE)</f>
        <v>2012</v>
      </c>
    </row>
    <row r="53" spans="1:26" x14ac:dyDescent="0.3">
      <c r="A53" t="s">
        <v>50</v>
      </c>
      <c r="B53" t="str">
        <f>IFERROR(VLOOKUP(A53,[1]timesData!$B:$P,2,FALSE),VLOOKUP(A53,[2]cwurData!$B:$P,2,FALSE))</f>
        <v>China</v>
      </c>
      <c r="C53">
        <f>VLOOKUP(A53,[1]timesData!$B:$P,3,FALSE)</f>
        <v>49</v>
      </c>
      <c r="D53">
        <f>VLOOKUP(A54,[1]timesData!$B:$P,3,FALSE)</f>
        <v>51</v>
      </c>
      <c r="E53">
        <f>VLOOKUP(A54,[1]timesData!$B:$P,4,FALSE)</f>
        <v>22.1</v>
      </c>
      <c r="F53">
        <f>VLOOKUP(A54,[1]timesData!$B:$P,5,FALSE)</f>
        <v>59.5</v>
      </c>
      <c r="G53">
        <f>VLOOKUP(A54,[1]timesData!$B:$P,6,FALSE)</f>
        <v>78.099999999999994</v>
      </c>
      <c r="H53">
        <f>VLOOKUP(A54,[1]timesData!$B:$P,7,FALSE)</f>
        <v>84.2</v>
      </c>
      <c r="I53">
        <f>VLOOKUP(A54,[1]timesData!$B:$P,8,FALSE)</f>
        <v>65.900000000000006</v>
      </c>
      <c r="J53">
        <f>VLOOKUP(A54,[1]timesData!$B:$P,9,FALSE)</f>
        <v>12161</v>
      </c>
      <c r="K53">
        <f>VLOOKUP(A54,[1]timesData!$B:$P,10,FALSE)</f>
        <v>3.6</v>
      </c>
      <c r="L53">
        <f>VLOOKUP(A54,[1]timesData!$B:$P,11,FALSE)</f>
        <v>0.1</v>
      </c>
      <c r="M53">
        <f>VLOOKUP(A54,[1]timesData!$B:$P,12,FALSE)</f>
        <v>2.2000000000000002</v>
      </c>
      <c r="N53">
        <f>VLOOKUP(A54,[1]timesData!$B:$P,13,FALSE)</f>
        <v>2011</v>
      </c>
      <c r="O53">
        <f>VLOOKUP(A53,[2]cwurData!$B:$P,14,FALSE)</f>
        <v>270</v>
      </c>
      <c r="P53">
        <f>VLOOKUP(A53,[2]cwurData!$B:$N, 3, FALSE)</f>
        <v>8</v>
      </c>
      <c r="Q53">
        <f>VLOOKUP(A53,[2]cwurData!$B:$N, 4, FALSE)</f>
        <v>355</v>
      </c>
      <c r="R53">
        <f>VLOOKUP(A53,[2]cwurData!$B:$N, 5, FALSE)</f>
        <v>238</v>
      </c>
      <c r="S53">
        <f>VLOOKUP(A53,[2]cwurData!$B:$N, 6, FALSE)</f>
        <v>210</v>
      </c>
      <c r="T53">
        <f>VLOOKUP(A53,[2]cwurData!$B:$N, 7, FALSE)</f>
        <v>144</v>
      </c>
      <c r="U53">
        <f>VLOOKUP(A53,[2]cwurData!$B:$N, 8, FALSE)</f>
        <v>275</v>
      </c>
      <c r="V53">
        <f>VLOOKUP(A53,[2]cwurData!$B:$N, 9, FALSE)</f>
        <v>363</v>
      </c>
      <c r="W53">
        <f>VLOOKUP(A53,[2]cwurData!$B:$N, 10, FALSE)</f>
        <v>266</v>
      </c>
      <c r="X53">
        <f>VLOOKUP(A53,[2]cwurData!$B:$N, 11, FALSE)</f>
        <v>481</v>
      </c>
      <c r="Y53">
        <f>VLOOKUP(A53,[2]cwurData!$B:$N, 12, FALSE)</f>
        <v>46.75</v>
      </c>
      <c r="Z53">
        <f>VLOOKUP(A53,[2]cwurData!$B:$N, 13, FALSE)</f>
        <v>2014</v>
      </c>
    </row>
    <row r="54" spans="1:26" x14ac:dyDescent="0.3">
      <c r="A54" t="s">
        <v>51</v>
      </c>
      <c r="B54" t="str">
        <f>IFERROR(VLOOKUP(A54,[1]timesData!$B:$P,2,FALSE),VLOOKUP(A54,[2]cwurData!$B:$P,2,FALSE))</f>
        <v>United States of America</v>
      </c>
      <c r="C54">
        <f>VLOOKUP(A54,[1]timesData!$B:$P,3,FALSE)</f>
        <v>51</v>
      </c>
      <c r="D54">
        <f>VLOOKUP(A55,[1]timesData!$B:$P,3,FALSE)</f>
        <v>52</v>
      </c>
      <c r="E54">
        <f>VLOOKUP(A55,[1]timesData!$B:$P,4,FALSE)</f>
        <v>23</v>
      </c>
      <c r="F54">
        <f>VLOOKUP(A55,[1]timesData!$B:$P,5,FALSE)</f>
        <v>69.099999999999994</v>
      </c>
      <c r="G54">
        <f>VLOOKUP(A55,[1]timesData!$B:$P,6,FALSE)</f>
        <v>76.400000000000006</v>
      </c>
      <c r="H54" t="str">
        <f>VLOOKUP(A55,[1]timesData!$B:$P,7,FALSE)</f>
        <v>-</v>
      </c>
      <c r="I54">
        <f>VLOOKUP(A55,[1]timesData!$B:$P,8,FALSE)</f>
        <v>65.599999999999994</v>
      </c>
      <c r="J54">
        <f>VLOOKUP(A55,[1]timesData!$B:$P,9,FALSE)</f>
        <v>46825</v>
      </c>
      <c r="K54">
        <f>VLOOKUP(A55,[1]timesData!$B:$P,10,FALSE)</f>
        <v>18</v>
      </c>
      <c r="L54">
        <f>VLOOKUP(A55,[1]timesData!$B:$P,11,FALSE)</f>
        <v>0.13</v>
      </c>
      <c r="M54">
        <f>VLOOKUP(A55,[1]timesData!$B:$P,12,FALSE)</f>
        <v>2.2000000000000002</v>
      </c>
      <c r="N54">
        <f>VLOOKUP(A55,[1]timesData!$B:$P,13,FALSE)</f>
        <v>2011</v>
      </c>
      <c r="O54">
        <f>VLOOKUP(A54,[2]cwurData!$B:$P,14,FALSE)</f>
        <v>59</v>
      </c>
      <c r="P54">
        <f>VLOOKUP(A54,[2]cwurData!$B:$N, 3, FALSE)</f>
        <v>43</v>
      </c>
      <c r="Q54">
        <f>VLOOKUP(A54,[2]cwurData!$B:$N, 4, FALSE)</f>
        <v>80</v>
      </c>
      <c r="R54">
        <f>VLOOKUP(A54,[2]cwurData!$B:$N, 5, FALSE)</f>
        <v>72</v>
      </c>
      <c r="S54">
        <f>VLOOKUP(A54,[2]cwurData!$B:$N, 6, FALSE)</f>
        <v>101</v>
      </c>
      <c r="T54">
        <f>VLOOKUP(A54,[2]cwurData!$B:$N, 7, FALSE)</f>
        <v>50</v>
      </c>
      <c r="U54">
        <f>VLOOKUP(A54,[2]cwurData!$B:$N, 8, FALSE)</f>
        <v>35</v>
      </c>
      <c r="V54">
        <f>VLOOKUP(A54,[2]cwurData!$B:$N, 9, FALSE)</f>
        <v>49</v>
      </c>
      <c r="W54">
        <f>VLOOKUP(A54,[2]cwurData!$B:$N, 10, FALSE)</f>
        <v>0</v>
      </c>
      <c r="X54">
        <f>VLOOKUP(A54,[2]cwurData!$B:$N, 11, FALSE)</f>
        <v>101</v>
      </c>
      <c r="Y54">
        <f>VLOOKUP(A54,[2]cwurData!$B:$N, 12, FALSE)</f>
        <v>48.44</v>
      </c>
      <c r="Z54">
        <f>VLOOKUP(A54,[2]cwurData!$B:$N, 13, FALSE)</f>
        <v>2012</v>
      </c>
    </row>
    <row r="55" spans="1:26" x14ac:dyDescent="0.3">
      <c r="A55" t="s">
        <v>52</v>
      </c>
      <c r="B55" t="str">
        <f>IFERROR(VLOOKUP(A55,[1]timesData!$B:$P,2,FALSE),VLOOKUP(A55,[2]cwurData!$B:$P,2,FALSE))</f>
        <v>United States of America</v>
      </c>
      <c r="C55">
        <f>VLOOKUP(A55,[1]timesData!$B:$P,3,FALSE)</f>
        <v>52</v>
      </c>
      <c r="D55">
        <f>VLOOKUP(A56,[1]timesData!$B:$P,3,FALSE)</f>
        <v>53</v>
      </c>
      <c r="E55">
        <f>VLOOKUP(A56,[1]timesData!$B:$P,4,FALSE)</f>
        <v>28.3</v>
      </c>
      <c r="F55">
        <f>VLOOKUP(A56,[1]timesData!$B:$P,5,FALSE)</f>
        <v>52.3</v>
      </c>
      <c r="G55">
        <f>VLOOKUP(A56,[1]timesData!$B:$P,6,FALSE)</f>
        <v>83.9</v>
      </c>
      <c r="H55" t="str">
        <f>VLOOKUP(A56,[1]timesData!$B:$P,7,FALSE)</f>
        <v>-</v>
      </c>
      <c r="I55">
        <f>VLOOKUP(A56,[1]timesData!$B:$P,8,FALSE)</f>
        <v>65.2</v>
      </c>
      <c r="J55">
        <f>VLOOKUP(A56,[1]timesData!$B:$P,9,FALSE)</f>
        <v>10410</v>
      </c>
      <c r="K55">
        <f>VLOOKUP(A56,[1]timesData!$B:$P,10,FALSE)</f>
        <v>10</v>
      </c>
      <c r="L55">
        <f>VLOOKUP(A56,[1]timesData!$B:$P,11,FALSE)</f>
        <v>0.14000000000000001</v>
      </c>
      <c r="M55">
        <f>VLOOKUP(A56,[1]timesData!$B:$P,12,FALSE)</f>
        <v>2.2819444444444446</v>
      </c>
      <c r="N55">
        <f>VLOOKUP(A56,[1]timesData!$B:$P,13,FALSE)</f>
        <v>2011</v>
      </c>
      <c r="O55" t="e">
        <f>VLOOKUP(A55,[2]cwurData!$B:$P,14,FALSE)</f>
        <v>#N/A</v>
      </c>
      <c r="P55" t="e">
        <f>VLOOKUP(A55,[2]cwurData!$B:$N, 3, FALSE)</f>
        <v>#N/A</v>
      </c>
      <c r="Q55" t="e">
        <f>VLOOKUP(A55,[2]cwurData!$B:$N, 4, FALSE)</f>
        <v>#N/A</v>
      </c>
      <c r="R55" t="e">
        <f>VLOOKUP(A55,[2]cwurData!$B:$N, 5, FALSE)</f>
        <v>#N/A</v>
      </c>
      <c r="S55" t="e">
        <f>VLOOKUP(A55,[2]cwurData!$B:$N, 6, FALSE)</f>
        <v>#N/A</v>
      </c>
      <c r="T55" t="e">
        <f>VLOOKUP(A55,[2]cwurData!$B:$N, 7, FALSE)</f>
        <v>#N/A</v>
      </c>
      <c r="U55" t="e">
        <f>VLOOKUP(A55,[2]cwurData!$B:$N, 8, FALSE)</f>
        <v>#N/A</v>
      </c>
      <c r="V55" t="e">
        <f>VLOOKUP(A55,[2]cwurData!$B:$N, 9, FALSE)</f>
        <v>#N/A</v>
      </c>
      <c r="W55" t="e">
        <f>VLOOKUP(A55,[2]cwurData!$B:$N, 10, FALSE)</f>
        <v>#N/A</v>
      </c>
      <c r="X55" t="e">
        <f>VLOOKUP(A55,[2]cwurData!$B:$N, 11, FALSE)</f>
        <v>#N/A</v>
      </c>
      <c r="Y55" t="e">
        <f>VLOOKUP(A55,[2]cwurData!$B:$N, 12, FALSE)</f>
        <v>#N/A</v>
      </c>
      <c r="Z55" t="e">
        <f>VLOOKUP(A55,[2]cwurData!$B:$N, 13, FALSE)</f>
        <v>#N/A</v>
      </c>
    </row>
    <row r="56" spans="1:26" x14ac:dyDescent="0.3">
      <c r="A56" t="s">
        <v>53</v>
      </c>
      <c r="B56" t="str">
        <f>IFERROR(VLOOKUP(A56,[1]timesData!$B:$P,2,FALSE),VLOOKUP(A56,[2]cwurData!$B:$P,2,FALSE))</f>
        <v>United States of America</v>
      </c>
      <c r="C56">
        <f>VLOOKUP(A56,[1]timesData!$B:$P,3,FALSE)</f>
        <v>53</v>
      </c>
      <c r="D56">
        <f>VLOOKUP(A57,[1]timesData!$B:$P,3,FALSE)</f>
        <v>54</v>
      </c>
      <c r="E56">
        <f>VLOOKUP(A57,[1]timesData!$B:$P,4,FALSE)</f>
        <v>60.5</v>
      </c>
      <c r="F56">
        <f>VLOOKUP(A57,[1]timesData!$B:$P,5,FALSE)</f>
        <v>70.7</v>
      </c>
      <c r="G56">
        <f>VLOOKUP(A57,[1]timesData!$B:$P,6,FALSE)</f>
        <v>68.8</v>
      </c>
      <c r="H56">
        <f>VLOOKUP(A57,[1]timesData!$B:$P,7,FALSE)</f>
        <v>48</v>
      </c>
      <c r="I56">
        <f>VLOOKUP(A57,[1]timesData!$B:$P,8,FALSE)</f>
        <v>65</v>
      </c>
      <c r="J56">
        <f>VLOOKUP(A57,[1]timesData!$B:$P,9,FALSE)</f>
        <v>35364</v>
      </c>
      <c r="K56">
        <f>VLOOKUP(A57,[1]timesData!$B:$P,10,FALSE)</f>
        <v>13.9</v>
      </c>
      <c r="L56">
        <f>VLOOKUP(A57,[1]timesData!$B:$P,11,FALSE)</f>
        <v>0.13</v>
      </c>
      <c r="M56">
        <f>VLOOKUP(A57,[1]timesData!$B:$P,12,FALSE)</f>
        <v>2.2819444444444446</v>
      </c>
      <c r="N56">
        <f>VLOOKUP(A57,[1]timesData!$B:$P,13,FALSE)</f>
        <v>2011</v>
      </c>
      <c r="O56">
        <f>VLOOKUP(A56,[2]cwurData!$B:$P,14,FALSE)</f>
        <v>86</v>
      </c>
      <c r="P56">
        <f>VLOOKUP(A56,[2]cwurData!$B:$N, 3, FALSE)</f>
        <v>55</v>
      </c>
      <c r="Q56">
        <f>VLOOKUP(A56,[2]cwurData!$B:$N, 4, FALSE)</f>
        <v>60</v>
      </c>
      <c r="R56">
        <f>VLOOKUP(A56,[2]cwurData!$B:$N, 5, FALSE)</f>
        <v>41</v>
      </c>
      <c r="S56">
        <f>VLOOKUP(A56,[2]cwurData!$B:$N, 6, FALSE)</f>
        <v>101</v>
      </c>
      <c r="T56">
        <f>VLOOKUP(A56,[2]cwurData!$B:$N, 7, FALSE)</f>
        <v>101</v>
      </c>
      <c r="U56">
        <f>VLOOKUP(A56,[2]cwurData!$B:$N, 8, FALSE)</f>
        <v>95</v>
      </c>
      <c r="V56">
        <f>VLOOKUP(A56,[2]cwurData!$B:$N, 9, FALSE)</f>
        <v>75</v>
      </c>
      <c r="W56">
        <f>VLOOKUP(A56,[2]cwurData!$B:$N, 10, FALSE)</f>
        <v>0</v>
      </c>
      <c r="X56">
        <f>VLOOKUP(A56,[2]cwurData!$B:$N, 11, FALSE)</f>
        <v>101</v>
      </c>
      <c r="Y56">
        <f>VLOOKUP(A56,[2]cwurData!$B:$N, 12, FALSE)</f>
        <v>44.91</v>
      </c>
      <c r="Z56">
        <f>VLOOKUP(A56,[2]cwurData!$B:$N, 13, FALSE)</f>
        <v>2012</v>
      </c>
    </row>
    <row r="57" spans="1:26" x14ac:dyDescent="0.3">
      <c r="A57" t="s">
        <v>54</v>
      </c>
      <c r="B57" t="str">
        <f>IFERROR(VLOOKUP(A57,[1]timesData!$B:$P,2,FALSE),VLOOKUP(A57,[2]cwurData!$B:$P,2,FALSE))</f>
        <v>United States of America</v>
      </c>
      <c r="C57">
        <f>VLOOKUP(A57,[1]timesData!$B:$P,3,FALSE)</f>
        <v>54</v>
      </c>
      <c r="D57">
        <f>VLOOKUP(A58,[1]timesData!$B:$P,3,FALSE)</f>
        <v>55</v>
      </c>
      <c r="E57">
        <f>VLOOKUP(A58,[1]timesData!$B:$P,4,FALSE)</f>
        <v>60.5</v>
      </c>
      <c r="F57">
        <f>VLOOKUP(A58,[1]timesData!$B:$P,5,FALSE)</f>
        <v>57</v>
      </c>
      <c r="G57">
        <f>VLOOKUP(A58,[1]timesData!$B:$P,6,FALSE)</f>
        <v>77.7</v>
      </c>
      <c r="H57" t="str">
        <f>VLOOKUP(A58,[1]timesData!$B:$P,7,FALSE)</f>
        <v>-</v>
      </c>
      <c r="I57">
        <f>VLOOKUP(A58,[1]timesData!$B:$P,8,FALSE)</f>
        <v>64.900000000000006</v>
      </c>
      <c r="J57">
        <f>VLOOKUP(A58,[1]timesData!$B:$P,9,FALSE)</f>
        <v>8653</v>
      </c>
      <c r="K57">
        <f>VLOOKUP(A58,[1]timesData!$B:$P,10,FALSE)</f>
        <v>10.1</v>
      </c>
      <c r="L57">
        <f>VLOOKUP(A58,[1]timesData!$B:$P,11,FALSE)</f>
        <v>0.19</v>
      </c>
      <c r="M57">
        <f>VLOOKUP(A58,[1]timesData!$B:$P,12,FALSE)</f>
        <v>0</v>
      </c>
      <c r="N57">
        <f>VLOOKUP(A58,[1]timesData!$B:$P,13,FALSE)</f>
        <v>2011</v>
      </c>
      <c r="O57">
        <f>VLOOKUP(A57,[2]cwurData!$B:$P,14,FALSE)</f>
        <v>45</v>
      </c>
      <c r="P57">
        <f>VLOOKUP(A57,[2]cwurData!$B:$N, 3, FALSE)</f>
        <v>33</v>
      </c>
      <c r="Q57">
        <f>VLOOKUP(A57,[2]cwurData!$B:$N, 4, FALSE)</f>
        <v>79</v>
      </c>
      <c r="R57">
        <f>VLOOKUP(A57,[2]cwurData!$B:$N, 5, FALSE)</f>
        <v>101</v>
      </c>
      <c r="S57">
        <f>VLOOKUP(A57,[2]cwurData!$B:$N, 6, FALSE)</f>
        <v>92</v>
      </c>
      <c r="T57">
        <f>VLOOKUP(A57,[2]cwurData!$B:$N, 7, FALSE)</f>
        <v>23</v>
      </c>
      <c r="U57">
        <f>VLOOKUP(A57,[2]cwurData!$B:$N, 8, FALSE)</f>
        <v>40</v>
      </c>
      <c r="V57">
        <f>VLOOKUP(A57,[2]cwurData!$B:$N, 9, FALSE)</f>
        <v>25</v>
      </c>
      <c r="W57">
        <f>VLOOKUP(A57,[2]cwurData!$B:$N, 10, FALSE)</f>
        <v>0</v>
      </c>
      <c r="X57">
        <f>VLOOKUP(A57,[2]cwurData!$B:$N, 11, FALSE)</f>
        <v>32</v>
      </c>
      <c r="Y57">
        <f>VLOOKUP(A57,[2]cwurData!$B:$N, 12, FALSE)</f>
        <v>51.06</v>
      </c>
      <c r="Z57">
        <f>VLOOKUP(A57,[2]cwurData!$B:$N, 13, FALSE)</f>
        <v>2012</v>
      </c>
    </row>
    <row r="58" spans="1:26" x14ac:dyDescent="0.3">
      <c r="A58" t="s">
        <v>55</v>
      </c>
      <c r="B58" t="str">
        <f>IFERROR(VLOOKUP(A58,[1]timesData!$B:$P,2,FALSE),VLOOKUP(A58,[2]cwurData!$B:$P,2,FALSE))</f>
        <v>United States of America</v>
      </c>
      <c r="C58">
        <f>VLOOKUP(A58,[1]timesData!$B:$P,3,FALSE)</f>
        <v>55</v>
      </c>
      <c r="D58">
        <f>VLOOKUP(A59,[1]timesData!$B:$P,3,FALSE)</f>
        <v>56</v>
      </c>
      <c r="E58">
        <f>VLOOKUP(A59,[1]timesData!$B:$P,4,FALSE)</f>
        <v>22.6</v>
      </c>
      <c r="F58">
        <f>VLOOKUP(A59,[1]timesData!$B:$P,5,FALSE)</f>
        <v>72.599999999999994</v>
      </c>
      <c r="G58">
        <f>VLOOKUP(A59,[1]timesData!$B:$P,6,FALSE)</f>
        <v>67.900000000000006</v>
      </c>
      <c r="H58">
        <f>VLOOKUP(A59,[1]timesData!$B:$P,7,FALSE)</f>
        <v>53.9</v>
      </c>
      <c r="I58">
        <f>VLOOKUP(A59,[1]timesData!$B:$P,8,FALSE)</f>
        <v>64.7</v>
      </c>
      <c r="J58">
        <f>VLOOKUP(A59,[1]timesData!$B:$P,9,FALSE)</f>
        <v>56959</v>
      </c>
      <c r="K58">
        <f>VLOOKUP(A59,[1]timesData!$B:$P,10,FALSE)</f>
        <v>13</v>
      </c>
      <c r="L58">
        <f>VLOOKUP(A59,[1]timesData!$B:$P,11,FALSE)</f>
        <v>0.11</v>
      </c>
      <c r="M58">
        <f>VLOOKUP(A59,[1]timesData!$B:$P,12,FALSE)</f>
        <v>2.0770833333333334</v>
      </c>
      <c r="N58">
        <f>VLOOKUP(A59,[1]timesData!$B:$P,13,FALSE)</f>
        <v>2011</v>
      </c>
      <c r="O58">
        <f>VLOOKUP(A58,[2]cwurData!$B:$P,14,FALSE)</f>
        <v>66</v>
      </c>
      <c r="P58">
        <f>VLOOKUP(A58,[2]cwurData!$B:$N, 3, FALSE)</f>
        <v>46</v>
      </c>
      <c r="Q58">
        <f>VLOOKUP(A58,[2]cwurData!$B:$N, 4, FALSE)</f>
        <v>49</v>
      </c>
      <c r="R58">
        <f>VLOOKUP(A58,[2]cwurData!$B:$N, 5, FALSE)</f>
        <v>37</v>
      </c>
      <c r="S58">
        <f>VLOOKUP(A58,[2]cwurData!$B:$N, 6, FALSE)</f>
        <v>65</v>
      </c>
      <c r="T58">
        <f>VLOOKUP(A58,[2]cwurData!$B:$N, 7, FALSE)</f>
        <v>101</v>
      </c>
      <c r="U58">
        <f>VLOOKUP(A58,[2]cwurData!$B:$N, 8, FALSE)</f>
        <v>73</v>
      </c>
      <c r="V58">
        <f>VLOOKUP(A58,[2]cwurData!$B:$N, 9, FALSE)</f>
        <v>92</v>
      </c>
      <c r="W58">
        <f>VLOOKUP(A58,[2]cwurData!$B:$N, 10, FALSE)</f>
        <v>0</v>
      </c>
      <c r="X58">
        <f>VLOOKUP(A58,[2]cwurData!$B:$N, 11, FALSE)</f>
        <v>101</v>
      </c>
      <c r="Y58">
        <f>VLOOKUP(A58,[2]cwurData!$B:$N, 12, FALSE)</f>
        <v>47.91</v>
      </c>
      <c r="Z58">
        <f>VLOOKUP(A58,[2]cwurData!$B:$N, 13, FALSE)</f>
        <v>2012</v>
      </c>
    </row>
    <row r="59" spans="1:26" x14ac:dyDescent="0.3">
      <c r="A59" t="s">
        <v>56</v>
      </c>
      <c r="B59" t="str">
        <f>IFERROR(VLOOKUP(A59,[1]timesData!$B:$P,2,FALSE),VLOOKUP(A59,[2]cwurData!$B:$P,2,FALSE))</f>
        <v>United States of America</v>
      </c>
      <c r="C59">
        <f>VLOOKUP(A59,[1]timesData!$B:$P,3,FALSE)</f>
        <v>56</v>
      </c>
      <c r="D59">
        <f>VLOOKUP(A60,[1]timesData!$B:$P,3,FALSE)</f>
        <v>57</v>
      </c>
      <c r="E59">
        <f>VLOOKUP(A60,[1]timesData!$B:$P,4,FALSE)</f>
        <v>18.399999999999999</v>
      </c>
      <c r="F59">
        <f>VLOOKUP(A60,[1]timesData!$B:$P,5,FALSE)</f>
        <v>77.7</v>
      </c>
      <c r="G59">
        <f>VLOOKUP(A60,[1]timesData!$B:$P,6,FALSE)</f>
        <v>46.3</v>
      </c>
      <c r="H59">
        <f>VLOOKUP(A60,[1]timesData!$B:$P,7,FALSE)</f>
        <v>67.099999999999994</v>
      </c>
      <c r="I59">
        <f>VLOOKUP(A60,[1]timesData!$B:$P,8,FALSE)</f>
        <v>64.599999999999994</v>
      </c>
      <c r="J59">
        <f>VLOOKUP(A60,[1]timesData!$B:$P,9,FALSE)</f>
        <v>22809</v>
      </c>
      <c r="K59">
        <f>VLOOKUP(A60,[1]timesData!$B:$P,10,FALSE)</f>
        <v>5.6</v>
      </c>
      <c r="L59">
        <f>VLOOKUP(A60,[1]timesData!$B:$P,11,FALSE)</f>
        <v>7.0000000000000007E-2</v>
      </c>
      <c r="M59">
        <f>VLOOKUP(A60,[1]timesData!$B:$P,12,FALSE)</f>
        <v>0</v>
      </c>
      <c r="N59">
        <f>VLOOKUP(A60,[1]timesData!$B:$P,13,FALSE)</f>
        <v>2011</v>
      </c>
      <c r="O59" t="e">
        <f>VLOOKUP(A59,[2]cwurData!$B:$P,14,FALSE)</f>
        <v>#N/A</v>
      </c>
      <c r="P59" t="e">
        <f>VLOOKUP(A59,[2]cwurData!$B:$N, 3, FALSE)</f>
        <v>#N/A</v>
      </c>
      <c r="Q59" t="e">
        <f>VLOOKUP(A59,[2]cwurData!$B:$N, 4, FALSE)</f>
        <v>#N/A</v>
      </c>
      <c r="R59" t="e">
        <f>VLOOKUP(A59,[2]cwurData!$B:$N, 5, FALSE)</f>
        <v>#N/A</v>
      </c>
      <c r="S59" t="e">
        <f>VLOOKUP(A59,[2]cwurData!$B:$N, 6, FALSE)</f>
        <v>#N/A</v>
      </c>
      <c r="T59" t="e">
        <f>VLOOKUP(A59,[2]cwurData!$B:$N, 7, FALSE)</f>
        <v>#N/A</v>
      </c>
      <c r="U59" t="e">
        <f>VLOOKUP(A59,[2]cwurData!$B:$N, 8, FALSE)</f>
        <v>#N/A</v>
      </c>
      <c r="V59" t="e">
        <f>VLOOKUP(A59,[2]cwurData!$B:$N, 9, FALSE)</f>
        <v>#N/A</v>
      </c>
      <c r="W59" t="e">
        <f>VLOOKUP(A59,[2]cwurData!$B:$N, 10, FALSE)</f>
        <v>#N/A</v>
      </c>
      <c r="X59" t="e">
        <f>VLOOKUP(A59,[2]cwurData!$B:$N, 11, FALSE)</f>
        <v>#N/A</v>
      </c>
      <c r="Y59" t="e">
        <f>VLOOKUP(A59,[2]cwurData!$B:$N, 12, FALSE)</f>
        <v>#N/A</v>
      </c>
      <c r="Z59" t="e">
        <f>VLOOKUP(A59,[2]cwurData!$B:$N, 13, FALSE)</f>
        <v>#N/A</v>
      </c>
    </row>
    <row r="60" spans="1:26" x14ac:dyDescent="0.3">
      <c r="A60" t="s">
        <v>57</v>
      </c>
      <c r="B60" t="str">
        <f>IFERROR(VLOOKUP(A60,[1]timesData!$B:$P,2,FALSE),VLOOKUP(A60,[2]cwurData!$B:$P,2,FALSE))</f>
        <v>Japan</v>
      </c>
      <c r="C60">
        <f>VLOOKUP(A60,[1]timesData!$B:$P,3,FALSE)</f>
        <v>57</v>
      </c>
      <c r="D60">
        <f>VLOOKUP(A61,[1]timesData!$B:$P,3,FALSE)</f>
        <v>58</v>
      </c>
      <c r="E60">
        <f>VLOOKUP(A61,[1]timesData!$B:$P,4,FALSE)</f>
        <v>43</v>
      </c>
      <c r="F60">
        <f>VLOOKUP(A61,[1]timesData!$B:$P,5,FALSE)</f>
        <v>66.599999999999994</v>
      </c>
      <c r="G60">
        <f>VLOOKUP(A61,[1]timesData!$B:$P,6,FALSE)</f>
        <v>52.7</v>
      </c>
      <c r="H60">
        <f>VLOOKUP(A61,[1]timesData!$B:$P,7,FALSE)</f>
        <v>97.8</v>
      </c>
      <c r="I60">
        <f>VLOOKUP(A61,[1]timesData!$B:$P,8,FALSE)</f>
        <v>64.2</v>
      </c>
      <c r="J60">
        <f>VLOOKUP(A61,[1]timesData!$B:$P,9,FALSE)</f>
        <v>39763</v>
      </c>
      <c r="K60">
        <f>VLOOKUP(A61,[1]timesData!$B:$P,10,FALSE)</f>
        <v>13.7</v>
      </c>
      <c r="L60">
        <f>VLOOKUP(A61,[1]timesData!$B:$P,11,FALSE)</f>
        <v>0.1</v>
      </c>
      <c r="M60" t="str">
        <f>VLOOKUP(A61,[1]timesData!$B:$P,12,FALSE)</f>
        <v>32 : 68</v>
      </c>
      <c r="N60">
        <f>VLOOKUP(A61,[1]timesData!$B:$P,13,FALSE)</f>
        <v>2011</v>
      </c>
      <c r="O60">
        <f>VLOOKUP(A60,[2]cwurData!$B:$P,14,FALSE)</f>
        <v>17</v>
      </c>
      <c r="P60">
        <f>VLOOKUP(A60,[2]cwurData!$B:$N, 3, FALSE)</f>
        <v>2</v>
      </c>
      <c r="Q60">
        <f>VLOOKUP(A60,[2]cwurData!$B:$N, 4, FALSE)</f>
        <v>42</v>
      </c>
      <c r="R60">
        <f>VLOOKUP(A60,[2]cwurData!$B:$N, 5, FALSE)</f>
        <v>38</v>
      </c>
      <c r="S60">
        <f>VLOOKUP(A60,[2]cwurData!$B:$N, 6, FALSE)</f>
        <v>19</v>
      </c>
      <c r="T60">
        <f>VLOOKUP(A60,[2]cwurData!$B:$N, 7, FALSE)</f>
        <v>25</v>
      </c>
      <c r="U60">
        <f>VLOOKUP(A60,[2]cwurData!$B:$N, 8, FALSE)</f>
        <v>36</v>
      </c>
      <c r="V60">
        <f>VLOOKUP(A60,[2]cwurData!$B:$N, 9, FALSE)</f>
        <v>43</v>
      </c>
      <c r="W60">
        <f>VLOOKUP(A60,[2]cwurData!$B:$N, 10, FALSE)</f>
        <v>0</v>
      </c>
      <c r="X60">
        <f>VLOOKUP(A60,[2]cwurData!$B:$N, 11, FALSE)</f>
        <v>23</v>
      </c>
      <c r="Y60">
        <f>VLOOKUP(A60,[2]cwurData!$B:$N, 12, FALSE)</f>
        <v>65.760000000000005</v>
      </c>
      <c r="Z60">
        <f>VLOOKUP(A60,[2]cwurData!$B:$N, 13, FALSE)</f>
        <v>2012</v>
      </c>
    </row>
    <row r="61" spans="1:26" x14ac:dyDescent="0.3">
      <c r="A61" t="s">
        <v>58</v>
      </c>
      <c r="B61" t="str">
        <f>IFERROR(VLOOKUP(A61,[1]timesData!$B:$P,2,FALSE),VLOOKUP(A61,[2]cwurData!$B:$P,2,FALSE))</f>
        <v>China</v>
      </c>
      <c r="C61">
        <f>VLOOKUP(A61,[1]timesData!$B:$P,3,FALSE)</f>
        <v>58</v>
      </c>
      <c r="D61">
        <f>VLOOKUP(A62,[1]timesData!$B:$P,3,FALSE)</f>
        <v>59</v>
      </c>
      <c r="E61">
        <f>VLOOKUP(A62,[1]timesData!$B:$P,4,FALSE)</f>
        <v>38.1</v>
      </c>
      <c r="F61">
        <f>VLOOKUP(A62,[1]timesData!$B:$P,5,FALSE)</f>
        <v>51.9</v>
      </c>
      <c r="G61">
        <f>VLOOKUP(A62,[1]timesData!$B:$P,6,FALSE)</f>
        <v>91.4</v>
      </c>
      <c r="H61">
        <f>VLOOKUP(A62,[1]timesData!$B:$P,7,FALSE)</f>
        <v>29.6</v>
      </c>
      <c r="I61">
        <f>VLOOKUP(A62,[1]timesData!$B:$P,8,FALSE)</f>
        <v>64</v>
      </c>
      <c r="J61">
        <f>VLOOKUP(A62,[1]timesData!$B:$P,9,FALSE)</f>
        <v>24789</v>
      </c>
      <c r="K61">
        <f>VLOOKUP(A62,[1]timesData!$B:$P,10,FALSE)</f>
        <v>8.6</v>
      </c>
      <c r="L61">
        <f>VLOOKUP(A62,[1]timesData!$B:$P,11,FALSE)</f>
        <v>0.17</v>
      </c>
      <c r="M61">
        <f>VLOOKUP(A62,[1]timesData!$B:$P,12,FALSE)</f>
        <v>2.4458333333333333</v>
      </c>
      <c r="N61">
        <f>VLOOKUP(A62,[1]timesData!$B:$P,13,FALSE)</f>
        <v>2011</v>
      </c>
      <c r="O61">
        <f>VLOOKUP(A61,[2]cwurData!$B:$P,14,FALSE)</f>
        <v>87</v>
      </c>
      <c r="P61">
        <f>VLOOKUP(A61,[2]cwurData!$B:$N, 3, FALSE)</f>
        <v>2</v>
      </c>
      <c r="Q61">
        <f>VLOOKUP(A61,[2]cwurData!$B:$N, 4, FALSE)</f>
        <v>294</v>
      </c>
      <c r="R61">
        <f>VLOOKUP(A61,[2]cwurData!$B:$N, 5, FALSE)</f>
        <v>63</v>
      </c>
      <c r="S61">
        <f>VLOOKUP(A61,[2]cwurData!$B:$N, 6, FALSE)</f>
        <v>210</v>
      </c>
      <c r="T61">
        <f>VLOOKUP(A61,[2]cwurData!$B:$N, 7, FALSE)</f>
        <v>79</v>
      </c>
      <c r="U61">
        <f>VLOOKUP(A61,[2]cwurData!$B:$N, 8, FALSE)</f>
        <v>192</v>
      </c>
      <c r="V61">
        <f>VLOOKUP(A61,[2]cwurData!$B:$N, 9, FALSE)</f>
        <v>134</v>
      </c>
      <c r="W61">
        <f>VLOOKUP(A61,[2]cwurData!$B:$N, 10, FALSE)</f>
        <v>162</v>
      </c>
      <c r="X61">
        <f>VLOOKUP(A61,[2]cwurData!$B:$N, 11, FALSE)</f>
        <v>16</v>
      </c>
      <c r="Y61">
        <f>VLOOKUP(A61,[2]cwurData!$B:$N, 12, FALSE)</f>
        <v>52.6</v>
      </c>
      <c r="Z61">
        <f>VLOOKUP(A61,[2]cwurData!$B:$N, 13, FALSE)</f>
        <v>2014</v>
      </c>
    </row>
    <row r="62" spans="1:26" x14ac:dyDescent="0.3">
      <c r="A62" t="s">
        <v>59</v>
      </c>
      <c r="B62" t="str">
        <f>IFERROR(VLOOKUP(A62,[1]timesData!$B:$P,2,FALSE),VLOOKUP(A62,[2]cwurData!$B:$P,2,FALSE))</f>
        <v>United States of America</v>
      </c>
      <c r="C62">
        <f>VLOOKUP(A62,[1]timesData!$B:$P,3,FALSE)</f>
        <v>59</v>
      </c>
      <c r="D62">
        <f>VLOOKUP(A63,[1]timesData!$B:$P,3,FALSE)</f>
        <v>60</v>
      </c>
      <c r="E62">
        <f>VLOOKUP(A63,[1]timesData!$B:$P,4,FALSE)</f>
        <v>31.8</v>
      </c>
      <c r="F62">
        <f>VLOOKUP(A63,[1]timesData!$B:$P,5,FALSE)</f>
        <v>50.7</v>
      </c>
      <c r="G62">
        <f>VLOOKUP(A63,[1]timesData!$B:$P,6,FALSE)</f>
        <v>82.9</v>
      </c>
      <c r="H62" t="str">
        <f>VLOOKUP(A63,[1]timesData!$B:$P,7,FALSE)</f>
        <v>-</v>
      </c>
      <c r="I62">
        <f>VLOOKUP(A63,[1]timesData!$B:$P,8,FALSE)</f>
        <v>63.9</v>
      </c>
      <c r="J62">
        <f>VLOOKUP(A63,[1]timesData!$B:$P,9,FALSE)</f>
        <v>42056</v>
      </c>
      <c r="K62">
        <f>VLOOKUP(A63,[1]timesData!$B:$P,10,FALSE)</f>
        <v>6.8</v>
      </c>
      <c r="L62">
        <f>VLOOKUP(A63,[1]timesData!$B:$P,11,FALSE)</f>
        <v>0.19</v>
      </c>
      <c r="M62">
        <f>VLOOKUP(A63,[1]timesData!$B:$P,12,FALSE)</f>
        <v>2.3229166666666665</v>
      </c>
      <c r="N62">
        <f>VLOOKUP(A63,[1]timesData!$B:$P,13,FALSE)</f>
        <v>2011</v>
      </c>
      <c r="O62">
        <f>VLOOKUP(A62,[2]cwurData!$B:$P,14,FALSE)</f>
        <v>62</v>
      </c>
      <c r="P62">
        <f>VLOOKUP(A62,[2]cwurData!$B:$N, 3, FALSE)</f>
        <v>44</v>
      </c>
      <c r="Q62">
        <f>VLOOKUP(A62,[2]cwurData!$B:$N, 4, FALSE)</f>
        <v>101</v>
      </c>
      <c r="R62">
        <f>VLOOKUP(A62,[2]cwurData!$B:$N, 5, FALSE)</f>
        <v>101</v>
      </c>
      <c r="S62">
        <f>VLOOKUP(A62,[2]cwurData!$B:$N, 6, FALSE)</f>
        <v>86</v>
      </c>
      <c r="T62">
        <f>VLOOKUP(A62,[2]cwurData!$B:$N, 7, FALSE)</f>
        <v>48</v>
      </c>
      <c r="U62">
        <f>VLOOKUP(A62,[2]cwurData!$B:$N, 8, FALSE)</f>
        <v>34</v>
      </c>
      <c r="V62">
        <f>VLOOKUP(A62,[2]cwurData!$B:$N, 9, FALSE)</f>
        <v>37</v>
      </c>
      <c r="W62">
        <f>VLOOKUP(A62,[2]cwurData!$B:$N, 10, FALSE)</f>
        <v>0</v>
      </c>
      <c r="X62">
        <f>VLOOKUP(A62,[2]cwurData!$B:$N, 11, FALSE)</f>
        <v>101</v>
      </c>
      <c r="Y62">
        <f>VLOOKUP(A62,[2]cwurData!$B:$N, 12, FALSE)</f>
        <v>48.31</v>
      </c>
      <c r="Z62">
        <f>VLOOKUP(A62,[2]cwurData!$B:$N, 13, FALSE)</f>
        <v>2012</v>
      </c>
    </row>
    <row r="63" spans="1:26" x14ac:dyDescent="0.3">
      <c r="A63" t="s">
        <v>60</v>
      </c>
      <c r="B63" t="str">
        <f>IFERROR(VLOOKUP(A63,[1]timesData!$B:$P,2,FALSE),VLOOKUP(A63,[2]cwurData!$B:$P,2,FALSE))</f>
        <v>United States of America</v>
      </c>
      <c r="C63">
        <f>VLOOKUP(A63,[1]timesData!$B:$P,3,FALSE)</f>
        <v>60</v>
      </c>
      <c r="D63">
        <f>VLOOKUP(A64,[1]timesData!$B:$P,3,FALSE)</f>
        <v>61</v>
      </c>
      <c r="E63">
        <f>VLOOKUP(A64,[1]timesData!$B:$P,4,FALSE)</f>
        <v>52.3</v>
      </c>
      <c r="F63">
        <f>VLOOKUP(A64,[1]timesData!$B:$P,5,FALSE)</f>
        <v>48.4</v>
      </c>
      <c r="G63">
        <f>VLOOKUP(A64,[1]timesData!$B:$P,6,FALSE)</f>
        <v>77.8</v>
      </c>
      <c r="H63" t="str">
        <f>VLOOKUP(A64,[1]timesData!$B:$P,7,FALSE)</f>
        <v>-</v>
      </c>
      <c r="I63">
        <f>VLOOKUP(A64,[1]timesData!$B:$P,8,FALSE)</f>
        <v>63</v>
      </c>
      <c r="J63">
        <f>VLOOKUP(A64,[1]timesData!$B:$P,9,FALSE)</f>
        <v>12338</v>
      </c>
      <c r="K63">
        <f>VLOOKUP(A64,[1]timesData!$B:$P,10,FALSE)</f>
        <v>4.5</v>
      </c>
      <c r="L63">
        <f>VLOOKUP(A64,[1]timesData!$B:$P,11,FALSE)</f>
        <v>0.18</v>
      </c>
      <c r="M63">
        <f>VLOOKUP(A64,[1]timesData!$B:$P,12,FALSE)</f>
        <v>2.3638888888888889</v>
      </c>
      <c r="N63">
        <f>VLOOKUP(A64,[1]timesData!$B:$P,13,FALSE)</f>
        <v>2011</v>
      </c>
      <c r="O63">
        <f>VLOOKUP(A63,[2]cwurData!$B:$P,14,FALSE)</f>
        <v>23</v>
      </c>
      <c r="P63">
        <f>VLOOKUP(A63,[2]cwurData!$B:$N, 3, FALSE)</f>
        <v>16</v>
      </c>
      <c r="Q63">
        <f>VLOOKUP(A63,[2]cwurData!$B:$N, 4, FALSE)</f>
        <v>89</v>
      </c>
      <c r="R63">
        <f>VLOOKUP(A63,[2]cwurData!$B:$N, 5, FALSE)</f>
        <v>75</v>
      </c>
      <c r="S63">
        <f>VLOOKUP(A63,[2]cwurData!$B:$N, 6, FALSE)</f>
        <v>17</v>
      </c>
      <c r="T63">
        <f>VLOOKUP(A63,[2]cwurData!$B:$N, 7, FALSE)</f>
        <v>42</v>
      </c>
      <c r="U63">
        <f>VLOOKUP(A63,[2]cwurData!$B:$N, 8, FALSE)</f>
        <v>24</v>
      </c>
      <c r="V63">
        <f>VLOOKUP(A63,[2]cwurData!$B:$N, 9, FALSE)</f>
        <v>34</v>
      </c>
      <c r="W63">
        <f>VLOOKUP(A63,[2]cwurData!$B:$N, 10, FALSE)</f>
        <v>0</v>
      </c>
      <c r="X63">
        <f>VLOOKUP(A63,[2]cwurData!$B:$N, 11, FALSE)</f>
        <v>62</v>
      </c>
      <c r="Y63">
        <f>VLOOKUP(A63,[2]cwurData!$B:$N, 12, FALSE)</f>
        <v>60.55</v>
      </c>
      <c r="Z63">
        <f>VLOOKUP(A63,[2]cwurData!$B:$N, 13, FALSE)</f>
        <v>2012</v>
      </c>
    </row>
    <row r="64" spans="1:26" x14ac:dyDescent="0.3">
      <c r="A64" t="s">
        <v>61</v>
      </c>
      <c r="B64" t="str">
        <f>IFERROR(VLOOKUP(A64,[1]timesData!$B:$P,2,FALSE),VLOOKUP(A64,[2]cwurData!$B:$P,2,FALSE))</f>
        <v>United States of America</v>
      </c>
      <c r="C64">
        <f>VLOOKUP(A64,[1]timesData!$B:$P,3,FALSE)</f>
        <v>61</v>
      </c>
      <c r="D64">
        <f>VLOOKUP(A65,[1]timesData!$B:$P,3,FALSE)</f>
        <v>61</v>
      </c>
      <c r="E64">
        <f>VLOOKUP(A65,[1]timesData!$B:$P,4,FALSE)</f>
        <v>43.1</v>
      </c>
      <c r="F64">
        <f>VLOOKUP(A65,[1]timesData!$B:$P,5,FALSE)</f>
        <v>57.5</v>
      </c>
      <c r="G64">
        <f>VLOOKUP(A65,[1]timesData!$B:$P,6,FALSE)</f>
        <v>76.400000000000006</v>
      </c>
      <c r="H64">
        <f>VLOOKUP(A65,[1]timesData!$B:$P,7,FALSE)</f>
        <v>40.4</v>
      </c>
      <c r="I64">
        <f>VLOOKUP(A65,[1]timesData!$B:$P,8,FALSE)</f>
        <v>63</v>
      </c>
      <c r="J64">
        <f>VLOOKUP(A65,[1]timesData!$B:$P,9,FALSE)</f>
        <v>35691</v>
      </c>
      <c r="K64">
        <f>VLOOKUP(A65,[1]timesData!$B:$P,10,FALSE)</f>
        <v>15.5</v>
      </c>
      <c r="L64">
        <f>VLOOKUP(A65,[1]timesData!$B:$P,11,FALSE)</f>
        <v>0.13</v>
      </c>
      <c r="M64">
        <f>VLOOKUP(A65,[1]timesData!$B:$P,12,FALSE)</f>
        <v>2.6097222222222221</v>
      </c>
      <c r="N64">
        <f>VLOOKUP(A65,[1]timesData!$B:$P,13,FALSE)</f>
        <v>2011</v>
      </c>
      <c r="O64">
        <f>VLOOKUP(A64,[2]cwurData!$B:$P,14,FALSE)</f>
        <v>81</v>
      </c>
      <c r="P64">
        <f>VLOOKUP(A64,[2]cwurData!$B:$N, 3, FALSE)</f>
        <v>53</v>
      </c>
      <c r="Q64">
        <f>VLOOKUP(A64,[2]cwurData!$B:$N, 4, FALSE)</f>
        <v>101</v>
      </c>
      <c r="R64">
        <f>VLOOKUP(A64,[2]cwurData!$B:$N, 5, FALSE)</f>
        <v>97</v>
      </c>
      <c r="S64">
        <f>VLOOKUP(A64,[2]cwurData!$B:$N, 6, FALSE)</f>
        <v>101</v>
      </c>
      <c r="T64">
        <f>VLOOKUP(A64,[2]cwurData!$B:$N, 7, FALSE)</f>
        <v>54</v>
      </c>
      <c r="U64">
        <f>VLOOKUP(A64,[2]cwurData!$B:$N, 8, FALSE)</f>
        <v>37</v>
      </c>
      <c r="V64">
        <f>VLOOKUP(A64,[2]cwurData!$B:$N, 9, FALSE)</f>
        <v>50</v>
      </c>
      <c r="W64">
        <f>VLOOKUP(A64,[2]cwurData!$B:$N, 10, FALSE)</f>
        <v>0</v>
      </c>
      <c r="X64">
        <f>VLOOKUP(A64,[2]cwurData!$B:$N, 11, FALSE)</f>
        <v>46</v>
      </c>
      <c r="Y64">
        <f>VLOOKUP(A64,[2]cwurData!$B:$N, 12, FALSE)</f>
        <v>45.47</v>
      </c>
      <c r="Z64">
        <f>VLOOKUP(A64,[2]cwurData!$B:$N, 13, FALSE)</f>
        <v>2012</v>
      </c>
    </row>
    <row r="65" spans="1:26" x14ac:dyDescent="0.3">
      <c r="A65" t="s">
        <v>62</v>
      </c>
      <c r="B65" t="str">
        <f>IFERROR(VLOOKUP(A65,[1]timesData!$B:$P,2,FALSE),VLOOKUP(A65,[2]cwurData!$B:$P,2,FALSE))</f>
        <v>Germany</v>
      </c>
      <c r="C65">
        <f>VLOOKUP(A65,[1]timesData!$B:$P,3,FALSE)</f>
        <v>61</v>
      </c>
      <c r="D65">
        <f>VLOOKUP(A66,[1]timesData!$B:$P,3,FALSE)</f>
        <v>63</v>
      </c>
      <c r="E65">
        <f>VLOOKUP(A66,[1]timesData!$B:$P,4,FALSE)</f>
        <v>35.6</v>
      </c>
      <c r="F65">
        <f>VLOOKUP(A66,[1]timesData!$B:$P,5,FALSE)</f>
        <v>45.1</v>
      </c>
      <c r="G65">
        <f>VLOOKUP(A66,[1]timesData!$B:$P,6,FALSE)</f>
        <v>89.1</v>
      </c>
      <c r="H65" t="str">
        <f>VLOOKUP(A66,[1]timesData!$B:$P,7,FALSE)</f>
        <v>-</v>
      </c>
      <c r="I65">
        <f>VLOOKUP(A66,[1]timesData!$B:$P,8,FALSE)</f>
        <v>62.8</v>
      </c>
      <c r="J65">
        <f>VLOOKUP(A66,[1]timesData!$B:$P,9,FALSE)</f>
        <v>11829</v>
      </c>
      <c r="K65">
        <f>VLOOKUP(A66,[1]timesData!$B:$P,10,FALSE)</f>
        <v>13.8</v>
      </c>
      <c r="L65">
        <f>VLOOKUP(A66,[1]timesData!$B:$P,11,FALSE)</f>
        <v>0.1</v>
      </c>
      <c r="M65">
        <f>VLOOKUP(A66,[1]timesData!$B:$P,12,FALSE)</f>
        <v>1.8722222222222222</v>
      </c>
      <c r="N65">
        <f>VLOOKUP(A66,[1]timesData!$B:$P,13,FALSE)</f>
        <v>2011</v>
      </c>
      <c r="O65" t="e">
        <f>VLOOKUP(A65,[2]cwurData!$B:$P,14,FALSE)</f>
        <v>#N/A</v>
      </c>
      <c r="P65" t="e">
        <f>VLOOKUP(A65,[2]cwurData!$B:$N, 3, FALSE)</f>
        <v>#N/A</v>
      </c>
      <c r="Q65" t="e">
        <f>VLOOKUP(A65,[2]cwurData!$B:$N, 4, FALSE)</f>
        <v>#N/A</v>
      </c>
      <c r="R65" t="e">
        <f>VLOOKUP(A65,[2]cwurData!$B:$N, 5, FALSE)</f>
        <v>#N/A</v>
      </c>
      <c r="S65" t="e">
        <f>VLOOKUP(A65,[2]cwurData!$B:$N, 6, FALSE)</f>
        <v>#N/A</v>
      </c>
      <c r="T65" t="e">
        <f>VLOOKUP(A65,[2]cwurData!$B:$N, 7, FALSE)</f>
        <v>#N/A</v>
      </c>
      <c r="U65" t="e">
        <f>VLOOKUP(A65,[2]cwurData!$B:$N, 8, FALSE)</f>
        <v>#N/A</v>
      </c>
      <c r="V65" t="e">
        <f>VLOOKUP(A65,[2]cwurData!$B:$N, 9, FALSE)</f>
        <v>#N/A</v>
      </c>
      <c r="W65" t="e">
        <f>VLOOKUP(A65,[2]cwurData!$B:$N, 10, FALSE)</f>
        <v>#N/A</v>
      </c>
      <c r="X65" t="e">
        <f>VLOOKUP(A65,[2]cwurData!$B:$N, 11, FALSE)</f>
        <v>#N/A</v>
      </c>
      <c r="Y65" t="e">
        <f>VLOOKUP(A65,[2]cwurData!$B:$N, 12, FALSE)</f>
        <v>#N/A</v>
      </c>
      <c r="Z65" t="e">
        <f>VLOOKUP(A65,[2]cwurData!$B:$N, 13, FALSE)</f>
        <v>#N/A</v>
      </c>
    </row>
    <row r="66" spans="1:26" x14ac:dyDescent="0.3">
      <c r="A66" t="s">
        <v>63</v>
      </c>
      <c r="B66" t="str">
        <f>IFERROR(VLOOKUP(A66,[1]timesData!$B:$P,2,FALSE),VLOOKUP(A66,[2]cwurData!$B:$P,2,FALSE))</f>
        <v>United States of America</v>
      </c>
      <c r="C66">
        <f>VLOOKUP(A66,[1]timesData!$B:$P,3,FALSE)</f>
        <v>63</v>
      </c>
      <c r="D66">
        <f>VLOOKUP(A67,[1]timesData!$B:$P,3,FALSE)</f>
        <v>63</v>
      </c>
      <c r="E66">
        <f>VLOOKUP(A67,[1]timesData!$B:$P,4,FALSE)</f>
        <v>50.1</v>
      </c>
      <c r="F66">
        <f>VLOOKUP(A67,[1]timesData!$B:$P,5,FALSE)</f>
        <v>46</v>
      </c>
      <c r="G66">
        <f>VLOOKUP(A67,[1]timesData!$B:$P,6,FALSE)</f>
        <v>96.4</v>
      </c>
      <c r="H66">
        <f>VLOOKUP(A67,[1]timesData!$B:$P,7,FALSE)</f>
        <v>40.1</v>
      </c>
      <c r="I66">
        <f>VLOOKUP(A67,[1]timesData!$B:$P,8,FALSE)</f>
        <v>61.9</v>
      </c>
      <c r="J66">
        <f>VLOOKUP(A67,[1]timesData!$B:$P,9,FALSE)</f>
        <v>462</v>
      </c>
      <c r="K66">
        <f>VLOOKUP(A67,[1]timesData!$B:$P,10,FALSE)</f>
        <v>16.5</v>
      </c>
      <c r="L66">
        <f>VLOOKUP(A67,[1]timesData!$B:$P,11,FALSE)</f>
        <v>0.05</v>
      </c>
      <c r="M66" t="str">
        <f>VLOOKUP(A67,[1]timesData!$B:$P,12,FALSE)</f>
        <v>28 : 72</v>
      </c>
      <c r="N66">
        <f>VLOOKUP(A67,[1]timesData!$B:$P,13,FALSE)</f>
        <v>2015</v>
      </c>
      <c r="O66">
        <f>VLOOKUP(A66,[2]cwurData!$B:$P,14,FALSE)</f>
        <v>64</v>
      </c>
      <c r="P66">
        <f>VLOOKUP(A66,[2]cwurData!$B:$N, 3, FALSE)</f>
        <v>42</v>
      </c>
      <c r="Q66">
        <f>VLOOKUP(A66,[2]cwurData!$B:$N, 4, FALSE)</f>
        <v>197</v>
      </c>
      <c r="R66">
        <f>VLOOKUP(A66,[2]cwurData!$B:$N, 5, FALSE)</f>
        <v>20</v>
      </c>
      <c r="S66">
        <f>VLOOKUP(A66,[2]cwurData!$B:$N, 6, FALSE)</f>
        <v>150</v>
      </c>
      <c r="T66">
        <f>VLOOKUP(A66,[2]cwurData!$B:$N, 7, FALSE)</f>
        <v>241</v>
      </c>
      <c r="U66">
        <f>VLOOKUP(A66,[2]cwurData!$B:$N, 8, FALSE)</f>
        <v>230</v>
      </c>
      <c r="V66">
        <f>VLOOKUP(A66,[2]cwurData!$B:$N, 9, FALSE)</f>
        <v>159</v>
      </c>
      <c r="W66">
        <f>VLOOKUP(A66,[2]cwurData!$B:$N, 10, FALSE)</f>
        <v>238</v>
      </c>
      <c r="X66">
        <f>VLOOKUP(A66,[2]cwurData!$B:$N, 11, FALSE)</f>
        <v>307</v>
      </c>
      <c r="Y66">
        <f>VLOOKUP(A66,[2]cwurData!$B:$N, 12, FALSE)</f>
        <v>54.25</v>
      </c>
      <c r="Z66">
        <f>VLOOKUP(A66,[2]cwurData!$B:$N, 13, FALSE)</f>
        <v>2014</v>
      </c>
    </row>
    <row r="67" spans="1:26" x14ac:dyDescent="0.3">
      <c r="A67" t="s">
        <v>460</v>
      </c>
      <c r="B67" t="str">
        <f>IFERROR(VLOOKUP(A67,[1]timesData!$B:$P,2,FALSE),VLOOKUP(A67,[2]cwurData!$B:$P,2,FALSE))</f>
        <v>Italy</v>
      </c>
      <c r="C67">
        <f>VLOOKUP(A67,[1]timesData!$B:$P,3,FALSE)</f>
        <v>63</v>
      </c>
      <c r="D67">
        <f>VLOOKUP(A68,[1]timesData!$B:$P,3,FALSE)</f>
        <v>64</v>
      </c>
      <c r="E67">
        <f>VLOOKUP(A68,[1]timesData!$B:$P,4,FALSE)</f>
        <v>25.2</v>
      </c>
      <c r="F67">
        <f>VLOOKUP(A68,[1]timesData!$B:$P,5,FALSE)</f>
        <v>58.3</v>
      </c>
      <c r="G67">
        <f>VLOOKUP(A68,[1]timesData!$B:$P,6,FALSE)</f>
        <v>78.3</v>
      </c>
      <c r="H67">
        <f>VLOOKUP(A68,[1]timesData!$B:$P,7,FALSE)</f>
        <v>37.9</v>
      </c>
      <c r="I67">
        <f>VLOOKUP(A68,[1]timesData!$B:$P,8,FALSE)</f>
        <v>62.7</v>
      </c>
      <c r="J67">
        <f>VLOOKUP(A68,[1]timesData!$B:$P,9,FALSE)</f>
        <v>26485</v>
      </c>
      <c r="K67">
        <f>VLOOKUP(A68,[1]timesData!$B:$P,10,FALSE)</f>
        <v>5.8</v>
      </c>
      <c r="L67">
        <f>VLOOKUP(A68,[1]timesData!$B:$P,11,FALSE)</f>
        <v>0.1</v>
      </c>
      <c r="M67">
        <f>VLOOKUP(A68,[1]timesData!$B:$P,12,FALSE)</f>
        <v>2.1590277777777778</v>
      </c>
      <c r="N67">
        <f>VLOOKUP(A68,[1]timesData!$B:$P,13,FALSE)</f>
        <v>2011</v>
      </c>
      <c r="O67">
        <f>VLOOKUP(A67,[2]cwurData!$B:$P,14,FALSE)</f>
        <v>383</v>
      </c>
      <c r="P67">
        <f>VLOOKUP(A67,[2]cwurData!$B:$N, 3, FALSE)</f>
        <v>16</v>
      </c>
      <c r="Q67">
        <f>VLOOKUP(A67,[2]cwurData!$B:$N, 4, FALSE)</f>
        <v>229</v>
      </c>
      <c r="R67">
        <f>VLOOKUP(A67,[2]cwurData!$B:$N, 5, FALSE)</f>
        <v>478</v>
      </c>
      <c r="S67">
        <f>VLOOKUP(A67,[2]cwurData!$B:$N, 6, FALSE)</f>
        <v>64</v>
      </c>
      <c r="T67">
        <f>VLOOKUP(A67,[2]cwurData!$B:$N, 7, FALSE)</f>
        <v>530</v>
      </c>
      <c r="U67">
        <f>VLOOKUP(A67,[2]cwurData!$B:$N, 8, FALSE)</f>
        <v>533</v>
      </c>
      <c r="V67">
        <f>VLOOKUP(A67,[2]cwurData!$B:$N, 9, FALSE)</f>
        <v>363</v>
      </c>
      <c r="W67">
        <f>VLOOKUP(A67,[2]cwurData!$B:$N, 10, FALSE)</f>
        <v>488</v>
      </c>
      <c r="X67">
        <f>VLOOKUP(A67,[2]cwurData!$B:$N, 11, FALSE)</f>
        <v>737</v>
      </c>
      <c r="Y67">
        <f>VLOOKUP(A67,[2]cwurData!$B:$N, 12, FALSE)</f>
        <v>45.63</v>
      </c>
      <c r="Z67">
        <f>VLOOKUP(A67,[2]cwurData!$B:$N, 13, FALSE)</f>
        <v>2014</v>
      </c>
    </row>
    <row r="68" spans="1:26" x14ac:dyDescent="0.3">
      <c r="A68" t="s">
        <v>64</v>
      </c>
      <c r="B68" t="str">
        <f>IFERROR(VLOOKUP(A68,[1]timesData!$B:$P,2,FALSE),VLOOKUP(A68,[2]cwurData!$B:$P,2,FALSE))</f>
        <v>United States of America</v>
      </c>
      <c r="C68">
        <f>VLOOKUP(A68,[1]timesData!$B:$P,3,FALSE)</f>
        <v>64</v>
      </c>
      <c r="D68">
        <f>VLOOKUP(A69,[1]timesData!$B:$P,3,FALSE)</f>
        <v>65</v>
      </c>
      <c r="E68">
        <f>VLOOKUP(A69,[1]timesData!$B:$P,4,FALSE)</f>
        <v>56.5</v>
      </c>
      <c r="F68">
        <f>VLOOKUP(A69,[1]timesData!$B:$P,5,FALSE)</f>
        <v>53.8</v>
      </c>
      <c r="G68">
        <f>VLOOKUP(A69,[1]timesData!$B:$P,6,FALSE)</f>
        <v>66</v>
      </c>
      <c r="H68" t="str">
        <f>VLOOKUP(A69,[1]timesData!$B:$P,7,FALSE)</f>
        <v>-</v>
      </c>
      <c r="I68">
        <f>VLOOKUP(A69,[1]timesData!$B:$P,8,FALSE)</f>
        <v>62.2</v>
      </c>
      <c r="J68">
        <f>VLOOKUP(A69,[1]timesData!$B:$P,9,FALSE)</f>
        <v>9259</v>
      </c>
      <c r="K68">
        <f>VLOOKUP(A69,[1]timesData!$B:$P,10,FALSE)</f>
        <v>6.4</v>
      </c>
      <c r="L68">
        <f>VLOOKUP(A69,[1]timesData!$B:$P,11,FALSE)</f>
        <v>0.17</v>
      </c>
      <c r="M68">
        <f>VLOOKUP(A69,[1]timesData!$B:$P,12,FALSE)</f>
        <v>2.036111111111111</v>
      </c>
      <c r="N68">
        <f>VLOOKUP(A69,[1]timesData!$B:$P,13,FALSE)</f>
        <v>2011</v>
      </c>
      <c r="O68" t="e">
        <f>VLOOKUP(A68,[2]cwurData!$B:$P,14,FALSE)</f>
        <v>#N/A</v>
      </c>
      <c r="P68" t="e">
        <f>VLOOKUP(A68,[2]cwurData!$B:$N, 3, FALSE)</f>
        <v>#N/A</v>
      </c>
      <c r="Q68" t="e">
        <f>VLOOKUP(A68,[2]cwurData!$B:$N, 4, FALSE)</f>
        <v>#N/A</v>
      </c>
      <c r="R68" t="e">
        <f>VLOOKUP(A68,[2]cwurData!$B:$N, 5, FALSE)</f>
        <v>#N/A</v>
      </c>
      <c r="S68" t="e">
        <f>VLOOKUP(A68,[2]cwurData!$B:$N, 6, FALSE)</f>
        <v>#N/A</v>
      </c>
      <c r="T68" t="e">
        <f>VLOOKUP(A68,[2]cwurData!$B:$N, 7, FALSE)</f>
        <v>#N/A</v>
      </c>
      <c r="U68" t="e">
        <f>VLOOKUP(A68,[2]cwurData!$B:$N, 8, FALSE)</f>
        <v>#N/A</v>
      </c>
      <c r="V68" t="e">
        <f>VLOOKUP(A68,[2]cwurData!$B:$N, 9, FALSE)</f>
        <v>#N/A</v>
      </c>
      <c r="W68" t="e">
        <f>VLOOKUP(A68,[2]cwurData!$B:$N, 10, FALSE)</f>
        <v>#N/A</v>
      </c>
      <c r="X68" t="e">
        <f>VLOOKUP(A68,[2]cwurData!$B:$N, 11, FALSE)</f>
        <v>#N/A</v>
      </c>
      <c r="Y68" t="e">
        <f>VLOOKUP(A68,[2]cwurData!$B:$N, 12, FALSE)</f>
        <v>#N/A</v>
      </c>
      <c r="Z68" t="e">
        <f>VLOOKUP(A68,[2]cwurData!$B:$N, 13, FALSE)</f>
        <v>#N/A</v>
      </c>
    </row>
    <row r="69" spans="1:26" x14ac:dyDescent="0.3">
      <c r="A69" t="s">
        <v>65</v>
      </c>
      <c r="B69" t="str">
        <f>IFERROR(VLOOKUP(A69,[1]timesData!$B:$P,2,FALSE),VLOOKUP(A69,[2]cwurData!$B:$P,2,FALSE))</f>
        <v>United States of America</v>
      </c>
      <c r="C69">
        <f>VLOOKUP(A69,[1]timesData!$B:$P,3,FALSE)</f>
        <v>65</v>
      </c>
      <c r="D69">
        <f>VLOOKUP(A70,[1]timesData!$B:$P,3,FALSE)</f>
        <v>66</v>
      </c>
      <c r="E69">
        <f>VLOOKUP(A70,[1]timesData!$B:$P,4,FALSE)</f>
        <v>64</v>
      </c>
      <c r="F69">
        <f>VLOOKUP(A70,[1]timesData!$B:$P,5,FALSE)</f>
        <v>54.9</v>
      </c>
      <c r="G69">
        <f>VLOOKUP(A70,[1]timesData!$B:$P,6,FALSE)</f>
        <v>67.2</v>
      </c>
      <c r="H69" t="str">
        <f>VLOOKUP(A70,[1]timesData!$B:$P,7,FALSE)</f>
        <v>-</v>
      </c>
      <c r="I69">
        <f>VLOOKUP(A70,[1]timesData!$B:$P,8,FALSE)</f>
        <v>62.1</v>
      </c>
      <c r="J69">
        <f>VLOOKUP(A70,[1]timesData!$B:$P,9,FALSE)</f>
        <v>51462</v>
      </c>
      <c r="K69">
        <f>VLOOKUP(A70,[1]timesData!$B:$P,10,FALSE)</f>
        <v>13.4</v>
      </c>
      <c r="L69">
        <f>VLOOKUP(A70,[1]timesData!$B:$P,11,FALSE)</f>
        <v>0.12</v>
      </c>
      <c r="M69">
        <f>VLOOKUP(A70,[1]timesData!$B:$P,12,FALSE)</f>
        <v>2.0770833333333334</v>
      </c>
      <c r="N69">
        <f>VLOOKUP(A70,[1]timesData!$B:$P,13,FALSE)</f>
        <v>2011</v>
      </c>
      <c r="O69">
        <f>VLOOKUP(A69,[2]cwurData!$B:$P,14,FALSE)</f>
        <v>78</v>
      </c>
      <c r="P69">
        <f>VLOOKUP(A69,[2]cwurData!$B:$N, 3, FALSE)</f>
        <v>51</v>
      </c>
      <c r="Q69">
        <f>VLOOKUP(A69,[2]cwurData!$B:$N, 4, FALSE)</f>
        <v>33</v>
      </c>
      <c r="R69">
        <f>VLOOKUP(A69,[2]cwurData!$B:$N, 5, FALSE)</f>
        <v>101</v>
      </c>
      <c r="S69">
        <f>VLOOKUP(A69,[2]cwurData!$B:$N, 6, FALSE)</f>
        <v>101</v>
      </c>
      <c r="T69">
        <f>VLOOKUP(A69,[2]cwurData!$B:$N, 7, FALSE)</f>
        <v>96</v>
      </c>
      <c r="U69">
        <f>VLOOKUP(A69,[2]cwurData!$B:$N, 8, FALSE)</f>
        <v>63</v>
      </c>
      <c r="V69">
        <f>VLOOKUP(A69,[2]cwurData!$B:$N, 9, FALSE)</f>
        <v>65</v>
      </c>
      <c r="W69">
        <f>VLOOKUP(A69,[2]cwurData!$B:$N, 10, FALSE)</f>
        <v>0</v>
      </c>
      <c r="X69">
        <f>VLOOKUP(A69,[2]cwurData!$B:$N, 11, FALSE)</f>
        <v>101</v>
      </c>
      <c r="Y69">
        <f>VLOOKUP(A69,[2]cwurData!$B:$N, 12, FALSE)</f>
        <v>46.11</v>
      </c>
      <c r="Z69">
        <f>VLOOKUP(A69,[2]cwurData!$B:$N, 13, FALSE)</f>
        <v>2012</v>
      </c>
    </row>
    <row r="70" spans="1:26" x14ac:dyDescent="0.3">
      <c r="A70" t="s">
        <v>66</v>
      </c>
      <c r="B70" t="str">
        <f>IFERROR(VLOOKUP(A70,[1]timesData!$B:$P,2,FALSE),VLOOKUP(A70,[2]cwurData!$B:$P,2,FALSE))</f>
        <v>United States of America</v>
      </c>
      <c r="C70">
        <f>VLOOKUP(A70,[1]timesData!$B:$P,3,FALSE)</f>
        <v>66</v>
      </c>
      <c r="D70">
        <f>VLOOKUP(A71,[1]timesData!$B:$P,3,FALSE)</f>
        <v>67</v>
      </c>
      <c r="E70">
        <f>VLOOKUP(A71,[1]timesData!$B:$P,4,FALSE)</f>
        <v>31.7</v>
      </c>
      <c r="F70">
        <f>VLOOKUP(A71,[1]timesData!$B:$P,5,FALSE)</f>
        <v>58.1</v>
      </c>
      <c r="G70">
        <f>VLOOKUP(A71,[1]timesData!$B:$P,6,FALSE)</f>
        <v>83.4</v>
      </c>
      <c r="H70" t="str">
        <f>VLOOKUP(A71,[1]timesData!$B:$P,7,FALSE)</f>
        <v>-</v>
      </c>
      <c r="I70">
        <f>VLOOKUP(A71,[1]timesData!$B:$P,8,FALSE)</f>
        <v>61.6</v>
      </c>
      <c r="J70">
        <f>VLOOKUP(A71,[1]timesData!$B:$P,9,FALSE)</f>
        <v>29325</v>
      </c>
      <c r="K70">
        <f>VLOOKUP(A71,[1]timesData!$B:$P,10,FALSE)</f>
        <v>16.100000000000001</v>
      </c>
      <c r="L70">
        <f>VLOOKUP(A71,[1]timesData!$B:$P,11,FALSE)</f>
        <v>0.08</v>
      </c>
      <c r="M70">
        <f>VLOOKUP(A71,[1]timesData!$B:$P,12,FALSE)</f>
        <v>1.9131944444444444</v>
      </c>
      <c r="N70">
        <f>VLOOKUP(A71,[1]timesData!$B:$P,13,FALSE)</f>
        <v>2011</v>
      </c>
      <c r="O70" t="e">
        <f>VLOOKUP(A70,[2]cwurData!$B:$P,14,FALSE)</f>
        <v>#N/A</v>
      </c>
      <c r="P70" t="e">
        <f>VLOOKUP(A70,[2]cwurData!$B:$N, 3, FALSE)</f>
        <v>#N/A</v>
      </c>
      <c r="Q70" t="e">
        <f>VLOOKUP(A70,[2]cwurData!$B:$N, 4, FALSE)</f>
        <v>#N/A</v>
      </c>
      <c r="R70" t="e">
        <f>VLOOKUP(A70,[2]cwurData!$B:$N, 5, FALSE)</f>
        <v>#N/A</v>
      </c>
      <c r="S70" t="e">
        <f>VLOOKUP(A70,[2]cwurData!$B:$N, 6, FALSE)</f>
        <v>#N/A</v>
      </c>
      <c r="T70" t="e">
        <f>VLOOKUP(A70,[2]cwurData!$B:$N, 7, FALSE)</f>
        <v>#N/A</v>
      </c>
      <c r="U70" t="e">
        <f>VLOOKUP(A70,[2]cwurData!$B:$N, 8, FALSE)</f>
        <v>#N/A</v>
      </c>
      <c r="V70" t="e">
        <f>VLOOKUP(A70,[2]cwurData!$B:$N, 9, FALSE)</f>
        <v>#N/A</v>
      </c>
      <c r="W70" t="e">
        <f>VLOOKUP(A70,[2]cwurData!$B:$N, 10, FALSE)</f>
        <v>#N/A</v>
      </c>
      <c r="X70" t="e">
        <f>VLOOKUP(A70,[2]cwurData!$B:$N, 11, FALSE)</f>
        <v>#N/A</v>
      </c>
      <c r="Y70" t="e">
        <f>VLOOKUP(A70,[2]cwurData!$B:$N, 12, FALSE)</f>
        <v>#N/A</v>
      </c>
      <c r="Z70" t="e">
        <f>VLOOKUP(A70,[2]cwurData!$B:$N, 13, FALSE)</f>
        <v>#N/A</v>
      </c>
    </row>
    <row r="71" spans="1:26" x14ac:dyDescent="0.3">
      <c r="A71" t="s">
        <v>67</v>
      </c>
      <c r="B71" t="str">
        <f>IFERROR(VLOOKUP(A71,[1]timesData!$B:$P,2,FALSE),VLOOKUP(A71,[2]cwurData!$B:$P,2,FALSE))</f>
        <v>United States of America</v>
      </c>
      <c r="C71">
        <f>VLOOKUP(A71,[1]timesData!$B:$P,3,FALSE)</f>
        <v>67</v>
      </c>
      <c r="D71">
        <f>VLOOKUP(A72,[1]timesData!$B:$P,3,FALSE)</f>
        <v>68</v>
      </c>
      <c r="E71">
        <f>VLOOKUP(A72,[1]timesData!$B:$P,4,FALSE)</f>
        <v>67.2</v>
      </c>
      <c r="F71">
        <f>VLOOKUP(A72,[1]timesData!$B:$P,5,FALSE)</f>
        <v>53.1</v>
      </c>
      <c r="G71">
        <f>VLOOKUP(A72,[1]timesData!$B:$P,6,FALSE)</f>
        <v>80.900000000000006</v>
      </c>
      <c r="H71">
        <f>VLOOKUP(A72,[1]timesData!$B:$P,7,FALSE)</f>
        <v>36.200000000000003</v>
      </c>
      <c r="I71">
        <f>VLOOKUP(A72,[1]timesData!$B:$P,8,FALSE)</f>
        <v>61.4</v>
      </c>
      <c r="J71">
        <f>VLOOKUP(A72,[1]timesData!$B:$P,9,FALSE)</f>
        <v>17906</v>
      </c>
      <c r="K71">
        <f>VLOOKUP(A72,[1]timesData!$B:$P,10,FALSE)</f>
        <v>14</v>
      </c>
      <c r="L71">
        <f>VLOOKUP(A72,[1]timesData!$B:$P,11,FALSE)</f>
        <v>0.25</v>
      </c>
      <c r="M71">
        <f>VLOOKUP(A72,[1]timesData!$B:$P,12,FALSE)</f>
        <v>2.2409722222222221</v>
      </c>
      <c r="N71">
        <f>VLOOKUP(A72,[1]timesData!$B:$P,13,FALSE)</f>
        <v>2011</v>
      </c>
      <c r="O71">
        <f>VLOOKUP(A71,[2]cwurData!$B:$P,14,FALSE)</f>
        <v>46</v>
      </c>
      <c r="P71">
        <f>VLOOKUP(A71,[2]cwurData!$B:$N, 3, FALSE)</f>
        <v>34</v>
      </c>
      <c r="Q71">
        <f>VLOOKUP(A71,[2]cwurData!$B:$N, 4, FALSE)</f>
        <v>83</v>
      </c>
      <c r="R71">
        <f>VLOOKUP(A71,[2]cwurData!$B:$N, 5, FALSE)</f>
        <v>88</v>
      </c>
      <c r="S71">
        <f>VLOOKUP(A71,[2]cwurData!$B:$N, 6, FALSE)</f>
        <v>48</v>
      </c>
      <c r="T71">
        <f>VLOOKUP(A71,[2]cwurData!$B:$N, 7, FALSE)</f>
        <v>71</v>
      </c>
      <c r="U71">
        <f>VLOOKUP(A71,[2]cwurData!$B:$N, 8, FALSE)</f>
        <v>54</v>
      </c>
      <c r="V71">
        <f>VLOOKUP(A71,[2]cwurData!$B:$N, 9, FALSE)</f>
        <v>56</v>
      </c>
      <c r="W71">
        <f>VLOOKUP(A71,[2]cwurData!$B:$N, 10, FALSE)</f>
        <v>0</v>
      </c>
      <c r="X71">
        <f>VLOOKUP(A71,[2]cwurData!$B:$N, 11, FALSE)</f>
        <v>101</v>
      </c>
      <c r="Y71">
        <f>VLOOKUP(A71,[2]cwurData!$B:$N, 12, FALSE)</f>
        <v>50.68</v>
      </c>
      <c r="Z71">
        <f>VLOOKUP(A71,[2]cwurData!$B:$N, 13, FALSE)</f>
        <v>2012</v>
      </c>
    </row>
    <row r="72" spans="1:26" x14ac:dyDescent="0.3">
      <c r="A72" t="s">
        <v>68</v>
      </c>
      <c r="B72" t="str">
        <f>IFERROR(VLOOKUP(A72,[1]timesData!$B:$P,2,FALSE),VLOOKUP(A72,[2]cwurData!$B:$P,2,FALSE))</f>
        <v>United Kingdom</v>
      </c>
      <c r="C72">
        <f>VLOOKUP(A72,[1]timesData!$B:$P,3,FALSE)</f>
        <v>68</v>
      </c>
      <c r="D72">
        <f>VLOOKUP(A73,[1]timesData!$B:$P,3,FALSE)</f>
        <v>68</v>
      </c>
      <c r="E72">
        <f>VLOOKUP(A73,[1]timesData!$B:$P,4,FALSE)</f>
        <v>16.7</v>
      </c>
      <c r="F72">
        <f>VLOOKUP(A73,[1]timesData!$B:$P,5,FALSE)</f>
        <v>50.4</v>
      </c>
      <c r="G72">
        <f>VLOOKUP(A73,[1]timesData!$B:$P,6,FALSE)</f>
        <v>99.6</v>
      </c>
      <c r="H72" t="str">
        <f>VLOOKUP(A73,[1]timesData!$B:$P,7,FALSE)</f>
        <v>-</v>
      </c>
      <c r="I72">
        <f>VLOOKUP(A73,[1]timesData!$B:$P,8,FALSE)</f>
        <v>61.4</v>
      </c>
      <c r="J72">
        <f>VLOOKUP(A73,[1]timesData!$B:$P,9,FALSE)</f>
        <v>17404</v>
      </c>
      <c r="K72">
        <f>VLOOKUP(A73,[1]timesData!$B:$P,10,FALSE)</f>
        <v>22.7</v>
      </c>
      <c r="L72">
        <f>VLOOKUP(A73,[1]timesData!$B:$P,11,FALSE)</f>
        <v>0.01</v>
      </c>
      <c r="M72">
        <f>VLOOKUP(A73,[1]timesData!$B:$P,12,FALSE)</f>
        <v>2.2409722222222221</v>
      </c>
      <c r="N72">
        <f>VLOOKUP(A73,[1]timesData!$B:$P,13,FALSE)</f>
        <v>2011</v>
      </c>
      <c r="O72">
        <f>VLOOKUP(A72,[2]cwurData!$B:$P,14,FALSE)</f>
        <v>98</v>
      </c>
      <c r="P72">
        <f>VLOOKUP(A72,[2]cwurData!$B:$N, 3, FALSE)</f>
        <v>7</v>
      </c>
      <c r="Q72">
        <f>VLOOKUP(A72,[2]cwurData!$B:$N, 4, FALSE)</f>
        <v>101</v>
      </c>
      <c r="R72">
        <f>VLOOKUP(A72,[2]cwurData!$B:$N, 5, FALSE)</f>
        <v>101</v>
      </c>
      <c r="S72">
        <f>VLOOKUP(A72,[2]cwurData!$B:$N, 6, FALSE)</f>
        <v>78</v>
      </c>
      <c r="T72">
        <f>VLOOKUP(A72,[2]cwurData!$B:$N, 7, FALSE)</f>
        <v>75</v>
      </c>
      <c r="U72">
        <f>VLOOKUP(A72,[2]cwurData!$B:$N, 8, FALSE)</f>
        <v>81</v>
      </c>
      <c r="V72">
        <f>VLOOKUP(A72,[2]cwurData!$B:$N, 9, FALSE)</f>
        <v>86</v>
      </c>
      <c r="W72">
        <f>VLOOKUP(A72,[2]cwurData!$B:$N, 10, FALSE)</f>
        <v>0</v>
      </c>
      <c r="X72">
        <f>VLOOKUP(A72,[2]cwurData!$B:$N, 11, FALSE)</f>
        <v>101</v>
      </c>
      <c r="Y72">
        <f>VLOOKUP(A72,[2]cwurData!$B:$N, 12, FALSE)</f>
        <v>43.77</v>
      </c>
      <c r="Z72">
        <f>VLOOKUP(A72,[2]cwurData!$B:$N, 13, FALSE)</f>
        <v>2012</v>
      </c>
    </row>
    <row r="73" spans="1:26" x14ac:dyDescent="0.3">
      <c r="A73" t="s">
        <v>69</v>
      </c>
      <c r="B73" t="str">
        <f>IFERROR(VLOOKUP(A73,[1]timesData!$B:$P,2,FALSE),VLOOKUP(A73,[2]cwurData!$B:$P,2,FALSE))</f>
        <v>United States of America</v>
      </c>
      <c r="C73">
        <f>VLOOKUP(A73,[1]timesData!$B:$P,3,FALSE)</f>
        <v>68</v>
      </c>
      <c r="D73">
        <f>VLOOKUP(A74,[1]timesData!$B:$P,3,FALSE)</f>
        <v>68</v>
      </c>
      <c r="E73">
        <f>VLOOKUP(A74,[1]timesData!$B:$P,4,FALSE)</f>
        <v>53.3</v>
      </c>
      <c r="F73">
        <f>VLOOKUP(A74,[1]timesData!$B:$P,5,FALSE)</f>
        <v>46.7</v>
      </c>
      <c r="G73">
        <f>VLOOKUP(A74,[1]timesData!$B:$P,6,FALSE)</f>
        <v>74.400000000000006</v>
      </c>
      <c r="H73" t="str">
        <f>VLOOKUP(A74,[1]timesData!$B:$P,7,FALSE)</f>
        <v>-</v>
      </c>
      <c r="I73">
        <f>VLOOKUP(A74,[1]timesData!$B:$P,8,FALSE)</f>
        <v>61.4</v>
      </c>
      <c r="J73">
        <f>VLOOKUP(A74,[1]timesData!$B:$P,9,FALSE)</f>
        <v>6753</v>
      </c>
      <c r="K73">
        <f>VLOOKUP(A74,[1]timesData!$B:$P,10,FALSE)</f>
        <v>5.5</v>
      </c>
      <c r="L73">
        <f>VLOOKUP(A74,[1]timesData!$B:$P,11,FALSE)</f>
        <v>7.0000000000000007E-2</v>
      </c>
      <c r="M73">
        <f>VLOOKUP(A74,[1]timesData!$B:$P,12,FALSE)</f>
        <v>2.2409722222222221</v>
      </c>
      <c r="N73">
        <f>VLOOKUP(A74,[1]timesData!$B:$P,13,FALSE)</f>
        <v>2011</v>
      </c>
      <c r="O73">
        <f>VLOOKUP(A73,[2]cwurData!$B:$P,14,FALSE)</f>
        <v>163</v>
      </c>
      <c r="P73">
        <f>VLOOKUP(A73,[2]cwurData!$B:$N, 3, FALSE)</f>
        <v>71</v>
      </c>
      <c r="Q73">
        <f>VLOOKUP(A73,[2]cwurData!$B:$N, 4, FALSE)</f>
        <v>160</v>
      </c>
      <c r="R73">
        <f>VLOOKUP(A73,[2]cwurData!$B:$N, 5, FALSE)</f>
        <v>478</v>
      </c>
      <c r="S73">
        <f>VLOOKUP(A73,[2]cwurData!$B:$N, 6, FALSE)</f>
        <v>99</v>
      </c>
      <c r="T73">
        <f>VLOOKUP(A73,[2]cwurData!$B:$N, 7, FALSE)</f>
        <v>239</v>
      </c>
      <c r="U73">
        <f>VLOOKUP(A73,[2]cwurData!$B:$N, 8, FALSE)</f>
        <v>50</v>
      </c>
      <c r="V73">
        <f>VLOOKUP(A73,[2]cwurData!$B:$N, 9, FALSE)</f>
        <v>114</v>
      </c>
      <c r="W73">
        <f>VLOOKUP(A73,[2]cwurData!$B:$N, 10, FALSE)</f>
        <v>107</v>
      </c>
      <c r="X73">
        <f>VLOOKUP(A73,[2]cwurData!$B:$N, 11, FALSE)</f>
        <v>227</v>
      </c>
      <c r="Y73">
        <f>VLOOKUP(A73,[2]cwurData!$B:$N, 12, FALSE)</f>
        <v>48.89</v>
      </c>
      <c r="Z73">
        <f>VLOOKUP(A73,[2]cwurData!$B:$N, 13, FALSE)</f>
        <v>2014</v>
      </c>
    </row>
    <row r="74" spans="1:26" x14ac:dyDescent="0.3">
      <c r="A74" t="s">
        <v>70</v>
      </c>
      <c r="B74" t="str">
        <f>IFERROR(VLOOKUP(A74,[1]timesData!$B:$P,2,FALSE),VLOOKUP(A74,[2]cwurData!$B:$P,2,FALSE))</f>
        <v>United States of America</v>
      </c>
      <c r="C74">
        <f>VLOOKUP(A74,[1]timesData!$B:$P,3,FALSE)</f>
        <v>68</v>
      </c>
      <c r="D74">
        <f>VLOOKUP(A75,[1]timesData!$B:$P,3,FALSE)</f>
        <v>71</v>
      </c>
      <c r="E74">
        <f>VLOOKUP(A75,[1]timesData!$B:$P,4,FALSE)</f>
        <v>89.6</v>
      </c>
      <c r="F74">
        <f>VLOOKUP(A75,[1]timesData!$B:$P,5,FALSE)</f>
        <v>61.9</v>
      </c>
      <c r="G74">
        <f>VLOOKUP(A75,[1]timesData!$B:$P,6,FALSE)</f>
        <v>64.3</v>
      </c>
      <c r="H74">
        <f>VLOOKUP(A75,[1]timesData!$B:$P,7,FALSE)</f>
        <v>90.8</v>
      </c>
      <c r="I74">
        <f>VLOOKUP(A75,[1]timesData!$B:$P,8,FALSE)</f>
        <v>61.2</v>
      </c>
      <c r="J74">
        <f>VLOOKUP(A75,[1]timesData!$B:$P,9,FALSE)</f>
        <v>41868</v>
      </c>
      <c r="K74">
        <f>VLOOKUP(A75,[1]timesData!$B:$P,10,FALSE)</f>
        <v>20.2</v>
      </c>
      <c r="L74">
        <f>VLOOKUP(A75,[1]timesData!$B:$P,11,FALSE)</f>
        <v>0.28000000000000003</v>
      </c>
      <c r="M74">
        <f>VLOOKUP(A75,[1]timesData!$B:$P,12,FALSE)</f>
        <v>2.4048611111111109</v>
      </c>
      <c r="N74">
        <f>VLOOKUP(A75,[1]timesData!$B:$P,13,FALSE)</f>
        <v>2011</v>
      </c>
      <c r="O74">
        <f>VLOOKUP(A74,[2]cwurData!$B:$P,14,FALSE)</f>
        <v>172</v>
      </c>
      <c r="P74">
        <f>VLOOKUP(A74,[2]cwurData!$B:$N, 3, FALSE)</f>
        <v>75</v>
      </c>
      <c r="Q74">
        <f>VLOOKUP(A74,[2]cwurData!$B:$N, 4, FALSE)</f>
        <v>174</v>
      </c>
      <c r="R74">
        <f>VLOOKUP(A74,[2]cwurData!$B:$N, 5, FALSE)</f>
        <v>478</v>
      </c>
      <c r="S74">
        <f>VLOOKUP(A74,[2]cwurData!$B:$N, 6, FALSE)</f>
        <v>210</v>
      </c>
      <c r="T74">
        <f>VLOOKUP(A74,[2]cwurData!$B:$N, 7, FALSE)</f>
        <v>188</v>
      </c>
      <c r="U74">
        <f>VLOOKUP(A74,[2]cwurData!$B:$N, 8, FALSE)</f>
        <v>85</v>
      </c>
      <c r="V74">
        <f>VLOOKUP(A74,[2]cwurData!$B:$N, 9, FALSE)</f>
        <v>159</v>
      </c>
      <c r="W74">
        <f>VLOOKUP(A74,[2]cwurData!$B:$N, 10, FALSE)</f>
        <v>94</v>
      </c>
      <c r="X74">
        <f>VLOOKUP(A74,[2]cwurData!$B:$N, 11, FALSE)</f>
        <v>138</v>
      </c>
      <c r="Y74">
        <f>VLOOKUP(A74,[2]cwurData!$B:$N, 12, FALSE)</f>
        <v>48.67</v>
      </c>
      <c r="Z74">
        <f>VLOOKUP(A74,[2]cwurData!$B:$N, 13, FALSE)</f>
        <v>2014</v>
      </c>
    </row>
    <row r="75" spans="1:26" x14ac:dyDescent="0.3">
      <c r="A75" t="s">
        <v>71</v>
      </c>
      <c r="B75" t="str">
        <f>IFERROR(VLOOKUP(A75,[1]timesData!$B:$P,2,FALSE),VLOOKUP(A75,[2]cwurData!$B:$P,2,FALSE))</f>
        <v>Australia</v>
      </c>
      <c r="C75">
        <f>VLOOKUP(A75,[1]timesData!$B:$P,3,FALSE)</f>
        <v>71</v>
      </c>
      <c r="D75">
        <f>VLOOKUP(A76,[1]timesData!$B:$P,3,FALSE)</f>
        <v>72</v>
      </c>
      <c r="E75">
        <f>VLOOKUP(A76,[1]timesData!$B:$P,4,FALSE)</f>
        <v>42.2</v>
      </c>
      <c r="F75">
        <f>VLOOKUP(A76,[1]timesData!$B:$P,5,FALSE)</f>
        <v>55.4</v>
      </c>
      <c r="G75">
        <f>VLOOKUP(A76,[1]timesData!$B:$P,6,FALSE)</f>
        <v>68.599999999999994</v>
      </c>
      <c r="H75" t="str">
        <f>VLOOKUP(A76,[1]timesData!$B:$P,7,FALSE)</f>
        <v>-</v>
      </c>
      <c r="I75">
        <f>VLOOKUP(A76,[1]timesData!$B:$P,8,FALSE)</f>
        <v>61.1</v>
      </c>
      <c r="J75">
        <f>VLOOKUP(A76,[1]timesData!$B:$P,9,FALSE)</f>
        <v>23845</v>
      </c>
      <c r="K75">
        <f>VLOOKUP(A76,[1]timesData!$B:$P,10,FALSE)</f>
        <v>10.199999999999999</v>
      </c>
      <c r="L75">
        <f>VLOOKUP(A76,[1]timesData!$B:$P,11,FALSE)</f>
        <v>0.12</v>
      </c>
      <c r="M75">
        <f>VLOOKUP(A76,[1]timesData!$B:$P,12,FALSE)</f>
        <v>2.2000000000000002</v>
      </c>
      <c r="N75">
        <f>VLOOKUP(A76,[1]timesData!$B:$P,13,FALSE)</f>
        <v>2011</v>
      </c>
      <c r="O75">
        <f>VLOOKUP(A75,[2]cwurData!$B:$P,14,FALSE)</f>
        <v>94</v>
      </c>
      <c r="P75">
        <f>VLOOKUP(A75,[2]cwurData!$B:$N, 3, FALSE)</f>
        <v>2</v>
      </c>
      <c r="Q75">
        <f>VLOOKUP(A75,[2]cwurData!$B:$N, 4, FALSE)</f>
        <v>101</v>
      </c>
      <c r="R75">
        <f>VLOOKUP(A75,[2]cwurData!$B:$N, 5, FALSE)</f>
        <v>101</v>
      </c>
      <c r="S75">
        <f>VLOOKUP(A75,[2]cwurData!$B:$N, 6, FALSE)</f>
        <v>101</v>
      </c>
      <c r="T75">
        <f>VLOOKUP(A75,[2]cwurData!$B:$N, 7, FALSE)</f>
        <v>56</v>
      </c>
      <c r="U75">
        <f>VLOOKUP(A75,[2]cwurData!$B:$N, 8, FALSE)</f>
        <v>92</v>
      </c>
      <c r="V75">
        <f>VLOOKUP(A75,[2]cwurData!$B:$N, 9, FALSE)</f>
        <v>85</v>
      </c>
      <c r="W75">
        <f>VLOOKUP(A75,[2]cwurData!$B:$N, 10, FALSE)</f>
        <v>0</v>
      </c>
      <c r="X75">
        <f>VLOOKUP(A75,[2]cwurData!$B:$N, 11, FALSE)</f>
        <v>69</v>
      </c>
      <c r="Y75">
        <f>VLOOKUP(A75,[2]cwurData!$B:$N, 12, FALSE)</f>
        <v>44.13</v>
      </c>
      <c r="Z75">
        <f>VLOOKUP(A75,[2]cwurData!$B:$N, 13, FALSE)</f>
        <v>2012</v>
      </c>
    </row>
    <row r="76" spans="1:26" x14ac:dyDescent="0.3">
      <c r="A76" t="s">
        <v>72</v>
      </c>
      <c r="B76" t="str">
        <f>IFERROR(VLOOKUP(A76,[1]timesData!$B:$P,2,FALSE),VLOOKUP(A76,[2]cwurData!$B:$P,2,FALSE))</f>
        <v>United States of America</v>
      </c>
      <c r="C76">
        <f>VLOOKUP(A76,[1]timesData!$B:$P,3,FALSE)</f>
        <v>72</v>
      </c>
      <c r="D76">
        <f>VLOOKUP(A77,[1]timesData!$B:$P,3,FALSE)</f>
        <v>73</v>
      </c>
      <c r="E76">
        <f>VLOOKUP(A77,[1]timesData!$B:$P,4,FALSE)</f>
        <v>31.2</v>
      </c>
      <c r="F76">
        <f>VLOOKUP(A77,[1]timesData!$B:$P,5,FALSE)</f>
        <v>48.7</v>
      </c>
      <c r="G76">
        <f>VLOOKUP(A77,[1]timesData!$B:$P,6,FALSE)</f>
        <v>71.900000000000006</v>
      </c>
      <c r="H76" t="str">
        <f>VLOOKUP(A77,[1]timesData!$B:$P,7,FALSE)</f>
        <v>-</v>
      </c>
      <c r="I76">
        <f>VLOOKUP(A77,[1]timesData!$B:$P,8,FALSE)</f>
        <v>60.7</v>
      </c>
      <c r="J76">
        <f>VLOOKUP(A77,[1]timesData!$B:$P,9,FALSE)</f>
        <v>36534</v>
      </c>
      <c r="K76">
        <f>VLOOKUP(A77,[1]timesData!$B:$P,10,FALSE)</f>
        <v>12.9</v>
      </c>
      <c r="L76">
        <f>VLOOKUP(A77,[1]timesData!$B:$P,11,FALSE)</f>
        <v>0.2</v>
      </c>
      <c r="M76">
        <f>VLOOKUP(A77,[1]timesData!$B:$P,12,FALSE)</f>
        <v>2.2000000000000002</v>
      </c>
      <c r="N76">
        <f>VLOOKUP(A77,[1]timesData!$B:$P,13,FALSE)</f>
        <v>2011</v>
      </c>
      <c r="O76">
        <f>VLOOKUP(A76,[2]cwurData!$B:$P,14,FALSE)</f>
        <v>84</v>
      </c>
      <c r="P76">
        <f>VLOOKUP(A76,[2]cwurData!$B:$N, 3, FALSE)</f>
        <v>54</v>
      </c>
      <c r="Q76">
        <f>VLOOKUP(A76,[2]cwurData!$B:$N, 4, FALSE)</f>
        <v>101</v>
      </c>
      <c r="R76">
        <f>VLOOKUP(A76,[2]cwurData!$B:$N, 5, FALSE)</f>
        <v>50</v>
      </c>
      <c r="S76">
        <f>VLOOKUP(A76,[2]cwurData!$B:$N, 6, FALSE)</f>
        <v>101</v>
      </c>
      <c r="T76">
        <f>VLOOKUP(A76,[2]cwurData!$B:$N, 7, FALSE)</f>
        <v>76</v>
      </c>
      <c r="U76">
        <f>VLOOKUP(A76,[2]cwurData!$B:$N, 8, FALSE)</f>
        <v>62</v>
      </c>
      <c r="V76">
        <f>VLOOKUP(A76,[2]cwurData!$B:$N, 9, FALSE)</f>
        <v>57</v>
      </c>
      <c r="W76">
        <f>VLOOKUP(A76,[2]cwurData!$B:$N, 10, FALSE)</f>
        <v>0</v>
      </c>
      <c r="X76">
        <f>VLOOKUP(A76,[2]cwurData!$B:$N, 11, FALSE)</f>
        <v>86</v>
      </c>
      <c r="Y76">
        <f>VLOOKUP(A76,[2]cwurData!$B:$N, 12, FALSE)</f>
        <v>45.2</v>
      </c>
      <c r="Z76">
        <f>VLOOKUP(A76,[2]cwurData!$B:$N, 13, FALSE)</f>
        <v>2012</v>
      </c>
    </row>
    <row r="77" spans="1:26" x14ac:dyDescent="0.3">
      <c r="A77" t="s">
        <v>74</v>
      </c>
      <c r="B77" t="str">
        <f>IFERROR(VLOOKUP(A77,[1]timesData!$B:$P,2,FALSE),VLOOKUP(A77,[2]cwurData!$B:$P,2,FALSE))</f>
        <v>United States of America</v>
      </c>
      <c r="C77">
        <f>VLOOKUP(A77,[1]timesData!$B:$P,3,FALSE)</f>
        <v>73</v>
      </c>
      <c r="D77">
        <f>VLOOKUP(A78,[1]timesData!$B:$P,3,FALSE)</f>
        <v>73</v>
      </c>
      <c r="E77">
        <f>VLOOKUP(A78,[1]timesData!$B:$P,4,FALSE)</f>
        <v>87.5</v>
      </c>
      <c r="F77">
        <f>VLOOKUP(A78,[1]timesData!$B:$P,5,FALSE)</f>
        <v>38.799999999999997</v>
      </c>
      <c r="G77">
        <f>VLOOKUP(A78,[1]timesData!$B:$P,6,FALSE)</f>
        <v>90.5</v>
      </c>
      <c r="H77">
        <f>VLOOKUP(A78,[1]timesData!$B:$P,7,FALSE)</f>
        <v>52.7</v>
      </c>
      <c r="I77">
        <f>VLOOKUP(A78,[1]timesData!$B:$P,8,FALSE)</f>
        <v>60.7</v>
      </c>
      <c r="J77">
        <f>VLOOKUP(A78,[1]timesData!$B:$P,9,FALSE)</f>
        <v>20771</v>
      </c>
      <c r="K77">
        <f>VLOOKUP(A78,[1]timesData!$B:$P,10,FALSE)</f>
        <v>30.1</v>
      </c>
      <c r="L77">
        <f>VLOOKUP(A78,[1]timesData!$B:$P,11,FALSE)</f>
        <v>0.26</v>
      </c>
      <c r="M77">
        <f>VLOOKUP(A78,[1]timesData!$B:$P,12,FALSE)</f>
        <v>2.036111111111111</v>
      </c>
      <c r="N77">
        <f>VLOOKUP(A78,[1]timesData!$B:$P,13,FALSE)</f>
        <v>2011</v>
      </c>
      <c r="O77">
        <f>VLOOKUP(A77,[2]cwurData!$B:$P,14,FALSE)</f>
        <v>44</v>
      </c>
      <c r="P77">
        <f>VLOOKUP(A77,[2]cwurData!$B:$N, 3, FALSE)</f>
        <v>32</v>
      </c>
      <c r="Q77">
        <f>VLOOKUP(A77,[2]cwurData!$B:$N, 4, FALSE)</f>
        <v>101</v>
      </c>
      <c r="R77">
        <f>VLOOKUP(A77,[2]cwurData!$B:$N, 5, FALSE)</f>
        <v>101</v>
      </c>
      <c r="S77">
        <f>VLOOKUP(A77,[2]cwurData!$B:$N, 6, FALSE)</f>
        <v>63</v>
      </c>
      <c r="T77">
        <f>VLOOKUP(A77,[2]cwurData!$B:$N, 7, FALSE)</f>
        <v>46</v>
      </c>
      <c r="U77">
        <f>VLOOKUP(A77,[2]cwurData!$B:$N, 8, FALSE)</f>
        <v>48</v>
      </c>
      <c r="V77">
        <f>VLOOKUP(A77,[2]cwurData!$B:$N, 9, FALSE)</f>
        <v>32</v>
      </c>
      <c r="W77">
        <f>VLOOKUP(A77,[2]cwurData!$B:$N, 10, FALSE)</f>
        <v>0</v>
      </c>
      <c r="X77">
        <f>VLOOKUP(A77,[2]cwurData!$B:$N, 11, FALSE)</f>
        <v>23</v>
      </c>
      <c r="Y77">
        <f>VLOOKUP(A77,[2]cwurData!$B:$N, 12, FALSE)</f>
        <v>51.38</v>
      </c>
      <c r="Z77">
        <f>VLOOKUP(A77,[2]cwurData!$B:$N, 13, FALSE)</f>
        <v>2012</v>
      </c>
    </row>
    <row r="78" spans="1:26" x14ac:dyDescent="0.3">
      <c r="A78" t="s">
        <v>73</v>
      </c>
      <c r="B78" t="str">
        <f>IFERROR(VLOOKUP(A78,[1]timesData!$B:$P,2,FALSE),VLOOKUP(A78,[2]cwurData!$B:$P,2,FALSE))</f>
        <v>Australia</v>
      </c>
      <c r="C78">
        <f>VLOOKUP(A78,[1]timesData!$B:$P,3,FALSE)</f>
        <v>73</v>
      </c>
      <c r="D78">
        <f>VLOOKUP(A79,[1]timesData!$B:$P,3,FALSE)</f>
        <v>75</v>
      </c>
      <c r="E78">
        <f>VLOOKUP(A79,[1]timesData!$B:$P,4,FALSE)</f>
        <v>20.9</v>
      </c>
      <c r="F78">
        <f>VLOOKUP(A79,[1]timesData!$B:$P,5,FALSE)</f>
        <v>36.1</v>
      </c>
      <c r="G78">
        <f>VLOOKUP(A79,[1]timesData!$B:$P,6,FALSE)</f>
        <v>95.6</v>
      </c>
      <c r="H78" t="str">
        <f>VLOOKUP(A79,[1]timesData!$B:$P,7,FALSE)</f>
        <v>-</v>
      </c>
      <c r="I78">
        <f>VLOOKUP(A79,[1]timesData!$B:$P,8,FALSE)</f>
        <v>60.4</v>
      </c>
      <c r="J78">
        <f>VLOOKUP(A79,[1]timesData!$B:$P,9,FALSE)</f>
        <v>7867</v>
      </c>
      <c r="K78">
        <f>VLOOKUP(A79,[1]timesData!$B:$P,10,FALSE)</f>
        <v>11.8</v>
      </c>
      <c r="L78">
        <f>VLOOKUP(A79,[1]timesData!$B:$P,11,FALSE)</f>
        <v>7.0000000000000007E-2</v>
      </c>
      <c r="M78">
        <f>VLOOKUP(A79,[1]timesData!$B:$P,12,FALSE)</f>
        <v>2.2819444444444446</v>
      </c>
      <c r="N78">
        <f>VLOOKUP(A79,[1]timesData!$B:$P,13,FALSE)</f>
        <v>2011</v>
      </c>
      <c r="O78">
        <f>VLOOKUP(A78,[2]cwurData!$B:$P,14,FALSE)</f>
        <v>340</v>
      </c>
      <c r="P78">
        <f>VLOOKUP(A78,[2]cwurData!$B:$N, 3, FALSE)</f>
        <v>8</v>
      </c>
      <c r="Q78">
        <f>VLOOKUP(A78,[2]cwurData!$B:$N, 4, FALSE)</f>
        <v>201</v>
      </c>
      <c r="R78">
        <f>VLOOKUP(A78,[2]cwurData!$B:$N, 5, FALSE)</f>
        <v>400</v>
      </c>
      <c r="S78">
        <f>VLOOKUP(A78,[2]cwurData!$B:$N, 6, FALSE)</f>
        <v>210</v>
      </c>
      <c r="T78">
        <f>VLOOKUP(A78,[2]cwurData!$B:$N, 7, FALSE)</f>
        <v>244</v>
      </c>
      <c r="U78">
        <f>VLOOKUP(A78,[2]cwurData!$B:$N, 8, FALSE)</f>
        <v>254</v>
      </c>
      <c r="V78">
        <f>VLOOKUP(A78,[2]cwurData!$B:$N, 9, FALSE)</f>
        <v>283</v>
      </c>
      <c r="W78">
        <f>VLOOKUP(A78,[2]cwurData!$B:$N, 10, FALSE)</f>
        <v>313</v>
      </c>
      <c r="X78">
        <f>VLOOKUP(A78,[2]cwurData!$B:$N, 11, FALSE)</f>
        <v>737</v>
      </c>
      <c r="Y78">
        <f>VLOOKUP(A78,[2]cwurData!$B:$N, 12, FALSE)</f>
        <v>45.97</v>
      </c>
      <c r="Z78">
        <f>VLOOKUP(A78,[2]cwurData!$B:$N, 13, FALSE)</f>
        <v>2014</v>
      </c>
    </row>
    <row r="79" spans="1:26" x14ac:dyDescent="0.3">
      <c r="A79" t="s">
        <v>75</v>
      </c>
      <c r="B79" t="str">
        <f>IFERROR(VLOOKUP(A79,[1]timesData!$B:$P,2,FALSE),VLOOKUP(A79,[2]cwurData!$B:$P,2,FALSE))</f>
        <v>United States of America</v>
      </c>
      <c r="C79">
        <f>VLOOKUP(A79,[1]timesData!$B:$P,3,FALSE)</f>
        <v>75</v>
      </c>
      <c r="D79">
        <f>VLOOKUP(A80,[1]timesData!$B:$P,3,FALSE)</f>
        <v>76</v>
      </c>
      <c r="E79">
        <f>VLOOKUP(A80,[1]timesData!$B:$P,4,FALSE)</f>
        <v>84.2</v>
      </c>
      <c r="F79">
        <f>VLOOKUP(A80,[1]timesData!$B:$P,5,FALSE)</f>
        <v>45.3</v>
      </c>
      <c r="G79">
        <f>VLOOKUP(A80,[1]timesData!$B:$P,6,FALSE)</f>
        <v>84.4</v>
      </c>
      <c r="H79">
        <f>VLOOKUP(A80,[1]timesData!$B:$P,7,FALSE)</f>
        <v>31.6</v>
      </c>
      <c r="I79">
        <f>VLOOKUP(A80,[1]timesData!$B:$P,8,FALSE)</f>
        <v>60.3</v>
      </c>
      <c r="J79">
        <f>VLOOKUP(A80,[1]timesData!$B:$P,9,FALSE)</f>
        <v>15521</v>
      </c>
      <c r="K79">
        <f>VLOOKUP(A80,[1]timesData!$B:$P,10,FALSE)</f>
        <v>18</v>
      </c>
      <c r="L79">
        <f>VLOOKUP(A80,[1]timesData!$B:$P,11,FALSE)</f>
        <v>0.25</v>
      </c>
      <c r="M79">
        <f>VLOOKUP(A80,[1]timesData!$B:$P,12,FALSE)</f>
        <v>2.4048611111111109</v>
      </c>
      <c r="N79">
        <f>VLOOKUP(A80,[1]timesData!$B:$P,13,FALSE)</f>
        <v>2011</v>
      </c>
      <c r="O79" t="e">
        <f>VLOOKUP(A79,[2]cwurData!$B:$P,14,FALSE)</f>
        <v>#N/A</v>
      </c>
      <c r="P79" t="e">
        <f>VLOOKUP(A79,[2]cwurData!$B:$N, 3, FALSE)</f>
        <v>#N/A</v>
      </c>
      <c r="Q79" t="e">
        <f>VLOOKUP(A79,[2]cwurData!$B:$N, 4, FALSE)</f>
        <v>#N/A</v>
      </c>
      <c r="R79" t="e">
        <f>VLOOKUP(A79,[2]cwurData!$B:$N, 5, FALSE)</f>
        <v>#N/A</v>
      </c>
      <c r="S79" t="e">
        <f>VLOOKUP(A79,[2]cwurData!$B:$N, 6, FALSE)</f>
        <v>#N/A</v>
      </c>
      <c r="T79" t="e">
        <f>VLOOKUP(A79,[2]cwurData!$B:$N, 7, FALSE)</f>
        <v>#N/A</v>
      </c>
      <c r="U79" t="e">
        <f>VLOOKUP(A79,[2]cwurData!$B:$N, 8, FALSE)</f>
        <v>#N/A</v>
      </c>
      <c r="V79" t="e">
        <f>VLOOKUP(A79,[2]cwurData!$B:$N, 9, FALSE)</f>
        <v>#N/A</v>
      </c>
      <c r="W79" t="e">
        <f>VLOOKUP(A79,[2]cwurData!$B:$N, 10, FALSE)</f>
        <v>#N/A</v>
      </c>
      <c r="X79" t="e">
        <f>VLOOKUP(A79,[2]cwurData!$B:$N, 11, FALSE)</f>
        <v>#N/A</v>
      </c>
      <c r="Y79" t="e">
        <f>VLOOKUP(A79,[2]cwurData!$B:$N, 12, FALSE)</f>
        <v>#N/A</v>
      </c>
      <c r="Z79" t="e">
        <f>VLOOKUP(A79,[2]cwurData!$B:$N, 13, FALSE)</f>
        <v>#N/A</v>
      </c>
    </row>
    <row r="80" spans="1:26" x14ac:dyDescent="0.3">
      <c r="A80" t="s">
        <v>76</v>
      </c>
      <c r="B80" t="str">
        <f>IFERROR(VLOOKUP(A80,[1]timesData!$B:$P,2,FALSE),VLOOKUP(A80,[2]cwurData!$B:$P,2,FALSE))</f>
        <v>Republic of Ireland</v>
      </c>
      <c r="C80">
        <f>VLOOKUP(A80,[1]timesData!$B:$P,3,FALSE)</f>
        <v>76</v>
      </c>
      <c r="D80">
        <f>VLOOKUP(A81,[1]timesData!$B:$P,3,FALSE)</f>
        <v>77</v>
      </c>
      <c r="E80">
        <f>VLOOKUP(A81,[1]timesData!$B:$P,4,FALSE)</f>
        <v>85.9</v>
      </c>
      <c r="F80">
        <f>VLOOKUP(A81,[1]timesData!$B:$P,5,FALSE)</f>
        <v>54.5</v>
      </c>
      <c r="G80">
        <f>VLOOKUP(A81,[1]timesData!$B:$P,6,FALSE)</f>
        <v>72.099999999999994</v>
      </c>
      <c r="H80">
        <f>VLOOKUP(A81,[1]timesData!$B:$P,7,FALSE)</f>
        <v>44.1</v>
      </c>
      <c r="I80">
        <f>VLOOKUP(A81,[1]timesData!$B:$P,8,FALSE)</f>
        <v>59.7</v>
      </c>
      <c r="J80">
        <f>VLOOKUP(A81,[1]timesData!$B:$P,9,FALSE)</f>
        <v>21394</v>
      </c>
      <c r="K80">
        <f>VLOOKUP(A81,[1]timesData!$B:$P,10,FALSE)</f>
        <v>11.4</v>
      </c>
      <c r="L80">
        <f>VLOOKUP(A81,[1]timesData!$B:$P,11,FALSE)</f>
        <v>0.37</v>
      </c>
      <c r="M80">
        <f>VLOOKUP(A81,[1]timesData!$B:$P,12,FALSE)</f>
        <v>2.5687500000000001</v>
      </c>
      <c r="N80">
        <f>VLOOKUP(A81,[1]timesData!$B:$P,13,FALSE)</f>
        <v>2011</v>
      </c>
      <c r="O80" t="e">
        <f>VLOOKUP(A80,[2]cwurData!$B:$P,14,FALSE)</f>
        <v>#N/A</v>
      </c>
      <c r="P80" t="e">
        <f>VLOOKUP(A80,[2]cwurData!$B:$N, 3, FALSE)</f>
        <v>#N/A</v>
      </c>
      <c r="Q80" t="e">
        <f>VLOOKUP(A80,[2]cwurData!$B:$N, 4, FALSE)</f>
        <v>#N/A</v>
      </c>
      <c r="R80" t="e">
        <f>VLOOKUP(A80,[2]cwurData!$B:$N, 5, FALSE)</f>
        <v>#N/A</v>
      </c>
      <c r="S80" t="e">
        <f>VLOOKUP(A80,[2]cwurData!$B:$N, 6, FALSE)</f>
        <v>#N/A</v>
      </c>
      <c r="T80" t="e">
        <f>VLOOKUP(A80,[2]cwurData!$B:$N, 7, FALSE)</f>
        <v>#N/A</v>
      </c>
      <c r="U80" t="e">
        <f>VLOOKUP(A80,[2]cwurData!$B:$N, 8, FALSE)</f>
        <v>#N/A</v>
      </c>
      <c r="V80" t="e">
        <f>VLOOKUP(A80,[2]cwurData!$B:$N, 9, FALSE)</f>
        <v>#N/A</v>
      </c>
      <c r="W80" t="e">
        <f>VLOOKUP(A80,[2]cwurData!$B:$N, 10, FALSE)</f>
        <v>#N/A</v>
      </c>
      <c r="X80" t="e">
        <f>VLOOKUP(A80,[2]cwurData!$B:$N, 11, FALSE)</f>
        <v>#N/A</v>
      </c>
      <c r="Y80" t="e">
        <f>VLOOKUP(A80,[2]cwurData!$B:$N, 12, FALSE)</f>
        <v>#N/A</v>
      </c>
      <c r="Z80" t="e">
        <f>VLOOKUP(A80,[2]cwurData!$B:$N, 13, FALSE)</f>
        <v>#N/A</v>
      </c>
    </row>
    <row r="81" spans="1:26" x14ac:dyDescent="0.3">
      <c r="A81" t="s">
        <v>77</v>
      </c>
      <c r="B81" t="str">
        <f>IFERROR(VLOOKUP(A81,[1]timesData!$B:$P,2,FALSE),VLOOKUP(A81,[2]cwurData!$B:$P,2,FALSE))</f>
        <v>United Kingdom</v>
      </c>
      <c r="C81">
        <f>VLOOKUP(A81,[1]timesData!$B:$P,3,FALSE)</f>
        <v>77</v>
      </c>
      <c r="D81">
        <f>VLOOKUP(A82,[1]timesData!$B:$P,3,FALSE)</f>
        <v>78</v>
      </c>
      <c r="E81">
        <f>VLOOKUP(A82,[1]timesData!$B:$P,4,FALSE)</f>
        <v>52.2</v>
      </c>
      <c r="F81">
        <f>VLOOKUP(A82,[1]timesData!$B:$P,5,FALSE)</f>
        <v>43.6</v>
      </c>
      <c r="G81">
        <f>VLOOKUP(A82,[1]timesData!$B:$P,6,FALSE)</f>
        <v>85.8</v>
      </c>
      <c r="H81" t="str">
        <f>VLOOKUP(A82,[1]timesData!$B:$P,7,FALSE)</f>
        <v>-</v>
      </c>
      <c r="I81">
        <f>VLOOKUP(A82,[1]timesData!$B:$P,8,FALSE)</f>
        <v>59.6</v>
      </c>
      <c r="J81">
        <f>VLOOKUP(A82,[1]timesData!$B:$P,9,FALSE)</f>
        <v>21908</v>
      </c>
      <c r="K81">
        <f>VLOOKUP(A82,[1]timesData!$B:$P,10,FALSE)</f>
        <v>10.9</v>
      </c>
      <c r="L81">
        <f>VLOOKUP(A82,[1]timesData!$B:$P,11,FALSE)</f>
        <v>0.24</v>
      </c>
      <c r="M81">
        <f>VLOOKUP(A82,[1]timesData!$B:$P,12,FALSE)</f>
        <v>2.1180555555555554</v>
      </c>
      <c r="N81">
        <f>VLOOKUP(A82,[1]timesData!$B:$P,13,FALSE)</f>
        <v>2011</v>
      </c>
      <c r="O81" t="e">
        <f>VLOOKUP(A81,[2]cwurData!$B:$P,14,FALSE)</f>
        <v>#N/A</v>
      </c>
      <c r="P81" t="e">
        <f>VLOOKUP(A81,[2]cwurData!$B:$N, 3, FALSE)</f>
        <v>#N/A</v>
      </c>
      <c r="Q81" t="e">
        <f>VLOOKUP(A81,[2]cwurData!$B:$N, 4, FALSE)</f>
        <v>#N/A</v>
      </c>
      <c r="R81" t="e">
        <f>VLOOKUP(A81,[2]cwurData!$B:$N, 5, FALSE)</f>
        <v>#N/A</v>
      </c>
      <c r="S81" t="e">
        <f>VLOOKUP(A81,[2]cwurData!$B:$N, 6, FALSE)</f>
        <v>#N/A</v>
      </c>
      <c r="T81" t="e">
        <f>VLOOKUP(A81,[2]cwurData!$B:$N, 7, FALSE)</f>
        <v>#N/A</v>
      </c>
      <c r="U81" t="e">
        <f>VLOOKUP(A81,[2]cwurData!$B:$N, 8, FALSE)</f>
        <v>#N/A</v>
      </c>
      <c r="V81" t="e">
        <f>VLOOKUP(A81,[2]cwurData!$B:$N, 9, FALSE)</f>
        <v>#N/A</v>
      </c>
      <c r="W81" t="e">
        <f>VLOOKUP(A81,[2]cwurData!$B:$N, 10, FALSE)</f>
        <v>#N/A</v>
      </c>
      <c r="X81" t="e">
        <f>VLOOKUP(A81,[2]cwurData!$B:$N, 11, FALSE)</f>
        <v>#N/A</v>
      </c>
      <c r="Y81" t="e">
        <f>VLOOKUP(A81,[2]cwurData!$B:$N, 12, FALSE)</f>
        <v>#N/A</v>
      </c>
      <c r="Z81" t="e">
        <f>VLOOKUP(A81,[2]cwurData!$B:$N, 13, FALSE)</f>
        <v>#N/A</v>
      </c>
    </row>
    <row r="82" spans="1:26" x14ac:dyDescent="0.3">
      <c r="A82" t="s">
        <v>78</v>
      </c>
      <c r="B82" t="str">
        <f>IFERROR(VLOOKUP(A82,[1]timesData!$B:$P,2,FALSE),VLOOKUP(A82,[2]cwurData!$B:$P,2,FALSE))</f>
        <v>United States of America</v>
      </c>
      <c r="C82">
        <f>VLOOKUP(A82,[1]timesData!$B:$P,3,FALSE)</f>
        <v>78</v>
      </c>
      <c r="D82">
        <f>VLOOKUP(A83,[1]timesData!$B:$P,3,FALSE)</f>
        <v>79</v>
      </c>
      <c r="E82">
        <f>VLOOKUP(A83,[1]timesData!$B:$P,4,FALSE)</f>
        <v>36.700000000000003</v>
      </c>
      <c r="F82">
        <f>VLOOKUP(A83,[1]timesData!$B:$P,5,FALSE)</f>
        <v>63.4</v>
      </c>
      <c r="G82">
        <f>VLOOKUP(A83,[1]timesData!$B:$P,6,FALSE)</f>
        <v>45.5</v>
      </c>
      <c r="H82">
        <f>VLOOKUP(A83,[1]timesData!$B:$P,7,FALSE)</f>
        <v>100</v>
      </c>
      <c r="I82">
        <f>VLOOKUP(A83,[1]timesData!$B:$P,8,FALSE)</f>
        <v>59.5</v>
      </c>
      <c r="J82">
        <f>VLOOKUP(A83,[1]timesData!$B:$P,9,FALSE)</f>
        <v>9027</v>
      </c>
      <c r="K82">
        <f>VLOOKUP(A83,[1]timesData!$B:$P,10,FALSE)</f>
        <v>10</v>
      </c>
      <c r="L82">
        <f>VLOOKUP(A83,[1]timesData!$B:$P,11,FALSE)</f>
        <v>0.09</v>
      </c>
      <c r="M82">
        <f>VLOOKUP(A83,[1]timesData!$B:$P,12,FALSE)</f>
        <v>0.88888888888888884</v>
      </c>
      <c r="N82">
        <f>VLOOKUP(A83,[1]timesData!$B:$P,13,FALSE)</f>
        <v>2011</v>
      </c>
      <c r="O82">
        <f>VLOOKUP(A82,[2]cwurData!$B:$P,14,FALSE)</f>
        <v>89</v>
      </c>
      <c r="P82">
        <f>VLOOKUP(A82,[2]cwurData!$B:$N, 3, FALSE)</f>
        <v>54</v>
      </c>
      <c r="Q82">
        <f>VLOOKUP(A82,[2]cwurData!$B:$N, 4, FALSE)</f>
        <v>101</v>
      </c>
      <c r="R82">
        <f>VLOOKUP(A82,[2]cwurData!$B:$N, 5, FALSE)</f>
        <v>101</v>
      </c>
      <c r="S82">
        <f>VLOOKUP(A82,[2]cwurData!$B:$N, 6, FALSE)</f>
        <v>68</v>
      </c>
      <c r="T82">
        <f>VLOOKUP(A82,[2]cwurData!$B:$N, 7, FALSE)</f>
        <v>101</v>
      </c>
      <c r="U82">
        <f>VLOOKUP(A82,[2]cwurData!$B:$N, 8, FALSE)</f>
        <v>101</v>
      </c>
      <c r="V82">
        <f>VLOOKUP(A82,[2]cwurData!$B:$N, 9, FALSE)</f>
        <v>98</v>
      </c>
      <c r="W82">
        <f>VLOOKUP(A82,[2]cwurData!$B:$N, 10, FALSE)</f>
        <v>0</v>
      </c>
      <c r="X82">
        <f>VLOOKUP(A82,[2]cwurData!$B:$N, 11, FALSE)</f>
        <v>90</v>
      </c>
      <c r="Y82">
        <f>VLOOKUP(A82,[2]cwurData!$B:$N, 12, FALSE)</f>
        <v>45.01</v>
      </c>
      <c r="Z82">
        <f>VLOOKUP(A82,[2]cwurData!$B:$N, 13, FALSE)</f>
        <v>2013</v>
      </c>
    </row>
    <row r="83" spans="1:26" x14ac:dyDescent="0.3">
      <c r="A83" t="s">
        <v>79</v>
      </c>
      <c r="B83" t="str">
        <f>IFERROR(VLOOKUP(A83,[1]timesData!$B:$P,2,FALSE),VLOOKUP(A83,[2]cwurData!$B:$P,2,FALSE))</f>
        <v>South Korea</v>
      </c>
      <c r="C83">
        <f>VLOOKUP(A83,[1]timesData!$B:$P,3,FALSE)</f>
        <v>79</v>
      </c>
      <c r="D83">
        <f>VLOOKUP(A84,[1]timesData!$B:$P,3,FALSE)</f>
        <v>79</v>
      </c>
      <c r="E83">
        <f>VLOOKUP(A84,[1]timesData!$B:$P,4,FALSE)</f>
        <v>72.8</v>
      </c>
      <c r="F83">
        <f>VLOOKUP(A84,[1]timesData!$B:$P,5,FALSE)</f>
        <v>42.4</v>
      </c>
      <c r="G83">
        <f>VLOOKUP(A84,[1]timesData!$B:$P,6,FALSE)</f>
        <v>91.6</v>
      </c>
      <c r="H83">
        <f>VLOOKUP(A84,[1]timesData!$B:$P,7,FALSE)</f>
        <v>29.1</v>
      </c>
      <c r="I83">
        <f>VLOOKUP(A84,[1]timesData!$B:$P,8,FALSE)</f>
        <v>59.5</v>
      </c>
      <c r="J83">
        <f>VLOOKUP(A84,[1]timesData!$B:$P,9,FALSE)</f>
        <v>12001</v>
      </c>
      <c r="K83">
        <f>VLOOKUP(A84,[1]timesData!$B:$P,10,FALSE)</f>
        <v>17.399999999999999</v>
      </c>
      <c r="L83">
        <f>VLOOKUP(A84,[1]timesData!$B:$P,11,FALSE)</f>
        <v>0.35</v>
      </c>
      <c r="M83">
        <f>VLOOKUP(A84,[1]timesData!$B:$P,12,FALSE)</f>
        <v>2.2819444444444446</v>
      </c>
      <c r="N83">
        <f>VLOOKUP(A84,[1]timesData!$B:$P,13,FALSE)</f>
        <v>2011</v>
      </c>
      <c r="O83">
        <f>VLOOKUP(A83,[2]cwurData!$B:$P,14,FALSE)</f>
        <v>128</v>
      </c>
      <c r="P83">
        <f>VLOOKUP(A83,[2]cwurData!$B:$N, 3, FALSE)</f>
        <v>3</v>
      </c>
      <c r="Q83">
        <f>VLOOKUP(A83,[2]cwurData!$B:$N, 4, FALSE)</f>
        <v>355</v>
      </c>
      <c r="R83">
        <f>VLOOKUP(A83,[2]cwurData!$B:$N, 5, FALSE)</f>
        <v>85</v>
      </c>
      <c r="S83">
        <f>VLOOKUP(A83,[2]cwurData!$B:$N, 6, FALSE)</f>
        <v>210</v>
      </c>
      <c r="T83">
        <f>VLOOKUP(A83,[2]cwurData!$B:$N, 7, FALSE)</f>
        <v>186</v>
      </c>
      <c r="U83">
        <f>VLOOKUP(A83,[2]cwurData!$B:$N, 8, FALSE)</f>
        <v>262</v>
      </c>
      <c r="V83">
        <f>VLOOKUP(A83,[2]cwurData!$B:$N, 9, FALSE)</f>
        <v>363</v>
      </c>
      <c r="W83">
        <f>VLOOKUP(A83,[2]cwurData!$B:$N, 10, FALSE)</f>
        <v>306</v>
      </c>
      <c r="X83">
        <f>VLOOKUP(A83,[2]cwurData!$B:$N, 11, FALSE)</f>
        <v>11</v>
      </c>
      <c r="Y83">
        <f>VLOOKUP(A83,[2]cwurData!$B:$N, 12, FALSE)</f>
        <v>49.88</v>
      </c>
      <c r="Z83">
        <f>VLOOKUP(A83,[2]cwurData!$B:$N, 13, FALSE)</f>
        <v>2014</v>
      </c>
    </row>
    <row r="84" spans="1:26" x14ac:dyDescent="0.3">
      <c r="A84" t="s">
        <v>80</v>
      </c>
      <c r="B84" t="str">
        <f>IFERROR(VLOOKUP(A84,[1]timesData!$B:$P,2,FALSE),VLOOKUP(A84,[2]cwurData!$B:$P,2,FALSE))</f>
        <v>United Kingdom</v>
      </c>
      <c r="C84">
        <f>VLOOKUP(A84,[1]timesData!$B:$P,3,FALSE)</f>
        <v>79</v>
      </c>
      <c r="D84">
        <f>VLOOKUP(A85,[1]timesData!$B:$P,3,FALSE)</f>
        <v>81</v>
      </c>
      <c r="E84">
        <f>VLOOKUP(A85,[1]timesData!$B:$P,4,FALSE)</f>
        <v>45.7</v>
      </c>
      <c r="F84">
        <f>VLOOKUP(A85,[1]timesData!$B:$P,5,FALSE)</f>
        <v>33.5</v>
      </c>
      <c r="G84">
        <f>VLOOKUP(A85,[1]timesData!$B:$P,6,FALSE)</f>
        <v>94.5</v>
      </c>
      <c r="H84">
        <f>VLOOKUP(A85,[1]timesData!$B:$P,7,FALSE)</f>
        <v>36.4</v>
      </c>
      <c r="I84">
        <f>VLOOKUP(A85,[1]timesData!$B:$P,8,FALSE)</f>
        <v>56.8</v>
      </c>
      <c r="J84">
        <f>VLOOKUP(A85,[1]timesData!$B:$P,9,FALSE)</f>
        <v>9390</v>
      </c>
      <c r="K84">
        <f>VLOOKUP(A85,[1]timesData!$B:$P,10,FALSE)</f>
        <v>4.5</v>
      </c>
      <c r="L84">
        <f>VLOOKUP(A85,[1]timesData!$B:$P,11,FALSE)</f>
        <v>0.26</v>
      </c>
      <c r="M84">
        <f>VLOOKUP(A85,[1]timesData!$B:$P,12,FALSE)</f>
        <v>2.0770833333333334</v>
      </c>
      <c r="N84">
        <f>VLOOKUP(A85,[1]timesData!$B:$P,13,FALSE)</f>
        <v>2012</v>
      </c>
      <c r="O84">
        <f>VLOOKUP(A84,[2]cwurData!$B:$P,14,FALSE)</f>
        <v>190</v>
      </c>
      <c r="P84">
        <f>VLOOKUP(A84,[2]cwurData!$B:$N, 3, FALSE)</f>
        <v>15</v>
      </c>
      <c r="Q84">
        <f>VLOOKUP(A84,[2]cwurData!$B:$N, 4, FALSE)</f>
        <v>138</v>
      </c>
      <c r="R84">
        <f>VLOOKUP(A84,[2]cwurData!$B:$N, 5, FALSE)</f>
        <v>218</v>
      </c>
      <c r="S84">
        <f>VLOOKUP(A84,[2]cwurData!$B:$N, 6, FALSE)</f>
        <v>40</v>
      </c>
      <c r="T84">
        <f>VLOOKUP(A84,[2]cwurData!$B:$N, 7, FALSE)</f>
        <v>368</v>
      </c>
      <c r="U84">
        <f>VLOOKUP(A84,[2]cwurData!$B:$N, 8, FALSE)</f>
        <v>261</v>
      </c>
      <c r="V84">
        <f>VLOOKUP(A84,[2]cwurData!$B:$N, 9, FALSE)</f>
        <v>176</v>
      </c>
      <c r="W84">
        <f>VLOOKUP(A84,[2]cwurData!$B:$N, 10, FALSE)</f>
        <v>306</v>
      </c>
      <c r="X84">
        <f>VLOOKUP(A84,[2]cwurData!$B:$N, 11, FALSE)</f>
        <v>481</v>
      </c>
      <c r="Y84">
        <f>VLOOKUP(A84,[2]cwurData!$B:$N, 12, FALSE)</f>
        <v>48.12</v>
      </c>
      <c r="Z84">
        <f>VLOOKUP(A84,[2]cwurData!$B:$N, 13, FALSE)</f>
        <v>2014</v>
      </c>
    </row>
    <row r="85" spans="1:26" x14ac:dyDescent="0.3">
      <c r="A85" t="s">
        <v>203</v>
      </c>
      <c r="B85" t="str">
        <f>IFERROR(VLOOKUP(A85,[1]timesData!$B:$P,2,FALSE),VLOOKUP(A85,[2]cwurData!$B:$P,2,FALSE))</f>
        <v>United States of America</v>
      </c>
      <c r="C85">
        <f>VLOOKUP(A85,[1]timesData!$B:$P,3,FALSE)</f>
        <v>81</v>
      </c>
      <c r="D85">
        <f>VLOOKUP(A86,[1]timesData!$B:$P,3,FALSE)</f>
        <v>81</v>
      </c>
      <c r="E85">
        <f>VLOOKUP(A86,[1]timesData!$B:$P,4,FALSE)</f>
        <v>66.599999999999994</v>
      </c>
      <c r="F85">
        <f>VLOOKUP(A86,[1]timesData!$B:$P,5,FALSE)</f>
        <v>46.2</v>
      </c>
      <c r="G85">
        <f>VLOOKUP(A86,[1]timesData!$B:$P,6,FALSE)</f>
        <v>81.900000000000006</v>
      </c>
      <c r="H85">
        <f>VLOOKUP(A86,[1]timesData!$B:$P,7,FALSE)</f>
        <v>36.200000000000003</v>
      </c>
      <c r="I85">
        <f>VLOOKUP(A86,[1]timesData!$B:$P,8,FALSE)</f>
        <v>59.1</v>
      </c>
      <c r="J85">
        <f>VLOOKUP(A86,[1]timesData!$B:$P,9,FALSE)</f>
        <v>0</v>
      </c>
      <c r="K85">
        <f>VLOOKUP(A86,[1]timesData!$B:$P,10,FALSE)</f>
        <v>0</v>
      </c>
      <c r="L85">
        <f>VLOOKUP(A86,[1]timesData!$B:$P,11,FALSE)</f>
        <v>0</v>
      </c>
      <c r="M85">
        <f>VLOOKUP(A86,[1]timesData!$B:$P,12,FALSE)</f>
        <v>0</v>
      </c>
      <c r="N85">
        <f>VLOOKUP(A86,[1]timesData!$B:$P,13,FALSE)</f>
        <v>2011</v>
      </c>
      <c r="O85">
        <f>VLOOKUP(A85,[2]cwurData!$B:$P,14,FALSE)</f>
        <v>53</v>
      </c>
      <c r="P85">
        <f>VLOOKUP(A85,[2]cwurData!$B:$N, 3, FALSE)</f>
        <v>39</v>
      </c>
      <c r="Q85">
        <f>VLOOKUP(A85,[2]cwurData!$B:$N, 4, FALSE)</f>
        <v>41</v>
      </c>
      <c r="R85">
        <f>VLOOKUP(A85,[2]cwurData!$B:$N, 5, FALSE)</f>
        <v>54</v>
      </c>
      <c r="S85">
        <f>VLOOKUP(A85,[2]cwurData!$B:$N, 6, FALSE)</f>
        <v>101</v>
      </c>
      <c r="T85">
        <f>VLOOKUP(A85,[2]cwurData!$B:$N, 7, FALSE)</f>
        <v>82</v>
      </c>
      <c r="U85">
        <f>VLOOKUP(A85,[2]cwurData!$B:$N, 8, FALSE)</f>
        <v>68</v>
      </c>
      <c r="V85">
        <f>VLOOKUP(A85,[2]cwurData!$B:$N, 9, FALSE)</f>
        <v>54</v>
      </c>
      <c r="W85">
        <f>VLOOKUP(A85,[2]cwurData!$B:$N, 10, FALSE)</f>
        <v>0</v>
      </c>
      <c r="X85">
        <f>VLOOKUP(A85,[2]cwurData!$B:$N, 11, FALSE)</f>
        <v>62</v>
      </c>
      <c r="Y85">
        <f>VLOOKUP(A85,[2]cwurData!$B:$N, 12, FALSE)</f>
        <v>49.51</v>
      </c>
      <c r="Z85">
        <f>VLOOKUP(A85,[2]cwurData!$B:$N, 13, FALSE)</f>
        <v>2012</v>
      </c>
    </row>
    <row r="86" spans="1:26" x14ac:dyDescent="0.3">
      <c r="A86" t="s">
        <v>82</v>
      </c>
      <c r="B86" t="str">
        <f>IFERROR(VLOOKUP(A86,[1]timesData!$B:$P,2,FALSE),VLOOKUP(A86,[2]cwurData!$B:$P,2,FALSE))</f>
        <v>United Kingdom</v>
      </c>
      <c r="C86">
        <f>VLOOKUP(A86,[1]timesData!$B:$P,3,FALSE)</f>
        <v>81</v>
      </c>
      <c r="D86">
        <f>VLOOKUP(A87,[1]timesData!$B:$P,3,FALSE)</f>
        <v>81</v>
      </c>
      <c r="E86">
        <f>VLOOKUP(A87,[1]timesData!$B:$P,4,FALSE)</f>
        <v>74.2</v>
      </c>
      <c r="F86">
        <f>VLOOKUP(A87,[1]timesData!$B:$P,5,FALSE)</f>
        <v>53.4</v>
      </c>
      <c r="G86">
        <f>VLOOKUP(A87,[1]timesData!$B:$P,6,FALSE)</f>
        <v>69</v>
      </c>
      <c r="H86">
        <f>VLOOKUP(A87,[1]timesData!$B:$P,7,FALSE)</f>
        <v>57.1</v>
      </c>
      <c r="I86">
        <f>VLOOKUP(A87,[1]timesData!$B:$P,8,FALSE)</f>
        <v>59.1</v>
      </c>
      <c r="J86">
        <f>VLOOKUP(A87,[1]timesData!$B:$P,9,FALSE)</f>
        <v>34718</v>
      </c>
      <c r="K86">
        <f>VLOOKUP(A87,[1]timesData!$B:$P,10,FALSE)</f>
        <v>32.700000000000003</v>
      </c>
      <c r="L86">
        <f>VLOOKUP(A87,[1]timesData!$B:$P,11,FALSE)</f>
        <v>0.27</v>
      </c>
      <c r="M86">
        <f>VLOOKUP(A87,[1]timesData!$B:$P,12,FALSE)</f>
        <v>2.2409722222222221</v>
      </c>
      <c r="N86">
        <f>VLOOKUP(A87,[1]timesData!$B:$P,13,FALSE)</f>
        <v>2011</v>
      </c>
      <c r="O86">
        <f>VLOOKUP(A86,[2]cwurData!$B:$P,14,FALSE)</f>
        <v>336</v>
      </c>
      <c r="P86">
        <f>VLOOKUP(A86,[2]cwurData!$B:$N, 3, FALSE)</f>
        <v>30</v>
      </c>
      <c r="Q86">
        <f>VLOOKUP(A86,[2]cwurData!$B:$N, 4, FALSE)</f>
        <v>355</v>
      </c>
      <c r="R86">
        <f>VLOOKUP(A86,[2]cwurData!$B:$N, 5, FALSE)</f>
        <v>478</v>
      </c>
      <c r="S86">
        <f>VLOOKUP(A86,[2]cwurData!$B:$N, 6, FALSE)</f>
        <v>210</v>
      </c>
      <c r="T86">
        <f>VLOOKUP(A86,[2]cwurData!$B:$N, 7, FALSE)</f>
        <v>272</v>
      </c>
      <c r="U86">
        <f>VLOOKUP(A86,[2]cwurData!$B:$N, 8, FALSE)</f>
        <v>209</v>
      </c>
      <c r="V86">
        <f>VLOOKUP(A86,[2]cwurData!$B:$N, 9, FALSE)</f>
        <v>159</v>
      </c>
      <c r="W86">
        <f>VLOOKUP(A86,[2]cwurData!$B:$N, 10, FALSE)</f>
        <v>295</v>
      </c>
      <c r="X86">
        <f>VLOOKUP(A86,[2]cwurData!$B:$N, 11, FALSE)</f>
        <v>481</v>
      </c>
      <c r="Y86">
        <f>VLOOKUP(A86,[2]cwurData!$B:$N, 12, FALSE)</f>
        <v>45.99</v>
      </c>
      <c r="Z86">
        <f>VLOOKUP(A86,[2]cwurData!$B:$N, 13, FALSE)</f>
        <v>2014</v>
      </c>
    </row>
    <row r="87" spans="1:26" x14ac:dyDescent="0.3">
      <c r="A87" t="s">
        <v>81</v>
      </c>
      <c r="B87" t="str">
        <f>IFERROR(VLOOKUP(A87,[1]timesData!$B:$P,2,FALSE),VLOOKUP(A87,[2]cwurData!$B:$P,2,FALSE))</f>
        <v>Australia</v>
      </c>
      <c r="C87">
        <f>VLOOKUP(A87,[1]timesData!$B:$P,3,FALSE)</f>
        <v>81</v>
      </c>
      <c r="D87">
        <f>VLOOKUP(A88,[1]timesData!$B:$P,3,FALSE)</f>
        <v>83</v>
      </c>
      <c r="E87">
        <f>VLOOKUP(A88,[1]timesData!$B:$P,4,FALSE)</f>
        <v>22.5</v>
      </c>
      <c r="F87">
        <f>VLOOKUP(A88,[1]timesData!$B:$P,5,FALSE)</f>
        <v>54.2</v>
      </c>
      <c r="G87">
        <f>VLOOKUP(A88,[1]timesData!$B:$P,6,FALSE)</f>
        <v>72</v>
      </c>
      <c r="H87" t="str">
        <f>VLOOKUP(A88,[1]timesData!$B:$P,7,FALSE)</f>
        <v>-</v>
      </c>
      <c r="I87">
        <f>VLOOKUP(A88,[1]timesData!$B:$P,8,FALSE)</f>
        <v>59</v>
      </c>
      <c r="J87">
        <f>VLOOKUP(A88,[1]timesData!$B:$P,9,FALSE)</f>
        <v>25674</v>
      </c>
      <c r="K87">
        <f>VLOOKUP(A88,[1]timesData!$B:$P,10,FALSE)</f>
        <v>16.899999999999999</v>
      </c>
      <c r="L87">
        <f>VLOOKUP(A88,[1]timesData!$B:$P,11,FALSE)</f>
        <v>0.09</v>
      </c>
      <c r="M87">
        <f>VLOOKUP(A88,[1]timesData!$B:$P,12,FALSE)</f>
        <v>1.9131944444444444</v>
      </c>
      <c r="N87">
        <f>VLOOKUP(A88,[1]timesData!$B:$P,13,FALSE)</f>
        <v>2011</v>
      </c>
      <c r="O87" t="e">
        <f>VLOOKUP(A87,[2]cwurData!$B:$P,14,FALSE)</f>
        <v>#N/A</v>
      </c>
      <c r="P87" t="e">
        <f>VLOOKUP(A87,[2]cwurData!$B:$N, 3, FALSE)</f>
        <v>#N/A</v>
      </c>
      <c r="Q87" t="e">
        <f>VLOOKUP(A87,[2]cwurData!$B:$N, 4, FALSE)</f>
        <v>#N/A</v>
      </c>
      <c r="R87" t="e">
        <f>VLOOKUP(A87,[2]cwurData!$B:$N, 5, FALSE)</f>
        <v>#N/A</v>
      </c>
      <c r="S87" t="e">
        <f>VLOOKUP(A87,[2]cwurData!$B:$N, 6, FALSE)</f>
        <v>#N/A</v>
      </c>
      <c r="T87" t="e">
        <f>VLOOKUP(A87,[2]cwurData!$B:$N, 7, FALSE)</f>
        <v>#N/A</v>
      </c>
      <c r="U87" t="e">
        <f>VLOOKUP(A87,[2]cwurData!$B:$N, 8, FALSE)</f>
        <v>#N/A</v>
      </c>
      <c r="V87" t="e">
        <f>VLOOKUP(A87,[2]cwurData!$B:$N, 9, FALSE)</f>
        <v>#N/A</v>
      </c>
      <c r="W87" t="e">
        <f>VLOOKUP(A87,[2]cwurData!$B:$N, 10, FALSE)</f>
        <v>#N/A</v>
      </c>
      <c r="X87" t="e">
        <f>VLOOKUP(A87,[2]cwurData!$B:$N, 11, FALSE)</f>
        <v>#N/A</v>
      </c>
      <c r="Y87" t="e">
        <f>VLOOKUP(A87,[2]cwurData!$B:$N, 12, FALSE)</f>
        <v>#N/A</v>
      </c>
      <c r="Z87" t="e">
        <f>VLOOKUP(A87,[2]cwurData!$B:$N, 13, FALSE)</f>
        <v>#N/A</v>
      </c>
    </row>
    <row r="88" spans="1:26" x14ac:dyDescent="0.3">
      <c r="A88" t="s">
        <v>84</v>
      </c>
      <c r="B88" t="str">
        <f>IFERROR(VLOOKUP(A88,[1]timesData!$B:$P,2,FALSE),VLOOKUP(A88,[2]cwurData!$B:$P,2,FALSE))</f>
        <v>United States of America</v>
      </c>
      <c r="C88">
        <f>VLOOKUP(A88,[1]timesData!$B:$P,3,FALSE)</f>
        <v>83</v>
      </c>
      <c r="D88">
        <f>VLOOKUP(A89,[1]timesData!$B:$P,3,FALSE)</f>
        <v>83</v>
      </c>
      <c r="E88">
        <f>VLOOKUP(A89,[1]timesData!$B:$P,4,FALSE)</f>
        <v>63.4</v>
      </c>
      <c r="F88">
        <f>VLOOKUP(A89,[1]timesData!$B:$P,5,FALSE)</f>
        <v>47.5</v>
      </c>
      <c r="G88">
        <f>VLOOKUP(A89,[1]timesData!$B:$P,6,FALSE)</f>
        <v>70.3</v>
      </c>
      <c r="H88">
        <f>VLOOKUP(A89,[1]timesData!$B:$P,7,FALSE)</f>
        <v>39.1</v>
      </c>
      <c r="I88">
        <f>VLOOKUP(A89,[1]timesData!$B:$P,8,FALSE)</f>
        <v>59</v>
      </c>
      <c r="J88">
        <f>VLOOKUP(A89,[1]timesData!$B:$P,9,FALSE)</f>
        <v>28881</v>
      </c>
      <c r="K88">
        <f>VLOOKUP(A89,[1]timesData!$B:$P,10,FALSE)</f>
        <v>24.5</v>
      </c>
      <c r="L88">
        <f>VLOOKUP(A89,[1]timesData!$B:$P,11,FALSE)</f>
        <v>0.17</v>
      </c>
      <c r="M88">
        <f>VLOOKUP(A89,[1]timesData!$B:$P,12,FALSE)</f>
        <v>2.3229166666666665</v>
      </c>
      <c r="N88">
        <f>VLOOKUP(A89,[1]timesData!$B:$P,13,FALSE)</f>
        <v>2011</v>
      </c>
      <c r="O88">
        <f>VLOOKUP(A88,[2]cwurData!$B:$P,14,FALSE)</f>
        <v>38</v>
      </c>
      <c r="P88">
        <f>VLOOKUP(A88,[2]cwurData!$B:$N, 3, FALSE)</f>
        <v>27</v>
      </c>
      <c r="Q88">
        <f>VLOOKUP(A88,[2]cwurData!$B:$N, 4, FALSE)</f>
        <v>92</v>
      </c>
      <c r="R88">
        <f>VLOOKUP(A88,[2]cwurData!$B:$N, 5, FALSE)</f>
        <v>101</v>
      </c>
      <c r="S88">
        <f>VLOOKUP(A88,[2]cwurData!$B:$N, 6, FALSE)</f>
        <v>41</v>
      </c>
      <c r="T88">
        <f>VLOOKUP(A88,[2]cwurData!$B:$N, 7, FALSE)</f>
        <v>74</v>
      </c>
      <c r="U88">
        <f>VLOOKUP(A88,[2]cwurData!$B:$N, 8, FALSE)</f>
        <v>52</v>
      </c>
      <c r="V88">
        <f>VLOOKUP(A88,[2]cwurData!$B:$N, 9, FALSE)</f>
        <v>67</v>
      </c>
      <c r="W88">
        <f>VLOOKUP(A88,[2]cwurData!$B:$N, 10, FALSE)</f>
        <v>0</v>
      </c>
      <c r="X88">
        <f>VLOOKUP(A88,[2]cwurData!$B:$N, 11, FALSE)</f>
        <v>12</v>
      </c>
      <c r="Y88">
        <f>VLOOKUP(A88,[2]cwurData!$B:$N, 12, FALSE)</f>
        <v>52.64</v>
      </c>
      <c r="Z88">
        <f>VLOOKUP(A88,[2]cwurData!$B:$N, 13, FALSE)</f>
        <v>2012</v>
      </c>
    </row>
    <row r="89" spans="1:26" x14ac:dyDescent="0.3">
      <c r="A89" t="s">
        <v>83</v>
      </c>
      <c r="B89" t="str">
        <f>IFERROR(VLOOKUP(A89,[1]timesData!$B:$P,2,FALSE),VLOOKUP(A89,[2]cwurData!$B:$P,2,FALSE))</f>
        <v>Germany</v>
      </c>
      <c r="C89">
        <f>VLOOKUP(A89,[1]timesData!$B:$P,3,FALSE)</f>
        <v>83</v>
      </c>
      <c r="D89">
        <f>VLOOKUP(A90,[1]timesData!$B:$P,3,FALSE)</f>
        <v>85</v>
      </c>
      <c r="E89">
        <f>VLOOKUP(A90,[1]timesData!$B:$P,4,FALSE)</f>
        <v>65.7</v>
      </c>
      <c r="F89">
        <f>VLOOKUP(A90,[1]timesData!$B:$P,5,FALSE)</f>
        <v>44.1</v>
      </c>
      <c r="G89">
        <f>VLOOKUP(A90,[1]timesData!$B:$P,6,FALSE)</f>
        <v>91</v>
      </c>
      <c r="H89">
        <f>VLOOKUP(A90,[1]timesData!$B:$P,7,FALSE)</f>
        <v>33.9</v>
      </c>
      <c r="I89">
        <f>VLOOKUP(A90,[1]timesData!$B:$P,8,FALSE)</f>
        <v>58.9</v>
      </c>
      <c r="J89">
        <f>VLOOKUP(A90,[1]timesData!$B:$P,9,FALSE)</f>
        <v>15489</v>
      </c>
      <c r="K89">
        <f>VLOOKUP(A90,[1]timesData!$B:$P,10,FALSE)</f>
        <v>15.7</v>
      </c>
      <c r="L89">
        <f>VLOOKUP(A90,[1]timesData!$B:$P,11,FALSE)</f>
        <v>0.24</v>
      </c>
      <c r="M89">
        <f>VLOOKUP(A90,[1]timesData!$B:$P,12,FALSE)</f>
        <v>2.2819444444444446</v>
      </c>
      <c r="N89">
        <f>VLOOKUP(A90,[1]timesData!$B:$P,13,FALSE)</f>
        <v>2011</v>
      </c>
      <c r="O89" t="e">
        <f>VLOOKUP(A89,[2]cwurData!$B:$P,14,FALSE)</f>
        <v>#N/A</v>
      </c>
      <c r="P89" t="e">
        <f>VLOOKUP(A89,[2]cwurData!$B:$N, 3, FALSE)</f>
        <v>#N/A</v>
      </c>
      <c r="Q89" t="e">
        <f>VLOOKUP(A89,[2]cwurData!$B:$N, 4, FALSE)</f>
        <v>#N/A</v>
      </c>
      <c r="R89" t="e">
        <f>VLOOKUP(A89,[2]cwurData!$B:$N, 5, FALSE)</f>
        <v>#N/A</v>
      </c>
      <c r="S89" t="e">
        <f>VLOOKUP(A89,[2]cwurData!$B:$N, 6, FALSE)</f>
        <v>#N/A</v>
      </c>
      <c r="T89" t="e">
        <f>VLOOKUP(A89,[2]cwurData!$B:$N, 7, FALSE)</f>
        <v>#N/A</v>
      </c>
      <c r="U89" t="e">
        <f>VLOOKUP(A89,[2]cwurData!$B:$N, 8, FALSE)</f>
        <v>#N/A</v>
      </c>
      <c r="V89" t="e">
        <f>VLOOKUP(A89,[2]cwurData!$B:$N, 9, FALSE)</f>
        <v>#N/A</v>
      </c>
      <c r="W89" t="e">
        <f>VLOOKUP(A89,[2]cwurData!$B:$N, 10, FALSE)</f>
        <v>#N/A</v>
      </c>
      <c r="X89" t="e">
        <f>VLOOKUP(A89,[2]cwurData!$B:$N, 11, FALSE)</f>
        <v>#N/A</v>
      </c>
      <c r="Y89" t="e">
        <f>VLOOKUP(A89,[2]cwurData!$B:$N, 12, FALSE)</f>
        <v>#N/A</v>
      </c>
      <c r="Z89" t="e">
        <f>VLOOKUP(A89,[2]cwurData!$B:$N, 13, FALSE)</f>
        <v>#N/A</v>
      </c>
    </row>
    <row r="90" spans="1:26" x14ac:dyDescent="0.3">
      <c r="A90" t="s">
        <v>85</v>
      </c>
      <c r="B90" t="str">
        <f>IFERROR(VLOOKUP(A90,[1]timesData!$B:$P,2,FALSE),VLOOKUP(A90,[2]cwurData!$B:$P,2,FALSE))</f>
        <v>United Kingdom</v>
      </c>
      <c r="C90">
        <f>VLOOKUP(A90,[1]timesData!$B:$P,3,FALSE)</f>
        <v>85</v>
      </c>
      <c r="D90">
        <f>VLOOKUP(A91,[1]timesData!$B:$P,3,FALSE)</f>
        <v>86</v>
      </c>
      <c r="E90">
        <f>VLOOKUP(A91,[1]timesData!$B:$P,4,FALSE)</f>
        <v>99.5</v>
      </c>
      <c r="F90">
        <f>VLOOKUP(A91,[1]timesData!$B:$P,5,FALSE)</f>
        <v>56.2</v>
      </c>
      <c r="G90">
        <f>VLOOKUP(A91,[1]timesData!$B:$P,6,FALSE)</f>
        <v>51.6</v>
      </c>
      <c r="H90">
        <f>VLOOKUP(A91,[1]timesData!$B:$P,7,FALSE)</f>
        <v>38.4</v>
      </c>
      <c r="I90">
        <f>VLOOKUP(A91,[1]timesData!$B:$P,8,FALSE)</f>
        <v>58.3</v>
      </c>
      <c r="J90">
        <f>VLOOKUP(A91,[1]timesData!$B:$P,9,FALSE)</f>
        <v>0</v>
      </c>
      <c r="K90">
        <f>VLOOKUP(A91,[1]timesData!$B:$P,10,FALSE)</f>
        <v>0</v>
      </c>
      <c r="L90">
        <f>VLOOKUP(A91,[1]timesData!$B:$P,11,FALSE)</f>
        <v>0</v>
      </c>
      <c r="M90">
        <f>VLOOKUP(A91,[1]timesData!$B:$P,12,FALSE)</f>
        <v>0</v>
      </c>
      <c r="N90">
        <f>VLOOKUP(A91,[1]timesData!$B:$P,13,FALSE)</f>
        <v>2011</v>
      </c>
      <c r="O90">
        <f>VLOOKUP(A90,[2]cwurData!$B:$P,14,FALSE)</f>
        <v>264</v>
      </c>
      <c r="P90">
        <f>VLOOKUP(A90,[2]cwurData!$B:$N, 3, FALSE)</f>
        <v>23</v>
      </c>
      <c r="Q90">
        <f>VLOOKUP(A90,[2]cwurData!$B:$N, 4, FALSE)</f>
        <v>122</v>
      </c>
      <c r="R90">
        <f>VLOOKUP(A90,[2]cwurData!$B:$N, 5, FALSE)</f>
        <v>237</v>
      </c>
      <c r="S90">
        <f>VLOOKUP(A90,[2]cwurData!$B:$N, 6, FALSE)</f>
        <v>210</v>
      </c>
      <c r="T90">
        <f>VLOOKUP(A90,[2]cwurData!$B:$N, 7, FALSE)</f>
        <v>250</v>
      </c>
      <c r="U90">
        <f>VLOOKUP(A90,[2]cwurData!$B:$N, 8, FALSE)</f>
        <v>203</v>
      </c>
      <c r="V90">
        <f>VLOOKUP(A90,[2]cwurData!$B:$N, 9, FALSE)</f>
        <v>250</v>
      </c>
      <c r="W90">
        <f>VLOOKUP(A90,[2]cwurData!$B:$N, 10, FALSE)</f>
        <v>230</v>
      </c>
      <c r="X90">
        <f>VLOOKUP(A90,[2]cwurData!$B:$N, 11, FALSE)</f>
        <v>373</v>
      </c>
      <c r="Y90">
        <f>VLOOKUP(A90,[2]cwurData!$B:$N, 12, FALSE)</f>
        <v>46.87</v>
      </c>
      <c r="Z90">
        <f>VLOOKUP(A90,[2]cwurData!$B:$N, 13, FALSE)</f>
        <v>2014</v>
      </c>
    </row>
    <row r="91" spans="1:26" x14ac:dyDescent="0.3">
      <c r="A91" t="s">
        <v>86</v>
      </c>
      <c r="B91" t="str">
        <f>IFERROR(VLOOKUP(A91,[1]timesData!$B:$P,2,FALSE),VLOOKUP(A91,[2]cwurData!$B:$P,2,FALSE))</f>
        <v>United Kingdom</v>
      </c>
      <c r="C91">
        <f>VLOOKUP(A91,[1]timesData!$B:$P,3,FALSE)</f>
        <v>86</v>
      </c>
      <c r="D91">
        <f>VLOOKUP(A92,[1]timesData!$B:$P,3,FALSE)</f>
        <v>87</v>
      </c>
      <c r="E91">
        <f>VLOOKUP(A92,[1]timesData!$B:$P,4,FALSE)</f>
        <v>79.099999999999994</v>
      </c>
      <c r="F91">
        <f>VLOOKUP(A92,[1]timesData!$B:$P,5,FALSE)</f>
        <v>56.2</v>
      </c>
      <c r="G91">
        <f>VLOOKUP(A92,[1]timesData!$B:$P,6,FALSE)</f>
        <v>59.2</v>
      </c>
      <c r="H91">
        <f>VLOOKUP(A92,[1]timesData!$B:$P,7,FALSE)</f>
        <v>39</v>
      </c>
      <c r="I91">
        <f>VLOOKUP(A92,[1]timesData!$B:$P,8,FALSE)</f>
        <v>58</v>
      </c>
      <c r="J91">
        <f>VLOOKUP(A92,[1]timesData!$B:$P,9,FALSE)</f>
        <v>34938</v>
      </c>
      <c r="K91">
        <f>VLOOKUP(A92,[1]timesData!$B:$P,10,FALSE)</f>
        <v>15.3</v>
      </c>
      <c r="L91">
        <f>VLOOKUP(A92,[1]timesData!$B:$P,11,FALSE)</f>
        <v>0.34</v>
      </c>
      <c r="M91">
        <f>VLOOKUP(A92,[1]timesData!$B:$P,12,FALSE)</f>
        <v>2.2000000000000002</v>
      </c>
      <c r="N91">
        <f>VLOOKUP(A92,[1]timesData!$B:$P,13,FALSE)</f>
        <v>2011</v>
      </c>
      <c r="O91" t="e">
        <f>VLOOKUP(A91,[2]cwurData!$B:$P,14,FALSE)</f>
        <v>#N/A</v>
      </c>
      <c r="P91" t="e">
        <f>VLOOKUP(A91,[2]cwurData!$B:$N, 3, FALSE)</f>
        <v>#N/A</v>
      </c>
      <c r="Q91" t="e">
        <f>VLOOKUP(A91,[2]cwurData!$B:$N, 4, FALSE)</f>
        <v>#N/A</v>
      </c>
      <c r="R91" t="e">
        <f>VLOOKUP(A91,[2]cwurData!$B:$N, 5, FALSE)</f>
        <v>#N/A</v>
      </c>
      <c r="S91" t="e">
        <f>VLOOKUP(A91,[2]cwurData!$B:$N, 6, FALSE)</f>
        <v>#N/A</v>
      </c>
      <c r="T91" t="e">
        <f>VLOOKUP(A91,[2]cwurData!$B:$N, 7, FALSE)</f>
        <v>#N/A</v>
      </c>
      <c r="U91" t="e">
        <f>VLOOKUP(A91,[2]cwurData!$B:$N, 8, FALSE)</f>
        <v>#N/A</v>
      </c>
      <c r="V91" t="e">
        <f>VLOOKUP(A91,[2]cwurData!$B:$N, 9, FALSE)</f>
        <v>#N/A</v>
      </c>
      <c r="W91" t="e">
        <f>VLOOKUP(A91,[2]cwurData!$B:$N, 10, FALSE)</f>
        <v>#N/A</v>
      </c>
      <c r="X91" t="e">
        <f>VLOOKUP(A91,[2]cwurData!$B:$N, 11, FALSE)</f>
        <v>#N/A</v>
      </c>
      <c r="Y91" t="e">
        <f>VLOOKUP(A91,[2]cwurData!$B:$N, 12, FALSE)</f>
        <v>#N/A</v>
      </c>
      <c r="Z91" t="e">
        <f>VLOOKUP(A91,[2]cwurData!$B:$N, 13, FALSE)</f>
        <v>#N/A</v>
      </c>
    </row>
    <row r="92" spans="1:26" x14ac:dyDescent="0.3">
      <c r="A92" t="s">
        <v>87</v>
      </c>
      <c r="B92" t="str">
        <f>IFERROR(VLOOKUP(A92,[1]timesData!$B:$P,2,FALSE),VLOOKUP(A92,[2]cwurData!$B:$P,2,FALSE))</f>
        <v>United Kingdom</v>
      </c>
      <c r="C92">
        <f>VLOOKUP(A92,[1]timesData!$B:$P,3,FALSE)</f>
        <v>87</v>
      </c>
      <c r="D92">
        <f>VLOOKUP(A93,[1]timesData!$B:$P,3,FALSE)</f>
        <v>88</v>
      </c>
      <c r="E92">
        <f>VLOOKUP(A93,[1]timesData!$B:$P,4,FALSE)</f>
        <v>92.9</v>
      </c>
      <c r="F92">
        <f>VLOOKUP(A93,[1]timesData!$B:$P,5,FALSE)</f>
        <v>36.200000000000003</v>
      </c>
      <c r="G92">
        <f>VLOOKUP(A93,[1]timesData!$B:$P,6,FALSE)</f>
        <v>93.2</v>
      </c>
      <c r="H92">
        <f>VLOOKUP(A93,[1]timesData!$B:$P,7,FALSE)</f>
        <v>30.5</v>
      </c>
      <c r="I92">
        <f>VLOOKUP(A93,[1]timesData!$B:$P,8,FALSE)</f>
        <v>57.9</v>
      </c>
      <c r="J92">
        <f>VLOOKUP(A93,[1]timesData!$B:$P,9,FALSE)</f>
        <v>8747</v>
      </c>
      <c r="K92">
        <f>VLOOKUP(A93,[1]timesData!$B:$P,10,FALSE)</f>
        <v>15.9</v>
      </c>
      <c r="L92">
        <f>VLOOKUP(A93,[1]timesData!$B:$P,11,FALSE)</f>
        <v>0.37</v>
      </c>
      <c r="M92">
        <f>VLOOKUP(A93,[1]timesData!$B:$P,12,FALSE)</f>
        <v>2.4048611111111109</v>
      </c>
      <c r="N92">
        <f>VLOOKUP(A93,[1]timesData!$B:$P,13,FALSE)</f>
        <v>2011</v>
      </c>
      <c r="O92">
        <f>VLOOKUP(A92,[2]cwurData!$B:$P,14,FALSE)</f>
        <v>76</v>
      </c>
      <c r="P92">
        <f>VLOOKUP(A92,[2]cwurData!$B:$N, 3, FALSE)</f>
        <v>5</v>
      </c>
      <c r="Q92">
        <f>VLOOKUP(A92,[2]cwurData!$B:$N, 4, FALSE)</f>
        <v>101</v>
      </c>
      <c r="R92">
        <f>VLOOKUP(A92,[2]cwurData!$B:$N, 5, FALSE)</f>
        <v>101</v>
      </c>
      <c r="S92">
        <f>VLOOKUP(A92,[2]cwurData!$B:$N, 6, FALSE)</f>
        <v>75</v>
      </c>
      <c r="T92">
        <f>VLOOKUP(A92,[2]cwurData!$B:$N, 7, FALSE)</f>
        <v>52</v>
      </c>
      <c r="U92">
        <f>VLOOKUP(A92,[2]cwurData!$B:$N, 8, FALSE)</f>
        <v>70</v>
      </c>
      <c r="V92">
        <f>VLOOKUP(A92,[2]cwurData!$B:$N, 9, FALSE)</f>
        <v>63</v>
      </c>
      <c r="W92">
        <f>VLOOKUP(A92,[2]cwurData!$B:$N, 10, FALSE)</f>
        <v>0</v>
      </c>
      <c r="X92">
        <f>VLOOKUP(A92,[2]cwurData!$B:$N, 11, FALSE)</f>
        <v>101</v>
      </c>
      <c r="Y92">
        <f>VLOOKUP(A92,[2]cwurData!$B:$N, 12, FALSE)</f>
        <v>46.38</v>
      </c>
      <c r="Z92">
        <f>VLOOKUP(A92,[2]cwurData!$B:$N, 13, FALSE)</f>
        <v>2012</v>
      </c>
    </row>
    <row r="93" spans="1:26" x14ac:dyDescent="0.3">
      <c r="A93" t="s">
        <v>88</v>
      </c>
      <c r="B93" t="str">
        <f>IFERROR(VLOOKUP(A93,[1]timesData!$B:$P,2,FALSE),VLOOKUP(A93,[2]cwurData!$B:$P,2,FALSE))</f>
        <v>United Kingdom</v>
      </c>
      <c r="C93">
        <f>VLOOKUP(A93,[1]timesData!$B:$P,3,FALSE)</f>
        <v>88</v>
      </c>
      <c r="D93">
        <f>VLOOKUP(A94,[1]timesData!$B:$P,3,FALSE)</f>
        <v>89</v>
      </c>
      <c r="E93">
        <f>VLOOKUP(A94,[1]timesData!$B:$P,4,FALSE)</f>
        <v>56.8</v>
      </c>
      <c r="F93">
        <f>VLOOKUP(A94,[1]timesData!$B:$P,5,FALSE)</f>
        <v>60.8</v>
      </c>
      <c r="G93">
        <f>VLOOKUP(A94,[1]timesData!$B:$P,6,FALSE)</f>
        <v>67.599999999999994</v>
      </c>
      <c r="H93">
        <f>VLOOKUP(A94,[1]timesData!$B:$P,7,FALSE)</f>
        <v>33.200000000000003</v>
      </c>
      <c r="I93">
        <f>VLOOKUP(A94,[1]timesData!$B:$P,8,FALSE)</f>
        <v>57.8</v>
      </c>
      <c r="J93">
        <f>VLOOKUP(A94,[1]timesData!$B:$P,9,FALSE)</f>
        <v>28251</v>
      </c>
      <c r="K93">
        <f>VLOOKUP(A94,[1]timesData!$B:$P,10,FALSE)</f>
        <v>11.5</v>
      </c>
      <c r="L93">
        <f>VLOOKUP(A94,[1]timesData!$B:$P,11,FALSE)</f>
        <v>0.15</v>
      </c>
      <c r="M93">
        <f>VLOOKUP(A94,[1]timesData!$B:$P,12,FALSE)</f>
        <v>0</v>
      </c>
      <c r="N93">
        <f>VLOOKUP(A94,[1]timesData!$B:$P,13,FALSE)</f>
        <v>2011</v>
      </c>
      <c r="O93">
        <f>VLOOKUP(A93,[2]cwurData!$B:$P,14,FALSE)</f>
        <v>541</v>
      </c>
      <c r="P93">
        <f>VLOOKUP(A93,[2]cwurData!$B:$N, 3, FALSE)</f>
        <v>42</v>
      </c>
      <c r="Q93">
        <f>VLOOKUP(A93,[2]cwurData!$B:$N, 4, FALSE)</f>
        <v>355</v>
      </c>
      <c r="R93">
        <f>VLOOKUP(A93,[2]cwurData!$B:$N, 5, FALSE)</f>
        <v>478</v>
      </c>
      <c r="S93">
        <f>VLOOKUP(A93,[2]cwurData!$B:$N, 6, FALSE)</f>
        <v>210</v>
      </c>
      <c r="T93">
        <f>VLOOKUP(A93,[2]cwurData!$B:$N, 7, FALSE)</f>
        <v>560</v>
      </c>
      <c r="U93">
        <f>VLOOKUP(A93,[2]cwurData!$B:$N, 8, FALSE)</f>
        <v>317</v>
      </c>
      <c r="V93">
        <f>VLOOKUP(A93,[2]cwurData!$B:$N, 9, FALSE)</f>
        <v>406</v>
      </c>
      <c r="W93">
        <f>VLOOKUP(A93,[2]cwurData!$B:$N, 10, FALSE)</f>
        <v>442</v>
      </c>
      <c r="X93">
        <f>VLOOKUP(A93,[2]cwurData!$B:$N, 11, FALSE)</f>
        <v>373</v>
      </c>
      <c r="Y93">
        <f>VLOOKUP(A93,[2]cwurData!$B:$N, 12, FALSE)</f>
        <v>44.98</v>
      </c>
      <c r="Z93">
        <f>VLOOKUP(A93,[2]cwurData!$B:$N, 13, FALSE)</f>
        <v>2014</v>
      </c>
    </row>
    <row r="94" spans="1:26" x14ac:dyDescent="0.3">
      <c r="A94" t="s">
        <v>89</v>
      </c>
      <c r="B94" t="str">
        <f>IFERROR(VLOOKUP(A94,[1]timesData!$B:$P,2,FALSE),VLOOKUP(A94,[2]cwurData!$B:$P,2,FALSE))</f>
        <v>Sweden</v>
      </c>
      <c r="C94">
        <f>VLOOKUP(A94,[1]timesData!$B:$P,3,FALSE)</f>
        <v>89</v>
      </c>
      <c r="D94">
        <f>VLOOKUP(A95,[1]timesData!$B:$P,3,FALSE)</f>
        <v>90</v>
      </c>
      <c r="E94">
        <f>VLOOKUP(A95,[1]timesData!$B:$P,4,FALSE)</f>
        <v>87.9</v>
      </c>
      <c r="F94">
        <f>VLOOKUP(A95,[1]timesData!$B:$P,5,FALSE)</f>
        <v>47</v>
      </c>
      <c r="G94">
        <f>VLOOKUP(A95,[1]timesData!$B:$P,6,FALSE)</f>
        <v>65</v>
      </c>
      <c r="H94">
        <f>VLOOKUP(A95,[1]timesData!$B:$P,7,FALSE)</f>
        <v>43.8</v>
      </c>
      <c r="I94">
        <f>VLOOKUP(A95,[1]timesData!$B:$P,8,FALSE)</f>
        <v>57.7</v>
      </c>
      <c r="J94">
        <f>VLOOKUP(A95,[1]timesData!$B:$P,9,FALSE)</f>
        <v>26583</v>
      </c>
      <c r="K94">
        <f>VLOOKUP(A95,[1]timesData!$B:$P,10,FALSE)</f>
        <v>6.5</v>
      </c>
      <c r="L94">
        <f>VLOOKUP(A95,[1]timesData!$B:$P,11,FALSE)</f>
        <v>0.19</v>
      </c>
      <c r="M94">
        <f>VLOOKUP(A95,[1]timesData!$B:$P,12,FALSE)</f>
        <v>2.4048611111111109</v>
      </c>
      <c r="N94">
        <f>VLOOKUP(A95,[1]timesData!$B:$P,13,FALSE)</f>
        <v>2011</v>
      </c>
      <c r="O94">
        <f>VLOOKUP(A94,[2]cwurData!$B:$P,14,FALSE)</f>
        <v>116</v>
      </c>
      <c r="P94">
        <f>VLOOKUP(A94,[2]cwurData!$B:$N, 3, FALSE)</f>
        <v>3</v>
      </c>
      <c r="Q94">
        <f>VLOOKUP(A94,[2]cwurData!$B:$N, 4, FALSE)</f>
        <v>132</v>
      </c>
      <c r="R94">
        <f>VLOOKUP(A94,[2]cwurData!$B:$N, 5, FALSE)</f>
        <v>478</v>
      </c>
      <c r="S94">
        <f>VLOOKUP(A94,[2]cwurData!$B:$N, 6, FALSE)</f>
        <v>165</v>
      </c>
      <c r="T94">
        <f>VLOOKUP(A94,[2]cwurData!$B:$N, 7, FALSE)</f>
        <v>81</v>
      </c>
      <c r="U94">
        <f>VLOOKUP(A94,[2]cwurData!$B:$N, 8, FALSE)</f>
        <v>133</v>
      </c>
      <c r="V94">
        <f>VLOOKUP(A94,[2]cwurData!$B:$N, 9, FALSE)</f>
        <v>48</v>
      </c>
      <c r="W94">
        <f>VLOOKUP(A94,[2]cwurData!$B:$N, 10, FALSE)</f>
        <v>70</v>
      </c>
      <c r="X94">
        <f>VLOOKUP(A94,[2]cwurData!$B:$N, 11, FALSE)</f>
        <v>737</v>
      </c>
      <c r="Y94">
        <f>VLOOKUP(A94,[2]cwurData!$B:$N, 12, FALSE)</f>
        <v>50.34</v>
      </c>
      <c r="Z94">
        <f>VLOOKUP(A94,[2]cwurData!$B:$N, 13, FALSE)</f>
        <v>2014</v>
      </c>
    </row>
    <row r="95" spans="1:26" x14ac:dyDescent="0.3">
      <c r="A95" t="s">
        <v>91</v>
      </c>
      <c r="B95" t="str">
        <f>IFERROR(VLOOKUP(A95,[1]timesData!$B:$P,2,FALSE),VLOOKUP(A95,[2]cwurData!$B:$P,2,FALSE))</f>
        <v>Switzerland</v>
      </c>
      <c r="C95">
        <f>VLOOKUP(A95,[1]timesData!$B:$P,3,FALSE)</f>
        <v>90</v>
      </c>
      <c r="D95">
        <f>VLOOKUP(A96,[1]timesData!$B:$P,3,FALSE)</f>
        <v>90</v>
      </c>
      <c r="E95">
        <f>VLOOKUP(A96,[1]timesData!$B:$P,4,FALSE)</f>
        <v>24.4</v>
      </c>
      <c r="F95">
        <f>VLOOKUP(A96,[1]timesData!$B:$P,5,FALSE)</f>
        <v>42.9</v>
      </c>
      <c r="G95">
        <f>VLOOKUP(A96,[1]timesData!$B:$P,6,FALSE)</f>
        <v>79.2</v>
      </c>
      <c r="H95" t="str">
        <f>VLOOKUP(A96,[1]timesData!$B:$P,7,FALSE)</f>
        <v>-</v>
      </c>
      <c r="I95">
        <f>VLOOKUP(A96,[1]timesData!$B:$P,8,FALSE)</f>
        <v>57.7</v>
      </c>
      <c r="J95">
        <f>VLOOKUP(A96,[1]timesData!$B:$P,9,FALSE)</f>
        <v>7326</v>
      </c>
      <c r="K95">
        <f>VLOOKUP(A96,[1]timesData!$B:$P,10,FALSE)</f>
        <v>4.5999999999999996</v>
      </c>
      <c r="L95">
        <f>VLOOKUP(A96,[1]timesData!$B:$P,11,FALSE)</f>
        <v>0.05</v>
      </c>
      <c r="M95">
        <f>VLOOKUP(A96,[1]timesData!$B:$P,12,FALSE)</f>
        <v>2.1590277777777778</v>
      </c>
      <c r="N95">
        <f>VLOOKUP(A96,[1]timesData!$B:$P,13,FALSE)</f>
        <v>2011</v>
      </c>
      <c r="O95">
        <f>VLOOKUP(A95,[2]cwurData!$B:$P,14,FALSE)</f>
        <v>88</v>
      </c>
      <c r="P95">
        <f>VLOOKUP(A95,[2]cwurData!$B:$N, 3, FALSE)</f>
        <v>4</v>
      </c>
      <c r="Q95">
        <f>VLOOKUP(A95,[2]cwurData!$B:$N, 4, FALSE)</f>
        <v>101</v>
      </c>
      <c r="R95">
        <f>VLOOKUP(A95,[2]cwurData!$B:$N, 5, FALSE)</f>
        <v>101</v>
      </c>
      <c r="S95">
        <f>VLOOKUP(A95,[2]cwurData!$B:$N, 6, FALSE)</f>
        <v>80</v>
      </c>
      <c r="T95">
        <f>VLOOKUP(A95,[2]cwurData!$B:$N, 7, FALSE)</f>
        <v>101</v>
      </c>
      <c r="U95">
        <f>VLOOKUP(A95,[2]cwurData!$B:$N, 8, FALSE)</f>
        <v>69</v>
      </c>
      <c r="V95">
        <f>VLOOKUP(A95,[2]cwurData!$B:$N, 9, FALSE)</f>
        <v>99</v>
      </c>
      <c r="W95">
        <f>VLOOKUP(A95,[2]cwurData!$B:$N, 10, FALSE)</f>
        <v>0</v>
      </c>
      <c r="X95">
        <f>VLOOKUP(A95,[2]cwurData!$B:$N, 11, FALSE)</f>
        <v>101</v>
      </c>
      <c r="Y95">
        <f>VLOOKUP(A95,[2]cwurData!$B:$N, 12, FALSE)</f>
        <v>44.51</v>
      </c>
      <c r="Z95">
        <f>VLOOKUP(A95,[2]cwurData!$B:$N, 13, FALSE)</f>
        <v>2012</v>
      </c>
    </row>
    <row r="96" spans="1:26" x14ac:dyDescent="0.3">
      <c r="A96" t="s">
        <v>92</v>
      </c>
      <c r="B96" t="str">
        <f>IFERROR(VLOOKUP(A96,[1]timesData!$B:$P,2,FALSE),VLOOKUP(A96,[2]cwurData!$B:$P,2,FALSE))</f>
        <v>United States of America</v>
      </c>
      <c r="C96">
        <f>VLOOKUP(A96,[1]timesData!$B:$P,3,FALSE)</f>
        <v>90</v>
      </c>
      <c r="D96">
        <f>VLOOKUP(A97,[1]timesData!$B:$P,3,FALSE)</f>
        <v>90</v>
      </c>
      <c r="E96">
        <f>VLOOKUP(A97,[1]timesData!$B:$P,4,FALSE)</f>
        <v>69</v>
      </c>
      <c r="F96">
        <f>VLOOKUP(A97,[1]timesData!$B:$P,5,FALSE)</f>
        <v>47.8</v>
      </c>
      <c r="G96">
        <f>VLOOKUP(A97,[1]timesData!$B:$P,6,FALSE)</f>
        <v>72.900000000000006</v>
      </c>
      <c r="H96">
        <f>VLOOKUP(A97,[1]timesData!$B:$P,7,FALSE)</f>
        <v>37.700000000000003</v>
      </c>
      <c r="I96">
        <f>VLOOKUP(A97,[1]timesData!$B:$P,8,FALSE)</f>
        <v>57.7</v>
      </c>
      <c r="J96">
        <f>VLOOKUP(A97,[1]timesData!$B:$P,9,FALSE)</f>
        <v>20925</v>
      </c>
      <c r="K96">
        <f>VLOOKUP(A97,[1]timesData!$B:$P,10,FALSE)</f>
        <v>13.5</v>
      </c>
      <c r="L96">
        <f>VLOOKUP(A97,[1]timesData!$B:$P,11,FALSE)</f>
        <v>0.28999999999999998</v>
      </c>
      <c r="M96">
        <f>VLOOKUP(A97,[1]timesData!$B:$P,12,FALSE)</f>
        <v>2.2409722222222221</v>
      </c>
      <c r="N96">
        <f>VLOOKUP(A97,[1]timesData!$B:$P,13,FALSE)</f>
        <v>2011</v>
      </c>
      <c r="O96">
        <f>VLOOKUP(A96,[2]cwurData!$B:$P,14,FALSE)</f>
        <v>145</v>
      </c>
      <c r="P96">
        <f>VLOOKUP(A96,[2]cwurData!$B:$N, 3, FALSE)</f>
        <v>68</v>
      </c>
      <c r="Q96">
        <f>VLOOKUP(A96,[2]cwurData!$B:$N, 4, FALSE)</f>
        <v>242</v>
      </c>
      <c r="R96">
        <f>VLOOKUP(A96,[2]cwurData!$B:$N, 5, FALSE)</f>
        <v>59</v>
      </c>
      <c r="S96">
        <f>VLOOKUP(A96,[2]cwurData!$B:$N, 6, FALSE)</f>
        <v>210</v>
      </c>
      <c r="T96">
        <f>VLOOKUP(A96,[2]cwurData!$B:$N, 7, FALSE)</f>
        <v>251</v>
      </c>
      <c r="U96">
        <f>VLOOKUP(A96,[2]cwurData!$B:$N, 8, FALSE)</f>
        <v>236</v>
      </c>
      <c r="V96">
        <f>VLOOKUP(A96,[2]cwurData!$B:$N, 9, FALSE)</f>
        <v>150</v>
      </c>
      <c r="W96">
        <f>VLOOKUP(A96,[2]cwurData!$B:$N, 10, FALSE)</f>
        <v>126</v>
      </c>
      <c r="X96">
        <f>VLOOKUP(A96,[2]cwurData!$B:$N, 11, FALSE)</f>
        <v>128</v>
      </c>
      <c r="Y96">
        <f>VLOOKUP(A96,[2]cwurData!$B:$N, 12, FALSE)</f>
        <v>49.46</v>
      </c>
      <c r="Z96">
        <f>VLOOKUP(A96,[2]cwurData!$B:$N, 13, FALSE)</f>
        <v>2014</v>
      </c>
    </row>
    <row r="97" spans="1:26" x14ac:dyDescent="0.3">
      <c r="A97" t="s">
        <v>90</v>
      </c>
      <c r="B97" t="str">
        <f>IFERROR(VLOOKUP(A97,[1]timesData!$B:$P,2,FALSE),VLOOKUP(A97,[2]cwurData!$B:$P,2,FALSE))</f>
        <v>United Kingdom</v>
      </c>
      <c r="C97">
        <f>VLOOKUP(A97,[1]timesData!$B:$P,3,FALSE)</f>
        <v>90</v>
      </c>
      <c r="D97">
        <f>VLOOKUP(A98,[1]timesData!$B:$P,3,FALSE)</f>
        <v>92</v>
      </c>
      <c r="E97">
        <f>VLOOKUP(A98,[1]timesData!$B:$P,4,FALSE)</f>
        <v>63.9</v>
      </c>
      <c r="F97">
        <f>VLOOKUP(A98,[1]timesData!$B:$P,5,FALSE)</f>
        <v>45.9</v>
      </c>
      <c r="G97">
        <f>VLOOKUP(A98,[1]timesData!$B:$P,6,FALSE)</f>
        <v>82.9</v>
      </c>
      <c r="H97">
        <f>VLOOKUP(A98,[1]timesData!$B:$P,7,FALSE)</f>
        <v>28.4</v>
      </c>
      <c r="I97">
        <f>VLOOKUP(A98,[1]timesData!$B:$P,8,FALSE)</f>
        <v>58.6</v>
      </c>
      <c r="J97">
        <f>VLOOKUP(A98,[1]timesData!$B:$P,9,FALSE)</f>
        <v>27603</v>
      </c>
      <c r="K97">
        <f>VLOOKUP(A98,[1]timesData!$B:$P,10,FALSE)</f>
        <v>15</v>
      </c>
      <c r="L97">
        <f>VLOOKUP(A98,[1]timesData!$B:$P,11,FALSE)</f>
        <v>0.17</v>
      </c>
      <c r="M97">
        <f>VLOOKUP(A98,[1]timesData!$B:$P,12,FALSE)</f>
        <v>0</v>
      </c>
      <c r="N97">
        <f>VLOOKUP(A98,[1]timesData!$B:$P,13,FALSE)</f>
        <v>2013</v>
      </c>
      <c r="O97">
        <f>VLOOKUP(A97,[2]cwurData!$B:$P,14,FALSE)</f>
        <v>146</v>
      </c>
      <c r="P97">
        <f>VLOOKUP(A97,[2]cwurData!$B:$N, 3, FALSE)</f>
        <v>11</v>
      </c>
      <c r="Q97">
        <f>VLOOKUP(A97,[2]cwurData!$B:$N, 4, FALSE)</f>
        <v>315</v>
      </c>
      <c r="R97">
        <f>VLOOKUP(A97,[2]cwurData!$B:$N, 5, FALSE)</f>
        <v>81</v>
      </c>
      <c r="S97">
        <f>VLOOKUP(A97,[2]cwurData!$B:$N, 6, FALSE)</f>
        <v>210</v>
      </c>
      <c r="T97">
        <f>VLOOKUP(A97,[2]cwurData!$B:$N, 7, FALSE)</f>
        <v>115</v>
      </c>
      <c r="U97">
        <f>VLOOKUP(A97,[2]cwurData!$B:$N, 8, FALSE)</f>
        <v>129</v>
      </c>
      <c r="V97">
        <f>VLOOKUP(A97,[2]cwurData!$B:$N, 9, FALSE)</f>
        <v>107</v>
      </c>
      <c r="W97">
        <f>VLOOKUP(A97,[2]cwurData!$B:$N, 10, FALSE)</f>
        <v>129</v>
      </c>
      <c r="X97">
        <f>VLOOKUP(A97,[2]cwurData!$B:$N, 11, FALSE)</f>
        <v>259</v>
      </c>
      <c r="Y97">
        <f>VLOOKUP(A97,[2]cwurData!$B:$N, 12, FALSE)</f>
        <v>49.42</v>
      </c>
      <c r="Z97">
        <f>VLOOKUP(A97,[2]cwurData!$B:$N, 13, FALSE)</f>
        <v>2014</v>
      </c>
    </row>
    <row r="98" spans="1:26" x14ac:dyDescent="0.3">
      <c r="A98" t="s">
        <v>405</v>
      </c>
      <c r="B98" t="str">
        <f>IFERROR(VLOOKUP(A98,[1]timesData!$B:$P,2,FALSE),VLOOKUP(A98,[2]cwurData!$B:$P,2,FALSE))</f>
        <v>France</v>
      </c>
      <c r="C98">
        <f>VLOOKUP(A98,[1]timesData!$B:$P,3,FALSE)</f>
        <v>92</v>
      </c>
      <c r="D98">
        <f>VLOOKUP(A99,[1]timesData!$B:$P,3,FALSE)</f>
        <v>93</v>
      </c>
      <c r="E98" t="str">
        <f>VLOOKUP(A99,[1]timesData!$B:$P,4,FALSE)</f>
        <v>-</v>
      </c>
      <c r="F98">
        <f>VLOOKUP(A99,[1]timesData!$B:$P,5,FALSE)</f>
        <v>58.7</v>
      </c>
      <c r="G98">
        <f>VLOOKUP(A99,[1]timesData!$B:$P,6,FALSE)</f>
        <v>68.5</v>
      </c>
      <c r="H98" t="str">
        <f>VLOOKUP(A99,[1]timesData!$B:$P,7,FALSE)</f>
        <v>-</v>
      </c>
      <c r="I98">
        <f>VLOOKUP(A99,[1]timesData!$B:$P,8,FALSE)</f>
        <v>57.6</v>
      </c>
      <c r="J98">
        <f>VLOOKUP(A99,[1]timesData!$B:$P,9,FALSE)</f>
        <v>23823</v>
      </c>
      <c r="K98">
        <f>VLOOKUP(A99,[1]timesData!$B:$P,10,FALSE)</f>
        <v>19.3</v>
      </c>
      <c r="L98">
        <f>VLOOKUP(A99,[1]timesData!$B:$P,11,FALSE)</f>
        <v>0.15</v>
      </c>
      <c r="M98">
        <f>VLOOKUP(A99,[1]timesData!$B:$P,12,FALSE)</f>
        <v>2.2409722222222221</v>
      </c>
      <c r="N98">
        <f>VLOOKUP(A99,[1]timesData!$B:$P,13,FALSE)</f>
        <v>2011</v>
      </c>
      <c r="O98" t="e">
        <f>VLOOKUP(A98,[2]cwurData!$B:$P,14,FALSE)</f>
        <v>#N/A</v>
      </c>
      <c r="P98" t="e">
        <f>VLOOKUP(A98,[2]cwurData!$B:$N, 3, FALSE)</f>
        <v>#N/A</v>
      </c>
      <c r="Q98" t="e">
        <f>VLOOKUP(A98,[2]cwurData!$B:$N, 4, FALSE)</f>
        <v>#N/A</v>
      </c>
      <c r="R98" t="e">
        <f>VLOOKUP(A98,[2]cwurData!$B:$N, 5, FALSE)</f>
        <v>#N/A</v>
      </c>
      <c r="S98" t="e">
        <f>VLOOKUP(A98,[2]cwurData!$B:$N, 6, FALSE)</f>
        <v>#N/A</v>
      </c>
      <c r="T98" t="e">
        <f>VLOOKUP(A98,[2]cwurData!$B:$N, 7, FALSE)</f>
        <v>#N/A</v>
      </c>
      <c r="U98" t="e">
        <f>VLOOKUP(A98,[2]cwurData!$B:$N, 8, FALSE)</f>
        <v>#N/A</v>
      </c>
      <c r="V98" t="e">
        <f>VLOOKUP(A98,[2]cwurData!$B:$N, 9, FALSE)</f>
        <v>#N/A</v>
      </c>
      <c r="W98" t="e">
        <f>VLOOKUP(A98,[2]cwurData!$B:$N, 10, FALSE)</f>
        <v>#N/A</v>
      </c>
      <c r="X98" t="e">
        <f>VLOOKUP(A98,[2]cwurData!$B:$N, 11, FALSE)</f>
        <v>#N/A</v>
      </c>
      <c r="Y98" t="e">
        <f>VLOOKUP(A98,[2]cwurData!$B:$N, 12, FALSE)</f>
        <v>#N/A</v>
      </c>
      <c r="Z98" t="e">
        <f>VLOOKUP(A98,[2]cwurData!$B:$N, 13, FALSE)</f>
        <v>#N/A</v>
      </c>
    </row>
    <row r="99" spans="1:26" x14ac:dyDescent="0.3">
      <c r="A99" t="s">
        <v>93</v>
      </c>
      <c r="B99" t="str">
        <f>IFERROR(VLOOKUP(A99,[1]timesData!$B:$P,2,FALSE),VLOOKUP(A99,[2]cwurData!$B:$P,2,FALSE))</f>
        <v>Canada</v>
      </c>
      <c r="C99">
        <f>VLOOKUP(A99,[1]timesData!$B:$P,3,FALSE)</f>
        <v>93</v>
      </c>
      <c r="D99">
        <f>VLOOKUP(A100,[1]timesData!$B:$P,3,FALSE)</f>
        <v>94</v>
      </c>
      <c r="E99">
        <f>VLOOKUP(A100,[1]timesData!$B:$P,4,FALSE)</f>
        <v>87</v>
      </c>
      <c r="F99">
        <f>VLOOKUP(A100,[1]timesData!$B:$P,5,FALSE)</f>
        <v>36.6</v>
      </c>
      <c r="G99">
        <f>VLOOKUP(A100,[1]timesData!$B:$P,6,FALSE)</f>
        <v>86.3</v>
      </c>
      <c r="H99" t="str">
        <f>VLOOKUP(A100,[1]timesData!$B:$P,7,FALSE)</f>
        <v>-</v>
      </c>
      <c r="I99">
        <f>VLOOKUP(A100,[1]timesData!$B:$P,8,FALSE)</f>
        <v>57.5</v>
      </c>
      <c r="J99">
        <f>VLOOKUP(A100,[1]timesData!$B:$P,9,FALSE)</f>
        <v>22193</v>
      </c>
      <c r="K99">
        <f>VLOOKUP(A100,[1]timesData!$B:$P,10,FALSE)</f>
        <v>24.5</v>
      </c>
      <c r="L99">
        <f>VLOOKUP(A100,[1]timesData!$B:$P,11,FALSE)</f>
        <v>0.23</v>
      </c>
      <c r="M99">
        <f>VLOOKUP(A100,[1]timesData!$B:$P,12,FALSE)</f>
        <v>0</v>
      </c>
      <c r="N99">
        <f>VLOOKUP(A100,[1]timesData!$B:$P,13,FALSE)</f>
        <v>2011</v>
      </c>
      <c r="O99">
        <f>VLOOKUP(A99,[2]cwurData!$B:$P,14,FALSE)</f>
        <v>141</v>
      </c>
      <c r="P99">
        <f>VLOOKUP(A99,[2]cwurData!$B:$N, 3, FALSE)</f>
        <v>6</v>
      </c>
      <c r="Q99">
        <f>VLOOKUP(A99,[2]cwurData!$B:$N, 4, FALSE)</f>
        <v>210</v>
      </c>
      <c r="R99">
        <f>VLOOKUP(A99,[2]cwurData!$B:$N, 5, FALSE)</f>
        <v>271</v>
      </c>
      <c r="S99">
        <f>VLOOKUP(A99,[2]cwurData!$B:$N, 6, FALSE)</f>
        <v>159</v>
      </c>
      <c r="T99">
        <f>VLOOKUP(A99,[2]cwurData!$B:$N, 7, FALSE)</f>
        <v>128</v>
      </c>
      <c r="U99">
        <f>VLOOKUP(A99,[2]cwurData!$B:$N, 8, FALSE)</f>
        <v>159</v>
      </c>
      <c r="V99">
        <f>VLOOKUP(A99,[2]cwurData!$B:$N, 9, FALSE)</f>
        <v>87</v>
      </c>
      <c r="W99">
        <f>VLOOKUP(A99,[2]cwurData!$B:$N, 10, FALSE)</f>
        <v>81</v>
      </c>
      <c r="X99">
        <f>VLOOKUP(A99,[2]cwurData!$B:$N, 11, FALSE)</f>
        <v>159</v>
      </c>
      <c r="Y99">
        <f>VLOOKUP(A99,[2]cwurData!$B:$N, 12, FALSE)</f>
        <v>49.51</v>
      </c>
      <c r="Z99">
        <f>VLOOKUP(A99,[2]cwurData!$B:$N, 13, FALSE)</f>
        <v>2014</v>
      </c>
    </row>
    <row r="100" spans="1:26" x14ac:dyDescent="0.3">
      <c r="A100" t="s">
        <v>94</v>
      </c>
      <c r="B100" t="str">
        <f>IFERROR(VLOOKUP(A100,[1]timesData!$B:$P,2,FALSE),VLOOKUP(A100,[2]cwurData!$B:$P,2,FALSE))</f>
        <v>Republic of Ireland</v>
      </c>
      <c r="C100">
        <f>VLOOKUP(A100,[1]timesData!$B:$P,3,FALSE)</f>
        <v>94</v>
      </c>
      <c r="D100">
        <f>VLOOKUP(A101,[1]timesData!$B:$P,3,FALSE)</f>
        <v>95</v>
      </c>
      <c r="E100">
        <f>VLOOKUP(A101,[1]timesData!$B:$P,4,FALSE)</f>
        <v>21.9</v>
      </c>
      <c r="F100">
        <f>VLOOKUP(A101,[1]timesData!$B:$P,5,FALSE)</f>
        <v>52.2</v>
      </c>
      <c r="G100">
        <f>VLOOKUP(A101,[1]timesData!$B:$P,6,FALSE)</f>
        <v>70.099999999999994</v>
      </c>
      <c r="H100">
        <f>VLOOKUP(A101,[1]timesData!$B:$P,7,FALSE)</f>
        <v>84.2</v>
      </c>
      <c r="I100">
        <f>VLOOKUP(A101,[1]timesData!$B:$P,8,FALSE)</f>
        <v>57.3</v>
      </c>
      <c r="J100">
        <f>VLOOKUP(A101,[1]timesData!$B:$P,9,FALSE)</f>
        <v>36429</v>
      </c>
      <c r="K100">
        <f>VLOOKUP(A101,[1]timesData!$B:$P,10,FALSE)</f>
        <v>12.7</v>
      </c>
      <c r="L100">
        <f>VLOOKUP(A101,[1]timesData!$B:$P,11,FALSE)</f>
        <v>0.08</v>
      </c>
      <c r="M100">
        <f>VLOOKUP(A101,[1]timesData!$B:$P,12,FALSE)</f>
        <v>2.2000000000000002</v>
      </c>
      <c r="N100">
        <f>VLOOKUP(A101,[1]timesData!$B:$P,13,FALSE)</f>
        <v>2011</v>
      </c>
      <c r="O100">
        <f>VLOOKUP(A100,[2]cwurData!$B:$P,14,FALSE)</f>
        <v>269</v>
      </c>
      <c r="P100">
        <f>VLOOKUP(A100,[2]cwurData!$B:$N, 3, FALSE)</f>
        <v>2</v>
      </c>
      <c r="Q100">
        <f>VLOOKUP(A100,[2]cwurData!$B:$N, 4, FALSE)</f>
        <v>227</v>
      </c>
      <c r="R100">
        <f>VLOOKUP(A100,[2]cwurData!$B:$N, 5, FALSE)</f>
        <v>182</v>
      </c>
      <c r="S100">
        <f>VLOOKUP(A100,[2]cwurData!$B:$N, 6, FALSE)</f>
        <v>210</v>
      </c>
      <c r="T100">
        <f>VLOOKUP(A100,[2]cwurData!$B:$N, 7, FALSE)</f>
        <v>276</v>
      </c>
      <c r="U100">
        <f>VLOOKUP(A100,[2]cwurData!$B:$N, 8, FALSE)</f>
        <v>280</v>
      </c>
      <c r="V100">
        <f>VLOOKUP(A100,[2]cwurData!$B:$N, 9, FALSE)</f>
        <v>150</v>
      </c>
      <c r="W100">
        <f>VLOOKUP(A100,[2]cwurData!$B:$N, 10, FALSE)</f>
        <v>251</v>
      </c>
      <c r="X100">
        <f>VLOOKUP(A100,[2]cwurData!$B:$N, 11, FALSE)</f>
        <v>307</v>
      </c>
      <c r="Y100">
        <f>VLOOKUP(A100,[2]cwurData!$B:$N, 12, FALSE)</f>
        <v>46.77</v>
      </c>
      <c r="Z100">
        <f>VLOOKUP(A100,[2]cwurData!$B:$N, 13, FALSE)</f>
        <v>2014</v>
      </c>
    </row>
    <row r="101" spans="1:26" x14ac:dyDescent="0.3">
      <c r="A101" t="s">
        <v>96</v>
      </c>
      <c r="B101" t="str">
        <f>IFERROR(VLOOKUP(A101,[1]timesData!$B:$P,2,FALSE),VLOOKUP(A101,[2]cwurData!$B:$P,2,FALSE))</f>
        <v>United States of America</v>
      </c>
      <c r="C101">
        <f>VLOOKUP(A101,[1]timesData!$B:$P,3,FALSE)</f>
        <v>95</v>
      </c>
      <c r="D101">
        <f>VLOOKUP(A102,[1]timesData!$B:$P,3,FALSE)</f>
        <v>95</v>
      </c>
      <c r="E101">
        <f>VLOOKUP(A102,[1]timesData!$B:$P,4,FALSE)</f>
        <v>91.3</v>
      </c>
      <c r="F101">
        <f>VLOOKUP(A102,[1]timesData!$B:$P,5,FALSE)</f>
        <v>37.1</v>
      </c>
      <c r="G101">
        <f>VLOOKUP(A102,[1]timesData!$B:$P,6,FALSE)</f>
        <v>78.3</v>
      </c>
      <c r="H101">
        <f>VLOOKUP(A102,[1]timesData!$B:$P,7,FALSE)</f>
        <v>45.8</v>
      </c>
      <c r="I101">
        <f>VLOOKUP(A102,[1]timesData!$B:$P,8,FALSE)</f>
        <v>57.3</v>
      </c>
      <c r="J101">
        <f>VLOOKUP(A102,[1]timesData!$B:$P,9,FALSE)</f>
        <v>12551</v>
      </c>
      <c r="K101">
        <f>VLOOKUP(A102,[1]timesData!$B:$P,10,FALSE)</f>
        <v>17.3</v>
      </c>
      <c r="L101">
        <f>VLOOKUP(A102,[1]timesData!$B:$P,11,FALSE)</f>
        <v>0.24</v>
      </c>
      <c r="M101">
        <f>VLOOKUP(A102,[1]timesData!$B:$P,12,FALSE)</f>
        <v>2.2819444444444446</v>
      </c>
      <c r="N101">
        <f>VLOOKUP(A102,[1]timesData!$B:$P,13,FALSE)</f>
        <v>2011</v>
      </c>
      <c r="O101">
        <f>VLOOKUP(A101,[2]cwurData!$B:$P,14,FALSE)</f>
        <v>50</v>
      </c>
      <c r="P101">
        <f>VLOOKUP(A101,[2]cwurData!$B:$N, 3, FALSE)</f>
        <v>37</v>
      </c>
      <c r="Q101">
        <f>VLOOKUP(A101,[2]cwurData!$B:$N, 4, FALSE)</f>
        <v>101</v>
      </c>
      <c r="R101">
        <f>VLOOKUP(A101,[2]cwurData!$B:$N, 5, FALSE)</f>
        <v>101</v>
      </c>
      <c r="S101">
        <f>VLOOKUP(A101,[2]cwurData!$B:$N, 6, FALSE)</f>
        <v>88</v>
      </c>
      <c r="T101">
        <f>VLOOKUP(A101,[2]cwurData!$B:$N, 7, FALSE)</f>
        <v>45</v>
      </c>
      <c r="U101">
        <f>VLOOKUP(A101,[2]cwurData!$B:$N, 8, FALSE)</f>
        <v>42</v>
      </c>
      <c r="V101">
        <f>VLOOKUP(A101,[2]cwurData!$B:$N, 9, FALSE)</f>
        <v>45</v>
      </c>
      <c r="W101">
        <f>VLOOKUP(A101,[2]cwurData!$B:$N, 10, FALSE)</f>
        <v>0</v>
      </c>
      <c r="X101">
        <f>VLOOKUP(A101,[2]cwurData!$B:$N, 11, FALSE)</f>
        <v>27</v>
      </c>
      <c r="Y101">
        <f>VLOOKUP(A101,[2]cwurData!$B:$N, 12, FALSE)</f>
        <v>50.29</v>
      </c>
      <c r="Z101">
        <f>VLOOKUP(A101,[2]cwurData!$B:$N, 13, FALSE)</f>
        <v>2012</v>
      </c>
    </row>
    <row r="102" spans="1:26" x14ac:dyDescent="0.3">
      <c r="A102" t="s">
        <v>97</v>
      </c>
      <c r="B102" t="str">
        <f>IFERROR(VLOOKUP(A102,[1]timesData!$B:$P,2,FALSE),VLOOKUP(A102,[2]cwurData!$B:$P,2,FALSE))</f>
        <v>Switzerland</v>
      </c>
      <c r="C102">
        <f>VLOOKUP(A102,[1]timesData!$B:$P,3,FALSE)</f>
        <v>95</v>
      </c>
      <c r="D102">
        <f>VLOOKUP(A103,[1]timesData!$B:$P,3,FALSE)</f>
        <v>95</v>
      </c>
      <c r="E102">
        <f>VLOOKUP(A103,[1]timesData!$B:$P,4,FALSE)</f>
        <v>39.6</v>
      </c>
      <c r="F102">
        <f>VLOOKUP(A103,[1]timesData!$B:$P,5,FALSE)</f>
        <v>43.1</v>
      </c>
      <c r="G102">
        <f>VLOOKUP(A103,[1]timesData!$B:$P,6,FALSE)</f>
        <v>70.2</v>
      </c>
      <c r="H102" t="str">
        <f>VLOOKUP(A103,[1]timesData!$B:$P,7,FALSE)</f>
        <v>-</v>
      </c>
      <c r="I102">
        <f>VLOOKUP(A103,[1]timesData!$B:$P,8,FALSE)</f>
        <v>57.3</v>
      </c>
      <c r="J102">
        <f>VLOOKUP(A103,[1]timesData!$B:$P,9,FALSE)</f>
        <v>20541</v>
      </c>
      <c r="K102">
        <f>VLOOKUP(A103,[1]timesData!$B:$P,10,FALSE)</f>
        <v>12</v>
      </c>
      <c r="L102">
        <f>VLOOKUP(A103,[1]timesData!$B:$P,11,FALSE)</f>
        <v>0.16</v>
      </c>
      <c r="M102">
        <f>VLOOKUP(A103,[1]timesData!$B:$P,12,FALSE)</f>
        <v>2.3638888888888889</v>
      </c>
      <c r="N102">
        <f>VLOOKUP(A103,[1]timesData!$B:$P,13,FALSE)</f>
        <v>2011</v>
      </c>
      <c r="O102">
        <f>VLOOKUP(A102,[2]cwurData!$B:$P,14,FALSE)</f>
        <v>154</v>
      </c>
      <c r="P102">
        <f>VLOOKUP(A102,[2]cwurData!$B:$N, 3, FALSE)</f>
        <v>5</v>
      </c>
      <c r="Q102">
        <f>VLOOKUP(A102,[2]cwurData!$B:$N, 4, FALSE)</f>
        <v>77</v>
      </c>
      <c r="R102">
        <f>VLOOKUP(A102,[2]cwurData!$B:$N, 5, FALSE)</f>
        <v>222</v>
      </c>
      <c r="S102">
        <f>VLOOKUP(A102,[2]cwurData!$B:$N, 6, FALSE)</f>
        <v>66</v>
      </c>
      <c r="T102">
        <f>VLOOKUP(A102,[2]cwurData!$B:$N, 7, FALSE)</f>
        <v>168</v>
      </c>
      <c r="U102">
        <f>VLOOKUP(A102,[2]cwurData!$B:$N, 8, FALSE)</f>
        <v>113</v>
      </c>
      <c r="V102">
        <f>VLOOKUP(A102,[2]cwurData!$B:$N, 9, FALSE)</f>
        <v>134</v>
      </c>
      <c r="W102">
        <f>VLOOKUP(A102,[2]cwurData!$B:$N, 10, FALSE)</f>
        <v>141</v>
      </c>
      <c r="X102">
        <f>VLOOKUP(A102,[2]cwurData!$B:$N, 11, FALSE)</f>
        <v>426</v>
      </c>
      <c r="Y102">
        <f>VLOOKUP(A102,[2]cwurData!$B:$N, 12, FALSE)</f>
        <v>49.17</v>
      </c>
      <c r="Z102">
        <f>VLOOKUP(A102,[2]cwurData!$B:$N, 13, FALSE)</f>
        <v>2014</v>
      </c>
    </row>
    <row r="103" spans="1:26" x14ac:dyDescent="0.3">
      <c r="A103" t="s">
        <v>95</v>
      </c>
      <c r="B103" t="str">
        <f>IFERROR(VLOOKUP(A103,[1]timesData!$B:$P,2,FALSE),VLOOKUP(A103,[2]cwurData!$B:$P,2,FALSE))</f>
        <v>United States of America</v>
      </c>
      <c r="C103">
        <f>VLOOKUP(A103,[1]timesData!$B:$P,3,FALSE)</f>
        <v>95</v>
      </c>
      <c r="D103">
        <f>VLOOKUP(A104,[1]timesData!$B:$P,3,FALSE)</f>
        <v>98</v>
      </c>
      <c r="E103">
        <f>VLOOKUP(A104,[1]timesData!$B:$P,4,FALSE)</f>
        <v>35.4</v>
      </c>
      <c r="F103">
        <f>VLOOKUP(A104,[1]timesData!$B:$P,5,FALSE)</f>
        <v>48.6</v>
      </c>
      <c r="G103">
        <f>VLOOKUP(A104,[1]timesData!$B:$P,6,FALSE)</f>
        <v>79.2</v>
      </c>
      <c r="H103" t="str">
        <f>VLOOKUP(A104,[1]timesData!$B:$P,7,FALSE)</f>
        <v>-</v>
      </c>
      <c r="I103">
        <f>VLOOKUP(A104,[1]timesData!$B:$P,8,FALSE)</f>
        <v>57.2</v>
      </c>
      <c r="J103">
        <f>VLOOKUP(A104,[1]timesData!$B:$P,9,FALSE)</f>
        <v>31331</v>
      </c>
      <c r="K103">
        <f>VLOOKUP(A104,[1]timesData!$B:$P,10,FALSE)</f>
        <v>8.4</v>
      </c>
      <c r="L103">
        <f>VLOOKUP(A104,[1]timesData!$B:$P,11,FALSE)</f>
        <v>0.09</v>
      </c>
      <c r="M103">
        <f>VLOOKUP(A104,[1]timesData!$B:$P,12,FALSE)</f>
        <v>2.036111111111111</v>
      </c>
      <c r="N103">
        <f>VLOOKUP(A104,[1]timesData!$B:$P,13,FALSE)</f>
        <v>2011</v>
      </c>
      <c r="O103">
        <f>VLOOKUP(A103,[2]cwurData!$B:$P,14,FALSE)</f>
        <v>180</v>
      </c>
      <c r="P103">
        <f>VLOOKUP(A103,[2]cwurData!$B:$N, 3, FALSE)</f>
        <v>79</v>
      </c>
      <c r="Q103">
        <f>VLOOKUP(A103,[2]cwurData!$B:$N, 4, FALSE)</f>
        <v>176</v>
      </c>
      <c r="R103">
        <f>VLOOKUP(A103,[2]cwurData!$B:$N, 5, FALSE)</f>
        <v>53</v>
      </c>
      <c r="S103">
        <f>VLOOKUP(A103,[2]cwurData!$B:$N, 6, FALSE)</f>
        <v>210</v>
      </c>
      <c r="T103">
        <f>VLOOKUP(A103,[2]cwurData!$B:$N, 7, FALSE)</f>
        <v>312</v>
      </c>
      <c r="U103">
        <f>VLOOKUP(A103,[2]cwurData!$B:$N, 8, FALSE)</f>
        <v>229</v>
      </c>
      <c r="V103">
        <f>VLOOKUP(A103,[2]cwurData!$B:$N, 9, FALSE)</f>
        <v>187</v>
      </c>
      <c r="W103">
        <f>VLOOKUP(A103,[2]cwurData!$B:$N, 10, FALSE)</f>
        <v>203</v>
      </c>
      <c r="X103">
        <f>VLOOKUP(A103,[2]cwurData!$B:$N, 11, FALSE)</f>
        <v>307</v>
      </c>
      <c r="Y103">
        <f>VLOOKUP(A103,[2]cwurData!$B:$N, 12, FALSE)</f>
        <v>48.48</v>
      </c>
      <c r="Z103">
        <f>VLOOKUP(A103,[2]cwurData!$B:$N, 13, FALSE)</f>
        <v>2014</v>
      </c>
    </row>
    <row r="104" spans="1:26" x14ac:dyDescent="0.3">
      <c r="A104" t="s">
        <v>98</v>
      </c>
      <c r="B104" t="str">
        <f>IFERROR(VLOOKUP(A104,[1]timesData!$B:$P,2,FALSE),VLOOKUP(A104,[2]cwurData!$B:$P,2,FALSE))</f>
        <v>United States of America</v>
      </c>
      <c r="C104">
        <f>VLOOKUP(A104,[1]timesData!$B:$P,3,FALSE)</f>
        <v>98</v>
      </c>
      <c r="D104">
        <f>VLOOKUP(A105,[1]timesData!$B:$P,3,FALSE)</f>
        <v>99</v>
      </c>
      <c r="E104">
        <f>VLOOKUP(A105,[1]timesData!$B:$P,4,FALSE)</f>
        <v>31</v>
      </c>
      <c r="F104">
        <f>VLOOKUP(A105,[1]timesData!$B:$P,5,FALSE)</f>
        <v>49.2</v>
      </c>
      <c r="G104">
        <f>VLOOKUP(A105,[1]timesData!$B:$P,6,FALSE)</f>
        <v>79.7</v>
      </c>
      <c r="H104" t="str">
        <f>VLOOKUP(A105,[1]timesData!$B:$P,7,FALSE)</f>
        <v>-</v>
      </c>
      <c r="I104">
        <f>VLOOKUP(A105,[1]timesData!$B:$P,8,FALSE)</f>
        <v>57.1</v>
      </c>
      <c r="J104">
        <f>VLOOKUP(A105,[1]timesData!$B:$P,9,FALSE)</f>
        <v>6178</v>
      </c>
      <c r="K104">
        <f>VLOOKUP(A105,[1]timesData!$B:$P,10,FALSE)</f>
        <v>6.6</v>
      </c>
      <c r="L104">
        <f>VLOOKUP(A105,[1]timesData!$B:$P,11,FALSE)</f>
        <v>0.16</v>
      </c>
      <c r="M104">
        <f>VLOOKUP(A105,[1]timesData!$B:$P,12,FALSE)</f>
        <v>1.9951388888888888</v>
      </c>
      <c r="N104">
        <f>VLOOKUP(A105,[1]timesData!$B:$P,13,FALSE)</f>
        <v>2011</v>
      </c>
      <c r="O104">
        <f>VLOOKUP(A104,[2]cwurData!$B:$P,14,FALSE)</f>
        <v>68</v>
      </c>
      <c r="P104">
        <f>VLOOKUP(A104,[2]cwurData!$B:$N, 3, FALSE)</f>
        <v>47</v>
      </c>
      <c r="Q104">
        <f>VLOOKUP(A104,[2]cwurData!$B:$N, 4, FALSE)</f>
        <v>85</v>
      </c>
      <c r="R104">
        <f>VLOOKUP(A104,[2]cwurData!$B:$N, 5, FALSE)</f>
        <v>101</v>
      </c>
      <c r="S104">
        <f>VLOOKUP(A104,[2]cwurData!$B:$N, 6, FALSE)</f>
        <v>50</v>
      </c>
      <c r="T104">
        <f>VLOOKUP(A104,[2]cwurData!$B:$N, 7, FALSE)</f>
        <v>47</v>
      </c>
      <c r="U104">
        <f>VLOOKUP(A104,[2]cwurData!$B:$N, 8, FALSE)</f>
        <v>55</v>
      </c>
      <c r="V104">
        <f>VLOOKUP(A104,[2]cwurData!$B:$N, 9, FALSE)</f>
        <v>41</v>
      </c>
      <c r="W104">
        <f>VLOOKUP(A104,[2]cwurData!$B:$N, 10, FALSE)</f>
        <v>0</v>
      </c>
      <c r="X104">
        <f>VLOOKUP(A104,[2]cwurData!$B:$N, 11, FALSE)</f>
        <v>101</v>
      </c>
      <c r="Y104">
        <f>VLOOKUP(A104,[2]cwurData!$B:$N, 12, FALSE)</f>
        <v>47.69</v>
      </c>
      <c r="Z104">
        <f>VLOOKUP(A104,[2]cwurData!$B:$N, 13, FALSE)</f>
        <v>2012</v>
      </c>
    </row>
    <row r="105" spans="1:26" x14ac:dyDescent="0.3">
      <c r="A105" t="s">
        <v>99</v>
      </c>
      <c r="B105" t="str">
        <f>IFERROR(VLOOKUP(A105,[1]timesData!$B:$P,2,FALSE),VLOOKUP(A105,[2]cwurData!$B:$P,2,FALSE))</f>
        <v>United States of America</v>
      </c>
      <c r="C105">
        <f>VLOOKUP(A105,[1]timesData!$B:$P,3,FALSE)</f>
        <v>99</v>
      </c>
      <c r="D105">
        <f>VLOOKUP(A106,[1]timesData!$B:$P,3,FALSE)</f>
        <v>100</v>
      </c>
      <c r="E105">
        <f>VLOOKUP(A106,[1]timesData!$B:$P,4,FALSE)</f>
        <v>37.6</v>
      </c>
      <c r="F105">
        <f>VLOOKUP(A106,[1]timesData!$B:$P,5,FALSE)</f>
        <v>34.4</v>
      </c>
      <c r="G105">
        <f>VLOOKUP(A106,[1]timesData!$B:$P,6,FALSE)</f>
        <v>88.8</v>
      </c>
      <c r="H105">
        <f>VLOOKUP(A106,[1]timesData!$B:$P,7,FALSE)</f>
        <v>26.1</v>
      </c>
      <c r="I105">
        <f>VLOOKUP(A106,[1]timesData!$B:$P,8,FALSE)</f>
        <v>57</v>
      </c>
      <c r="J105">
        <f>VLOOKUP(A106,[1]timesData!$B:$P,9,FALSE)</f>
        <v>2218</v>
      </c>
      <c r="K105">
        <f>VLOOKUP(A106,[1]timesData!$B:$P,10,FALSE)</f>
        <v>8</v>
      </c>
      <c r="L105">
        <f>VLOOKUP(A106,[1]timesData!$B:$P,11,FALSE)</f>
        <v>0.14000000000000001</v>
      </c>
      <c r="M105">
        <f>VLOOKUP(A106,[1]timesData!$B:$P,12,FALSE)</f>
        <v>2.0770833333333334</v>
      </c>
      <c r="N105">
        <f>VLOOKUP(A106,[1]timesData!$B:$P,13,FALSE)</f>
        <v>2011</v>
      </c>
      <c r="O105">
        <f>VLOOKUP(A105,[2]cwurData!$B:$P,14,FALSE)</f>
        <v>58</v>
      </c>
      <c r="P105">
        <f>VLOOKUP(A105,[2]cwurData!$B:$N, 3, FALSE)</f>
        <v>42</v>
      </c>
      <c r="Q105">
        <f>VLOOKUP(A105,[2]cwurData!$B:$N, 4, FALSE)</f>
        <v>27</v>
      </c>
      <c r="R105">
        <f>VLOOKUP(A105,[2]cwurData!$B:$N, 5, FALSE)</f>
        <v>13</v>
      </c>
      <c r="S105">
        <f>VLOOKUP(A105,[2]cwurData!$B:$N, 6, FALSE)</f>
        <v>101</v>
      </c>
      <c r="T105">
        <f>VLOOKUP(A105,[2]cwurData!$B:$N, 7, FALSE)</f>
        <v>101</v>
      </c>
      <c r="U105">
        <f>VLOOKUP(A105,[2]cwurData!$B:$N, 8, FALSE)</f>
        <v>101</v>
      </c>
      <c r="V105">
        <f>VLOOKUP(A105,[2]cwurData!$B:$N, 9, FALSE)</f>
        <v>101</v>
      </c>
      <c r="W105">
        <f>VLOOKUP(A105,[2]cwurData!$B:$N, 10, FALSE)</f>
        <v>0</v>
      </c>
      <c r="X105">
        <f>VLOOKUP(A105,[2]cwurData!$B:$N, 11, FALSE)</f>
        <v>92</v>
      </c>
      <c r="Y105">
        <f>VLOOKUP(A105,[2]cwurData!$B:$N, 12, FALSE)</f>
        <v>48.5</v>
      </c>
      <c r="Z105">
        <f>VLOOKUP(A105,[2]cwurData!$B:$N, 13, FALSE)</f>
        <v>2012</v>
      </c>
    </row>
    <row r="106" spans="1:26" x14ac:dyDescent="0.3">
      <c r="A106" t="s">
        <v>100</v>
      </c>
      <c r="B106" t="str">
        <f>IFERROR(VLOOKUP(A106,[1]timesData!$B:$P,2,FALSE),VLOOKUP(A106,[2]cwurData!$B:$P,2,FALSE))</f>
        <v>France</v>
      </c>
      <c r="C106">
        <f>VLOOKUP(A106,[1]timesData!$B:$P,3,FALSE)</f>
        <v>100</v>
      </c>
      <c r="D106">
        <f>VLOOKUP(A107,[1]timesData!$B:$P,3,FALSE)</f>
        <v>101</v>
      </c>
      <c r="E106">
        <f>VLOOKUP(A107,[1]timesData!$B:$P,4,FALSE)</f>
        <v>85.3</v>
      </c>
      <c r="F106">
        <f>VLOOKUP(A107,[1]timesData!$B:$P,5,FALSE)</f>
        <v>43.2</v>
      </c>
      <c r="G106">
        <f>VLOOKUP(A107,[1]timesData!$B:$P,6,FALSE)</f>
        <v>71.2</v>
      </c>
      <c r="H106" t="str">
        <f>VLOOKUP(A107,[1]timesData!$B:$P,7,FALSE)</f>
        <v>-</v>
      </c>
      <c r="I106">
        <f>VLOOKUP(A107,[1]timesData!$B:$P,8,FALSE)</f>
        <v>56.9</v>
      </c>
      <c r="J106">
        <f>VLOOKUP(A107,[1]timesData!$B:$P,9,FALSE)</f>
        <v>35565</v>
      </c>
      <c r="K106">
        <f>VLOOKUP(A107,[1]timesData!$B:$P,10,FALSE)</f>
        <v>31.5</v>
      </c>
      <c r="L106">
        <f>VLOOKUP(A107,[1]timesData!$B:$P,11,FALSE)</f>
        <v>0.2</v>
      </c>
      <c r="M106" t="str">
        <f>VLOOKUP(A107,[1]timesData!$B:$P,12,FALSE)</f>
        <v>33 : 67</v>
      </c>
      <c r="N106">
        <f>VLOOKUP(A107,[1]timesData!$B:$P,13,FALSE)</f>
        <v>2011</v>
      </c>
      <c r="O106">
        <f>VLOOKUP(A106,[2]cwurData!$B:$P,14,FALSE)</f>
        <v>462</v>
      </c>
      <c r="P106">
        <f>VLOOKUP(A106,[2]cwurData!$B:$N, 3, FALSE)</f>
        <v>18</v>
      </c>
      <c r="Q106">
        <f>VLOOKUP(A106,[2]cwurData!$B:$N, 4, FALSE)</f>
        <v>355</v>
      </c>
      <c r="R106">
        <f>VLOOKUP(A106,[2]cwurData!$B:$N, 5, FALSE)</f>
        <v>478</v>
      </c>
      <c r="S106">
        <f>VLOOKUP(A106,[2]cwurData!$B:$N, 6, FALSE)</f>
        <v>126</v>
      </c>
      <c r="T106">
        <f>VLOOKUP(A106,[2]cwurData!$B:$N, 7, FALSE)</f>
        <v>489</v>
      </c>
      <c r="U106">
        <f>VLOOKUP(A106,[2]cwurData!$B:$N, 8, FALSE)</f>
        <v>220</v>
      </c>
      <c r="V106">
        <f>VLOOKUP(A106,[2]cwurData!$B:$N, 9, FALSE)</f>
        <v>493</v>
      </c>
      <c r="W106">
        <f>VLOOKUP(A106,[2]cwurData!$B:$N, 10, FALSE)</f>
        <v>395</v>
      </c>
      <c r="X106">
        <f>VLOOKUP(A106,[2]cwurData!$B:$N, 11, FALSE)</f>
        <v>737</v>
      </c>
      <c r="Y106">
        <f>VLOOKUP(A106,[2]cwurData!$B:$N, 12, FALSE)</f>
        <v>45.25</v>
      </c>
      <c r="Z106">
        <f>VLOOKUP(A106,[2]cwurData!$B:$N, 13, FALSE)</f>
        <v>2014</v>
      </c>
    </row>
    <row r="107" spans="1:26" x14ac:dyDescent="0.3">
      <c r="A107" t="s">
        <v>101</v>
      </c>
      <c r="B107" t="str">
        <f>IFERROR(VLOOKUP(A107,[1]timesData!$B:$P,2,FALSE),VLOOKUP(A107,[2]cwurData!$B:$P,2,FALSE))</f>
        <v>Germany</v>
      </c>
      <c r="C107">
        <f>VLOOKUP(A107,[1]timesData!$B:$P,3,FALSE)</f>
        <v>101</v>
      </c>
      <c r="D107">
        <f>VLOOKUP(A108,[1]timesData!$B:$P,3,FALSE)</f>
        <v>102</v>
      </c>
      <c r="E107">
        <f>VLOOKUP(A108,[1]timesData!$B:$P,4,FALSE)</f>
        <v>24.2</v>
      </c>
      <c r="F107">
        <f>VLOOKUP(A108,[1]timesData!$B:$P,5,FALSE)</f>
        <v>51.4</v>
      </c>
      <c r="G107">
        <f>VLOOKUP(A108,[1]timesData!$B:$P,6,FALSE)</f>
        <v>75.400000000000006</v>
      </c>
      <c r="H107">
        <f>VLOOKUP(A108,[1]timesData!$B:$P,7,FALSE)</f>
        <v>30.2</v>
      </c>
      <c r="I107">
        <f>VLOOKUP(A108,[1]timesData!$B:$P,8,FALSE)</f>
        <v>56.6</v>
      </c>
      <c r="J107">
        <f>VLOOKUP(A108,[1]timesData!$B:$P,9,FALSE)</f>
        <v>23505</v>
      </c>
      <c r="K107">
        <f>VLOOKUP(A108,[1]timesData!$B:$P,10,FALSE)</f>
        <v>15.1</v>
      </c>
      <c r="L107">
        <f>VLOOKUP(A108,[1]timesData!$B:$P,11,FALSE)</f>
        <v>0.06</v>
      </c>
      <c r="M107">
        <f>VLOOKUP(A108,[1]timesData!$B:$P,12,FALSE)</f>
        <v>2.7736111111111112</v>
      </c>
      <c r="N107">
        <f>VLOOKUP(A108,[1]timesData!$B:$P,13,FALSE)</f>
        <v>2011</v>
      </c>
      <c r="O107">
        <f>VLOOKUP(A107,[2]cwurData!$B:$P,14,FALSE)</f>
        <v>90</v>
      </c>
      <c r="P107">
        <f>VLOOKUP(A107,[2]cwurData!$B:$N, 3, FALSE)</f>
        <v>3</v>
      </c>
      <c r="Q107">
        <f>VLOOKUP(A107,[2]cwurData!$B:$N, 4, FALSE)</f>
        <v>52</v>
      </c>
      <c r="R107">
        <f>VLOOKUP(A107,[2]cwurData!$B:$N, 5, FALSE)</f>
        <v>101</v>
      </c>
      <c r="S107">
        <f>VLOOKUP(A107,[2]cwurData!$B:$N, 6, FALSE)</f>
        <v>101</v>
      </c>
      <c r="T107">
        <f>VLOOKUP(A107,[2]cwurData!$B:$N, 7, FALSE)</f>
        <v>91</v>
      </c>
      <c r="U107">
        <f>VLOOKUP(A107,[2]cwurData!$B:$N, 8, FALSE)</f>
        <v>76</v>
      </c>
      <c r="V107">
        <f>VLOOKUP(A107,[2]cwurData!$B:$N, 9, FALSE)</f>
        <v>94</v>
      </c>
      <c r="W107">
        <f>VLOOKUP(A107,[2]cwurData!$B:$N, 10, FALSE)</f>
        <v>0</v>
      </c>
      <c r="X107">
        <f>VLOOKUP(A107,[2]cwurData!$B:$N, 11, FALSE)</f>
        <v>101</v>
      </c>
      <c r="Y107">
        <f>VLOOKUP(A107,[2]cwurData!$B:$N, 12, FALSE)</f>
        <v>44.32</v>
      </c>
      <c r="Z107">
        <f>VLOOKUP(A107,[2]cwurData!$B:$N, 13, FALSE)</f>
        <v>2012</v>
      </c>
    </row>
    <row r="108" spans="1:26" x14ac:dyDescent="0.3">
      <c r="A108" t="s">
        <v>102</v>
      </c>
      <c r="B108" t="str">
        <f>IFERROR(VLOOKUP(A108,[1]timesData!$B:$P,2,FALSE),VLOOKUP(A108,[2]cwurData!$B:$P,2,FALSE))</f>
        <v>Finland</v>
      </c>
      <c r="C108">
        <f>VLOOKUP(A108,[1]timesData!$B:$P,3,FALSE)</f>
        <v>102</v>
      </c>
      <c r="D108">
        <f>VLOOKUP(A109,[1]timesData!$B:$P,3,FALSE)</f>
        <v>103</v>
      </c>
      <c r="E108">
        <f>VLOOKUP(A109,[1]timesData!$B:$P,4,FALSE)</f>
        <v>85.7</v>
      </c>
      <c r="F108">
        <f>VLOOKUP(A109,[1]timesData!$B:$P,5,FALSE)</f>
        <v>47.7</v>
      </c>
      <c r="G108">
        <f>VLOOKUP(A109,[1]timesData!$B:$P,6,FALSE)</f>
        <v>72.900000000000006</v>
      </c>
      <c r="H108">
        <f>VLOOKUP(A109,[1]timesData!$B:$P,7,FALSE)</f>
        <v>32.6</v>
      </c>
      <c r="I108">
        <f>VLOOKUP(A109,[1]timesData!$B:$P,8,FALSE)</f>
        <v>56.5</v>
      </c>
      <c r="J108">
        <f>VLOOKUP(A109,[1]timesData!$B:$P,9,FALSE)</f>
        <v>8338</v>
      </c>
      <c r="K108">
        <f>VLOOKUP(A109,[1]timesData!$B:$P,10,FALSE)</f>
        <v>12.7</v>
      </c>
      <c r="L108">
        <f>VLOOKUP(A109,[1]timesData!$B:$P,11,FALSE)</f>
        <v>0.47</v>
      </c>
      <c r="M108">
        <f>VLOOKUP(A109,[1]timesData!$B:$P,12,FALSE)</f>
        <v>2.3638888888888889</v>
      </c>
      <c r="N108">
        <f>VLOOKUP(A109,[1]timesData!$B:$P,13,FALSE)</f>
        <v>2011</v>
      </c>
      <c r="O108">
        <f>VLOOKUP(A108,[2]cwurData!$B:$P,14,FALSE)</f>
        <v>89</v>
      </c>
      <c r="P108">
        <f>VLOOKUP(A108,[2]cwurData!$B:$N, 3, FALSE)</f>
        <v>1</v>
      </c>
      <c r="Q108">
        <f>VLOOKUP(A108,[2]cwurData!$B:$N, 4, FALSE)</f>
        <v>96</v>
      </c>
      <c r="R108">
        <f>VLOOKUP(A108,[2]cwurData!$B:$N, 5, FALSE)</f>
        <v>101</v>
      </c>
      <c r="S108">
        <f>VLOOKUP(A108,[2]cwurData!$B:$N, 6, FALSE)</f>
        <v>79</v>
      </c>
      <c r="T108">
        <f>VLOOKUP(A108,[2]cwurData!$B:$N, 7, FALSE)</f>
        <v>62</v>
      </c>
      <c r="U108">
        <f>VLOOKUP(A108,[2]cwurData!$B:$N, 8, FALSE)</f>
        <v>64</v>
      </c>
      <c r="V108">
        <f>VLOOKUP(A108,[2]cwurData!$B:$N, 9, FALSE)</f>
        <v>54</v>
      </c>
      <c r="W108">
        <f>VLOOKUP(A108,[2]cwurData!$B:$N, 10, FALSE)</f>
        <v>0</v>
      </c>
      <c r="X108">
        <f>VLOOKUP(A108,[2]cwurData!$B:$N, 11, FALSE)</f>
        <v>101</v>
      </c>
      <c r="Y108">
        <f>VLOOKUP(A108,[2]cwurData!$B:$N, 12, FALSE)</f>
        <v>44.44</v>
      </c>
      <c r="Z108">
        <f>VLOOKUP(A108,[2]cwurData!$B:$N, 13, FALSE)</f>
        <v>2012</v>
      </c>
    </row>
    <row r="109" spans="1:26" x14ac:dyDescent="0.3">
      <c r="A109" t="s">
        <v>103</v>
      </c>
      <c r="B109" t="str">
        <f>IFERROR(VLOOKUP(A109,[1]timesData!$B:$P,2,FALSE),VLOOKUP(A109,[2]cwurData!$B:$P,2,FALSE))</f>
        <v>United Kingdom</v>
      </c>
      <c r="C109">
        <f>VLOOKUP(A109,[1]timesData!$B:$P,3,FALSE)</f>
        <v>103</v>
      </c>
      <c r="D109">
        <f>VLOOKUP(A110,[1]timesData!$B:$P,3,FALSE)</f>
        <v>104</v>
      </c>
      <c r="E109">
        <f>VLOOKUP(A110,[1]timesData!$B:$P,4,FALSE)</f>
        <v>48</v>
      </c>
      <c r="F109">
        <f>VLOOKUP(A110,[1]timesData!$B:$P,5,FALSE)</f>
        <v>54.6</v>
      </c>
      <c r="G109">
        <f>VLOOKUP(A110,[1]timesData!$B:$P,6,FALSE)</f>
        <v>64.900000000000006</v>
      </c>
      <c r="H109" t="str">
        <f>VLOOKUP(A110,[1]timesData!$B:$P,7,FALSE)</f>
        <v>-</v>
      </c>
      <c r="I109">
        <f>VLOOKUP(A110,[1]timesData!$B:$P,8,FALSE)</f>
        <v>56.4</v>
      </c>
      <c r="J109">
        <f>VLOOKUP(A110,[1]timesData!$B:$P,9,FALSE)</f>
        <v>6671</v>
      </c>
      <c r="K109">
        <f>VLOOKUP(A110,[1]timesData!$B:$P,10,FALSE)</f>
        <v>15</v>
      </c>
      <c r="L109">
        <f>VLOOKUP(A110,[1]timesData!$B:$P,11,FALSE)</f>
        <v>0.16</v>
      </c>
      <c r="M109" t="str">
        <f>VLOOKUP(A110,[1]timesData!$B:$P,12,FALSE)</f>
        <v>30 : 70</v>
      </c>
      <c r="N109">
        <f>VLOOKUP(A110,[1]timesData!$B:$P,13,FALSE)</f>
        <v>2011</v>
      </c>
      <c r="O109">
        <f>VLOOKUP(A109,[2]cwurData!$B:$P,14,FALSE)</f>
        <v>323</v>
      </c>
      <c r="P109">
        <f>VLOOKUP(A109,[2]cwurData!$B:$N, 3, FALSE)</f>
        <v>28</v>
      </c>
      <c r="Q109">
        <f>VLOOKUP(A109,[2]cwurData!$B:$N, 4, FALSE)</f>
        <v>125</v>
      </c>
      <c r="R109">
        <f>VLOOKUP(A109,[2]cwurData!$B:$N, 5, FALSE)</f>
        <v>478</v>
      </c>
      <c r="S109">
        <f>VLOOKUP(A109,[2]cwurData!$B:$N, 6, FALSE)</f>
        <v>210</v>
      </c>
      <c r="T109">
        <f>VLOOKUP(A109,[2]cwurData!$B:$N, 7, FALSE)</f>
        <v>317</v>
      </c>
      <c r="U109">
        <f>VLOOKUP(A109,[2]cwurData!$B:$N, 8, FALSE)</f>
        <v>193</v>
      </c>
      <c r="V109">
        <f>VLOOKUP(A109,[2]cwurData!$B:$N, 9, FALSE)</f>
        <v>363</v>
      </c>
      <c r="W109">
        <f>VLOOKUP(A109,[2]cwurData!$B:$N, 10, FALSE)</f>
        <v>281</v>
      </c>
      <c r="X109">
        <f>VLOOKUP(A109,[2]cwurData!$B:$N, 11, FALSE)</f>
        <v>280</v>
      </c>
      <c r="Y109">
        <f>VLOOKUP(A109,[2]cwurData!$B:$N, 12, FALSE)</f>
        <v>46.15</v>
      </c>
      <c r="Z109">
        <f>VLOOKUP(A109,[2]cwurData!$B:$N, 13, FALSE)</f>
        <v>2014</v>
      </c>
    </row>
    <row r="110" spans="1:26" x14ac:dyDescent="0.3">
      <c r="A110" t="s">
        <v>104</v>
      </c>
      <c r="B110" t="str">
        <f>IFERROR(VLOOKUP(A110,[1]timesData!$B:$P,2,FALSE),VLOOKUP(A110,[2]cwurData!$B:$P,2,FALSE))</f>
        <v>United States of America</v>
      </c>
      <c r="C110">
        <f>VLOOKUP(A110,[1]timesData!$B:$P,3,FALSE)</f>
        <v>104</v>
      </c>
      <c r="D110">
        <f>VLOOKUP(A111,[1]timesData!$B:$P,3,FALSE)</f>
        <v>105</v>
      </c>
      <c r="E110">
        <f>VLOOKUP(A111,[1]timesData!$B:$P,4,FALSE)</f>
        <v>26.8</v>
      </c>
      <c r="F110">
        <f>VLOOKUP(A111,[1]timesData!$B:$P,5,FALSE)</f>
        <v>64.7</v>
      </c>
      <c r="G110">
        <f>VLOOKUP(A111,[1]timesData!$B:$P,6,FALSE)</f>
        <v>55.7</v>
      </c>
      <c r="H110" t="str">
        <f>VLOOKUP(A111,[1]timesData!$B:$P,7,FALSE)</f>
        <v>-</v>
      </c>
      <c r="I110">
        <f>VLOOKUP(A111,[1]timesData!$B:$P,8,FALSE)</f>
        <v>56.3</v>
      </c>
      <c r="J110">
        <f>VLOOKUP(A111,[1]timesData!$B:$P,9,FALSE)</f>
        <v>37032</v>
      </c>
      <c r="K110">
        <f>VLOOKUP(A111,[1]timesData!$B:$P,10,FALSE)</f>
        <v>17.3</v>
      </c>
      <c r="L110">
        <f>VLOOKUP(A111,[1]timesData!$B:$P,11,FALSE)</f>
        <v>0.08</v>
      </c>
      <c r="M110">
        <f>VLOOKUP(A111,[1]timesData!$B:$P,12,FALSE)</f>
        <v>2.1590277777777778</v>
      </c>
      <c r="N110">
        <f>VLOOKUP(A111,[1]timesData!$B:$P,13,FALSE)</f>
        <v>2011</v>
      </c>
      <c r="O110">
        <f>VLOOKUP(A110,[2]cwurData!$B:$P,14,FALSE)</f>
        <v>243</v>
      </c>
      <c r="P110">
        <f>VLOOKUP(A110,[2]cwurData!$B:$N, 3, FALSE)</f>
        <v>100</v>
      </c>
      <c r="Q110">
        <f>VLOOKUP(A110,[2]cwurData!$B:$N, 4, FALSE)</f>
        <v>120</v>
      </c>
      <c r="R110">
        <f>VLOOKUP(A110,[2]cwurData!$B:$N, 5, FALSE)</f>
        <v>121</v>
      </c>
      <c r="S110">
        <f>VLOOKUP(A110,[2]cwurData!$B:$N, 6, FALSE)</f>
        <v>210</v>
      </c>
      <c r="T110">
        <f>VLOOKUP(A110,[2]cwurData!$B:$N, 7, FALSE)</f>
        <v>375</v>
      </c>
      <c r="U110">
        <f>VLOOKUP(A110,[2]cwurData!$B:$N, 8, FALSE)</f>
        <v>344</v>
      </c>
      <c r="V110">
        <f>VLOOKUP(A110,[2]cwurData!$B:$N, 9, FALSE)</f>
        <v>159</v>
      </c>
      <c r="W110">
        <f>VLOOKUP(A110,[2]cwurData!$B:$N, 10, FALSE)</f>
        <v>272</v>
      </c>
      <c r="X110">
        <f>VLOOKUP(A110,[2]cwurData!$B:$N, 11, FALSE)</f>
        <v>138</v>
      </c>
      <c r="Y110">
        <f>VLOOKUP(A110,[2]cwurData!$B:$N, 12, FALSE)</f>
        <v>47.2</v>
      </c>
      <c r="Z110">
        <f>VLOOKUP(A110,[2]cwurData!$B:$N, 13, FALSE)</f>
        <v>2014</v>
      </c>
    </row>
    <row r="111" spans="1:26" x14ac:dyDescent="0.3">
      <c r="A111" t="s">
        <v>105</v>
      </c>
      <c r="B111" t="str">
        <f>IFERROR(VLOOKUP(A111,[1]timesData!$B:$P,2,FALSE),VLOOKUP(A111,[2]cwurData!$B:$P,2,FALSE))</f>
        <v>United States of America</v>
      </c>
      <c r="C111">
        <f>VLOOKUP(A111,[1]timesData!$B:$P,3,FALSE)</f>
        <v>105</v>
      </c>
      <c r="D111">
        <f>VLOOKUP(A112,[1]timesData!$B:$P,3,FALSE)</f>
        <v>106</v>
      </c>
      <c r="E111">
        <f>VLOOKUP(A112,[1]timesData!$B:$P,4,FALSE)</f>
        <v>64.599999999999994</v>
      </c>
      <c r="F111">
        <f>VLOOKUP(A112,[1]timesData!$B:$P,5,FALSE)</f>
        <v>47.7</v>
      </c>
      <c r="G111">
        <f>VLOOKUP(A112,[1]timesData!$B:$P,6,FALSE)</f>
        <v>86.9</v>
      </c>
      <c r="H111">
        <f>VLOOKUP(A112,[1]timesData!$B:$P,7,FALSE)</f>
        <v>85.3</v>
      </c>
      <c r="I111">
        <f>VLOOKUP(A112,[1]timesData!$B:$P,8,FALSE)</f>
        <v>57.7</v>
      </c>
      <c r="J111">
        <f>VLOOKUP(A112,[1]timesData!$B:$P,9,FALSE)</f>
        <v>11761</v>
      </c>
      <c r="K111">
        <f>VLOOKUP(A112,[1]timesData!$B:$P,10,FALSE)</f>
        <v>85.8</v>
      </c>
      <c r="L111">
        <f>VLOOKUP(A112,[1]timesData!$B:$P,11,FALSE)</f>
        <v>0.15</v>
      </c>
      <c r="M111">
        <f>VLOOKUP(A112,[1]timesData!$B:$P,12,FALSE)</f>
        <v>2.3229166666666665</v>
      </c>
      <c r="N111">
        <f>VLOOKUP(A112,[1]timesData!$B:$P,13,FALSE)</f>
        <v>2016</v>
      </c>
      <c r="O111" t="e">
        <f>VLOOKUP(A111,[2]cwurData!$B:$P,14,FALSE)</f>
        <v>#N/A</v>
      </c>
      <c r="P111" t="e">
        <f>VLOOKUP(A111,[2]cwurData!$B:$N, 3, FALSE)</f>
        <v>#N/A</v>
      </c>
      <c r="Q111" t="e">
        <f>VLOOKUP(A111,[2]cwurData!$B:$N, 4, FALSE)</f>
        <v>#N/A</v>
      </c>
      <c r="R111" t="e">
        <f>VLOOKUP(A111,[2]cwurData!$B:$N, 5, FALSE)</f>
        <v>#N/A</v>
      </c>
      <c r="S111" t="e">
        <f>VLOOKUP(A111,[2]cwurData!$B:$N, 6, FALSE)</f>
        <v>#N/A</v>
      </c>
      <c r="T111" t="e">
        <f>VLOOKUP(A111,[2]cwurData!$B:$N, 7, FALSE)</f>
        <v>#N/A</v>
      </c>
      <c r="U111" t="e">
        <f>VLOOKUP(A111,[2]cwurData!$B:$N, 8, FALSE)</f>
        <v>#N/A</v>
      </c>
      <c r="V111" t="e">
        <f>VLOOKUP(A111,[2]cwurData!$B:$N, 9, FALSE)</f>
        <v>#N/A</v>
      </c>
      <c r="W111" t="e">
        <f>VLOOKUP(A111,[2]cwurData!$B:$N, 10, FALSE)</f>
        <v>#N/A</v>
      </c>
      <c r="X111" t="e">
        <f>VLOOKUP(A111,[2]cwurData!$B:$N, 11, FALSE)</f>
        <v>#N/A</v>
      </c>
      <c r="Y111" t="e">
        <f>VLOOKUP(A111,[2]cwurData!$B:$N, 12, FALSE)</f>
        <v>#N/A</v>
      </c>
      <c r="Z111" t="e">
        <f>VLOOKUP(A111,[2]cwurData!$B:$N, 13, FALSE)</f>
        <v>#N/A</v>
      </c>
    </row>
    <row r="112" spans="1:26" x14ac:dyDescent="0.3">
      <c r="A112" t="s">
        <v>482</v>
      </c>
      <c r="B112" t="str">
        <f>IFERROR(VLOOKUP(A112,[1]timesData!$B:$P,2,FALSE),VLOOKUP(A112,[2]cwurData!$B:$P,2,FALSE))</f>
        <v>Germany</v>
      </c>
      <c r="C112">
        <f>VLOOKUP(A112,[1]timesData!$B:$P,3,FALSE)</f>
        <v>106</v>
      </c>
      <c r="D112">
        <f>VLOOKUP(A113,[1]timesData!$B:$P,3,FALSE)</f>
        <v>106</v>
      </c>
      <c r="E112">
        <f>VLOOKUP(A113,[1]timesData!$B:$P,4,FALSE)</f>
        <v>62.6</v>
      </c>
      <c r="F112">
        <f>VLOOKUP(A113,[1]timesData!$B:$P,5,FALSE)</f>
        <v>67.8</v>
      </c>
      <c r="G112">
        <f>VLOOKUP(A113,[1]timesData!$B:$P,6,FALSE)</f>
        <v>43.9</v>
      </c>
      <c r="H112" t="str">
        <f>VLOOKUP(A113,[1]timesData!$B:$P,7,FALSE)</f>
        <v>-</v>
      </c>
      <c r="I112">
        <f>VLOOKUP(A113,[1]timesData!$B:$P,8,FALSE)</f>
        <v>56.2</v>
      </c>
      <c r="J112">
        <f>VLOOKUP(A113,[1]timesData!$B:$P,9,FALSE)</f>
        <v>39256</v>
      </c>
      <c r="K112">
        <f>VLOOKUP(A113,[1]timesData!$B:$P,10,FALSE)</f>
        <v>18.100000000000001</v>
      </c>
      <c r="L112">
        <f>VLOOKUP(A113,[1]timesData!$B:$P,11,FALSE)</f>
        <v>0.22</v>
      </c>
      <c r="M112">
        <f>VLOOKUP(A113,[1]timesData!$B:$P,12,FALSE)</f>
        <v>1.7902777777777779</v>
      </c>
      <c r="N112">
        <f>VLOOKUP(A113,[1]timesData!$B:$P,13,FALSE)</f>
        <v>2011</v>
      </c>
      <c r="O112">
        <f>VLOOKUP(A112,[2]cwurData!$B:$P,14,FALSE)</f>
        <v>908</v>
      </c>
      <c r="P112">
        <f>VLOOKUP(A112,[2]cwurData!$B:$N, 3, FALSE)</f>
        <v>52</v>
      </c>
      <c r="Q112">
        <f>VLOOKUP(A112,[2]cwurData!$B:$N, 4, FALSE)</f>
        <v>355</v>
      </c>
      <c r="R112">
        <f>VLOOKUP(A112,[2]cwurData!$B:$N, 5, FALSE)</f>
        <v>478</v>
      </c>
      <c r="S112">
        <f>VLOOKUP(A112,[2]cwurData!$B:$N, 6, FALSE)</f>
        <v>210</v>
      </c>
      <c r="T112">
        <f>VLOOKUP(A112,[2]cwurData!$B:$N, 7, FALSE)</f>
        <v>949</v>
      </c>
      <c r="U112">
        <f>VLOOKUP(A112,[2]cwurData!$B:$N, 8, FALSE)</f>
        <v>885</v>
      </c>
      <c r="V112">
        <f>VLOOKUP(A112,[2]cwurData!$B:$N, 9, FALSE)</f>
        <v>493</v>
      </c>
      <c r="W112">
        <f>VLOOKUP(A112,[2]cwurData!$B:$N, 10, FALSE)</f>
        <v>849</v>
      </c>
      <c r="X112">
        <f>VLOOKUP(A112,[2]cwurData!$B:$N, 11, FALSE)</f>
        <v>737</v>
      </c>
      <c r="Y112">
        <f>VLOOKUP(A112,[2]cwurData!$B:$N, 12, FALSE)</f>
        <v>44.39</v>
      </c>
      <c r="Z112">
        <f>VLOOKUP(A112,[2]cwurData!$B:$N, 13, FALSE)</f>
        <v>2014</v>
      </c>
    </row>
    <row r="113" spans="1:26" x14ac:dyDescent="0.3">
      <c r="A113" t="s">
        <v>106</v>
      </c>
      <c r="B113" t="str">
        <f>IFERROR(VLOOKUP(A113,[1]timesData!$B:$P,2,FALSE),VLOOKUP(A113,[2]cwurData!$B:$P,2,FALSE))</f>
        <v>United States of America</v>
      </c>
      <c r="C113">
        <f>VLOOKUP(A113,[1]timesData!$B:$P,3,FALSE)</f>
        <v>106</v>
      </c>
      <c r="D113">
        <f>VLOOKUP(A114,[1]timesData!$B:$P,3,FALSE)</f>
        <v>107</v>
      </c>
      <c r="E113">
        <f>VLOOKUP(A114,[1]timesData!$B:$P,4,FALSE)</f>
        <v>83.3</v>
      </c>
      <c r="F113">
        <f>VLOOKUP(A114,[1]timesData!$B:$P,5,FALSE)</f>
        <v>42.1</v>
      </c>
      <c r="G113">
        <f>VLOOKUP(A114,[1]timesData!$B:$P,6,FALSE)</f>
        <v>82.8</v>
      </c>
      <c r="H113" t="str">
        <f>VLOOKUP(A114,[1]timesData!$B:$P,7,FALSE)</f>
        <v>-</v>
      </c>
      <c r="I113">
        <f>VLOOKUP(A114,[1]timesData!$B:$P,8,FALSE)</f>
        <v>56.1</v>
      </c>
      <c r="J113">
        <f>VLOOKUP(A114,[1]timesData!$B:$P,9,FALSE)</f>
        <v>20040</v>
      </c>
      <c r="K113">
        <f>VLOOKUP(A114,[1]timesData!$B:$P,10,FALSE)</f>
        <v>12.1</v>
      </c>
      <c r="L113">
        <f>VLOOKUP(A114,[1]timesData!$B:$P,11,FALSE)</f>
        <v>0.18</v>
      </c>
      <c r="M113">
        <f>VLOOKUP(A114,[1]timesData!$B:$P,12,FALSE)</f>
        <v>2.2409722222222221</v>
      </c>
      <c r="N113">
        <f>VLOOKUP(A114,[1]timesData!$B:$P,13,FALSE)</f>
        <v>2011</v>
      </c>
      <c r="O113" t="e">
        <f>VLOOKUP(A113,[2]cwurData!$B:$P,14,FALSE)</f>
        <v>#N/A</v>
      </c>
      <c r="P113" t="e">
        <f>VLOOKUP(A113,[2]cwurData!$B:$N, 3, FALSE)</f>
        <v>#N/A</v>
      </c>
      <c r="Q113" t="e">
        <f>VLOOKUP(A113,[2]cwurData!$B:$N, 4, FALSE)</f>
        <v>#N/A</v>
      </c>
      <c r="R113" t="e">
        <f>VLOOKUP(A113,[2]cwurData!$B:$N, 5, FALSE)</f>
        <v>#N/A</v>
      </c>
      <c r="S113" t="e">
        <f>VLOOKUP(A113,[2]cwurData!$B:$N, 6, FALSE)</f>
        <v>#N/A</v>
      </c>
      <c r="T113" t="e">
        <f>VLOOKUP(A113,[2]cwurData!$B:$N, 7, FALSE)</f>
        <v>#N/A</v>
      </c>
      <c r="U113" t="e">
        <f>VLOOKUP(A113,[2]cwurData!$B:$N, 8, FALSE)</f>
        <v>#N/A</v>
      </c>
      <c r="V113" t="e">
        <f>VLOOKUP(A113,[2]cwurData!$B:$N, 9, FALSE)</f>
        <v>#N/A</v>
      </c>
      <c r="W113" t="e">
        <f>VLOOKUP(A113,[2]cwurData!$B:$N, 10, FALSE)</f>
        <v>#N/A</v>
      </c>
      <c r="X113" t="e">
        <f>VLOOKUP(A113,[2]cwurData!$B:$N, 11, FALSE)</f>
        <v>#N/A</v>
      </c>
      <c r="Y113" t="e">
        <f>VLOOKUP(A113,[2]cwurData!$B:$N, 12, FALSE)</f>
        <v>#N/A</v>
      </c>
      <c r="Z113" t="e">
        <f>VLOOKUP(A113,[2]cwurData!$B:$N, 13, FALSE)</f>
        <v>#N/A</v>
      </c>
    </row>
    <row r="114" spans="1:26" x14ac:dyDescent="0.3">
      <c r="A114" t="s">
        <v>108</v>
      </c>
      <c r="B114" t="str">
        <f>IFERROR(VLOOKUP(A114,[1]timesData!$B:$P,2,FALSE),VLOOKUP(A114,[2]cwurData!$B:$P,2,FALSE))</f>
        <v>South Africa</v>
      </c>
      <c r="C114">
        <f>VLOOKUP(A114,[1]timesData!$B:$P,3,FALSE)</f>
        <v>107</v>
      </c>
      <c r="D114">
        <f>VLOOKUP(A115,[1]timesData!$B:$P,3,FALSE)</f>
        <v>107</v>
      </c>
      <c r="E114">
        <f>VLOOKUP(A115,[1]timesData!$B:$P,4,FALSE)</f>
        <v>34.1</v>
      </c>
      <c r="F114">
        <f>VLOOKUP(A115,[1]timesData!$B:$P,5,FALSE)</f>
        <v>52.6</v>
      </c>
      <c r="G114">
        <f>VLOOKUP(A115,[1]timesData!$B:$P,6,FALSE)</f>
        <v>66.900000000000006</v>
      </c>
      <c r="H114">
        <f>VLOOKUP(A115,[1]timesData!$B:$P,7,FALSE)</f>
        <v>50.2</v>
      </c>
      <c r="I114">
        <f>VLOOKUP(A115,[1]timesData!$B:$P,8,FALSE)</f>
        <v>56.1</v>
      </c>
      <c r="J114">
        <f>VLOOKUP(A115,[1]timesData!$B:$P,9,FALSE)</f>
        <v>10221</v>
      </c>
      <c r="K114">
        <f>VLOOKUP(A115,[1]timesData!$B:$P,10,FALSE)</f>
        <v>13.5</v>
      </c>
      <c r="L114">
        <f>VLOOKUP(A115,[1]timesData!$B:$P,11,FALSE)</f>
        <v>0.05</v>
      </c>
      <c r="M114" t="str">
        <f>VLOOKUP(A115,[1]timesData!$B:$P,12,FALSE)</f>
        <v>33 : 67</v>
      </c>
      <c r="N114">
        <f>VLOOKUP(A115,[1]timesData!$B:$P,13,FALSE)</f>
        <v>2011</v>
      </c>
      <c r="O114">
        <f>VLOOKUP(A114,[2]cwurData!$B:$P,14,FALSE)</f>
        <v>267</v>
      </c>
      <c r="P114">
        <f>VLOOKUP(A114,[2]cwurData!$B:$N, 3, FALSE)</f>
        <v>2</v>
      </c>
      <c r="Q114">
        <f>VLOOKUP(A114,[2]cwurData!$B:$N, 4, FALSE)</f>
        <v>97</v>
      </c>
      <c r="R114">
        <f>VLOOKUP(A114,[2]cwurData!$B:$N, 5, FALSE)</f>
        <v>169</v>
      </c>
      <c r="S114">
        <f>VLOOKUP(A114,[2]cwurData!$B:$N, 6, FALSE)</f>
        <v>142</v>
      </c>
      <c r="T114">
        <f>VLOOKUP(A114,[2]cwurData!$B:$N, 7, FALSE)</f>
        <v>333</v>
      </c>
      <c r="U114">
        <f>VLOOKUP(A114,[2]cwurData!$B:$N, 8, FALSE)</f>
        <v>244</v>
      </c>
      <c r="V114">
        <f>VLOOKUP(A114,[2]cwurData!$B:$N, 9, FALSE)</f>
        <v>220</v>
      </c>
      <c r="W114">
        <f>VLOOKUP(A114,[2]cwurData!$B:$N, 10, FALSE)</f>
        <v>274</v>
      </c>
      <c r="X114">
        <f>VLOOKUP(A114,[2]cwurData!$B:$N, 11, FALSE)</f>
        <v>552</v>
      </c>
      <c r="Y114">
        <f>VLOOKUP(A114,[2]cwurData!$B:$N, 12, FALSE)</f>
        <v>46.78</v>
      </c>
      <c r="Z114">
        <f>VLOOKUP(A114,[2]cwurData!$B:$N, 13, FALSE)</f>
        <v>2014</v>
      </c>
    </row>
    <row r="115" spans="1:26" x14ac:dyDescent="0.3">
      <c r="A115" t="s">
        <v>107</v>
      </c>
      <c r="B115" t="str">
        <f>IFERROR(VLOOKUP(A115,[1]timesData!$B:$P,2,FALSE),VLOOKUP(A115,[2]cwurData!$B:$P,2,FALSE))</f>
        <v>Taiwan</v>
      </c>
      <c r="C115">
        <f>VLOOKUP(A115,[1]timesData!$B:$P,3,FALSE)</f>
        <v>107</v>
      </c>
      <c r="D115">
        <f>VLOOKUP(A116,[1]timesData!$B:$P,3,FALSE)</f>
        <v>109</v>
      </c>
      <c r="E115">
        <f>VLOOKUP(A116,[1]timesData!$B:$P,4,FALSE)</f>
        <v>44.9</v>
      </c>
      <c r="F115">
        <f>VLOOKUP(A116,[1]timesData!$B:$P,5,FALSE)</f>
        <v>54.1</v>
      </c>
      <c r="G115">
        <f>VLOOKUP(A116,[1]timesData!$B:$P,6,FALSE)</f>
        <v>54.6</v>
      </c>
      <c r="H115">
        <f>VLOOKUP(A116,[1]timesData!$B:$P,7,FALSE)</f>
        <v>43</v>
      </c>
      <c r="I115">
        <f>VLOOKUP(A116,[1]timesData!$B:$P,8,FALSE)</f>
        <v>56</v>
      </c>
      <c r="J115">
        <f>VLOOKUP(A116,[1]timesData!$B:$P,9,FALSE)</f>
        <v>26389</v>
      </c>
      <c r="K115">
        <f>VLOOKUP(A116,[1]timesData!$B:$P,10,FALSE)</f>
        <v>13.9</v>
      </c>
      <c r="L115">
        <f>VLOOKUP(A116,[1]timesData!$B:$P,11,FALSE)</f>
        <v>0.1</v>
      </c>
      <c r="M115">
        <f>VLOOKUP(A116,[1]timesData!$B:$P,12,FALSE)</f>
        <v>0</v>
      </c>
      <c r="N115">
        <f>VLOOKUP(A116,[1]timesData!$B:$P,13,FALSE)</f>
        <v>2011</v>
      </c>
      <c r="O115">
        <f>VLOOKUP(A115,[2]cwurData!$B:$P,14,FALSE)</f>
        <v>418</v>
      </c>
      <c r="P115">
        <f>VLOOKUP(A115,[2]cwurData!$B:$N, 3, FALSE)</f>
        <v>4</v>
      </c>
      <c r="Q115">
        <f>VLOOKUP(A115,[2]cwurData!$B:$N, 4, FALSE)</f>
        <v>244</v>
      </c>
      <c r="R115">
        <f>VLOOKUP(A115,[2]cwurData!$B:$N, 5, FALSE)</f>
        <v>478</v>
      </c>
      <c r="S115">
        <f>VLOOKUP(A115,[2]cwurData!$B:$N, 6, FALSE)</f>
        <v>210</v>
      </c>
      <c r="T115">
        <f>VLOOKUP(A115,[2]cwurData!$B:$N, 7, FALSE)</f>
        <v>230</v>
      </c>
      <c r="U115">
        <f>VLOOKUP(A115,[2]cwurData!$B:$N, 8, FALSE)</f>
        <v>406</v>
      </c>
      <c r="V115">
        <f>VLOOKUP(A115,[2]cwurData!$B:$N, 9, FALSE)</f>
        <v>493</v>
      </c>
      <c r="W115">
        <f>VLOOKUP(A115,[2]cwurData!$B:$N, 10, FALSE)</f>
        <v>386</v>
      </c>
      <c r="X115">
        <f>VLOOKUP(A115,[2]cwurData!$B:$N, 11, FALSE)</f>
        <v>552</v>
      </c>
      <c r="Y115">
        <f>VLOOKUP(A115,[2]cwurData!$B:$N, 12, FALSE)</f>
        <v>45.46</v>
      </c>
      <c r="Z115">
        <f>VLOOKUP(A115,[2]cwurData!$B:$N, 13, FALSE)</f>
        <v>2014</v>
      </c>
    </row>
    <row r="116" spans="1:26" x14ac:dyDescent="0.3">
      <c r="A116" t="s">
        <v>110</v>
      </c>
      <c r="B116" t="str">
        <f>IFERROR(VLOOKUP(A116,[1]timesData!$B:$P,2,FALSE),VLOOKUP(A116,[2]cwurData!$B:$P,2,FALSE))</f>
        <v>South Korea</v>
      </c>
      <c r="C116">
        <f>VLOOKUP(A116,[1]timesData!$B:$P,3,FALSE)</f>
        <v>109</v>
      </c>
      <c r="D116">
        <f>VLOOKUP(A117,[1]timesData!$B:$P,3,FALSE)</f>
        <v>109</v>
      </c>
      <c r="E116">
        <f>VLOOKUP(A117,[1]timesData!$B:$P,4,FALSE)</f>
        <v>19.899999999999999</v>
      </c>
      <c r="F116">
        <f>VLOOKUP(A117,[1]timesData!$B:$P,5,FALSE)</f>
        <v>49.2</v>
      </c>
      <c r="G116">
        <f>VLOOKUP(A117,[1]timesData!$B:$P,6,FALSE)</f>
        <v>77.599999999999994</v>
      </c>
      <c r="H116">
        <f>VLOOKUP(A117,[1]timesData!$B:$P,7,FALSE)</f>
        <v>44</v>
      </c>
      <c r="I116">
        <f>VLOOKUP(A117,[1]timesData!$B:$P,8,FALSE)</f>
        <v>56</v>
      </c>
      <c r="J116">
        <f>VLOOKUP(A117,[1]timesData!$B:$P,9,FALSE)</f>
        <v>44501</v>
      </c>
      <c r="K116">
        <f>VLOOKUP(A117,[1]timesData!$B:$P,10,FALSE)</f>
        <v>12.4</v>
      </c>
      <c r="L116">
        <f>VLOOKUP(A117,[1]timesData!$B:$P,11,FALSE)</f>
        <v>0.12</v>
      </c>
      <c r="M116">
        <f>VLOOKUP(A117,[1]timesData!$B:$P,12,FALSE)</f>
        <v>1.9541666666666666</v>
      </c>
      <c r="N116">
        <f>VLOOKUP(A117,[1]timesData!$B:$P,13,FALSE)</f>
        <v>2011</v>
      </c>
      <c r="O116">
        <f>VLOOKUP(A116,[2]cwurData!$B:$P,14,FALSE)</f>
        <v>75</v>
      </c>
      <c r="P116">
        <f>VLOOKUP(A116,[2]cwurData!$B:$N, 3, FALSE)</f>
        <v>1</v>
      </c>
      <c r="Q116">
        <f>VLOOKUP(A116,[2]cwurData!$B:$N, 4, FALSE)</f>
        <v>101</v>
      </c>
      <c r="R116">
        <f>VLOOKUP(A116,[2]cwurData!$B:$N, 5, FALSE)</f>
        <v>34</v>
      </c>
      <c r="S116">
        <f>VLOOKUP(A116,[2]cwurData!$B:$N, 6, FALSE)</f>
        <v>101</v>
      </c>
      <c r="T116">
        <f>VLOOKUP(A116,[2]cwurData!$B:$N, 7, FALSE)</f>
        <v>44</v>
      </c>
      <c r="U116">
        <f>VLOOKUP(A116,[2]cwurData!$B:$N, 8, FALSE)</f>
        <v>101</v>
      </c>
      <c r="V116">
        <f>VLOOKUP(A116,[2]cwurData!$B:$N, 9, FALSE)</f>
        <v>69</v>
      </c>
      <c r="W116">
        <f>VLOOKUP(A116,[2]cwurData!$B:$N, 10, FALSE)</f>
        <v>0</v>
      </c>
      <c r="X116">
        <f>VLOOKUP(A116,[2]cwurData!$B:$N, 11, FALSE)</f>
        <v>4</v>
      </c>
      <c r="Y116">
        <f>VLOOKUP(A116,[2]cwurData!$B:$N, 12, FALSE)</f>
        <v>46.74</v>
      </c>
      <c r="Z116">
        <f>VLOOKUP(A116,[2]cwurData!$B:$N, 13, FALSE)</f>
        <v>2012</v>
      </c>
    </row>
    <row r="117" spans="1:26" x14ac:dyDescent="0.3">
      <c r="A117" t="s">
        <v>109</v>
      </c>
      <c r="B117" t="str">
        <f>IFERROR(VLOOKUP(A117,[1]timesData!$B:$P,2,FALSE),VLOOKUP(A117,[2]cwurData!$B:$P,2,FALSE))</f>
        <v>United States of America</v>
      </c>
      <c r="C117">
        <f>VLOOKUP(A117,[1]timesData!$B:$P,3,FALSE)</f>
        <v>109</v>
      </c>
      <c r="D117">
        <f>VLOOKUP(A118,[1]timesData!$B:$P,3,FALSE)</f>
        <v>111</v>
      </c>
      <c r="E117">
        <f>VLOOKUP(A118,[1]timesData!$B:$P,4,FALSE)</f>
        <v>71.8</v>
      </c>
      <c r="F117">
        <f>VLOOKUP(A118,[1]timesData!$B:$P,5,FALSE)</f>
        <v>32.5</v>
      </c>
      <c r="G117">
        <f>VLOOKUP(A118,[1]timesData!$B:$P,6,FALSE)</f>
        <v>97.6</v>
      </c>
      <c r="H117">
        <f>VLOOKUP(A118,[1]timesData!$B:$P,7,FALSE)</f>
        <v>26.7</v>
      </c>
      <c r="I117">
        <f>VLOOKUP(A118,[1]timesData!$B:$P,8,FALSE)</f>
        <v>55.6</v>
      </c>
      <c r="J117">
        <f>VLOOKUP(A118,[1]timesData!$B:$P,9,FALSE)</f>
        <v>10441</v>
      </c>
      <c r="K117">
        <f>VLOOKUP(A118,[1]timesData!$B:$P,10,FALSE)</f>
        <v>11</v>
      </c>
      <c r="L117">
        <f>VLOOKUP(A118,[1]timesData!$B:$P,11,FALSE)</f>
        <v>0.25</v>
      </c>
      <c r="M117">
        <f>VLOOKUP(A118,[1]timesData!$B:$P,12,FALSE)</f>
        <v>2.5687500000000001</v>
      </c>
      <c r="N117">
        <f>VLOOKUP(A118,[1]timesData!$B:$P,13,FALSE)</f>
        <v>2011</v>
      </c>
      <c r="O117" t="e">
        <f>VLOOKUP(A117,[2]cwurData!$B:$P,14,FALSE)</f>
        <v>#N/A</v>
      </c>
      <c r="P117" t="e">
        <f>VLOOKUP(A117,[2]cwurData!$B:$N, 3, FALSE)</f>
        <v>#N/A</v>
      </c>
      <c r="Q117" t="e">
        <f>VLOOKUP(A117,[2]cwurData!$B:$N, 4, FALSE)</f>
        <v>#N/A</v>
      </c>
      <c r="R117" t="e">
        <f>VLOOKUP(A117,[2]cwurData!$B:$N, 5, FALSE)</f>
        <v>#N/A</v>
      </c>
      <c r="S117" t="e">
        <f>VLOOKUP(A117,[2]cwurData!$B:$N, 6, FALSE)</f>
        <v>#N/A</v>
      </c>
      <c r="T117" t="e">
        <f>VLOOKUP(A117,[2]cwurData!$B:$N, 7, FALSE)</f>
        <v>#N/A</v>
      </c>
      <c r="U117" t="e">
        <f>VLOOKUP(A117,[2]cwurData!$B:$N, 8, FALSE)</f>
        <v>#N/A</v>
      </c>
      <c r="V117" t="e">
        <f>VLOOKUP(A117,[2]cwurData!$B:$N, 9, FALSE)</f>
        <v>#N/A</v>
      </c>
      <c r="W117" t="e">
        <f>VLOOKUP(A117,[2]cwurData!$B:$N, 10, FALSE)</f>
        <v>#N/A</v>
      </c>
      <c r="X117" t="e">
        <f>VLOOKUP(A117,[2]cwurData!$B:$N, 11, FALSE)</f>
        <v>#N/A</v>
      </c>
      <c r="Y117" t="e">
        <f>VLOOKUP(A117,[2]cwurData!$B:$N, 12, FALSE)</f>
        <v>#N/A</v>
      </c>
      <c r="Z117" t="e">
        <f>VLOOKUP(A117,[2]cwurData!$B:$N, 13, FALSE)</f>
        <v>#N/A</v>
      </c>
    </row>
    <row r="118" spans="1:26" x14ac:dyDescent="0.3">
      <c r="A118" t="s">
        <v>111</v>
      </c>
      <c r="B118" t="str">
        <f>IFERROR(VLOOKUP(A118,[1]timesData!$B:$P,2,FALSE),VLOOKUP(A118,[2]cwurData!$B:$P,2,FALSE))</f>
        <v>Hong Kong</v>
      </c>
      <c r="C118">
        <f>VLOOKUP(A118,[1]timesData!$B:$P,3,FALSE)</f>
        <v>111</v>
      </c>
      <c r="D118">
        <f>VLOOKUP(A119,[1]timesData!$B:$P,3,FALSE)</f>
        <v>112</v>
      </c>
      <c r="E118">
        <f>VLOOKUP(A119,[1]timesData!$B:$P,4,FALSE)</f>
        <v>24.8</v>
      </c>
      <c r="F118">
        <f>VLOOKUP(A119,[1]timesData!$B:$P,5,FALSE)</f>
        <v>63.4</v>
      </c>
      <c r="G118">
        <f>VLOOKUP(A119,[1]timesData!$B:$P,6,FALSE)</f>
        <v>45.5</v>
      </c>
      <c r="H118">
        <f>VLOOKUP(A119,[1]timesData!$B:$P,7,FALSE)</f>
        <v>60.5</v>
      </c>
      <c r="I118">
        <f>VLOOKUP(A119,[1]timesData!$B:$P,8,FALSE)</f>
        <v>55.4</v>
      </c>
      <c r="J118">
        <f>VLOOKUP(A119,[1]timesData!$B:$P,9,FALSE)</f>
        <v>9586</v>
      </c>
      <c r="K118">
        <f>VLOOKUP(A119,[1]timesData!$B:$P,10,FALSE)</f>
        <v>7.3</v>
      </c>
      <c r="L118">
        <f>VLOOKUP(A119,[1]timesData!$B:$P,11,FALSE)</f>
        <v>0.13</v>
      </c>
      <c r="M118">
        <f>VLOOKUP(A119,[1]timesData!$B:$P,12,FALSE)</f>
        <v>0.6020833333333333</v>
      </c>
      <c r="N118">
        <f>VLOOKUP(A119,[1]timesData!$B:$P,13,FALSE)</f>
        <v>2011</v>
      </c>
      <c r="O118">
        <f>VLOOKUP(A118,[2]cwurData!$B:$P,14,FALSE)</f>
        <v>678</v>
      </c>
      <c r="P118">
        <f>VLOOKUP(A118,[2]cwurData!$B:$N, 3, FALSE)</f>
        <v>6</v>
      </c>
      <c r="Q118">
        <f>VLOOKUP(A118,[2]cwurData!$B:$N, 4, FALSE)</f>
        <v>355</v>
      </c>
      <c r="R118">
        <f>VLOOKUP(A118,[2]cwurData!$B:$N, 5, FALSE)</f>
        <v>478</v>
      </c>
      <c r="S118">
        <f>VLOOKUP(A118,[2]cwurData!$B:$N, 6, FALSE)</f>
        <v>210</v>
      </c>
      <c r="T118">
        <f>VLOOKUP(A118,[2]cwurData!$B:$N, 7, FALSE)</f>
        <v>591</v>
      </c>
      <c r="U118">
        <f>VLOOKUP(A118,[2]cwurData!$B:$N, 8, FALSE)</f>
        <v>922</v>
      </c>
      <c r="V118">
        <f>VLOOKUP(A118,[2]cwurData!$B:$N, 9, FALSE)</f>
        <v>609</v>
      </c>
      <c r="W118">
        <f>VLOOKUP(A118,[2]cwurData!$B:$N, 10, FALSE)</f>
        <v>585</v>
      </c>
      <c r="X118">
        <f>VLOOKUP(A118,[2]cwurData!$B:$N, 11, FALSE)</f>
        <v>637</v>
      </c>
      <c r="Y118">
        <f>VLOOKUP(A118,[2]cwurData!$B:$N, 12, FALSE)</f>
        <v>44.67</v>
      </c>
      <c r="Z118">
        <f>VLOOKUP(A118,[2]cwurData!$B:$N, 13, FALSE)</f>
        <v>2014</v>
      </c>
    </row>
    <row r="119" spans="1:26" x14ac:dyDescent="0.3">
      <c r="A119" t="s">
        <v>113</v>
      </c>
      <c r="B119" t="str">
        <f>IFERROR(VLOOKUP(A119,[1]timesData!$B:$P,2,FALSE),VLOOKUP(A119,[2]cwurData!$B:$P,2,FALSE))</f>
        <v>Japan</v>
      </c>
      <c r="C119">
        <f>VLOOKUP(A119,[1]timesData!$B:$P,3,FALSE)</f>
        <v>112</v>
      </c>
      <c r="D119">
        <f>VLOOKUP(A120,[1]timesData!$B:$P,3,FALSE)</f>
        <v>112</v>
      </c>
      <c r="E119">
        <f>VLOOKUP(A120,[1]timesData!$B:$P,4,FALSE)</f>
        <v>77.599999999999994</v>
      </c>
      <c r="F119">
        <f>VLOOKUP(A120,[1]timesData!$B:$P,5,FALSE)</f>
        <v>34.6</v>
      </c>
      <c r="G119">
        <f>VLOOKUP(A120,[1]timesData!$B:$P,6,FALSE)</f>
        <v>73.5</v>
      </c>
      <c r="H119">
        <f>VLOOKUP(A120,[1]timesData!$B:$P,7,FALSE)</f>
        <v>38.200000000000003</v>
      </c>
      <c r="I119">
        <f>VLOOKUP(A120,[1]timesData!$B:$P,8,FALSE)</f>
        <v>52.1</v>
      </c>
      <c r="J119">
        <f>VLOOKUP(A120,[1]timesData!$B:$P,9,FALSE)</f>
        <v>14708</v>
      </c>
      <c r="K119">
        <f>VLOOKUP(A120,[1]timesData!$B:$P,10,FALSE)</f>
        <v>22.5</v>
      </c>
      <c r="L119">
        <f>VLOOKUP(A120,[1]timesData!$B:$P,11,FALSE)</f>
        <v>0.14000000000000001</v>
      </c>
      <c r="M119">
        <f>VLOOKUP(A120,[1]timesData!$B:$P,12,FALSE)</f>
        <v>2.2819444444444446</v>
      </c>
      <c r="N119">
        <f>VLOOKUP(A120,[1]timesData!$B:$P,13,FALSE)</f>
        <v>2012</v>
      </c>
      <c r="O119">
        <f>VLOOKUP(A119,[2]cwurData!$B:$P,14,FALSE)</f>
        <v>96</v>
      </c>
      <c r="P119">
        <f>VLOOKUP(A119,[2]cwurData!$B:$N, 3, FALSE)</f>
        <v>8</v>
      </c>
      <c r="Q119">
        <f>VLOOKUP(A119,[2]cwurData!$B:$N, 4, FALSE)</f>
        <v>208</v>
      </c>
      <c r="R119">
        <f>VLOOKUP(A119,[2]cwurData!$B:$N, 5, FALSE)</f>
        <v>48</v>
      </c>
      <c r="S119">
        <f>VLOOKUP(A119,[2]cwurData!$B:$N, 6, FALSE)</f>
        <v>119</v>
      </c>
      <c r="T119">
        <f>VLOOKUP(A119,[2]cwurData!$B:$N, 7, FALSE)</f>
        <v>150</v>
      </c>
      <c r="U119">
        <f>VLOOKUP(A119,[2]cwurData!$B:$N, 8, FALSE)</f>
        <v>157</v>
      </c>
      <c r="V119">
        <f>VLOOKUP(A119,[2]cwurData!$B:$N, 9, FALSE)</f>
        <v>87</v>
      </c>
      <c r="W119">
        <f>VLOOKUP(A119,[2]cwurData!$B:$N, 10, FALSE)</f>
        <v>180</v>
      </c>
      <c r="X119">
        <f>VLOOKUP(A119,[2]cwurData!$B:$N, 11, FALSE)</f>
        <v>44</v>
      </c>
      <c r="Y119">
        <f>VLOOKUP(A119,[2]cwurData!$B:$N, 12, FALSE)</f>
        <v>51.53</v>
      </c>
      <c r="Z119">
        <f>VLOOKUP(A119,[2]cwurData!$B:$N, 13, FALSE)</f>
        <v>2014</v>
      </c>
    </row>
    <row r="120" spans="1:26" x14ac:dyDescent="0.3">
      <c r="A120" t="s">
        <v>204</v>
      </c>
      <c r="B120" t="str">
        <f>IFERROR(VLOOKUP(A120,[1]timesData!$B:$P,2,FALSE),VLOOKUP(A120,[2]cwurData!$B:$P,2,FALSE))</f>
        <v>Switzerland</v>
      </c>
      <c r="C120">
        <f>VLOOKUP(A120,[1]timesData!$B:$P,3,FALSE)</f>
        <v>112</v>
      </c>
      <c r="D120">
        <f>VLOOKUP(A121,[1]timesData!$B:$P,3,FALSE)</f>
        <v>112</v>
      </c>
      <c r="E120">
        <f>VLOOKUP(A121,[1]timesData!$B:$P,4,FALSE)</f>
        <v>47.7</v>
      </c>
      <c r="F120">
        <f>VLOOKUP(A121,[1]timesData!$B:$P,5,FALSE)</f>
        <v>36.1</v>
      </c>
      <c r="G120">
        <f>VLOOKUP(A121,[1]timesData!$B:$P,6,FALSE)</f>
        <v>95.7</v>
      </c>
      <c r="H120">
        <f>VLOOKUP(A121,[1]timesData!$B:$P,7,FALSE)</f>
        <v>32.4</v>
      </c>
      <c r="I120">
        <f>VLOOKUP(A121,[1]timesData!$B:$P,8,FALSE)</f>
        <v>55.4</v>
      </c>
      <c r="J120">
        <f>VLOOKUP(A121,[1]timesData!$B:$P,9,FALSE)</f>
        <v>0</v>
      </c>
      <c r="K120">
        <f>VLOOKUP(A121,[1]timesData!$B:$P,10,FALSE)</f>
        <v>0</v>
      </c>
      <c r="L120">
        <f>VLOOKUP(A121,[1]timesData!$B:$P,11,FALSE)</f>
        <v>0</v>
      </c>
      <c r="M120">
        <f>VLOOKUP(A121,[1]timesData!$B:$P,12,FALSE)</f>
        <v>0</v>
      </c>
      <c r="N120">
        <f>VLOOKUP(A121,[1]timesData!$B:$P,13,FALSE)</f>
        <v>2011</v>
      </c>
      <c r="O120">
        <f>VLOOKUP(A120,[2]cwurData!$B:$P,14,FALSE)</f>
        <v>201</v>
      </c>
      <c r="P120">
        <f>VLOOKUP(A120,[2]cwurData!$B:$N, 3, FALSE)</f>
        <v>7</v>
      </c>
      <c r="Q120">
        <f>VLOOKUP(A120,[2]cwurData!$B:$N, 4, FALSE)</f>
        <v>166</v>
      </c>
      <c r="R120">
        <f>VLOOKUP(A120,[2]cwurData!$B:$N, 5, FALSE)</f>
        <v>478</v>
      </c>
      <c r="S120">
        <f>VLOOKUP(A120,[2]cwurData!$B:$N, 6, FALSE)</f>
        <v>205</v>
      </c>
      <c r="T120">
        <f>VLOOKUP(A120,[2]cwurData!$B:$N, 7, FALSE)</f>
        <v>167</v>
      </c>
      <c r="U120">
        <f>VLOOKUP(A120,[2]cwurData!$B:$N, 8, FALSE)</f>
        <v>119</v>
      </c>
      <c r="V120">
        <f>VLOOKUP(A120,[2]cwurData!$B:$N, 9, FALSE)</f>
        <v>99</v>
      </c>
      <c r="W120">
        <f>VLOOKUP(A120,[2]cwurData!$B:$N, 10, FALSE)</f>
        <v>155</v>
      </c>
      <c r="X120">
        <f>VLOOKUP(A120,[2]cwurData!$B:$N, 11, FALSE)</f>
        <v>426</v>
      </c>
      <c r="Y120">
        <f>VLOOKUP(A120,[2]cwurData!$B:$N, 12, FALSE)</f>
        <v>47.93</v>
      </c>
      <c r="Z120">
        <f>VLOOKUP(A120,[2]cwurData!$B:$N, 13, FALSE)</f>
        <v>2014</v>
      </c>
    </row>
    <row r="121" spans="1:26" x14ac:dyDescent="0.3">
      <c r="A121" t="s">
        <v>112</v>
      </c>
      <c r="B121" t="str">
        <f>IFERROR(VLOOKUP(A121,[1]timesData!$B:$P,2,FALSE),VLOOKUP(A121,[2]cwurData!$B:$P,2,FALSE))</f>
        <v>Turkey</v>
      </c>
      <c r="C121">
        <f>VLOOKUP(A121,[1]timesData!$B:$P,3,FALSE)</f>
        <v>112</v>
      </c>
      <c r="D121">
        <f>VLOOKUP(A122,[1]timesData!$B:$P,3,FALSE)</f>
        <v>114</v>
      </c>
      <c r="E121">
        <f>VLOOKUP(A122,[1]timesData!$B:$P,4,FALSE)</f>
        <v>44.9</v>
      </c>
      <c r="F121">
        <f>VLOOKUP(A122,[1]timesData!$B:$P,5,FALSE)</f>
        <v>51.7</v>
      </c>
      <c r="G121">
        <f>VLOOKUP(A122,[1]timesData!$B:$P,6,FALSE)</f>
        <v>56.9</v>
      </c>
      <c r="H121">
        <f>VLOOKUP(A122,[1]timesData!$B:$P,7,FALSE)</f>
        <v>99.8</v>
      </c>
      <c r="I121">
        <f>VLOOKUP(A122,[1]timesData!$B:$P,8,FALSE)</f>
        <v>55.3</v>
      </c>
      <c r="J121">
        <f>VLOOKUP(A122,[1]timesData!$B:$P,9,FALSE)</f>
        <v>8176</v>
      </c>
      <c r="K121">
        <f>VLOOKUP(A122,[1]timesData!$B:$P,10,FALSE)</f>
        <v>16</v>
      </c>
      <c r="L121">
        <f>VLOOKUP(A122,[1]timesData!$B:$P,11,FALSE)</f>
        <v>0.14000000000000001</v>
      </c>
      <c r="M121">
        <f>VLOOKUP(A122,[1]timesData!$B:$P,12,FALSE)</f>
        <v>0.84791666666666665</v>
      </c>
      <c r="N121">
        <f>VLOOKUP(A122,[1]timesData!$B:$P,13,FALSE)</f>
        <v>2011</v>
      </c>
      <c r="O121">
        <f>VLOOKUP(A121,[2]cwurData!$B:$P,14,FALSE)</f>
        <v>856</v>
      </c>
      <c r="P121">
        <f>VLOOKUP(A121,[2]cwurData!$B:$N, 3, FALSE)</f>
        <v>7</v>
      </c>
      <c r="Q121">
        <f>VLOOKUP(A121,[2]cwurData!$B:$N, 4, FALSE)</f>
        <v>355</v>
      </c>
      <c r="R121">
        <f>VLOOKUP(A121,[2]cwurData!$B:$N, 5, FALSE)</f>
        <v>478</v>
      </c>
      <c r="S121">
        <f>VLOOKUP(A121,[2]cwurData!$B:$N, 6, FALSE)</f>
        <v>210</v>
      </c>
      <c r="T121">
        <f>VLOOKUP(A121,[2]cwurData!$B:$N, 7, FALSE)</f>
        <v>788</v>
      </c>
      <c r="U121">
        <f>VLOOKUP(A121,[2]cwurData!$B:$N, 8, FALSE)</f>
        <v>782</v>
      </c>
      <c r="V121">
        <f>VLOOKUP(A121,[2]cwurData!$B:$N, 9, FALSE)</f>
        <v>609</v>
      </c>
      <c r="W121">
        <f>VLOOKUP(A121,[2]cwurData!$B:$N, 10, FALSE)</f>
        <v>783</v>
      </c>
      <c r="X121">
        <f>VLOOKUP(A121,[2]cwurData!$B:$N, 11, FALSE)</f>
        <v>737</v>
      </c>
      <c r="Y121">
        <f>VLOOKUP(A121,[2]cwurData!$B:$N, 12, FALSE)</f>
        <v>44.44</v>
      </c>
      <c r="Z121">
        <f>VLOOKUP(A121,[2]cwurData!$B:$N, 13, FALSE)</f>
        <v>2014</v>
      </c>
    </row>
    <row r="122" spans="1:26" x14ac:dyDescent="0.3">
      <c r="A122" t="s">
        <v>114</v>
      </c>
      <c r="B122" t="str">
        <f>IFERROR(VLOOKUP(A122,[1]timesData!$B:$P,2,FALSE),VLOOKUP(A122,[2]cwurData!$B:$P,2,FALSE))</f>
        <v>Netherlands</v>
      </c>
      <c r="C122">
        <f>VLOOKUP(A122,[1]timesData!$B:$P,3,FALSE)</f>
        <v>114</v>
      </c>
      <c r="D122">
        <f>VLOOKUP(A123,[1]timesData!$B:$P,3,FALSE)</f>
        <v>115</v>
      </c>
      <c r="E122">
        <f>VLOOKUP(A123,[1]timesData!$B:$P,4,FALSE)</f>
        <v>29.2</v>
      </c>
      <c r="F122">
        <f>VLOOKUP(A123,[1]timesData!$B:$P,5,FALSE)</f>
        <v>59</v>
      </c>
      <c r="G122">
        <f>VLOOKUP(A123,[1]timesData!$B:$P,6,FALSE)</f>
        <v>61.6</v>
      </c>
      <c r="H122">
        <f>VLOOKUP(A123,[1]timesData!$B:$P,7,FALSE)</f>
        <v>35.700000000000003</v>
      </c>
      <c r="I122">
        <f>VLOOKUP(A123,[1]timesData!$B:$P,8,FALSE)</f>
        <v>55.2</v>
      </c>
      <c r="J122">
        <f>VLOOKUP(A123,[1]timesData!$B:$P,9,FALSE)</f>
        <v>31891</v>
      </c>
      <c r="K122">
        <f>VLOOKUP(A123,[1]timesData!$B:$P,10,FALSE)</f>
        <v>11.9</v>
      </c>
      <c r="L122">
        <f>VLOOKUP(A123,[1]timesData!$B:$P,11,FALSE)</f>
        <v>7.0000000000000007E-2</v>
      </c>
      <c r="M122" t="str">
        <f>VLOOKUP(A123,[1]timesData!$B:$P,12,FALSE)</f>
        <v>39 : 61</v>
      </c>
      <c r="N122">
        <f>VLOOKUP(A123,[1]timesData!$B:$P,13,FALSE)</f>
        <v>2011</v>
      </c>
      <c r="O122">
        <f>VLOOKUP(A122,[2]cwurData!$B:$P,14,FALSE)</f>
        <v>353</v>
      </c>
      <c r="P122">
        <f>VLOOKUP(A122,[2]cwurData!$B:$N, 3, FALSE)</f>
        <v>11</v>
      </c>
      <c r="Q122">
        <f>VLOOKUP(A122,[2]cwurData!$B:$N, 4, FALSE)</f>
        <v>355</v>
      </c>
      <c r="R122">
        <f>VLOOKUP(A122,[2]cwurData!$B:$N, 5, FALSE)</f>
        <v>315</v>
      </c>
      <c r="S122">
        <f>VLOOKUP(A122,[2]cwurData!$B:$N, 6, FALSE)</f>
        <v>181</v>
      </c>
      <c r="T122">
        <f>VLOOKUP(A122,[2]cwurData!$B:$N, 7, FALSE)</f>
        <v>296</v>
      </c>
      <c r="U122">
        <f>VLOOKUP(A122,[2]cwurData!$B:$N, 8, FALSE)</f>
        <v>555</v>
      </c>
      <c r="V122">
        <f>VLOOKUP(A122,[2]cwurData!$B:$N, 9, FALSE)</f>
        <v>310</v>
      </c>
      <c r="W122">
        <f>VLOOKUP(A122,[2]cwurData!$B:$N, 10, FALSE)</f>
        <v>334</v>
      </c>
      <c r="X122">
        <f>VLOOKUP(A122,[2]cwurData!$B:$N, 11, FALSE)</f>
        <v>307</v>
      </c>
      <c r="Y122">
        <f>VLOOKUP(A122,[2]cwurData!$B:$N, 12, FALSE)</f>
        <v>45.82</v>
      </c>
      <c r="Z122">
        <f>VLOOKUP(A122,[2]cwurData!$B:$N, 13, FALSE)</f>
        <v>2014</v>
      </c>
    </row>
    <row r="123" spans="1:26" x14ac:dyDescent="0.3">
      <c r="A123" t="s">
        <v>115</v>
      </c>
      <c r="B123" t="str">
        <f>IFERROR(VLOOKUP(A123,[1]timesData!$B:$P,2,FALSE),VLOOKUP(A123,[2]cwurData!$B:$P,2,FALSE))</f>
        <v>Taiwan</v>
      </c>
      <c r="C123">
        <f>VLOOKUP(A123,[1]timesData!$B:$P,3,FALSE)</f>
        <v>115</v>
      </c>
      <c r="D123">
        <f>VLOOKUP(A124,[1]timesData!$B:$P,3,FALSE)</f>
        <v>115</v>
      </c>
      <c r="E123">
        <f>VLOOKUP(A124,[1]timesData!$B:$P,4,FALSE)</f>
        <v>34.200000000000003</v>
      </c>
      <c r="F123">
        <f>VLOOKUP(A124,[1]timesData!$B:$P,5,FALSE)</f>
        <v>47.6</v>
      </c>
      <c r="G123">
        <f>VLOOKUP(A124,[1]timesData!$B:$P,6,FALSE)</f>
        <v>81</v>
      </c>
      <c r="H123" t="str">
        <f>VLOOKUP(A124,[1]timesData!$B:$P,7,FALSE)</f>
        <v>-</v>
      </c>
      <c r="I123">
        <f>VLOOKUP(A124,[1]timesData!$B:$P,8,FALSE)</f>
        <v>55.2</v>
      </c>
      <c r="J123">
        <f>VLOOKUP(A124,[1]timesData!$B:$P,9,FALSE)</f>
        <v>0</v>
      </c>
      <c r="K123">
        <f>VLOOKUP(A124,[1]timesData!$B:$P,10,FALSE)</f>
        <v>0</v>
      </c>
      <c r="L123">
        <f>VLOOKUP(A124,[1]timesData!$B:$P,11,FALSE)</f>
        <v>0</v>
      </c>
      <c r="M123">
        <f>VLOOKUP(A124,[1]timesData!$B:$P,12,FALSE)</f>
        <v>0</v>
      </c>
      <c r="N123">
        <f>VLOOKUP(A124,[1]timesData!$B:$P,13,FALSE)</f>
        <v>2011</v>
      </c>
      <c r="O123">
        <f>VLOOKUP(A123,[2]cwurData!$B:$P,14,FALSE)</f>
        <v>65</v>
      </c>
      <c r="P123">
        <f>VLOOKUP(A123,[2]cwurData!$B:$N, 3, FALSE)</f>
        <v>1</v>
      </c>
      <c r="Q123">
        <f>VLOOKUP(A123,[2]cwurData!$B:$N, 4, FALSE)</f>
        <v>113</v>
      </c>
      <c r="R123">
        <f>VLOOKUP(A123,[2]cwurData!$B:$N, 5, FALSE)</f>
        <v>24</v>
      </c>
      <c r="S123">
        <f>VLOOKUP(A123,[2]cwurData!$B:$N, 6, FALSE)</f>
        <v>210</v>
      </c>
      <c r="T123">
        <f>VLOOKUP(A123,[2]cwurData!$B:$N, 7, FALSE)</f>
        <v>46</v>
      </c>
      <c r="U123">
        <f>VLOOKUP(A123,[2]cwurData!$B:$N, 8, FALSE)</f>
        <v>216</v>
      </c>
      <c r="V123">
        <f>VLOOKUP(A123,[2]cwurData!$B:$N, 9, FALSE)</f>
        <v>283</v>
      </c>
      <c r="W123">
        <f>VLOOKUP(A123,[2]cwurData!$B:$N, 10, FALSE)</f>
        <v>215</v>
      </c>
      <c r="X123">
        <f>VLOOKUP(A123,[2]cwurData!$B:$N, 11, FALSE)</f>
        <v>637</v>
      </c>
      <c r="Y123">
        <f>VLOOKUP(A123,[2]cwurData!$B:$N, 12, FALSE)</f>
        <v>54.19</v>
      </c>
      <c r="Z123">
        <f>VLOOKUP(A123,[2]cwurData!$B:$N, 13, FALSE)</f>
        <v>2014</v>
      </c>
    </row>
    <row r="124" spans="1:26" x14ac:dyDescent="0.3">
      <c r="A124" t="s">
        <v>116</v>
      </c>
      <c r="B124" t="str">
        <f>IFERROR(VLOOKUP(A124,[1]timesData!$B:$P,2,FALSE),VLOOKUP(A124,[2]cwurData!$B:$P,2,FALSE))</f>
        <v>United States of America</v>
      </c>
      <c r="C124">
        <f>VLOOKUP(A124,[1]timesData!$B:$P,3,FALSE)</f>
        <v>115</v>
      </c>
      <c r="D124">
        <f>VLOOKUP(A125,[1]timesData!$B:$P,3,FALSE)</f>
        <v>117</v>
      </c>
      <c r="E124">
        <f>VLOOKUP(A125,[1]timesData!$B:$P,4,FALSE)</f>
        <v>63</v>
      </c>
      <c r="F124">
        <f>VLOOKUP(A125,[1]timesData!$B:$P,5,FALSE)</f>
        <v>47.4</v>
      </c>
      <c r="G124">
        <f>VLOOKUP(A125,[1]timesData!$B:$P,6,FALSE)</f>
        <v>78.3</v>
      </c>
      <c r="H124">
        <f>VLOOKUP(A125,[1]timesData!$B:$P,7,FALSE)</f>
        <v>30.5</v>
      </c>
      <c r="I124">
        <f>VLOOKUP(A125,[1]timesData!$B:$P,8,FALSE)</f>
        <v>55.1</v>
      </c>
      <c r="J124">
        <f>VLOOKUP(A125,[1]timesData!$B:$P,9,FALSE)</f>
        <v>20626</v>
      </c>
      <c r="K124">
        <f>VLOOKUP(A125,[1]timesData!$B:$P,10,FALSE)</f>
        <v>22</v>
      </c>
      <c r="L124">
        <f>VLOOKUP(A125,[1]timesData!$B:$P,11,FALSE)</f>
        <v>0.12</v>
      </c>
      <c r="M124">
        <f>VLOOKUP(A125,[1]timesData!$B:$P,12,FALSE)</f>
        <v>2.1590277777777778</v>
      </c>
      <c r="N124">
        <f>VLOOKUP(A125,[1]timesData!$B:$P,13,FALSE)</f>
        <v>2011</v>
      </c>
      <c r="O124" t="e">
        <f>VLOOKUP(A124,[2]cwurData!$B:$P,14,FALSE)</f>
        <v>#N/A</v>
      </c>
      <c r="P124" t="e">
        <f>VLOOKUP(A124,[2]cwurData!$B:$N, 3, FALSE)</f>
        <v>#N/A</v>
      </c>
      <c r="Q124" t="e">
        <f>VLOOKUP(A124,[2]cwurData!$B:$N, 4, FALSE)</f>
        <v>#N/A</v>
      </c>
      <c r="R124" t="e">
        <f>VLOOKUP(A124,[2]cwurData!$B:$N, 5, FALSE)</f>
        <v>#N/A</v>
      </c>
      <c r="S124" t="e">
        <f>VLOOKUP(A124,[2]cwurData!$B:$N, 6, FALSE)</f>
        <v>#N/A</v>
      </c>
      <c r="T124" t="e">
        <f>VLOOKUP(A124,[2]cwurData!$B:$N, 7, FALSE)</f>
        <v>#N/A</v>
      </c>
      <c r="U124" t="e">
        <f>VLOOKUP(A124,[2]cwurData!$B:$N, 8, FALSE)</f>
        <v>#N/A</v>
      </c>
      <c r="V124" t="e">
        <f>VLOOKUP(A124,[2]cwurData!$B:$N, 9, FALSE)</f>
        <v>#N/A</v>
      </c>
      <c r="W124" t="e">
        <f>VLOOKUP(A124,[2]cwurData!$B:$N, 10, FALSE)</f>
        <v>#N/A</v>
      </c>
      <c r="X124" t="e">
        <f>VLOOKUP(A124,[2]cwurData!$B:$N, 11, FALSE)</f>
        <v>#N/A</v>
      </c>
      <c r="Y124" t="e">
        <f>VLOOKUP(A124,[2]cwurData!$B:$N, 12, FALSE)</f>
        <v>#N/A</v>
      </c>
      <c r="Z124" t="e">
        <f>VLOOKUP(A124,[2]cwurData!$B:$N, 13, FALSE)</f>
        <v>#N/A</v>
      </c>
    </row>
    <row r="125" spans="1:26" x14ac:dyDescent="0.3">
      <c r="A125" t="s">
        <v>117</v>
      </c>
      <c r="B125" t="str">
        <f>IFERROR(VLOOKUP(A125,[1]timesData!$B:$P,2,FALSE),VLOOKUP(A125,[2]cwurData!$B:$P,2,FALSE))</f>
        <v>United States of America</v>
      </c>
      <c r="C125">
        <f>VLOOKUP(A125,[1]timesData!$B:$P,3,FALSE)</f>
        <v>117</v>
      </c>
      <c r="D125">
        <f>VLOOKUP(A126,[1]timesData!$B:$P,3,FALSE)</f>
        <v>118</v>
      </c>
      <c r="E125">
        <f>VLOOKUP(A126,[1]timesData!$B:$P,4,FALSE)</f>
        <v>95.7</v>
      </c>
      <c r="F125">
        <f>VLOOKUP(A126,[1]timesData!$B:$P,5,FALSE)</f>
        <v>49.7</v>
      </c>
      <c r="G125">
        <f>VLOOKUP(A126,[1]timesData!$B:$P,6,FALSE)</f>
        <v>63.1</v>
      </c>
      <c r="H125">
        <f>VLOOKUP(A126,[1]timesData!$B:$P,7,FALSE)</f>
        <v>32.700000000000003</v>
      </c>
      <c r="I125">
        <f>VLOOKUP(A126,[1]timesData!$B:$P,8,FALSE)</f>
        <v>55</v>
      </c>
      <c r="J125">
        <f>VLOOKUP(A126,[1]timesData!$B:$P,9,FALSE)</f>
        <v>15668</v>
      </c>
      <c r="K125">
        <f>VLOOKUP(A126,[1]timesData!$B:$P,10,FALSE)</f>
        <v>15</v>
      </c>
      <c r="L125">
        <f>VLOOKUP(A126,[1]timesData!$B:$P,11,FALSE)</f>
        <v>0.39</v>
      </c>
      <c r="M125">
        <f>VLOOKUP(A126,[1]timesData!$B:$P,12,FALSE)</f>
        <v>2.5687500000000001</v>
      </c>
      <c r="N125">
        <f>VLOOKUP(A126,[1]timesData!$B:$P,13,FALSE)</f>
        <v>2011</v>
      </c>
      <c r="O125">
        <f>VLOOKUP(A125,[2]cwurData!$B:$P,14,FALSE)</f>
        <v>222</v>
      </c>
      <c r="P125">
        <f>VLOOKUP(A125,[2]cwurData!$B:$N, 3, FALSE)</f>
        <v>91</v>
      </c>
      <c r="Q125">
        <f>VLOOKUP(A125,[2]cwurData!$B:$N, 4, FALSE)</f>
        <v>228</v>
      </c>
      <c r="R125">
        <f>VLOOKUP(A125,[2]cwurData!$B:$N, 5, FALSE)</f>
        <v>478</v>
      </c>
      <c r="S125">
        <f>VLOOKUP(A125,[2]cwurData!$B:$N, 6, FALSE)</f>
        <v>210</v>
      </c>
      <c r="T125">
        <f>VLOOKUP(A125,[2]cwurData!$B:$N, 7, FALSE)</f>
        <v>199</v>
      </c>
      <c r="U125">
        <f>VLOOKUP(A125,[2]cwurData!$B:$N, 8, FALSE)</f>
        <v>98</v>
      </c>
      <c r="V125">
        <f>VLOOKUP(A125,[2]cwurData!$B:$N, 9, FALSE)</f>
        <v>134</v>
      </c>
      <c r="W125">
        <f>VLOOKUP(A125,[2]cwurData!$B:$N, 10, FALSE)</f>
        <v>169</v>
      </c>
      <c r="X125">
        <f>VLOOKUP(A125,[2]cwurData!$B:$N, 11, FALSE)</f>
        <v>259</v>
      </c>
      <c r="Y125">
        <f>VLOOKUP(A125,[2]cwurData!$B:$N, 12, FALSE)</f>
        <v>47.53</v>
      </c>
      <c r="Z125">
        <f>VLOOKUP(A125,[2]cwurData!$B:$N, 13, FALSE)</f>
        <v>2014</v>
      </c>
    </row>
    <row r="126" spans="1:26" x14ac:dyDescent="0.3">
      <c r="A126" t="s">
        <v>118</v>
      </c>
      <c r="B126" t="str">
        <f>IFERROR(VLOOKUP(A126,[1]timesData!$B:$P,2,FALSE),VLOOKUP(A126,[2]cwurData!$B:$P,2,FALSE))</f>
        <v>Switzerland</v>
      </c>
      <c r="C126">
        <f>VLOOKUP(A126,[1]timesData!$B:$P,3,FALSE)</f>
        <v>118</v>
      </c>
      <c r="D126">
        <f>VLOOKUP(A127,[1]timesData!$B:$P,3,FALSE)</f>
        <v>119</v>
      </c>
      <c r="E126">
        <f>VLOOKUP(A127,[1]timesData!$B:$P,4,FALSE)</f>
        <v>29.6</v>
      </c>
      <c r="F126">
        <f>VLOOKUP(A127,[1]timesData!$B:$P,5,FALSE)</f>
        <v>62.9</v>
      </c>
      <c r="G126">
        <f>VLOOKUP(A127,[1]timesData!$B:$P,6,FALSE)</f>
        <v>45.2</v>
      </c>
      <c r="H126">
        <f>VLOOKUP(A127,[1]timesData!$B:$P,7,FALSE)</f>
        <v>97.7</v>
      </c>
      <c r="I126">
        <f>VLOOKUP(A127,[1]timesData!$B:$P,8,FALSE)</f>
        <v>54.8</v>
      </c>
      <c r="J126">
        <f>VLOOKUP(A127,[1]timesData!$B:$P,9,FALSE)</f>
        <v>42503</v>
      </c>
      <c r="K126">
        <f>VLOOKUP(A127,[1]timesData!$B:$P,10,FALSE)</f>
        <v>41.9</v>
      </c>
      <c r="L126">
        <f>VLOOKUP(A127,[1]timesData!$B:$P,11,FALSE)</f>
        <v>0.18</v>
      </c>
      <c r="M126">
        <f>VLOOKUP(A127,[1]timesData!$B:$P,12,FALSE)</f>
        <v>2.2819444444444446</v>
      </c>
      <c r="N126">
        <f>VLOOKUP(A127,[1]timesData!$B:$P,13,FALSE)</f>
        <v>2011</v>
      </c>
      <c r="O126">
        <f>VLOOKUP(A126,[2]cwurData!$B:$P,14,FALSE)</f>
        <v>65</v>
      </c>
      <c r="P126">
        <f>VLOOKUP(A126,[2]cwurData!$B:$N, 3, FALSE)</f>
        <v>2</v>
      </c>
      <c r="Q126">
        <f>VLOOKUP(A126,[2]cwurData!$B:$N, 4, FALSE)</f>
        <v>46</v>
      </c>
      <c r="R126">
        <f>VLOOKUP(A126,[2]cwurData!$B:$N, 5, FALSE)</f>
        <v>101</v>
      </c>
      <c r="S126">
        <f>VLOOKUP(A126,[2]cwurData!$B:$N, 6, FALSE)</f>
        <v>29</v>
      </c>
      <c r="T126">
        <f>VLOOKUP(A126,[2]cwurData!$B:$N, 7, FALSE)</f>
        <v>101</v>
      </c>
      <c r="U126">
        <f>VLOOKUP(A126,[2]cwurData!$B:$N, 8, FALSE)</f>
        <v>93</v>
      </c>
      <c r="V126">
        <f>VLOOKUP(A126,[2]cwurData!$B:$N, 9, FALSE)</f>
        <v>101</v>
      </c>
      <c r="W126">
        <f>VLOOKUP(A126,[2]cwurData!$B:$N, 10, FALSE)</f>
        <v>0</v>
      </c>
      <c r="X126">
        <f>VLOOKUP(A126,[2]cwurData!$B:$N, 11, FALSE)</f>
        <v>101</v>
      </c>
      <c r="Y126">
        <f>VLOOKUP(A126,[2]cwurData!$B:$N, 12, FALSE)</f>
        <v>47.94</v>
      </c>
      <c r="Z126">
        <f>VLOOKUP(A126,[2]cwurData!$B:$N, 13, FALSE)</f>
        <v>2012</v>
      </c>
    </row>
    <row r="127" spans="1:26" x14ac:dyDescent="0.3">
      <c r="A127" t="s">
        <v>119</v>
      </c>
      <c r="B127" t="str">
        <f>IFERROR(VLOOKUP(A127,[1]timesData!$B:$P,2,FALSE),VLOOKUP(A127,[2]cwurData!$B:$P,2,FALSE))</f>
        <v>Belgium</v>
      </c>
      <c r="C127">
        <f>VLOOKUP(A127,[1]timesData!$B:$P,3,FALSE)</f>
        <v>119</v>
      </c>
      <c r="D127">
        <f>VLOOKUP(A128,[1]timesData!$B:$P,3,FALSE)</f>
        <v>120</v>
      </c>
      <c r="E127">
        <f>VLOOKUP(A128,[1]timesData!$B:$P,4,FALSE)</f>
        <v>91</v>
      </c>
      <c r="F127">
        <f>VLOOKUP(A128,[1]timesData!$B:$P,5,FALSE)</f>
        <v>44.1</v>
      </c>
      <c r="G127">
        <f>VLOOKUP(A128,[1]timesData!$B:$P,6,FALSE)</f>
        <v>73.5</v>
      </c>
      <c r="H127">
        <f>VLOOKUP(A128,[1]timesData!$B:$P,7,FALSE)</f>
        <v>38.9</v>
      </c>
      <c r="I127">
        <f>VLOOKUP(A128,[1]timesData!$B:$P,8,FALSE)</f>
        <v>54.6</v>
      </c>
      <c r="J127">
        <f>VLOOKUP(A128,[1]timesData!$B:$P,9,FALSE)</f>
        <v>14260</v>
      </c>
      <c r="K127">
        <f>VLOOKUP(A128,[1]timesData!$B:$P,10,FALSE)</f>
        <v>14</v>
      </c>
      <c r="L127">
        <f>VLOOKUP(A128,[1]timesData!$B:$P,11,FALSE)</f>
        <v>0.4</v>
      </c>
      <c r="M127">
        <f>VLOOKUP(A128,[1]timesData!$B:$P,12,FALSE)</f>
        <v>2.2000000000000002</v>
      </c>
      <c r="N127">
        <f>VLOOKUP(A128,[1]timesData!$B:$P,13,FALSE)</f>
        <v>2011</v>
      </c>
      <c r="O127" t="e">
        <f>VLOOKUP(A127,[2]cwurData!$B:$P,14,FALSE)</f>
        <v>#N/A</v>
      </c>
      <c r="P127" t="e">
        <f>VLOOKUP(A127,[2]cwurData!$B:$N, 3, FALSE)</f>
        <v>#N/A</v>
      </c>
      <c r="Q127" t="e">
        <f>VLOOKUP(A127,[2]cwurData!$B:$N, 4, FALSE)</f>
        <v>#N/A</v>
      </c>
      <c r="R127" t="e">
        <f>VLOOKUP(A127,[2]cwurData!$B:$N, 5, FALSE)</f>
        <v>#N/A</v>
      </c>
      <c r="S127" t="e">
        <f>VLOOKUP(A127,[2]cwurData!$B:$N, 6, FALSE)</f>
        <v>#N/A</v>
      </c>
      <c r="T127" t="e">
        <f>VLOOKUP(A127,[2]cwurData!$B:$N, 7, FALSE)</f>
        <v>#N/A</v>
      </c>
      <c r="U127" t="e">
        <f>VLOOKUP(A127,[2]cwurData!$B:$N, 8, FALSE)</f>
        <v>#N/A</v>
      </c>
      <c r="V127" t="e">
        <f>VLOOKUP(A127,[2]cwurData!$B:$N, 9, FALSE)</f>
        <v>#N/A</v>
      </c>
      <c r="W127" t="e">
        <f>VLOOKUP(A127,[2]cwurData!$B:$N, 10, FALSE)</f>
        <v>#N/A</v>
      </c>
      <c r="X127" t="e">
        <f>VLOOKUP(A127,[2]cwurData!$B:$N, 11, FALSE)</f>
        <v>#N/A</v>
      </c>
      <c r="Y127" t="e">
        <f>VLOOKUP(A127,[2]cwurData!$B:$N, 12, FALSE)</f>
        <v>#N/A</v>
      </c>
      <c r="Z127" t="e">
        <f>VLOOKUP(A127,[2]cwurData!$B:$N, 13, FALSE)</f>
        <v>#N/A</v>
      </c>
    </row>
    <row r="128" spans="1:26" x14ac:dyDescent="0.3">
      <c r="A128" t="s">
        <v>121</v>
      </c>
      <c r="B128" t="str">
        <f>IFERROR(VLOOKUP(A128,[1]timesData!$B:$P,2,FALSE),VLOOKUP(A128,[2]cwurData!$B:$P,2,FALSE))</f>
        <v>United Kingdom</v>
      </c>
      <c r="C128">
        <f>VLOOKUP(A128,[1]timesData!$B:$P,3,FALSE)</f>
        <v>120</v>
      </c>
      <c r="D128">
        <f>VLOOKUP(A129,[1]timesData!$B:$P,3,FALSE)</f>
        <v>120</v>
      </c>
      <c r="E128">
        <f>VLOOKUP(A129,[1]timesData!$B:$P,4,FALSE)</f>
        <v>50.2</v>
      </c>
      <c r="F128">
        <f>VLOOKUP(A129,[1]timesData!$B:$P,5,FALSE)</f>
        <v>46.2</v>
      </c>
      <c r="G128">
        <f>VLOOKUP(A129,[1]timesData!$B:$P,6,FALSE)</f>
        <v>66</v>
      </c>
      <c r="H128">
        <f>VLOOKUP(A129,[1]timesData!$B:$P,7,FALSE)</f>
        <v>43.4</v>
      </c>
      <c r="I128">
        <f>VLOOKUP(A129,[1]timesData!$B:$P,8,FALSE)</f>
        <v>54.6</v>
      </c>
      <c r="J128">
        <f>VLOOKUP(A129,[1]timesData!$B:$P,9,FALSE)</f>
        <v>29743</v>
      </c>
      <c r="K128">
        <f>VLOOKUP(A129,[1]timesData!$B:$P,10,FALSE)</f>
        <v>13.3</v>
      </c>
      <c r="L128">
        <f>VLOOKUP(A129,[1]timesData!$B:$P,11,FALSE)</f>
        <v>0.1</v>
      </c>
      <c r="M128">
        <f>VLOOKUP(A129,[1]timesData!$B:$P,12,FALSE)</f>
        <v>1.9541666666666666</v>
      </c>
      <c r="N128">
        <f>VLOOKUP(A129,[1]timesData!$B:$P,13,FALSE)</f>
        <v>2011</v>
      </c>
      <c r="O128">
        <f>VLOOKUP(A128,[2]cwurData!$B:$P,14,FALSE)</f>
        <v>214</v>
      </c>
      <c r="P128">
        <f>VLOOKUP(A128,[2]cwurData!$B:$N, 3, FALSE)</f>
        <v>18</v>
      </c>
      <c r="Q128">
        <f>VLOOKUP(A128,[2]cwurData!$B:$N, 4, FALSE)</f>
        <v>133</v>
      </c>
      <c r="R128">
        <f>VLOOKUP(A128,[2]cwurData!$B:$N, 5, FALSE)</f>
        <v>348</v>
      </c>
      <c r="S128">
        <f>VLOOKUP(A128,[2]cwurData!$B:$N, 6, FALSE)</f>
        <v>210</v>
      </c>
      <c r="T128">
        <f>VLOOKUP(A128,[2]cwurData!$B:$N, 7, FALSE)</f>
        <v>231</v>
      </c>
      <c r="U128">
        <f>VLOOKUP(A128,[2]cwurData!$B:$N, 8, FALSE)</f>
        <v>181</v>
      </c>
      <c r="V128">
        <f>VLOOKUP(A128,[2]cwurData!$B:$N, 9, FALSE)</f>
        <v>220</v>
      </c>
      <c r="W128">
        <f>VLOOKUP(A128,[2]cwurData!$B:$N, 10, FALSE)</f>
        <v>141</v>
      </c>
      <c r="X128">
        <f>VLOOKUP(A128,[2]cwurData!$B:$N, 11, FALSE)</f>
        <v>227</v>
      </c>
      <c r="Y128">
        <f>VLOOKUP(A128,[2]cwurData!$B:$N, 12, FALSE)</f>
        <v>47.67</v>
      </c>
      <c r="Z128">
        <f>VLOOKUP(A128,[2]cwurData!$B:$N, 13, FALSE)</f>
        <v>2014</v>
      </c>
    </row>
    <row r="129" spans="1:26" x14ac:dyDescent="0.3">
      <c r="A129" t="s">
        <v>120</v>
      </c>
      <c r="B129" t="str">
        <f>IFERROR(VLOOKUP(A129,[1]timesData!$B:$P,2,FALSE),VLOOKUP(A129,[2]cwurData!$B:$P,2,FALSE))</f>
        <v>China</v>
      </c>
      <c r="C129">
        <f>VLOOKUP(A129,[1]timesData!$B:$P,3,FALSE)</f>
        <v>120</v>
      </c>
      <c r="D129">
        <f>VLOOKUP(A130,[1]timesData!$B:$P,3,FALSE)</f>
        <v>121</v>
      </c>
      <c r="E129">
        <f>VLOOKUP(A130,[1]timesData!$B:$P,4,FALSE)</f>
        <v>53</v>
      </c>
      <c r="F129">
        <f>VLOOKUP(A130,[1]timesData!$B:$P,5,FALSE)</f>
        <v>56.4</v>
      </c>
      <c r="G129">
        <f>VLOOKUP(A130,[1]timesData!$B:$P,6,FALSE)</f>
        <v>48.4</v>
      </c>
      <c r="H129">
        <f>VLOOKUP(A130,[1]timesData!$B:$P,7,FALSE)</f>
        <v>25</v>
      </c>
      <c r="I129">
        <f>VLOOKUP(A130,[1]timesData!$B:$P,8,FALSE)</f>
        <v>50.4</v>
      </c>
      <c r="J129">
        <f>VLOOKUP(A130,[1]timesData!$B:$P,9,FALSE)</f>
        <v>17612</v>
      </c>
      <c r="K129">
        <f>VLOOKUP(A130,[1]timesData!$B:$P,10,FALSE)</f>
        <v>10.7</v>
      </c>
      <c r="L129">
        <f>VLOOKUP(A130,[1]timesData!$B:$P,11,FALSE)</f>
        <v>0.05</v>
      </c>
      <c r="M129">
        <f>VLOOKUP(A130,[1]timesData!$B:$P,12,FALSE)</f>
        <v>2.3229166666666665</v>
      </c>
      <c r="N129">
        <f>VLOOKUP(A130,[1]timesData!$B:$P,13,FALSE)</f>
        <v>2012</v>
      </c>
      <c r="O129">
        <f>VLOOKUP(A129,[2]cwurData!$B:$P,14,FALSE)</f>
        <v>217</v>
      </c>
      <c r="P129">
        <f>VLOOKUP(A129,[2]cwurData!$B:$N, 3, FALSE)</f>
        <v>6</v>
      </c>
      <c r="Q129">
        <f>VLOOKUP(A129,[2]cwurData!$B:$N, 4, FALSE)</f>
        <v>331</v>
      </c>
      <c r="R129">
        <f>VLOOKUP(A129,[2]cwurData!$B:$N, 5, FALSE)</f>
        <v>447</v>
      </c>
      <c r="S129">
        <f>VLOOKUP(A129,[2]cwurData!$B:$N, 6, FALSE)</f>
        <v>210</v>
      </c>
      <c r="T129">
        <f>VLOOKUP(A129,[2]cwurData!$B:$N, 7, FALSE)</f>
        <v>148</v>
      </c>
      <c r="U129">
        <f>VLOOKUP(A129,[2]cwurData!$B:$N, 8, FALSE)</f>
        <v>371</v>
      </c>
      <c r="V129">
        <f>VLOOKUP(A129,[2]cwurData!$B:$N, 9, FALSE)</f>
        <v>363</v>
      </c>
      <c r="W129">
        <f>VLOOKUP(A129,[2]cwurData!$B:$N, 10, FALSE)</f>
        <v>288</v>
      </c>
      <c r="X129">
        <f>VLOOKUP(A129,[2]cwurData!$B:$N, 11, FALSE)</f>
        <v>57</v>
      </c>
      <c r="Y129">
        <f>VLOOKUP(A129,[2]cwurData!$B:$N, 12, FALSE)</f>
        <v>47.67</v>
      </c>
      <c r="Z129">
        <f>VLOOKUP(A129,[2]cwurData!$B:$N, 13, FALSE)</f>
        <v>2014</v>
      </c>
    </row>
    <row r="130" spans="1:26" x14ac:dyDescent="0.3">
      <c r="A130" t="s">
        <v>205</v>
      </c>
      <c r="B130" t="str">
        <f>IFERROR(VLOOKUP(A130,[1]timesData!$B:$P,2,FALSE),VLOOKUP(A130,[2]cwurData!$B:$P,2,FALSE))</f>
        <v>Israel</v>
      </c>
      <c r="C130">
        <f>VLOOKUP(A130,[1]timesData!$B:$P,3,FALSE)</f>
        <v>121</v>
      </c>
      <c r="D130">
        <f>VLOOKUP(A131,[1]timesData!$B:$P,3,FALSE)</f>
        <v>122</v>
      </c>
      <c r="E130">
        <f>VLOOKUP(A131,[1]timesData!$B:$P,4,FALSE)</f>
        <v>30.4</v>
      </c>
      <c r="F130">
        <f>VLOOKUP(A131,[1]timesData!$B:$P,5,FALSE)</f>
        <v>52.7</v>
      </c>
      <c r="G130">
        <f>VLOOKUP(A131,[1]timesData!$B:$P,6,FALSE)</f>
        <v>63.7</v>
      </c>
      <c r="H130" t="str">
        <f>VLOOKUP(A131,[1]timesData!$B:$P,7,FALSE)</f>
        <v>-</v>
      </c>
      <c r="I130">
        <f>VLOOKUP(A131,[1]timesData!$B:$P,8,FALSE)</f>
        <v>54.5</v>
      </c>
      <c r="J130">
        <f>VLOOKUP(A131,[1]timesData!$B:$P,9,FALSE)</f>
        <v>44750</v>
      </c>
      <c r="K130">
        <f>VLOOKUP(A131,[1]timesData!$B:$P,10,FALSE)</f>
        <v>15.7</v>
      </c>
      <c r="L130">
        <f>VLOOKUP(A131,[1]timesData!$B:$P,11,FALSE)</f>
        <v>0.15</v>
      </c>
      <c r="M130">
        <f>VLOOKUP(A131,[1]timesData!$B:$P,12,FALSE)</f>
        <v>2.1590277777777778</v>
      </c>
      <c r="N130">
        <f>VLOOKUP(A131,[1]timesData!$B:$P,13,FALSE)</f>
        <v>2011</v>
      </c>
      <c r="O130">
        <f>VLOOKUP(A130,[2]cwurData!$B:$P,14,FALSE)</f>
        <v>22</v>
      </c>
      <c r="P130">
        <f>VLOOKUP(A130,[2]cwurData!$B:$N, 3, FALSE)</f>
        <v>2</v>
      </c>
      <c r="Q130">
        <f>VLOOKUP(A130,[2]cwurData!$B:$N, 4, FALSE)</f>
        <v>24</v>
      </c>
      <c r="R130">
        <f>VLOOKUP(A130,[2]cwurData!$B:$N, 5, FALSE)</f>
        <v>93</v>
      </c>
      <c r="S130">
        <f>VLOOKUP(A130,[2]cwurData!$B:$N, 6, FALSE)</f>
        <v>13</v>
      </c>
      <c r="T130">
        <f>VLOOKUP(A130,[2]cwurData!$B:$N, 7, FALSE)</f>
        <v>101</v>
      </c>
      <c r="U130">
        <f>VLOOKUP(A130,[2]cwurData!$B:$N, 8, FALSE)</f>
        <v>91</v>
      </c>
      <c r="V130">
        <f>VLOOKUP(A130,[2]cwurData!$B:$N, 9, FALSE)</f>
        <v>101</v>
      </c>
      <c r="W130">
        <f>VLOOKUP(A130,[2]cwurData!$B:$N, 10, FALSE)</f>
        <v>0</v>
      </c>
      <c r="X130">
        <f>VLOOKUP(A130,[2]cwurData!$B:$N, 11, FALSE)</f>
        <v>28</v>
      </c>
      <c r="Y130">
        <f>VLOOKUP(A130,[2]cwurData!$B:$N, 12, FALSE)</f>
        <v>60.76</v>
      </c>
      <c r="Z130">
        <f>VLOOKUP(A130,[2]cwurData!$B:$N, 13, FALSE)</f>
        <v>2012</v>
      </c>
    </row>
    <row r="131" spans="1:26" x14ac:dyDescent="0.3">
      <c r="A131" t="s">
        <v>122</v>
      </c>
      <c r="B131" t="str">
        <f>IFERROR(VLOOKUP(A131,[1]timesData!$B:$P,2,FALSE),VLOOKUP(A131,[2]cwurData!$B:$P,2,FALSE))</f>
        <v>United States of America</v>
      </c>
      <c r="C131">
        <f>VLOOKUP(A131,[1]timesData!$B:$P,3,FALSE)</f>
        <v>122</v>
      </c>
      <c r="D131">
        <f>VLOOKUP(A132,[1]timesData!$B:$P,3,FALSE)</f>
        <v>122</v>
      </c>
      <c r="E131">
        <f>VLOOKUP(A132,[1]timesData!$B:$P,4,FALSE)</f>
        <v>64</v>
      </c>
      <c r="F131">
        <f>VLOOKUP(A132,[1]timesData!$B:$P,5,FALSE)</f>
        <v>46.9</v>
      </c>
      <c r="G131">
        <f>VLOOKUP(A132,[1]timesData!$B:$P,6,FALSE)</f>
        <v>64.599999999999994</v>
      </c>
      <c r="H131">
        <f>VLOOKUP(A132,[1]timesData!$B:$P,7,FALSE)</f>
        <v>95.5</v>
      </c>
      <c r="I131">
        <f>VLOOKUP(A132,[1]timesData!$B:$P,8,FALSE)</f>
        <v>54.5</v>
      </c>
      <c r="J131">
        <f>VLOOKUP(A132,[1]timesData!$B:$P,9,FALSE)</f>
        <v>9990</v>
      </c>
      <c r="K131">
        <f>VLOOKUP(A132,[1]timesData!$B:$P,10,FALSE)</f>
        <v>5</v>
      </c>
      <c r="L131">
        <f>VLOOKUP(A132,[1]timesData!$B:$P,11,FALSE)</f>
        <v>0.18</v>
      </c>
      <c r="M131" t="str">
        <f>VLOOKUP(A132,[1]timesData!$B:$P,12,FALSE)</f>
        <v>27 : 73</v>
      </c>
      <c r="N131">
        <f>VLOOKUP(A132,[1]timesData!$B:$P,13,FALSE)</f>
        <v>2011</v>
      </c>
      <c r="O131">
        <f>VLOOKUP(A131,[2]cwurData!$B:$P,14,FALSE)</f>
        <v>112</v>
      </c>
      <c r="P131">
        <f>VLOOKUP(A131,[2]cwurData!$B:$N, 3, FALSE)</f>
        <v>59</v>
      </c>
      <c r="Q131">
        <f>VLOOKUP(A131,[2]cwurData!$B:$N, 4, FALSE)</f>
        <v>112</v>
      </c>
      <c r="R131">
        <f>VLOOKUP(A131,[2]cwurData!$B:$N, 5, FALSE)</f>
        <v>214</v>
      </c>
      <c r="S131">
        <f>VLOOKUP(A131,[2]cwurData!$B:$N, 6, FALSE)</f>
        <v>210</v>
      </c>
      <c r="T131">
        <f>VLOOKUP(A131,[2]cwurData!$B:$N, 7, FALSE)</f>
        <v>85</v>
      </c>
      <c r="U131">
        <f>VLOOKUP(A131,[2]cwurData!$B:$N, 8, FALSE)</f>
        <v>115</v>
      </c>
      <c r="V131">
        <f>VLOOKUP(A131,[2]cwurData!$B:$N, 9, FALSE)</f>
        <v>45</v>
      </c>
      <c r="W131">
        <f>VLOOKUP(A131,[2]cwurData!$B:$N, 10, FALSE)</f>
        <v>106</v>
      </c>
      <c r="X131">
        <f>VLOOKUP(A131,[2]cwurData!$B:$N, 11, FALSE)</f>
        <v>128</v>
      </c>
      <c r="Y131">
        <f>VLOOKUP(A131,[2]cwurData!$B:$N, 12, FALSE)</f>
        <v>50.69</v>
      </c>
      <c r="Z131">
        <f>VLOOKUP(A131,[2]cwurData!$B:$N, 13, FALSE)</f>
        <v>2014</v>
      </c>
    </row>
    <row r="132" spans="1:26" x14ac:dyDescent="0.3">
      <c r="A132" t="s">
        <v>123</v>
      </c>
      <c r="B132" t="str">
        <f>IFERROR(VLOOKUP(A132,[1]timesData!$B:$P,2,FALSE),VLOOKUP(A132,[2]cwurData!$B:$P,2,FALSE))</f>
        <v>Denmark</v>
      </c>
      <c r="C132">
        <f>VLOOKUP(A132,[1]timesData!$B:$P,3,FALSE)</f>
        <v>122</v>
      </c>
      <c r="D132">
        <f>VLOOKUP(A133,[1]timesData!$B:$P,3,FALSE)</f>
        <v>124</v>
      </c>
      <c r="E132">
        <f>VLOOKUP(A133,[1]timesData!$B:$P,4,FALSE)</f>
        <v>40</v>
      </c>
      <c r="F132">
        <f>VLOOKUP(A133,[1]timesData!$B:$P,5,FALSE)</f>
        <v>54.9</v>
      </c>
      <c r="G132">
        <f>VLOOKUP(A133,[1]timesData!$B:$P,6,FALSE)</f>
        <v>59.3</v>
      </c>
      <c r="H132">
        <f>VLOOKUP(A133,[1]timesData!$B:$P,7,FALSE)</f>
        <v>100</v>
      </c>
      <c r="I132">
        <f>VLOOKUP(A133,[1]timesData!$B:$P,8,FALSE)</f>
        <v>54.4</v>
      </c>
      <c r="J132">
        <f>VLOOKUP(A133,[1]timesData!$B:$P,9,FALSE)</f>
        <v>21222</v>
      </c>
      <c r="K132">
        <f>VLOOKUP(A133,[1]timesData!$B:$P,10,FALSE)</f>
        <v>17.100000000000001</v>
      </c>
      <c r="L132">
        <f>VLOOKUP(A133,[1]timesData!$B:$P,11,FALSE)</f>
        <v>0.1</v>
      </c>
      <c r="M132">
        <f>VLOOKUP(A133,[1]timesData!$B:$P,12,FALSE)</f>
        <v>2.4868055555555557</v>
      </c>
      <c r="N132">
        <f>VLOOKUP(A133,[1]timesData!$B:$P,13,FALSE)</f>
        <v>2011</v>
      </c>
      <c r="O132">
        <f>VLOOKUP(A132,[2]cwurData!$B:$P,14,FALSE)</f>
        <v>197</v>
      </c>
      <c r="P132">
        <f>VLOOKUP(A132,[2]cwurData!$B:$N, 3, FALSE)</f>
        <v>3</v>
      </c>
      <c r="Q132">
        <f>VLOOKUP(A132,[2]cwurData!$B:$N, 4, FALSE)</f>
        <v>339</v>
      </c>
      <c r="R132">
        <f>VLOOKUP(A132,[2]cwurData!$B:$N, 5, FALSE)</f>
        <v>478</v>
      </c>
      <c r="S132">
        <f>VLOOKUP(A132,[2]cwurData!$B:$N, 6, FALSE)</f>
        <v>195</v>
      </c>
      <c r="T132">
        <f>VLOOKUP(A132,[2]cwurData!$B:$N, 7, FALSE)</f>
        <v>240</v>
      </c>
      <c r="U132">
        <f>VLOOKUP(A132,[2]cwurData!$B:$N, 8, FALSE)</f>
        <v>257</v>
      </c>
      <c r="V132">
        <f>VLOOKUP(A132,[2]cwurData!$B:$N, 9, FALSE)</f>
        <v>200</v>
      </c>
      <c r="W132">
        <f>VLOOKUP(A132,[2]cwurData!$B:$N, 10, FALSE)</f>
        <v>238</v>
      </c>
      <c r="X132">
        <f>VLOOKUP(A132,[2]cwurData!$B:$N, 11, FALSE)</f>
        <v>48</v>
      </c>
      <c r="Y132">
        <f>VLOOKUP(A132,[2]cwurData!$B:$N, 12, FALSE)</f>
        <v>47.98</v>
      </c>
      <c r="Z132">
        <f>VLOOKUP(A132,[2]cwurData!$B:$N, 13, FALSE)</f>
        <v>2014</v>
      </c>
    </row>
    <row r="133" spans="1:26" x14ac:dyDescent="0.3">
      <c r="A133" t="s">
        <v>126</v>
      </c>
      <c r="B133" t="str">
        <f>IFERROR(VLOOKUP(A133,[1]timesData!$B:$P,2,FALSE),VLOOKUP(A133,[2]cwurData!$B:$P,2,FALSE))</f>
        <v>Netherlands</v>
      </c>
      <c r="C133">
        <f>VLOOKUP(A133,[1]timesData!$B:$P,3,FALSE)</f>
        <v>124</v>
      </c>
      <c r="D133">
        <f>VLOOKUP(A134,[1]timesData!$B:$P,3,FALSE)</f>
        <v>124</v>
      </c>
      <c r="E133">
        <f>VLOOKUP(A134,[1]timesData!$B:$P,4,FALSE)</f>
        <v>24.7</v>
      </c>
      <c r="F133">
        <f>VLOOKUP(A134,[1]timesData!$B:$P,5,FALSE)</f>
        <v>59.1</v>
      </c>
      <c r="G133">
        <f>VLOOKUP(A134,[1]timesData!$B:$P,6,FALSE)</f>
        <v>52.8</v>
      </c>
      <c r="H133">
        <f>VLOOKUP(A134,[1]timesData!$B:$P,7,FALSE)</f>
        <v>97.1</v>
      </c>
      <c r="I133">
        <f>VLOOKUP(A134,[1]timesData!$B:$P,8,FALSE)</f>
        <v>54.4</v>
      </c>
      <c r="J133">
        <f>VLOOKUP(A134,[1]timesData!$B:$P,9,FALSE)</f>
        <v>32166</v>
      </c>
      <c r="K133">
        <f>VLOOKUP(A134,[1]timesData!$B:$P,10,FALSE)</f>
        <v>34.1</v>
      </c>
      <c r="L133">
        <f>VLOOKUP(A134,[1]timesData!$B:$P,11,FALSE)</f>
        <v>0.09</v>
      </c>
      <c r="M133">
        <f>VLOOKUP(A134,[1]timesData!$B:$P,12,FALSE)</f>
        <v>2.4048611111111109</v>
      </c>
      <c r="N133">
        <f>VLOOKUP(A134,[1]timesData!$B:$P,13,FALSE)</f>
        <v>2011</v>
      </c>
      <c r="O133">
        <f>VLOOKUP(A133,[2]cwurData!$B:$P,14,FALSE)</f>
        <v>85</v>
      </c>
      <c r="P133">
        <f>VLOOKUP(A133,[2]cwurData!$B:$N, 3, FALSE)</f>
        <v>1</v>
      </c>
      <c r="Q133">
        <f>VLOOKUP(A133,[2]cwurData!$B:$N, 4, FALSE)</f>
        <v>88</v>
      </c>
      <c r="R133">
        <f>VLOOKUP(A133,[2]cwurData!$B:$N, 5, FALSE)</f>
        <v>101</v>
      </c>
      <c r="S133">
        <f>VLOOKUP(A133,[2]cwurData!$B:$N, 6, FALSE)</f>
        <v>76</v>
      </c>
      <c r="T133">
        <f>VLOOKUP(A133,[2]cwurData!$B:$N, 7, FALSE)</f>
        <v>81</v>
      </c>
      <c r="U133">
        <f>VLOOKUP(A133,[2]cwurData!$B:$N, 8, FALSE)</f>
        <v>65</v>
      </c>
      <c r="V133">
        <f>VLOOKUP(A133,[2]cwurData!$B:$N, 9, FALSE)</f>
        <v>101</v>
      </c>
      <c r="W133">
        <f>VLOOKUP(A133,[2]cwurData!$B:$N, 10, FALSE)</f>
        <v>0</v>
      </c>
      <c r="X133">
        <f>VLOOKUP(A133,[2]cwurData!$B:$N, 11, FALSE)</f>
        <v>101</v>
      </c>
      <c r="Y133">
        <f>VLOOKUP(A133,[2]cwurData!$B:$N, 12, FALSE)</f>
        <v>45.13</v>
      </c>
      <c r="Z133">
        <f>VLOOKUP(A133,[2]cwurData!$B:$N, 13, FALSE)</f>
        <v>2012</v>
      </c>
    </row>
    <row r="134" spans="1:26" x14ac:dyDescent="0.3">
      <c r="A134" t="s">
        <v>124</v>
      </c>
      <c r="B134" t="str">
        <f>IFERROR(VLOOKUP(A134,[1]timesData!$B:$P,2,FALSE),VLOOKUP(A134,[2]cwurData!$B:$P,2,FALSE))</f>
        <v>Belgium</v>
      </c>
      <c r="C134">
        <f>VLOOKUP(A134,[1]timesData!$B:$P,3,FALSE)</f>
        <v>124</v>
      </c>
      <c r="D134">
        <f>VLOOKUP(A135,[1]timesData!$B:$P,3,FALSE)</f>
        <v>124</v>
      </c>
      <c r="E134">
        <f>VLOOKUP(A135,[1]timesData!$B:$P,4,FALSE)</f>
        <v>73.8</v>
      </c>
      <c r="F134">
        <f>VLOOKUP(A135,[1]timesData!$B:$P,5,FALSE)</f>
        <v>41.9</v>
      </c>
      <c r="G134">
        <f>VLOOKUP(A135,[1]timesData!$B:$P,6,FALSE)</f>
        <v>74.900000000000006</v>
      </c>
      <c r="H134">
        <f>VLOOKUP(A135,[1]timesData!$B:$P,7,FALSE)</f>
        <v>28.8</v>
      </c>
      <c r="I134">
        <f>VLOOKUP(A135,[1]timesData!$B:$P,8,FALSE)</f>
        <v>54.4</v>
      </c>
      <c r="J134">
        <f>VLOOKUP(A135,[1]timesData!$B:$P,9,FALSE)</f>
        <v>11512</v>
      </c>
      <c r="K134">
        <f>VLOOKUP(A135,[1]timesData!$B:$P,10,FALSE)</f>
        <v>14.9</v>
      </c>
      <c r="L134">
        <f>VLOOKUP(A135,[1]timesData!$B:$P,11,FALSE)</f>
        <v>0.33</v>
      </c>
      <c r="M134">
        <f>VLOOKUP(A135,[1]timesData!$B:$P,12,FALSE)</f>
        <v>2.2000000000000002</v>
      </c>
      <c r="N134">
        <f>VLOOKUP(A135,[1]timesData!$B:$P,13,FALSE)</f>
        <v>2011</v>
      </c>
      <c r="O134">
        <f>VLOOKUP(A134,[2]cwurData!$B:$P,14,FALSE)</f>
        <v>136</v>
      </c>
      <c r="P134">
        <f>VLOOKUP(A134,[2]cwurData!$B:$N, 3, FALSE)</f>
        <v>2</v>
      </c>
      <c r="Q134">
        <f>VLOOKUP(A134,[2]cwurData!$B:$N, 4, FALSE)</f>
        <v>115</v>
      </c>
      <c r="R134">
        <f>VLOOKUP(A134,[2]cwurData!$B:$N, 5, FALSE)</f>
        <v>282</v>
      </c>
      <c r="S134">
        <f>VLOOKUP(A134,[2]cwurData!$B:$N, 6, FALSE)</f>
        <v>139</v>
      </c>
      <c r="T134">
        <f>VLOOKUP(A134,[2]cwurData!$B:$N, 7, FALSE)</f>
        <v>89</v>
      </c>
      <c r="U134">
        <f>VLOOKUP(A134,[2]cwurData!$B:$N, 8, FALSE)</f>
        <v>158</v>
      </c>
      <c r="V134">
        <f>VLOOKUP(A134,[2]cwurData!$B:$N, 9, FALSE)</f>
        <v>81</v>
      </c>
      <c r="W134">
        <f>VLOOKUP(A134,[2]cwurData!$B:$N, 10, FALSE)</f>
        <v>129</v>
      </c>
      <c r="X134">
        <f>VLOOKUP(A134,[2]cwurData!$B:$N, 11, FALSE)</f>
        <v>121</v>
      </c>
      <c r="Y134">
        <f>VLOOKUP(A134,[2]cwurData!$B:$N, 12, FALSE)</f>
        <v>49.73</v>
      </c>
      <c r="Z134">
        <f>VLOOKUP(A134,[2]cwurData!$B:$N, 13, FALSE)</f>
        <v>2014</v>
      </c>
    </row>
    <row r="135" spans="1:26" x14ac:dyDescent="0.3">
      <c r="A135" t="s">
        <v>125</v>
      </c>
      <c r="B135" t="str">
        <f>IFERROR(VLOOKUP(A135,[1]timesData!$B:$P,2,FALSE),VLOOKUP(A135,[2]cwurData!$B:$P,2,FALSE))</f>
        <v>United Kingdom</v>
      </c>
      <c r="C135">
        <f>VLOOKUP(A135,[1]timesData!$B:$P,3,FALSE)</f>
        <v>124</v>
      </c>
      <c r="D135">
        <f>VLOOKUP(A136,[1]timesData!$B:$P,3,FALSE)</f>
        <v>125</v>
      </c>
      <c r="E135">
        <f>VLOOKUP(A136,[1]timesData!$B:$P,4,FALSE)</f>
        <v>25.9</v>
      </c>
      <c r="F135">
        <f>VLOOKUP(A136,[1]timesData!$B:$P,5,FALSE)</f>
        <v>59.9</v>
      </c>
      <c r="G135">
        <f>VLOOKUP(A136,[1]timesData!$B:$P,6,FALSE)</f>
        <v>50.9</v>
      </c>
      <c r="H135" t="str">
        <f>VLOOKUP(A136,[1]timesData!$B:$P,7,FALSE)</f>
        <v>-</v>
      </c>
      <c r="I135">
        <f>VLOOKUP(A136,[1]timesData!$B:$P,8,FALSE)</f>
        <v>50</v>
      </c>
      <c r="J135">
        <f>VLOOKUP(A136,[1]timesData!$B:$P,9,FALSE)</f>
        <v>50095</v>
      </c>
      <c r="K135">
        <f>VLOOKUP(A136,[1]timesData!$B:$P,10,FALSE)</f>
        <v>18.7</v>
      </c>
      <c r="L135">
        <f>VLOOKUP(A136,[1]timesData!$B:$P,11,FALSE)</f>
        <v>0.09</v>
      </c>
      <c r="M135">
        <f>VLOOKUP(A136,[1]timesData!$B:$P,12,FALSE)</f>
        <v>2.2819444444444446</v>
      </c>
      <c r="N135">
        <f>VLOOKUP(A136,[1]timesData!$B:$P,13,FALSE)</f>
        <v>2012</v>
      </c>
      <c r="O135">
        <f>VLOOKUP(A135,[2]cwurData!$B:$P,14,FALSE)</f>
        <v>449</v>
      </c>
      <c r="P135">
        <f>VLOOKUP(A135,[2]cwurData!$B:$N, 3, FALSE)</f>
        <v>38</v>
      </c>
      <c r="Q135">
        <f>VLOOKUP(A135,[2]cwurData!$B:$N, 4, FALSE)</f>
        <v>355</v>
      </c>
      <c r="R135">
        <f>VLOOKUP(A135,[2]cwurData!$B:$N, 5, FALSE)</f>
        <v>339</v>
      </c>
      <c r="S135">
        <f>VLOOKUP(A135,[2]cwurData!$B:$N, 6, FALSE)</f>
        <v>210</v>
      </c>
      <c r="T135">
        <f>VLOOKUP(A135,[2]cwurData!$B:$N, 7, FALSE)</f>
        <v>372</v>
      </c>
      <c r="U135">
        <f>VLOOKUP(A135,[2]cwurData!$B:$N, 8, FALSE)</f>
        <v>398</v>
      </c>
      <c r="V135">
        <f>VLOOKUP(A135,[2]cwurData!$B:$N, 9, FALSE)</f>
        <v>250</v>
      </c>
      <c r="W135">
        <f>VLOOKUP(A135,[2]cwurData!$B:$N, 10, FALSE)</f>
        <v>380</v>
      </c>
      <c r="X135">
        <f>VLOOKUP(A135,[2]cwurData!$B:$N, 11, FALSE)</f>
        <v>637</v>
      </c>
      <c r="Y135">
        <f>VLOOKUP(A135,[2]cwurData!$B:$N, 12, FALSE)</f>
        <v>45.33</v>
      </c>
      <c r="Z135">
        <f>VLOOKUP(A135,[2]cwurData!$B:$N, 13, FALSE)</f>
        <v>2014</v>
      </c>
    </row>
    <row r="136" spans="1:26" x14ac:dyDescent="0.3">
      <c r="A136" t="s">
        <v>206</v>
      </c>
      <c r="B136" t="str">
        <f>IFERROR(VLOOKUP(A136,[1]timesData!$B:$P,2,FALSE),VLOOKUP(A136,[2]cwurData!$B:$P,2,FALSE))</f>
        <v>United States of America</v>
      </c>
      <c r="C136">
        <f>VLOOKUP(A136,[1]timesData!$B:$P,3,FALSE)</f>
        <v>125</v>
      </c>
      <c r="D136">
        <f>VLOOKUP(A137,[1]timesData!$B:$P,3,FALSE)</f>
        <v>127</v>
      </c>
      <c r="E136">
        <f>VLOOKUP(A137,[1]timesData!$B:$P,4,FALSE)</f>
        <v>71.599999999999994</v>
      </c>
      <c r="F136">
        <f>VLOOKUP(A137,[1]timesData!$B:$P,5,FALSE)</f>
        <v>58</v>
      </c>
      <c r="G136">
        <f>VLOOKUP(A137,[1]timesData!$B:$P,6,FALSE)</f>
        <v>49.7</v>
      </c>
      <c r="H136">
        <f>VLOOKUP(A137,[1]timesData!$B:$P,7,FALSE)</f>
        <v>44.5</v>
      </c>
      <c r="I136">
        <f>VLOOKUP(A137,[1]timesData!$B:$P,8,FALSE)</f>
        <v>54.3</v>
      </c>
      <c r="J136">
        <f>VLOOKUP(A137,[1]timesData!$B:$P,9,FALSE)</f>
        <v>36299</v>
      </c>
      <c r="K136">
        <f>VLOOKUP(A137,[1]timesData!$B:$P,10,FALSE)</f>
        <v>21.6</v>
      </c>
      <c r="L136">
        <f>VLOOKUP(A137,[1]timesData!$B:$P,11,FALSE)</f>
        <v>0.23</v>
      </c>
      <c r="M136">
        <f>VLOOKUP(A137,[1]timesData!$B:$P,12,FALSE)</f>
        <v>2.3229166666666665</v>
      </c>
      <c r="N136">
        <f>VLOOKUP(A137,[1]timesData!$B:$P,13,FALSE)</f>
        <v>2011</v>
      </c>
      <c r="O136">
        <f>VLOOKUP(A136,[2]cwurData!$B:$P,14,FALSE)</f>
        <v>55</v>
      </c>
      <c r="P136">
        <f>VLOOKUP(A136,[2]cwurData!$B:$N, 3, FALSE)</f>
        <v>40</v>
      </c>
      <c r="Q136">
        <f>VLOOKUP(A136,[2]cwurData!$B:$N, 4, FALSE)</f>
        <v>101</v>
      </c>
      <c r="R136">
        <f>VLOOKUP(A136,[2]cwurData!$B:$N, 5, FALSE)</f>
        <v>101</v>
      </c>
      <c r="S136">
        <f>VLOOKUP(A136,[2]cwurData!$B:$N, 6, FALSE)</f>
        <v>96</v>
      </c>
      <c r="T136">
        <f>VLOOKUP(A136,[2]cwurData!$B:$N, 7, FALSE)</f>
        <v>29</v>
      </c>
      <c r="U136">
        <f>VLOOKUP(A136,[2]cwurData!$B:$N, 8, FALSE)</f>
        <v>74</v>
      </c>
      <c r="V136">
        <f>VLOOKUP(A136,[2]cwurData!$B:$N, 9, FALSE)</f>
        <v>42</v>
      </c>
      <c r="W136">
        <f>VLOOKUP(A136,[2]cwurData!$B:$N, 10, FALSE)</f>
        <v>0</v>
      </c>
      <c r="X136">
        <f>VLOOKUP(A136,[2]cwurData!$B:$N, 11, FALSE)</f>
        <v>2</v>
      </c>
      <c r="Y136">
        <f>VLOOKUP(A136,[2]cwurData!$B:$N, 12, FALSE)</f>
        <v>48.8</v>
      </c>
      <c r="Z136">
        <f>VLOOKUP(A136,[2]cwurData!$B:$N, 13, FALSE)</f>
        <v>2012</v>
      </c>
    </row>
    <row r="137" spans="1:26" x14ac:dyDescent="0.3">
      <c r="A137" t="s">
        <v>127</v>
      </c>
      <c r="B137" t="str">
        <f>IFERROR(VLOOKUP(A137,[1]timesData!$B:$P,2,FALSE),VLOOKUP(A137,[2]cwurData!$B:$P,2,FALSE))</f>
        <v>Canada</v>
      </c>
      <c r="C137">
        <f>VLOOKUP(A137,[1]timesData!$B:$P,3,FALSE)</f>
        <v>127</v>
      </c>
      <c r="D137">
        <f>VLOOKUP(A138,[1]timesData!$B:$P,3,FALSE)</f>
        <v>128</v>
      </c>
      <c r="E137">
        <f>VLOOKUP(A138,[1]timesData!$B:$P,4,FALSE)</f>
        <v>55.1</v>
      </c>
      <c r="F137">
        <f>VLOOKUP(A138,[1]timesData!$B:$P,5,FALSE)</f>
        <v>50.3</v>
      </c>
      <c r="G137">
        <f>VLOOKUP(A138,[1]timesData!$B:$P,6,FALSE)</f>
        <v>65.099999999999994</v>
      </c>
      <c r="H137">
        <f>VLOOKUP(A138,[1]timesData!$B:$P,7,FALSE)</f>
        <v>61</v>
      </c>
      <c r="I137">
        <f>VLOOKUP(A138,[1]timesData!$B:$P,8,FALSE)</f>
        <v>54.2</v>
      </c>
      <c r="J137">
        <f>VLOOKUP(A138,[1]timesData!$B:$P,9,FALSE)</f>
        <v>22616</v>
      </c>
      <c r="K137">
        <f>VLOOKUP(A138,[1]timesData!$B:$P,10,FALSE)</f>
        <v>16</v>
      </c>
      <c r="L137">
        <f>VLOOKUP(A138,[1]timesData!$B:$P,11,FALSE)</f>
        <v>0.28999999999999998</v>
      </c>
      <c r="M137">
        <f>VLOOKUP(A138,[1]timesData!$B:$P,12,FALSE)</f>
        <v>2.4048611111111109</v>
      </c>
      <c r="N137">
        <f>VLOOKUP(A138,[1]timesData!$B:$P,13,FALSE)</f>
        <v>2011</v>
      </c>
      <c r="O137">
        <f>VLOOKUP(A137,[2]cwurData!$B:$P,14,FALSE)</f>
        <v>97</v>
      </c>
      <c r="P137">
        <f>VLOOKUP(A137,[2]cwurData!$B:$N, 3, FALSE)</f>
        <v>4</v>
      </c>
      <c r="Q137">
        <f>VLOOKUP(A137,[2]cwurData!$B:$N, 4, FALSE)</f>
        <v>101</v>
      </c>
      <c r="R137">
        <f>VLOOKUP(A137,[2]cwurData!$B:$N, 5, FALSE)</f>
        <v>101</v>
      </c>
      <c r="S137">
        <f>VLOOKUP(A137,[2]cwurData!$B:$N, 6, FALSE)</f>
        <v>101</v>
      </c>
      <c r="T137">
        <f>VLOOKUP(A137,[2]cwurData!$B:$N, 7, FALSE)</f>
        <v>68</v>
      </c>
      <c r="U137">
        <f>VLOOKUP(A137,[2]cwurData!$B:$N, 8, FALSE)</f>
        <v>101</v>
      </c>
      <c r="V137">
        <f>VLOOKUP(A137,[2]cwurData!$B:$N, 9, FALSE)</f>
        <v>92</v>
      </c>
      <c r="W137">
        <f>VLOOKUP(A137,[2]cwurData!$B:$N, 10, FALSE)</f>
        <v>0</v>
      </c>
      <c r="X137">
        <f>VLOOKUP(A137,[2]cwurData!$B:$N, 11, FALSE)</f>
        <v>81</v>
      </c>
      <c r="Y137">
        <f>VLOOKUP(A137,[2]cwurData!$B:$N, 12, FALSE)</f>
        <v>44.5</v>
      </c>
      <c r="Z137">
        <f>VLOOKUP(A137,[2]cwurData!$B:$N, 13, FALSE)</f>
        <v>2013</v>
      </c>
    </row>
    <row r="138" spans="1:26" x14ac:dyDescent="0.3">
      <c r="A138" t="s">
        <v>128</v>
      </c>
      <c r="B138" t="str">
        <f>IFERROR(VLOOKUP(A138,[1]timesData!$B:$P,2,FALSE),VLOOKUP(A138,[2]cwurData!$B:$P,2,FALSE))</f>
        <v>United Kingdom</v>
      </c>
      <c r="C138">
        <f>VLOOKUP(A138,[1]timesData!$B:$P,3,FALSE)</f>
        <v>128</v>
      </c>
      <c r="D138">
        <f>VLOOKUP(A139,[1]timesData!$B:$P,3,FALSE)</f>
        <v>129</v>
      </c>
      <c r="E138" t="str">
        <f>VLOOKUP(A139,[1]timesData!$B:$P,4,FALSE)</f>
        <v>-</v>
      </c>
      <c r="F138">
        <f>VLOOKUP(A139,[1]timesData!$B:$P,5,FALSE)</f>
        <v>49.2</v>
      </c>
      <c r="G138">
        <f>VLOOKUP(A139,[1]timesData!$B:$P,6,FALSE)</f>
        <v>75.900000000000006</v>
      </c>
      <c r="H138">
        <f>VLOOKUP(A139,[1]timesData!$B:$P,7,FALSE)</f>
        <v>31.7</v>
      </c>
      <c r="I138">
        <f>VLOOKUP(A139,[1]timesData!$B:$P,8,FALSE)</f>
        <v>54</v>
      </c>
      <c r="J138">
        <f>VLOOKUP(A139,[1]timesData!$B:$P,9,FALSE)</f>
        <v>31715</v>
      </c>
      <c r="K138">
        <f>VLOOKUP(A139,[1]timesData!$B:$P,10,FALSE)</f>
        <v>23.7</v>
      </c>
      <c r="L138">
        <f>VLOOKUP(A139,[1]timesData!$B:$P,11,FALSE)</f>
        <v>0.08</v>
      </c>
      <c r="M138">
        <f>VLOOKUP(A139,[1]timesData!$B:$P,12,FALSE)</f>
        <v>2.6097222222222221</v>
      </c>
      <c r="N138">
        <f>VLOOKUP(A139,[1]timesData!$B:$P,13,FALSE)</f>
        <v>2011</v>
      </c>
      <c r="O138">
        <f>VLOOKUP(A138,[2]cwurData!$B:$P,14,FALSE)</f>
        <v>137</v>
      </c>
      <c r="P138">
        <f>VLOOKUP(A138,[2]cwurData!$B:$N, 3, FALSE)</f>
        <v>9</v>
      </c>
      <c r="Q138">
        <f>VLOOKUP(A138,[2]cwurData!$B:$N, 4, FALSE)</f>
        <v>219</v>
      </c>
      <c r="R138">
        <f>VLOOKUP(A138,[2]cwurData!$B:$N, 5, FALSE)</f>
        <v>112</v>
      </c>
      <c r="S138">
        <f>VLOOKUP(A138,[2]cwurData!$B:$N, 6, FALSE)</f>
        <v>210</v>
      </c>
      <c r="T138">
        <f>VLOOKUP(A138,[2]cwurData!$B:$N, 7, FALSE)</f>
        <v>118</v>
      </c>
      <c r="U138">
        <f>VLOOKUP(A138,[2]cwurData!$B:$N, 8, FALSE)</f>
        <v>131</v>
      </c>
      <c r="V138">
        <f>VLOOKUP(A138,[2]cwurData!$B:$N, 9, FALSE)</f>
        <v>87</v>
      </c>
      <c r="W138">
        <f>VLOOKUP(A138,[2]cwurData!$B:$N, 10, FALSE)</f>
        <v>92</v>
      </c>
      <c r="X138">
        <f>VLOOKUP(A138,[2]cwurData!$B:$N, 11, FALSE)</f>
        <v>280</v>
      </c>
      <c r="Y138">
        <f>VLOOKUP(A138,[2]cwurData!$B:$N, 12, FALSE)</f>
        <v>49.64</v>
      </c>
      <c r="Z138">
        <f>VLOOKUP(A138,[2]cwurData!$B:$N, 13, FALSE)</f>
        <v>2014</v>
      </c>
    </row>
    <row r="139" spans="1:26" x14ac:dyDescent="0.3">
      <c r="A139" t="s">
        <v>129</v>
      </c>
      <c r="B139" t="str">
        <f>IFERROR(VLOOKUP(A139,[1]timesData!$B:$P,2,FALSE),VLOOKUP(A139,[2]cwurData!$B:$P,2,FALSE))</f>
        <v>Sweden</v>
      </c>
      <c r="C139">
        <f>VLOOKUP(A139,[1]timesData!$B:$P,3,FALSE)</f>
        <v>129</v>
      </c>
      <c r="D139">
        <f>VLOOKUP(A140,[1]timesData!$B:$P,3,FALSE)</f>
        <v>130</v>
      </c>
      <c r="E139">
        <f>VLOOKUP(A140,[1]timesData!$B:$P,4,FALSE)</f>
        <v>20.100000000000001</v>
      </c>
      <c r="F139">
        <f>VLOOKUP(A140,[1]timesData!$B:$P,5,FALSE)</f>
        <v>63.4</v>
      </c>
      <c r="G139">
        <f>VLOOKUP(A140,[1]timesData!$B:$P,6,FALSE)</f>
        <v>40</v>
      </c>
      <c r="H139">
        <f>VLOOKUP(A140,[1]timesData!$B:$P,7,FALSE)</f>
        <v>73.400000000000006</v>
      </c>
      <c r="I139">
        <f>VLOOKUP(A140,[1]timesData!$B:$P,8,FALSE)</f>
        <v>53.4</v>
      </c>
      <c r="J139">
        <f>VLOOKUP(A140,[1]timesData!$B:$P,9,FALSE)</f>
        <v>23144</v>
      </c>
      <c r="K139">
        <f>VLOOKUP(A140,[1]timesData!$B:$P,10,FALSE)</f>
        <v>7.8</v>
      </c>
      <c r="L139">
        <f>VLOOKUP(A140,[1]timesData!$B:$P,11,FALSE)</f>
        <v>0.09</v>
      </c>
      <c r="M139" t="str">
        <f>VLOOKUP(A140,[1]timesData!$B:$P,12,FALSE)</f>
        <v>31 : 69</v>
      </c>
      <c r="N139">
        <f>VLOOKUP(A140,[1]timesData!$B:$P,13,FALSE)</f>
        <v>2011</v>
      </c>
      <c r="O139">
        <f>VLOOKUP(A139,[2]cwurData!$B:$P,14,FALSE)</f>
        <v>187</v>
      </c>
      <c r="P139">
        <f>VLOOKUP(A139,[2]cwurData!$B:$N, 3, FALSE)</f>
        <v>6</v>
      </c>
      <c r="Q139">
        <f>VLOOKUP(A139,[2]cwurData!$B:$N, 4, FALSE)</f>
        <v>184</v>
      </c>
      <c r="R139">
        <f>VLOOKUP(A139,[2]cwurData!$B:$N, 5, FALSE)</f>
        <v>106</v>
      </c>
      <c r="S139">
        <f>VLOOKUP(A139,[2]cwurData!$B:$N, 6, FALSE)</f>
        <v>183</v>
      </c>
      <c r="T139">
        <f>VLOOKUP(A139,[2]cwurData!$B:$N, 7, FALSE)</f>
        <v>202</v>
      </c>
      <c r="U139">
        <f>VLOOKUP(A139,[2]cwurData!$B:$N, 8, FALSE)</f>
        <v>93</v>
      </c>
      <c r="V139">
        <f>VLOOKUP(A139,[2]cwurData!$B:$N, 9, FALSE)</f>
        <v>99</v>
      </c>
      <c r="W139">
        <f>VLOOKUP(A139,[2]cwurData!$B:$N, 10, FALSE)</f>
        <v>185</v>
      </c>
      <c r="X139">
        <f>VLOOKUP(A139,[2]cwurData!$B:$N, 11, FALSE)</f>
        <v>637</v>
      </c>
      <c r="Y139">
        <f>VLOOKUP(A139,[2]cwurData!$B:$N, 12, FALSE)</f>
        <v>48.27</v>
      </c>
      <c r="Z139">
        <f>VLOOKUP(A139,[2]cwurData!$B:$N, 13, FALSE)</f>
        <v>2014</v>
      </c>
    </row>
    <row r="140" spans="1:26" x14ac:dyDescent="0.3">
      <c r="A140" t="s">
        <v>130</v>
      </c>
      <c r="B140" t="str">
        <f>IFERROR(VLOOKUP(A140,[1]timesData!$B:$P,2,FALSE),VLOOKUP(A140,[2]cwurData!$B:$P,2,FALSE))</f>
        <v>Japan</v>
      </c>
      <c r="C140">
        <f>VLOOKUP(A140,[1]timesData!$B:$P,3,FALSE)</f>
        <v>130</v>
      </c>
      <c r="D140">
        <f>VLOOKUP(A141,[1]timesData!$B:$P,3,FALSE)</f>
        <v>130</v>
      </c>
      <c r="E140" t="str">
        <f>VLOOKUP(A141,[1]timesData!$B:$P,4,FALSE)</f>
        <v>-</v>
      </c>
      <c r="F140">
        <f>VLOOKUP(A141,[1]timesData!$B:$P,5,FALSE)</f>
        <v>48.3</v>
      </c>
      <c r="G140">
        <f>VLOOKUP(A141,[1]timesData!$B:$P,6,FALSE)</f>
        <v>79.099999999999994</v>
      </c>
      <c r="H140">
        <f>VLOOKUP(A141,[1]timesData!$B:$P,7,FALSE)</f>
        <v>27.4</v>
      </c>
      <c r="I140">
        <f>VLOOKUP(A141,[1]timesData!$B:$P,8,FALSE)</f>
        <v>53.4</v>
      </c>
      <c r="J140">
        <f>VLOOKUP(A141,[1]timesData!$B:$P,9,FALSE)</f>
        <v>17581</v>
      </c>
      <c r="K140">
        <f>VLOOKUP(A141,[1]timesData!$B:$P,10,FALSE)</f>
        <v>21.5</v>
      </c>
      <c r="L140">
        <f>VLOOKUP(A141,[1]timesData!$B:$P,11,FALSE)</f>
        <v>0.11</v>
      </c>
      <c r="M140">
        <f>VLOOKUP(A141,[1]timesData!$B:$P,12,FALSE)</f>
        <v>2.3638888888888889</v>
      </c>
      <c r="N140">
        <f>VLOOKUP(A141,[1]timesData!$B:$P,13,FALSE)</f>
        <v>2011</v>
      </c>
      <c r="O140">
        <f>VLOOKUP(A140,[2]cwurData!$B:$P,14,FALSE)</f>
        <v>32</v>
      </c>
      <c r="P140">
        <f>VLOOKUP(A140,[2]cwurData!$B:$N, 3, FALSE)</f>
        <v>3</v>
      </c>
      <c r="Q140">
        <f>VLOOKUP(A140,[2]cwurData!$B:$N, 4, FALSE)</f>
        <v>77</v>
      </c>
      <c r="R140">
        <f>VLOOKUP(A140,[2]cwurData!$B:$N, 5, FALSE)</f>
        <v>101</v>
      </c>
      <c r="S140">
        <f>VLOOKUP(A140,[2]cwurData!$B:$N, 6, FALSE)</f>
        <v>44</v>
      </c>
      <c r="T140">
        <f>VLOOKUP(A140,[2]cwurData!$B:$N, 7, FALSE)</f>
        <v>39</v>
      </c>
      <c r="U140">
        <f>VLOOKUP(A140,[2]cwurData!$B:$N, 8, FALSE)</f>
        <v>44</v>
      </c>
      <c r="V140">
        <f>VLOOKUP(A140,[2]cwurData!$B:$N, 9, FALSE)</f>
        <v>51</v>
      </c>
      <c r="W140">
        <f>VLOOKUP(A140,[2]cwurData!$B:$N, 10, FALSE)</f>
        <v>0</v>
      </c>
      <c r="X140">
        <f>VLOOKUP(A140,[2]cwurData!$B:$N, 11, FALSE)</f>
        <v>11</v>
      </c>
      <c r="Y140">
        <f>VLOOKUP(A140,[2]cwurData!$B:$N, 12, FALSE)</f>
        <v>54.43</v>
      </c>
      <c r="Z140">
        <f>VLOOKUP(A140,[2]cwurData!$B:$N, 13, FALSE)</f>
        <v>2012</v>
      </c>
    </row>
    <row r="141" spans="1:26" x14ac:dyDescent="0.3">
      <c r="A141" t="s">
        <v>131</v>
      </c>
      <c r="B141" t="str">
        <f>IFERROR(VLOOKUP(A141,[1]timesData!$B:$P,2,FALSE),VLOOKUP(A141,[2]cwurData!$B:$P,2,FALSE))</f>
        <v>Canada</v>
      </c>
      <c r="C141">
        <f>VLOOKUP(A141,[1]timesData!$B:$P,3,FALSE)</f>
        <v>130</v>
      </c>
      <c r="D141">
        <f>VLOOKUP(A142,[1]timesData!$B:$P,3,FALSE)</f>
        <v>132</v>
      </c>
      <c r="E141">
        <f>VLOOKUP(A142,[1]timesData!$B:$P,4,FALSE)</f>
        <v>20.100000000000001</v>
      </c>
      <c r="F141">
        <f>VLOOKUP(A142,[1]timesData!$B:$P,5,FALSE)</f>
        <v>62.5</v>
      </c>
      <c r="G141">
        <f>VLOOKUP(A142,[1]timesData!$B:$P,6,FALSE)</f>
        <v>41.2</v>
      </c>
      <c r="H141">
        <f>VLOOKUP(A142,[1]timesData!$B:$P,7,FALSE)</f>
        <v>82.3</v>
      </c>
      <c r="I141">
        <f>VLOOKUP(A142,[1]timesData!$B:$P,8,FALSE)</f>
        <v>53.3</v>
      </c>
      <c r="J141">
        <f>VLOOKUP(A142,[1]timesData!$B:$P,9,FALSE)</f>
        <v>17200</v>
      </c>
      <c r="K141">
        <f>VLOOKUP(A142,[1]timesData!$B:$P,10,FALSE)</f>
        <v>5</v>
      </c>
      <c r="L141">
        <f>VLOOKUP(A142,[1]timesData!$B:$P,11,FALSE)</f>
        <v>7.0000000000000007E-2</v>
      </c>
      <c r="M141" t="str">
        <f>VLOOKUP(A142,[1]timesData!$B:$P,12,FALSE)</f>
        <v>25 : 75</v>
      </c>
      <c r="N141">
        <f>VLOOKUP(A142,[1]timesData!$B:$P,13,FALSE)</f>
        <v>2011</v>
      </c>
      <c r="O141">
        <f>VLOOKUP(A141,[2]cwurData!$B:$P,14,FALSE)</f>
        <v>377</v>
      </c>
      <c r="P141">
        <f>VLOOKUP(A141,[2]cwurData!$B:$N, 3, FALSE)</f>
        <v>16</v>
      </c>
      <c r="Q141">
        <f>VLOOKUP(A141,[2]cwurData!$B:$N, 4, FALSE)</f>
        <v>355</v>
      </c>
      <c r="R141">
        <f>VLOOKUP(A141,[2]cwurData!$B:$N, 5, FALSE)</f>
        <v>478</v>
      </c>
      <c r="S141">
        <f>VLOOKUP(A141,[2]cwurData!$B:$N, 6, FALSE)</f>
        <v>210</v>
      </c>
      <c r="T141">
        <f>VLOOKUP(A141,[2]cwurData!$B:$N, 7, FALSE)</f>
        <v>320</v>
      </c>
      <c r="U141">
        <f>VLOOKUP(A141,[2]cwurData!$B:$N, 8, FALSE)</f>
        <v>337</v>
      </c>
      <c r="V141">
        <f>VLOOKUP(A141,[2]cwurData!$B:$N, 9, FALSE)</f>
        <v>363</v>
      </c>
      <c r="W141">
        <f>VLOOKUP(A141,[2]cwurData!$B:$N, 10, FALSE)</f>
        <v>313</v>
      </c>
      <c r="X141">
        <f>VLOOKUP(A141,[2]cwurData!$B:$N, 11, FALSE)</f>
        <v>737</v>
      </c>
      <c r="Y141">
        <f>VLOOKUP(A141,[2]cwurData!$B:$N, 12, FALSE)</f>
        <v>45.66</v>
      </c>
      <c r="Z141">
        <f>VLOOKUP(A141,[2]cwurData!$B:$N, 13, FALSE)</f>
        <v>2014</v>
      </c>
    </row>
    <row r="142" spans="1:26" x14ac:dyDescent="0.3">
      <c r="A142" t="s">
        <v>132</v>
      </c>
      <c r="B142" t="str">
        <f>IFERROR(VLOOKUP(A142,[1]timesData!$B:$P,2,FALSE),VLOOKUP(A142,[2]cwurData!$B:$P,2,FALSE))</f>
        <v>Japan</v>
      </c>
      <c r="C142">
        <f>VLOOKUP(A142,[1]timesData!$B:$P,3,FALSE)</f>
        <v>132</v>
      </c>
      <c r="D142">
        <f>VLOOKUP(A143,[1]timesData!$B:$P,3,FALSE)</f>
        <v>132</v>
      </c>
      <c r="E142">
        <f>VLOOKUP(A143,[1]timesData!$B:$P,4,FALSE)</f>
        <v>31.7</v>
      </c>
      <c r="F142">
        <f>VLOOKUP(A143,[1]timesData!$B:$P,5,FALSE)</f>
        <v>59.8</v>
      </c>
      <c r="G142">
        <f>VLOOKUP(A143,[1]timesData!$B:$P,6,FALSE)</f>
        <v>54.8</v>
      </c>
      <c r="H142" t="str">
        <f>VLOOKUP(A143,[1]timesData!$B:$P,7,FALSE)</f>
        <v>-</v>
      </c>
      <c r="I142">
        <f>VLOOKUP(A143,[1]timesData!$B:$P,8,FALSE)</f>
        <v>53.3</v>
      </c>
      <c r="J142">
        <f>VLOOKUP(A143,[1]timesData!$B:$P,9,FALSE)</f>
        <v>27526</v>
      </c>
      <c r="K142">
        <f>VLOOKUP(A143,[1]timesData!$B:$P,10,FALSE)</f>
        <v>11.6</v>
      </c>
      <c r="L142">
        <f>VLOOKUP(A143,[1]timesData!$B:$P,11,FALSE)</f>
        <v>0.11</v>
      </c>
      <c r="M142">
        <f>VLOOKUP(A143,[1]timesData!$B:$P,12,FALSE)</f>
        <v>2.2000000000000002</v>
      </c>
      <c r="N142">
        <f>VLOOKUP(A143,[1]timesData!$B:$P,13,FALSE)</f>
        <v>2011</v>
      </c>
      <c r="O142">
        <f>VLOOKUP(A142,[2]cwurData!$B:$P,14,FALSE)</f>
        <v>79</v>
      </c>
      <c r="P142">
        <f>VLOOKUP(A142,[2]cwurData!$B:$N, 3, FALSE)</f>
        <v>5</v>
      </c>
      <c r="Q142">
        <f>VLOOKUP(A142,[2]cwurData!$B:$N, 4, FALSE)</f>
        <v>53</v>
      </c>
      <c r="R142">
        <f>VLOOKUP(A142,[2]cwurData!$B:$N, 5, FALSE)</f>
        <v>101</v>
      </c>
      <c r="S142">
        <f>VLOOKUP(A142,[2]cwurData!$B:$N, 6, FALSE)</f>
        <v>101</v>
      </c>
      <c r="T142">
        <f>VLOOKUP(A142,[2]cwurData!$B:$N, 7, FALSE)</f>
        <v>49</v>
      </c>
      <c r="U142">
        <f>VLOOKUP(A142,[2]cwurData!$B:$N, 8, FALSE)</f>
        <v>100</v>
      </c>
      <c r="V142">
        <f>VLOOKUP(A142,[2]cwurData!$B:$N, 9, FALSE)</f>
        <v>67</v>
      </c>
      <c r="W142">
        <f>VLOOKUP(A142,[2]cwurData!$B:$N, 10, FALSE)</f>
        <v>0</v>
      </c>
      <c r="X142">
        <f>VLOOKUP(A142,[2]cwurData!$B:$N, 11, FALSE)</f>
        <v>29</v>
      </c>
      <c r="Y142">
        <f>VLOOKUP(A142,[2]cwurData!$B:$N, 12, FALSE)</f>
        <v>45.82</v>
      </c>
      <c r="Z142">
        <f>VLOOKUP(A142,[2]cwurData!$B:$N, 13, FALSE)</f>
        <v>2012</v>
      </c>
    </row>
    <row r="143" spans="1:26" x14ac:dyDescent="0.3">
      <c r="A143" t="s">
        <v>134</v>
      </c>
      <c r="B143" t="str">
        <f>IFERROR(VLOOKUP(A143,[1]timesData!$B:$P,2,FALSE),VLOOKUP(A143,[2]cwurData!$B:$P,2,FALSE))</f>
        <v>United States of America</v>
      </c>
      <c r="C143">
        <f>VLOOKUP(A143,[1]timesData!$B:$P,3,FALSE)</f>
        <v>132</v>
      </c>
      <c r="D143">
        <f>VLOOKUP(A144,[1]timesData!$B:$P,3,FALSE)</f>
        <v>132</v>
      </c>
      <c r="E143">
        <f>VLOOKUP(A144,[1]timesData!$B:$P,4,FALSE)</f>
        <v>46.2</v>
      </c>
      <c r="F143">
        <f>VLOOKUP(A144,[1]timesData!$B:$P,5,FALSE)</f>
        <v>41.4</v>
      </c>
      <c r="G143">
        <f>VLOOKUP(A144,[1]timesData!$B:$P,6,FALSE)</f>
        <v>64.3</v>
      </c>
      <c r="H143">
        <f>VLOOKUP(A144,[1]timesData!$B:$P,7,FALSE)</f>
        <v>79.8</v>
      </c>
      <c r="I143">
        <f>VLOOKUP(A144,[1]timesData!$B:$P,8,FALSE)</f>
        <v>53.3</v>
      </c>
      <c r="J143">
        <f>VLOOKUP(A144,[1]timesData!$B:$P,9,FALSE)</f>
        <v>26467</v>
      </c>
      <c r="K143">
        <f>VLOOKUP(A144,[1]timesData!$B:$P,10,FALSE)</f>
        <v>31.2</v>
      </c>
      <c r="L143">
        <f>VLOOKUP(A144,[1]timesData!$B:$P,11,FALSE)</f>
        <v>0.16</v>
      </c>
      <c r="M143">
        <f>VLOOKUP(A144,[1]timesData!$B:$P,12,FALSE)</f>
        <v>2.2000000000000002</v>
      </c>
      <c r="N143">
        <f>VLOOKUP(A144,[1]timesData!$B:$P,13,FALSE)</f>
        <v>2011</v>
      </c>
      <c r="O143">
        <f>VLOOKUP(A143,[2]cwurData!$B:$P,14,FALSE)</f>
        <v>125</v>
      </c>
      <c r="P143">
        <f>VLOOKUP(A143,[2]cwurData!$B:$N, 3, FALSE)</f>
        <v>63</v>
      </c>
      <c r="Q143">
        <f>VLOOKUP(A143,[2]cwurData!$B:$N, 4, FALSE)</f>
        <v>223</v>
      </c>
      <c r="R143">
        <f>VLOOKUP(A143,[2]cwurData!$B:$N, 5, FALSE)</f>
        <v>184</v>
      </c>
      <c r="S143">
        <f>VLOOKUP(A143,[2]cwurData!$B:$N, 6, FALSE)</f>
        <v>163</v>
      </c>
      <c r="T143">
        <f>VLOOKUP(A143,[2]cwurData!$B:$N, 7, FALSE)</f>
        <v>103</v>
      </c>
      <c r="U143">
        <f>VLOOKUP(A143,[2]cwurData!$B:$N, 8, FALSE)</f>
        <v>81</v>
      </c>
      <c r="V143">
        <f>VLOOKUP(A143,[2]cwurData!$B:$N, 9, FALSE)</f>
        <v>87</v>
      </c>
      <c r="W143">
        <f>VLOOKUP(A143,[2]cwurData!$B:$N, 10, FALSE)</f>
        <v>110</v>
      </c>
      <c r="X143">
        <f>VLOOKUP(A143,[2]cwurData!$B:$N, 11, FALSE)</f>
        <v>115</v>
      </c>
      <c r="Y143">
        <f>VLOOKUP(A143,[2]cwurData!$B:$N, 12, FALSE)</f>
        <v>49.95</v>
      </c>
      <c r="Z143">
        <f>VLOOKUP(A143,[2]cwurData!$B:$N, 13, FALSE)</f>
        <v>2014</v>
      </c>
    </row>
    <row r="144" spans="1:26" x14ac:dyDescent="0.3">
      <c r="A144" t="s">
        <v>133</v>
      </c>
      <c r="B144" t="str">
        <f>IFERROR(VLOOKUP(A144,[1]timesData!$B:$P,2,FALSE),VLOOKUP(A144,[2]cwurData!$B:$P,2,FALSE))</f>
        <v>Germany</v>
      </c>
      <c r="C144">
        <f>VLOOKUP(A144,[1]timesData!$B:$P,3,FALSE)</f>
        <v>132</v>
      </c>
      <c r="D144">
        <f>VLOOKUP(A145,[1]timesData!$B:$P,3,FALSE)</f>
        <v>135</v>
      </c>
      <c r="E144">
        <f>VLOOKUP(A145,[1]timesData!$B:$P,4,FALSE)</f>
        <v>66.599999999999994</v>
      </c>
      <c r="F144">
        <f>VLOOKUP(A145,[1]timesData!$B:$P,5,FALSE)</f>
        <v>42.1</v>
      </c>
      <c r="G144">
        <f>VLOOKUP(A145,[1]timesData!$B:$P,6,FALSE)</f>
        <v>73.099999999999994</v>
      </c>
      <c r="H144">
        <f>VLOOKUP(A145,[1]timesData!$B:$P,7,FALSE)</f>
        <v>41.5</v>
      </c>
      <c r="I144">
        <f>VLOOKUP(A145,[1]timesData!$B:$P,8,FALSE)</f>
        <v>52.7</v>
      </c>
      <c r="J144">
        <f>VLOOKUP(A145,[1]timesData!$B:$P,9,FALSE)</f>
        <v>11623</v>
      </c>
      <c r="K144">
        <f>VLOOKUP(A145,[1]timesData!$B:$P,10,FALSE)</f>
        <v>11.1</v>
      </c>
      <c r="L144">
        <f>VLOOKUP(A145,[1]timesData!$B:$P,11,FALSE)</f>
        <v>0.12</v>
      </c>
      <c r="M144">
        <f>VLOOKUP(A145,[1]timesData!$B:$P,12,FALSE)</f>
        <v>2.5277777777777777</v>
      </c>
      <c r="N144">
        <f>VLOOKUP(A145,[1]timesData!$B:$P,13,FALSE)</f>
        <v>2011</v>
      </c>
      <c r="O144" t="e">
        <f>VLOOKUP(A144,[2]cwurData!$B:$P,14,FALSE)</f>
        <v>#N/A</v>
      </c>
      <c r="P144" t="e">
        <f>VLOOKUP(A144,[2]cwurData!$B:$N, 3, FALSE)</f>
        <v>#N/A</v>
      </c>
      <c r="Q144" t="e">
        <f>VLOOKUP(A144,[2]cwurData!$B:$N, 4, FALSE)</f>
        <v>#N/A</v>
      </c>
      <c r="R144" t="e">
        <f>VLOOKUP(A144,[2]cwurData!$B:$N, 5, FALSE)</f>
        <v>#N/A</v>
      </c>
      <c r="S144" t="e">
        <f>VLOOKUP(A144,[2]cwurData!$B:$N, 6, FALSE)</f>
        <v>#N/A</v>
      </c>
      <c r="T144" t="e">
        <f>VLOOKUP(A144,[2]cwurData!$B:$N, 7, FALSE)</f>
        <v>#N/A</v>
      </c>
      <c r="U144" t="e">
        <f>VLOOKUP(A144,[2]cwurData!$B:$N, 8, FALSE)</f>
        <v>#N/A</v>
      </c>
      <c r="V144" t="e">
        <f>VLOOKUP(A144,[2]cwurData!$B:$N, 9, FALSE)</f>
        <v>#N/A</v>
      </c>
      <c r="W144" t="e">
        <f>VLOOKUP(A144,[2]cwurData!$B:$N, 10, FALSE)</f>
        <v>#N/A</v>
      </c>
      <c r="X144" t="e">
        <f>VLOOKUP(A144,[2]cwurData!$B:$N, 11, FALSE)</f>
        <v>#N/A</v>
      </c>
      <c r="Y144" t="e">
        <f>VLOOKUP(A144,[2]cwurData!$B:$N, 12, FALSE)</f>
        <v>#N/A</v>
      </c>
      <c r="Z144" t="e">
        <f>VLOOKUP(A144,[2]cwurData!$B:$N, 13, FALSE)</f>
        <v>#N/A</v>
      </c>
    </row>
    <row r="145" spans="1:26" x14ac:dyDescent="0.3">
      <c r="A145" t="s">
        <v>135</v>
      </c>
      <c r="B145" t="str">
        <f>IFERROR(VLOOKUP(A145,[1]timesData!$B:$P,2,FALSE),VLOOKUP(A145,[2]cwurData!$B:$P,2,FALSE))</f>
        <v>Norway</v>
      </c>
      <c r="C145">
        <f>VLOOKUP(A145,[1]timesData!$B:$P,3,FALSE)</f>
        <v>135</v>
      </c>
      <c r="D145">
        <f>VLOOKUP(A146,[1]timesData!$B:$P,3,FALSE)</f>
        <v>136</v>
      </c>
      <c r="E145">
        <f>VLOOKUP(A146,[1]timesData!$B:$P,4,FALSE)</f>
        <v>84.1</v>
      </c>
      <c r="F145">
        <f>VLOOKUP(A146,[1]timesData!$B:$P,5,FALSE)</f>
        <v>50.5</v>
      </c>
      <c r="G145">
        <f>VLOOKUP(A146,[1]timesData!$B:$P,6,FALSE)</f>
        <v>59.1</v>
      </c>
      <c r="H145">
        <f>VLOOKUP(A146,[1]timesData!$B:$P,7,FALSE)</f>
        <v>42.5</v>
      </c>
      <c r="I145">
        <f>VLOOKUP(A146,[1]timesData!$B:$P,8,FALSE)</f>
        <v>52.6</v>
      </c>
      <c r="J145">
        <f>VLOOKUP(A146,[1]timesData!$B:$P,9,FALSE)</f>
        <v>11964</v>
      </c>
      <c r="K145">
        <f>VLOOKUP(A146,[1]timesData!$B:$P,10,FALSE)</f>
        <v>13.1</v>
      </c>
      <c r="L145">
        <f>VLOOKUP(A146,[1]timesData!$B:$P,11,FALSE)</f>
        <v>0.22</v>
      </c>
      <c r="M145">
        <f>VLOOKUP(A146,[1]timesData!$B:$P,12,FALSE)</f>
        <v>0</v>
      </c>
      <c r="N145">
        <f>VLOOKUP(A146,[1]timesData!$B:$P,13,FALSE)</f>
        <v>2011</v>
      </c>
      <c r="O145">
        <f>VLOOKUP(A145,[2]cwurData!$B:$P,14,FALSE)</f>
        <v>305</v>
      </c>
      <c r="P145">
        <f>VLOOKUP(A145,[2]cwurData!$B:$N, 3, FALSE)</f>
        <v>3</v>
      </c>
      <c r="Q145">
        <f>VLOOKUP(A145,[2]cwurData!$B:$N, 4, FALSE)</f>
        <v>355</v>
      </c>
      <c r="R145">
        <f>VLOOKUP(A145,[2]cwurData!$B:$N, 5, FALSE)</f>
        <v>478</v>
      </c>
      <c r="S145">
        <f>VLOOKUP(A145,[2]cwurData!$B:$N, 6, FALSE)</f>
        <v>210</v>
      </c>
      <c r="T145">
        <f>VLOOKUP(A145,[2]cwurData!$B:$N, 7, FALSE)</f>
        <v>249</v>
      </c>
      <c r="U145">
        <f>VLOOKUP(A145,[2]cwurData!$B:$N, 8, FALSE)</f>
        <v>206</v>
      </c>
      <c r="V145">
        <f>VLOOKUP(A145,[2]cwurData!$B:$N, 9, FALSE)</f>
        <v>283</v>
      </c>
      <c r="W145">
        <f>VLOOKUP(A145,[2]cwurData!$B:$N, 10, FALSE)</f>
        <v>245</v>
      </c>
      <c r="X145">
        <f>VLOOKUP(A145,[2]cwurData!$B:$N, 11, FALSE)</f>
        <v>737</v>
      </c>
      <c r="Y145">
        <f>VLOOKUP(A145,[2]cwurData!$B:$N, 12, FALSE)</f>
        <v>46.31</v>
      </c>
      <c r="Z145">
        <f>VLOOKUP(A145,[2]cwurData!$B:$N, 13, FALSE)</f>
        <v>2014</v>
      </c>
    </row>
    <row r="146" spans="1:26" x14ac:dyDescent="0.3">
      <c r="A146" t="s">
        <v>136</v>
      </c>
      <c r="B146" t="str">
        <f>IFERROR(VLOOKUP(A146,[1]timesData!$B:$P,2,FALSE),VLOOKUP(A146,[2]cwurData!$B:$P,2,FALSE))</f>
        <v>Switzerland</v>
      </c>
      <c r="C146">
        <f>VLOOKUP(A146,[1]timesData!$B:$P,3,FALSE)</f>
        <v>136</v>
      </c>
      <c r="D146">
        <f>VLOOKUP(A147,[1]timesData!$B:$P,3,FALSE)</f>
        <v>137</v>
      </c>
      <c r="E146">
        <f>VLOOKUP(A147,[1]timesData!$B:$P,4,FALSE)</f>
        <v>62.7</v>
      </c>
      <c r="F146">
        <f>VLOOKUP(A147,[1]timesData!$B:$P,5,FALSE)</f>
        <v>49.2</v>
      </c>
      <c r="G146">
        <f>VLOOKUP(A147,[1]timesData!$B:$P,6,FALSE)</f>
        <v>58.4</v>
      </c>
      <c r="H146">
        <f>VLOOKUP(A147,[1]timesData!$B:$P,7,FALSE)</f>
        <v>40.299999999999997</v>
      </c>
      <c r="I146">
        <f>VLOOKUP(A147,[1]timesData!$B:$P,8,FALSE)</f>
        <v>52.5</v>
      </c>
      <c r="J146">
        <f>VLOOKUP(A147,[1]timesData!$B:$P,9,FALSE)</f>
        <v>23311</v>
      </c>
      <c r="K146">
        <f>VLOOKUP(A147,[1]timesData!$B:$P,10,FALSE)</f>
        <v>15.5</v>
      </c>
      <c r="L146">
        <f>VLOOKUP(A147,[1]timesData!$B:$P,11,FALSE)</f>
        <v>0.31</v>
      </c>
      <c r="M146">
        <f>VLOOKUP(A147,[1]timesData!$B:$P,12,FALSE)</f>
        <v>2.1180555555555554</v>
      </c>
      <c r="N146">
        <f>VLOOKUP(A147,[1]timesData!$B:$P,13,FALSE)</f>
        <v>2011</v>
      </c>
      <c r="O146">
        <f>VLOOKUP(A146,[2]cwurData!$B:$P,14,FALSE)</f>
        <v>194</v>
      </c>
      <c r="P146">
        <f>VLOOKUP(A146,[2]cwurData!$B:$N, 3, FALSE)</f>
        <v>6</v>
      </c>
      <c r="Q146">
        <f>VLOOKUP(A146,[2]cwurData!$B:$N, 4, FALSE)</f>
        <v>95</v>
      </c>
      <c r="R146">
        <f>VLOOKUP(A146,[2]cwurData!$B:$N, 5, FALSE)</f>
        <v>338</v>
      </c>
      <c r="S146">
        <f>VLOOKUP(A146,[2]cwurData!$B:$N, 6, FALSE)</f>
        <v>210</v>
      </c>
      <c r="T146">
        <f>VLOOKUP(A146,[2]cwurData!$B:$N, 7, FALSE)</f>
        <v>237</v>
      </c>
      <c r="U146">
        <f>VLOOKUP(A146,[2]cwurData!$B:$N, 8, FALSE)</f>
        <v>108</v>
      </c>
      <c r="V146">
        <f>VLOOKUP(A146,[2]cwurData!$B:$N, 9, FALSE)</f>
        <v>134</v>
      </c>
      <c r="W146">
        <f>VLOOKUP(A146,[2]cwurData!$B:$N, 10, FALSE)</f>
        <v>128</v>
      </c>
      <c r="X146">
        <f>VLOOKUP(A146,[2]cwurData!$B:$N, 11, FALSE)</f>
        <v>637</v>
      </c>
      <c r="Y146">
        <f>VLOOKUP(A146,[2]cwurData!$B:$N, 12, FALSE)</f>
        <v>48.05</v>
      </c>
      <c r="Z146">
        <f>VLOOKUP(A146,[2]cwurData!$B:$N, 13, FALSE)</f>
        <v>2014</v>
      </c>
    </row>
    <row r="147" spans="1:26" x14ac:dyDescent="0.3">
      <c r="A147" t="s">
        <v>137</v>
      </c>
      <c r="B147" t="str">
        <f>IFERROR(VLOOKUP(A147,[1]timesData!$B:$P,2,FALSE),VLOOKUP(A147,[2]cwurData!$B:$P,2,FALSE))</f>
        <v>United Kingdom</v>
      </c>
      <c r="C147">
        <f>VLOOKUP(A147,[1]timesData!$B:$P,3,FALSE)</f>
        <v>137</v>
      </c>
      <c r="D147">
        <f>VLOOKUP(A148,[1]timesData!$B:$P,3,FALSE)</f>
        <v>138</v>
      </c>
      <c r="E147" t="str">
        <f>VLOOKUP(A148,[1]timesData!$B:$P,4,FALSE)</f>
        <v>-</v>
      </c>
      <c r="F147">
        <f>VLOOKUP(A148,[1]timesData!$B:$P,5,FALSE)</f>
        <v>49.4</v>
      </c>
      <c r="G147">
        <f>VLOOKUP(A148,[1]timesData!$B:$P,6,FALSE)</f>
        <v>51.9</v>
      </c>
      <c r="H147" t="str">
        <f>VLOOKUP(A148,[1]timesData!$B:$P,7,FALSE)</f>
        <v>-</v>
      </c>
      <c r="I147">
        <f>VLOOKUP(A148,[1]timesData!$B:$P,8,FALSE)</f>
        <v>52.4</v>
      </c>
      <c r="J147">
        <f>VLOOKUP(A148,[1]timesData!$B:$P,9,FALSE)</f>
        <v>38264</v>
      </c>
      <c r="K147">
        <f>VLOOKUP(A148,[1]timesData!$B:$P,10,FALSE)</f>
        <v>20.3</v>
      </c>
      <c r="L147">
        <f>VLOOKUP(A148,[1]timesData!$B:$P,11,FALSE)</f>
        <v>0.25</v>
      </c>
      <c r="M147">
        <f>VLOOKUP(A148,[1]timesData!$B:$P,12,FALSE)</f>
        <v>2.4048611111111109</v>
      </c>
      <c r="N147">
        <f>VLOOKUP(A148,[1]timesData!$B:$P,13,FALSE)</f>
        <v>2011</v>
      </c>
      <c r="O147">
        <f>VLOOKUP(A147,[2]cwurData!$B:$P,14,FALSE)</f>
        <v>178</v>
      </c>
      <c r="P147">
        <f>VLOOKUP(A147,[2]cwurData!$B:$N, 3, FALSE)</f>
        <v>14</v>
      </c>
      <c r="Q147">
        <f>VLOOKUP(A147,[2]cwurData!$B:$N, 4, FALSE)</f>
        <v>131</v>
      </c>
      <c r="R147">
        <f>VLOOKUP(A147,[2]cwurData!$B:$N, 5, FALSE)</f>
        <v>257</v>
      </c>
      <c r="S147">
        <f>VLOOKUP(A147,[2]cwurData!$B:$N, 6, FALSE)</f>
        <v>190</v>
      </c>
      <c r="T147">
        <f>VLOOKUP(A147,[2]cwurData!$B:$N, 7, FALSE)</f>
        <v>124</v>
      </c>
      <c r="U147">
        <f>VLOOKUP(A147,[2]cwurData!$B:$N, 8, FALSE)</f>
        <v>127</v>
      </c>
      <c r="V147">
        <f>VLOOKUP(A147,[2]cwurData!$B:$N, 9, FALSE)</f>
        <v>114</v>
      </c>
      <c r="W147">
        <f>VLOOKUP(A147,[2]cwurData!$B:$N, 10, FALSE)</f>
        <v>145</v>
      </c>
      <c r="X147">
        <f>VLOOKUP(A147,[2]cwurData!$B:$N, 11, FALSE)</f>
        <v>227</v>
      </c>
      <c r="Y147">
        <f>VLOOKUP(A147,[2]cwurData!$B:$N, 12, FALSE)</f>
        <v>48.55</v>
      </c>
      <c r="Z147">
        <f>VLOOKUP(A147,[2]cwurData!$B:$N, 13, FALSE)</f>
        <v>2014</v>
      </c>
    </row>
    <row r="148" spans="1:26" x14ac:dyDescent="0.3">
      <c r="A148" t="s">
        <v>138</v>
      </c>
      <c r="B148" t="str">
        <f>IFERROR(VLOOKUP(A148,[1]timesData!$B:$P,2,FALSE),VLOOKUP(A148,[2]cwurData!$B:$P,2,FALSE))</f>
        <v>Canada</v>
      </c>
      <c r="C148">
        <f>VLOOKUP(A148,[1]timesData!$B:$P,3,FALSE)</f>
        <v>138</v>
      </c>
      <c r="D148">
        <f>VLOOKUP(A149,[1]timesData!$B:$P,3,FALSE)</f>
        <v>139</v>
      </c>
      <c r="E148">
        <f>VLOOKUP(A149,[1]timesData!$B:$P,4,FALSE)</f>
        <v>30.6</v>
      </c>
      <c r="F148">
        <f>VLOOKUP(A149,[1]timesData!$B:$P,5,FALSE)</f>
        <v>51.6</v>
      </c>
      <c r="G148">
        <f>VLOOKUP(A149,[1]timesData!$B:$P,6,FALSE)</f>
        <v>58.5</v>
      </c>
      <c r="H148">
        <f>VLOOKUP(A149,[1]timesData!$B:$P,7,FALSE)</f>
        <v>81.400000000000006</v>
      </c>
      <c r="I148">
        <f>VLOOKUP(A149,[1]timesData!$B:$P,8,FALSE)</f>
        <v>52.3</v>
      </c>
      <c r="J148">
        <f>VLOOKUP(A149,[1]timesData!$B:$P,9,FALSE)</f>
        <v>23280</v>
      </c>
      <c r="K148">
        <f>VLOOKUP(A149,[1]timesData!$B:$P,10,FALSE)</f>
        <v>16.3</v>
      </c>
      <c r="L148">
        <f>VLOOKUP(A149,[1]timesData!$B:$P,11,FALSE)</f>
        <v>0.06</v>
      </c>
      <c r="M148">
        <f>VLOOKUP(A149,[1]timesData!$B:$P,12,FALSE)</f>
        <v>2.3638888888888889</v>
      </c>
      <c r="N148">
        <f>VLOOKUP(A149,[1]timesData!$B:$P,13,FALSE)</f>
        <v>2011</v>
      </c>
      <c r="O148">
        <f>VLOOKUP(A148,[2]cwurData!$B:$P,14,FALSE)</f>
        <v>134</v>
      </c>
      <c r="P148">
        <f>VLOOKUP(A148,[2]cwurData!$B:$N, 3, FALSE)</f>
        <v>5</v>
      </c>
      <c r="Q148">
        <f>VLOOKUP(A148,[2]cwurData!$B:$N, 4, FALSE)</f>
        <v>309</v>
      </c>
      <c r="R148">
        <f>VLOOKUP(A148,[2]cwurData!$B:$N, 5, FALSE)</f>
        <v>460</v>
      </c>
      <c r="S148">
        <f>VLOOKUP(A148,[2]cwurData!$B:$N, 6, FALSE)</f>
        <v>210</v>
      </c>
      <c r="T148">
        <f>VLOOKUP(A148,[2]cwurData!$B:$N, 7, FALSE)</f>
        <v>77</v>
      </c>
      <c r="U148">
        <f>VLOOKUP(A148,[2]cwurData!$B:$N, 8, FALSE)</f>
        <v>110</v>
      </c>
      <c r="V148">
        <f>VLOOKUP(A148,[2]cwurData!$B:$N, 9, FALSE)</f>
        <v>87</v>
      </c>
      <c r="W148">
        <f>VLOOKUP(A148,[2]cwurData!$B:$N, 10, FALSE)</f>
        <v>64</v>
      </c>
      <c r="X148">
        <f>VLOOKUP(A148,[2]cwurData!$B:$N, 11, FALSE)</f>
        <v>426</v>
      </c>
      <c r="Y148">
        <f>VLOOKUP(A148,[2]cwurData!$B:$N, 12, FALSE)</f>
        <v>49.79</v>
      </c>
      <c r="Z148">
        <f>VLOOKUP(A148,[2]cwurData!$B:$N, 13, FALSE)</f>
        <v>2014</v>
      </c>
    </row>
    <row r="149" spans="1:26" x14ac:dyDescent="0.3">
      <c r="A149" t="s">
        <v>139</v>
      </c>
      <c r="B149" t="str">
        <f>IFERROR(VLOOKUP(A149,[1]timesData!$B:$P,2,FALSE),VLOOKUP(A149,[2]cwurData!$B:$P,2,FALSE))</f>
        <v>Netherlands</v>
      </c>
      <c r="C149">
        <f>VLOOKUP(A149,[1]timesData!$B:$P,3,FALSE)</f>
        <v>139</v>
      </c>
      <c r="D149">
        <f>VLOOKUP(A150,[1]timesData!$B:$P,3,FALSE)</f>
        <v>140</v>
      </c>
      <c r="E149">
        <f>VLOOKUP(A150,[1]timesData!$B:$P,4,FALSE)</f>
        <v>54.4</v>
      </c>
      <c r="F149">
        <f>VLOOKUP(A150,[1]timesData!$B:$P,5,FALSE)</f>
        <v>41</v>
      </c>
      <c r="G149">
        <f>VLOOKUP(A150,[1]timesData!$B:$P,6,FALSE)</f>
        <v>79.3</v>
      </c>
      <c r="H149">
        <f>VLOOKUP(A150,[1]timesData!$B:$P,7,FALSE)</f>
        <v>49.3</v>
      </c>
      <c r="I149">
        <f>VLOOKUP(A150,[1]timesData!$B:$P,8,FALSE)</f>
        <v>52.2</v>
      </c>
      <c r="J149">
        <f>VLOOKUP(A150,[1]timesData!$B:$P,9,FALSE)</f>
        <v>11628</v>
      </c>
      <c r="K149">
        <f>VLOOKUP(A150,[1]timesData!$B:$P,10,FALSE)</f>
        <v>15.3</v>
      </c>
      <c r="L149">
        <f>VLOOKUP(A150,[1]timesData!$B:$P,11,FALSE)</f>
        <v>0.25</v>
      </c>
      <c r="M149">
        <f>VLOOKUP(A150,[1]timesData!$B:$P,12,FALSE)</f>
        <v>2.5277777777777777</v>
      </c>
      <c r="N149">
        <f>VLOOKUP(A150,[1]timesData!$B:$P,13,FALSE)</f>
        <v>2011</v>
      </c>
      <c r="O149">
        <f>VLOOKUP(A149,[2]cwurData!$B:$P,14,FALSE)</f>
        <v>144</v>
      </c>
      <c r="P149">
        <f>VLOOKUP(A149,[2]cwurData!$B:$N, 3, FALSE)</f>
        <v>7</v>
      </c>
      <c r="Q149">
        <f>VLOOKUP(A149,[2]cwurData!$B:$N, 4, FALSE)</f>
        <v>355</v>
      </c>
      <c r="R149">
        <f>VLOOKUP(A149,[2]cwurData!$B:$N, 5, FALSE)</f>
        <v>398</v>
      </c>
      <c r="S149">
        <f>VLOOKUP(A149,[2]cwurData!$B:$N, 6, FALSE)</f>
        <v>210</v>
      </c>
      <c r="T149">
        <f>VLOOKUP(A149,[2]cwurData!$B:$N, 7, FALSE)</f>
        <v>83</v>
      </c>
      <c r="U149">
        <f>VLOOKUP(A149,[2]cwurData!$B:$N, 8, FALSE)</f>
        <v>123</v>
      </c>
      <c r="V149">
        <f>VLOOKUP(A149,[2]cwurData!$B:$N, 9, FALSE)</f>
        <v>87</v>
      </c>
      <c r="W149">
        <f>VLOOKUP(A149,[2]cwurData!$B:$N, 10, FALSE)</f>
        <v>86</v>
      </c>
      <c r="X149">
        <f>VLOOKUP(A149,[2]cwurData!$B:$N, 11, FALSE)</f>
        <v>737</v>
      </c>
      <c r="Y149">
        <f>VLOOKUP(A149,[2]cwurData!$B:$N, 12, FALSE)</f>
        <v>49.47</v>
      </c>
      <c r="Z149">
        <f>VLOOKUP(A149,[2]cwurData!$B:$N, 13, FALSE)</f>
        <v>2014</v>
      </c>
    </row>
    <row r="150" spans="1:26" x14ac:dyDescent="0.3">
      <c r="A150" t="s">
        <v>141</v>
      </c>
      <c r="B150" t="str">
        <f>IFERROR(VLOOKUP(A150,[1]timesData!$B:$P,2,FALSE),VLOOKUP(A150,[2]cwurData!$B:$P,2,FALSE))</f>
        <v>United Kingdom</v>
      </c>
      <c r="C150">
        <f>VLOOKUP(A150,[1]timesData!$B:$P,3,FALSE)</f>
        <v>140</v>
      </c>
      <c r="D150">
        <f>VLOOKUP(A151,[1]timesData!$B:$P,3,FALSE)</f>
        <v>140</v>
      </c>
      <c r="E150">
        <f>VLOOKUP(A151,[1]timesData!$B:$P,4,FALSE)</f>
        <v>30.7</v>
      </c>
      <c r="F150">
        <f>VLOOKUP(A151,[1]timesData!$B:$P,5,FALSE)</f>
        <v>37.200000000000003</v>
      </c>
      <c r="G150">
        <f>VLOOKUP(A151,[1]timesData!$B:$P,6,FALSE)</f>
        <v>71.5</v>
      </c>
      <c r="H150">
        <f>VLOOKUP(A151,[1]timesData!$B:$P,7,FALSE)</f>
        <v>26.4</v>
      </c>
      <c r="I150">
        <f>VLOOKUP(A151,[1]timesData!$B:$P,8,FALSE)</f>
        <v>52.2</v>
      </c>
      <c r="J150">
        <f>VLOOKUP(A151,[1]timesData!$B:$P,9,FALSE)</f>
        <v>27862</v>
      </c>
      <c r="K150">
        <f>VLOOKUP(A151,[1]timesData!$B:$P,10,FALSE)</f>
        <v>8.6999999999999993</v>
      </c>
      <c r="L150">
        <f>VLOOKUP(A151,[1]timesData!$B:$P,11,FALSE)</f>
        <v>0.18</v>
      </c>
      <c r="M150">
        <f>VLOOKUP(A151,[1]timesData!$B:$P,12,FALSE)</f>
        <v>2.036111111111111</v>
      </c>
      <c r="N150">
        <f>VLOOKUP(A151,[1]timesData!$B:$P,13,FALSE)</f>
        <v>2011</v>
      </c>
      <c r="O150">
        <f>VLOOKUP(A150,[2]cwurData!$B:$P,14,FALSE)</f>
        <v>252</v>
      </c>
      <c r="P150">
        <f>VLOOKUP(A150,[2]cwurData!$B:$N, 3, FALSE)</f>
        <v>20</v>
      </c>
      <c r="Q150">
        <f>VLOOKUP(A150,[2]cwurData!$B:$N, 4, FALSE)</f>
        <v>164</v>
      </c>
      <c r="R150">
        <f>VLOOKUP(A150,[2]cwurData!$B:$N, 5, FALSE)</f>
        <v>478</v>
      </c>
      <c r="S150">
        <f>VLOOKUP(A150,[2]cwurData!$B:$N, 6, FALSE)</f>
        <v>210</v>
      </c>
      <c r="T150">
        <f>VLOOKUP(A150,[2]cwurData!$B:$N, 7, FALSE)</f>
        <v>354</v>
      </c>
      <c r="U150">
        <f>VLOOKUP(A150,[2]cwurData!$B:$N, 8, FALSE)</f>
        <v>200</v>
      </c>
      <c r="V150">
        <f>VLOOKUP(A150,[2]cwurData!$B:$N, 9, FALSE)</f>
        <v>134</v>
      </c>
      <c r="W150">
        <f>VLOOKUP(A150,[2]cwurData!$B:$N, 10, FALSE)</f>
        <v>184</v>
      </c>
      <c r="X150">
        <f>VLOOKUP(A150,[2]cwurData!$B:$N, 11, FALSE)</f>
        <v>227</v>
      </c>
      <c r="Y150">
        <f>VLOOKUP(A150,[2]cwurData!$B:$N, 12, FALSE)</f>
        <v>47.04</v>
      </c>
      <c r="Z150">
        <f>VLOOKUP(A150,[2]cwurData!$B:$N, 13, FALSE)</f>
        <v>2014</v>
      </c>
    </row>
    <row r="151" spans="1:26" x14ac:dyDescent="0.3">
      <c r="A151" t="s">
        <v>140</v>
      </c>
      <c r="B151" t="str">
        <f>IFERROR(VLOOKUP(A151,[1]timesData!$B:$P,2,FALSE),VLOOKUP(A151,[2]cwurData!$B:$P,2,FALSE))</f>
        <v>France</v>
      </c>
      <c r="C151">
        <f>VLOOKUP(A151,[1]timesData!$B:$P,3,FALSE)</f>
        <v>140</v>
      </c>
      <c r="D151">
        <f>VLOOKUP(A152,[1]timesData!$B:$P,3,FALSE)</f>
        <v>142</v>
      </c>
      <c r="E151">
        <f>VLOOKUP(A152,[1]timesData!$B:$P,4,FALSE)</f>
        <v>22.3</v>
      </c>
      <c r="F151">
        <f>VLOOKUP(A152,[1]timesData!$B:$P,5,FALSE)</f>
        <v>33.700000000000003</v>
      </c>
      <c r="G151">
        <f>VLOOKUP(A152,[1]timesData!$B:$P,6,FALSE)</f>
        <v>91.9</v>
      </c>
      <c r="H151">
        <f>VLOOKUP(A152,[1]timesData!$B:$P,7,FALSE)</f>
        <v>30</v>
      </c>
      <c r="I151">
        <f>VLOOKUP(A152,[1]timesData!$B:$P,8,FALSE)</f>
        <v>52.1</v>
      </c>
      <c r="J151">
        <f>VLOOKUP(A152,[1]timesData!$B:$P,9,FALSE)</f>
        <v>47491</v>
      </c>
      <c r="K151">
        <f>VLOOKUP(A152,[1]timesData!$B:$P,10,FALSE)</f>
        <v>12.2</v>
      </c>
      <c r="L151">
        <f>VLOOKUP(A152,[1]timesData!$B:$P,11,FALSE)</f>
        <v>0.1</v>
      </c>
      <c r="M151">
        <f>VLOOKUP(A152,[1]timesData!$B:$P,12,FALSE)</f>
        <v>2.6097222222222221</v>
      </c>
      <c r="N151">
        <f>VLOOKUP(A152,[1]timesData!$B:$P,13,FALSE)</f>
        <v>2011</v>
      </c>
      <c r="O151" t="e">
        <f>VLOOKUP(A151,[2]cwurData!$B:$P,14,FALSE)</f>
        <v>#N/A</v>
      </c>
      <c r="P151" t="e">
        <f>VLOOKUP(A151,[2]cwurData!$B:$N, 3, FALSE)</f>
        <v>#N/A</v>
      </c>
      <c r="Q151" t="e">
        <f>VLOOKUP(A151,[2]cwurData!$B:$N, 4, FALSE)</f>
        <v>#N/A</v>
      </c>
      <c r="R151" t="e">
        <f>VLOOKUP(A151,[2]cwurData!$B:$N, 5, FALSE)</f>
        <v>#N/A</v>
      </c>
      <c r="S151" t="e">
        <f>VLOOKUP(A151,[2]cwurData!$B:$N, 6, FALSE)</f>
        <v>#N/A</v>
      </c>
      <c r="T151" t="e">
        <f>VLOOKUP(A151,[2]cwurData!$B:$N, 7, FALSE)</f>
        <v>#N/A</v>
      </c>
      <c r="U151" t="e">
        <f>VLOOKUP(A151,[2]cwurData!$B:$N, 8, FALSE)</f>
        <v>#N/A</v>
      </c>
      <c r="V151" t="e">
        <f>VLOOKUP(A151,[2]cwurData!$B:$N, 9, FALSE)</f>
        <v>#N/A</v>
      </c>
      <c r="W151" t="e">
        <f>VLOOKUP(A151,[2]cwurData!$B:$N, 10, FALSE)</f>
        <v>#N/A</v>
      </c>
      <c r="X151" t="e">
        <f>VLOOKUP(A151,[2]cwurData!$B:$N, 11, FALSE)</f>
        <v>#N/A</v>
      </c>
      <c r="Y151" t="e">
        <f>VLOOKUP(A151,[2]cwurData!$B:$N, 12, FALSE)</f>
        <v>#N/A</v>
      </c>
      <c r="Z151" t="e">
        <f>VLOOKUP(A151,[2]cwurData!$B:$N, 13, FALSE)</f>
        <v>#N/A</v>
      </c>
    </row>
    <row r="152" spans="1:26" x14ac:dyDescent="0.3">
      <c r="A152" t="s">
        <v>142</v>
      </c>
      <c r="B152" t="str">
        <f>IFERROR(VLOOKUP(A152,[1]timesData!$B:$P,2,FALSE),VLOOKUP(A152,[2]cwurData!$B:$P,2,FALSE))</f>
        <v>Spain</v>
      </c>
      <c r="C152">
        <f>VLOOKUP(A152,[1]timesData!$B:$P,3,FALSE)</f>
        <v>142</v>
      </c>
      <c r="D152">
        <f>VLOOKUP(A153,[1]timesData!$B:$P,3,FALSE)</f>
        <v>143</v>
      </c>
      <c r="E152">
        <f>VLOOKUP(A153,[1]timesData!$B:$P,4,FALSE)</f>
        <v>52.6</v>
      </c>
      <c r="F152">
        <f>VLOOKUP(A153,[1]timesData!$B:$P,5,FALSE)</f>
        <v>53</v>
      </c>
      <c r="G152">
        <f>VLOOKUP(A153,[1]timesData!$B:$P,6,FALSE)</f>
        <v>58.8</v>
      </c>
      <c r="H152">
        <f>VLOOKUP(A153,[1]timesData!$B:$P,7,FALSE)</f>
        <v>55.3</v>
      </c>
      <c r="I152">
        <f>VLOOKUP(A153,[1]timesData!$B:$P,8,FALSE)</f>
        <v>52</v>
      </c>
      <c r="J152">
        <f>VLOOKUP(A153,[1]timesData!$B:$P,9,FALSE)</f>
        <v>30779</v>
      </c>
      <c r="K152">
        <f>VLOOKUP(A153,[1]timesData!$B:$P,10,FALSE)</f>
        <v>15.4</v>
      </c>
      <c r="L152">
        <f>VLOOKUP(A153,[1]timesData!$B:$P,11,FALSE)</f>
        <v>7.0000000000000007E-2</v>
      </c>
      <c r="M152">
        <f>VLOOKUP(A153,[1]timesData!$B:$P,12,FALSE)</f>
        <v>2.4868055555555557</v>
      </c>
      <c r="N152">
        <f>VLOOKUP(A153,[1]timesData!$B:$P,13,FALSE)</f>
        <v>2011</v>
      </c>
      <c r="O152">
        <f>VLOOKUP(A152,[2]cwurData!$B:$P,14,FALSE)</f>
        <v>120</v>
      </c>
      <c r="P152">
        <f>VLOOKUP(A152,[2]cwurData!$B:$N, 3, FALSE)</f>
        <v>1</v>
      </c>
      <c r="Q152">
        <f>VLOOKUP(A152,[2]cwurData!$B:$N, 4, FALSE)</f>
        <v>355</v>
      </c>
      <c r="R152">
        <f>VLOOKUP(A152,[2]cwurData!$B:$N, 5, FALSE)</f>
        <v>207</v>
      </c>
      <c r="S152">
        <f>VLOOKUP(A152,[2]cwurData!$B:$N, 6, FALSE)</f>
        <v>210</v>
      </c>
      <c r="T152">
        <f>VLOOKUP(A152,[2]cwurData!$B:$N, 7, FALSE)</f>
        <v>63</v>
      </c>
      <c r="U152">
        <f>VLOOKUP(A152,[2]cwurData!$B:$N, 8, FALSE)</f>
        <v>107</v>
      </c>
      <c r="V152">
        <f>VLOOKUP(A152,[2]cwurData!$B:$N, 9, FALSE)</f>
        <v>81</v>
      </c>
      <c r="W152">
        <f>VLOOKUP(A152,[2]cwurData!$B:$N, 10, FALSE)</f>
        <v>88</v>
      </c>
      <c r="X152">
        <f>VLOOKUP(A152,[2]cwurData!$B:$N, 11, FALSE)</f>
        <v>259</v>
      </c>
      <c r="Y152">
        <f>VLOOKUP(A152,[2]cwurData!$B:$N, 12, FALSE)</f>
        <v>50.17</v>
      </c>
      <c r="Z152">
        <f>VLOOKUP(A152,[2]cwurData!$B:$N, 13, FALSE)</f>
        <v>2014</v>
      </c>
    </row>
    <row r="153" spans="1:26" x14ac:dyDescent="0.3">
      <c r="A153" t="s">
        <v>143</v>
      </c>
      <c r="B153" t="str">
        <f>IFERROR(VLOOKUP(A153,[1]timesData!$B:$P,2,FALSE),VLOOKUP(A153,[2]cwurData!$B:$P,2,FALSE))</f>
        <v>Netherlands</v>
      </c>
      <c r="C153">
        <f>VLOOKUP(A153,[1]timesData!$B:$P,3,FALSE)</f>
        <v>143</v>
      </c>
      <c r="D153">
        <f>VLOOKUP(A154,[1]timesData!$B:$P,3,FALSE)</f>
        <v>144</v>
      </c>
      <c r="E153">
        <f>VLOOKUP(A154,[1]timesData!$B:$P,4,FALSE)</f>
        <v>24.3</v>
      </c>
      <c r="F153">
        <f>VLOOKUP(A154,[1]timesData!$B:$P,5,FALSE)</f>
        <v>48.8</v>
      </c>
      <c r="G153">
        <f>VLOOKUP(A154,[1]timesData!$B:$P,6,FALSE)</f>
        <v>53</v>
      </c>
      <c r="H153" t="str">
        <f>VLOOKUP(A154,[1]timesData!$B:$P,7,FALSE)</f>
        <v>-</v>
      </c>
      <c r="I153">
        <f>VLOOKUP(A154,[1]timesData!$B:$P,8,FALSE)</f>
        <v>51.9</v>
      </c>
      <c r="J153">
        <f>VLOOKUP(A154,[1]timesData!$B:$P,9,FALSE)</f>
        <v>9248</v>
      </c>
      <c r="K153">
        <f>VLOOKUP(A154,[1]timesData!$B:$P,10,FALSE)</f>
        <v>17</v>
      </c>
      <c r="L153">
        <f>VLOOKUP(A154,[1]timesData!$B:$P,11,FALSE)</f>
        <v>0.21</v>
      </c>
      <c r="M153">
        <f>VLOOKUP(A154,[1]timesData!$B:$P,12,FALSE)</f>
        <v>2.3638888888888889</v>
      </c>
      <c r="N153">
        <f>VLOOKUP(A154,[1]timesData!$B:$P,13,FALSE)</f>
        <v>2011</v>
      </c>
      <c r="O153">
        <f>VLOOKUP(A153,[2]cwurData!$B:$P,14,FALSE)</f>
        <v>99</v>
      </c>
      <c r="P153">
        <f>VLOOKUP(A153,[2]cwurData!$B:$N, 3, FALSE)</f>
        <v>2</v>
      </c>
      <c r="Q153">
        <f>VLOOKUP(A153,[2]cwurData!$B:$N, 4, FALSE)</f>
        <v>100</v>
      </c>
      <c r="R153">
        <f>VLOOKUP(A153,[2]cwurData!$B:$N, 5, FALSE)</f>
        <v>101</v>
      </c>
      <c r="S153">
        <f>VLOOKUP(A153,[2]cwurData!$B:$N, 6, FALSE)</f>
        <v>101</v>
      </c>
      <c r="T153">
        <f>VLOOKUP(A153,[2]cwurData!$B:$N, 7, FALSE)</f>
        <v>65</v>
      </c>
      <c r="U153">
        <f>VLOOKUP(A153,[2]cwurData!$B:$N, 8, FALSE)</f>
        <v>101</v>
      </c>
      <c r="V153">
        <f>VLOOKUP(A153,[2]cwurData!$B:$N, 9, FALSE)</f>
        <v>60</v>
      </c>
      <c r="W153">
        <f>VLOOKUP(A153,[2]cwurData!$B:$N, 10, FALSE)</f>
        <v>0</v>
      </c>
      <c r="X153">
        <f>VLOOKUP(A153,[2]cwurData!$B:$N, 11, FALSE)</f>
        <v>101</v>
      </c>
      <c r="Y153">
        <f>VLOOKUP(A153,[2]cwurData!$B:$N, 12, FALSE)</f>
        <v>43.47</v>
      </c>
      <c r="Z153">
        <f>VLOOKUP(A153,[2]cwurData!$B:$N, 13, FALSE)</f>
        <v>2012</v>
      </c>
    </row>
    <row r="154" spans="1:26" x14ac:dyDescent="0.3">
      <c r="A154" t="s">
        <v>144</v>
      </c>
      <c r="B154" t="str">
        <f>IFERROR(VLOOKUP(A154,[1]timesData!$B:$P,2,FALSE),VLOOKUP(A154,[2]cwurData!$B:$P,2,FALSE))</f>
        <v>Netherlands</v>
      </c>
      <c r="C154">
        <f>VLOOKUP(A154,[1]timesData!$B:$P,3,FALSE)</f>
        <v>144</v>
      </c>
      <c r="D154">
        <f>VLOOKUP(A155,[1]timesData!$B:$P,3,FALSE)</f>
        <v>145</v>
      </c>
      <c r="E154">
        <f>VLOOKUP(A155,[1]timesData!$B:$P,4,FALSE)</f>
        <v>73.8</v>
      </c>
      <c r="F154">
        <f>VLOOKUP(A155,[1]timesData!$B:$P,5,FALSE)</f>
        <v>50.7</v>
      </c>
      <c r="G154">
        <f>VLOOKUP(A155,[1]timesData!$B:$P,6,FALSE)</f>
        <v>52.1</v>
      </c>
      <c r="H154">
        <f>VLOOKUP(A155,[1]timesData!$B:$P,7,FALSE)</f>
        <v>34.799999999999997</v>
      </c>
      <c r="I154">
        <f>VLOOKUP(A155,[1]timesData!$B:$P,8,FALSE)</f>
        <v>51.8</v>
      </c>
      <c r="J154">
        <f>VLOOKUP(A155,[1]timesData!$B:$P,9,FALSE)</f>
        <v>25295</v>
      </c>
      <c r="K154">
        <f>VLOOKUP(A155,[1]timesData!$B:$P,10,FALSE)</f>
        <v>16.399999999999999</v>
      </c>
      <c r="L154">
        <f>VLOOKUP(A155,[1]timesData!$B:$P,11,FALSE)</f>
        <v>0.23</v>
      </c>
      <c r="M154">
        <f>VLOOKUP(A155,[1]timesData!$B:$P,12,FALSE)</f>
        <v>2.2819444444444446</v>
      </c>
      <c r="N154">
        <f>VLOOKUP(A155,[1]timesData!$B:$P,13,FALSE)</f>
        <v>2011</v>
      </c>
      <c r="O154" t="e">
        <f>VLOOKUP(A154,[2]cwurData!$B:$P,14,FALSE)</f>
        <v>#N/A</v>
      </c>
      <c r="P154" t="e">
        <f>VLOOKUP(A154,[2]cwurData!$B:$N, 3, FALSE)</f>
        <v>#N/A</v>
      </c>
      <c r="Q154" t="e">
        <f>VLOOKUP(A154,[2]cwurData!$B:$N, 4, FALSE)</f>
        <v>#N/A</v>
      </c>
      <c r="R154" t="e">
        <f>VLOOKUP(A154,[2]cwurData!$B:$N, 5, FALSE)</f>
        <v>#N/A</v>
      </c>
      <c r="S154" t="e">
        <f>VLOOKUP(A154,[2]cwurData!$B:$N, 6, FALSE)</f>
        <v>#N/A</v>
      </c>
      <c r="T154" t="e">
        <f>VLOOKUP(A154,[2]cwurData!$B:$N, 7, FALSE)</f>
        <v>#N/A</v>
      </c>
      <c r="U154" t="e">
        <f>VLOOKUP(A154,[2]cwurData!$B:$N, 8, FALSE)</f>
        <v>#N/A</v>
      </c>
      <c r="V154" t="e">
        <f>VLOOKUP(A154,[2]cwurData!$B:$N, 9, FALSE)</f>
        <v>#N/A</v>
      </c>
      <c r="W154" t="e">
        <f>VLOOKUP(A154,[2]cwurData!$B:$N, 10, FALSE)</f>
        <v>#N/A</v>
      </c>
      <c r="X154" t="e">
        <f>VLOOKUP(A154,[2]cwurData!$B:$N, 11, FALSE)</f>
        <v>#N/A</v>
      </c>
      <c r="Y154" t="e">
        <f>VLOOKUP(A154,[2]cwurData!$B:$N, 12, FALSE)</f>
        <v>#N/A</v>
      </c>
      <c r="Z154" t="e">
        <f>VLOOKUP(A154,[2]cwurData!$B:$N, 13, FALSE)</f>
        <v>#N/A</v>
      </c>
    </row>
    <row r="155" spans="1:26" x14ac:dyDescent="0.3">
      <c r="A155" t="s">
        <v>146</v>
      </c>
      <c r="B155" t="str">
        <f>IFERROR(VLOOKUP(A155,[1]timesData!$B:$P,2,FALSE),VLOOKUP(A155,[2]cwurData!$B:$P,2,FALSE))</f>
        <v>United Kingdom</v>
      </c>
      <c r="C155">
        <f>VLOOKUP(A155,[1]timesData!$B:$P,3,FALSE)</f>
        <v>145</v>
      </c>
      <c r="D155">
        <f>VLOOKUP(A156,[1]timesData!$B:$P,3,FALSE)</f>
        <v>145</v>
      </c>
      <c r="E155">
        <f>VLOOKUP(A156,[1]timesData!$B:$P,4,FALSE)</f>
        <v>94.3</v>
      </c>
      <c r="F155">
        <f>VLOOKUP(A156,[1]timesData!$B:$P,5,FALSE)</f>
        <v>39.200000000000003</v>
      </c>
      <c r="G155">
        <f>VLOOKUP(A156,[1]timesData!$B:$P,6,FALSE)</f>
        <v>71.8</v>
      </c>
      <c r="H155">
        <f>VLOOKUP(A156,[1]timesData!$B:$P,7,FALSE)</f>
        <v>61.1</v>
      </c>
      <c r="I155">
        <f>VLOOKUP(A156,[1]timesData!$B:$P,8,FALSE)</f>
        <v>51.8</v>
      </c>
      <c r="J155">
        <f>VLOOKUP(A156,[1]timesData!$B:$P,9,FALSE)</f>
        <v>29787</v>
      </c>
      <c r="K155">
        <f>VLOOKUP(A156,[1]timesData!$B:$P,10,FALSE)</f>
        <v>18.899999999999999</v>
      </c>
      <c r="L155">
        <f>VLOOKUP(A156,[1]timesData!$B:$P,11,FALSE)</f>
        <v>0.28000000000000003</v>
      </c>
      <c r="M155">
        <f>VLOOKUP(A156,[1]timesData!$B:$P,12,FALSE)</f>
        <v>2.2819444444444446</v>
      </c>
      <c r="N155">
        <f>VLOOKUP(A156,[1]timesData!$B:$P,13,FALSE)</f>
        <v>2011</v>
      </c>
      <c r="O155">
        <f>VLOOKUP(A155,[2]cwurData!$B:$P,14,FALSE)</f>
        <v>142</v>
      </c>
      <c r="P155">
        <f>VLOOKUP(A155,[2]cwurData!$B:$N, 3, FALSE)</f>
        <v>10</v>
      </c>
      <c r="Q155">
        <f>VLOOKUP(A155,[2]cwurData!$B:$N, 4, FALSE)</f>
        <v>58</v>
      </c>
      <c r="R155">
        <f>VLOOKUP(A155,[2]cwurData!$B:$N, 5, FALSE)</f>
        <v>119</v>
      </c>
      <c r="S155">
        <f>VLOOKUP(A155,[2]cwurData!$B:$N, 6, FALSE)</f>
        <v>198</v>
      </c>
      <c r="T155">
        <f>VLOOKUP(A155,[2]cwurData!$B:$N, 7, FALSE)</f>
        <v>116</v>
      </c>
      <c r="U155">
        <f>VLOOKUP(A155,[2]cwurData!$B:$N, 8, FALSE)</f>
        <v>160</v>
      </c>
      <c r="V155">
        <f>VLOOKUP(A155,[2]cwurData!$B:$N, 9, FALSE)</f>
        <v>150</v>
      </c>
      <c r="W155">
        <f>VLOOKUP(A155,[2]cwurData!$B:$N, 10, FALSE)</f>
        <v>135</v>
      </c>
      <c r="X155">
        <f>VLOOKUP(A155,[2]cwurData!$B:$N, 11, FALSE)</f>
        <v>204</v>
      </c>
      <c r="Y155">
        <f>VLOOKUP(A155,[2]cwurData!$B:$N, 12, FALSE)</f>
        <v>49.48</v>
      </c>
      <c r="Z155">
        <f>VLOOKUP(A155,[2]cwurData!$B:$N, 13, FALSE)</f>
        <v>2014</v>
      </c>
    </row>
    <row r="156" spans="1:26" x14ac:dyDescent="0.3">
      <c r="A156" t="s">
        <v>145</v>
      </c>
      <c r="B156" t="str">
        <f>IFERROR(VLOOKUP(A156,[1]timesData!$B:$P,2,FALSE),VLOOKUP(A156,[2]cwurData!$B:$P,2,FALSE))</f>
        <v>New Zealand</v>
      </c>
      <c r="C156">
        <f>VLOOKUP(A156,[1]timesData!$B:$P,3,FALSE)</f>
        <v>145</v>
      </c>
      <c r="D156">
        <f>VLOOKUP(A157,[1]timesData!$B:$P,3,FALSE)</f>
        <v>147</v>
      </c>
      <c r="E156">
        <f>VLOOKUP(A157,[1]timesData!$B:$P,4,FALSE)</f>
        <v>77.900000000000006</v>
      </c>
      <c r="F156">
        <f>VLOOKUP(A157,[1]timesData!$B:$P,5,FALSE)</f>
        <v>62.2</v>
      </c>
      <c r="G156">
        <f>VLOOKUP(A157,[1]timesData!$B:$P,6,FALSE)</f>
        <v>40.700000000000003</v>
      </c>
      <c r="H156">
        <f>VLOOKUP(A157,[1]timesData!$B:$P,7,FALSE)</f>
        <v>39.5</v>
      </c>
      <c r="I156">
        <f>VLOOKUP(A157,[1]timesData!$B:$P,8,FALSE)</f>
        <v>51.6</v>
      </c>
      <c r="J156">
        <f>VLOOKUP(A157,[1]timesData!$B:$P,9,FALSE)</f>
        <v>25266</v>
      </c>
      <c r="K156">
        <f>VLOOKUP(A157,[1]timesData!$B:$P,10,FALSE)</f>
        <v>18.2</v>
      </c>
      <c r="L156">
        <f>VLOOKUP(A157,[1]timesData!$B:$P,11,FALSE)</f>
        <v>0.12</v>
      </c>
      <c r="M156">
        <f>VLOOKUP(A157,[1]timesData!$B:$P,12,FALSE)</f>
        <v>2.4048611111111109</v>
      </c>
      <c r="N156">
        <f>VLOOKUP(A157,[1]timesData!$B:$P,13,FALSE)</f>
        <v>2011</v>
      </c>
      <c r="O156">
        <f>VLOOKUP(A156,[2]cwurData!$B:$P,14,FALSE)</f>
        <v>273</v>
      </c>
      <c r="P156">
        <f>VLOOKUP(A156,[2]cwurData!$B:$N, 3, FALSE)</f>
        <v>1</v>
      </c>
      <c r="Q156">
        <f>VLOOKUP(A156,[2]cwurData!$B:$N, 4, FALSE)</f>
        <v>230</v>
      </c>
      <c r="R156">
        <f>VLOOKUP(A156,[2]cwurData!$B:$N, 5, FALSE)</f>
        <v>455</v>
      </c>
      <c r="S156">
        <f>VLOOKUP(A156,[2]cwurData!$B:$N, 6, FALSE)</f>
        <v>210</v>
      </c>
      <c r="T156">
        <f>VLOOKUP(A156,[2]cwurData!$B:$N, 7, FALSE)</f>
        <v>266</v>
      </c>
      <c r="U156">
        <f>VLOOKUP(A156,[2]cwurData!$B:$N, 8, FALSE)</f>
        <v>235</v>
      </c>
      <c r="V156">
        <f>VLOOKUP(A156,[2]cwurData!$B:$N, 9, FALSE)</f>
        <v>283</v>
      </c>
      <c r="W156">
        <f>VLOOKUP(A156,[2]cwurData!$B:$N, 10, FALSE)</f>
        <v>251</v>
      </c>
      <c r="X156">
        <f>VLOOKUP(A156,[2]cwurData!$B:$N, 11, FALSE)</f>
        <v>138</v>
      </c>
      <c r="Y156">
        <f>VLOOKUP(A156,[2]cwurData!$B:$N, 12, FALSE)</f>
        <v>46.65</v>
      </c>
      <c r="Z156">
        <f>VLOOKUP(A156,[2]cwurData!$B:$N, 13, FALSE)</f>
        <v>2014</v>
      </c>
    </row>
    <row r="157" spans="1:26" x14ac:dyDescent="0.3">
      <c r="A157" t="s">
        <v>148</v>
      </c>
      <c r="B157" t="str">
        <f>IFERROR(VLOOKUP(A157,[1]timesData!$B:$P,2,FALSE),VLOOKUP(A157,[2]cwurData!$B:$P,2,FALSE))</f>
        <v>Sweden</v>
      </c>
      <c r="C157">
        <f>VLOOKUP(A157,[1]timesData!$B:$P,3,FALSE)</f>
        <v>147</v>
      </c>
      <c r="D157">
        <f>VLOOKUP(A158,[1]timesData!$B:$P,3,FALSE)</f>
        <v>147</v>
      </c>
      <c r="E157">
        <f>VLOOKUP(A158,[1]timesData!$B:$P,4,FALSE)</f>
        <v>19.3</v>
      </c>
      <c r="F157">
        <f>VLOOKUP(A158,[1]timesData!$B:$P,5,FALSE)</f>
        <v>28</v>
      </c>
      <c r="G157">
        <f>VLOOKUP(A158,[1]timesData!$B:$P,6,FALSE)</f>
        <v>99.8</v>
      </c>
      <c r="H157">
        <f>VLOOKUP(A158,[1]timesData!$B:$P,7,FALSE)</f>
        <v>36</v>
      </c>
      <c r="I157">
        <f>VLOOKUP(A158,[1]timesData!$B:$P,8,FALSE)</f>
        <v>51.6</v>
      </c>
      <c r="J157">
        <f>VLOOKUP(A158,[1]timesData!$B:$P,9,FALSE)</f>
        <v>127431</v>
      </c>
      <c r="K157">
        <f>VLOOKUP(A158,[1]timesData!$B:$P,10,FALSE)</f>
        <v>23.3</v>
      </c>
      <c r="L157">
        <f>VLOOKUP(A158,[1]timesData!$B:$P,11,FALSE)</f>
        <v>0.01</v>
      </c>
      <c r="M157">
        <f>VLOOKUP(A158,[1]timesData!$B:$P,12,FALSE)</f>
        <v>1.9541666666666666</v>
      </c>
      <c r="N157">
        <f>VLOOKUP(A158,[1]timesData!$B:$P,13,FALSE)</f>
        <v>2011</v>
      </c>
      <c r="O157">
        <f>VLOOKUP(A157,[2]cwurData!$B:$P,14,FALSE)</f>
        <v>124</v>
      </c>
      <c r="P157">
        <f>VLOOKUP(A157,[2]cwurData!$B:$N, 3, FALSE)</f>
        <v>4</v>
      </c>
      <c r="Q157">
        <f>VLOOKUP(A157,[2]cwurData!$B:$N, 4, FALSE)</f>
        <v>62</v>
      </c>
      <c r="R157">
        <f>VLOOKUP(A157,[2]cwurData!$B:$N, 5, FALSE)</f>
        <v>336</v>
      </c>
      <c r="S157">
        <f>VLOOKUP(A157,[2]cwurData!$B:$N, 6, FALSE)</f>
        <v>111</v>
      </c>
      <c r="T157">
        <f>VLOOKUP(A157,[2]cwurData!$B:$N, 7, FALSE)</f>
        <v>94</v>
      </c>
      <c r="U157">
        <f>VLOOKUP(A157,[2]cwurData!$B:$N, 8, FALSE)</f>
        <v>77</v>
      </c>
      <c r="V157">
        <f>VLOOKUP(A157,[2]cwurData!$B:$N, 9, FALSE)</f>
        <v>99</v>
      </c>
      <c r="W157">
        <f>VLOOKUP(A157,[2]cwurData!$B:$N, 10, FALSE)</f>
        <v>102</v>
      </c>
      <c r="X157">
        <f>VLOOKUP(A157,[2]cwurData!$B:$N, 11, FALSE)</f>
        <v>737</v>
      </c>
      <c r="Y157">
        <f>VLOOKUP(A157,[2]cwurData!$B:$N, 12, FALSE)</f>
        <v>49.96</v>
      </c>
      <c r="Z157">
        <f>VLOOKUP(A157,[2]cwurData!$B:$N, 13, FALSE)</f>
        <v>2014</v>
      </c>
    </row>
    <row r="158" spans="1:26" x14ac:dyDescent="0.3">
      <c r="A158" t="s">
        <v>147</v>
      </c>
      <c r="B158" t="str">
        <f>IFERROR(VLOOKUP(A158,[1]timesData!$B:$P,2,FALSE),VLOOKUP(A158,[2]cwurData!$B:$P,2,FALSE))</f>
        <v>Egypt</v>
      </c>
      <c r="C158">
        <f>VLOOKUP(A158,[1]timesData!$B:$P,3,FALSE)</f>
        <v>147</v>
      </c>
      <c r="D158">
        <f>VLOOKUP(A159,[1]timesData!$B:$P,3,FALSE)</f>
        <v>149</v>
      </c>
      <c r="E158">
        <f>VLOOKUP(A159,[1]timesData!$B:$P,4,FALSE)</f>
        <v>86.1</v>
      </c>
      <c r="F158">
        <f>VLOOKUP(A159,[1]timesData!$B:$P,5,FALSE)</f>
        <v>45.2</v>
      </c>
      <c r="G158">
        <f>VLOOKUP(A159,[1]timesData!$B:$P,6,FALSE)</f>
        <v>64.599999999999994</v>
      </c>
      <c r="H158">
        <f>VLOOKUP(A159,[1]timesData!$B:$P,7,FALSE)</f>
        <v>47</v>
      </c>
      <c r="I158">
        <f>VLOOKUP(A159,[1]timesData!$B:$P,8,FALSE)</f>
        <v>51.4</v>
      </c>
      <c r="J158">
        <f>VLOOKUP(A159,[1]timesData!$B:$P,9,FALSE)</f>
        <v>12938</v>
      </c>
      <c r="K158">
        <f>VLOOKUP(A159,[1]timesData!$B:$P,10,FALSE)</f>
        <v>15.8</v>
      </c>
      <c r="L158">
        <f>VLOOKUP(A159,[1]timesData!$B:$P,11,FALSE)</f>
        <v>0.33</v>
      </c>
      <c r="M158">
        <f>VLOOKUP(A159,[1]timesData!$B:$P,12,FALSE)</f>
        <v>2.2819444444444446</v>
      </c>
      <c r="N158">
        <f>VLOOKUP(A159,[1]timesData!$B:$P,13,FALSE)</f>
        <v>2011</v>
      </c>
      <c r="O158">
        <f>VLOOKUP(A158,[2]cwurData!$B:$P,14,FALSE)</f>
        <v>951</v>
      </c>
      <c r="P158">
        <f>VLOOKUP(A158,[2]cwurData!$B:$N, 3, FALSE)</f>
        <v>2</v>
      </c>
      <c r="Q158">
        <f>VLOOKUP(A158,[2]cwurData!$B:$N, 4, FALSE)</f>
        <v>254</v>
      </c>
      <c r="R158">
        <f>VLOOKUP(A158,[2]cwurData!$B:$N, 5, FALSE)</f>
        <v>478</v>
      </c>
      <c r="S158">
        <f>VLOOKUP(A158,[2]cwurData!$B:$N, 6, FALSE)</f>
        <v>210</v>
      </c>
      <c r="T158">
        <f>VLOOKUP(A158,[2]cwurData!$B:$N, 7, FALSE)</f>
        <v>963</v>
      </c>
      <c r="U158">
        <f>VLOOKUP(A158,[2]cwurData!$B:$N, 8, FALSE)</f>
        <v>950</v>
      </c>
      <c r="V158">
        <f>VLOOKUP(A158,[2]cwurData!$B:$N, 9, FALSE)</f>
        <v>800</v>
      </c>
      <c r="W158">
        <f>VLOOKUP(A158,[2]cwurData!$B:$N, 10, FALSE)</f>
        <v>956</v>
      </c>
      <c r="X158">
        <f>VLOOKUP(A158,[2]cwurData!$B:$N, 11, FALSE)</f>
        <v>737</v>
      </c>
      <c r="Y158">
        <f>VLOOKUP(A158,[2]cwurData!$B:$N, 12, FALSE)</f>
        <v>44.32</v>
      </c>
      <c r="Z158">
        <f>VLOOKUP(A158,[2]cwurData!$B:$N, 13, FALSE)</f>
        <v>2014</v>
      </c>
    </row>
    <row r="159" spans="1:26" x14ac:dyDescent="0.3">
      <c r="A159" t="s">
        <v>150</v>
      </c>
      <c r="B159" t="str">
        <f>IFERROR(VLOOKUP(A159,[1]timesData!$B:$P,2,FALSE),VLOOKUP(A159,[2]cwurData!$B:$P,2,FALSE))</f>
        <v>United Kingdom</v>
      </c>
      <c r="C159">
        <f>VLOOKUP(A159,[1]timesData!$B:$P,3,FALSE)</f>
        <v>149</v>
      </c>
      <c r="D159">
        <f>VLOOKUP(A160,[1]timesData!$B:$P,3,FALSE)</f>
        <v>149</v>
      </c>
      <c r="E159">
        <f>VLOOKUP(A160,[1]timesData!$B:$P,4,FALSE)</f>
        <v>82.9</v>
      </c>
      <c r="F159">
        <f>VLOOKUP(A160,[1]timesData!$B:$P,5,FALSE)</f>
        <v>45.7</v>
      </c>
      <c r="G159">
        <f>VLOOKUP(A160,[1]timesData!$B:$P,6,FALSE)</f>
        <v>62.4</v>
      </c>
      <c r="H159">
        <f>VLOOKUP(A160,[1]timesData!$B:$P,7,FALSE)</f>
        <v>57.2</v>
      </c>
      <c r="I159">
        <f>VLOOKUP(A160,[1]timesData!$B:$P,8,FALSE)</f>
        <v>51.4</v>
      </c>
      <c r="J159">
        <f>VLOOKUP(A160,[1]timesData!$B:$P,9,FALSE)</f>
        <v>22064</v>
      </c>
      <c r="K159">
        <f>VLOOKUP(A160,[1]timesData!$B:$P,10,FALSE)</f>
        <v>25.9</v>
      </c>
      <c r="L159">
        <f>VLOOKUP(A160,[1]timesData!$B:$P,11,FALSE)</f>
        <v>0.26</v>
      </c>
      <c r="M159">
        <f>VLOOKUP(A160,[1]timesData!$B:$P,12,FALSE)</f>
        <v>2.1590277777777778</v>
      </c>
      <c r="N159">
        <f>VLOOKUP(A160,[1]timesData!$B:$P,13,FALSE)</f>
        <v>2011</v>
      </c>
      <c r="O159">
        <f>VLOOKUP(A159,[2]cwurData!$B:$P,14,FALSE)</f>
        <v>276</v>
      </c>
      <c r="P159">
        <f>VLOOKUP(A159,[2]cwurData!$B:$N, 3, FALSE)</f>
        <v>24</v>
      </c>
      <c r="Q159">
        <f>VLOOKUP(A159,[2]cwurData!$B:$N, 4, FALSE)</f>
        <v>347</v>
      </c>
      <c r="R159">
        <f>VLOOKUP(A159,[2]cwurData!$B:$N, 5, FALSE)</f>
        <v>223</v>
      </c>
      <c r="S159">
        <f>VLOOKUP(A159,[2]cwurData!$B:$N, 6, FALSE)</f>
        <v>210</v>
      </c>
      <c r="T159">
        <f>VLOOKUP(A159,[2]cwurData!$B:$N, 7, FALSE)</f>
        <v>282</v>
      </c>
      <c r="U159">
        <f>VLOOKUP(A159,[2]cwurData!$B:$N, 8, FALSE)</f>
        <v>217</v>
      </c>
      <c r="V159">
        <f>VLOOKUP(A159,[2]cwurData!$B:$N, 9, FALSE)</f>
        <v>250</v>
      </c>
      <c r="W159">
        <f>VLOOKUP(A159,[2]cwurData!$B:$N, 10, FALSE)</f>
        <v>224</v>
      </c>
      <c r="X159">
        <f>VLOOKUP(A159,[2]cwurData!$B:$N, 11, FALSE)</f>
        <v>481</v>
      </c>
      <c r="Y159">
        <f>VLOOKUP(A159,[2]cwurData!$B:$N, 12, FALSE)</f>
        <v>46.63</v>
      </c>
      <c r="Z159">
        <f>VLOOKUP(A159,[2]cwurData!$B:$N, 13, FALSE)</f>
        <v>2014</v>
      </c>
    </row>
    <row r="160" spans="1:26" x14ac:dyDescent="0.3">
      <c r="A160" t="s">
        <v>149</v>
      </c>
      <c r="B160" t="str">
        <f>IFERROR(VLOOKUP(A160,[1]timesData!$B:$P,2,FALSE),VLOOKUP(A160,[2]cwurData!$B:$P,2,FALSE))</f>
        <v>Hong Kong</v>
      </c>
      <c r="C160">
        <f>VLOOKUP(A160,[1]timesData!$B:$P,3,FALSE)</f>
        <v>149</v>
      </c>
      <c r="D160">
        <f>VLOOKUP(A161,[1]timesData!$B:$P,3,FALSE)</f>
        <v>150</v>
      </c>
      <c r="E160">
        <f>VLOOKUP(A161,[1]timesData!$B:$P,4,FALSE)</f>
        <v>40.299999999999997</v>
      </c>
      <c r="F160">
        <f>VLOOKUP(A161,[1]timesData!$B:$P,5,FALSE)</f>
        <v>27.3</v>
      </c>
      <c r="G160">
        <f>VLOOKUP(A161,[1]timesData!$B:$P,6,FALSE)</f>
        <v>90.2</v>
      </c>
      <c r="H160">
        <f>VLOOKUP(A161,[1]timesData!$B:$P,7,FALSE)</f>
        <v>33.700000000000003</v>
      </c>
      <c r="I160">
        <f>VLOOKUP(A161,[1]timesData!$B:$P,8,FALSE)</f>
        <v>46.7</v>
      </c>
      <c r="J160">
        <f>VLOOKUP(A161,[1]timesData!$B:$P,9,FALSE)</f>
        <v>5495</v>
      </c>
      <c r="K160">
        <f>VLOOKUP(A161,[1]timesData!$B:$P,10,FALSE)</f>
        <v>12.6</v>
      </c>
      <c r="L160">
        <f>VLOOKUP(A161,[1]timesData!$B:$P,11,FALSE)</f>
        <v>0.22</v>
      </c>
      <c r="M160">
        <f>VLOOKUP(A161,[1]timesData!$B:$P,12,FALSE)</f>
        <v>2.3229166666666665</v>
      </c>
      <c r="N160">
        <f>VLOOKUP(A161,[1]timesData!$B:$P,13,FALSE)</f>
        <v>2012</v>
      </c>
      <c r="O160">
        <f>VLOOKUP(A160,[2]cwurData!$B:$P,14,FALSE)</f>
        <v>381</v>
      </c>
      <c r="P160">
        <f>VLOOKUP(A160,[2]cwurData!$B:$N, 3, FALSE)</f>
        <v>5</v>
      </c>
      <c r="Q160">
        <f>VLOOKUP(A160,[2]cwurData!$B:$N, 4, FALSE)</f>
        <v>355</v>
      </c>
      <c r="R160">
        <f>VLOOKUP(A160,[2]cwurData!$B:$N, 5, FALSE)</f>
        <v>189</v>
      </c>
      <c r="S160">
        <f>VLOOKUP(A160,[2]cwurData!$B:$N, 6, FALSE)</f>
        <v>210</v>
      </c>
      <c r="T160">
        <f>VLOOKUP(A160,[2]cwurData!$B:$N, 7, FALSE)</f>
        <v>261</v>
      </c>
      <c r="U160">
        <f>VLOOKUP(A160,[2]cwurData!$B:$N, 8, FALSE)</f>
        <v>764</v>
      </c>
      <c r="V160">
        <f>VLOOKUP(A160,[2]cwurData!$B:$N, 9, FALSE)</f>
        <v>406</v>
      </c>
      <c r="W160">
        <f>VLOOKUP(A160,[2]cwurData!$B:$N, 10, FALSE)</f>
        <v>395</v>
      </c>
      <c r="X160">
        <f>VLOOKUP(A160,[2]cwurData!$B:$N, 11, FALSE)</f>
        <v>481</v>
      </c>
      <c r="Y160">
        <f>VLOOKUP(A160,[2]cwurData!$B:$N, 12, FALSE)</f>
        <v>45.65</v>
      </c>
      <c r="Z160">
        <f>VLOOKUP(A160,[2]cwurData!$B:$N, 13, FALSE)</f>
        <v>2014</v>
      </c>
    </row>
    <row r="161" spans="1:26" x14ac:dyDescent="0.3">
      <c r="A161" t="s">
        <v>207</v>
      </c>
      <c r="B161" t="str">
        <f>IFERROR(VLOOKUP(A161,[1]timesData!$B:$P,2,FALSE),VLOOKUP(A161,[2]cwurData!$B:$P,2,FALSE))</f>
        <v>United States of America</v>
      </c>
      <c r="C161">
        <f>VLOOKUP(A161,[1]timesData!$B:$P,3,FALSE)</f>
        <v>150</v>
      </c>
      <c r="D161">
        <f>VLOOKUP(A162,[1]timesData!$B:$P,3,FALSE)</f>
        <v>151</v>
      </c>
      <c r="E161">
        <f>VLOOKUP(A162,[1]timesData!$B:$P,4,FALSE)</f>
        <v>62.1</v>
      </c>
      <c r="F161">
        <f>VLOOKUP(A162,[1]timesData!$B:$P,5,FALSE)</f>
        <v>48.5</v>
      </c>
      <c r="G161">
        <f>VLOOKUP(A162,[1]timesData!$B:$P,6,FALSE)</f>
        <v>42.5</v>
      </c>
      <c r="H161">
        <f>VLOOKUP(A162,[1]timesData!$B:$P,7,FALSE)</f>
        <v>30.6</v>
      </c>
      <c r="I161">
        <f>VLOOKUP(A162,[1]timesData!$B:$P,8,FALSE)</f>
        <v>46.6</v>
      </c>
      <c r="J161">
        <f>VLOOKUP(A162,[1]timesData!$B:$P,9,FALSE)</f>
        <v>33062</v>
      </c>
      <c r="K161">
        <f>VLOOKUP(A162,[1]timesData!$B:$P,10,FALSE)</f>
        <v>39.299999999999997</v>
      </c>
      <c r="L161">
        <f>VLOOKUP(A162,[1]timesData!$B:$P,11,FALSE)</f>
        <v>0.2</v>
      </c>
      <c r="M161">
        <f>VLOOKUP(A162,[1]timesData!$B:$P,12,FALSE)</f>
        <v>2.4458333333333333</v>
      </c>
      <c r="N161">
        <f>VLOOKUP(A162,[1]timesData!$B:$P,13,FALSE)</f>
        <v>2012</v>
      </c>
      <c r="O161">
        <f>VLOOKUP(A161,[2]cwurData!$B:$P,14,FALSE)</f>
        <v>236</v>
      </c>
      <c r="P161">
        <f>VLOOKUP(A161,[2]cwurData!$B:$N, 3, FALSE)</f>
        <v>97</v>
      </c>
      <c r="Q161">
        <f>VLOOKUP(A161,[2]cwurData!$B:$N, 4, FALSE)</f>
        <v>49</v>
      </c>
      <c r="R161">
        <f>VLOOKUP(A161,[2]cwurData!$B:$N, 5, FALSE)</f>
        <v>311</v>
      </c>
      <c r="S161">
        <f>VLOOKUP(A161,[2]cwurData!$B:$N, 6, FALSE)</f>
        <v>79</v>
      </c>
      <c r="T161">
        <f>VLOOKUP(A161,[2]cwurData!$B:$N, 7, FALSE)</f>
        <v>527</v>
      </c>
      <c r="U161">
        <f>VLOOKUP(A161,[2]cwurData!$B:$N, 8, FALSE)</f>
        <v>169</v>
      </c>
      <c r="V161">
        <f>VLOOKUP(A161,[2]cwurData!$B:$N, 9, FALSE)</f>
        <v>493</v>
      </c>
      <c r="W161">
        <f>VLOOKUP(A161,[2]cwurData!$B:$N, 10, FALSE)</f>
        <v>322</v>
      </c>
      <c r="X161">
        <f>VLOOKUP(A161,[2]cwurData!$B:$N, 11, FALSE)</f>
        <v>128</v>
      </c>
      <c r="Y161">
        <f>VLOOKUP(A161,[2]cwurData!$B:$N, 12, FALSE)</f>
        <v>47.31</v>
      </c>
      <c r="Z161">
        <f>VLOOKUP(A161,[2]cwurData!$B:$N, 13, FALSE)</f>
        <v>2014</v>
      </c>
    </row>
    <row r="162" spans="1:26" x14ac:dyDescent="0.3">
      <c r="A162" t="s">
        <v>209</v>
      </c>
      <c r="B162" t="str">
        <f>IFERROR(VLOOKUP(A162,[1]timesData!$B:$P,2,FALSE),VLOOKUP(A162,[2]cwurData!$B:$P,2,FALSE))</f>
        <v>Germany</v>
      </c>
      <c r="C162">
        <f>VLOOKUP(A162,[1]timesData!$B:$P,3,FALSE)</f>
        <v>151</v>
      </c>
      <c r="D162">
        <f>VLOOKUP(A163,[1]timesData!$B:$P,3,FALSE)</f>
        <v>151</v>
      </c>
      <c r="E162">
        <f>VLOOKUP(A163,[1]timesData!$B:$P,4,FALSE)</f>
        <v>69.5</v>
      </c>
      <c r="F162">
        <f>VLOOKUP(A163,[1]timesData!$B:$P,5,FALSE)</f>
        <v>50.2</v>
      </c>
      <c r="G162">
        <f>VLOOKUP(A163,[1]timesData!$B:$P,6,FALSE)</f>
        <v>37.799999999999997</v>
      </c>
      <c r="H162">
        <f>VLOOKUP(A163,[1]timesData!$B:$P,7,FALSE)</f>
        <v>36.4</v>
      </c>
      <c r="I162">
        <f>VLOOKUP(A163,[1]timesData!$B:$P,8,FALSE)</f>
        <v>46.6</v>
      </c>
      <c r="J162">
        <f>VLOOKUP(A163,[1]timesData!$B:$P,9,FALSE)</f>
        <v>17916</v>
      </c>
      <c r="K162">
        <f>VLOOKUP(A163,[1]timesData!$B:$P,10,FALSE)</f>
        <v>10.199999999999999</v>
      </c>
      <c r="L162">
        <f>VLOOKUP(A163,[1]timesData!$B:$P,11,FALSE)</f>
        <v>0.22</v>
      </c>
      <c r="M162">
        <f>VLOOKUP(A163,[1]timesData!$B:$P,12,FALSE)</f>
        <v>2.2409722222222221</v>
      </c>
      <c r="N162">
        <f>VLOOKUP(A163,[1]timesData!$B:$P,13,FALSE)</f>
        <v>2012</v>
      </c>
      <c r="O162">
        <f>VLOOKUP(A162,[2]cwurData!$B:$P,14,FALSE)</f>
        <v>158</v>
      </c>
      <c r="P162">
        <f>VLOOKUP(A162,[2]cwurData!$B:$N, 3, FALSE)</f>
        <v>7</v>
      </c>
      <c r="Q162">
        <f>VLOOKUP(A162,[2]cwurData!$B:$N, 4, FALSE)</f>
        <v>94</v>
      </c>
      <c r="R162">
        <f>VLOOKUP(A162,[2]cwurData!$B:$N, 5, FALSE)</f>
        <v>478</v>
      </c>
      <c r="S162">
        <f>VLOOKUP(A162,[2]cwurData!$B:$N, 6, FALSE)</f>
        <v>119</v>
      </c>
      <c r="T162">
        <f>VLOOKUP(A162,[2]cwurData!$B:$N, 7, FALSE)</f>
        <v>122</v>
      </c>
      <c r="U162">
        <f>VLOOKUP(A162,[2]cwurData!$B:$N, 8, FALSE)</f>
        <v>82</v>
      </c>
      <c r="V162">
        <f>VLOOKUP(A162,[2]cwurData!$B:$N, 9, FALSE)</f>
        <v>250</v>
      </c>
      <c r="W162">
        <f>VLOOKUP(A162,[2]cwurData!$B:$N, 10, FALSE)</f>
        <v>90</v>
      </c>
      <c r="X162">
        <f>VLOOKUP(A162,[2]cwurData!$B:$N, 11, FALSE)</f>
        <v>481</v>
      </c>
      <c r="Y162">
        <f>VLOOKUP(A162,[2]cwurData!$B:$N, 12, FALSE)</f>
        <v>49.02</v>
      </c>
      <c r="Z162">
        <f>VLOOKUP(A162,[2]cwurData!$B:$N, 13, FALSE)</f>
        <v>2014</v>
      </c>
    </row>
    <row r="163" spans="1:26" x14ac:dyDescent="0.3">
      <c r="A163" t="s">
        <v>208</v>
      </c>
      <c r="B163" t="str">
        <f>IFERROR(VLOOKUP(A163,[1]timesData!$B:$P,2,FALSE),VLOOKUP(A163,[2]cwurData!$B:$P,2,FALSE))</f>
        <v>Hong Kong</v>
      </c>
      <c r="C163">
        <f>VLOOKUP(A163,[1]timesData!$B:$P,3,FALSE)</f>
        <v>151</v>
      </c>
      <c r="D163">
        <f>VLOOKUP(A164,[1]timesData!$B:$P,3,FALSE)</f>
        <v>151</v>
      </c>
      <c r="E163">
        <f>VLOOKUP(A164,[1]timesData!$B:$P,4,FALSE)</f>
        <v>47.4</v>
      </c>
      <c r="F163">
        <f>VLOOKUP(A164,[1]timesData!$B:$P,5,FALSE)</f>
        <v>67.7</v>
      </c>
      <c r="G163">
        <f>VLOOKUP(A164,[1]timesData!$B:$P,6,FALSE)</f>
        <v>29</v>
      </c>
      <c r="H163">
        <f>VLOOKUP(A164,[1]timesData!$B:$P,7,FALSE)</f>
        <v>99.4</v>
      </c>
      <c r="I163">
        <f>VLOOKUP(A164,[1]timesData!$B:$P,8,FALSE)</f>
        <v>51.3</v>
      </c>
      <c r="J163">
        <f>VLOOKUP(A164,[1]timesData!$B:$P,9,FALSE)</f>
        <v>15920</v>
      </c>
      <c r="K163">
        <f>VLOOKUP(A164,[1]timesData!$B:$P,10,FALSE)</f>
        <v>19.399999999999999</v>
      </c>
      <c r="L163">
        <f>VLOOKUP(A164,[1]timesData!$B:$P,11,FALSE)</f>
        <v>0.25</v>
      </c>
      <c r="M163" t="str">
        <f>VLOOKUP(A164,[1]timesData!$B:$P,12,FALSE)</f>
        <v>26 : 74</v>
      </c>
      <c r="N163">
        <f>VLOOKUP(A164,[1]timesData!$B:$P,13,FALSE)</f>
        <v>2011</v>
      </c>
      <c r="O163">
        <f>VLOOKUP(A163,[2]cwurData!$B:$P,14,FALSE)</f>
        <v>202</v>
      </c>
      <c r="P163">
        <f>VLOOKUP(A163,[2]cwurData!$B:$N, 3, FALSE)</f>
        <v>2</v>
      </c>
      <c r="Q163">
        <f>VLOOKUP(A163,[2]cwurData!$B:$N, 4, FALSE)</f>
        <v>90</v>
      </c>
      <c r="R163">
        <f>VLOOKUP(A163,[2]cwurData!$B:$N, 5, FALSE)</f>
        <v>478</v>
      </c>
      <c r="S163">
        <f>VLOOKUP(A163,[2]cwurData!$B:$N, 6, FALSE)</f>
        <v>88</v>
      </c>
      <c r="T163">
        <f>VLOOKUP(A163,[2]cwurData!$B:$N, 7, FALSE)</f>
        <v>171</v>
      </c>
      <c r="U163">
        <f>VLOOKUP(A163,[2]cwurData!$B:$N, 8, FALSE)</f>
        <v>386</v>
      </c>
      <c r="V163">
        <f>VLOOKUP(A163,[2]cwurData!$B:$N, 9, FALSE)</f>
        <v>159</v>
      </c>
      <c r="W163">
        <f>VLOOKUP(A163,[2]cwurData!$B:$N, 10, FALSE)</f>
        <v>203</v>
      </c>
      <c r="X163">
        <f>VLOOKUP(A163,[2]cwurData!$B:$N, 11, FALSE)</f>
        <v>204</v>
      </c>
      <c r="Y163">
        <f>VLOOKUP(A163,[2]cwurData!$B:$N, 12, FALSE)</f>
        <v>47.83</v>
      </c>
      <c r="Z163">
        <f>VLOOKUP(A163,[2]cwurData!$B:$N, 13, FALSE)</f>
        <v>2014</v>
      </c>
    </row>
    <row r="164" spans="1:26" x14ac:dyDescent="0.3">
      <c r="A164" t="s">
        <v>151</v>
      </c>
      <c r="B164" t="str">
        <f>IFERROR(VLOOKUP(A164,[1]timesData!$B:$P,2,FALSE),VLOOKUP(A164,[2]cwurData!$B:$P,2,FALSE))</f>
        <v>Netherlands</v>
      </c>
      <c r="C164">
        <f>VLOOKUP(A164,[1]timesData!$B:$P,3,FALSE)</f>
        <v>151</v>
      </c>
      <c r="D164">
        <f>VLOOKUP(A165,[1]timesData!$B:$P,3,FALSE)</f>
        <v>152</v>
      </c>
      <c r="E164">
        <f>VLOOKUP(A165,[1]timesData!$B:$P,4,FALSE)</f>
        <v>70.7</v>
      </c>
      <c r="F164">
        <f>VLOOKUP(A165,[1]timesData!$B:$P,5,FALSE)</f>
        <v>48.9</v>
      </c>
      <c r="G164">
        <f>VLOOKUP(A165,[1]timesData!$B:$P,6,FALSE)</f>
        <v>51.2</v>
      </c>
      <c r="H164">
        <f>VLOOKUP(A165,[1]timesData!$B:$P,7,FALSE)</f>
        <v>60</v>
      </c>
      <c r="I164">
        <f>VLOOKUP(A165,[1]timesData!$B:$P,8,FALSE)</f>
        <v>51.2</v>
      </c>
      <c r="J164">
        <f>VLOOKUP(A165,[1]timesData!$B:$P,9,FALSE)</f>
        <v>38309</v>
      </c>
      <c r="K164">
        <f>VLOOKUP(A165,[1]timesData!$B:$P,10,FALSE)</f>
        <v>25.9</v>
      </c>
      <c r="L164">
        <f>VLOOKUP(A165,[1]timesData!$B:$P,11,FALSE)</f>
        <v>0.33</v>
      </c>
      <c r="M164">
        <f>VLOOKUP(A165,[1]timesData!$B:$P,12,FALSE)</f>
        <v>1.9951388888888888</v>
      </c>
      <c r="N164">
        <f>VLOOKUP(A165,[1]timesData!$B:$P,13,FALSE)</f>
        <v>2011</v>
      </c>
      <c r="O164">
        <f>VLOOKUP(A164,[2]cwurData!$B:$P,14,FALSE)</f>
        <v>275</v>
      </c>
      <c r="P164">
        <f>VLOOKUP(A164,[2]cwurData!$B:$N, 3, FALSE)</f>
        <v>9</v>
      </c>
      <c r="Q164">
        <f>VLOOKUP(A164,[2]cwurData!$B:$N, 4, FALSE)</f>
        <v>289</v>
      </c>
      <c r="R164">
        <f>VLOOKUP(A164,[2]cwurData!$B:$N, 5, FALSE)</f>
        <v>374</v>
      </c>
      <c r="S164">
        <f>VLOOKUP(A164,[2]cwurData!$B:$N, 6, FALSE)</f>
        <v>210</v>
      </c>
      <c r="T164">
        <f>VLOOKUP(A164,[2]cwurData!$B:$N, 7, FALSE)</f>
        <v>222</v>
      </c>
      <c r="U164">
        <f>VLOOKUP(A164,[2]cwurData!$B:$N, 8, FALSE)</f>
        <v>212</v>
      </c>
      <c r="V164">
        <f>VLOOKUP(A164,[2]cwurData!$B:$N, 9, FALSE)</f>
        <v>250</v>
      </c>
      <c r="W164">
        <f>VLOOKUP(A164,[2]cwurData!$B:$N, 10, FALSE)</f>
        <v>245</v>
      </c>
      <c r="X164">
        <f>VLOOKUP(A164,[2]cwurData!$B:$N, 11, FALSE)</f>
        <v>227</v>
      </c>
      <c r="Y164">
        <f>VLOOKUP(A164,[2]cwurData!$B:$N, 12, FALSE)</f>
        <v>46.63</v>
      </c>
      <c r="Z164">
        <f>VLOOKUP(A164,[2]cwurData!$B:$N, 13, FALSE)</f>
        <v>2014</v>
      </c>
    </row>
    <row r="165" spans="1:26" x14ac:dyDescent="0.3">
      <c r="A165" t="s">
        <v>154</v>
      </c>
      <c r="B165" t="str">
        <f>IFERROR(VLOOKUP(A165,[1]timesData!$B:$P,2,FALSE),VLOOKUP(A165,[2]cwurData!$B:$P,2,FALSE))</f>
        <v>Australia</v>
      </c>
      <c r="C165">
        <f>VLOOKUP(A165,[1]timesData!$B:$P,3,FALSE)</f>
        <v>152</v>
      </c>
      <c r="D165">
        <f>VLOOKUP(A166,[1]timesData!$B:$P,3,FALSE)</f>
        <v>152</v>
      </c>
      <c r="E165">
        <f>VLOOKUP(A166,[1]timesData!$B:$P,4,FALSE)</f>
        <v>80.5</v>
      </c>
      <c r="F165">
        <f>VLOOKUP(A166,[1]timesData!$B:$P,5,FALSE)</f>
        <v>42.8</v>
      </c>
      <c r="G165">
        <f>VLOOKUP(A166,[1]timesData!$B:$P,6,FALSE)</f>
        <v>63.6</v>
      </c>
      <c r="H165">
        <f>VLOOKUP(A166,[1]timesData!$B:$P,7,FALSE)</f>
        <v>31.1</v>
      </c>
      <c r="I165">
        <f>VLOOKUP(A166,[1]timesData!$B:$P,8,FALSE)</f>
        <v>51.2</v>
      </c>
      <c r="J165">
        <f>VLOOKUP(A166,[1]timesData!$B:$P,9,FALSE)</f>
        <v>20174</v>
      </c>
      <c r="K165">
        <f>VLOOKUP(A166,[1]timesData!$B:$P,10,FALSE)</f>
        <v>15.2</v>
      </c>
      <c r="L165">
        <f>VLOOKUP(A166,[1]timesData!$B:$P,11,FALSE)</f>
        <v>0.28999999999999998</v>
      </c>
      <c r="M165">
        <f>VLOOKUP(A166,[1]timesData!$B:$P,12,FALSE)</f>
        <v>2.1180555555555554</v>
      </c>
      <c r="N165">
        <f>VLOOKUP(A166,[1]timesData!$B:$P,13,FALSE)</f>
        <v>2011</v>
      </c>
      <c r="O165">
        <f>VLOOKUP(A165,[2]cwurData!$B:$P,14,FALSE)</f>
        <v>149</v>
      </c>
      <c r="P165">
        <f>VLOOKUP(A165,[2]cwurData!$B:$N, 3, FALSE)</f>
        <v>4</v>
      </c>
      <c r="Q165">
        <f>VLOOKUP(A165,[2]cwurData!$B:$N, 4, FALSE)</f>
        <v>172</v>
      </c>
      <c r="R165">
        <f>VLOOKUP(A165,[2]cwurData!$B:$N, 5, FALSE)</f>
        <v>114</v>
      </c>
      <c r="S165">
        <f>VLOOKUP(A165,[2]cwurData!$B:$N, 6, FALSE)</f>
        <v>210</v>
      </c>
      <c r="T165">
        <f>VLOOKUP(A165,[2]cwurData!$B:$N, 7, FALSE)</f>
        <v>100</v>
      </c>
      <c r="U165">
        <f>VLOOKUP(A165,[2]cwurData!$B:$N, 8, FALSE)</f>
        <v>194</v>
      </c>
      <c r="V165">
        <f>VLOOKUP(A165,[2]cwurData!$B:$N, 9, FALSE)</f>
        <v>99</v>
      </c>
      <c r="W165">
        <f>VLOOKUP(A165,[2]cwurData!$B:$N, 10, FALSE)</f>
        <v>164</v>
      </c>
      <c r="X165">
        <f>VLOOKUP(A165,[2]cwurData!$B:$N, 11, FALSE)</f>
        <v>138</v>
      </c>
      <c r="Y165">
        <f>VLOOKUP(A165,[2]cwurData!$B:$N, 12, FALSE)</f>
        <v>49.29</v>
      </c>
      <c r="Z165">
        <f>VLOOKUP(A165,[2]cwurData!$B:$N, 13, FALSE)</f>
        <v>2014</v>
      </c>
    </row>
    <row r="166" spans="1:26" x14ac:dyDescent="0.3">
      <c r="A166" t="s">
        <v>153</v>
      </c>
      <c r="B166" t="str">
        <f>IFERROR(VLOOKUP(A166,[1]timesData!$B:$P,2,FALSE),VLOOKUP(A166,[2]cwurData!$B:$P,2,FALSE))</f>
        <v>United Kingdom</v>
      </c>
      <c r="C166">
        <f>VLOOKUP(A166,[1]timesData!$B:$P,3,FALSE)</f>
        <v>152</v>
      </c>
      <c r="D166">
        <f>VLOOKUP(A167,[1]timesData!$B:$P,3,FALSE)</f>
        <v>152</v>
      </c>
      <c r="E166">
        <f>VLOOKUP(A167,[1]timesData!$B:$P,4,FALSE)</f>
        <v>88.5</v>
      </c>
      <c r="F166">
        <f>VLOOKUP(A167,[1]timesData!$B:$P,5,FALSE)</f>
        <v>35.799999999999997</v>
      </c>
      <c r="G166">
        <f>VLOOKUP(A167,[1]timesData!$B:$P,6,FALSE)</f>
        <v>70.599999999999994</v>
      </c>
      <c r="H166">
        <f>VLOOKUP(A167,[1]timesData!$B:$P,7,FALSE)</f>
        <v>27.4</v>
      </c>
      <c r="I166">
        <f>VLOOKUP(A167,[1]timesData!$B:$P,8,FALSE)</f>
        <v>51.2</v>
      </c>
      <c r="J166">
        <f>VLOOKUP(A167,[1]timesData!$B:$P,9,FALSE)</f>
        <v>9454</v>
      </c>
      <c r="K166">
        <f>VLOOKUP(A167,[1]timesData!$B:$P,10,FALSE)</f>
        <v>17.2</v>
      </c>
      <c r="L166">
        <f>VLOOKUP(A167,[1]timesData!$B:$P,11,FALSE)</f>
        <v>0.38</v>
      </c>
      <c r="M166">
        <f>VLOOKUP(A167,[1]timesData!$B:$P,12,FALSE)</f>
        <v>2.3229166666666665</v>
      </c>
      <c r="N166">
        <f>VLOOKUP(A167,[1]timesData!$B:$P,13,FALSE)</f>
        <v>2011</v>
      </c>
      <c r="O166">
        <f>VLOOKUP(A166,[2]cwurData!$B:$P,14,FALSE)</f>
        <v>229</v>
      </c>
      <c r="P166">
        <f>VLOOKUP(A166,[2]cwurData!$B:$N, 3, FALSE)</f>
        <v>19</v>
      </c>
      <c r="Q166">
        <f>VLOOKUP(A166,[2]cwurData!$B:$N, 4, FALSE)</f>
        <v>355</v>
      </c>
      <c r="R166">
        <f>VLOOKUP(A166,[2]cwurData!$B:$N, 5, FALSE)</f>
        <v>250</v>
      </c>
      <c r="S166">
        <f>VLOOKUP(A166,[2]cwurData!$B:$N, 6, FALSE)</f>
        <v>210</v>
      </c>
      <c r="T166">
        <f>VLOOKUP(A166,[2]cwurData!$B:$N, 7, FALSE)</f>
        <v>200</v>
      </c>
      <c r="U166">
        <f>VLOOKUP(A166,[2]cwurData!$B:$N, 8, FALSE)</f>
        <v>149</v>
      </c>
      <c r="V166">
        <f>VLOOKUP(A166,[2]cwurData!$B:$N, 9, FALSE)</f>
        <v>200</v>
      </c>
      <c r="W166">
        <f>VLOOKUP(A166,[2]cwurData!$B:$N, 10, FALSE)</f>
        <v>164</v>
      </c>
      <c r="X166">
        <f>VLOOKUP(A166,[2]cwurData!$B:$N, 11, FALSE)</f>
        <v>481</v>
      </c>
      <c r="Y166">
        <f>VLOOKUP(A166,[2]cwurData!$B:$N, 12, FALSE)</f>
        <v>47.42</v>
      </c>
      <c r="Z166">
        <f>VLOOKUP(A166,[2]cwurData!$B:$N, 13, FALSE)</f>
        <v>2014</v>
      </c>
    </row>
    <row r="167" spans="1:26" x14ac:dyDescent="0.3">
      <c r="A167" t="s">
        <v>152</v>
      </c>
      <c r="B167" t="str">
        <f>IFERROR(VLOOKUP(A167,[1]timesData!$B:$P,2,FALSE),VLOOKUP(A167,[2]cwurData!$B:$P,2,FALSE))</f>
        <v>United Kingdom</v>
      </c>
      <c r="C167">
        <f>VLOOKUP(A167,[1]timesData!$B:$P,3,FALSE)</f>
        <v>152</v>
      </c>
      <c r="D167">
        <f>VLOOKUP(A168,[1]timesData!$B:$P,3,FALSE)</f>
        <v>155</v>
      </c>
      <c r="E167">
        <f>VLOOKUP(A168,[1]timesData!$B:$P,4,FALSE)</f>
        <v>44.1</v>
      </c>
      <c r="F167">
        <f>VLOOKUP(A168,[1]timesData!$B:$P,5,FALSE)</f>
        <v>33</v>
      </c>
      <c r="G167">
        <f>VLOOKUP(A168,[1]timesData!$B:$P,6,FALSE)</f>
        <v>84.7</v>
      </c>
      <c r="H167">
        <f>VLOOKUP(A168,[1]timesData!$B:$P,7,FALSE)</f>
        <v>40</v>
      </c>
      <c r="I167">
        <f>VLOOKUP(A168,[1]timesData!$B:$P,8,FALSE)</f>
        <v>51.1</v>
      </c>
      <c r="J167">
        <f>VLOOKUP(A168,[1]timesData!$B:$P,9,FALSE)</f>
        <v>10901</v>
      </c>
      <c r="K167">
        <f>VLOOKUP(A168,[1]timesData!$B:$P,10,FALSE)</f>
        <v>18.3</v>
      </c>
      <c r="L167">
        <f>VLOOKUP(A168,[1]timesData!$B:$P,11,FALSE)</f>
        <v>0.13</v>
      </c>
      <c r="M167">
        <f>VLOOKUP(A168,[1]timesData!$B:$P,12,FALSE)</f>
        <v>2.4868055555555557</v>
      </c>
      <c r="N167">
        <f>VLOOKUP(A168,[1]timesData!$B:$P,13,FALSE)</f>
        <v>2011</v>
      </c>
      <c r="O167">
        <f>VLOOKUP(A167,[2]cwurData!$B:$P,14,FALSE)</f>
        <v>624</v>
      </c>
      <c r="P167">
        <f>VLOOKUP(A167,[2]cwurData!$B:$N, 3, FALSE)</f>
        <v>46</v>
      </c>
      <c r="Q167">
        <f>VLOOKUP(A167,[2]cwurData!$B:$N, 4, FALSE)</f>
        <v>281</v>
      </c>
      <c r="R167">
        <f>VLOOKUP(A167,[2]cwurData!$B:$N, 5, FALSE)</f>
        <v>478</v>
      </c>
      <c r="S167">
        <f>VLOOKUP(A167,[2]cwurData!$B:$N, 6, FALSE)</f>
        <v>180</v>
      </c>
      <c r="T167">
        <f>VLOOKUP(A167,[2]cwurData!$B:$N, 7, FALSE)</f>
        <v>718</v>
      </c>
      <c r="U167">
        <f>VLOOKUP(A167,[2]cwurData!$B:$N, 8, FALSE)</f>
        <v>343</v>
      </c>
      <c r="V167">
        <f>VLOOKUP(A167,[2]cwurData!$B:$N, 9, FALSE)</f>
        <v>493</v>
      </c>
      <c r="W167">
        <f>VLOOKUP(A167,[2]cwurData!$B:$N, 10, FALSE)</f>
        <v>569</v>
      </c>
      <c r="X167">
        <f>VLOOKUP(A167,[2]cwurData!$B:$N, 11, FALSE)</f>
        <v>737</v>
      </c>
      <c r="Y167">
        <f>VLOOKUP(A167,[2]cwurData!$B:$N, 12, FALSE)</f>
        <v>44.76</v>
      </c>
      <c r="Z167">
        <f>VLOOKUP(A167,[2]cwurData!$B:$N, 13, FALSE)</f>
        <v>2014</v>
      </c>
    </row>
    <row r="168" spans="1:26" x14ac:dyDescent="0.3">
      <c r="A168" t="s">
        <v>155</v>
      </c>
      <c r="B168" t="str">
        <f>IFERROR(VLOOKUP(A168,[1]timesData!$B:$P,2,FALSE),VLOOKUP(A168,[2]cwurData!$B:$P,2,FALSE))</f>
        <v>Spain</v>
      </c>
      <c r="C168">
        <f>VLOOKUP(A168,[1]timesData!$B:$P,3,FALSE)</f>
        <v>155</v>
      </c>
      <c r="D168">
        <f>VLOOKUP(A169,[1]timesData!$B:$P,3,FALSE)</f>
        <v>156</v>
      </c>
      <c r="E168">
        <f>VLOOKUP(A169,[1]timesData!$B:$P,4,FALSE)</f>
        <v>23.2</v>
      </c>
      <c r="F168">
        <f>VLOOKUP(A169,[1]timesData!$B:$P,5,FALSE)</f>
        <v>49.6</v>
      </c>
      <c r="G168">
        <f>VLOOKUP(A169,[1]timesData!$B:$P,6,FALSE)</f>
        <v>58.2</v>
      </c>
      <c r="H168">
        <f>VLOOKUP(A169,[1]timesData!$B:$P,7,FALSE)</f>
        <v>49.6</v>
      </c>
      <c r="I168">
        <f>VLOOKUP(A169,[1]timesData!$B:$P,8,FALSE)</f>
        <v>51</v>
      </c>
      <c r="J168">
        <f>VLOOKUP(A169,[1]timesData!$B:$P,9,FALSE)</f>
        <v>29991</v>
      </c>
      <c r="K168">
        <f>VLOOKUP(A169,[1]timesData!$B:$P,10,FALSE)</f>
        <v>17.399999999999999</v>
      </c>
      <c r="L168">
        <f>VLOOKUP(A169,[1]timesData!$B:$P,11,FALSE)</f>
        <v>0.11</v>
      </c>
      <c r="M168">
        <f>VLOOKUP(A169,[1]timesData!$B:$P,12,FALSE)</f>
        <v>1.8722222222222222</v>
      </c>
      <c r="N168">
        <f>VLOOKUP(A169,[1]timesData!$B:$P,13,FALSE)</f>
        <v>2011</v>
      </c>
      <c r="O168">
        <f>VLOOKUP(A168,[2]cwurData!$B:$P,14,FALSE)</f>
        <v>426</v>
      </c>
      <c r="P168">
        <f>VLOOKUP(A168,[2]cwurData!$B:$N, 3, FALSE)</f>
        <v>11</v>
      </c>
      <c r="Q168">
        <f>VLOOKUP(A168,[2]cwurData!$B:$N, 4, FALSE)</f>
        <v>355</v>
      </c>
      <c r="R168">
        <f>VLOOKUP(A168,[2]cwurData!$B:$N, 5, FALSE)</f>
        <v>478</v>
      </c>
      <c r="S168">
        <f>VLOOKUP(A168,[2]cwurData!$B:$N, 6, FALSE)</f>
        <v>210</v>
      </c>
      <c r="T168">
        <f>VLOOKUP(A168,[2]cwurData!$B:$N, 7, FALSE)</f>
        <v>409</v>
      </c>
      <c r="U168">
        <f>VLOOKUP(A168,[2]cwurData!$B:$N, 8, FALSE)</f>
        <v>184</v>
      </c>
      <c r="V168">
        <f>VLOOKUP(A168,[2]cwurData!$B:$N, 9, FALSE)</f>
        <v>609</v>
      </c>
      <c r="W168">
        <f>VLOOKUP(A168,[2]cwurData!$B:$N, 10, FALSE)</f>
        <v>343</v>
      </c>
      <c r="X168">
        <f>VLOOKUP(A168,[2]cwurData!$B:$N, 11, FALSE)</f>
        <v>481</v>
      </c>
      <c r="Y168">
        <f>VLOOKUP(A168,[2]cwurData!$B:$N, 12, FALSE)</f>
        <v>45.43</v>
      </c>
      <c r="Z168">
        <f>VLOOKUP(A168,[2]cwurData!$B:$N, 13, FALSE)</f>
        <v>2014</v>
      </c>
    </row>
    <row r="169" spans="1:26" x14ac:dyDescent="0.3">
      <c r="A169" t="s">
        <v>157</v>
      </c>
      <c r="B169" t="str">
        <f>IFERROR(VLOOKUP(A169,[1]timesData!$B:$P,2,FALSE),VLOOKUP(A169,[2]cwurData!$B:$P,2,FALSE))</f>
        <v>United States of America</v>
      </c>
      <c r="C169">
        <f>VLOOKUP(A169,[1]timesData!$B:$P,3,FALSE)</f>
        <v>156</v>
      </c>
      <c r="D169">
        <f>VLOOKUP(A170,[1]timesData!$B:$P,3,FALSE)</f>
        <v>156</v>
      </c>
      <c r="E169">
        <f>VLOOKUP(A170,[1]timesData!$B:$P,4,FALSE)</f>
        <v>37.700000000000003</v>
      </c>
      <c r="F169">
        <f>VLOOKUP(A170,[1]timesData!$B:$P,5,FALSE)</f>
        <v>42.5</v>
      </c>
      <c r="G169">
        <f>VLOOKUP(A170,[1]timesData!$B:$P,6,FALSE)</f>
        <v>63.2</v>
      </c>
      <c r="H169" t="str">
        <f>VLOOKUP(A170,[1]timesData!$B:$P,7,FALSE)</f>
        <v>-</v>
      </c>
      <c r="I169">
        <f>VLOOKUP(A170,[1]timesData!$B:$P,8,FALSE)</f>
        <v>51</v>
      </c>
      <c r="J169">
        <f>VLOOKUP(A170,[1]timesData!$B:$P,9,FALSE)</f>
        <v>62468</v>
      </c>
      <c r="K169">
        <f>VLOOKUP(A170,[1]timesData!$B:$P,10,FALSE)</f>
        <v>13.6</v>
      </c>
      <c r="L169">
        <f>VLOOKUP(A170,[1]timesData!$B:$P,11,FALSE)</f>
        <v>0.13</v>
      </c>
      <c r="M169">
        <f>VLOOKUP(A170,[1]timesData!$B:$P,12,FALSE)</f>
        <v>2.2409722222222221</v>
      </c>
      <c r="N169">
        <f>VLOOKUP(A170,[1]timesData!$B:$P,13,FALSE)</f>
        <v>2011</v>
      </c>
      <c r="O169">
        <f>VLOOKUP(A169,[2]cwurData!$B:$P,14,FALSE)</f>
        <v>182</v>
      </c>
      <c r="P169">
        <f>VLOOKUP(A169,[2]cwurData!$B:$N, 3, FALSE)</f>
        <v>80</v>
      </c>
      <c r="Q169">
        <f>VLOOKUP(A169,[2]cwurData!$B:$N, 4, FALSE)</f>
        <v>273</v>
      </c>
      <c r="R169">
        <f>VLOOKUP(A169,[2]cwurData!$B:$N, 5, FALSE)</f>
        <v>190</v>
      </c>
      <c r="S169">
        <f>VLOOKUP(A169,[2]cwurData!$B:$N, 6, FALSE)</f>
        <v>109</v>
      </c>
      <c r="T169">
        <f>VLOOKUP(A169,[2]cwurData!$B:$N, 7, FALSE)</f>
        <v>142</v>
      </c>
      <c r="U169">
        <f>VLOOKUP(A169,[2]cwurData!$B:$N, 8, FALSE)</f>
        <v>173</v>
      </c>
      <c r="V169">
        <f>VLOOKUP(A169,[2]cwurData!$B:$N, 9, FALSE)</f>
        <v>75</v>
      </c>
      <c r="W169">
        <f>VLOOKUP(A169,[2]cwurData!$B:$N, 10, FALSE)</f>
        <v>176</v>
      </c>
      <c r="X169">
        <f>VLOOKUP(A169,[2]cwurData!$B:$N, 11, FALSE)</f>
        <v>338</v>
      </c>
      <c r="Y169">
        <f>VLOOKUP(A169,[2]cwurData!$B:$N, 12, FALSE)</f>
        <v>48.47</v>
      </c>
      <c r="Z169">
        <f>VLOOKUP(A169,[2]cwurData!$B:$N, 13, FALSE)</f>
        <v>2014</v>
      </c>
    </row>
    <row r="170" spans="1:26" x14ac:dyDescent="0.3">
      <c r="A170" t="s">
        <v>156</v>
      </c>
      <c r="B170" t="str">
        <f>IFERROR(VLOOKUP(A170,[1]timesData!$B:$P,2,FALSE),VLOOKUP(A170,[2]cwurData!$B:$P,2,FALSE))</f>
        <v>United States of America</v>
      </c>
      <c r="C170">
        <f>VLOOKUP(A170,[1]timesData!$B:$P,3,FALSE)</f>
        <v>156</v>
      </c>
      <c r="D170">
        <f>VLOOKUP(A171,[1]timesData!$B:$P,3,FALSE)</f>
        <v>157</v>
      </c>
      <c r="E170">
        <f>VLOOKUP(A171,[1]timesData!$B:$P,4,FALSE)</f>
        <v>85.5</v>
      </c>
      <c r="F170">
        <f>VLOOKUP(A171,[1]timesData!$B:$P,5,FALSE)</f>
        <v>44.5</v>
      </c>
      <c r="G170">
        <f>VLOOKUP(A171,[1]timesData!$B:$P,6,FALSE)</f>
        <v>45</v>
      </c>
      <c r="H170">
        <f>VLOOKUP(A171,[1]timesData!$B:$P,7,FALSE)</f>
        <v>31.3</v>
      </c>
      <c r="I170">
        <f>VLOOKUP(A171,[1]timesData!$B:$P,8,FALSE)</f>
        <v>46</v>
      </c>
      <c r="J170">
        <f>VLOOKUP(A171,[1]timesData!$B:$P,9,FALSE)</f>
        <v>18529</v>
      </c>
      <c r="K170">
        <f>VLOOKUP(A171,[1]timesData!$B:$P,10,FALSE)</f>
        <v>16.600000000000001</v>
      </c>
      <c r="L170">
        <f>VLOOKUP(A171,[1]timesData!$B:$P,11,FALSE)</f>
        <v>0.37</v>
      </c>
      <c r="M170">
        <f>VLOOKUP(A171,[1]timesData!$B:$P,12,FALSE)</f>
        <v>2.036111111111111</v>
      </c>
      <c r="N170">
        <f>VLOOKUP(A171,[1]timesData!$B:$P,13,FALSE)</f>
        <v>2012</v>
      </c>
      <c r="O170" t="e">
        <f>VLOOKUP(A170,[2]cwurData!$B:$P,14,FALSE)</f>
        <v>#N/A</v>
      </c>
      <c r="P170" t="e">
        <f>VLOOKUP(A170,[2]cwurData!$B:$N, 3, FALSE)</f>
        <v>#N/A</v>
      </c>
      <c r="Q170" t="e">
        <f>VLOOKUP(A170,[2]cwurData!$B:$N, 4, FALSE)</f>
        <v>#N/A</v>
      </c>
      <c r="R170" t="e">
        <f>VLOOKUP(A170,[2]cwurData!$B:$N, 5, FALSE)</f>
        <v>#N/A</v>
      </c>
      <c r="S170" t="e">
        <f>VLOOKUP(A170,[2]cwurData!$B:$N, 6, FALSE)</f>
        <v>#N/A</v>
      </c>
      <c r="T170" t="e">
        <f>VLOOKUP(A170,[2]cwurData!$B:$N, 7, FALSE)</f>
        <v>#N/A</v>
      </c>
      <c r="U170" t="e">
        <f>VLOOKUP(A170,[2]cwurData!$B:$N, 8, FALSE)</f>
        <v>#N/A</v>
      </c>
      <c r="V170" t="e">
        <f>VLOOKUP(A170,[2]cwurData!$B:$N, 9, FALSE)</f>
        <v>#N/A</v>
      </c>
      <c r="W170" t="e">
        <f>VLOOKUP(A170,[2]cwurData!$B:$N, 10, FALSE)</f>
        <v>#N/A</v>
      </c>
      <c r="X170" t="e">
        <f>VLOOKUP(A170,[2]cwurData!$B:$N, 11, FALSE)</f>
        <v>#N/A</v>
      </c>
      <c r="Y170" t="e">
        <f>VLOOKUP(A170,[2]cwurData!$B:$N, 12, FALSE)</f>
        <v>#N/A</v>
      </c>
      <c r="Z170" t="e">
        <f>VLOOKUP(A170,[2]cwurData!$B:$N, 13, FALSE)</f>
        <v>#N/A</v>
      </c>
    </row>
    <row r="171" spans="1:26" x14ac:dyDescent="0.3">
      <c r="A171" t="s">
        <v>210</v>
      </c>
      <c r="B171" t="str">
        <f>IFERROR(VLOOKUP(A171,[1]timesData!$B:$P,2,FALSE),VLOOKUP(A171,[2]cwurData!$B:$P,2,FALSE))</f>
        <v>United Kingdom</v>
      </c>
      <c r="C171">
        <f>VLOOKUP(A171,[1]timesData!$B:$P,3,FALSE)</f>
        <v>157</v>
      </c>
      <c r="D171">
        <f>VLOOKUP(A172,[1]timesData!$B:$P,3,FALSE)</f>
        <v>158</v>
      </c>
      <c r="E171">
        <f>VLOOKUP(A172,[1]timesData!$B:$P,4,FALSE)</f>
        <v>16.3</v>
      </c>
      <c r="F171">
        <f>VLOOKUP(A172,[1]timesData!$B:$P,5,FALSE)</f>
        <v>41.7</v>
      </c>
      <c r="G171">
        <f>VLOOKUP(A172,[1]timesData!$B:$P,6,FALSE)</f>
        <v>48.9</v>
      </c>
      <c r="H171">
        <f>VLOOKUP(A172,[1]timesData!$B:$P,7,FALSE)</f>
        <v>50.1</v>
      </c>
      <c r="I171">
        <f>VLOOKUP(A172,[1]timesData!$B:$P,8,FALSE)</f>
        <v>50.7</v>
      </c>
      <c r="J171">
        <f>VLOOKUP(A172,[1]timesData!$B:$P,9,FALSE)</f>
        <v>0</v>
      </c>
      <c r="K171">
        <f>VLOOKUP(A172,[1]timesData!$B:$P,10,FALSE)</f>
        <v>0</v>
      </c>
      <c r="L171">
        <f>VLOOKUP(A172,[1]timesData!$B:$P,11,FALSE)</f>
        <v>0</v>
      </c>
      <c r="M171">
        <f>VLOOKUP(A172,[1]timesData!$B:$P,12,FALSE)</f>
        <v>0</v>
      </c>
      <c r="N171">
        <f>VLOOKUP(A172,[1]timesData!$B:$P,13,FALSE)</f>
        <v>2011</v>
      </c>
      <c r="O171">
        <f>VLOOKUP(A171,[2]cwurData!$B:$P,14,FALSE)</f>
        <v>324</v>
      </c>
      <c r="P171">
        <f>VLOOKUP(A171,[2]cwurData!$B:$N, 3, FALSE)</f>
        <v>29</v>
      </c>
      <c r="Q171">
        <f>VLOOKUP(A171,[2]cwurData!$B:$N, 4, FALSE)</f>
        <v>198</v>
      </c>
      <c r="R171">
        <f>VLOOKUP(A171,[2]cwurData!$B:$N, 5, FALSE)</f>
        <v>394</v>
      </c>
      <c r="S171">
        <f>VLOOKUP(A171,[2]cwurData!$B:$N, 6, FALSE)</f>
        <v>210</v>
      </c>
      <c r="T171">
        <f>VLOOKUP(A171,[2]cwurData!$B:$N, 7, FALSE)</f>
        <v>224</v>
      </c>
      <c r="U171">
        <f>VLOOKUP(A171,[2]cwurData!$B:$N, 8, FALSE)</f>
        <v>253</v>
      </c>
      <c r="V171">
        <f>VLOOKUP(A171,[2]cwurData!$B:$N, 9, FALSE)</f>
        <v>200</v>
      </c>
      <c r="W171">
        <f>VLOOKUP(A171,[2]cwurData!$B:$N, 10, FALSE)</f>
        <v>326</v>
      </c>
      <c r="X171">
        <f>VLOOKUP(A171,[2]cwurData!$B:$N, 11, FALSE)</f>
        <v>259</v>
      </c>
      <c r="Y171">
        <f>VLOOKUP(A171,[2]cwurData!$B:$N, 12, FALSE)</f>
        <v>46.13</v>
      </c>
      <c r="Z171">
        <f>VLOOKUP(A171,[2]cwurData!$B:$N, 13, FALSE)</f>
        <v>2014</v>
      </c>
    </row>
    <row r="172" spans="1:26" x14ac:dyDescent="0.3">
      <c r="A172" t="s">
        <v>158</v>
      </c>
      <c r="B172" t="str">
        <f>IFERROR(VLOOKUP(A172,[1]timesData!$B:$P,2,FALSE),VLOOKUP(A172,[2]cwurData!$B:$P,2,FALSE))</f>
        <v>United States of America</v>
      </c>
      <c r="C172">
        <f>VLOOKUP(A172,[1]timesData!$B:$P,3,FALSE)</f>
        <v>158</v>
      </c>
      <c r="D172">
        <f>VLOOKUP(A173,[1]timesData!$B:$P,3,FALSE)</f>
        <v>159</v>
      </c>
      <c r="E172">
        <f>VLOOKUP(A173,[1]timesData!$B:$P,4,FALSE)</f>
        <v>58.6</v>
      </c>
      <c r="F172">
        <f>VLOOKUP(A173,[1]timesData!$B:$P,5,FALSE)</f>
        <v>43.6</v>
      </c>
      <c r="G172">
        <f>VLOOKUP(A173,[1]timesData!$B:$P,6,FALSE)</f>
        <v>65.5</v>
      </c>
      <c r="H172" t="str">
        <f>VLOOKUP(A173,[1]timesData!$B:$P,7,FALSE)</f>
        <v>-</v>
      </c>
      <c r="I172">
        <f>VLOOKUP(A173,[1]timesData!$B:$P,8,FALSE)</f>
        <v>50.4</v>
      </c>
      <c r="J172">
        <f>VLOOKUP(A173,[1]timesData!$B:$P,9,FALSE)</f>
        <v>20580</v>
      </c>
      <c r="K172">
        <f>VLOOKUP(A173,[1]timesData!$B:$P,10,FALSE)</f>
        <v>18.899999999999999</v>
      </c>
      <c r="L172">
        <f>VLOOKUP(A173,[1]timesData!$B:$P,11,FALSE)</f>
        <v>0.18</v>
      </c>
      <c r="M172">
        <f>VLOOKUP(A173,[1]timesData!$B:$P,12,FALSE)</f>
        <v>2.036111111111111</v>
      </c>
      <c r="N172">
        <f>VLOOKUP(A173,[1]timesData!$B:$P,13,FALSE)</f>
        <v>2011</v>
      </c>
      <c r="O172" t="e">
        <f>VLOOKUP(A172,[2]cwurData!$B:$P,14,FALSE)</f>
        <v>#N/A</v>
      </c>
      <c r="P172" t="e">
        <f>VLOOKUP(A172,[2]cwurData!$B:$N, 3, FALSE)</f>
        <v>#N/A</v>
      </c>
      <c r="Q172" t="e">
        <f>VLOOKUP(A172,[2]cwurData!$B:$N, 4, FALSE)</f>
        <v>#N/A</v>
      </c>
      <c r="R172" t="e">
        <f>VLOOKUP(A172,[2]cwurData!$B:$N, 5, FALSE)</f>
        <v>#N/A</v>
      </c>
      <c r="S172" t="e">
        <f>VLOOKUP(A172,[2]cwurData!$B:$N, 6, FALSE)</f>
        <v>#N/A</v>
      </c>
      <c r="T172" t="e">
        <f>VLOOKUP(A172,[2]cwurData!$B:$N, 7, FALSE)</f>
        <v>#N/A</v>
      </c>
      <c r="U172" t="e">
        <f>VLOOKUP(A172,[2]cwurData!$B:$N, 8, FALSE)</f>
        <v>#N/A</v>
      </c>
      <c r="V172" t="e">
        <f>VLOOKUP(A172,[2]cwurData!$B:$N, 9, FALSE)</f>
        <v>#N/A</v>
      </c>
      <c r="W172" t="e">
        <f>VLOOKUP(A172,[2]cwurData!$B:$N, 10, FALSE)</f>
        <v>#N/A</v>
      </c>
      <c r="X172" t="e">
        <f>VLOOKUP(A172,[2]cwurData!$B:$N, 11, FALSE)</f>
        <v>#N/A</v>
      </c>
      <c r="Y172" t="e">
        <f>VLOOKUP(A172,[2]cwurData!$B:$N, 12, FALSE)</f>
        <v>#N/A</v>
      </c>
      <c r="Z172" t="e">
        <f>VLOOKUP(A172,[2]cwurData!$B:$N, 13, FALSE)</f>
        <v>#N/A</v>
      </c>
    </row>
    <row r="173" spans="1:26" x14ac:dyDescent="0.3">
      <c r="A173" t="s">
        <v>159</v>
      </c>
      <c r="B173" t="str">
        <f>IFERROR(VLOOKUP(A173,[1]timesData!$B:$P,2,FALSE),VLOOKUP(A173,[2]cwurData!$B:$P,2,FALSE))</f>
        <v>Netherlands</v>
      </c>
      <c r="C173">
        <f>VLOOKUP(A173,[1]timesData!$B:$P,3,FALSE)</f>
        <v>159</v>
      </c>
      <c r="D173">
        <f>VLOOKUP(A174,[1]timesData!$B:$P,3,FALSE)</f>
        <v>159</v>
      </c>
      <c r="E173">
        <f>VLOOKUP(A174,[1]timesData!$B:$P,4,FALSE)</f>
        <v>52.3</v>
      </c>
      <c r="F173">
        <f>VLOOKUP(A174,[1]timesData!$B:$P,5,FALSE)</f>
        <v>43.8</v>
      </c>
      <c r="G173">
        <f>VLOOKUP(A174,[1]timesData!$B:$P,6,FALSE)</f>
        <v>65.5</v>
      </c>
      <c r="H173">
        <f>VLOOKUP(A174,[1]timesData!$B:$P,7,FALSE)</f>
        <v>33.1</v>
      </c>
      <c r="I173">
        <f>VLOOKUP(A174,[1]timesData!$B:$P,8,FALSE)</f>
        <v>45.9</v>
      </c>
      <c r="J173">
        <f>VLOOKUP(A174,[1]timesData!$B:$P,9,FALSE)</f>
        <v>17713</v>
      </c>
      <c r="K173">
        <f>VLOOKUP(A174,[1]timesData!$B:$P,10,FALSE)</f>
        <v>13</v>
      </c>
      <c r="L173">
        <f>VLOOKUP(A174,[1]timesData!$B:$P,11,FALSE)</f>
        <v>0.1</v>
      </c>
      <c r="M173">
        <f>VLOOKUP(A174,[1]timesData!$B:$P,12,FALSE)</f>
        <v>2.4458333333333333</v>
      </c>
      <c r="N173">
        <f>VLOOKUP(A174,[1]timesData!$B:$P,13,FALSE)</f>
        <v>2012</v>
      </c>
      <c r="O173">
        <f>VLOOKUP(A173,[2]cwurData!$B:$P,14,FALSE)</f>
        <v>101</v>
      </c>
      <c r="P173">
        <f>VLOOKUP(A173,[2]cwurData!$B:$N, 3, FALSE)</f>
        <v>2</v>
      </c>
      <c r="Q173">
        <f>VLOOKUP(A173,[2]cwurData!$B:$N, 4, FALSE)</f>
        <v>355</v>
      </c>
      <c r="R173">
        <f>VLOOKUP(A173,[2]cwurData!$B:$N, 5, FALSE)</f>
        <v>66</v>
      </c>
      <c r="S173">
        <f>VLOOKUP(A173,[2]cwurData!$B:$N, 6, FALSE)</f>
        <v>184</v>
      </c>
      <c r="T173">
        <f>VLOOKUP(A173,[2]cwurData!$B:$N, 7, FALSE)</f>
        <v>88</v>
      </c>
      <c r="U173">
        <f>VLOOKUP(A173,[2]cwurData!$B:$N, 8, FALSE)</f>
        <v>142</v>
      </c>
      <c r="V173">
        <f>VLOOKUP(A173,[2]cwurData!$B:$N, 9, FALSE)</f>
        <v>75</v>
      </c>
      <c r="W173">
        <f>VLOOKUP(A173,[2]cwurData!$B:$N, 10, FALSE)</f>
        <v>45</v>
      </c>
      <c r="X173">
        <f>VLOOKUP(A173,[2]cwurData!$B:$N, 11, FALSE)</f>
        <v>227</v>
      </c>
      <c r="Y173">
        <f>VLOOKUP(A173,[2]cwurData!$B:$N, 12, FALSE)</f>
        <v>51.29</v>
      </c>
      <c r="Z173">
        <f>VLOOKUP(A173,[2]cwurData!$B:$N, 13, FALSE)</f>
        <v>2014</v>
      </c>
    </row>
    <row r="174" spans="1:26" x14ac:dyDescent="0.3">
      <c r="A174" t="s">
        <v>211</v>
      </c>
      <c r="B174" t="str">
        <f>IFERROR(VLOOKUP(A174,[1]timesData!$B:$P,2,FALSE),VLOOKUP(A174,[2]cwurData!$B:$P,2,FALSE))</f>
        <v>Netherlands</v>
      </c>
      <c r="C174">
        <f>VLOOKUP(A174,[1]timesData!$B:$P,3,FALSE)</f>
        <v>159</v>
      </c>
      <c r="D174">
        <f>VLOOKUP(A175,[1]timesData!$B:$P,3,FALSE)</f>
        <v>159</v>
      </c>
      <c r="E174">
        <f>VLOOKUP(A175,[1]timesData!$B:$P,4,FALSE)</f>
        <v>16.8</v>
      </c>
      <c r="F174">
        <f>VLOOKUP(A175,[1]timesData!$B:$P,5,FALSE)</f>
        <v>51.9</v>
      </c>
      <c r="G174">
        <f>VLOOKUP(A175,[1]timesData!$B:$P,6,FALSE)</f>
        <v>61.3</v>
      </c>
      <c r="H174">
        <f>VLOOKUP(A175,[1]timesData!$B:$P,7,FALSE)</f>
        <v>100</v>
      </c>
      <c r="I174">
        <f>VLOOKUP(A175,[1]timesData!$B:$P,8,FALSE)</f>
        <v>50.4</v>
      </c>
      <c r="J174">
        <f>VLOOKUP(A175,[1]timesData!$B:$P,9,FALSE)</f>
        <v>19262</v>
      </c>
      <c r="K174">
        <f>VLOOKUP(A175,[1]timesData!$B:$P,10,FALSE)</f>
        <v>15.9</v>
      </c>
      <c r="L174">
        <f>VLOOKUP(A175,[1]timesData!$B:$P,11,FALSE)</f>
        <v>0.1</v>
      </c>
      <c r="M174">
        <f>VLOOKUP(A175,[1]timesData!$B:$P,12,FALSE)</f>
        <v>2.3638888888888889</v>
      </c>
      <c r="N174">
        <f>VLOOKUP(A175,[1]timesData!$B:$P,13,FALSE)</f>
        <v>2011</v>
      </c>
      <c r="O174">
        <f>VLOOKUP(A174,[2]cwurData!$B:$P,14,FALSE)</f>
        <v>129</v>
      </c>
      <c r="P174">
        <f>VLOOKUP(A174,[2]cwurData!$B:$N, 3, FALSE)</f>
        <v>6</v>
      </c>
      <c r="Q174">
        <f>VLOOKUP(A174,[2]cwurData!$B:$N, 4, FALSE)</f>
        <v>118</v>
      </c>
      <c r="R174">
        <f>VLOOKUP(A174,[2]cwurData!$B:$N, 5, FALSE)</f>
        <v>155</v>
      </c>
      <c r="S174">
        <f>VLOOKUP(A174,[2]cwurData!$B:$N, 6, FALSE)</f>
        <v>210</v>
      </c>
      <c r="T174">
        <f>VLOOKUP(A174,[2]cwurData!$B:$N, 7, FALSE)</f>
        <v>91</v>
      </c>
      <c r="U174">
        <f>VLOOKUP(A174,[2]cwurData!$B:$N, 8, FALSE)</f>
        <v>120</v>
      </c>
      <c r="V174">
        <f>VLOOKUP(A174,[2]cwurData!$B:$N, 9, FALSE)</f>
        <v>114</v>
      </c>
      <c r="W174">
        <f>VLOOKUP(A174,[2]cwurData!$B:$N, 10, FALSE)</f>
        <v>81</v>
      </c>
      <c r="X174">
        <f>VLOOKUP(A174,[2]cwurData!$B:$N, 11, FALSE)</f>
        <v>552</v>
      </c>
      <c r="Y174">
        <f>VLOOKUP(A174,[2]cwurData!$B:$N, 12, FALSE)</f>
        <v>49.85</v>
      </c>
      <c r="Z174">
        <f>VLOOKUP(A174,[2]cwurData!$B:$N, 13, FALSE)</f>
        <v>2014</v>
      </c>
    </row>
    <row r="175" spans="1:26" x14ac:dyDescent="0.3">
      <c r="A175" t="s">
        <v>160</v>
      </c>
      <c r="B175" t="str">
        <f>IFERROR(VLOOKUP(A175,[1]timesData!$B:$P,2,FALSE),VLOOKUP(A175,[2]cwurData!$B:$P,2,FALSE))</f>
        <v>United States of America</v>
      </c>
      <c r="C175">
        <f>VLOOKUP(A175,[1]timesData!$B:$P,3,FALSE)</f>
        <v>159</v>
      </c>
      <c r="D175">
        <f>VLOOKUP(A176,[1]timesData!$B:$P,3,FALSE)</f>
        <v>161</v>
      </c>
      <c r="E175">
        <f>VLOOKUP(A176,[1]timesData!$B:$P,4,FALSE)</f>
        <v>24.1</v>
      </c>
      <c r="F175">
        <f>VLOOKUP(A176,[1]timesData!$B:$P,5,FALSE)</f>
        <v>44.1</v>
      </c>
      <c r="G175">
        <f>VLOOKUP(A176,[1]timesData!$B:$P,6,FALSE)</f>
        <v>66.900000000000006</v>
      </c>
      <c r="H175" t="str">
        <f>VLOOKUP(A176,[1]timesData!$B:$P,7,FALSE)</f>
        <v>-</v>
      </c>
      <c r="I175">
        <f>VLOOKUP(A176,[1]timesData!$B:$P,8,FALSE)</f>
        <v>50.3</v>
      </c>
      <c r="J175">
        <f>VLOOKUP(A176,[1]timesData!$B:$P,9,FALSE)</f>
        <v>83236</v>
      </c>
      <c r="K175">
        <f>VLOOKUP(A176,[1]timesData!$B:$P,10,FALSE)</f>
        <v>29.9</v>
      </c>
      <c r="L175">
        <f>VLOOKUP(A176,[1]timesData!$B:$P,11,FALSE)</f>
        <v>0.09</v>
      </c>
      <c r="M175">
        <f>VLOOKUP(A176,[1]timesData!$B:$P,12,FALSE)</f>
        <v>2.1180555555555554</v>
      </c>
      <c r="N175">
        <f>VLOOKUP(A176,[1]timesData!$B:$P,13,FALSE)</f>
        <v>2011</v>
      </c>
      <c r="O175">
        <f>VLOOKUP(A175,[2]cwurData!$B:$P,14,FALSE)</f>
        <v>247</v>
      </c>
      <c r="P175">
        <f>VLOOKUP(A175,[2]cwurData!$B:$N, 3, FALSE)</f>
        <v>101</v>
      </c>
      <c r="Q175">
        <f>VLOOKUP(A175,[2]cwurData!$B:$N, 4, FALSE)</f>
        <v>297</v>
      </c>
      <c r="R175">
        <f>VLOOKUP(A175,[2]cwurData!$B:$N, 5, FALSE)</f>
        <v>386</v>
      </c>
      <c r="S175">
        <f>VLOOKUP(A175,[2]cwurData!$B:$N, 6, FALSE)</f>
        <v>126</v>
      </c>
      <c r="T175">
        <f>VLOOKUP(A175,[2]cwurData!$B:$N, 7, FALSE)</f>
        <v>265</v>
      </c>
      <c r="U175">
        <f>VLOOKUP(A175,[2]cwurData!$B:$N, 8, FALSE)</f>
        <v>305</v>
      </c>
      <c r="V175">
        <f>VLOOKUP(A175,[2]cwurData!$B:$N, 9, FALSE)</f>
        <v>250</v>
      </c>
      <c r="W175">
        <f>VLOOKUP(A175,[2]cwurData!$B:$N, 10, FALSE)</f>
        <v>277</v>
      </c>
      <c r="X175">
        <f>VLOOKUP(A175,[2]cwurData!$B:$N, 11, FALSE)</f>
        <v>76</v>
      </c>
      <c r="Y175">
        <f>VLOOKUP(A175,[2]cwurData!$B:$N, 12, FALSE)</f>
        <v>47.16</v>
      </c>
      <c r="Z175">
        <f>VLOOKUP(A175,[2]cwurData!$B:$N, 13, FALSE)</f>
        <v>2014</v>
      </c>
    </row>
    <row r="176" spans="1:26" x14ac:dyDescent="0.3">
      <c r="A176" t="s">
        <v>161</v>
      </c>
      <c r="B176" t="str">
        <f>IFERROR(VLOOKUP(A176,[1]timesData!$B:$P,2,FALSE),VLOOKUP(A176,[2]cwurData!$B:$P,2,FALSE))</f>
        <v>United States of America</v>
      </c>
      <c r="C176">
        <f>VLOOKUP(A176,[1]timesData!$B:$P,3,FALSE)</f>
        <v>161</v>
      </c>
      <c r="D176">
        <f>VLOOKUP(A177,[1]timesData!$B:$P,3,FALSE)</f>
        <v>161</v>
      </c>
      <c r="E176">
        <f>VLOOKUP(A177,[1]timesData!$B:$P,4,FALSE)</f>
        <v>31.6</v>
      </c>
      <c r="F176">
        <f>VLOOKUP(A177,[1]timesData!$B:$P,5,FALSE)</f>
        <v>33.6</v>
      </c>
      <c r="G176">
        <f>VLOOKUP(A177,[1]timesData!$B:$P,6,FALSE)</f>
        <v>78</v>
      </c>
      <c r="H176" t="str">
        <f>VLOOKUP(A177,[1]timesData!$B:$P,7,FALSE)</f>
        <v>-</v>
      </c>
      <c r="I176">
        <f>VLOOKUP(A177,[1]timesData!$B:$P,8,FALSE)</f>
        <v>50.3</v>
      </c>
      <c r="J176">
        <f>VLOOKUP(A177,[1]timesData!$B:$P,9,FALSE)</f>
        <v>13216</v>
      </c>
      <c r="K176">
        <f>VLOOKUP(A177,[1]timesData!$B:$P,10,FALSE)</f>
        <v>17.399999999999999</v>
      </c>
      <c r="L176">
        <f>VLOOKUP(A177,[1]timesData!$B:$P,11,FALSE)</f>
        <v>0.19</v>
      </c>
      <c r="M176">
        <f>VLOOKUP(A177,[1]timesData!$B:$P,12,FALSE)</f>
        <v>2.2819444444444446</v>
      </c>
      <c r="N176">
        <f>VLOOKUP(A177,[1]timesData!$B:$P,13,FALSE)</f>
        <v>2011</v>
      </c>
      <c r="O176">
        <f>VLOOKUP(A176,[2]cwurData!$B:$P,14,FALSE)</f>
        <v>80</v>
      </c>
      <c r="P176">
        <f>VLOOKUP(A176,[2]cwurData!$B:$N, 3, FALSE)</f>
        <v>52</v>
      </c>
      <c r="Q176">
        <f>VLOOKUP(A176,[2]cwurData!$B:$N, 4, FALSE)</f>
        <v>101</v>
      </c>
      <c r="R176">
        <f>VLOOKUP(A176,[2]cwurData!$B:$N, 5, FALSE)</f>
        <v>101</v>
      </c>
      <c r="S176">
        <f>VLOOKUP(A176,[2]cwurData!$B:$N, 6, FALSE)</f>
        <v>70</v>
      </c>
      <c r="T176">
        <f>VLOOKUP(A176,[2]cwurData!$B:$N, 7, FALSE)</f>
        <v>101</v>
      </c>
      <c r="U176">
        <f>VLOOKUP(A176,[2]cwurData!$B:$N, 8, FALSE)</f>
        <v>101</v>
      </c>
      <c r="V176">
        <f>VLOOKUP(A176,[2]cwurData!$B:$N, 9, FALSE)</f>
        <v>77</v>
      </c>
      <c r="W176">
        <f>VLOOKUP(A176,[2]cwurData!$B:$N, 10, FALSE)</f>
        <v>0</v>
      </c>
      <c r="X176">
        <f>VLOOKUP(A176,[2]cwurData!$B:$N, 11, FALSE)</f>
        <v>49</v>
      </c>
      <c r="Y176">
        <f>VLOOKUP(A176,[2]cwurData!$B:$N, 12, FALSE)</f>
        <v>45.7</v>
      </c>
      <c r="Z176">
        <f>VLOOKUP(A176,[2]cwurData!$B:$N, 13, FALSE)</f>
        <v>2012</v>
      </c>
    </row>
    <row r="177" spans="1:26" x14ac:dyDescent="0.3">
      <c r="A177" t="s">
        <v>162</v>
      </c>
      <c r="B177" t="str">
        <f>IFERROR(VLOOKUP(A177,[1]timesData!$B:$P,2,FALSE),VLOOKUP(A177,[2]cwurData!$B:$P,2,FALSE))</f>
        <v>United States of America</v>
      </c>
      <c r="C177">
        <f>VLOOKUP(A177,[1]timesData!$B:$P,3,FALSE)</f>
        <v>161</v>
      </c>
      <c r="D177">
        <f>VLOOKUP(A178,[1]timesData!$B:$P,3,FALSE)</f>
        <v>162</v>
      </c>
      <c r="E177">
        <f>VLOOKUP(A178,[1]timesData!$B:$P,4,FALSE)</f>
        <v>23.9</v>
      </c>
      <c r="F177">
        <f>VLOOKUP(A178,[1]timesData!$B:$P,5,FALSE)</f>
        <v>38.9</v>
      </c>
      <c r="G177">
        <f>VLOOKUP(A178,[1]timesData!$B:$P,6,FALSE)</f>
        <v>56.6</v>
      </c>
      <c r="H177">
        <f>VLOOKUP(A178,[1]timesData!$B:$P,7,FALSE)</f>
        <v>87.8</v>
      </c>
      <c r="I177">
        <f>VLOOKUP(A178,[1]timesData!$B:$P,8,FALSE)</f>
        <v>45.8</v>
      </c>
      <c r="J177">
        <f>VLOOKUP(A178,[1]timesData!$B:$P,9,FALSE)</f>
        <v>0</v>
      </c>
      <c r="K177">
        <f>VLOOKUP(A178,[1]timesData!$B:$P,10,FALSE)</f>
        <v>0</v>
      </c>
      <c r="L177">
        <f>VLOOKUP(A178,[1]timesData!$B:$P,11,FALSE)</f>
        <v>0</v>
      </c>
      <c r="M177">
        <f>VLOOKUP(A178,[1]timesData!$B:$P,12,FALSE)</f>
        <v>0</v>
      </c>
      <c r="N177">
        <f>VLOOKUP(A178,[1]timesData!$B:$P,13,FALSE)</f>
        <v>2012</v>
      </c>
      <c r="O177">
        <f>VLOOKUP(A177,[2]cwurData!$B:$P,14,FALSE)</f>
        <v>332</v>
      </c>
      <c r="P177">
        <f>VLOOKUP(A177,[2]cwurData!$B:$N, 3, FALSE)</f>
        <v>124</v>
      </c>
      <c r="Q177">
        <f>VLOOKUP(A177,[2]cwurData!$B:$N, 4, FALSE)</f>
        <v>355</v>
      </c>
      <c r="R177">
        <f>VLOOKUP(A177,[2]cwurData!$B:$N, 5, FALSE)</f>
        <v>95</v>
      </c>
      <c r="S177">
        <f>VLOOKUP(A177,[2]cwurData!$B:$N, 6, FALSE)</f>
        <v>210</v>
      </c>
      <c r="T177">
        <f>VLOOKUP(A177,[2]cwurData!$B:$N, 7, FALSE)</f>
        <v>548</v>
      </c>
      <c r="U177">
        <f>VLOOKUP(A177,[2]cwurData!$B:$N, 8, FALSE)</f>
        <v>380</v>
      </c>
      <c r="V177">
        <f>VLOOKUP(A177,[2]cwurData!$B:$N, 9, FALSE)</f>
        <v>200</v>
      </c>
      <c r="W177">
        <f>VLOOKUP(A177,[2]cwurData!$B:$N, 10, FALSE)</f>
        <v>386</v>
      </c>
      <c r="X177">
        <f>VLOOKUP(A177,[2]cwurData!$B:$N, 11, FALSE)</f>
        <v>338</v>
      </c>
      <c r="Y177">
        <f>VLOOKUP(A177,[2]cwurData!$B:$N, 12, FALSE)</f>
        <v>46.06</v>
      </c>
      <c r="Z177">
        <f>VLOOKUP(A177,[2]cwurData!$B:$N, 13, FALSE)</f>
        <v>2014</v>
      </c>
    </row>
    <row r="178" spans="1:26" x14ac:dyDescent="0.3">
      <c r="A178" t="s">
        <v>212</v>
      </c>
      <c r="B178" t="str">
        <f>IFERROR(VLOOKUP(A178,[1]timesData!$B:$P,2,FALSE),VLOOKUP(A178,[2]cwurData!$B:$P,2,FALSE))</f>
        <v>United States of America</v>
      </c>
      <c r="C178">
        <f>VLOOKUP(A178,[1]timesData!$B:$P,3,FALSE)</f>
        <v>162</v>
      </c>
      <c r="D178">
        <f>VLOOKUP(A179,[1]timesData!$B:$P,3,FALSE)</f>
        <v>163</v>
      </c>
      <c r="E178">
        <f>VLOOKUP(A179,[1]timesData!$B:$P,4,FALSE)</f>
        <v>21.3</v>
      </c>
      <c r="F178">
        <f>VLOOKUP(A179,[1]timesData!$B:$P,5,FALSE)</f>
        <v>50.6</v>
      </c>
      <c r="G178">
        <f>VLOOKUP(A179,[1]timesData!$B:$P,6,FALSE)</f>
        <v>58.9</v>
      </c>
      <c r="H178">
        <f>VLOOKUP(A179,[1]timesData!$B:$P,7,FALSE)</f>
        <v>37.5</v>
      </c>
      <c r="I178">
        <f>VLOOKUP(A179,[1]timesData!$B:$P,8,FALSE)</f>
        <v>50.2</v>
      </c>
      <c r="J178">
        <f>VLOOKUP(A179,[1]timesData!$B:$P,9,FALSE)</f>
        <v>9336</v>
      </c>
      <c r="K178">
        <f>VLOOKUP(A179,[1]timesData!$B:$P,10,FALSE)</f>
        <v>19.600000000000001</v>
      </c>
      <c r="L178">
        <f>VLOOKUP(A179,[1]timesData!$B:$P,11,FALSE)</f>
        <v>0.04</v>
      </c>
      <c r="M178" t="str">
        <f>VLOOKUP(A179,[1]timesData!$B:$P,12,FALSE)</f>
        <v>37 : 63</v>
      </c>
      <c r="N178">
        <f>VLOOKUP(A179,[1]timesData!$B:$P,13,FALSE)</f>
        <v>2011</v>
      </c>
      <c r="O178">
        <f>VLOOKUP(A178,[2]cwurData!$B:$P,14,FALSE)</f>
        <v>312</v>
      </c>
      <c r="P178">
        <f>VLOOKUP(A178,[2]cwurData!$B:$N, 3, FALSE)</f>
        <v>118</v>
      </c>
      <c r="Q178">
        <f>VLOOKUP(A178,[2]cwurData!$B:$N, 4, FALSE)</f>
        <v>355</v>
      </c>
      <c r="R178">
        <f>VLOOKUP(A178,[2]cwurData!$B:$N, 5, FALSE)</f>
        <v>478</v>
      </c>
      <c r="S178">
        <f>VLOOKUP(A178,[2]cwurData!$B:$N, 6, FALSE)</f>
        <v>210</v>
      </c>
      <c r="T178">
        <f>VLOOKUP(A178,[2]cwurData!$B:$N, 7, FALSE)</f>
        <v>322</v>
      </c>
      <c r="U178">
        <f>VLOOKUP(A178,[2]cwurData!$B:$N, 8, FALSE)</f>
        <v>357</v>
      </c>
      <c r="V178">
        <f>VLOOKUP(A178,[2]cwurData!$B:$N, 9, FALSE)</f>
        <v>310</v>
      </c>
      <c r="W178">
        <f>VLOOKUP(A178,[2]cwurData!$B:$N, 10, FALSE)</f>
        <v>224</v>
      </c>
      <c r="X178">
        <f>VLOOKUP(A178,[2]cwurData!$B:$N, 11, FALSE)</f>
        <v>552</v>
      </c>
      <c r="Y178">
        <f>VLOOKUP(A178,[2]cwurData!$B:$N, 12, FALSE)</f>
        <v>46.25</v>
      </c>
      <c r="Z178">
        <f>VLOOKUP(A178,[2]cwurData!$B:$N, 13, FALSE)</f>
        <v>2014</v>
      </c>
    </row>
    <row r="179" spans="1:26" x14ac:dyDescent="0.3">
      <c r="A179" t="s">
        <v>163</v>
      </c>
      <c r="B179" t="str">
        <f>IFERROR(VLOOKUP(A179,[1]timesData!$B:$P,2,FALSE),VLOOKUP(A179,[2]cwurData!$B:$P,2,FALSE))</f>
        <v>Taiwan</v>
      </c>
      <c r="C179">
        <f>VLOOKUP(A179,[1]timesData!$B:$P,3,FALSE)</f>
        <v>163</v>
      </c>
      <c r="D179">
        <f>VLOOKUP(A180,[1]timesData!$B:$P,3,FALSE)</f>
        <v>164</v>
      </c>
      <c r="E179">
        <f>VLOOKUP(A180,[1]timesData!$B:$P,4,FALSE)</f>
        <v>24.7</v>
      </c>
      <c r="F179">
        <f>VLOOKUP(A180,[1]timesData!$B:$P,5,FALSE)</f>
        <v>44.7</v>
      </c>
      <c r="G179">
        <f>VLOOKUP(A180,[1]timesData!$B:$P,6,FALSE)</f>
        <v>45</v>
      </c>
      <c r="H179" t="str">
        <f>VLOOKUP(A180,[1]timesData!$B:$P,7,FALSE)</f>
        <v>-</v>
      </c>
      <c r="I179">
        <f>VLOOKUP(A180,[1]timesData!$B:$P,8,FALSE)</f>
        <v>50.1</v>
      </c>
      <c r="J179">
        <f>VLOOKUP(A180,[1]timesData!$B:$P,9,FALSE)</f>
        <v>15408</v>
      </c>
      <c r="K179">
        <f>VLOOKUP(A180,[1]timesData!$B:$P,10,FALSE)</f>
        <v>8.5</v>
      </c>
      <c r="L179">
        <f>VLOOKUP(A180,[1]timesData!$B:$P,11,FALSE)</f>
        <v>0.14000000000000001</v>
      </c>
      <c r="M179">
        <f>VLOOKUP(A180,[1]timesData!$B:$P,12,FALSE)</f>
        <v>2.2409722222222221</v>
      </c>
      <c r="N179">
        <f>VLOOKUP(A180,[1]timesData!$B:$P,13,FALSE)</f>
        <v>2011</v>
      </c>
      <c r="O179">
        <f>VLOOKUP(A179,[2]cwurData!$B:$P,14,FALSE)</f>
        <v>791</v>
      </c>
      <c r="P179">
        <f>VLOOKUP(A179,[2]cwurData!$B:$N, 3, FALSE)</f>
        <v>11</v>
      </c>
      <c r="Q179">
        <f>VLOOKUP(A179,[2]cwurData!$B:$N, 4, FALSE)</f>
        <v>355</v>
      </c>
      <c r="R179">
        <f>VLOOKUP(A179,[2]cwurData!$B:$N, 5, FALSE)</f>
        <v>478</v>
      </c>
      <c r="S179">
        <f>VLOOKUP(A179,[2]cwurData!$B:$N, 6, FALSE)</f>
        <v>210</v>
      </c>
      <c r="T179">
        <f>VLOOKUP(A179,[2]cwurData!$B:$N, 7, FALSE)</f>
        <v>453</v>
      </c>
      <c r="U179">
        <f>VLOOKUP(A179,[2]cwurData!$B:$N, 8, FALSE)</f>
        <v>897</v>
      </c>
      <c r="V179">
        <f>VLOOKUP(A179,[2]cwurData!$B:$N, 9, FALSE)</f>
        <v>800</v>
      </c>
      <c r="W179">
        <f>VLOOKUP(A179,[2]cwurData!$B:$N, 10, FALSE)</f>
        <v>739</v>
      </c>
      <c r="X179">
        <f>VLOOKUP(A179,[2]cwurData!$B:$N, 11, FALSE)</f>
        <v>737</v>
      </c>
      <c r="Y179">
        <f>VLOOKUP(A179,[2]cwurData!$B:$N, 12, FALSE)</f>
        <v>44.54</v>
      </c>
      <c r="Z179">
        <f>VLOOKUP(A179,[2]cwurData!$B:$N, 13, FALSE)</f>
        <v>2014</v>
      </c>
    </row>
    <row r="180" spans="1:26" x14ac:dyDescent="0.3">
      <c r="A180" t="s">
        <v>164</v>
      </c>
      <c r="B180" t="str">
        <f>IFERROR(VLOOKUP(A180,[1]timesData!$B:$P,2,FALSE),VLOOKUP(A180,[2]cwurData!$B:$P,2,FALSE))</f>
        <v>United States of America</v>
      </c>
      <c r="C180">
        <f>VLOOKUP(A180,[1]timesData!$B:$P,3,FALSE)</f>
        <v>164</v>
      </c>
      <c r="D180">
        <f>VLOOKUP(A181,[1]timesData!$B:$P,3,FALSE)</f>
        <v>164</v>
      </c>
      <c r="E180">
        <f>VLOOKUP(A181,[1]timesData!$B:$P,4,FALSE)</f>
        <v>75.099999999999994</v>
      </c>
      <c r="F180">
        <f>VLOOKUP(A181,[1]timesData!$B:$P,5,FALSE)</f>
        <v>38.6</v>
      </c>
      <c r="G180">
        <f>VLOOKUP(A181,[1]timesData!$B:$P,6,FALSE)</f>
        <v>55.4</v>
      </c>
      <c r="H180">
        <f>VLOOKUP(A181,[1]timesData!$B:$P,7,FALSE)</f>
        <v>31.6</v>
      </c>
      <c r="I180">
        <f>VLOOKUP(A181,[1]timesData!$B:$P,8,FALSE)</f>
        <v>45.7</v>
      </c>
      <c r="J180">
        <f>VLOOKUP(A181,[1]timesData!$B:$P,9,FALSE)</f>
        <v>12050</v>
      </c>
      <c r="K180">
        <f>VLOOKUP(A181,[1]timesData!$B:$P,10,FALSE)</f>
        <v>14.8</v>
      </c>
      <c r="L180">
        <f>VLOOKUP(A181,[1]timesData!$B:$P,11,FALSE)</f>
        <v>0.28000000000000003</v>
      </c>
      <c r="M180">
        <f>VLOOKUP(A181,[1]timesData!$B:$P,12,FALSE)</f>
        <v>2.3229166666666665</v>
      </c>
      <c r="N180">
        <f>VLOOKUP(A181,[1]timesData!$B:$P,13,FALSE)</f>
        <v>2012</v>
      </c>
      <c r="O180">
        <f>VLOOKUP(A180,[2]cwurData!$B:$P,14,FALSE)</f>
        <v>118</v>
      </c>
      <c r="P180">
        <f>VLOOKUP(A180,[2]cwurData!$B:$N, 3, FALSE)</f>
        <v>61</v>
      </c>
      <c r="Q180">
        <f>VLOOKUP(A180,[2]cwurData!$B:$N, 4, FALSE)</f>
        <v>146</v>
      </c>
      <c r="R180">
        <f>VLOOKUP(A180,[2]cwurData!$B:$N, 5, FALSE)</f>
        <v>37</v>
      </c>
      <c r="S180">
        <f>VLOOKUP(A180,[2]cwurData!$B:$N, 6, FALSE)</f>
        <v>210</v>
      </c>
      <c r="T180">
        <f>VLOOKUP(A180,[2]cwurData!$B:$N, 7, FALSE)</f>
        <v>295</v>
      </c>
      <c r="U180">
        <f>VLOOKUP(A180,[2]cwurData!$B:$N, 8, FALSE)</f>
        <v>323</v>
      </c>
      <c r="V180">
        <f>VLOOKUP(A180,[2]cwurData!$B:$N, 9, FALSE)</f>
        <v>310</v>
      </c>
      <c r="W180">
        <f>VLOOKUP(A180,[2]cwurData!$B:$N, 10, FALSE)</f>
        <v>211</v>
      </c>
      <c r="X180">
        <f>VLOOKUP(A180,[2]cwurData!$B:$N, 11, FALSE)</f>
        <v>159</v>
      </c>
      <c r="Y180">
        <f>VLOOKUP(A180,[2]cwurData!$B:$N, 12, FALSE)</f>
        <v>50.28</v>
      </c>
      <c r="Z180">
        <f>VLOOKUP(A180,[2]cwurData!$B:$N, 13, FALSE)</f>
        <v>2014</v>
      </c>
    </row>
    <row r="181" spans="1:26" x14ac:dyDescent="0.3">
      <c r="A181" t="s">
        <v>214</v>
      </c>
      <c r="B181" t="str">
        <f>IFERROR(VLOOKUP(A181,[1]timesData!$B:$P,2,FALSE),VLOOKUP(A181,[2]cwurData!$B:$P,2,FALSE))</f>
        <v>United Kingdom</v>
      </c>
      <c r="C181">
        <f>VLOOKUP(A181,[1]timesData!$B:$P,3,FALSE)</f>
        <v>164</v>
      </c>
      <c r="D181">
        <f>VLOOKUP(A182,[1]timesData!$B:$P,3,FALSE)</f>
        <v>164</v>
      </c>
      <c r="E181">
        <f>VLOOKUP(A182,[1]timesData!$B:$P,4,FALSE)</f>
        <v>36</v>
      </c>
      <c r="F181">
        <f>VLOOKUP(A182,[1]timesData!$B:$P,5,FALSE)</f>
        <v>51.8</v>
      </c>
      <c r="G181">
        <f>VLOOKUP(A182,[1]timesData!$B:$P,6,FALSE)</f>
        <v>45.7</v>
      </c>
      <c r="H181">
        <f>VLOOKUP(A182,[1]timesData!$B:$P,7,FALSE)</f>
        <v>43.8</v>
      </c>
      <c r="I181">
        <f>VLOOKUP(A182,[1]timesData!$B:$P,8,FALSE)</f>
        <v>45.7</v>
      </c>
      <c r="J181">
        <f>VLOOKUP(A182,[1]timesData!$B:$P,9,FALSE)</f>
        <v>50657</v>
      </c>
      <c r="K181">
        <f>VLOOKUP(A182,[1]timesData!$B:$P,10,FALSE)</f>
        <v>21.4</v>
      </c>
      <c r="L181">
        <f>VLOOKUP(A182,[1]timesData!$B:$P,11,FALSE)</f>
        <v>0.09</v>
      </c>
      <c r="M181">
        <f>VLOOKUP(A182,[1]timesData!$B:$P,12,FALSE)</f>
        <v>1.9951388888888888</v>
      </c>
      <c r="N181">
        <f>VLOOKUP(A182,[1]timesData!$B:$P,13,FALSE)</f>
        <v>2012</v>
      </c>
      <c r="O181">
        <f>VLOOKUP(A181,[2]cwurData!$B:$P,14,FALSE)</f>
        <v>287</v>
      </c>
      <c r="P181">
        <f>VLOOKUP(A181,[2]cwurData!$B:$N, 3, FALSE)</f>
        <v>25</v>
      </c>
      <c r="Q181">
        <f>VLOOKUP(A181,[2]cwurData!$B:$N, 4, FALSE)</f>
        <v>241</v>
      </c>
      <c r="R181">
        <f>VLOOKUP(A181,[2]cwurData!$B:$N, 5, FALSE)</f>
        <v>78</v>
      </c>
      <c r="S181">
        <f>VLOOKUP(A181,[2]cwurData!$B:$N, 6, FALSE)</f>
        <v>210</v>
      </c>
      <c r="T181">
        <f>VLOOKUP(A181,[2]cwurData!$B:$N, 7, FALSE)</f>
        <v>393</v>
      </c>
      <c r="U181">
        <f>VLOOKUP(A181,[2]cwurData!$B:$N, 8, FALSE)</f>
        <v>319</v>
      </c>
      <c r="V181">
        <f>VLOOKUP(A181,[2]cwurData!$B:$N, 9, FALSE)</f>
        <v>220</v>
      </c>
      <c r="W181">
        <f>VLOOKUP(A181,[2]cwurData!$B:$N, 10, FALSE)</f>
        <v>355</v>
      </c>
      <c r="X181">
        <f>VLOOKUP(A181,[2]cwurData!$B:$N, 11, FALSE)</f>
        <v>481</v>
      </c>
      <c r="Y181">
        <f>VLOOKUP(A181,[2]cwurData!$B:$N, 12, FALSE)</f>
        <v>46.49</v>
      </c>
      <c r="Z181">
        <f>VLOOKUP(A181,[2]cwurData!$B:$N, 13, FALSE)</f>
        <v>2014</v>
      </c>
    </row>
    <row r="182" spans="1:26" x14ac:dyDescent="0.3">
      <c r="A182" t="s">
        <v>213</v>
      </c>
      <c r="B182" t="str">
        <f>IFERROR(VLOOKUP(A182,[1]timesData!$B:$P,2,FALSE),VLOOKUP(A182,[2]cwurData!$B:$P,2,FALSE))</f>
        <v>United States of America</v>
      </c>
      <c r="C182">
        <f>VLOOKUP(A182,[1]timesData!$B:$P,3,FALSE)</f>
        <v>164</v>
      </c>
      <c r="D182">
        <f>VLOOKUP(A183,[1]timesData!$B:$P,3,FALSE)</f>
        <v>165</v>
      </c>
      <c r="E182">
        <f>VLOOKUP(A183,[1]timesData!$B:$P,4,FALSE)</f>
        <v>38.200000000000003</v>
      </c>
      <c r="F182">
        <f>VLOOKUP(A183,[1]timesData!$B:$P,5,FALSE)</f>
        <v>49.2</v>
      </c>
      <c r="G182">
        <f>VLOOKUP(A183,[1]timesData!$B:$P,6,FALSE)</f>
        <v>60.2</v>
      </c>
      <c r="H182">
        <f>VLOOKUP(A183,[1]timesData!$B:$P,7,FALSE)</f>
        <v>38.799999999999997</v>
      </c>
      <c r="I182">
        <f>VLOOKUP(A183,[1]timesData!$B:$P,8,FALSE)</f>
        <v>50</v>
      </c>
      <c r="J182">
        <f>VLOOKUP(A183,[1]timesData!$B:$P,9,FALSE)</f>
        <v>24570</v>
      </c>
      <c r="K182">
        <f>VLOOKUP(A183,[1]timesData!$B:$P,10,FALSE)</f>
        <v>14.4</v>
      </c>
      <c r="L182">
        <f>VLOOKUP(A183,[1]timesData!$B:$P,11,FALSE)</f>
        <v>0.11</v>
      </c>
      <c r="M182">
        <f>VLOOKUP(A183,[1]timesData!$B:$P,12,FALSE)</f>
        <v>2.2409722222222221</v>
      </c>
      <c r="N182">
        <f>VLOOKUP(A183,[1]timesData!$B:$P,13,FALSE)</f>
        <v>2011</v>
      </c>
      <c r="O182" t="e">
        <f>VLOOKUP(A182,[2]cwurData!$B:$P,14,FALSE)</f>
        <v>#N/A</v>
      </c>
      <c r="P182" t="e">
        <f>VLOOKUP(A182,[2]cwurData!$B:$N, 3, FALSE)</f>
        <v>#N/A</v>
      </c>
      <c r="Q182" t="e">
        <f>VLOOKUP(A182,[2]cwurData!$B:$N, 4, FALSE)</f>
        <v>#N/A</v>
      </c>
      <c r="R182" t="e">
        <f>VLOOKUP(A182,[2]cwurData!$B:$N, 5, FALSE)</f>
        <v>#N/A</v>
      </c>
      <c r="S182" t="e">
        <f>VLOOKUP(A182,[2]cwurData!$B:$N, 6, FALSE)</f>
        <v>#N/A</v>
      </c>
      <c r="T182" t="e">
        <f>VLOOKUP(A182,[2]cwurData!$B:$N, 7, FALSE)</f>
        <v>#N/A</v>
      </c>
      <c r="U182" t="e">
        <f>VLOOKUP(A182,[2]cwurData!$B:$N, 8, FALSE)</f>
        <v>#N/A</v>
      </c>
      <c r="V182" t="e">
        <f>VLOOKUP(A182,[2]cwurData!$B:$N, 9, FALSE)</f>
        <v>#N/A</v>
      </c>
      <c r="W182" t="e">
        <f>VLOOKUP(A182,[2]cwurData!$B:$N, 10, FALSE)</f>
        <v>#N/A</v>
      </c>
      <c r="X182" t="e">
        <f>VLOOKUP(A182,[2]cwurData!$B:$N, 11, FALSE)</f>
        <v>#N/A</v>
      </c>
      <c r="Y182" t="e">
        <f>VLOOKUP(A182,[2]cwurData!$B:$N, 12, FALSE)</f>
        <v>#N/A</v>
      </c>
      <c r="Z182" t="e">
        <f>VLOOKUP(A182,[2]cwurData!$B:$N, 13, FALSE)</f>
        <v>#N/A</v>
      </c>
    </row>
    <row r="183" spans="1:26" x14ac:dyDescent="0.3">
      <c r="A183" t="s">
        <v>165</v>
      </c>
      <c r="B183" t="str">
        <f>IFERROR(VLOOKUP(A183,[1]timesData!$B:$P,2,FALSE),VLOOKUP(A183,[2]cwurData!$B:$P,2,FALSE))</f>
        <v>Netherlands</v>
      </c>
      <c r="C183">
        <f>VLOOKUP(A183,[1]timesData!$B:$P,3,FALSE)</f>
        <v>165</v>
      </c>
      <c r="D183">
        <f>VLOOKUP(A184,[1]timesData!$B:$P,3,FALSE)</f>
        <v>165</v>
      </c>
      <c r="E183">
        <f>VLOOKUP(A184,[1]timesData!$B:$P,4,FALSE)</f>
        <v>59.8</v>
      </c>
      <c r="F183">
        <f>VLOOKUP(A184,[1]timesData!$B:$P,5,FALSE)</f>
        <v>47.8</v>
      </c>
      <c r="G183">
        <f>VLOOKUP(A184,[1]timesData!$B:$P,6,FALSE)</f>
        <v>59.6</v>
      </c>
      <c r="H183">
        <f>VLOOKUP(A184,[1]timesData!$B:$P,7,FALSE)</f>
        <v>40.6</v>
      </c>
      <c r="I183">
        <f>VLOOKUP(A184,[1]timesData!$B:$P,8,FALSE)</f>
        <v>50</v>
      </c>
      <c r="J183">
        <f>VLOOKUP(A184,[1]timesData!$B:$P,9,FALSE)</f>
        <v>18815</v>
      </c>
      <c r="K183">
        <f>VLOOKUP(A184,[1]timesData!$B:$P,10,FALSE)</f>
        <v>13.6</v>
      </c>
      <c r="L183">
        <f>VLOOKUP(A184,[1]timesData!$B:$P,11,FALSE)</f>
        <v>0.3</v>
      </c>
      <c r="M183">
        <f>VLOOKUP(A184,[1]timesData!$B:$P,12,FALSE)</f>
        <v>2.2000000000000002</v>
      </c>
      <c r="N183">
        <f>VLOOKUP(A184,[1]timesData!$B:$P,13,FALSE)</f>
        <v>2011</v>
      </c>
      <c r="O183">
        <f>VLOOKUP(A183,[2]cwurData!$B:$P,14,FALSE)</f>
        <v>122</v>
      </c>
      <c r="P183">
        <f>VLOOKUP(A183,[2]cwurData!$B:$N, 3, FALSE)</f>
        <v>4</v>
      </c>
      <c r="Q183">
        <f>VLOOKUP(A183,[2]cwurData!$B:$N, 4, FALSE)</f>
        <v>182</v>
      </c>
      <c r="R183">
        <f>VLOOKUP(A183,[2]cwurData!$B:$N, 5, FALSE)</f>
        <v>438</v>
      </c>
      <c r="S183">
        <f>VLOOKUP(A183,[2]cwurData!$B:$N, 6, FALSE)</f>
        <v>204</v>
      </c>
      <c r="T183">
        <f>VLOOKUP(A183,[2]cwurData!$B:$N, 7, FALSE)</f>
        <v>74</v>
      </c>
      <c r="U183">
        <f>VLOOKUP(A183,[2]cwurData!$B:$N, 8, FALSE)</f>
        <v>86</v>
      </c>
      <c r="V183">
        <f>VLOOKUP(A183,[2]cwurData!$B:$N, 9, FALSE)</f>
        <v>87</v>
      </c>
      <c r="W183">
        <f>VLOOKUP(A183,[2]cwurData!$B:$N, 10, FALSE)</f>
        <v>68</v>
      </c>
      <c r="X183">
        <f>VLOOKUP(A183,[2]cwurData!$B:$N, 11, FALSE)</f>
        <v>338</v>
      </c>
      <c r="Y183">
        <f>VLOOKUP(A183,[2]cwurData!$B:$N, 12, FALSE)</f>
        <v>49.97</v>
      </c>
      <c r="Z183">
        <f>VLOOKUP(A183,[2]cwurData!$B:$N, 13, FALSE)</f>
        <v>2014</v>
      </c>
    </row>
    <row r="184" spans="1:26" x14ac:dyDescent="0.3">
      <c r="A184" t="s">
        <v>166</v>
      </c>
      <c r="B184" t="str">
        <f>IFERROR(VLOOKUP(A184,[1]timesData!$B:$P,2,FALSE),VLOOKUP(A184,[2]cwurData!$B:$P,2,FALSE))</f>
        <v>United Kingdom</v>
      </c>
      <c r="C184">
        <f>VLOOKUP(A184,[1]timesData!$B:$P,3,FALSE)</f>
        <v>165</v>
      </c>
      <c r="D184">
        <f>VLOOKUP(A185,[1]timesData!$B:$P,3,FALSE)</f>
        <v>166</v>
      </c>
      <c r="E184">
        <f>VLOOKUP(A185,[1]timesData!$B:$P,4,FALSE)</f>
        <v>30.1</v>
      </c>
      <c r="F184">
        <f>VLOOKUP(A185,[1]timesData!$B:$P,5,FALSE)</f>
        <v>60.7</v>
      </c>
      <c r="G184">
        <f>VLOOKUP(A185,[1]timesData!$B:$P,6,FALSE)</f>
        <v>33</v>
      </c>
      <c r="H184">
        <f>VLOOKUP(A185,[1]timesData!$B:$P,7,FALSE)</f>
        <v>35</v>
      </c>
      <c r="I184">
        <f>VLOOKUP(A185,[1]timesData!$B:$P,8,FALSE)</f>
        <v>45.4</v>
      </c>
      <c r="J184">
        <f>VLOOKUP(A185,[1]timesData!$B:$P,9,FALSE)</f>
        <v>23977</v>
      </c>
      <c r="K184">
        <f>VLOOKUP(A185,[1]timesData!$B:$P,10,FALSE)</f>
        <v>24.4</v>
      </c>
      <c r="L184">
        <f>VLOOKUP(A185,[1]timesData!$B:$P,11,FALSE)</f>
        <v>0.04</v>
      </c>
      <c r="M184">
        <f>VLOOKUP(A185,[1]timesData!$B:$P,12,FALSE)</f>
        <v>0</v>
      </c>
      <c r="N184">
        <f>VLOOKUP(A185,[1]timesData!$B:$P,13,FALSE)</f>
        <v>2012</v>
      </c>
      <c r="O184">
        <f>VLOOKUP(A184,[2]cwurData!$B:$P,14,FALSE)</f>
        <v>211</v>
      </c>
      <c r="P184">
        <f>VLOOKUP(A184,[2]cwurData!$B:$N, 3, FALSE)</f>
        <v>17</v>
      </c>
      <c r="Q184">
        <f>VLOOKUP(A184,[2]cwurData!$B:$N, 4, FALSE)</f>
        <v>159</v>
      </c>
      <c r="R184">
        <f>VLOOKUP(A184,[2]cwurData!$B:$N, 5, FALSE)</f>
        <v>248</v>
      </c>
      <c r="S184">
        <f>VLOOKUP(A184,[2]cwurData!$B:$N, 6, FALSE)</f>
        <v>200</v>
      </c>
      <c r="T184">
        <f>VLOOKUP(A184,[2]cwurData!$B:$N, 7, FALSE)</f>
        <v>149</v>
      </c>
      <c r="U184">
        <f>VLOOKUP(A184,[2]cwurData!$B:$N, 8, FALSE)</f>
        <v>163</v>
      </c>
      <c r="V184">
        <f>VLOOKUP(A184,[2]cwurData!$B:$N, 9, FALSE)</f>
        <v>134</v>
      </c>
      <c r="W184">
        <f>VLOOKUP(A184,[2]cwurData!$B:$N, 10, FALSE)</f>
        <v>189</v>
      </c>
      <c r="X184">
        <f>VLOOKUP(A184,[2]cwurData!$B:$N, 11, FALSE)</f>
        <v>373</v>
      </c>
      <c r="Y184">
        <f>VLOOKUP(A184,[2]cwurData!$B:$N, 12, FALSE)</f>
        <v>47.69</v>
      </c>
      <c r="Z184">
        <f>VLOOKUP(A184,[2]cwurData!$B:$N, 13, FALSE)</f>
        <v>2014</v>
      </c>
    </row>
    <row r="185" spans="1:26" x14ac:dyDescent="0.3">
      <c r="A185" t="s">
        <v>215</v>
      </c>
      <c r="B185" t="str">
        <f>IFERROR(VLOOKUP(A185,[1]timesData!$B:$P,2,FALSE),VLOOKUP(A185,[2]cwurData!$B:$P,2,FALSE))</f>
        <v>Israel</v>
      </c>
      <c r="C185">
        <f>VLOOKUP(A185,[1]timesData!$B:$P,3,FALSE)</f>
        <v>166</v>
      </c>
      <c r="D185">
        <f>VLOOKUP(A186,[1]timesData!$B:$P,3,FALSE)</f>
        <v>167</v>
      </c>
      <c r="E185">
        <f>VLOOKUP(A186,[1]timesData!$B:$P,4,FALSE)</f>
        <v>33.4</v>
      </c>
      <c r="F185">
        <f>VLOOKUP(A186,[1]timesData!$B:$P,5,FALSE)</f>
        <v>55.6</v>
      </c>
      <c r="G185">
        <f>VLOOKUP(A186,[1]timesData!$B:$P,6,FALSE)</f>
        <v>57.3</v>
      </c>
      <c r="H185">
        <f>VLOOKUP(A186,[1]timesData!$B:$P,7,FALSE)</f>
        <v>61.5</v>
      </c>
      <c r="I185">
        <f>VLOOKUP(A186,[1]timesData!$B:$P,8,FALSE)</f>
        <v>49.9</v>
      </c>
      <c r="J185">
        <f>VLOOKUP(A186,[1]timesData!$B:$P,9,FALSE)</f>
        <v>23895</v>
      </c>
      <c r="K185">
        <f>VLOOKUP(A186,[1]timesData!$B:$P,10,FALSE)</f>
        <v>13.6</v>
      </c>
      <c r="L185">
        <f>VLOOKUP(A186,[1]timesData!$B:$P,11,FALSE)</f>
        <v>0.14000000000000001</v>
      </c>
      <c r="M185">
        <f>VLOOKUP(A186,[1]timesData!$B:$P,12,FALSE)</f>
        <v>2.2819444444444446</v>
      </c>
      <c r="N185">
        <f>VLOOKUP(A186,[1]timesData!$B:$P,13,FALSE)</f>
        <v>2011</v>
      </c>
      <c r="O185">
        <f>VLOOKUP(A185,[2]cwurData!$B:$P,14,FALSE)</f>
        <v>56</v>
      </c>
      <c r="P185">
        <f>VLOOKUP(A185,[2]cwurData!$B:$N, 3, FALSE)</f>
        <v>4</v>
      </c>
      <c r="Q185">
        <f>VLOOKUP(A185,[2]cwurData!$B:$N, 4, FALSE)</f>
        <v>97</v>
      </c>
      <c r="R185">
        <f>VLOOKUP(A185,[2]cwurData!$B:$N, 5, FALSE)</f>
        <v>101</v>
      </c>
      <c r="S185">
        <f>VLOOKUP(A185,[2]cwurData!$B:$N, 6, FALSE)</f>
        <v>51</v>
      </c>
      <c r="T185">
        <f>VLOOKUP(A185,[2]cwurData!$B:$N, 7, FALSE)</f>
        <v>72</v>
      </c>
      <c r="U185">
        <f>VLOOKUP(A185,[2]cwurData!$B:$N, 8, FALSE)</f>
        <v>101</v>
      </c>
      <c r="V185">
        <f>VLOOKUP(A185,[2]cwurData!$B:$N, 9, FALSE)</f>
        <v>101</v>
      </c>
      <c r="W185">
        <f>VLOOKUP(A185,[2]cwurData!$B:$N, 10, FALSE)</f>
        <v>0</v>
      </c>
      <c r="X185">
        <f>VLOOKUP(A185,[2]cwurData!$B:$N, 11, FALSE)</f>
        <v>35</v>
      </c>
      <c r="Y185">
        <f>VLOOKUP(A185,[2]cwurData!$B:$N, 12, FALSE)</f>
        <v>48.76</v>
      </c>
      <c r="Z185">
        <f>VLOOKUP(A185,[2]cwurData!$B:$N, 13, FALSE)</f>
        <v>2012</v>
      </c>
    </row>
    <row r="186" spans="1:26" x14ac:dyDescent="0.3">
      <c r="A186" t="s">
        <v>167</v>
      </c>
      <c r="B186" t="str">
        <f>IFERROR(VLOOKUP(A186,[1]timesData!$B:$P,2,FALSE),VLOOKUP(A186,[2]cwurData!$B:$P,2,FALSE))</f>
        <v>Denmark</v>
      </c>
      <c r="C186">
        <f>VLOOKUP(A186,[1]timesData!$B:$P,3,FALSE)</f>
        <v>167</v>
      </c>
      <c r="D186">
        <f>VLOOKUP(A187,[1]timesData!$B:$P,3,FALSE)</f>
        <v>168</v>
      </c>
      <c r="E186">
        <f>VLOOKUP(A187,[1]timesData!$B:$P,4,FALSE)</f>
        <v>50</v>
      </c>
      <c r="F186">
        <f>VLOOKUP(A187,[1]timesData!$B:$P,5,FALSE)</f>
        <v>48</v>
      </c>
      <c r="G186">
        <f>VLOOKUP(A187,[1]timesData!$B:$P,6,FALSE)</f>
        <v>55.6</v>
      </c>
      <c r="H186">
        <f>VLOOKUP(A187,[1]timesData!$B:$P,7,FALSE)</f>
        <v>38.299999999999997</v>
      </c>
      <c r="I186">
        <f>VLOOKUP(A187,[1]timesData!$B:$P,8,FALSE)</f>
        <v>49.8</v>
      </c>
      <c r="J186">
        <f>VLOOKUP(A187,[1]timesData!$B:$P,9,FALSE)</f>
        <v>27703</v>
      </c>
      <c r="K186">
        <f>VLOOKUP(A187,[1]timesData!$B:$P,10,FALSE)</f>
        <v>14.7</v>
      </c>
      <c r="L186">
        <f>VLOOKUP(A187,[1]timesData!$B:$P,11,FALSE)</f>
        <v>0.21</v>
      </c>
      <c r="M186">
        <f>VLOOKUP(A187,[1]timesData!$B:$P,12,FALSE)</f>
        <v>2.4458333333333333</v>
      </c>
      <c r="N186">
        <f>VLOOKUP(A187,[1]timesData!$B:$P,13,FALSE)</f>
        <v>2011</v>
      </c>
      <c r="O186">
        <f>VLOOKUP(A186,[2]cwurData!$B:$P,14,FALSE)</f>
        <v>119</v>
      </c>
      <c r="P186">
        <f>VLOOKUP(A186,[2]cwurData!$B:$N, 3, FALSE)</f>
        <v>2</v>
      </c>
      <c r="Q186">
        <f>VLOOKUP(A186,[2]cwurData!$B:$N, 4, FALSE)</f>
        <v>292</v>
      </c>
      <c r="R186">
        <f>VLOOKUP(A186,[2]cwurData!$B:$N, 5, FALSE)</f>
        <v>188</v>
      </c>
      <c r="S186">
        <f>VLOOKUP(A186,[2]cwurData!$B:$N, 6, FALSE)</f>
        <v>107</v>
      </c>
      <c r="T186">
        <f>VLOOKUP(A186,[2]cwurData!$B:$N, 7, FALSE)</f>
        <v>90</v>
      </c>
      <c r="U186">
        <f>VLOOKUP(A186,[2]cwurData!$B:$N, 8, FALSE)</f>
        <v>78</v>
      </c>
      <c r="V186">
        <f>VLOOKUP(A186,[2]cwurData!$B:$N, 9, FALSE)</f>
        <v>81</v>
      </c>
      <c r="W186">
        <f>VLOOKUP(A186,[2]cwurData!$B:$N, 10, FALSE)</f>
        <v>90</v>
      </c>
      <c r="X186">
        <f>VLOOKUP(A186,[2]cwurData!$B:$N, 11, FALSE)</f>
        <v>194</v>
      </c>
      <c r="Y186">
        <f>VLOOKUP(A186,[2]cwurData!$B:$N, 12, FALSE)</f>
        <v>50.17</v>
      </c>
      <c r="Z186">
        <f>VLOOKUP(A186,[2]cwurData!$B:$N, 13, FALSE)</f>
        <v>2014</v>
      </c>
    </row>
    <row r="187" spans="1:26" x14ac:dyDescent="0.3">
      <c r="A187" t="s">
        <v>168</v>
      </c>
      <c r="B187" t="str">
        <f>IFERROR(VLOOKUP(A187,[1]timesData!$B:$P,2,FALSE),VLOOKUP(A187,[2]cwurData!$B:$P,2,FALSE))</f>
        <v>United Kingdom</v>
      </c>
      <c r="C187">
        <f>VLOOKUP(A187,[1]timesData!$B:$P,3,FALSE)</f>
        <v>168</v>
      </c>
      <c r="D187">
        <f>VLOOKUP(A188,[1]timesData!$B:$P,3,FALSE)</f>
        <v>168</v>
      </c>
      <c r="E187">
        <f>VLOOKUP(A188,[1]timesData!$B:$P,4,FALSE)</f>
        <v>40.299999999999997</v>
      </c>
      <c r="F187">
        <f>VLOOKUP(A188,[1]timesData!$B:$P,5,FALSE)</f>
        <v>40.9</v>
      </c>
      <c r="G187">
        <f>VLOOKUP(A188,[1]timesData!$B:$P,6,FALSE)</f>
        <v>60.4</v>
      </c>
      <c r="H187" t="str">
        <f>VLOOKUP(A188,[1]timesData!$B:$P,7,FALSE)</f>
        <v>-</v>
      </c>
      <c r="I187">
        <f>VLOOKUP(A188,[1]timesData!$B:$P,8,FALSE)</f>
        <v>49.8</v>
      </c>
      <c r="J187">
        <f>VLOOKUP(A188,[1]timesData!$B:$P,9,FALSE)</f>
        <v>26576</v>
      </c>
      <c r="K187">
        <f>VLOOKUP(A188,[1]timesData!$B:$P,10,FALSE)</f>
        <v>38.4</v>
      </c>
      <c r="L187">
        <f>VLOOKUP(A188,[1]timesData!$B:$P,11,FALSE)</f>
        <v>0.08</v>
      </c>
      <c r="M187">
        <f>VLOOKUP(A188,[1]timesData!$B:$P,12,FALSE)</f>
        <v>2.4048611111111109</v>
      </c>
      <c r="N187">
        <f>VLOOKUP(A188,[1]timesData!$B:$P,13,FALSE)</f>
        <v>2011</v>
      </c>
      <c r="O187">
        <f>VLOOKUP(A187,[2]cwurData!$B:$P,14,FALSE)</f>
        <v>151</v>
      </c>
      <c r="P187">
        <f>VLOOKUP(A187,[2]cwurData!$B:$N, 3, FALSE)</f>
        <v>13</v>
      </c>
      <c r="Q187">
        <f>VLOOKUP(A187,[2]cwurData!$B:$N, 4, FALSE)</f>
        <v>84</v>
      </c>
      <c r="R187">
        <f>VLOOKUP(A187,[2]cwurData!$B:$N, 5, FALSE)</f>
        <v>93</v>
      </c>
      <c r="S187">
        <f>VLOOKUP(A187,[2]cwurData!$B:$N, 6, FALSE)</f>
        <v>210</v>
      </c>
      <c r="T187">
        <f>VLOOKUP(A187,[2]cwurData!$B:$N, 7, FALSE)</f>
        <v>132</v>
      </c>
      <c r="U187">
        <f>VLOOKUP(A187,[2]cwurData!$B:$N, 8, FALSE)</f>
        <v>134</v>
      </c>
      <c r="V187">
        <f>VLOOKUP(A187,[2]cwurData!$B:$N, 9, FALSE)</f>
        <v>134</v>
      </c>
      <c r="W187">
        <f>VLOOKUP(A187,[2]cwurData!$B:$N, 10, FALSE)</f>
        <v>151</v>
      </c>
      <c r="X187">
        <f>VLOOKUP(A187,[2]cwurData!$B:$N, 11, FALSE)</f>
        <v>280</v>
      </c>
      <c r="Y187">
        <f>VLOOKUP(A187,[2]cwurData!$B:$N, 12, FALSE)</f>
        <v>49.23</v>
      </c>
      <c r="Z187">
        <f>VLOOKUP(A187,[2]cwurData!$B:$N, 13, FALSE)</f>
        <v>2014</v>
      </c>
    </row>
    <row r="188" spans="1:26" x14ac:dyDescent="0.3">
      <c r="A188" t="s">
        <v>169</v>
      </c>
      <c r="B188" t="str">
        <f>IFERROR(VLOOKUP(A188,[1]timesData!$B:$P,2,FALSE),VLOOKUP(A188,[2]cwurData!$B:$P,2,FALSE))</f>
        <v>Germany</v>
      </c>
      <c r="C188">
        <f>VLOOKUP(A188,[1]timesData!$B:$P,3,FALSE)</f>
        <v>168</v>
      </c>
      <c r="D188">
        <f>VLOOKUP(A189,[1]timesData!$B:$P,3,FALSE)</f>
        <v>169</v>
      </c>
      <c r="E188">
        <f>VLOOKUP(A189,[1]timesData!$B:$P,4,FALSE)</f>
        <v>72.5</v>
      </c>
      <c r="F188">
        <f>VLOOKUP(A189,[1]timesData!$B:$P,5,FALSE)</f>
        <v>34.700000000000003</v>
      </c>
      <c r="G188">
        <f>VLOOKUP(A189,[1]timesData!$B:$P,6,FALSE)</f>
        <v>65.5</v>
      </c>
      <c r="H188">
        <f>VLOOKUP(A189,[1]timesData!$B:$P,7,FALSE)</f>
        <v>30.8</v>
      </c>
      <c r="I188">
        <f>VLOOKUP(A189,[1]timesData!$B:$P,8,FALSE)</f>
        <v>45</v>
      </c>
      <c r="J188">
        <f>VLOOKUP(A189,[1]timesData!$B:$P,9,FALSE)</f>
        <v>28856</v>
      </c>
      <c r="K188">
        <f>VLOOKUP(A189,[1]timesData!$B:$P,10,FALSE)</f>
        <v>42</v>
      </c>
      <c r="L188">
        <f>VLOOKUP(A189,[1]timesData!$B:$P,11,FALSE)</f>
        <v>0.19</v>
      </c>
      <c r="M188">
        <f>VLOOKUP(A189,[1]timesData!$B:$P,12,FALSE)</f>
        <v>2.2819444444444446</v>
      </c>
      <c r="N188">
        <f>VLOOKUP(A189,[1]timesData!$B:$P,13,FALSE)</f>
        <v>2012</v>
      </c>
      <c r="O188" t="e">
        <f>VLOOKUP(A188,[2]cwurData!$B:$P,14,FALSE)</f>
        <v>#N/A</v>
      </c>
      <c r="P188" t="e">
        <f>VLOOKUP(A188,[2]cwurData!$B:$N, 3, FALSE)</f>
        <v>#N/A</v>
      </c>
      <c r="Q188" t="e">
        <f>VLOOKUP(A188,[2]cwurData!$B:$N, 4, FALSE)</f>
        <v>#N/A</v>
      </c>
      <c r="R188" t="e">
        <f>VLOOKUP(A188,[2]cwurData!$B:$N, 5, FALSE)</f>
        <v>#N/A</v>
      </c>
      <c r="S188" t="e">
        <f>VLOOKUP(A188,[2]cwurData!$B:$N, 6, FALSE)</f>
        <v>#N/A</v>
      </c>
      <c r="T188" t="e">
        <f>VLOOKUP(A188,[2]cwurData!$B:$N, 7, FALSE)</f>
        <v>#N/A</v>
      </c>
      <c r="U188" t="e">
        <f>VLOOKUP(A188,[2]cwurData!$B:$N, 8, FALSE)</f>
        <v>#N/A</v>
      </c>
      <c r="V188" t="e">
        <f>VLOOKUP(A188,[2]cwurData!$B:$N, 9, FALSE)</f>
        <v>#N/A</v>
      </c>
      <c r="W188" t="e">
        <f>VLOOKUP(A188,[2]cwurData!$B:$N, 10, FALSE)</f>
        <v>#N/A</v>
      </c>
      <c r="X188" t="e">
        <f>VLOOKUP(A188,[2]cwurData!$B:$N, 11, FALSE)</f>
        <v>#N/A</v>
      </c>
      <c r="Y188" t="e">
        <f>VLOOKUP(A188,[2]cwurData!$B:$N, 12, FALSE)</f>
        <v>#N/A</v>
      </c>
      <c r="Z188" t="e">
        <f>VLOOKUP(A188,[2]cwurData!$B:$N, 13, FALSE)</f>
        <v>#N/A</v>
      </c>
    </row>
    <row r="189" spans="1:26" x14ac:dyDescent="0.3">
      <c r="A189" t="s">
        <v>217</v>
      </c>
      <c r="B189" t="str">
        <f>IFERROR(VLOOKUP(A189,[1]timesData!$B:$P,2,FALSE),VLOOKUP(A189,[2]cwurData!$B:$P,2,FALSE))</f>
        <v>Belgium</v>
      </c>
      <c r="C189">
        <f>VLOOKUP(A189,[1]timesData!$B:$P,3,FALSE)</f>
        <v>169</v>
      </c>
      <c r="D189">
        <f>VLOOKUP(A190,[1]timesData!$B:$P,3,FALSE)</f>
        <v>169</v>
      </c>
      <c r="E189">
        <f>VLOOKUP(A190,[1]timesData!$B:$P,4,FALSE)</f>
        <v>70.7</v>
      </c>
      <c r="F189">
        <f>VLOOKUP(A190,[1]timesData!$B:$P,5,FALSE)</f>
        <v>18.7</v>
      </c>
      <c r="G189">
        <f>VLOOKUP(A190,[1]timesData!$B:$P,6,FALSE)</f>
        <v>88.9</v>
      </c>
      <c r="H189" t="str">
        <f>VLOOKUP(A190,[1]timesData!$B:$P,7,FALSE)</f>
        <v>-</v>
      </c>
      <c r="I189">
        <f>VLOOKUP(A190,[1]timesData!$B:$P,8,FALSE)</f>
        <v>45</v>
      </c>
      <c r="J189">
        <f>VLOOKUP(A190,[1]timesData!$B:$P,9,FALSE)</f>
        <v>27756</v>
      </c>
      <c r="K189">
        <f>VLOOKUP(A190,[1]timesData!$B:$P,10,FALSE)</f>
        <v>14.8</v>
      </c>
      <c r="L189">
        <f>VLOOKUP(A190,[1]timesData!$B:$P,11,FALSE)</f>
        <v>0.17</v>
      </c>
      <c r="M189">
        <f>VLOOKUP(A190,[1]timesData!$B:$P,12,FALSE)</f>
        <v>2.6506944444444445</v>
      </c>
      <c r="N189">
        <f>VLOOKUP(A190,[1]timesData!$B:$P,13,FALSE)</f>
        <v>2012</v>
      </c>
      <c r="O189">
        <f>VLOOKUP(A189,[2]cwurData!$B:$P,14,FALSE)</f>
        <v>191</v>
      </c>
      <c r="P189">
        <f>VLOOKUP(A189,[2]cwurData!$B:$N, 3, FALSE)</f>
        <v>4</v>
      </c>
      <c r="Q189">
        <f>VLOOKUP(A189,[2]cwurData!$B:$N, 4, FALSE)</f>
        <v>355</v>
      </c>
      <c r="R189">
        <f>VLOOKUP(A189,[2]cwurData!$B:$N, 5, FALSE)</f>
        <v>269</v>
      </c>
      <c r="S189">
        <f>VLOOKUP(A189,[2]cwurData!$B:$N, 6, FALSE)</f>
        <v>103</v>
      </c>
      <c r="T189">
        <f>VLOOKUP(A189,[2]cwurData!$B:$N, 7, FALSE)</f>
        <v>179</v>
      </c>
      <c r="U189">
        <f>VLOOKUP(A189,[2]cwurData!$B:$N, 8, FALSE)</f>
        <v>286</v>
      </c>
      <c r="V189">
        <f>VLOOKUP(A189,[2]cwurData!$B:$N, 9, FALSE)</f>
        <v>134</v>
      </c>
      <c r="W189">
        <f>VLOOKUP(A189,[2]cwurData!$B:$N, 10, FALSE)</f>
        <v>160</v>
      </c>
      <c r="X189">
        <f>VLOOKUP(A189,[2]cwurData!$B:$N, 11, FALSE)</f>
        <v>181</v>
      </c>
      <c r="Y189">
        <f>VLOOKUP(A189,[2]cwurData!$B:$N, 12, FALSE)</f>
        <v>48.08</v>
      </c>
      <c r="Z189">
        <f>VLOOKUP(A189,[2]cwurData!$B:$N, 13, FALSE)</f>
        <v>2014</v>
      </c>
    </row>
    <row r="190" spans="1:26" x14ac:dyDescent="0.3">
      <c r="A190" t="s">
        <v>216</v>
      </c>
      <c r="B190" t="str">
        <f>IFERROR(VLOOKUP(A190,[1]timesData!$B:$P,2,FALSE),VLOOKUP(A190,[2]cwurData!$B:$P,2,FALSE))</f>
        <v>France</v>
      </c>
      <c r="C190">
        <f>VLOOKUP(A190,[1]timesData!$B:$P,3,FALSE)</f>
        <v>169</v>
      </c>
      <c r="D190">
        <f>VLOOKUP(A191,[1]timesData!$B:$P,3,FALSE)</f>
        <v>170</v>
      </c>
      <c r="E190">
        <f>VLOOKUP(A191,[1]timesData!$B:$P,4,FALSE)</f>
        <v>35.5</v>
      </c>
      <c r="F190">
        <f>VLOOKUP(A191,[1]timesData!$B:$P,5,FALSE)</f>
        <v>56.4</v>
      </c>
      <c r="G190">
        <f>VLOOKUP(A191,[1]timesData!$B:$P,6,FALSE)</f>
        <v>54.1</v>
      </c>
      <c r="H190">
        <f>VLOOKUP(A191,[1]timesData!$B:$P,7,FALSE)</f>
        <v>34.200000000000003</v>
      </c>
      <c r="I190">
        <f>VLOOKUP(A191,[1]timesData!$B:$P,8,FALSE)</f>
        <v>49.7</v>
      </c>
      <c r="J190">
        <f>VLOOKUP(A191,[1]timesData!$B:$P,9,FALSE)</f>
        <v>24556</v>
      </c>
      <c r="K190">
        <f>VLOOKUP(A191,[1]timesData!$B:$P,10,FALSE)</f>
        <v>25.6</v>
      </c>
      <c r="L190">
        <f>VLOOKUP(A191,[1]timesData!$B:$P,11,FALSE)</f>
        <v>0.12</v>
      </c>
      <c r="M190">
        <f>VLOOKUP(A191,[1]timesData!$B:$P,12,FALSE)</f>
        <v>2.2000000000000002</v>
      </c>
      <c r="N190">
        <f>VLOOKUP(A191,[1]timesData!$B:$P,13,FALSE)</f>
        <v>2011</v>
      </c>
      <c r="O190" t="e">
        <f>VLOOKUP(A190,[2]cwurData!$B:$P,14,FALSE)</f>
        <v>#N/A</v>
      </c>
      <c r="P190" t="e">
        <f>VLOOKUP(A190,[2]cwurData!$B:$N, 3, FALSE)</f>
        <v>#N/A</v>
      </c>
      <c r="Q190" t="e">
        <f>VLOOKUP(A190,[2]cwurData!$B:$N, 4, FALSE)</f>
        <v>#N/A</v>
      </c>
      <c r="R190" t="e">
        <f>VLOOKUP(A190,[2]cwurData!$B:$N, 5, FALSE)</f>
        <v>#N/A</v>
      </c>
      <c r="S190" t="e">
        <f>VLOOKUP(A190,[2]cwurData!$B:$N, 6, FALSE)</f>
        <v>#N/A</v>
      </c>
      <c r="T190" t="e">
        <f>VLOOKUP(A190,[2]cwurData!$B:$N, 7, FALSE)</f>
        <v>#N/A</v>
      </c>
      <c r="U190" t="e">
        <f>VLOOKUP(A190,[2]cwurData!$B:$N, 8, FALSE)</f>
        <v>#N/A</v>
      </c>
      <c r="V190" t="e">
        <f>VLOOKUP(A190,[2]cwurData!$B:$N, 9, FALSE)</f>
        <v>#N/A</v>
      </c>
      <c r="W190" t="e">
        <f>VLOOKUP(A190,[2]cwurData!$B:$N, 10, FALSE)</f>
        <v>#N/A</v>
      </c>
      <c r="X190" t="e">
        <f>VLOOKUP(A190,[2]cwurData!$B:$N, 11, FALSE)</f>
        <v>#N/A</v>
      </c>
      <c r="Y190" t="e">
        <f>VLOOKUP(A190,[2]cwurData!$B:$N, 12, FALSE)</f>
        <v>#N/A</v>
      </c>
      <c r="Z190" t="e">
        <f>VLOOKUP(A190,[2]cwurData!$B:$N, 13, FALSE)</f>
        <v>#N/A</v>
      </c>
    </row>
    <row r="191" spans="1:26" x14ac:dyDescent="0.3">
      <c r="A191" t="s">
        <v>170</v>
      </c>
      <c r="B191" t="str">
        <f>IFERROR(VLOOKUP(A191,[1]timesData!$B:$P,2,FALSE),VLOOKUP(A191,[2]cwurData!$B:$P,2,FALSE))</f>
        <v>Netherlands</v>
      </c>
      <c r="C191">
        <f>VLOOKUP(A191,[1]timesData!$B:$P,3,FALSE)</f>
        <v>170</v>
      </c>
      <c r="D191">
        <f>VLOOKUP(A192,[1]timesData!$B:$P,3,FALSE)</f>
        <v>171</v>
      </c>
      <c r="E191">
        <f>VLOOKUP(A192,[1]timesData!$B:$P,4,FALSE)</f>
        <v>29.3</v>
      </c>
      <c r="F191">
        <f>VLOOKUP(A192,[1]timesData!$B:$P,5,FALSE)</f>
        <v>34.700000000000003</v>
      </c>
      <c r="G191">
        <f>VLOOKUP(A192,[1]timesData!$B:$P,6,FALSE)</f>
        <v>70.2</v>
      </c>
      <c r="H191">
        <f>VLOOKUP(A192,[1]timesData!$B:$P,7,FALSE)</f>
        <v>41.2</v>
      </c>
      <c r="I191">
        <f>VLOOKUP(A192,[1]timesData!$B:$P,8,FALSE)</f>
        <v>49.6</v>
      </c>
      <c r="J191">
        <f>VLOOKUP(A192,[1]timesData!$B:$P,9,FALSE)</f>
        <v>51351</v>
      </c>
      <c r="K191">
        <f>VLOOKUP(A192,[1]timesData!$B:$P,10,FALSE)</f>
        <v>16.600000000000001</v>
      </c>
      <c r="L191">
        <f>VLOOKUP(A192,[1]timesData!$B:$P,11,FALSE)</f>
        <v>0.08</v>
      </c>
      <c r="M191">
        <f>VLOOKUP(A192,[1]timesData!$B:$P,12,FALSE)</f>
        <v>2.1590277777777778</v>
      </c>
      <c r="N191">
        <f>VLOOKUP(A192,[1]timesData!$B:$P,13,FALSE)</f>
        <v>2011</v>
      </c>
      <c r="O191">
        <f>VLOOKUP(A191,[2]cwurData!$B:$P,14,FALSE)</f>
        <v>127</v>
      </c>
      <c r="P191">
        <f>VLOOKUP(A191,[2]cwurData!$B:$N, 3, FALSE)</f>
        <v>5</v>
      </c>
      <c r="Q191">
        <f>VLOOKUP(A191,[2]cwurData!$B:$N, 4, FALSE)</f>
        <v>293</v>
      </c>
      <c r="R191">
        <f>VLOOKUP(A191,[2]cwurData!$B:$N, 5, FALSE)</f>
        <v>265</v>
      </c>
      <c r="S191">
        <f>VLOOKUP(A191,[2]cwurData!$B:$N, 6, FALSE)</f>
        <v>190</v>
      </c>
      <c r="T191">
        <f>VLOOKUP(A191,[2]cwurData!$B:$N, 7, FALSE)</f>
        <v>71</v>
      </c>
      <c r="U191">
        <f>VLOOKUP(A191,[2]cwurData!$B:$N, 8, FALSE)</f>
        <v>103</v>
      </c>
      <c r="V191">
        <f>VLOOKUP(A191,[2]cwurData!$B:$N, 9, FALSE)</f>
        <v>107</v>
      </c>
      <c r="W191">
        <f>VLOOKUP(A191,[2]cwurData!$B:$N, 10, FALSE)</f>
        <v>79</v>
      </c>
      <c r="X191">
        <f>VLOOKUP(A191,[2]cwurData!$B:$N, 11, FALSE)</f>
        <v>338</v>
      </c>
      <c r="Y191">
        <f>VLOOKUP(A191,[2]cwurData!$B:$N, 12, FALSE)</f>
        <v>49.89</v>
      </c>
      <c r="Z191">
        <f>VLOOKUP(A191,[2]cwurData!$B:$N, 13, FALSE)</f>
        <v>2014</v>
      </c>
    </row>
    <row r="192" spans="1:26" x14ac:dyDescent="0.3">
      <c r="A192" t="s">
        <v>171</v>
      </c>
      <c r="B192" t="str">
        <f>IFERROR(VLOOKUP(A192,[1]timesData!$B:$P,2,FALSE),VLOOKUP(A192,[2]cwurData!$B:$P,2,FALSE))</f>
        <v>China</v>
      </c>
      <c r="C192">
        <f>VLOOKUP(A192,[1]timesData!$B:$P,3,FALSE)</f>
        <v>171</v>
      </c>
      <c r="D192">
        <f>VLOOKUP(A193,[1]timesData!$B:$P,3,FALSE)</f>
        <v>172</v>
      </c>
      <c r="E192">
        <f>VLOOKUP(A193,[1]timesData!$B:$P,4,FALSE)</f>
        <v>30.3</v>
      </c>
      <c r="F192">
        <f>VLOOKUP(A193,[1]timesData!$B:$P,5,FALSE)</f>
        <v>23.3</v>
      </c>
      <c r="G192">
        <f>VLOOKUP(A193,[1]timesData!$B:$P,6,FALSE)</f>
        <v>70.3</v>
      </c>
      <c r="H192" t="str">
        <f>VLOOKUP(A193,[1]timesData!$B:$P,7,FALSE)</f>
        <v>-</v>
      </c>
      <c r="I192">
        <f>VLOOKUP(A193,[1]timesData!$B:$P,8,FALSE)</f>
        <v>44.8</v>
      </c>
      <c r="J192">
        <f>VLOOKUP(A193,[1]timesData!$B:$P,9,FALSE)</f>
        <v>15286</v>
      </c>
      <c r="K192">
        <f>VLOOKUP(A193,[1]timesData!$B:$P,10,FALSE)</f>
        <v>5.7</v>
      </c>
      <c r="L192">
        <f>VLOOKUP(A193,[1]timesData!$B:$P,11,FALSE)</f>
        <v>0.14000000000000001</v>
      </c>
      <c r="M192">
        <f>VLOOKUP(A193,[1]timesData!$B:$P,12,FALSE)</f>
        <v>2.1180555555555554</v>
      </c>
      <c r="N192">
        <f>VLOOKUP(A193,[1]timesData!$B:$P,13,FALSE)</f>
        <v>2012</v>
      </c>
      <c r="O192">
        <f>VLOOKUP(A192,[2]cwurData!$B:$P,14,FALSE)</f>
        <v>292</v>
      </c>
      <c r="P192">
        <f>VLOOKUP(A192,[2]cwurData!$B:$N, 3, FALSE)</f>
        <v>9</v>
      </c>
      <c r="Q192">
        <f>VLOOKUP(A192,[2]cwurData!$B:$N, 4, FALSE)</f>
        <v>355</v>
      </c>
      <c r="R192">
        <f>VLOOKUP(A192,[2]cwurData!$B:$N, 5, FALSE)</f>
        <v>328</v>
      </c>
      <c r="S192">
        <f>VLOOKUP(A192,[2]cwurData!$B:$N, 6, FALSE)</f>
        <v>210</v>
      </c>
      <c r="T192">
        <f>VLOOKUP(A192,[2]cwurData!$B:$N, 7, FALSE)</f>
        <v>198</v>
      </c>
      <c r="U192">
        <f>VLOOKUP(A192,[2]cwurData!$B:$N, 8, FALSE)</f>
        <v>424</v>
      </c>
      <c r="V192">
        <f>VLOOKUP(A192,[2]cwurData!$B:$N, 9, FALSE)</f>
        <v>310</v>
      </c>
      <c r="W192">
        <f>VLOOKUP(A192,[2]cwurData!$B:$N, 10, FALSE)</f>
        <v>313</v>
      </c>
      <c r="X192">
        <f>VLOOKUP(A192,[2]cwurData!$B:$N, 11, FALSE)</f>
        <v>138</v>
      </c>
      <c r="Y192">
        <f>VLOOKUP(A192,[2]cwurData!$B:$N, 12, FALSE)</f>
        <v>46.42</v>
      </c>
      <c r="Z192">
        <f>VLOOKUP(A192,[2]cwurData!$B:$N, 13, FALSE)</f>
        <v>2014</v>
      </c>
    </row>
    <row r="193" spans="1:26" x14ac:dyDescent="0.3">
      <c r="A193" t="s">
        <v>218</v>
      </c>
      <c r="B193" t="str">
        <f>IFERROR(VLOOKUP(A193,[1]timesData!$B:$P,2,FALSE),VLOOKUP(A193,[2]cwurData!$B:$P,2,FALSE))</f>
        <v>United States of America</v>
      </c>
      <c r="C193">
        <f>VLOOKUP(A193,[1]timesData!$B:$P,3,FALSE)</f>
        <v>172</v>
      </c>
      <c r="D193">
        <f>VLOOKUP(A194,[1]timesData!$B:$P,3,FALSE)</f>
        <v>172</v>
      </c>
      <c r="E193">
        <f>VLOOKUP(A194,[1]timesData!$B:$P,4,FALSE)</f>
        <v>56.1</v>
      </c>
      <c r="F193">
        <f>VLOOKUP(A194,[1]timesData!$B:$P,5,FALSE)</f>
        <v>37.299999999999997</v>
      </c>
      <c r="G193">
        <f>VLOOKUP(A194,[1]timesData!$B:$P,6,FALSE)</f>
        <v>69.5</v>
      </c>
      <c r="H193">
        <f>VLOOKUP(A194,[1]timesData!$B:$P,7,FALSE)</f>
        <v>41.6</v>
      </c>
      <c r="I193">
        <f>VLOOKUP(A194,[1]timesData!$B:$P,8,FALSE)</f>
        <v>49.4</v>
      </c>
      <c r="J193">
        <f>VLOOKUP(A194,[1]timesData!$B:$P,9,FALSE)</f>
        <v>31861</v>
      </c>
      <c r="K193">
        <f>VLOOKUP(A194,[1]timesData!$B:$P,10,FALSE)</f>
        <v>9.3000000000000007</v>
      </c>
      <c r="L193">
        <f>VLOOKUP(A194,[1]timesData!$B:$P,11,FALSE)</f>
        <v>0.15</v>
      </c>
      <c r="M193">
        <f>VLOOKUP(A194,[1]timesData!$B:$P,12,FALSE)</f>
        <v>2.5277777777777777</v>
      </c>
      <c r="N193">
        <f>VLOOKUP(A194,[1]timesData!$B:$P,13,FALSE)</f>
        <v>2011</v>
      </c>
      <c r="O193">
        <f>VLOOKUP(A193,[2]cwurData!$B:$P,14,FALSE)</f>
        <v>138</v>
      </c>
      <c r="P193">
        <f>VLOOKUP(A193,[2]cwurData!$B:$N, 3, FALSE)</f>
        <v>66</v>
      </c>
      <c r="Q193">
        <f>VLOOKUP(A193,[2]cwurData!$B:$N, 4, FALSE)</f>
        <v>355</v>
      </c>
      <c r="R193">
        <f>VLOOKUP(A193,[2]cwurData!$B:$N, 5, FALSE)</f>
        <v>152</v>
      </c>
      <c r="S193">
        <f>VLOOKUP(A193,[2]cwurData!$B:$N, 6, FALSE)</f>
        <v>210</v>
      </c>
      <c r="T193">
        <f>VLOOKUP(A193,[2]cwurData!$B:$N, 7, FALSE)</f>
        <v>159</v>
      </c>
      <c r="U193">
        <f>VLOOKUP(A193,[2]cwurData!$B:$N, 8, FALSE)</f>
        <v>128</v>
      </c>
      <c r="V193">
        <f>VLOOKUP(A193,[2]cwurData!$B:$N, 9, FALSE)</f>
        <v>87</v>
      </c>
      <c r="W193">
        <f>VLOOKUP(A193,[2]cwurData!$B:$N, 10, FALSE)</f>
        <v>114</v>
      </c>
      <c r="X193">
        <f>VLOOKUP(A193,[2]cwurData!$B:$N, 11, FALSE)</f>
        <v>78</v>
      </c>
      <c r="Y193">
        <f>VLOOKUP(A193,[2]cwurData!$B:$N, 12, FALSE)</f>
        <v>49.62</v>
      </c>
      <c r="Z193">
        <f>VLOOKUP(A193,[2]cwurData!$B:$N, 13, FALSE)</f>
        <v>2014</v>
      </c>
    </row>
    <row r="194" spans="1:26" x14ac:dyDescent="0.3">
      <c r="A194" t="s">
        <v>172</v>
      </c>
      <c r="B194" t="str">
        <f>IFERROR(VLOOKUP(A194,[1]timesData!$B:$P,2,FALSE),VLOOKUP(A194,[2]cwurData!$B:$P,2,FALSE))</f>
        <v>Germany</v>
      </c>
      <c r="C194">
        <f>VLOOKUP(A194,[1]timesData!$B:$P,3,FALSE)</f>
        <v>172</v>
      </c>
      <c r="D194">
        <f>VLOOKUP(A195,[1]timesData!$B:$P,3,FALSE)</f>
        <v>173</v>
      </c>
      <c r="E194" t="str">
        <f>VLOOKUP(A195,[1]timesData!$B:$P,4,FALSE)</f>
        <v>-</v>
      </c>
      <c r="F194">
        <f>VLOOKUP(A195,[1]timesData!$B:$P,5,FALSE)</f>
        <v>35.700000000000003</v>
      </c>
      <c r="G194">
        <f>VLOOKUP(A195,[1]timesData!$B:$P,6,FALSE)</f>
        <v>70.400000000000006</v>
      </c>
      <c r="H194" t="str">
        <f>VLOOKUP(A195,[1]timesData!$B:$P,7,FALSE)</f>
        <v>-</v>
      </c>
      <c r="I194">
        <f>VLOOKUP(A195,[1]timesData!$B:$P,8,FALSE)</f>
        <v>49.3</v>
      </c>
      <c r="J194">
        <f>VLOOKUP(A195,[1]timesData!$B:$P,9,FALSE)</f>
        <v>21428</v>
      </c>
      <c r="K194">
        <f>VLOOKUP(A195,[1]timesData!$B:$P,10,FALSE)</f>
        <v>67.8</v>
      </c>
      <c r="L194">
        <f>VLOOKUP(A195,[1]timesData!$B:$P,11,FALSE)</f>
        <v>0.08</v>
      </c>
      <c r="M194">
        <f>VLOOKUP(A195,[1]timesData!$B:$P,12,FALSE)</f>
        <v>2.4048611111111109</v>
      </c>
      <c r="N194">
        <f>VLOOKUP(A195,[1]timesData!$B:$P,13,FALSE)</f>
        <v>2011</v>
      </c>
      <c r="O194">
        <f>VLOOKUP(A194,[2]cwurData!$B:$P,14,FALSE)</f>
        <v>161</v>
      </c>
      <c r="P194">
        <f>VLOOKUP(A194,[2]cwurData!$B:$N, 3, FALSE)</f>
        <v>9</v>
      </c>
      <c r="Q194">
        <f>VLOOKUP(A194,[2]cwurData!$B:$N, 4, FALSE)</f>
        <v>105</v>
      </c>
      <c r="R194">
        <f>VLOOKUP(A194,[2]cwurData!$B:$N, 5, FALSE)</f>
        <v>291</v>
      </c>
      <c r="S194">
        <f>VLOOKUP(A194,[2]cwurData!$B:$N, 6, FALSE)</f>
        <v>62</v>
      </c>
      <c r="T194">
        <f>VLOOKUP(A194,[2]cwurData!$B:$N, 7, FALSE)</f>
        <v>175</v>
      </c>
      <c r="U194">
        <f>VLOOKUP(A194,[2]cwurData!$B:$N, 8, FALSE)</f>
        <v>151</v>
      </c>
      <c r="V194">
        <f>VLOOKUP(A194,[2]cwurData!$B:$N, 9, FALSE)</f>
        <v>200</v>
      </c>
      <c r="W194">
        <f>VLOOKUP(A194,[2]cwurData!$B:$N, 10, FALSE)</f>
        <v>124</v>
      </c>
      <c r="X194">
        <f>VLOOKUP(A194,[2]cwurData!$B:$N, 11, FALSE)</f>
        <v>280</v>
      </c>
      <c r="Y194">
        <f>VLOOKUP(A194,[2]cwurData!$B:$N, 12, FALSE)</f>
        <v>48.93</v>
      </c>
      <c r="Z194">
        <f>VLOOKUP(A194,[2]cwurData!$B:$N, 13, FALSE)</f>
        <v>2014</v>
      </c>
    </row>
    <row r="195" spans="1:26" x14ac:dyDescent="0.3">
      <c r="A195" t="s">
        <v>173</v>
      </c>
      <c r="B195" t="str">
        <f>IFERROR(VLOOKUP(A195,[1]timesData!$B:$P,2,FALSE),VLOOKUP(A195,[2]cwurData!$B:$P,2,FALSE))</f>
        <v>Germany</v>
      </c>
      <c r="C195">
        <f>VLOOKUP(A195,[1]timesData!$B:$P,3,FALSE)</f>
        <v>173</v>
      </c>
      <c r="D195">
        <f>VLOOKUP(A196,[1]timesData!$B:$P,3,FALSE)</f>
        <v>173</v>
      </c>
      <c r="E195">
        <f>VLOOKUP(A196,[1]timesData!$B:$P,4,FALSE)</f>
        <v>65</v>
      </c>
      <c r="F195">
        <f>VLOOKUP(A196,[1]timesData!$B:$P,5,FALSE)</f>
        <v>36.1</v>
      </c>
      <c r="G195">
        <f>VLOOKUP(A196,[1]timesData!$B:$P,6,FALSE)</f>
        <v>49.3</v>
      </c>
      <c r="H195">
        <f>VLOOKUP(A196,[1]timesData!$B:$P,7,FALSE)</f>
        <v>87.5</v>
      </c>
      <c r="I195">
        <f>VLOOKUP(A196,[1]timesData!$B:$P,8,FALSE)</f>
        <v>44.6</v>
      </c>
      <c r="J195">
        <f>VLOOKUP(A196,[1]timesData!$B:$P,9,FALSE)</f>
        <v>20488</v>
      </c>
      <c r="K195">
        <f>VLOOKUP(A196,[1]timesData!$B:$P,10,FALSE)</f>
        <v>22.1</v>
      </c>
      <c r="L195">
        <f>VLOOKUP(A196,[1]timesData!$B:$P,11,FALSE)</f>
        <v>0.1</v>
      </c>
      <c r="M195">
        <f>VLOOKUP(A196,[1]timesData!$B:$P,12,FALSE)</f>
        <v>2.4458333333333333</v>
      </c>
      <c r="N195">
        <f>VLOOKUP(A196,[1]timesData!$B:$P,13,FALSE)</f>
        <v>2012</v>
      </c>
      <c r="O195">
        <f>VLOOKUP(A195,[2]cwurData!$B:$P,14,FALSE)</f>
        <v>491</v>
      </c>
      <c r="P195">
        <f>VLOOKUP(A195,[2]cwurData!$B:$N, 3, FALSE)</f>
        <v>38</v>
      </c>
      <c r="Q195">
        <f>VLOOKUP(A195,[2]cwurData!$B:$N, 4, FALSE)</f>
        <v>355</v>
      </c>
      <c r="R195">
        <f>VLOOKUP(A195,[2]cwurData!$B:$N, 5, FALSE)</f>
        <v>478</v>
      </c>
      <c r="S195">
        <f>VLOOKUP(A195,[2]cwurData!$B:$N, 6, FALSE)</f>
        <v>210</v>
      </c>
      <c r="T195">
        <f>VLOOKUP(A195,[2]cwurData!$B:$N, 7, FALSE)</f>
        <v>487</v>
      </c>
      <c r="U195">
        <f>VLOOKUP(A195,[2]cwurData!$B:$N, 8, FALSE)</f>
        <v>370</v>
      </c>
      <c r="V195">
        <f>VLOOKUP(A195,[2]cwurData!$B:$N, 9, FALSE)</f>
        <v>493</v>
      </c>
      <c r="W195">
        <f>VLOOKUP(A195,[2]cwurData!$B:$N, 10, FALSE)</f>
        <v>375</v>
      </c>
      <c r="X195">
        <f>VLOOKUP(A195,[2]cwurData!$B:$N, 11, FALSE)</f>
        <v>737</v>
      </c>
      <c r="Y195">
        <f>VLOOKUP(A195,[2]cwurData!$B:$N, 12, FALSE)</f>
        <v>45.15</v>
      </c>
      <c r="Z195">
        <f>VLOOKUP(A195,[2]cwurData!$B:$N, 13, FALSE)</f>
        <v>2014</v>
      </c>
    </row>
    <row r="196" spans="1:26" x14ac:dyDescent="0.3">
      <c r="A196" t="s">
        <v>219</v>
      </c>
      <c r="B196" t="str">
        <f>IFERROR(VLOOKUP(A196,[1]timesData!$B:$P,2,FALSE),VLOOKUP(A196,[2]cwurData!$B:$P,2,FALSE))</f>
        <v>Canada</v>
      </c>
      <c r="C196">
        <f>VLOOKUP(A196,[1]timesData!$B:$P,3,FALSE)</f>
        <v>173</v>
      </c>
      <c r="D196">
        <f>VLOOKUP(A197,[1]timesData!$B:$P,3,FALSE)</f>
        <v>174</v>
      </c>
      <c r="E196">
        <f>VLOOKUP(A197,[1]timesData!$B:$P,4,FALSE)</f>
        <v>74.8</v>
      </c>
      <c r="F196">
        <f>VLOOKUP(A197,[1]timesData!$B:$P,5,FALSE)</f>
        <v>44.1</v>
      </c>
      <c r="G196">
        <f>VLOOKUP(A197,[1]timesData!$B:$P,6,FALSE)</f>
        <v>52.5</v>
      </c>
      <c r="H196">
        <f>VLOOKUP(A197,[1]timesData!$B:$P,7,FALSE)</f>
        <v>38.4</v>
      </c>
      <c r="I196">
        <f>VLOOKUP(A197,[1]timesData!$B:$P,8,FALSE)</f>
        <v>49</v>
      </c>
      <c r="J196">
        <f>VLOOKUP(A197,[1]timesData!$B:$P,9,FALSE)</f>
        <v>30144</v>
      </c>
      <c r="K196">
        <f>VLOOKUP(A197,[1]timesData!$B:$P,10,FALSE)</f>
        <v>15</v>
      </c>
      <c r="L196">
        <f>VLOOKUP(A197,[1]timesData!$B:$P,11,FALSE)</f>
        <v>0.27</v>
      </c>
      <c r="M196">
        <f>VLOOKUP(A197,[1]timesData!$B:$P,12,FALSE)</f>
        <v>2.2819444444444446</v>
      </c>
      <c r="N196">
        <f>VLOOKUP(A197,[1]timesData!$B:$P,13,FALSE)</f>
        <v>2011</v>
      </c>
      <c r="O196" t="e">
        <f>VLOOKUP(A196,[2]cwurData!$B:$P,14,FALSE)</f>
        <v>#N/A</v>
      </c>
      <c r="P196" t="e">
        <f>VLOOKUP(A196,[2]cwurData!$B:$N, 3, FALSE)</f>
        <v>#N/A</v>
      </c>
      <c r="Q196" t="e">
        <f>VLOOKUP(A196,[2]cwurData!$B:$N, 4, FALSE)</f>
        <v>#N/A</v>
      </c>
      <c r="R196" t="e">
        <f>VLOOKUP(A196,[2]cwurData!$B:$N, 5, FALSE)</f>
        <v>#N/A</v>
      </c>
      <c r="S196" t="e">
        <f>VLOOKUP(A196,[2]cwurData!$B:$N, 6, FALSE)</f>
        <v>#N/A</v>
      </c>
      <c r="T196" t="e">
        <f>VLOOKUP(A196,[2]cwurData!$B:$N, 7, FALSE)</f>
        <v>#N/A</v>
      </c>
      <c r="U196" t="e">
        <f>VLOOKUP(A196,[2]cwurData!$B:$N, 8, FALSE)</f>
        <v>#N/A</v>
      </c>
      <c r="V196" t="e">
        <f>VLOOKUP(A196,[2]cwurData!$B:$N, 9, FALSE)</f>
        <v>#N/A</v>
      </c>
      <c r="W196" t="e">
        <f>VLOOKUP(A196,[2]cwurData!$B:$N, 10, FALSE)</f>
        <v>#N/A</v>
      </c>
      <c r="X196" t="e">
        <f>VLOOKUP(A196,[2]cwurData!$B:$N, 11, FALSE)</f>
        <v>#N/A</v>
      </c>
      <c r="Y196" t="e">
        <f>VLOOKUP(A196,[2]cwurData!$B:$N, 12, FALSE)</f>
        <v>#N/A</v>
      </c>
      <c r="Z196" t="e">
        <f>VLOOKUP(A196,[2]cwurData!$B:$N, 13, FALSE)</f>
        <v>#N/A</v>
      </c>
    </row>
    <row r="197" spans="1:26" x14ac:dyDescent="0.3">
      <c r="A197" t="s">
        <v>176</v>
      </c>
      <c r="B197" t="str">
        <f>IFERROR(VLOOKUP(A197,[1]timesData!$B:$P,2,FALSE),VLOOKUP(A197,[2]cwurData!$B:$P,2,FALSE))</f>
        <v>United Kingdom</v>
      </c>
      <c r="C197">
        <f>VLOOKUP(A197,[1]timesData!$B:$P,3,FALSE)</f>
        <v>174</v>
      </c>
      <c r="D197">
        <f>VLOOKUP(A198,[1]timesData!$B:$P,3,FALSE)</f>
        <v>174</v>
      </c>
      <c r="E197">
        <f>VLOOKUP(A198,[1]timesData!$B:$P,4,FALSE)</f>
        <v>96.3</v>
      </c>
      <c r="F197">
        <f>VLOOKUP(A198,[1]timesData!$B:$P,5,FALSE)</f>
        <v>51.7</v>
      </c>
      <c r="G197">
        <f>VLOOKUP(A198,[1]timesData!$B:$P,6,FALSE)</f>
        <v>45</v>
      </c>
      <c r="H197">
        <f>VLOOKUP(A198,[1]timesData!$B:$P,7,FALSE)</f>
        <v>40</v>
      </c>
      <c r="I197">
        <f>VLOOKUP(A198,[1]timesData!$B:$P,8,FALSE)</f>
        <v>49</v>
      </c>
      <c r="J197">
        <f>VLOOKUP(A198,[1]timesData!$B:$P,9,FALSE)</f>
        <v>25028</v>
      </c>
      <c r="K197">
        <f>VLOOKUP(A198,[1]timesData!$B:$P,10,FALSE)</f>
        <v>16.2</v>
      </c>
      <c r="L197">
        <f>VLOOKUP(A198,[1]timesData!$B:$P,11,FALSE)</f>
        <v>0.33</v>
      </c>
      <c r="M197">
        <f>VLOOKUP(A198,[1]timesData!$B:$P,12,FALSE)</f>
        <v>2.036111111111111</v>
      </c>
      <c r="N197">
        <f>VLOOKUP(A198,[1]timesData!$B:$P,13,FALSE)</f>
        <v>2011</v>
      </c>
      <c r="O197">
        <f>VLOOKUP(A197,[2]cwurData!$B:$P,14,FALSE)</f>
        <v>97</v>
      </c>
      <c r="P197">
        <f>VLOOKUP(A197,[2]cwurData!$B:$N, 3, FALSE)</f>
        <v>6</v>
      </c>
      <c r="Q197">
        <f>VLOOKUP(A197,[2]cwurData!$B:$N, 4, FALSE)</f>
        <v>101</v>
      </c>
      <c r="R197">
        <f>VLOOKUP(A197,[2]cwurData!$B:$N, 5, FALSE)</f>
        <v>101</v>
      </c>
      <c r="S197">
        <f>VLOOKUP(A197,[2]cwurData!$B:$N, 6, FALSE)</f>
        <v>87</v>
      </c>
      <c r="T197">
        <f>VLOOKUP(A197,[2]cwurData!$B:$N, 7, FALSE)</f>
        <v>101</v>
      </c>
      <c r="U197">
        <f>VLOOKUP(A197,[2]cwurData!$B:$N, 8, FALSE)</f>
        <v>101</v>
      </c>
      <c r="V197">
        <f>VLOOKUP(A197,[2]cwurData!$B:$N, 9, FALSE)</f>
        <v>101</v>
      </c>
      <c r="W197">
        <f>VLOOKUP(A197,[2]cwurData!$B:$N, 10, FALSE)</f>
        <v>0</v>
      </c>
      <c r="X197">
        <f>VLOOKUP(A197,[2]cwurData!$B:$N, 11, FALSE)</f>
        <v>92</v>
      </c>
      <c r="Y197">
        <f>VLOOKUP(A197,[2]cwurData!$B:$N, 12, FALSE)</f>
        <v>43.79</v>
      </c>
      <c r="Z197">
        <f>VLOOKUP(A197,[2]cwurData!$B:$N, 13, FALSE)</f>
        <v>2012</v>
      </c>
    </row>
    <row r="198" spans="1:26" x14ac:dyDescent="0.3">
      <c r="A198" t="s">
        <v>174</v>
      </c>
      <c r="B198" t="str">
        <f>IFERROR(VLOOKUP(A198,[1]timesData!$B:$P,2,FALSE),VLOOKUP(A198,[2]cwurData!$B:$P,2,FALSE))</f>
        <v>Singapore</v>
      </c>
      <c r="C198">
        <f>VLOOKUP(A198,[1]timesData!$B:$P,3,FALSE)</f>
        <v>174</v>
      </c>
      <c r="D198">
        <f>VLOOKUP(A199,[1]timesData!$B:$P,3,FALSE)</f>
        <v>174</v>
      </c>
      <c r="E198">
        <f>VLOOKUP(A199,[1]timesData!$B:$P,4,FALSE)</f>
        <v>62.8</v>
      </c>
      <c r="F198">
        <f>VLOOKUP(A199,[1]timesData!$B:$P,5,FALSE)</f>
        <v>40.4</v>
      </c>
      <c r="G198">
        <f>VLOOKUP(A199,[1]timesData!$B:$P,6,FALSE)</f>
        <v>62.8</v>
      </c>
      <c r="H198">
        <f>VLOOKUP(A199,[1]timesData!$B:$P,7,FALSE)</f>
        <v>29.7</v>
      </c>
      <c r="I198">
        <f>VLOOKUP(A199,[1]timesData!$B:$P,8,FALSE)</f>
        <v>49</v>
      </c>
      <c r="J198">
        <f>VLOOKUP(A199,[1]timesData!$B:$P,9,FALSE)</f>
        <v>14992</v>
      </c>
      <c r="K198">
        <f>VLOOKUP(A199,[1]timesData!$B:$P,10,FALSE)</f>
        <v>14.7</v>
      </c>
      <c r="L198">
        <f>VLOOKUP(A199,[1]timesData!$B:$P,11,FALSE)</f>
        <v>0.28000000000000003</v>
      </c>
      <c r="M198">
        <f>VLOOKUP(A199,[1]timesData!$B:$P,12,FALSE)</f>
        <v>2.4458333333333333</v>
      </c>
      <c r="N198">
        <f>VLOOKUP(A199,[1]timesData!$B:$P,13,FALSE)</f>
        <v>2011</v>
      </c>
      <c r="O198">
        <f>VLOOKUP(A198,[2]cwurData!$B:$P,14,FALSE)</f>
        <v>148</v>
      </c>
      <c r="P198">
        <f>VLOOKUP(A198,[2]cwurData!$B:$N, 3, FALSE)</f>
        <v>2</v>
      </c>
      <c r="Q198">
        <f>VLOOKUP(A198,[2]cwurData!$B:$N, 4, FALSE)</f>
        <v>355</v>
      </c>
      <c r="R198">
        <f>VLOOKUP(A198,[2]cwurData!$B:$N, 5, FALSE)</f>
        <v>478</v>
      </c>
      <c r="S198">
        <f>VLOOKUP(A198,[2]cwurData!$B:$N, 6, FALSE)</f>
        <v>210</v>
      </c>
      <c r="T198">
        <f>VLOOKUP(A198,[2]cwurData!$B:$N, 7, FALSE)</f>
        <v>110</v>
      </c>
      <c r="U198">
        <f>VLOOKUP(A198,[2]cwurData!$B:$N, 8, FALSE)</f>
        <v>387</v>
      </c>
      <c r="V198">
        <f>VLOOKUP(A198,[2]cwurData!$B:$N, 9, FALSE)</f>
        <v>220</v>
      </c>
      <c r="W198">
        <f>VLOOKUP(A198,[2]cwurData!$B:$N, 10, FALSE)</f>
        <v>251</v>
      </c>
      <c r="X198">
        <f>VLOOKUP(A198,[2]cwurData!$B:$N, 11, FALSE)</f>
        <v>26</v>
      </c>
      <c r="Y198">
        <f>VLOOKUP(A198,[2]cwurData!$B:$N, 12, FALSE)</f>
        <v>49.35</v>
      </c>
      <c r="Z198">
        <f>VLOOKUP(A198,[2]cwurData!$B:$N, 13, FALSE)</f>
        <v>2014</v>
      </c>
    </row>
    <row r="199" spans="1:26" x14ac:dyDescent="0.3">
      <c r="A199" t="s">
        <v>175</v>
      </c>
      <c r="B199" t="str">
        <f>IFERROR(VLOOKUP(A199,[1]timesData!$B:$P,2,FALSE),VLOOKUP(A199,[2]cwurData!$B:$P,2,FALSE))</f>
        <v>United Kingdom</v>
      </c>
      <c r="C199">
        <f>VLOOKUP(A199,[1]timesData!$B:$P,3,FALSE)</f>
        <v>174</v>
      </c>
      <c r="D199">
        <f>VLOOKUP(A200,[1]timesData!$B:$P,3,FALSE)</f>
        <v>177</v>
      </c>
      <c r="E199">
        <f>VLOOKUP(A200,[1]timesData!$B:$P,4,FALSE)</f>
        <v>45.8</v>
      </c>
      <c r="F199">
        <f>VLOOKUP(A200,[1]timesData!$B:$P,5,FALSE)</f>
        <v>45.7</v>
      </c>
      <c r="G199">
        <f>VLOOKUP(A200,[1]timesData!$B:$P,6,FALSE)</f>
        <v>58.3</v>
      </c>
      <c r="H199">
        <f>VLOOKUP(A200,[1]timesData!$B:$P,7,FALSE)</f>
        <v>26.1</v>
      </c>
      <c r="I199">
        <f>VLOOKUP(A200,[1]timesData!$B:$P,8,FALSE)</f>
        <v>48.8</v>
      </c>
      <c r="J199">
        <f>VLOOKUP(A200,[1]timesData!$B:$P,9,FALSE)</f>
        <v>27545</v>
      </c>
      <c r="K199">
        <f>VLOOKUP(A200,[1]timesData!$B:$P,10,FALSE)</f>
        <v>4.0999999999999996</v>
      </c>
      <c r="L199">
        <f>VLOOKUP(A200,[1]timesData!$B:$P,11,FALSE)</f>
        <v>0.19</v>
      </c>
      <c r="M199">
        <f>VLOOKUP(A200,[1]timesData!$B:$P,12,FALSE)</f>
        <v>2.8145833333333332</v>
      </c>
      <c r="N199">
        <f>VLOOKUP(A200,[1]timesData!$B:$P,13,FALSE)</f>
        <v>2011</v>
      </c>
      <c r="O199">
        <f>VLOOKUP(A199,[2]cwurData!$B:$P,14,FALSE)</f>
        <v>350</v>
      </c>
      <c r="P199">
        <f>VLOOKUP(A199,[2]cwurData!$B:$N, 3, FALSE)</f>
        <v>33</v>
      </c>
      <c r="Q199">
        <f>VLOOKUP(A199,[2]cwurData!$B:$N, 4, FALSE)</f>
        <v>187</v>
      </c>
      <c r="R199">
        <f>VLOOKUP(A199,[2]cwurData!$B:$N, 5, FALSE)</f>
        <v>478</v>
      </c>
      <c r="S199">
        <f>VLOOKUP(A199,[2]cwurData!$B:$N, 6, FALSE)</f>
        <v>174</v>
      </c>
      <c r="T199">
        <f>VLOOKUP(A199,[2]cwurData!$B:$N, 7, FALSE)</f>
        <v>356</v>
      </c>
      <c r="U199">
        <f>VLOOKUP(A199,[2]cwurData!$B:$N, 8, FALSE)</f>
        <v>210</v>
      </c>
      <c r="V199">
        <f>VLOOKUP(A199,[2]cwurData!$B:$N, 9, FALSE)</f>
        <v>187</v>
      </c>
      <c r="W199">
        <f>VLOOKUP(A199,[2]cwurData!$B:$N, 10, FALSE)</f>
        <v>318</v>
      </c>
      <c r="X199">
        <f>VLOOKUP(A199,[2]cwurData!$B:$N, 11, FALSE)</f>
        <v>637</v>
      </c>
      <c r="Y199">
        <f>VLOOKUP(A199,[2]cwurData!$B:$N, 12, FALSE)</f>
        <v>45.87</v>
      </c>
      <c r="Z199">
        <f>VLOOKUP(A199,[2]cwurData!$B:$N, 13, FALSE)</f>
        <v>2014</v>
      </c>
    </row>
    <row r="200" spans="1:26" x14ac:dyDescent="0.3">
      <c r="A200" t="s">
        <v>177</v>
      </c>
      <c r="B200" t="str">
        <f>IFERROR(VLOOKUP(A200,[1]timesData!$B:$P,2,FALSE),VLOOKUP(A200,[2]cwurData!$B:$P,2,FALSE))</f>
        <v>Denmark</v>
      </c>
      <c r="C200">
        <f>VLOOKUP(A200,[1]timesData!$B:$P,3,FALSE)</f>
        <v>177</v>
      </c>
      <c r="D200">
        <f>VLOOKUP(A201,[1]timesData!$B:$P,3,FALSE)</f>
        <v>177</v>
      </c>
      <c r="E200">
        <f>VLOOKUP(A201,[1]timesData!$B:$P,4,FALSE)</f>
        <v>41.2</v>
      </c>
      <c r="F200">
        <f>VLOOKUP(A201,[1]timesData!$B:$P,5,FALSE)</f>
        <v>24.4</v>
      </c>
      <c r="G200">
        <f>VLOOKUP(A201,[1]timesData!$B:$P,6,FALSE)</f>
        <v>87.1</v>
      </c>
      <c r="H200">
        <f>VLOOKUP(A201,[1]timesData!$B:$P,7,FALSE)</f>
        <v>40.6</v>
      </c>
      <c r="I200">
        <f>VLOOKUP(A201,[1]timesData!$B:$P,8,FALSE)</f>
        <v>47.3</v>
      </c>
      <c r="J200">
        <f>VLOOKUP(A201,[1]timesData!$B:$P,9,FALSE)</f>
        <v>19660</v>
      </c>
      <c r="K200">
        <f>VLOOKUP(A201,[1]timesData!$B:$P,10,FALSE)</f>
        <v>15.9</v>
      </c>
      <c r="L200">
        <f>VLOOKUP(A201,[1]timesData!$B:$P,11,FALSE)</f>
        <v>0.15</v>
      </c>
      <c r="M200">
        <f>VLOOKUP(A201,[1]timesData!$B:$P,12,FALSE)</f>
        <v>2.3229166666666665</v>
      </c>
      <c r="N200">
        <f>VLOOKUP(A201,[1]timesData!$B:$P,13,FALSE)</f>
        <v>2015</v>
      </c>
      <c r="O200">
        <f>VLOOKUP(A200,[2]cwurData!$B:$P,14,FALSE)</f>
        <v>93</v>
      </c>
      <c r="P200">
        <f>VLOOKUP(A200,[2]cwurData!$B:$N, 3, FALSE)</f>
        <v>1</v>
      </c>
      <c r="Q200">
        <f>VLOOKUP(A200,[2]cwurData!$B:$N, 4, FALSE)</f>
        <v>101</v>
      </c>
      <c r="R200">
        <f>VLOOKUP(A200,[2]cwurData!$B:$N, 5, FALSE)</f>
        <v>101</v>
      </c>
      <c r="S200">
        <f>VLOOKUP(A200,[2]cwurData!$B:$N, 6, FALSE)</f>
        <v>60</v>
      </c>
      <c r="T200">
        <f>VLOOKUP(A200,[2]cwurData!$B:$N, 7, FALSE)</f>
        <v>85</v>
      </c>
      <c r="U200">
        <f>VLOOKUP(A200,[2]cwurData!$B:$N, 8, FALSE)</f>
        <v>66</v>
      </c>
      <c r="V200">
        <f>VLOOKUP(A200,[2]cwurData!$B:$N, 9, FALSE)</f>
        <v>101</v>
      </c>
      <c r="W200">
        <f>VLOOKUP(A200,[2]cwurData!$B:$N, 10, FALSE)</f>
        <v>0</v>
      </c>
      <c r="X200">
        <f>VLOOKUP(A200,[2]cwurData!$B:$N, 11, FALSE)</f>
        <v>101</v>
      </c>
      <c r="Y200">
        <f>VLOOKUP(A200,[2]cwurData!$B:$N, 12, FALSE)</f>
        <v>44.15</v>
      </c>
      <c r="Z200">
        <f>VLOOKUP(A200,[2]cwurData!$B:$N, 13, FALSE)</f>
        <v>2012</v>
      </c>
    </row>
    <row r="201" spans="1:26" x14ac:dyDescent="0.3">
      <c r="A201" t="s">
        <v>461</v>
      </c>
      <c r="B201" t="str">
        <f>IFERROR(VLOOKUP(A201,[1]timesData!$B:$P,2,FALSE),VLOOKUP(A201,[2]cwurData!$B:$P,2,FALSE))</f>
        <v>United States of America</v>
      </c>
      <c r="C201">
        <f>VLOOKUP(A201,[1]timesData!$B:$P,3,FALSE)</f>
        <v>177</v>
      </c>
      <c r="D201">
        <f>VLOOKUP(A202,[1]timesData!$B:$P,3,FALSE)</f>
        <v>178</v>
      </c>
      <c r="E201">
        <f>VLOOKUP(A202,[1]timesData!$B:$P,4,FALSE)</f>
        <v>46.8</v>
      </c>
      <c r="F201">
        <f>VLOOKUP(A202,[1]timesData!$B:$P,5,FALSE)</f>
        <v>33.799999999999997</v>
      </c>
      <c r="G201">
        <f>VLOOKUP(A202,[1]timesData!$B:$P,6,FALSE)</f>
        <v>65.3</v>
      </c>
      <c r="H201">
        <f>VLOOKUP(A202,[1]timesData!$B:$P,7,FALSE)</f>
        <v>29.4</v>
      </c>
      <c r="I201">
        <f>VLOOKUP(A202,[1]timesData!$B:$P,8,FALSE)</f>
        <v>48.5</v>
      </c>
      <c r="J201">
        <f>VLOOKUP(A202,[1]timesData!$B:$P,9,FALSE)</f>
        <v>32474</v>
      </c>
      <c r="K201">
        <f>VLOOKUP(A202,[1]timesData!$B:$P,10,FALSE)</f>
        <v>70.400000000000006</v>
      </c>
      <c r="L201">
        <f>VLOOKUP(A202,[1]timesData!$B:$P,11,FALSE)</f>
        <v>0.13</v>
      </c>
      <c r="M201">
        <f>VLOOKUP(A202,[1]timesData!$B:$P,12,FALSE)</f>
        <v>2.3229166666666665</v>
      </c>
      <c r="N201">
        <f>VLOOKUP(A202,[1]timesData!$B:$P,13,FALSE)</f>
        <v>2011</v>
      </c>
      <c r="O201">
        <f>VLOOKUP(A201,[2]cwurData!$B:$P,14,FALSE)</f>
        <v>448</v>
      </c>
      <c r="P201">
        <f>VLOOKUP(A201,[2]cwurData!$B:$N, 3, FALSE)</f>
        <v>147</v>
      </c>
      <c r="Q201">
        <f>VLOOKUP(A201,[2]cwurData!$B:$N, 4, FALSE)</f>
        <v>129</v>
      </c>
      <c r="R201">
        <f>VLOOKUP(A201,[2]cwurData!$B:$N, 5, FALSE)</f>
        <v>249</v>
      </c>
      <c r="S201">
        <f>VLOOKUP(A201,[2]cwurData!$B:$N, 6, FALSE)</f>
        <v>210</v>
      </c>
      <c r="T201">
        <f>VLOOKUP(A201,[2]cwurData!$B:$N, 7, FALSE)</f>
        <v>459</v>
      </c>
      <c r="U201">
        <f>VLOOKUP(A201,[2]cwurData!$B:$N, 8, FALSE)</f>
        <v>479</v>
      </c>
      <c r="V201">
        <f>VLOOKUP(A201,[2]cwurData!$B:$N, 9, FALSE)</f>
        <v>310</v>
      </c>
      <c r="W201">
        <f>VLOOKUP(A201,[2]cwurData!$B:$N, 10, FALSE)</f>
        <v>488</v>
      </c>
      <c r="X201">
        <f>VLOOKUP(A201,[2]cwurData!$B:$N, 11, FALSE)</f>
        <v>338</v>
      </c>
      <c r="Y201">
        <f>VLOOKUP(A201,[2]cwurData!$B:$N, 12, FALSE)</f>
        <v>45.34</v>
      </c>
      <c r="Z201">
        <f>VLOOKUP(A201,[2]cwurData!$B:$N, 13, FALSE)</f>
        <v>2014</v>
      </c>
    </row>
    <row r="202" spans="1:26" x14ac:dyDescent="0.3">
      <c r="A202" t="s">
        <v>180</v>
      </c>
      <c r="B202" t="str">
        <f>IFERROR(VLOOKUP(A202,[1]timesData!$B:$P,2,FALSE),VLOOKUP(A202,[2]cwurData!$B:$P,2,FALSE))</f>
        <v>Germany</v>
      </c>
      <c r="C202">
        <f>VLOOKUP(A202,[1]timesData!$B:$P,3,FALSE)</f>
        <v>178</v>
      </c>
      <c r="D202">
        <f>VLOOKUP(A203,[1]timesData!$B:$P,3,FALSE)</f>
        <v>178</v>
      </c>
      <c r="E202">
        <f>VLOOKUP(A203,[1]timesData!$B:$P,4,FALSE)</f>
        <v>22.9</v>
      </c>
      <c r="F202">
        <f>VLOOKUP(A203,[1]timesData!$B:$P,5,FALSE)</f>
        <v>58</v>
      </c>
      <c r="G202">
        <f>VLOOKUP(A203,[1]timesData!$B:$P,6,FALSE)</f>
        <v>18.8</v>
      </c>
      <c r="H202">
        <f>VLOOKUP(A203,[1]timesData!$B:$P,7,FALSE)</f>
        <v>33.299999999999997</v>
      </c>
      <c r="I202">
        <f>VLOOKUP(A203,[1]timesData!$B:$P,8,FALSE)</f>
        <v>44.1</v>
      </c>
      <c r="J202">
        <f>VLOOKUP(A203,[1]timesData!$B:$P,9,FALSE)</f>
        <v>81402</v>
      </c>
      <c r="K202">
        <f>VLOOKUP(A203,[1]timesData!$B:$P,10,FALSE)</f>
        <v>14.6</v>
      </c>
      <c r="L202">
        <f>VLOOKUP(A203,[1]timesData!$B:$P,11,FALSE)</f>
        <v>0.04</v>
      </c>
      <c r="M202">
        <f>VLOOKUP(A203,[1]timesData!$B:$P,12,FALSE)</f>
        <v>2.036111111111111</v>
      </c>
      <c r="N202">
        <f>VLOOKUP(A203,[1]timesData!$B:$P,13,FALSE)</f>
        <v>2012</v>
      </c>
      <c r="O202">
        <f>VLOOKUP(A202,[2]cwurData!$B:$P,14,FALSE)</f>
        <v>98</v>
      </c>
      <c r="P202">
        <f>VLOOKUP(A202,[2]cwurData!$B:$N, 3, FALSE)</f>
        <v>3</v>
      </c>
      <c r="Q202">
        <f>VLOOKUP(A202,[2]cwurData!$B:$N, 4, FALSE)</f>
        <v>23</v>
      </c>
      <c r="R202">
        <f>VLOOKUP(A202,[2]cwurData!$B:$N, 5, FALSE)</f>
        <v>275</v>
      </c>
      <c r="S202">
        <f>VLOOKUP(A202,[2]cwurData!$B:$N, 6, FALSE)</f>
        <v>70</v>
      </c>
      <c r="T202">
        <f>VLOOKUP(A202,[2]cwurData!$B:$N, 7, FALSE)</f>
        <v>156</v>
      </c>
      <c r="U202">
        <f>VLOOKUP(A202,[2]cwurData!$B:$N, 8, FALSE)</f>
        <v>125</v>
      </c>
      <c r="V202">
        <f>VLOOKUP(A202,[2]cwurData!$B:$N, 9, FALSE)</f>
        <v>187</v>
      </c>
      <c r="W202">
        <f>VLOOKUP(A202,[2]cwurData!$B:$N, 10, FALSE)</f>
        <v>145</v>
      </c>
      <c r="X202">
        <f>VLOOKUP(A202,[2]cwurData!$B:$N, 11, FALSE)</f>
        <v>227</v>
      </c>
      <c r="Y202">
        <f>VLOOKUP(A202,[2]cwurData!$B:$N, 12, FALSE)</f>
        <v>51.37</v>
      </c>
      <c r="Z202">
        <f>VLOOKUP(A202,[2]cwurData!$B:$N, 13, FALSE)</f>
        <v>2014</v>
      </c>
    </row>
    <row r="203" spans="1:26" x14ac:dyDescent="0.3">
      <c r="A203" t="s">
        <v>220</v>
      </c>
      <c r="B203" t="str">
        <f>IFERROR(VLOOKUP(A203,[1]timesData!$B:$P,2,FALSE),VLOOKUP(A203,[2]cwurData!$B:$P,2,FALSE))</f>
        <v>Brazil</v>
      </c>
      <c r="C203">
        <f>VLOOKUP(A203,[1]timesData!$B:$P,3,FALSE)</f>
        <v>178</v>
      </c>
      <c r="D203">
        <f>VLOOKUP(A204,[1]timesData!$B:$P,3,FALSE)</f>
        <v>178</v>
      </c>
      <c r="E203">
        <f>VLOOKUP(A204,[1]timesData!$B:$P,4,FALSE)</f>
        <v>46.1</v>
      </c>
      <c r="F203">
        <f>VLOOKUP(A204,[1]timesData!$B:$P,5,FALSE)</f>
        <v>44.5</v>
      </c>
      <c r="G203">
        <f>VLOOKUP(A204,[1]timesData!$B:$P,6,FALSE)</f>
        <v>52</v>
      </c>
      <c r="H203">
        <f>VLOOKUP(A204,[1]timesData!$B:$P,7,FALSE)</f>
        <v>27.8</v>
      </c>
      <c r="I203">
        <f>VLOOKUP(A204,[1]timesData!$B:$P,8,FALSE)</f>
        <v>48.5</v>
      </c>
      <c r="J203">
        <f>VLOOKUP(A204,[1]timesData!$B:$P,9,FALSE)</f>
        <v>29987</v>
      </c>
      <c r="K203">
        <f>VLOOKUP(A204,[1]timesData!$B:$P,10,FALSE)</f>
        <v>52.5</v>
      </c>
      <c r="L203">
        <f>VLOOKUP(A204,[1]timesData!$B:$P,11,FALSE)</f>
        <v>0.16</v>
      </c>
      <c r="M203">
        <f>VLOOKUP(A204,[1]timesData!$B:$P,12,FALSE)</f>
        <v>0</v>
      </c>
      <c r="N203">
        <f>VLOOKUP(A204,[1]timesData!$B:$P,13,FALSE)</f>
        <v>2011</v>
      </c>
      <c r="O203">
        <f>VLOOKUP(A203,[2]cwurData!$B:$P,14,FALSE)</f>
        <v>131</v>
      </c>
      <c r="P203">
        <f>VLOOKUP(A203,[2]cwurData!$B:$N, 3, FALSE)</f>
        <v>1</v>
      </c>
      <c r="Q203">
        <f>VLOOKUP(A203,[2]cwurData!$B:$N, 4, FALSE)</f>
        <v>302</v>
      </c>
      <c r="R203">
        <f>VLOOKUP(A203,[2]cwurData!$B:$N, 5, FALSE)</f>
        <v>70</v>
      </c>
      <c r="S203">
        <f>VLOOKUP(A203,[2]cwurData!$B:$N, 6, FALSE)</f>
        <v>210</v>
      </c>
      <c r="T203">
        <f>VLOOKUP(A203,[2]cwurData!$B:$N, 7, FALSE)</f>
        <v>62</v>
      </c>
      <c r="U203">
        <f>VLOOKUP(A203,[2]cwurData!$B:$N, 8, FALSE)</f>
        <v>182</v>
      </c>
      <c r="V203">
        <f>VLOOKUP(A203,[2]cwurData!$B:$N, 9, FALSE)</f>
        <v>114</v>
      </c>
      <c r="W203">
        <f>VLOOKUP(A203,[2]cwurData!$B:$N, 10, FALSE)</f>
        <v>162</v>
      </c>
      <c r="X203">
        <f>VLOOKUP(A203,[2]cwurData!$B:$N, 11, FALSE)</f>
        <v>737</v>
      </c>
      <c r="Y203">
        <f>VLOOKUP(A203,[2]cwurData!$B:$N, 12, FALSE)</f>
        <v>49.82</v>
      </c>
      <c r="Z203">
        <f>VLOOKUP(A203,[2]cwurData!$B:$N, 13, FALSE)</f>
        <v>2014</v>
      </c>
    </row>
    <row r="204" spans="1:26" x14ac:dyDescent="0.3">
      <c r="A204" t="s">
        <v>178</v>
      </c>
      <c r="B204" t="str">
        <f>IFERROR(VLOOKUP(A204,[1]timesData!$B:$P,2,FALSE),VLOOKUP(A204,[2]cwurData!$B:$P,2,FALSE))</f>
        <v>Germany</v>
      </c>
      <c r="C204">
        <f>VLOOKUP(A204,[1]timesData!$B:$P,3,FALSE)</f>
        <v>178</v>
      </c>
      <c r="D204">
        <f>VLOOKUP(A205,[1]timesData!$B:$P,3,FALSE)</f>
        <v>178</v>
      </c>
      <c r="E204">
        <f>VLOOKUP(A205,[1]timesData!$B:$P,4,FALSE)</f>
        <v>87.1</v>
      </c>
      <c r="F204">
        <f>VLOOKUP(A205,[1]timesData!$B:$P,5,FALSE)</f>
        <v>38.799999999999997</v>
      </c>
      <c r="G204">
        <f>VLOOKUP(A205,[1]timesData!$B:$P,6,FALSE)</f>
        <v>60.5</v>
      </c>
      <c r="H204">
        <f>VLOOKUP(A205,[1]timesData!$B:$P,7,FALSE)</f>
        <v>40.799999999999997</v>
      </c>
      <c r="I204">
        <f>VLOOKUP(A205,[1]timesData!$B:$P,8,FALSE)</f>
        <v>48.5</v>
      </c>
      <c r="J204">
        <f>VLOOKUP(A205,[1]timesData!$B:$P,9,FALSE)</f>
        <v>50882</v>
      </c>
      <c r="K204">
        <f>VLOOKUP(A205,[1]timesData!$B:$P,10,FALSE)</f>
        <v>40.5</v>
      </c>
      <c r="L204">
        <f>VLOOKUP(A205,[1]timesData!$B:$P,11,FALSE)</f>
        <v>0.36</v>
      </c>
      <c r="M204">
        <f>VLOOKUP(A205,[1]timesData!$B:$P,12,FALSE)</f>
        <v>2.3638888888888889</v>
      </c>
      <c r="N204">
        <f>VLOOKUP(A205,[1]timesData!$B:$P,13,FALSE)</f>
        <v>2011</v>
      </c>
      <c r="O204">
        <f>VLOOKUP(A204,[2]cwurData!$B:$P,14,FALSE)</f>
        <v>157</v>
      </c>
      <c r="P204">
        <f>VLOOKUP(A204,[2]cwurData!$B:$N, 3, FALSE)</f>
        <v>6</v>
      </c>
      <c r="Q204">
        <f>VLOOKUP(A204,[2]cwurData!$B:$N, 4, FALSE)</f>
        <v>275</v>
      </c>
      <c r="R204">
        <f>VLOOKUP(A204,[2]cwurData!$B:$N, 5, FALSE)</f>
        <v>478</v>
      </c>
      <c r="S204">
        <f>VLOOKUP(A204,[2]cwurData!$B:$N, 6, FALSE)</f>
        <v>110</v>
      </c>
      <c r="T204">
        <f>VLOOKUP(A204,[2]cwurData!$B:$N, 7, FALSE)</f>
        <v>117</v>
      </c>
      <c r="U204">
        <f>VLOOKUP(A204,[2]cwurData!$B:$N, 8, FALSE)</f>
        <v>84</v>
      </c>
      <c r="V204">
        <f>VLOOKUP(A204,[2]cwurData!$B:$N, 9, FALSE)</f>
        <v>159</v>
      </c>
      <c r="W204">
        <f>VLOOKUP(A204,[2]cwurData!$B:$N, 10, FALSE)</f>
        <v>81</v>
      </c>
      <c r="X204">
        <f>VLOOKUP(A204,[2]cwurData!$B:$N, 11, FALSE)</f>
        <v>373</v>
      </c>
      <c r="Y204">
        <f>VLOOKUP(A204,[2]cwurData!$B:$N, 12, FALSE)</f>
        <v>49.03</v>
      </c>
      <c r="Z204">
        <f>VLOOKUP(A204,[2]cwurData!$B:$N, 13, FALSE)</f>
        <v>2014</v>
      </c>
    </row>
    <row r="205" spans="1:26" x14ac:dyDescent="0.3">
      <c r="A205" t="s">
        <v>179</v>
      </c>
      <c r="B205" t="str">
        <f>IFERROR(VLOOKUP(A205,[1]timesData!$B:$P,2,FALSE),VLOOKUP(A205,[2]cwurData!$B:$P,2,FALSE))</f>
        <v>Australia</v>
      </c>
      <c r="C205">
        <f>VLOOKUP(A205,[1]timesData!$B:$P,3,FALSE)</f>
        <v>178</v>
      </c>
      <c r="D205">
        <f>VLOOKUP(A206,[1]timesData!$B:$P,3,FALSE)</f>
        <v>180</v>
      </c>
      <c r="E205">
        <f>VLOOKUP(A206,[1]timesData!$B:$P,4,FALSE)</f>
        <v>56.3</v>
      </c>
      <c r="F205">
        <f>VLOOKUP(A206,[1]timesData!$B:$P,5,FALSE)</f>
        <v>26.5</v>
      </c>
      <c r="G205">
        <f>VLOOKUP(A206,[1]timesData!$B:$P,6,FALSE)</f>
        <v>81.8</v>
      </c>
      <c r="H205">
        <f>VLOOKUP(A206,[1]timesData!$B:$P,7,FALSE)</f>
        <v>36.299999999999997</v>
      </c>
      <c r="I205">
        <f>VLOOKUP(A206,[1]timesData!$B:$P,8,FALSE)</f>
        <v>48.6</v>
      </c>
      <c r="J205">
        <f>VLOOKUP(A206,[1]timesData!$B:$P,9,FALSE)</f>
        <v>16130</v>
      </c>
      <c r="K205">
        <f>VLOOKUP(A206,[1]timesData!$B:$P,10,FALSE)</f>
        <v>12.1</v>
      </c>
      <c r="L205">
        <f>VLOOKUP(A206,[1]timesData!$B:$P,11,FALSE)</f>
        <v>0.13</v>
      </c>
      <c r="M205">
        <f>VLOOKUP(A206,[1]timesData!$B:$P,12,FALSE)</f>
        <v>0</v>
      </c>
      <c r="N205">
        <f>VLOOKUP(A206,[1]timesData!$B:$P,13,FALSE)</f>
        <v>2013</v>
      </c>
      <c r="O205">
        <f>VLOOKUP(A205,[2]cwurData!$B:$P,14,FALSE)</f>
        <v>170</v>
      </c>
      <c r="P205">
        <f>VLOOKUP(A205,[2]cwurData!$B:$N, 3, FALSE)</f>
        <v>6</v>
      </c>
      <c r="Q205">
        <f>VLOOKUP(A205,[2]cwurData!$B:$N, 4, FALSE)</f>
        <v>277</v>
      </c>
      <c r="R205">
        <f>VLOOKUP(A205,[2]cwurData!$B:$N, 5, FALSE)</f>
        <v>134</v>
      </c>
      <c r="S205">
        <f>VLOOKUP(A205,[2]cwurData!$B:$N, 6, FALSE)</f>
        <v>210</v>
      </c>
      <c r="T205">
        <f>VLOOKUP(A205,[2]cwurData!$B:$N, 7, FALSE)</f>
        <v>96</v>
      </c>
      <c r="U205">
        <f>VLOOKUP(A205,[2]cwurData!$B:$N, 8, FALSE)</f>
        <v>146</v>
      </c>
      <c r="V205">
        <f>VLOOKUP(A205,[2]cwurData!$B:$N, 9, FALSE)</f>
        <v>250</v>
      </c>
      <c r="W205">
        <f>VLOOKUP(A205,[2]cwurData!$B:$N, 10, FALSE)</f>
        <v>173</v>
      </c>
      <c r="X205">
        <f>VLOOKUP(A205,[2]cwurData!$B:$N, 11, FALSE)</f>
        <v>159</v>
      </c>
      <c r="Y205">
        <f>VLOOKUP(A205,[2]cwurData!$B:$N, 12, FALSE)</f>
        <v>48.71</v>
      </c>
      <c r="Z205">
        <f>VLOOKUP(A205,[2]cwurData!$B:$N, 13, FALSE)</f>
        <v>2014</v>
      </c>
    </row>
    <row r="206" spans="1:26" x14ac:dyDescent="0.3">
      <c r="A206" t="s">
        <v>406</v>
      </c>
      <c r="B206" t="str">
        <f>IFERROR(VLOOKUP(A206,[1]timesData!$B:$P,2,FALSE),VLOOKUP(A206,[2]cwurData!$B:$P,2,FALSE))</f>
        <v>France</v>
      </c>
      <c r="C206">
        <f>VLOOKUP(A206,[1]timesData!$B:$P,3,FALSE)</f>
        <v>180</v>
      </c>
      <c r="D206">
        <f>VLOOKUP(A207,[1]timesData!$B:$P,3,FALSE)</f>
        <v>180</v>
      </c>
      <c r="E206">
        <f>VLOOKUP(A207,[1]timesData!$B:$P,4,FALSE)</f>
        <v>45.2</v>
      </c>
      <c r="F206">
        <f>VLOOKUP(A207,[1]timesData!$B:$P,5,FALSE)</f>
        <v>23.2</v>
      </c>
      <c r="G206">
        <f>VLOOKUP(A207,[1]timesData!$B:$P,6,FALSE)</f>
        <v>84.5</v>
      </c>
      <c r="H206">
        <f>VLOOKUP(A207,[1]timesData!$B:$P,7,FALSE)</f>
        <v>71.2</v>
      </c>
      <c r="I206">
        <f>VLOOKUP(A207,[1]timesData!$B:$P,8,FALSE)</f>
        <v>50.2</v>
      </c>
      <c r="J206">
        <f>VLOOKUP(A207,[1]timesData!$B:$P,9,FALSE)</f>
        <v>769</v>
      </c>
      <c r="K206">
        <f>VLOOKUP(A207,[1]timesData!$B:$P,10,FALSE)</f>
        <v>8.5</v>
      </c>
      <c r="L206">
        <f>VLOOKUP(A207,[1]timesData!$B:$P,11,FALSE)</f>
        <v>0.17</v>
      </c>
      <c r="M206" t="str">
        <f>VLOOKUP(A207,[1]timesData!$B:$P,12,FALSE)</f>
        <v>35 : 65</v>
      </c>
      <c r="N206">
        <f>VLOOKUP(A207,[1]timesData!$B:$P,13,FALSE)</f>
        <v>2016</v>
      </c>
      <c r="O206">
        <f>VLOOKUP(A206,[2]cwurData!$B:$P,14,FALSE)</f>
        <v>221</v>
      </c>
      <c r="P206">
        <f>VLOOKUP(A206,[2]cwurData!$B:$N, 3, FALSE)</f>
        <v>8</v>
      </c>
      <c r="Q206">
        <f>VLOOKUP(A206,[2]cwurData!$B:$N, 4, FALSE)</f>
        <v>181</v>
      </c>
      <c r="R206">
        <f>VLOOKUP(A206,[2]cwurData!$B:$N, 5, FALSE)</f>
        <v>478</v>
      </c>
      <c r="S206">
        <f>VLOOKUP(A206,[2]cwurData!$B:$N, 6, FALSE)</f>
        <v>210</v>
      </c>
      <c r="T206">
        <f>VLOOKUP(A206,[2]cwurData!$B:$N, 7, FALSE)</f>
        <v>136</v>
      </c>
      <c r="U206">
        <f>VLOOKUP(A206,[2]cwurData!$B:$N, 8, FALSE)</f>
        <v>101</v>
      </c>
      <c r="V206">
        <f>VLOOKUP(A206,[2]cwurData!$B:$N, 9, FALSE)</f>
        <v>220</v>
      </c>
      <c r="W206">
        <f>VLOOKUP(A206,[2]cwurData!$B:$N, 10, FALSE)</f>
        <v>207</v>
      </c>
      <c r="X206">
        <f>VLOOKUP(A206,[2]cwurData!$B:$N, 11, FALSE)</f>
        <v>159</v>
      </c>
      <c r="Y206">
        <f>VLOOKUP(A206,[2]cwurData!$B:$N, 12, FALSE)</f>
        <v>47.54</v>
      </c>
      <c r="Z206">
        <f>VLOOKUP(A206,[2]cwurData!$B:$N, 13, FALSE)</f>
        <v>2014</v>
      </c>
    </row>
    <row r="207" spans="1:26" x14ac:dyDescent="0.3">
      <c r="A207" t="s">
        <v>483</v>
      </c>
      <c r="B207" t="str">
        <f>IFERROR(VLOOKUP(A207,[1]timesData!$B:$P,2,FALSE),VLOOKUP(A207,[2]cwurData!$B:$P,2,FALSE))</f>
        <v>Italy</v>
      </c>
      <c r="C207">
        <f>VLOOKUP(A207,[1]timesData!$B:$P,3,FALSE)</f>
        <v>180</v>
      </c>
      <c r="D207">
        <f>VLOOKUP(A208,[1]timesData!$B:$P,3,FALSE)</f>
        <v>181</v>
      </c>
      <c r="E207">
        <f>VLOOKUP(A208,[1]timesData!$B:$P,4,FALSE)</f>
        <v>63.9</v>
      </c>
      <c r="F207">
        <f>VLOOKUP(A208,[1]timesData!$B:$P,5,FALSE)</f>
        <v>36.9</v>
      </c>
      <c r="G207">
        <f>VLOOKUP(A208,[1]timesData!$B:$P,6,FALSE)</f>
        <v>56.6</v>
      </c>
      <c r="H207">
        <f>VLOOKUP(A208,[1]timesData!$B:$P,7,FALSE)</f>
        <v>29</v>
      </c>
      <c r="I207">
        <f>VLOOKUP(A208,[1]timesData!$B:$P,8,FALSE)</f>
        <v>43.6</v>
      </c>
      <c r="J207">
        <f>VLOOKUP(A208,[1]timesData!$B:$P,9,FALSE)</f>
        <v>27139</v>
      </c>
      <c r="K207">
        <f>VLOOKUP(A208,[1]timesData!$B:$P,10,FALSE)</f>
        <v>18.8</v>
      </c>
      <c r="L207">
        <f>VLOOKUP(A208,[1]timesData!$B:$P,11,FALSE)</f>
        <v>0.18</v>
      </c>
      <c r="M207">
        <f>VLOOKUP(A208,[1]timesData!$B:$P,12,FALSE)</f>
        <v>0</v>
      </c>
      <c r="N207">
        <f>VLOOKUP(A208,[1]timesData!$B:$P,13,FALSE)</f>
        <v>2012</v>
      </c>
      <c r="O207" t="e">
        <f>VLOOKUP(A207,[2]cwurData!$B:$P,14,FALSE)</f>
        <v>#N/A</v>
      </c>
      <c r="P207" t="e">
        <f>VLOOKUP(A207,[2]cwurData!$B:$N, 3, FALSE)</f>
        <v>#N/A</v>
      </c>
      <c r="Q207" t="e">
        <f>VLOOKUP(A207,[2]cwurData!$B:$N, 4, FALSE)</f>
        <v>#N/A</v>
      </c>
      <c r="R207" t="e">
        <f>VLOOKUP(A207,[2]cwurData!$B:$N, 5, FALSE)</f>
        <v>#N/A</v>
      </c>
      <c r="S207" t="e">
        <f>VLOOKUP(A207,[2]cwurData!$B:$N, 6, FALSE)</f>
        <v>#N/A</v>
      </c>
      <c r="T207" t="e">
        <f>VLOOKUP(A207,[2]cwurData!$B:$N, 7, FALSE)</f>
        <v>#N/A</v>
      </c>
      <c r="U207" t="e">
        <f>VLOOKUP(A207,[2]cwurData!$B:$N, 8, FALSE)</f>
        <v>#N/A</v>
      </c>
      <c r="V207" t="e">
        <f>VLOOKUP(A207,[2]cwurData!$B:$N, 9, FALSE)</f>
        <v>#N/A</v>
      </c>
      <c r="W207" t="e">
        <f>VLOOKUP(A207,[2]cwurData!$B:$N, 10, FALSE)</f>
        <v>#N/A</v>
      </c>
      <c r="X207" t="e">
        <f>VLOOKUP(A207,[2]cwurData!$B:$N, 11, FALSE)</f>
        <v>#N/A</v>
      </c>
      <c r="Y207" t="e">
        <f>VLOOKUP(A207,[2]cwurData!$B:$N, 12, FALSE)</f>
        <v>#N/A</v>
      </c>
      <c r="Z207" t="e">
        <f>VLOOKUP(A207,[2]cwurData!$B:$N, 13, FALSE)</f>
        <v>#N/A</v>
      </c>
    </row>
    <row r="208" spans="1:26" x14ac:dyDescent="0.3">
      <c r="A208" t="s">
        <v>221</v>
      </c>
      <c r="B208" t="str">
        <f>IFERROR(VLOOKUP(A208,[1]timesData!$B:$P,2,FALSE),VLOOKUP(A208,[2]cwurData!$B:$P,2,FALSE))</f>
        <v>Norway</v>
      </c>
      <c r="C208">
        <f>VLOOKUP(A208,[1]timesData!$B:$P,3,FALSE)</f>
        <v>181</v>
      </c>
      <c r="D208">
        <f>VLOOKUP(A209,[1]timesData!$B:$P,3,FALSE)</f>
        <v>181</v>
      </c>
      <c r="E208">
        <f>VLOOKUP(A209,[1]timesData!$B:$P,4,FALSE)</f>
        <v>57.9</v>
      </c>
      <c r="F208">
        <f>VLOOKUP(A209,[1]timesData!$B:$P,5,FALSE)</f>
        <v>54.4</v>
      </c>
      <c r="G208">
        <f>VLOOKUP(A209,[1]timesData!$B:$P,6,FALSE)</f>
        <v>32.9</v>
      </c>
      <c r="H208">
        <f>VLOOKUP(A209,[1]timesData!$B:$P,7,FALSE)</f>
        <v>98.7</v>
      </c>
      <c r="I208">
        <f>VLOOKUP(A209,[1]timesData!$B:$P,8,FALSE)</f>
        <v>48.3</v>
      </c>
      <c r="J208">
        <f>VLOOKUP(A209,[1]timesData!$B:$P,9,FALSE)</f>
        <v>12646</v>
      </c>
      <c r="K208">
        <f>VLOOKUP(A209,[1]timesData!$B:$P,10,FALSE)</f>
        <v>16.600000000000001</v>
      </c>
      <c r="L208">
        <f>VLOOKUP(A209,[1]timesData!$B:$P,11,FALSE)</f>
        <v>0.05</v>
      </c>
      <c r="M208" t="str">
        <f>VLOOKUP(A209,[1]timesData!$B:$P,12,FALSE)</f>
        <v>27 : 73</v>
      </c>
      <c r="N208">
        <f>VLOOKUP(A209,[1]timesData!$B:$P,13,FALSE)</f>
        <v>2011</v>
      </c>
      <c r="O208">
        <f>VLOOKUP(A208,[2]cwurData!$B:$P,14,FALSE)</f>
        <v>91</v>
      </c>
      <c r="P208">
        <f>VLOOKUP(A208,[2]cwurData!$B:$N, 3, FALSE)</f>
        <v>1</v>
      </c>
      <c r="Q208">
        <f>VLOOKUP(A208,[2]cwurData!$B:$N, 4, FALSE)</f>
        <v>101</v>
      </c>
      <c r="R208">
        <f>VLOOKUP(A208,[2]cwurData!$B:$N, 5, FALSE)</f>
        <v>101</v>
      </c>
      <c r="S208">
        <f>VLOOKUP(A208,[2]cwurData!$B:$N, 6, FALSE)</f>
        <v>39</v>
      </c>
      <c r="T208">
        <f>VLOOKUP(A208,[2]cwurData!$B:$N, 7, FALSE)</f>
        <v>101</v>
      </c>
      <c r="U208">
        <f>VLOOKUP(A208,[2]cwurData!$B:$N, 8, FALSE)</f>
        <v>101</v>
      </c>
      <c r="V208">
        <f>VLOOKUP(A208,[2]cwurData!$B:$N, 9, FALSE)</f>
        <v>101</v>
      </c>
      <c r="W208">
        <f>VLOOKUP(A208,[2]cwurData!$B:$N, 10, FALSE)</f>
        <v>0</v>
      </c>
      <c r="X208">
        <f>VLOOKUP(A208,[2]cwurData!$B:$N, 11, FALSE)</f>
        <v>101</v>
      </c>
      <c r="Y208">
        <f>VLOOKUP(A208,[2]cwurData!$B:$N, 12, FALSE)</f>
        <v>44.26</v>
      </c>
      <c r="Z208">
        <f>VLOOKUP(A208,[2]cwurData!$B:$N, 13, FALSE)</f>
        <v>2012</v>
      </c>
    </row>
    <row r="209" spans="1:26" x14ac:dyDescent="0.3">
      <c r="A209" t="s">
        <v>181</v>
      </c>
      <c r="B209" t="str">
        <f>IFERROR(VLOOKUP(A209,[1]timesData!$B:$P,2,FALSE),VLOOKUP(A209,[2]cwurData!$B:$P,2,FALSE))</f>
        <v>Taiwan</v>
      </c>
      <c r="C209">
        <f>VLOOKUP(A209,[1]timesData!$B:$P,3,FALSE)</f>
        <v>181</v>
      </c>
      <c r="D209">
        <f>VLOOKUP(A210,[1]timesData!$B:$P,3,FALSE)</f>
        <v>182</v>
      </c>
      <c r="E209">
        <f>VLOOKUP(A210,[1]timesData!$B:$P,4,FALSE)</f>
        <v>63.8</v>
      </c>
      <c r="F209">
        <f>VLOOKUP(A210,[1]timesData!$B:$P,5,FALSE)</f>
        <v>42.5</v>
      </c>
      <c r="G209">
        <f>VLOOKUP(A210,[1]timesData!$B:$P,6,FALSE)</f>
        <v>48.9</v>
      </c>
      <c r="H209">
        <f>VLOOKUP(A210,[1]timesData!$B:$P,7,FALSE)</f>
        <v>56.6</v>
      </c>
      <c r="I209">
        <f>VLOOKUP(A210,[1]timesData!$B:$P,8,FALSE)</f>
        <v>48.2</v>
      </c>
      <c r="J209">
        <f>VLOOKUP(A210,[1]timesData!$B:$P,9,FALSE)</f>
        <v>37917</v>
      </c>
      <c r="K209">
        <f>VLOOKUP(A210,[1]timesData!$B:$P,10,FALSE)</f>
        <v>27.6</v>
      </c>
      <c r="L209">
        <f>VLOOKUP(A210,[1]timesData!$B:$P,11,FALSE)</f>
        <v>0.16</v>
      </c>
      <c r="M209" t="str">
        <f>VLOOKUP(A210,[1]timesData!$B:$P,12,FALSE)</f>
        <v>31 : 69</v>
      </c>
      <c r="N209">
        <f>VLOOKUP(A210,[1]timesData!$B:$P,13,FALSE)</f>
        <v>2011</v>
      </c>
      <c r="O209">
        <f>VLOOKUP(A209,[2]cwurData!$B:$P,14,FALSE)</f>
        <v>411</v>
      </c>
      <c r="P209">
        <f>VLOOKUP(A209,[2]cwurData!$B:$N, 3, FALSE)</f>
        <v>3</v>
      </c>
      <c r="Q209">
        <f>VLOOKUP(A209,[2]cwurData!$B:$N, 4, FALSE)</f>
        <v>355</v>
      </c>
      <c r="R209">
        <f>VLOOKUP(A209,[2]cwurData!$B:$N, 5, FALSE)</f>
        <v>220</v>
      </c>
      <c r="S209">
        <f>VLOOKUP(A209,[2]cwurData!$B:$N, 6, FALSE)</f>
        <v>210</v>
      </c>
      <c r="T209">
        <f>VLOOKUP(A209,[2]cwurData!$B:$N, 7, FALSE)</f>
        <v>232</v>
      </c>
      <c r="U209">
        <f>VLOOKUP(A209,[2]cwurData!$B:$N, 8, FALSE)</f>
        <v>638</v>
      </c>
      <c r="V209">
        <f>VLOOKUP(A209,[2]cwurData!$B:$N, 9, FALSE)</f>
        <v>609</v>
      </c>
      <c r="W209">
        <f>VLOOKUP(A209,[2]cwurData!$B:$N, 10, FALSE)</f>
        <v>442</v>
      </c>
      <c r="X209">
        <f>VLOOKUP(A209,[2]cwurData!$B:$N, 11, FALSE)</f>
        <v>737</v>
      </c>
      <c r="Y209">
        <f>VLOOKUP(A209,[2]cwurData!$B:$N, 12, FALSE)</f>
        <v>45.49</v>
      </c>
      <c r="Z209">
        <f>VLOOKUP(A209,[2]cwurData!$B:$N, 13, FALSE)</f>
        <v>2014</v>
      </c>
    </row>
    <row r="210" spans="1:26" x14ac:dyDescent="0.3">
      <c r="A210" t="s">
        <v>182</v>
      </c>
      <c r="B210" t="str">
        <f>IFERROR(VLOOKUP(A210,[1]timesData!$B:$P,2,FALSE),VLOOKUP(A210,[2]cwurData!$B:$P,2,FALSE))</f>
        <v>Germany</v>
      </c>
      <c r="C210">
        <f>VLOOKUP(A210,[1]timesData!$B:$P,3,FALSE)</f>
        <v>182</v>
      </c>
      <c r="D210">
        <f>VLOOKUP(A211,[1]timesData!$B:$P,3,FALSE)</f>
        <v>182</v>
      </c>
      <c r="E210">
        <f>VLOOKUP(A211,[1]timesData!$B:$P,4,FALSE)</f>
        <v>44.6</v>
      </c>
      <c r="F210">
        <f>VLOOKUP(A211,[1]timesData!$B:$P,5,FALSE)</f>
        <v>27.1</v>
      </c>
      <c r="G210">
        <f>VLOOKUP(A211,[1]timesData!$B:$P,6,FALSE)</f>
        <v>88.5</v>
      </c>
      <c r="H210">
        <f>VLOOKUP(A211,[1]timesData!$B:$P,7,FALSE)</f>
        <v>42.9</v>
      </c>
      <c r="I210">
        <f>VLOOKUP(A211,[1]timesData!$B:$P,8,FALSE)</f>
        <v>46.9</v>
      </c>
      <c r="J210">
        <f>VLOOKUP(A211,[1]timesData!$B:$P,9,FALSE)</f>
        <v>2739</v>
      </c>
      <c r="K210">
        <f>VLOOKUP(A211,[1]timesData!$B:$P,10,FALSE)</f>
        <v>15.9</v>
      </c>
      <c r="L210">
        <f>VLOOKUP(A211,[1]timesData!$B:$P,11,FALSE)</f>
        <v>0.06</v>
      </c>
      <c r="M210" t="str">
        <f>VLOOKUP(A211,[1]timesData!$B:$P,12,FALSE)</f>
        <v>39 : 61</v>
      </c>
      <c r="N210">
        <f>VLOOKUP(A211,[1]timesData!$B:$P,13,FALSE)</f>
        <v>2015</v>
      </c>
      <c r="O210">
        <f>VLOOKUP(A210,[2]cwurData!$B:$P,14,FALSE)</f>
        <v>238</v>
      </c>
      <c r="P210">
        <f>VLOOKUP(A210,[2]cwurData!$B:$N, 3, FALSE)</f>
        <v>19</v>
      </c>
      <c r="Q210">
        <f>VLOOKUP(A210,[2]cwurData!$B:$N, 4, FALSE)</f>
        <v>346</v>
      </c>
      <c r="R210">
        <f>VLOOKUP(A210,[2]cwurData!$B:$N, 5, FALSE)</f>
        <v>286</v>
      </c>
      <c r="S210">
        <f>VLOOKUP(A210,[2]cwurData!$B:$N, 6, FALSE)</f>
        <v>122</v>
      </c>
      <c r="T210">
        <f>VLOOKUP(A210,[2]cwurData!$B:$N, 7, FALSE)</f>
        <v>197</v>
      </c>
      <c r="U210">
        <f>VLOOKUP(A210,[2]cwurData!$B:$N, 8, FALSE)</f>
        <v>364</v>
      </c>
      <c r="V210">
        <f>VLOOKUP(A210,[2]cwurData!$B:$N, 9, FALSE)</f>
        <v>187</v>
      </c>
      <c r="W210">
        <f>VLOOKUP(A210,[2]cwurData!$B:$N, 10, FALSE)</f>
        <v>230</v>
      </c>
      <c r="X210">
        <f>VLOOKUP(A210,[2]cwurData!$B:$N, 11, FALSE)</f>
        <v>138</v>
      </c>
      <c r="Y210">
        <f>VLOOKUP(A210,[2]cwurData!$B:$N, 12, FALSE)</f>
        <v>47.26</v>
      </c>
      <c r="Z210">
        <f>VLOOKUP(A210,[2]cwurData!$B:$N, 13, FALSE)</f>
        <v>2014</v>
      </c>
    </row>
    <row r="211" spans="1:26" x14ac:dyDescent="0.3">
      <c r="A211" t="s">
        <v>462</v>
      </c>
      <c r="B211" t="str">
        <f>IFERROR(VLOOKUP(A211,[1]timesData!$B:$P,2,FALSE),VLOOKUP(A211,[2]cwurData!$B:$P,2,FALSE))</f>
        <v>Turkey</v>
      </c>
      <c r="C211">
        <f>VLOOKUP(A211,[1]timesData!$B:$P,3,FALSE)</f>
        <v>182</v>
      </c>
      <c r="D211">
        <f>VLOOKUP(A212,[1]timesData!$B:$P,3,FALSE)</f>
        <v>183</v>
      </c>
      <c r="E211">
        <f>VLOOKUP(A212,[1]timesData!$B:$P,4,FALSE)</f>
        <v>27.2</v>
      </c>
      <c r="F211">
        <f>VLOOKUP(A212,[1]timesData!$B:$P,5,FALSE)</f>
        <v>39.5</v>
      </c>
      <c r="G211">
        <f>VLOOKUP(A212,[1]timesData!$B:$P,6,FALSE)</f>
        <v>66.400000000000006</v>
      </c>
      <c r="H211">
        <f>VLOOKUP(A212,[1]timesData!$B:$P,7,FALSE)</f>
        <v>43.9</v>
      </c>
      <c r="I211">
        <f>VLOOKUP(A212,[1]timesData!$B:$P,8,FALSE)</f>
        <v>47.7</v>
      </c>
      <c r="J211">
        <f>VLOOKUP(A212,[1]timesData!$B:$P,9,FALSE)</f>
        <v>25779</v>
      </c>
      <c r="K211">
        <f>VLOOKUP(A212,[1]timesData!$B:$P,10,FALSE)</f>
        <v>22.2</v>
      </c>
      <c r="L211">
        <f>VLOOKUP(A212,[1]timesData!$B:$P,11,FALSE)</f>
        <v>7.0000000000000007E-2</v>
      </c>
      <c r="M211">
        <f>VLOOKUP(A212,[1]timesData!$B:$P,12,FALSE)</f>
        <v>1.8722222222222222</v>
      </c>
      <c r="N211">
        <f>VLOOKUP(A212,[1]timesData!$B:$P,13,FALSE)</f>
        <v>2011</v>
      </c>
      <c r="O211" t="e">
        <f>VLOOKUP(A211,[2]cwurData!$B:$P,14,FALSE)</f>
        <v>#N/A</v>
      </c>
      <c r="P211" t="e">
        <f>VLOOKUP(A211,[2]cwurData!$B:$N, 3, FALSE)</f>
        <v>#N/A</v>
      </c>
      <c r="Q211" t="e">
        <f>VLOOKUP(A211,[2]cwurData!$B:$N, 4, FALSE)</f>
        <v>#N/A</v>
      </c>
      <c r="R211" t="e">
        <f>VLOOKUP(A211,[2]cwurData!$B:$N, 5, FALSE)</f>
        <v>#N/A</v>
      </c>
      <c r="S211" t="e">
        <f>VLOOKUP(A211,[2]cwurData!$B:$N, 6, FALSE)</f>
        <v>#N/A</v>
      </c>
      <c r="T211" t="e">
        <f>VLOOKUP(A211,[2]cwurData!$B:$N, 7, FALSE)</f>
        <v>#N/A</v>
      </c>
      <c r="U211" t="e">
        <f>VLOOKUP(A211,[2]cwurData!$B:$N, 8, FALSE)</f>
        <v>#N/A</v>
      </c>
      <c r="V211" t="e">
        <f>VLOOKUP(A211,[2]cwurData!$B:$N, 9, FALSE)</f>
        <v>#N/A</v>
      </c>
      <c r="W211" t="e">
        <f>VLOOKUP(A211,[2]cwurData!$B:$N, 10, FALSE)</f>
        <v>#N/A</v>
      </c>
      <c r="X211" t="e">
        <f>VLOOKUP(A211,[2]cwurData!$B:$N, 11, FALSE)</f>
        <v>#N/A</v>
      </c>
      <c r="Y211" t="e">
        <f>VLOOKUP(A211,[2]cwurData!$B:$N, 12, FALSE)</f>
        <v>#N/A</v>
      </c>
      <c r="Z211" t="e">
        <f>VLOOKUP(A211,[2]cwurData!$B:$N, 13, FALSE)</f>
        <v>#N/A</v>
      </c>
    </row>
    <row r="212" spans="1:26" x14ac:dyDescent="0.3">
      <c r="A212" t="s">
        <v>183</v>
      </c>
      <c r="B212" t="str">
        <f>IFERROR(VLOOKUP(A212,[1]timesData!$B:$P,2,FALSE),VLOOKUP(A212,[2]cwurData!$B:$P,2,FALSE))</f>
        <v>Turkey</v>
      </c>
      <c r="C212">
        <f>VLOOKUP(A212,[1]timesData!$B:$P,3,FALSE)</f>
        <v>183</v>
      </c>
      <c r="D212">
        <f>VLOOKUP(A213,[1]timesData!$B:$P,3,FALSE)</f>
        <v>184</v>
      </c>
      <c r="E212">
        <f>VLOOKUP(A213,[1]timesData!$B:$P,4,FALSE)</f>
        <v>62.8</v>
      </c>
      <c r="F212">
        <f>VLOOKUP(A213,[1]timesData!$B:$P,5,FALSE)</f>
        <v>42.5</v>
      </c>
      <c r="G212">
        <f>VLOOKUP(A213,[1]timesData!$B:$P,6,FALSE)</f>
        <v>57.9</v>
      </c>
      <c r="H212">
        <f>VLOOKUP(A213,[1]timesData!$B:$P,7,FALSE)</f>
        <v>32.200000000000003</v>
      </c>
      <c r="I212">
        <f>VLOOKUP(A213,[1]timesData!$B:$P,8,FALSE)</f>
        <v>47.6</v>
      </c>
      <c r="J212">
        <f>VLOOKUP(A213,[1]timesData!$B:$P,9,FALSE)</f>
        <v>17755</v>
      </c>
      <c r="K212">
        <f>VLOOKUP(A213,[1]timesData!$B:$P,10,FALSE)</f>
        <v>18.8</v>
      </c>
      <c r="L212">
        <f>VLOOKUP(A213,[1]timesData!$B:$P,11,FALSE)</f>
        <v>0.28000000000000003</v>
      </c>
      <c r="M212">
        <f>VLOOKUP(A213,[1]timesData!$B:$P,12,FALSE)</f>
        <v>2.2819444444444446</v>
      </c>
      <c r="N212">
        <f>VLOOKUP(A213,[1]timesData!$B:$P,13,FALSE)</f>
        <v>2011</v>
      </c>
      <c r="O212">
        <f>VLOOKUP(A212,[2]cwurData!$B:$P,14,FALSE)</f>
        <v>396</v>
      </c>
      <c r="P212">
        <f>VLOOKUP(A212,[2]cwurData!$B:$N, 3, FALSE)</f>
        <v>1</v>
      </c>
      <c r="Q212">
        <f>VLOOKUP(A212,[2]cwurData!$B:$N, 4, FALSE)</f>
        <v>355</v>
      </c>
      <c r="R212">
        <f>VLOOKUP(A212,[2]cwurData!$B:$N, 5, FALSE)</f>
        <v>79</v>
      </c>
      <c r="S212">
        <f>VLOOKUP(A212,[2]cwurData!$B:$N, 6, FALSE)</f>
        <v>210</v>
      </c>
      <c r="T212">
        <f>VLOOKUP(A212,[2]cwurData!$B:$N, 7, FALSE)</f>
        <v>529</v>
      </c>
      <c r="U212">
        <f>VLOOKUP(A212,[2]cwurData!$B:$N, 8, FALSE)</f>
        <v>904</v>
      </c>
      <c r="V212">
        <f>VLOOKUP(A212,[2]cwurData!$B:$N, 9, FALSE)</f>
        <v>493</v>
      </c>
      <c r="W212">
        <f>VLOOKUP(A212,[2]cwurData!$B:$N, 10, FALSE)</f>
        <v>724</v>
      </c>
      <c r="X212">
        <f>VLOOKUP(A212,[2]cwurData!$B:$N, 11, FALSE)</f>
        <v>737</v>
      </c>
      <c r="Y212">
        <f>VLOOKUP(A212,[2]cwurData!$B:$N, 12, FALSE)</f>
        <v>45.57</v>
      </c>
      <c r="Z212">
        <f>VLOOKUP(A212,[2]cwurData!$B:$N, 13, FALSE)</f>
        <v>2014</v>
      </c>
    </row>
    <row r="213" spans="1:26" x14ac:dyDescent="0.3">
      <c r="A213" t="s">
        <v>184</v>
      </c>
      <c r="B213" t="str">
        <f>IFERROR(VLOOKUP(A213,[1]timesData!$B:$P,2,FALSE),VLOOKUP(A213,[2]cwurData!$B:$P,2,FALSE))</f>
        <v>United Kingdom</v>
      </c>
      <c r="C213">
        <f>VLOOKUP(A213,[1]timesData!$B:$P,3,FALSE)</f>
        <v>184</v>
      </c>
      <c r="D213">
        <f>VLOOKUP(A214,[1]timesData!$B:$P,3,FALSE)</f>
        <v>185</v>
      </c>
      <c r="E213">
        <f>VLOOKUP(A214,[1]timesData!$B:$P,4,FALSE)</f>
        <v>49.6</v>
      </c>
      <c r="F213">
        <f>VLOOKUP(A214,[1]timesData!$B:$P,5,FALSE)</f>
        <v>34.799999999999997</v>
      </c>
      <c r="G213">
        <f>VLOOKUP(A214,[1]timesData!$B:$P,6,FALSE)</f>
        <v>54.8</v>
      </c>
      <c r="H213">
        <f>VLOOKUP(A214,[1]timesData!$B:$P,7,FALSE)</f>
        <v>36.9</v>
      </c>
      <c r="I213">
        <f>VLOOKUP(A214,[1]timesData!$B:$P,8,FALSE)</f>
        <v>43.2</v>
      </c>
      <c r="J213">
        <f>VLOOKUP(A214,[1]timesData!$B:$P,9,FALSE)</f>
        <v>36733</v>
      </c>
      <c r="K213">
        <f>VLOOKUP(A214,[1]timesData!$B:$P,10,FALSE)</f>
        <v>26.3</v>
      </c>
      <c r="L213">
        <f>VLOOKUP(A214,[1]timesData!$B:$P,11,FALSE)</f>
        <v>0.15</v>
      </c>
      <c r="M213">
        <f>VLOOKUP(A214,[1]timesData!$B:$P,12,FALSE)</f>
        <v>2.5277777777777777</v>
      </c>
      <c r="N213">
        <f>VLOOKUP(A214,[1]timesData!$B:$P,13,FALSE)</f>
        <v>2012</v>
      </c>
      <c r="O213">
        <f>VLOOKUP(A213,[2]cwurData!$B:$P,14,FALSE)</f>
        <v>357</v>
      </c>
      <c r="P213">
        <f>VLOOKUP(A213,[2]cwurData!$B:$N, 3, FALSE)</f>
        <v>34</v>
      </c>
      <c r="Q213">
        <f>VLOOKUP(A213,[2]cwurData!$B:$N, 4, FALSE)</f>
        <v>250</v>
      </c>
      <c r="R213">
        <f>VLOOKUP(A213,[2]cwurData!$B:$N, 5, FALSE)</f>
        <v>371</v>
      </c>
      <c r="S213">
        <f>VLOOKUP(A213,[2]cwurData!$B:$N, 6, FALSE)</f>
        <v>210</v>
      </c>
      <c r="T213">
        <f>VLOOKUP(A213,[2]cwurData!$B:$N, 7, FALSE)</f>
        <v>309</v>
      </c>
      <c r="U213">
        <f>VLOOKUP(A213,[2]cwurData!$B:$N, 8, FALSE)</f>
        <v>188</v>
      </c>
      <c r="V213">
        <f>VLOOKUP(A213,[2]cwurData!$B:$N, 9, FALSE)</f>
        <v>406</v>
      </c>
      <c r="W213">
        <f>VLOOKUP(A213,[2]cwurData!$B:$N, 10, FALSE)</f>
        <v>322</v>
      </c>
      <c r="X213">
        <f>VLOOKUP(A213,[2]cwurData!$B:$N, 11, FALSE)</f>
        <v>481</v>
      </c>
      <c r="Y213">
        <f>VLOOKUP(A213,[2]cwurData!$B:$N, 12, FALSE)</f>
        <v>45.79</v>
      </c>
      <c r="Z213">
        <f>VLOOKUP(A213,[2]cwurData!$B:$N, 13, FALSE)</f>
        <v>2014</v>
      </c>
    </row>
    <row r="214" spans="1:26" x14ac:dyDescent="0.3">
      <c r="A214" t="s">
        <v>222</v>
      </c>
      <c r="B214" t="str">
        <f>IFERROR(VLOOKUP(A214,[1]timesData!$B:$P,2,FALSE),VLOOKUP(A214,[2]cwurData!$B:$P,2,FALSE))</f>
        <v>Canada</v>
      </c>
      <c r="C214">
        <f>VLOOKUP(A214,[1]timesData!$B:$P,3,FALSE)</f>
        <v>185</v>
      </c>
      <c r="D214">
        <f>VLOOKUP(A215,[1]timesData!$B:$P,3,FALSE)</f>
        <v>185</v>
      </c>
      <c r="E214">
        <f>VLOOKUP(A215,[1]timesData!$B:$P,4,FALSE)</f>
        <v>62.4</v>
      </c>
      <c r="F214">
        <f>VLOOKUP(A215,[1]timesData!$B:$P,5,FALSE)</f>
        <v>48.3</v>
      </c>
      <c r="G214">
        <f>VLOOKUP(A215,[1]timesData!$B:$P,6,FALSE)</f>
        <v>42</v>
      </c>
      <c r="H214">
        <f>VLOOKUP(A215,[1]timesData!$B:$P,7,FALSE)</f>
        <v>49.8</v>
      </c>
      <c r="I214">
        <f>VLOOKUP(A215,[1]timesData!$B:$P,8,FALSE)</f>
        <v>47.5</v>
      </c>
      <c r="J214">
        <f>VLOOKUP(A215,[1]timesData!$B:$P,9,FALSE)</f>
        <v>6631</v>
      </c>
      <c r="K214">
        <f>VLOOKUP(A215,[1]timesData!$B:$P,10,FALSE)</f>
        <v>12</v>
      </c>
      <c r="L214">
        <f>VLOOKUP(A215,[1]timesData!$B:$P,11,FALSE)</f>
        <v>0.26</v>
      </c>
      <c r="M214" t="str">
        <f>VLOOKUP(A215,[1]timesData!$B:$P,12,FALSE)</f>
        <v>37 : 63</v>
      </c>
      <c r="N214">
        <f>VLOOKUP(A215,[1]timesData!$B:$P,13,FALSE)</f>
        <v>2011</v>
      </c>
      <c r="O214">
        <f>VLOOKUP(A214,[2]cwurData!$B:$P,14,FALSE)</f>
        <v>212</v>
      </c>
      <c r="P214">
        <f>VLOOKUP(A214,[2]cwurData!$B:$N, 3, FALSE)</f>
        <v>9</v>
      </c>
      <c r="Q214">
        <f>VLOOKUP(A214,[2]cwurData!$B:$N, 4, FALSE)</f>
        <v>355</v>
      </c>
      <c r="R214">
        <f>VLOOKUP(A214,[2]cwurData!$B:$N, 5, FALSE)</f>
        <v>287</v>
      </c>
      <c r="S214">
        <f>VLOOKUP(A214,[2]cwurData!$B:$N, 6, FALSE)</f>
        <v>210</v>
      </c>
      <c r="T214">
        <f>VLOOKUP(A214,[2]cwurData!$B:$N, 7, FALSE)</f>
        <v>185</v>
      </c>
      <c r="U214">
        <f>VLOOKUP(A214,[2]cwurData!$B:$N, 8, FALSE)</f>
        <v>191</v>
      </c>
      <c r="V214">
        <f>VLOOKUP(A214,[2]cwurData!$B:$N, 9, FALSE)</f>
        <v>159</v>
      </c>
      <c r="W214">
        <f>VLOOKUP(A214,[2]cwurData!$B:$N, 10, FALSE)</f>
        <v>141</v>
      </c>
      <c r="X214">
        <f>VLOOKUP(A214,[2]cwurData!$B:$N, 11, FALSE)</f>
        <v>481</v>
      </c>
      <c r="Y214">
        <f>VLOOKUP(A214,[2]cwurData!$B:$N, 12, FALSE)</f>
        <v>47.69</v>
      </c>
      <c r="Z214">
        <f>VLOOKUP(A214,[2]cwurData!$B:$N, 13, FALSE)</f>
        <v>2014</v>
      </c>
    </row>
    <row r="215" spans="1:26" x14ac:dyDescent="0.3">
      <c r="A215" t="s">
        <v>185</v>
      </c>
      <c r="B215" t="str">
        <f>IFERROR(VLOOKUP(A215,[1]timesData!$B:$P,2,FALSE),VLOOKUP(A215,[2]cwurData!$B:$P,2,FALSE))</f>
        <v>Netherlands</v>
      </c>
      <c r="C215">
        <f>VLOOKUP(A215,[1]timesData!$B:$P,3,FALSE)</f>
        <v>185</v>
      </c>
      <c r="D215">
        <f>VLOOKUP(A216,[1]timesData!$B:$P,3,FALSE)</f>
        <v>186</v>
      </c>
      <c r="E215">
        <f>VLOOKUP(A216,[1]timesData!$B:$P,4,FALSE)</f>
        <v>93.6</v>
      </c>
      <c r="F215">
        <f>VLOOKUP(A216,[1]timesData!$B:$P,5,FALSE)</f>
        <v>40.1</v>
      </c>
      <c r="G215">
        <f>VLOOKUP(A216,[1]timesData!$B:$P,6,FALSE)</f>
        <v>51.3</v>
      </c>
      <c r="H215" t="str">
        <f>VLOOKUP(A216,[1]timesData!$B:$P,7,FALSE)</f>
        <v>-</v>
      </c>
      <c r="I215">
        <f>VLOOKUP(A216,[1]timesData!$B:$P,8,FALSE)</f>
        <v>47.3</v>
      </c>
      <c r="J215">
        <f>VLOOKUP(A216,[1]timesData!$B:$P,9,FALSE)</f>
        <v>10930</v>
      </c>
      <c r="K215">
        <f>VLOOKUP(A216,[1]timesData!$B:$P,10,FALSE)</f>
        <v>59.1</v>
      </c>
      <c r="L215">
        <f>VLOOKUP(A216,[1]timesData!$B:$P,11,FALSE)</f>
        <v>0.12</v>
      </c>
      <c r="M215">
        <f>VLOOKUP(A216,[1]timesData!$B:$P,12,FALSE)</f>
        <v>2.2819444444444446</v>
      </c>
      <c r="N215">
        <f>VLOOKUP(A216,[1]timesData!$B:$P,13,FALSE)</f>
        <v>2011</v>
      </c>
      <c r="O215">
        <f>VLOOKUP(A215,[2]cwurData!$B:$P,14,FALSE)</f>
        <v>445</v>
      </c>
      <c r="P215">
        <f>VLOOKUP(A215,[2]cwurData!$B:$N, 3, FALSE)</f>
        <v>12</v>
      </c>
      <c r="Q215">
        <f>VLOOKUP(A215,[2]cwurData!$B:$N, 4, FALSE)</f>
        <v>355</v>
      </c>
      <c r="R215">
        <f>VLOOKUP(A215,[2]cwurData!$B:$N, 5, FALSE)</f>
        <v>478</v>
      </c>
      <c r="S215">
        <f>VLOOKUP(A215,[2]cwurData!$B:$N, 6, FALSE)</f>
        <v>210</v>
      </c>
      <c r="T215">
        <f>VLOOKUP(A215,[2]cwurData!$B:$N, 7, FALSE)</f>
        <v>343</v>
      </c>
      <c r="U215">
        <f>VLOOKUP(A215,[2]cwurData!$B:$N, 8, FALSE)</f>
        <v>477</v>
      </c>
      <c r="V215">
        <f>VLOOKUP(A215,[2]cwurData!$B:$N, 9, FALSE)</f>
        <v>363</v>
      </c>
      <c r="W215">
        <f>VLOOKUP(A215,[2]cwurData!$B:$N, 10, FALSE)</f>
        <v>366</v>
      </c>
      <c r="X215">
        <f>VLOOKUP(A215,[2]cwurData!$B:$N, 11, FALSE)</f>
        <v>338</v>
      </c>
      <c r="Y215">
        <f>VLOOKUP(A215,[2]cwurData!$B:$N, 12, FALSE)</f>
        <v>45.36</v>
      </c>
      <c r="Z215">
        <f>VLOOKUP(A215,[2]cwurData!$B:$N, 13, FALSE)</f>
        <v>2014</v>
      </c>
    </row>
    <row r="216" spans="1:26" x14ac:dyDescent="0.3">
      <c r="A216" t="s">
        <v>186</v>
      </c>
      <c r="B216" t="str">
        <f>IFERROR(VLOOKUP(A216,[1]timesData!$B:$P,2,FALSE),VLOOKUP(A216,[2]cwurData!$B:$P,2,FALSE))</f>
        <v>Germany</v>
      </c>
      <c r="C216">
        <f>VLOOKUP(A216,[1]timesData!$B:$P,3,FALSE)</f>
        <v>186</v>
      </c>
      <c r="D216">
        <f>VLOOKUP(A217,[1]timesData!$B:$P,3,FALSE)</f>
        <v>187</v>
      </c>
      <c r="E216">
        <f>VLOOKUP(A217,[1]timesData!$B:$P,4,FALSE)</f>
        <v>47.3</v>
      </c>
      <c r="F216">
        <f>VLOOKUP(A217,[1]timesData!$B:$P,5,FALSE)</f>
        <v>35.4</v>
      </c>
      <c r="G216">
        <f>VLOOKUP(A217,[1]timesData!$B:$P,6,FALSE)</f>
        <v>60.7</v>
      </c>
      <c r="H216">
        <f>VLOOKUP(A217,[1]timesData!$B:$P,7,FALSE)</f>
        <v>40</v>
      </c>
      <c r="I216">
        <f>VLOOKUP(A217,[1]timesData!$B:$P,8,FALSE)</f>
        <v>47.2</v>
      </c>
      <c r="J216">
        <f>VLOOKUP(A217,[1]timesData!$B:$P,9,FALSE)</f>
        <v>25294</v>
      </c>
      <c r="K216">
        <f>VLOOKUP(A217,[1]timesData!$B:$P,10,FALSE)</f>
        <v>24.6</v>
      </c>
      <c r="L216">
        <f>VLOOKUP(A217,[1]timesData!$B:$P,11,FALSE)</f>
        <v>0.16</v>
      </c>
      <c r="M216" t="str">
        <f>VLOOKUP(A217,[1]timesData!$B:$P,12,FALSE)</f>
        <v>26 : 74</v>
      </c>
      <c r="N216">
        <f>VLOOKUP(A217,[1]timesData!$B:$P,13,FALSE)</f>
        <v>2011</v>
      </c>
      <c r="O216">
        <f>VLOOKUP(A216,[2]cwurData!$B:$P,14,FALSE)</f>
        <v>468</v>
      </c>
      <c r="P216">
        <f>VLOOKUP(A216,[2]cwurData!$B:$N, 3, FALSE)</f>
        <v>36</v>
      </c>
      <c r="Q216">
        <f>VLOOKUP(A216,[2]cwurData!$B:$N, 4, FALSE)</f>
        <v>355</v>
      </c>
      <c r="R216">
        <f>VLOOKUP(A216,[2]cwurData!$B:$N, 5, FALSE)</f>
        <v>478</v>
      </c>
      <c r="S216">
        <f>VLOOKUP(A216,[2]cwurData!$B:$N, 6, FALSE)</f>
        <v>157</v>
      </c>
      <c r="T216">
        <f>VLOOKUP(A216,[2]cwurData!$B:$N, 7, FALSE)</f>
        <v>475</v>
      </c>
      <c r="U216">
        <f>VLOOKUP(A216,[2]cwurData!$B:$N, 8, FALSE)</f>
        <v>347</v>
      </c>
      <c r="V216">
        <f>VLOOKUP(A216,[2]cwurData!$B:$N, 9, FALSE)</f>
        <v>493</v>
      </c>
      <c r="W216">
        <f>VLOOKUP(A216,[2]cwurData!$B:$N, 10, FALSE)</f>
        <v>395</v>
      </c>
      <c r="X216">
        <f>VLOOKUP(A216,[2]cwurData!$B:$N, 11, FALSE)</f>
        <v>481</v>
      </c>
      <c r="Y216">
        <f>VLOOKUP(A216,[2]cwurData!$B:$N, 12, FALSE)</f>
        <v>45.22</v>
      </c>
      <c r="Z216">
        <f>VLOOKUP(A216,[2]cwurData!$B:$N, 13, FALSE)</f>
        <v>2014</v>
      </c>
    </row>
    <row r="217" spans="1:26" x14ac:dyDescent="0.3">
      <c r="A217" t="s">
        <v>187</v>
      </c>
      <c r="B217" t="str">
        <f>IFERROR(VLOOKUP(A217,[1]timesData!$B:$P,2,FALSE),VLOOKUP(A217,[2]cwurData!$B:$P,2,FALSE))</f>
        <v>Germany</v>
      </c>
      <c r="C217">
        <f>VLOOKUP(A217,[1]timesData!$B:$P,3,FALSE)</f>
        <v>187</v>
      </c>
      <c r="D217">
        <f>VLOOKUP(A218,[1]timesData!$B:$P,3,FALSE)</f>
        <v>187</v>
      </c>
      <c r="E217">
        <f>VLOOKUP(A218,[1]timesData!$B:$P,4,FALSE)</f>
        <v>99.5</v>
      </c>
      <c r="F217">
        <f>VLOOKUP(A218,[1]timesData!$B:$P,5,FALSE)</f>
        <v>34.799999999999997</v>
      </c>
      <c r="G217">
        <f>VLOOKUP(A218,[1]timesData!$B:$P,6,FALSE)</f>
        <v>60.2</v>
      </c>
      <c r="H217">
        <f>VLOOKUP(A218,[1]timesData!$B:$P,7,FALSE)</f>
        <v>35</v>
      </c>
      <c r="I217">
        <f>VLOOKUP(A218,[1]timesData!$B:$P,8,FALSE)</f>
        <v>47.2</v>
      </c>
      <c r="J217">
        <f>VLOOKUP(A218,[1]timesData!$B:$P,9,FALSE)</f>
        <v>18209</v>
      </c>
      <c r="K217">
        <f>VLOOKUP(A218,[1]timesData!$B:$P,10,FALSE)</f>
        <v>16.899999999999999</v>
      </c>
      <c r="L217">
        <f>VLOOKUP(A218,[1]timesData!$B:$P,11,FALSE)</f>
        <v>0.39</v>
      </c>
      <c r="M217">
        <f>VLOOKUP(A218,[1]timesData!$B:$P,12,FALSE)</f>
        <v>2.2819444444444446</v>
      </c>
      <c r="N217">
        <f>VLOOKUP(A218,[1]timesData!$B:$P,13,FALSE)</f>
        <v>2011</v>
      </c>
      <c r="O217">
        <f>VLOOKUP(A217,[2]cwurData!$B:$P,14,FALSE)</f>
        <v>215</v>
      </c>
      <c r="P217">
        <f>VLOOKUP(A217,[2]cwurData!$B:$N, 3, FALSE)</f>
        <v>15</v>
      </c>
      <c r="Q217">
        <f>VLOOKUP(A217,[2]cwurData!$B:$N, 4, FALSE)</f>
        <v>343</v>
      </c>
      <c r="R217">
        <f>VLOOKUP(A217,[2]cwurData!$B:$N, 5, FALSE)</f>
        <v>170</v>
      </c>
      <c r="S217">
        <f>VLOOKUP(A217,[2]cwurData!$B:$N, 6, FALSE)</f>
        <v>122</v>
      </c>
      <c r="T217">
        <f>VLOOKUP(A217,[2]cwurData!$B:$N, 7, FALSE)</f>
        <v>193</v>
      </c>
      <c r="U217">
        <f>VLOOKUP(A217,[2]cwurData!$B:$N, 8, FALSE)</f>
        <v>271</v>
      </c>
      <c r="V217">
        <f>VLOOKUP(A217,[2]cwurData!$B:$N, 9, FALSE)</f>
        <v>150</v>
      </c>
      <c r="W217">
        <f>VLOOKUP(A217,[2]cwurData!$B:$N, 10, FALSE)</f>
        <v>249</v>
      </c>
      <c r="X217">
        <f>VLOOKUP(A217,[2]cwurData!$B:$N, 11, FALSE)</f>
        <v>109</v>
      </c>
      <c r="Y217">
        <f>VLOOKUP(A217,[2]cwurData!$B:$N, 12, FALSE)</f>
        <v>47.67</v>
      </c>
      <c r="Z217">
        <f>VLOOKUP(A217,[2]cwurData!$B:$N, 13, FALSE)</f>
        <v>2014</v>
      </c>
    </row>
    <row r="218" spans="1:26" x14ac:dyDescent="0.3">
      <c r="A218" t="s">
        <v>188</v>
      </c>
      <c r="B218" t="str">
        <f>IFERROR(VLOOKUP(A218,[1]timesData!$B:$P,2,FALSE),VLOOKUP(A218,[2]cwurData!$B:$P,2,FALSE))</f>
        <v>Austria</v>
      </c>
      <c r="C218">
        <f>VLOOKUP(A218,[1]timesData!$B:$P,3,FALSE)</f>
        <v>187</v>
      </c>
      <c r="D218">
        <f>VLOOKUP(A219,[1]timesData!$B:$P,3,FALSE)</f>
        <v>189</v>
      </c>
      <c r="E218">
        <f>VLOOKUP(A219,[1]timesData!$B:$P,4,FALSE)</f>
        <v>57.8</v>
      </c>
      <c r="F218">
        <f>VLOOKUP(A219,[1]timesData!$B:$P,5,FALSE)</f>
        <v>36.299999999999997</v>
      </c>
      <c r="G218">
        <f>VLOOKUP(A219,[1]timesData!$B:$P,6,FALSE)</f>
        <v>57.3</v>
      </c>
      <c r="H218">
        <f>VLOOKUP(A219,[1]timesData!$B:$P,7,FALSE)</f>
        <v>32.299999999999997</v>
      </c>
      <c r="I218">
        <f>VLOOKUP(A219,[1]timesData!$B:$P,8,FALSE)</f>
        <v>47</v>
      </c>
      <c r="J218">
        <f>VLOOKUP(A219,[1]timesData!$B:$P,9,FALSE)</f>
        <v>28327</v>
      </c>
      <c r="K218">
        <f>VLOOKUP(A219,[1]timesData!$B:$P,10,FALSE)</f>
        <v>38.9</v>
      </c>
      <c r="L218">
        <f>VLOOKUP(A219,[1]timesData!$B:$P,11,FALSE)</f>
        <v>0.12</v>
      </c>
      <c r="M218">
        <f>VLOOKUP(A219,[1]timesData!$B:$P,12,FALSE)</f>
        <v>2.4458333333333333</v>
      </c>
      <c r="N218">
        <f>VLOOKUP(A219,[1]timesData!$B:$P,13,FALSE)</f>
        <v>2011</v>
      </c>
      <c r="O218">
        <f>VLOOKUP(A218,[2]cwurData!$B:$P,14,FALSE)</f>
        <v>326</v>
      </c>
      <c r="P218">
        <f>VLOOKUP(A218,[2]cwurData!$B:$N, 3, FALSE)</f>
        <v>3</v>
      </c>
      <c r="Q218">
        <f>VLOOKUP(A218,[2]cwurData!$B:$N, 4, FALSE)</f>
        <v>190</v>
      </c>
      <c r="R218">
        <f>VLOOKUP(A218,[2]cwurData!$B:$N, 5, FALSE)</f>
        <v>415</v>
      </c>
      <c r="S218">
        <f>VLOOKUP(A218,[2]cwurData!$B:$N, 6, FALSE)</f>
        <v>115</v>
      </c>
      <c r="T218">
        <f>VLOOKUP(A218,[2]cwurData!$B:$N, 7, FALSE)</f>
        <v>413</v>
      </c>
      <c r="U218">
        <f>VLOOKUP(A218,[2]cwurData!$B:$N, 8, FALSE)</f>
        <v>225</v>
      </c>
      <c r="V218">
        <f>VLOOKUP(A218,[2]cwurData!$B:$N, 9, FALSE)</f>
        <v>310</v>
      </c>
      <c r="W218">
        <f>VLOOKUP(A218,[2]cwurData!$B:$N, 10, FALSE)</f>
        <v>281</v>
      </c>
      <c r="X218">
        <f>VLOOKUP(A218,[2]cwurData!$B:$N, 11, FALSE)</f>
        <v>373</v>
      </c>
      <c r="Y218">
        <f>VLOOKUP(A218,[2]cwurData!$B:$N, 12, FALSE)</f>
        <v>46.12</v>
      </c>
      <c r="Z218">
        <f>VLOOKUP(A218,[2]cwurData!$B:$N, 13, FALSE)</f>
        <v>2014</v>
      </c>
    </row>
    <row r="219" spans="1:26" x14ac:dyDescent="0.3">
      <c r="A219" t="s">
        <v>189</v>
      </c>
      <c r="B219" t="str">
        <f>IFERROR(VLOOKUP(A219,[1]timesData!$B:$P,2,FALSE),VLOOKUP(A219,[2]cwurData!$B:$P,2,FALSE))</f>
        <v>Germany</v>
      </c>
      <c r="C219">
        <f>VLOOKUP(A219,[1]timesData!$B:$P,3,FALSE)</f>
        <v>189</v>
      </c>
      <c r="D219">
        <f>VLOOKUP(A220,[1]timesData!$B:$P,3,FALSE)</f>
        <v>189</v>
      </c>
      <c r="E219">
        <f>VLOOKUP(A220,[1]timesData!$B:$P,4,FALSE)</f>
        <v>90</v>
      </c>
      <c r="F219">
        <f>VLOOKUP(A220,[1]timesData!$B:$P,5,FALSE)</f>
        <v>35.799999999999997</v>
      </c>
      <c r="G219">
        <f>VLOOKUP(A220,[1]timesData!$B:$P,6,FALSE)</f>
        <v>47.8</v>
      </c>
      <c r="H219">
        <f>VLOOKUP(A220,[1]timesData!$B:$P,7,FALSE)</f>
        <v>58.7</v>
      </c>
      <c r="I219">
        <f>VLOOKUP(A220,[1]timesData!$B:$P,8,FALSE)</f>
        <v>42.9</v>
      </c>
      <c r="J219">
        <f>VLOOKUP(A220,[1]timesData!$B:$P,9,FALSE)</f>
        <v>20851</v>
      </c>
      <c r="K219">
        <f>VLOOKUP(A220,[1]timesData!$B:$P,10,FALSE)</f>
        <v>20.7</v>
      </c>
      <c r="L219">
        <f>VLOOKUP(A220,[1]timesData!$B:$P,11,FALSE)</f>
        <v>0.27</v>
      </c>
      <c r="M219">
        <f>VLOOKUP(A220,[1]timesData!$B:$P,12,FALSE)</f>
        <v>2.1180555555555554</v>
      </c>
      <c r="N219">
        <f>VLOOKUP(A220,[1]timesData!$B:$P,13,FALSE)</f>
        <v>2012</v>
      </c>
      <c r="O219">
        <f>VLOOKUP(A219,[2]cwurData!$B:$P,14,FALSE)</f>
        <v>159</v>
      </c>
      <c r="P219">
        <f>VLOOKUP(A219,[2]cwurData!$B:$N, 3, FALSE)</f>
        <v>8</v>
      </c>
      <c r="Q219">
        <f>VLOOKUP(A219,[2]cwurData!$B:$N, 4, FALSE)</f>
        <v>64</v>
      </c>
      <c r="R219">
        <f>VLOOKUP(A219,[2]cwurData!$B:$N, 5, FALSE)</f>
        <v>478</v>
      </c>
      <c r="S219">
        <f>VLOOKUP(A219,[2]cwurData!$B:$N, 6, FALSE)</f>
        <v>102</v>
      </c>
      <c r="T219">
        <f>VLOOKUP(A219,[2]cwurData!$B:$N, 7, FALSE)</f>
        <v>158</v>
      </c>
      <c r="U219">
        <f>VLOOKUP(A219,[2]cwurData!$B:$N, 8, FALSE)</f>
        <v>143</v>
      </c>
      <c r="V219">
        <f>VLOOKUP(A219,[2]cwurData!$B:$N, 9, FALSE)</f>
        <v>159</v>
      </c>
      <c r="W219">
        <f>VLOOKUP(A219,[2]cwurData!$B:$N, 10, FALSE)</f>
        <v>117</v>
      </c>
      <c r="X219">
        <f>VLOOKUP(A219,[2]cwurData!$B:$N, 11, FALSE)</f>
        <v>227</v>
      </c>
      <c r="Y219">
        <f>VLOOKUP(A219,[2]cwurData!$B:$N, 12, FALSE)</f>
        <v>48.99</v>
      </c>
      <c r="Z219">
        <f>VLOOKUP(A219,[2]cwurData!$B:$N, 13, FALSE)</f>
        <v>2014</v>
      </c>
    </row>
    <row r="220" spans="1:26" x14ac:dyDescent="0.3">
      <c r="A220" t="s">
        <v>223</v>
      </c>
      <c r="B220" t="str">
        <f>IFERROR(VLOOKUP(A220,[1]timesData!$B:$P,2,FALSE),VLOOKUP(A220,[2]cwurData!$B:$P,2,FALSE))</f>
        <v>Australia</v>
      </c>
      <c r="C220">
        <f>VLOOKUP(A220,[1]timesData!$B:$P,3,FALSE)</f>
        <v>189</v>
      </c>
      <c r="D220">
        <f>VLOOKUP(A221,[1]timesData!$B:$P,3,FALSE)</f>
        <v>190</v>
      </c>
      <c r="E220">
        <f>VLOOKUP(A221,[1]timesData!$B:$P,4,FALSE)</f>
        <v>28</v>
      </c>
      <c r="F220">
        <f>VLOOKUP(A221,[1]timesData!$B:$P,5,FALSE)</f>
        <v>48.7</v>
      </c>
      <c r="G220">
        <f>VLOOKUP(A221,[1]timesData!$B:$P,6,FALSE)</f>
        <v>52.2</v>
      </c>
      <c r="H220">
        <f>VLOOKUP(A221,[1]timesData!$B:$P,7,FALSE)</f>
        <v>40.4</v>
      </c>
      <c r="I220">
        <f>VLOOKUP(A221,[1]timesData!$B:$P,8,FALSE)</f>
        <v>46.9</v>
      </c>
      <c r="J220">
        <f>VLOOKUP(A221,[1]timesData!$B:$P,9,FALSE)</f>
        <v>24774</v>
      </c>
      <c r="K220">
        <f>VLOOKUP(A221,[1]timesData!$B:$P,10,FALSE)</f>
        <v>11.6</v>
      </c>
      <c r="L220">
        <f>VLOOKUP(A221,[1]timesData!$B:$P,11,FALSE)</f>
        <v>0.14000000000000001</v>
      </c>
      <c r="M220">
        <f>VLOOKUP(A221,[1]timesData!$B:$P,12,FALSE)</f>
        <v>0</v>
      </c>
      <c r="N220">
        <f>VLOOKUP(A221,[1]timesData!$B:$P,13,FALSE)</f>
        <v>2011</v>
      </c>
      <c r="O220">
        <f>VLOOKUP(A220,[2]cwurData!$B:$P,14,FALSE)</f>
        <v>225</v>
      </c>
      <c r="P220">
        <f>VLOOKUP(A220,[2]cwurData!$B:$N, 3, FALSE)</f>
        <v>7</v>
      </c>
      <c r="Q220">
        <f>VLOOKUP(A220,[2]cwurData!$B:$N, 4, FALSE)</f>
        <v>145</v>
      </c>
      <c r="R220">
        <f>VLOOKUP(A220,[2]cwurData!$B:$N, 5, FALSE)</f>
        <v>397</v>
      </c>
      <c r="S220">
        <f>VLOOKUP(A220,[2]cwurData!$B:$N, 6, FALSE)</f>
        <v>140</v>
      </c>
      <c r="T220">
        <f>VLOOKUP(A220,[2]cwurData!$B:$N, 7, FALSE)</f>
        <v>165</v>
      </c>
      <c r="U220">
        <f>VLOOKUP(A220,[2]cwurData!$B:$N, 8, FALSE)</f>
        <v>214</v>
      </c>
      <c r="V220">
        <f>VLOOKUP(A220,[2]cwurData!$B:$N, 9, FALSE)</f>
        <v>283</v>
      </c>
      <c r="W220">
        <f>VLOOKUP(A220,[2]cwurData!$B:$N, 10, FALSE)</f>
        <v>176</v>
      </c>
      <c r="X220">
        <f>VLOOKUP(A220,[2]cwurData!$B:$N, 11, FALSE)</f>
        <v>373</v>
      </c>
      <c r="Y220">
        <f>VLOOKUP(A220,[2]cwurData!$B:$N, 12, FALSE)</f>
        <v>47.47</v>
      </c>
      <c r="Z220">
        <f>VLOOKUP(A220,[2]cwurData!$B:$N, 13, FALSE)</f>
        <v>2014</v>
      </c>
    </row>
    <row r="221" spans="1:26" x14ac:dyDescent="0.3">
      <c r="A221" t="s">
        <v>192</v>
      </c>
      <c r="B221" t="str">
        <f>IFERROR(VLOOKUP(A221,[1]timesData!$B:$P,2,FALSE),VLOOKUP(A221,[2]cwurData!$B:$P,2,FALSE))</f>
        <v>South Korea</v>
      </c>
      <c r="C221">
        <f>VLOOKUP(A221,[1]timesData!$B:$P,3,FALSE)</f>
        <v>190</v>
      </c>
      <c r="D221">
        <f>VLOOKUP(A222,[1]timesData!$B:$P,3,FALSE)</f>
        <v>190</v>
      </c>
      <c r="E221">
        <f>VLOOKUP(A222,[1]timesData!$B:$P,4,FALSE)</f>
        <v>18.899999999999999</v>
      </c>
      <c r="F221">
        <f>VLOOKUP(A222,[1]timesData!$B:$P,5,FALSE)</f>
        <v>40.4</v>
      </c>
      <c r="G221">
        <f>VLOOKUP(A222,[1]timesData!$B:$P,6,FALSE)</f>
        <v>61.5</v>
      </c>
      <c r="H221">
        <f>VLOOKUP(A222,[1]timesData!$B:$P,7,FALSE)</f>
        <v>32.5</v>
      </c>
      <c r="I221">
        <f>VLOOKUP(A222,[1]timesData!$B:$P,8,FALSE)</f>
        <v>46.9</v>
      </c>
      <c r="J221">
        <f>VLOOKUP(A222,[1]timesData!$B:$P,9,FALSE)</f>
        <v>36108</v>
      </c>
      <c r="K221">
        <f>VLOOKUP(A222,[1]timesData!$B:$P,10,FALSE)</f>
        <v>15.7</v>
      </c>
      <c r="L221">
        <f>VLOOKUP(A222,[1]timesData!$B:$P,11,FALSE)</f>
        <v>0.06</v>
      </c>
      <c r="M221">
        <f>VLOOKUP(A222,[1]timesData!$B:$P,12,FALSE)</f>
        <v>2.2819444444444446</v>
      </c>
      <c r="N221">
        <f>VLOOKUP(A222,[1]timesData!$B:$P,13,FALSE)</f>
        <v>2011</v>
      </c>
      <c r="O221">
        <f>VLOOKUP(A221,[2]cwurData!$B:$P,14,FALSE)</f>
        <v>107</v>
      </c>
      <c r="P221">
        <f>VLOOKUP(A221,[2]cwurData!$B:$N, 3, FALSE)</f>
        <v>2</v>
      </c>
      <c r="Q221">
        <f>VLOOKUP(A221,[2]cwurData!$B:$N, 4, FALSE)</f>
        <v>355</v>
      </c>
      <c r="R221">
        <f>VLOOKUP(A221,[2]cwurData!$B:$N, 5, FALSE)</f>
        <v>61</v>
      </c>
      <c r="S221">
        <f>VLOOKUP(A221,[2]cwurData!$B:$N, 6, FALSE)</f>
        <v>210</v>
      </c>
      <c r="T221">
        <f>VLOOKUP(A221,[2]cwurData!$B:$N, 7, FALSE)</f>
        <v>143</v>
      </c>
      <c r="U221">
        <f>VLOOKUP(A221,[2]cwurData!$B:$N, 8, FALSE)</f>
        <v>330</v>
      </c>
      <c r="V221">
        <f>VLOOKUP(A221,[2]cwurData!$B:$N, 9, FALSE)</f>
        <v>250</v>
      </c>
      <c r="W221">
        <f>VLOOKUP(A221,[2]cwurData!$B:$N, 10, FALSE)</f>
        <v>251</v>
      </c>
      <c r="X221">
        <f>VLOOKUP(A221,[2]cwurData!$B:$N, 11, FALSE)</f>
        <v>15</v>
      </c>
      <c r="Y221">
        <f>VLOOKUP(A221,[2]cwurData!$B:$N, 12, FALSE)</f>
        <v>50.95</v>
      </c>
      <c r="Z221">
        <f>VLOOKUP(A221,[2]cwurData!$B:$N, 13, FALSE)</f>
        <v>2014</v>
      </c>
    </row>
    <row r="222" spans="1:26" x14ac:dyDescent="0.3">
      <c r="A222" t="s">
        <v>191</v>
      </c>
      <c r="B222" t="str">
        <f>IFERROR(VLOOKUP(A222,[1]timesData!$B:$P,2,FALSE),VLOOKUP(A222,[2]cwurData!$B:$P,2,FALSE))</f>
        <v>United States of America</v>
      </c>
      <c r="C222">
        <f>VLOOKUP(A222,[1]timesData!$B:$P,3,FALSE)</f>
        <v>190</v>
      </c>
      <c r="D222">
        <f>VLOOKUP(A223,[1]timesData!$B:$P,3,FALSE)</f>
        <v>190</v>
      </c>
      <c r="E222">
        <f>VLOOKUP(A223,[1]timesData!$B:$P,4,FALSE)</f>
        <v>60.6</v>
      </c>
      <c r="F222">
        <f>VLOOKUP(A223,[1]timesData!$B:$P,5,FALSE)</f>
        <v>35.9</v>
      </c>
      <c r="G222">
        <f>VLOOKUP(A223,[1]timesData!$B:$P,6,FALSE)</f>
        <v>58.2</v>
      </c>
      <c r="H222">
        <f>VLOOKUP(A223,[1]timesData!$B:$P,7,FALSE)</f>
        <v>27.4</v>
      </c>
      <c r="I222">
        <f>VLOOKUP(A223,[1]timesData!$B:$P,8,FALSE)</f>
        <v>46.9</v>
      </c>
      <c r="J222">
        <f>VLOOKUP(A223,[1]timesData!$B:$P,9,FALSE)</f>
        <v>20713</v>
      </c>
      <c r="K222">
        <f>VLOOKUP(A223,[1]timesData!$B:$P,10,FALSE)</f>
        <v>10.8</v>
      </c>
      <c r="L222">
        <f>VLOOKUP(A223,[1]timesData!$B:$P,11,FALSE)</f>
        <v>0.18</v>
      </c>
      <c r="M222">
        <f>VLOOKUP(A223,[1]timesData!$B:$P,12,FALSE)</f>
        <v>2.036111111111111</v>
      </c>
      <c r="N222">
        <f>VLOOKUP(A223,[1]timesData!$B:$P,13,FALSE)</f>
        <v>2011</v>
      </c>
      <c r="O222">
        <f>VLOOKUP(A222,[2]cwurData!$B:$P,14,FALSE)</f>
        <v>177</v>
      </c>
      <c r="P222">
        <f>VLOOKUP(A222,[2]cwurData!$B:$N, 3, FALSE)</f>
        <v>78</v>
      </c>
      <c r="Q222">
        <f>VLOOKUP(A222,[2]cwurData!$B:$N, 4, FALSE)</f>
        <v>305</v>
      </c>
      <c r="R222">
        <f>VLOOKUP(A222,[2]cwurData!$B:$N, 5, FALSE)</f>
        <v>132</v>
      </c>
      <c r="S222">
        <f>VLOOKUP(A222,[2]cwurData!$B:$N, 6, FALSE)</f>
        <v>210</v>
      </c>
      <c r="T222">
        <f>VLOOKUP(A222,[2]cwurData!$B:$N, 7, FALSE)</f>
        <v>145</v>
      </c>
      <c r="U222">
        <f>VLOOKUP(A222,[2]cwurData!$B:$N, 8, FALSE)</f>
        <v>166</v>
      </c>
      <c r="V222">
        <f>VLOOKUP(A222,[2]cwurData!$B:$N, 9, FALSE)</f>
        <v>159</v>
      </c>
      <c r="W222">
        <f>VLOOKUP(A222,[2]cwurData!$B:$N, 10, FALSE)</f>
        <v>129</v>
      </c>
      <c r="X222">
        <f>VLOOKUP(A222,[2]cwurData!$B:$N, 11, FALSE)</f>
        <v>204</v>
      </c>
      <c r="Y222">
        <f>VLOOKUP(A222,[2]cwurData!$B:$N, 12, FALSE)</f>
        <v>48.6</v>
      </c>
      <c r="Z222">
        <f>VLOOKUP(A222,[2]cwurData!$B:$N, 13, FALSE)</f>
        <v>2014</v>
      </c>
    </row>
    <row r="223" spans="1:26" x14ac:dyDescent="0.3">
      <c r="A223" t="s">
        <v>190</v>
      </c>
      <c r="B223" t="str">
        <f>IFERROR(VLOOKUP(A223,[1]timesData!$B:$P,2,FALSE),VLOOKUP(A223,[2]cwurData!$B:$P,2,FALSE))</f>
        <v>United States of America</v>
      </c>
      <c r="C223">
        <f>VLOOKUP(A223,[1]timesData!$B:$P,3,FALSE)</f>
        <v>190</v>
      </c>
      <c r="D223">
        <f>VLOOKUP(A224,[1]timesData!$B:$P,3,FALSE)</f>
        <v>193</v>
      </c>
      <c r="E223">
        <f>VLOOKUP(A224,[1]timesData!$B:$P,4,FALSE)</f>
        <v>44.9</v>
      </c>
      <c r="F223">
        <f>VLOOKUP(A224,[1]timesData!$B:$P,5,FALSE)</f>
        <v>50.2</v>
      </c>
      <c r="G223">
        <f>VLOOKUP(A224,[1]timesData!$B:$P,6,FALSE)</f>
        <v>48.8</v>
      </c>
      <c r="H223" t="str">
        <f>VLOOKUP(A224,[1]timesData!$B:$P,7,FALSE)</f>
        <v>-</v>
      </c>
      <c r="I223">
        <f>VLOOKUP(A224,[1]timesData!$B:$P,8,FALSE)</f>
        <v>46.8</v>
      </c>
      <c r="J223">
        <f>VLOOKUP(A224,[1]timesData!$B:$P,9,FALSE)</f>
        <v>15064</v>
      </c>
      <c r="K223">
        <f>VLOOKUP(A224,[1]timesData!$B:$P,10,FALSE)</f>
        <v>14.4</v>
      </c>
      <c r="L223">
        <f>VLOOKUP(A224,[1]timesData!$B:$P,11,FALSE)</f>
        <v>0.18</v>
      </c>
      <c r="M223">
        <f>VLOOKUP(A224,[1]timesData!$B:$P,12,FALSE)</f>
        <v>2.3229166666666665</v>
      </c>
      <c r="N223">
        <f>VLOOKUP(A224,[1]timesData!$B:$P,13,FALSE)</f>
        <v>2011</v>
      </c>
      <c r="O223">
        <f>VLOOKUP(A223,[2]cwurData!$B:$P,14,FALSE)</f>
        <v>261</v>
      </c>
      <c r="P223">
        <f>VLOOKUP(A223,[2]cwurData!$B:$N, 3, FALSE)</f>
        <v>107</v>
      </c>
      <c r="Q223">
        <f>VLOOKUP(A223,[2]cwurData!$B:$N, 4, FALSE)</f>
        <v>355</v>
      </c>
      <c r="R223">
        <f>VLOOKUP(A223,[2]cwurData!$B:$N, 5, FALSE)</f>
        <v>262</v>
      </c>
      <c r="S223">
        <f>VLOOKUP(A223,[2]cwurData!$B:$N, 6, FALSE)</f>
        <v>210</v>
      </c>
      <c r="T223">
        <f>VLOOKUP(A223,[2]cwurData!$B:$N, 7, FALSE)</f>
        <v>366</v>
      </c>
      <c r="U223">
        <f>VLOOKUP(A223,[2]cwurData!$B:$N, 8, FALSE)</f>
        <v>322</v>
      </c>
      <c r="V223">
        <f>VLOOKUP(A223,[2]cwurData!$B:$N, 9, FALSE)</f>
        <v>220</v>
      </c>
      <c r="W223">
        <f>VLOOKUP(A223,[2]cwurData!$B:$N, 10, FALSE)</f>
        <v>266</v>
      </c>
      <c r="X223">
        <f>VLOOKUP(A223,[2]cwurData!$B:$N, 11, FALSE)</f>
        <v>89</v>
      </c>
      <c r="Y223">
        <f>VLOOKUP(A223,[2]cwurData!$B:$N, 12, FALSE)</f>
        <v>46.89</v>
      </c>
      <c r="Z223">
        <f>VLOOKUP(A223,[2]cwurData!$B:$N, 13, FALSE)</f>
        <v>2014</v>
      </c>
    </row>
    <row r="224" spans="1:26" x14ac:dyDescent="0.3">
      <c r="A224" t="s">
        <v>193</v>
      </c>
      <c r="B224" t="str">
        <f>IFERROR(VLOOKUP(A224,[1]timesData!$B:$P,2,FALSE),VLOOKUP(A224,[2]cwurData!$B:$P,2,FALSE))</f>
        <v>Canada</v>
      </c>
      <c r="C224">
        <f>VLOOKUP(A224,[1]timesData!$B:$P,3,FALSE)</f>
        <v>193</v>
      </c>
      <c r="D224">
        <f>VLOOKUP(A225,[1]timesData!$B:$P,3,FALSE)</f>
        <v>193</v>
      </c>
      <c r="E224">
        <f>VLOOKUP(A225,[1]timesData!$B:$P,4,FALSE)</f>
        <v>61.6</v>
      </c>
      <c r="F224">
        <f>VLOOKUP(A225,[1]timesData!$B:$P,5,FALSE)</f>
        <v>35</v>
      </c>
      <c r="G224">
        <f>VLOOKUP(A225,[1]timesData!$B:$P,6,FALSE)</f>
        <v>57.4</v>
      </c>
      <c r="H224">
        <f>VLOOKUP(A225,[1]timesData!$B:$P,7,FALSE)</f>
        <v>50.1</v>
      </c>
      <c r="I224">
        <f>VLOOKUP(A225,[1]timesData!$B:$P,8,FALSE)</f>
        <v>42.6</v>
      </c>
      <c r="J224">
        <f>VLOOKUP(A225,[1]timesData!$B:$P,9,FALSE)</f>
        <v>10015</v>
      </c>
      <c r="K224">
        <f>VLOOKUP(A225,[1]timesData!$B:$P,10,FALSE)</f>
        <v>7.1</v>
      </c>
      <c r="L224">
        <f>VLOOKUP(A225,[1]timesData!$B:$P,11,FALSE)</f>
        <v>0.28000000000000003</v>
      </c>
      <c r="M224">
        <f>VLOOKUP(A225,[1]timesData!$B:$P,12,FALSE)</f>
        <v>2.1590277777777778</v>
      </c>
      <c r="N224">
        <f>VLOOKUP(A225,[1]timesData!$B:$P,13,FALSE)</f>
        <v>2012</v>
      </c>
      <c r="O224">
        <f>VLOOKUP(A224,[2]cwurData!$B:$P,14,FALSE)</f>
        <v>284</v>
      </c>
      <c r="P224">
        <f>VLOOKUP(A224,[2]cwurData!$B:$N, 3, FALSE)</f>
        <v>14</v>
      </c>
      <c r="Q224">
        <f>VLOOKUP(A224,[2]cwurData!$B:$N, 4, FALSE)</f>
        <v>355</v>
      </c>
      <c r="R224">
        <f>VLOOKUP(A224,[2]cwurData!$B:$N, 5, FALSE)</f>
        <v>153</v>
      </c>
      <c r="S224">
        <f>VLOOKUP(A224,[2]cwurData!$B:$N, 6, FALSE)</f>
        <v>210</v>
      </c>
      <c r="T224">
        <f>VLOOKUP(A224,[2]cwurData!$B:$N, 7, FALSE)</f>
        <v>289</v>
      </c>
      <c r="U224">
        <f>VLOOKUP(A224,[2]cwurData!$B:$N, 8, FALSE)</f>
        <v>251</v>
      </c>
      <c r="V224">
        <f>VLOOKUP(A224,[2]cwurData!$B:$N, 9, FALSE)</f>
        <v>250</v>
      </c>
      <c r="W224">
        <f>VLOOKUP(A224,[2]cwurData!$B:$N, 10, FALSE)</f>
        <v>272</v>
      </c>
      <c r="X224">
        <f>VLOOKUP(A224,[2]cwurData!$B:$N, 11, FALSE)</f>
        <v>338</v>
      </c>
      <c r="Y224">
        <f>VLOOKUP(A224,[2]cwurData!$B:$N, 12, FALSE)</f>
        <v>46.52</v>
      </c>
      <c r="Z224">
        <f>VLOOKUP(A224,[2]cwurData!$B:$N, 13, FALSE)</f>
        <v>2014</v>
      </c>
    </row>
    <row r="225" spans="1:26" x14ac:dyDescent="0.3">
      <c r="A225" t="s">
        <v>224</v>
      </c>
      <c r="B225" t="str">
        <f>IFERROR(VLOOKUP(A225,[1]timesData!$B:$P,2,FALSE),VLOOKUP(A225,[2]cwurData!$B:$P,2,FALSE))</f>
        <v>Hong Kong</v>
      </c>
      <c r="C225">
        <f>VLOOKUP(A225,[1]timesData!$B:$P,3,FALSE)</f>
        <v>193</v>
      </c>
      <c r="D225">
        <f>VLOOKUP(A226,[1]timesData!$B:$P,3,FALSE)</f>
        <v>193</v>
      </c>
      <c r="E225">
        <f>VLOOKUP(A226,[1]timesData!$B:$P,4,FALSE)</f>
        <v>64.2</v>
      </c>
      <c r="F225">
        <f>VLOOKUP(A226,[1]timesData!$B:$P,5,FALSE)</f>
        <v>56.2</v>
      </c>
      <c r="G225">
        <f>VLOOKUP(A226,[1]timesData!$B:$P,6,FALSE)</f>
        <v>29.2</v>
      </c>
      <c r="H225">
        <f>VLOOKUP(A226,[1]timesData!$B:$P,7,FALSE)</f>
        <v>100</v>
      </c>
      <c r="I225">
        <f>VLOOKUP(A226,[1]timesData!$B:$P,8,FALSE)</f>
        <v>46.8</v>
      </c>
      <c r="J225">
        <f>VLOOKUP(A226,[1]timesData!$B:$P,9,FALSE)</f>
        <v>12062</v>
      </c>
      <c r="K225">
        <f>VLOOKUP(A226,[1]timesData!$B:$P,10,FALSE)</f>
        <v>14.6</v>
      </c>
      <c r="L225">
        <f>VLOOKUP(A226,[1]timesData!$B:$P,11,FALSE)</f>
        <v>0.21</v>
      </c>
      <c r="M225" t="str">
        <f>VLOOKUP(A226,[1]timesData!$B:$P,12,FALSE)</f>
        <v>30 : 70</v>
      </c>
      <c r="N225">
        <f>VLOOKUP(A226,[1]timesData!$B:$P,13,FALSE)</f>
        <v>2011</v>
      </c>
      <c r="O225">
        <f>VLOOKUP(A225,[2]cwurData!$B:$P,14,FALSE)</f>
        <v>375</v>
      </c>
      <c r="P225">
        <f>VLOOKUP(A225,[2]cwurData!$B:$N, 3, FALSE)</f>
        <v>4</v>
      </c>
      <c r="Q225">
        <f>VLOOKUP(A225,[2]cwurData!$B:$N, 4, FALSE)</f>
        <v>355</v>
      </c>
      <c r="R225">
        <f>VLOOKUP(A225,[2]cwurData!$B:$N, 5, FALSE)</f>
        <v>478</v>
      </c>
      <c r="S225">
        <f>VLOOKUP(A225,[2]cwurData!$B:$N, 6, FALSE)</f>
        <v>210</v>
      </c>
      <c r="T225">
        <f>VLOOKUP(A225,[2]cwurData!$B:$N, 7, FALSE)</f>
        <v>255</v>
      </c>
      <c r="U225">
        <f>VLOOKUP(A225,[2]cwurData!$B:$N, 8, FALSE)</f>
        <v>893</v>
      </c>
      <c r="V225">
        <f>VLOOKUP(A225,[2]cwurData!$B:$N, 9, FALSE)</f>
        <v>493</v>
      </c>
      <c r="W225">
        <f>VLOOKUP(A225,[2]cwurData!$B:$N, 10, FALSE)</f>
        <v>343</v>
      </c>
      <c r="X225">
        <f>VLOOKUP(A225,[2]cwurData!$B:$N, 11, FALSE)</f>
        <v>259</v>
      </c>
      <c r="Y225">
        <f>VLOOKUP(A225,[2]cwurData!$B:$N, 12, FALSE)</f>
        <v>45.67</v>
      </c>
      <c r="Z225">
        <f>VLOOKUP(A225,[2]cwurData!$B:$N, 13, FALSE)</f>
        <v>2014</v>
      </c>
    </row>
    <row r="226" spans="1:26" x14ac:dyDescent="0.3">
      <c r="A226" t="s">
        <v>194</v>
      </c>
      <c r="B226" t="str">
        <f>IFERROR(VLOOKUP(A226,[1]timesData!$B:$P,2,FALSE),VLOOKUP(A226,[2]cwurData!$B:$P,2,FALSE))</f>
        <v>Sweden</v>
      </c>
      <c r="C226">
        <f>VLOOKUP(A226,[1]timesData!$B:$P,3,FALSE)</f>
        <v>193</v>
      </c>
      <c r="D226">
        <f>VLOOKUP(A227,[1]timesData!$B:$P,3,FALSE)</f>
        <v>193</v>
      </c>
      <c r="E226">
        <f>VLOOKUP(A227,[1]timesData!$B:$P,4,FALSE)</f>
        <v>99.8</v>
      </c>
      <c r="F226">
        <f>VLOOKUP(A227,[1]timesData!$B:$P,5,FALSE)</f>
        <v>26.7</v>
      </c>
      <c r="G226">
        <f>VLOOKUP(A227,[1]timesData!$B:$P,6,FALSE)</f>
        <v>84.8</v>
      </c>
      <c r="H226">
        <f>VLOOKUP(A227,[1]timesData!$B:$P,7,FALSE)</f>
        <v>38.1</v>
      </c>
      <c r="I226">
        <f>VLOOKUP(A227,[1]timesData!$B:$P,8,FALSE)</f>
        <v>49.4</v>
      </c>
      <c r="J226">
        <f>VLOOKUP(A227,[1]timesData!$B:$P,9,FALSE)</f>
        <v>5144</v>
      </c>
      <c r="K226">
        <f>VLOOKUP(A227,[1]timesData!$B:$P,10,FALSE)</f>
        <v>15.9</v>
      </c>
      <c r="L226">
        <f>VLOOKUP(A227,[1]timesData!$B:$P,11,FALSE)</f>
        <v>0.52</v>
      </c>
      <c r="M226">
        <f>VLOOKUP(A227,[1]timesData!$B:$P,12,FALSE)</f>
        <v>2.1180555555555554</v>
      </c>
      <c r="N226">
        <f>VLOOKUP(A227,[1]timesData!$B:$P,13,FALSE)</f>
        <v>2016</v>
      </c>
      <c r="O226" t="e">
        <f>VLOOKUP(A226,[2]cwurData!$B:$P,14,FALSE)</f>
        <v>#N/A</v>
      </c>
      <c r="P226" t="e">
        <f>VLOOKUP(A226,[2]cwurData!$B:$N, 3, FALSE)</f>
        <v>#N/A</v>
      </c>
      <c r="Q226" t="e">
        <f>VLOOKUP(A226,[2]cwurData!$B:$N, 4, FALSE)</f>
        <v>#N/A</v>
      </c>
      <c r="R226" t="e">
        <f>VLOOKUP(A226,[2]cwurData!$B:$N, 5, FALSE)</f>
        <v>#N/A</v>
      </c>
      <c r="S226" t="e">
        <f>VLOOKUP(A226,[2]cwurData!$B:$N, 6, FALSE)</f>
        <v>#N/A</v>
      </c>
      <c r="T226" t="e">
        <f>VLOOKUP(A226,[2]cwurData!$B:$N, 7, FALSE)</f>
        <v>#N/A</v>
      </c>
      <c r="U226" t="e">
        <f>VLOOKUP(A226,[2]cwurData!$B:$N, 8, FALSE)</f>
        <v>#N/A</v>
      </c>
      <c r="V226" t="e">
        <f>VLOOKUP(A226,[2]cwurData!$B:$N, 9, FALSE)</f>
        <v>#N/A</v>
      </c>
      <c r="W226" t="e">
        <f>VLOOKUP(A226,[2]cwurData!$B:$N, 10, FALSE)</f>
        <v>#N/A</v>
      </c>
      <c r="X226" t="e">
        <f>VLOOKUP(A226,[2]cwurData!$B:$N, 11, FALSE)</f>
        <v>#N/A</v>
      </c>
      <c r="Y226" t="e">
        <f>VLOOKUP(A226,[2]cwurData!$B:$N, 12, FALSE)</f>
        <v>#N/A</v>
      </c>
      <c r="Z226" t="e">
        <f>VLOOKUP(A226,[2]cwurData!$B:$N, 13, FALSE)</f>
        <v>#N/A</v>
      </c>
    </row>
    <row r="227" spans="1:26" x14ac:dyDescent="0.3">
      <c r="A227" t="s">
        <v>484</v>
      </c>
      <c r="B227" t="str">
        <f>IFERROR(VLOOKUP(A227,[1]timesData!$B:$P,2,FALSE),VLOOKUP(A227,[2]cwurData!$B:$P,2,FALSE))</f>
        <v>Luxembourg</v>
      </c>
      <c r="C227">
        <f>VLOOKUP(A227,[1]timesData!$B:$P,3,FALSE)</f>
        <v>193</v>
      </c>
      <c r="D227">
        <f>VLOOKUP(A228,[1]timesData!$B:$P,3,FALSE)</f>
        <v>195</v>
      </c>
      <c r="E227">
        <f>VLOOKUP(A228,[1]timesData!$B:$P,4,FALSE)</f>
        <v>63.2</v>
      </c>
      <c r="F227">
        <f>VLOOKUP(A228,[1]timesData!$B:$P,5,FALSE)</f>
        <v>45.7</v>
      </c>
      <c r="G227">
        <f>VLOOKUP(A228,[1]timesData!$B:$P,6,FALSE)</f>
        <v>45.6</v>
      </c>
      <c r="H227">
        <f>VLOOKUP(A228,[1]timesData!$B:$P,7,FALSE)</f>
        <v>27</v>
      </c>
      <c r="I227">
        <f>VLOOKUP(A228,[1]timesData!$B:$P,8,FALSE)</f>
        <v>46.7</v>
      </c>
      <c r="J227">
        <f>VLOOKUP(A228,[1]timesData!$B:$P,9,FALSE)</f>
        <v>34651</v>
      </c>
      <c r="K227">
        <f>VLOOKUP(A228,[1]timesData!$B:$P,10,FALSE)</f>
        <v>20.5</v>
      </c>
      <c r="L227">
        <f>VLOOKUP(A228,[1]timesData!$B:$P,11,FALSE)</f>
        <v>0.25</v>
      </c>
      <c r="M227">
        <f>VLOOKUP(A228,[1]timesData!$B:$P,12,FALSE)</f>
        <v>2.8145833333333332</v>
      </c>
      <c r="N227">
        <f>VLOOKUP(A228,[1]timesData!$B:$P,13,FALSE)</f>
        <v>2011</v>
      </c>
      <c r="O227" t="e">
        <f>VLOOKUP(A227,[2]cwurData!$B:$P,14,FALSE)</f>
        <v>#N/A</v>
      </c>
      <c r="P227" t="e">
        <f>VLOOKUP(A227,[2]cwurData!$B:$N, 3, FALSE)</f>
        <v>#N/A</v>
      </c>
      <c r="Q227" t="e">
        <f>VLOOKUP(A227,[2]cwurData!$B:$N, 4, FALSE)</f>
        <v>#N/A</v>
      </c>
      <c r="R227" t="e">
        <f>VLOOKUP(A227,[2]cwurData!$B:$N, 5, FALSE)</f>
        <v>#N/A</v>
      </c>
      <c r="S227" t="e">
        <f>VLOOKUP(A227,[2]cwurData!$B:$N, 6, FALSE)</f>
        <v>#N/A</v>
      </c>
      <c r="T227" t="e">
        <f>VLOOKUP(A227,[2]cwurData!$B:$N, 7, FALSE)</f>
        <v>#N/A</v>
      </c>
      <c r="U227" t="e">
        <f>VLOOKUP(A227,[2]cwurData!$B:$N, 8, FALSE)</f>
        <v>#N/A</v>
      </c>
      <c r="V227" t="e">
        <f>VLOOKUP(A227,[2]cwurData!$B:$N, 9, FALSE)</f>
        <v>#N/A</v>
      </c>
      <c r="W227" t="e">
        <f>VLOOKUP(A227,[2]cwurData!$B:$N, 10, FALSE)</f>
        <v>#N/A</v>
      </c>
      <c r="X227" t="e">
        <f>VLOOKUP(A227,[2]cwurData!$B:$N, 11, FALSE)</f>
        <v>#N/A</v>
      </c>
      <c r="Y227" t="e">
        <f>VLOOKUP(A227,[2]cwurData!$B:$N, 12, FALSE)</f>
        <v>#N/A</v>
      </c>
      <c r="Z227" t="e">
        <f>VLOOKUP(A227,[2]cwurData!$B:$N, 13, FALSE)</f>
        <v>#N/A</v>
      </c>
    </row>
    <row r="228" spans="1:26" x14ac:dyDescent="0.3">
      <c r="A228" t="s">
        <v>195</v>
      </c>
      <c r="B228" t="str">
        <f>IFERROR(VLOOKUP(A228,[1]timesData!$B:$P,2,FALSE),VLOOKUP(A228,[2]cwurData!$B:$P,2,FALSE))</f>
        <v>Austria</v>
      </c>
      <c r="C228">
        <f>VLOOKUP(A228,[1]timesData!$B:$P,3,FALSE)</f>
        <v>195</v>
      </c>
      <c r="D228">
        <f>VLOOKUP(A229,[1]timesData!$B:$P,3,FALSE)</f>
        <v>195</v>
      </c>
      <c r="E228">
        <f>VLOOKUP(A229,[1]timesData!$B:$P,4,FALSE)</f>
        <v>61.1</v>
      </c>
      <c r="F228">
        <f>VLOOKUP(A229,[1]timesData!$B:$P,5,FALSE)</f>
        <v>22.2</v>
      </c>
      <c r="G228">
        <f>VLOOKUP(A229,[1]timesData!$B:$P,6,FALSE)</f>
        <v>83.8</v>
      </c>
      <c r="H228">
        <f>VLOOKUP(A229,[1]timesData!$B:$P,7,FALSE)</f>
        <v>68.400000000000006</v>
      </c>
      <c r="I228">
        <f>VLOOKUP(A229,[1]timesData!$B:$P,8,FALSE)</f>
        <v>49.3</v>
      </c>
      <c r="J228">
        <f>VLOOKUP(A229,[1]timesData!$B:$P,9,FALSE)</f>
        <v>6853</v>
      </c>
      <c r="K228">
        <f>VLOOKUP(A229,[1]timesData!$B:$P,10,FALSE)</f>
        <v>6.6</v>
      </c>
      <c r="L228">
        <f>VLOOKUP(A229,[1]timesData!$B:$P,11,FALSE)</f>
        <v>0.16</v>
      </c>
      <c r="M228">
        <f>VLOOKUP(A229,[1]timesData!$B:$P,12,FALSE)</f>
        <v>2.6916666666666669</v>
      </c>
      <c r="N228">
        <f>VLOOKUP(A229,[1]timesData!$B:$P,13,FALSE)</f>
        <v>2016</v>
      </c>
      <c r="O228">
        <f>VLOOKUP(A228,[2]cwurData!$B:$P,14,FALSE)</f>
        <v>205</v>
      </c>
      <c r="P228">
        <f>VLOOKUP(A228,[2]cwurData!$B:$N, 3, FALSE)</f>
        <v>1</v>
      </c>
      <c r="Q228">
        <f>VLOOKUP(A228,[2]cwurData!$B:$N, 4, FALSE)</f>
        <v>200</v>
      </c>
      <c r="R228">
        <f>VLOOKUP(A228,[2]cwurData!$B:$N, 5, FALSE)</f>
        <v>160</v>
      </c>
      <c r="S228">
        <f>VLOOKUP(A228,[2]cwurData!$B:$N, 6, FALSE)</f>
        <v>100</v>
      </c>
      <c r="T228">
        <f>VLOOKUP(A228,[2]cwurData!$B:$N, 7, FALSE)</f>
        <v>225</v>
      </c>
      <c r="U228">
        <f>VLOOKUP(A228,[2]cwurData!$B:$N, 8, FALSE)</f>
        <v>147</v>
      </c>
      <c r="V228">
        <f>VLOOKUP(A228,[2]cwurData!$B:$N, 9, FALSE)</f>
        <v>150</v>
      </c>
      <c r="W228">
        <f>VLOOKUP(A228,[2]cwurData!$B:$N, 10, FALSE)</f>
        <v>192</v>
      </c>
      <c r="X228">
        <f>VLOOKUP(A228,[2]cwurData!$B:$N, 11, FALSE)</f>
        <v>737</v>
      </c>
      <c r="Y228">
        <f>VLOOKUP(A228,[2]cwurData!$B:$N, 12, FALSE)</f>
        <v>47.78</v>
      </c>
      <c r="Z228">
        <f>VLOOKUP(A228,[2]cwurData!$B:$N, 13, FALSE)</f>
        <v>2014</v>
      </c>
    </row>
    <row r="229" spans="1:26" x14ac:dyDescent="0.3">
      <c r="A229" t="s">
        <v>485</v>
      </c>
      <c r="B229" t="str">
        <f>IFERROR(VLOOKUP(A229,[1]timesData!$B:$P,2,FALSE),VLOOKUP(A229,[2]cwurData!$B:$P,2,FALSE))</f>
        <v>Germany</v>
      </c>
      <c r="C229">
        <f>VLOOKUP(A229,[1]timesData!$B:$P,3,FALSE)</f>
        <v>195</v>
      </c>
      <c r="D229">
        <f>VLOOKUP(A230,[1]timesData!$B:$P,3,FALSE)</f>
        <v>196</v>
      </c>
      <c r="E229">
        <f>VLOOKUP(A230,[1]timesData!$B:$P,4,FALSE)</f>
        <v>15.9</v>
      </c>
      <c r="F229">
        <f>VLOOKUP(A230,[1]timesData!$B:$P,5,FALSE)</f>
        <v>33.299999999999997</v>
      </c>
      <c r="G229">
        <f>VLOOKUP(A230,[1]timesData!$B:$P,6,FALSE)</f>
        <v>76.8</v>
      </c>
      <c r="H229">
        <f>VLOOKUP(A230,[1]timesData!$B:$P,7,FALSE)</f>
        <v>26.3</v>
      </c>
      <c r="I229">
        <f>VLOOKUP(A230,[1]timesData!$B:$P,8,FALSE)</f>
        <v>46.5</v>
      </c>
      <c r="J229">
        <f>VLOOKUP(A230,[1]timesData!$B:$P,9,FALSE)</f>
        <v>23122</v>
      </c>
      <c r="K229">
        <f>VLOOKUP(A230,[1]timesData!$B:$P,10,FALSE)</f>
        <v>19</v>
      </c>
      <c r="L229">
        <f>VLOOKUP(A230,[1]timesData!$B:$P,11,FALSE)</f>
        <v>0.08</v>
      </c>
      <c r="M229">
        <f>VLOOKUP(A230,[1]timesData!$B:$P,12,FALSE)</f>
        <v>2.4458333333333333</v>
      </c>
      <c r="N229">
        <f>VLOOKUP(A230,[1]timesData!$B:$P,13,FALSE)</f>
        <v>2011</v>
      </c>
      <c r="O229" t="e">
        <f>VLOOKUP(A229,[2]cwurData!$B:$P,14,FALSE)</f>
        <v>#N/A</v>
      </c>
      <c r="P229" t="e">
        <f>VLOOKUP(A229,[2]cwurData!$B:$N, 3, FALSE)</f>
        <v>#N/A</v>
      </c>
      <c r="Q229" t="e">
        <f>VLOOKUP(A229,[2]cwurData!$B:$N, 4, FALSE)</f>
        <v>#N/A</v>
      </c>
      <c r="R229" t="e">
        <f>VLOOKUP(A229,[2]cwurData!$B:$N, 5, FALSE)</f>
        <v>#N/A</v>
      </c>
      <c r="S229" t="e">
        <f>VLOOKUP(A229,[2]cwurData!$B:$N, 6, FALSE)</f>
        <v>#N/A</v>
      </c>
      <c r="T229" t="e">
        <f>VLOOKUP(A229,[2]cwurData!$B:$N, 7, FALSE)</f>
        <v>#N/A</v>
      </c>
      <c r="U229" t="e">
        <f>VLOOKUP(A229,[2]cwurData!$B:$N, 8, FALSE)</f>
        <v>#N/A</v>
      </c>
      <c r="V229" t="e">
        <f>VLOOKUP(A229,[2]cwurData!$B:$N, 9, FALSE)</f>
        <v>#N/A</v>
      </c>
      <c r="W229" t="e">
        <f>VLOOKUP(A229,[2]cwurData!$B:$N, 10, FALSE)</f>
        <v>#N/A</v>
      </c>
      <c r="X229" t="e">
        <f>VLOOKUP(A229,[2]cwurData!$B:$N, 11, FALSE)</f>
        <v>#N/A</v>
      </c>
      <c r="Y229" t="e">
        <f>VLOOKUP(A229,[2]cwurData!$B:$N, 12, FALSE)</f>
        <v>#N/A</v>
      </c>
      <c r="Z229" t="e">
        <f>VLOOKUP(A229,[2]cwurData!$B:$N, 13, FALSE)</f>
        <v>#N/A</v>
      </c>
    </row>
    <row r="230" spans="1:26" x14ac:dyDescent="0.3">
      <c r="A230" t="s">
        <v>196</v>
      </c>
      <c r="B230" t="str">
        <f>IFERROR(VLOOKUP(A230,[1]timesData!$B:$P,2,FALSE),VLOOKUP(A230,[2]cwurData!$B:$P,2,FALSE))</f>
        <v>United States of America</v>
      </c>
      <c r="C230">
        <f>VLOOKUP(A230,[1]timesData!$B:$P,3,FALSE)</f>
        <v>196</v>
      </c>
      <c r="D230">
        <f>VLOOKUP(A231,[1]timesData!$B:$P,3,FALSE)</f>
        <v>197</v>
      </c>
      <c r="E230">
        <f>VLOOKUP(A231,[1]timesData!$B:$P,4,FALSE)</f>
        <v>29.6</v>
      </c>
      <c r="F230">
        <f>VLOOKUP(A231,[1]timesData!$B:$P,5,FALSE)</f>
        <v>41.3</v>
      </c>
      <c r="G230">
        <f>VLOOKUP(A231,[1]timesData!$B:$P,6,FALSE)</f>
        <v>44.3</v>
      </c>
      <c r="H230">
        <f>VLOOKUP(A231,[1]timesData!$B:$P,7,FALSE)</f>
        <v>70.3</v>
      </c>
      <c r="I230">
        <f>VLOOKUP(A231,[1]timesData!$B:$P,8,FALSE)</f>
        <v>46.4</v>
      </c>
      <c r="J230">
        <f>VLOOKUP(A231,[1]timesData!$B:$P,9,FALSE)</f>
        <v>47508</v>
      </c>
      <c r="K230">
        <f>VLOOKUP(A231,[1]timesData!$B:$P,10,FALSE)</f>
        <v>15.9</v>
      </c>
      <c r="L230">
        <f>VLOOKUP(A231,[1]timesData!$B:$P,11,FALSE)</f>
        <v>0.05</v>
      </c>
      <c r="M230">
        <f>VLOOKUP(A231,[1]timesData!$B:$P,12,FALSE)</f>
        <v>1.7493055555555554</v>
      </c>
      <c r="N230">
        <f>VLOOKUP(A231,[1]timesData!$B:$P,13,FALSE)</f>
        <v>2011</v>
      </c>
      <c r="O230">
        <f>VLOOKUP(A230,[2]cwurData!$B:$P,14,FALSE)</f>
        <v>586</v>
      </c>
      <c r="P230">
        <f>VLOOKUP(A230,[2]cwurData!$B:$N, 3, FALSE)</f>
        <v>173</v>
      </c>
      <c r="Q230">
        <f>VLOOKUP(A230,[2]cwurData!$B:$N, 4, FALSE)</f>
        <v>355</v>
      </c>
      <c r="R230">
        <f>VLOOKUP(A230,[2]cwurData!$B:$N, 5, FALSE)</f>
        <v>478</v>
      </c>
      <c r="S230">
        <f>VLOOKUP(A230,[2]cwurData!$B:$N, 6, FALSE)</f>
        <v>210</v>
      </c>
      <c r="T230">
        <f>VLOOKUP(A230,[2]cwurData!$B:$N, 7, FALSE)</f>
        <v>616</v>
      </c>
      <c r="U230">
        <f>VLOOKUP(A230,[2]cwurData!$B:$N, 8, FALSE)</f>
        <v>431</v>
      </c>
      <c r="V230">
        <f>VLOOKUP(A230,[2]cwurData!$B:$N, 9, FALSE)</f>
        <v>363</v>
      </c>
      <c r="W230">
        <f>VLOOKUP(A230,[2]cwurData!$B:$N, 10, FALSE)</f>
        <v>496</v>
      </c>
      <c r="X230">
        <f>VLOOKUP(A230,[2]cwurData!$B:$N, 11, FALSE)</f>
        <v>481</v>
      </c>
      <c r="Y230">
        <f>VLOOKUP(A230,[2]cwurData!$B:$N, 12, FALSE)</f>
        <v>44.85</v>
      </c>
      <c r="Z230">
        <f>VLOOKUP(A230,[2]cwurData!$B:$N, 13, FALSE)</f>
        <v>2014</v>
      </c>
    </row>
    <row r="231" spans="1:26" x14ac:dyDescent="0.3">
      <c r="A231" t="s">
        <v>198</v>
      </c>
      <c r="B231" t="str">
        <f>IFERROR(VLOOKUP(A231,[1]timesData!$B:$P,2,FALSE),VLOOKUP(A231,[2]cwurData!$B:$P,2,FALSE))</f>
        <v>China</v>
      </c>
      <c r="C231">
        <f>VLOOKUP(A231,[1]timesData!$B:$P,3,FALSE)</f>
        <v>197</v>
      </c>
      <c r="D231">
        <f>VLOOKUP(A232,[1]timesData!$B:$P,3,FALSE)</f>
        <v>197</v>
      </c>
      <c r="E231">
        <f>VLOOKUP(A232,[1]timesData!$B:$P,4,FALSE)</f>
        <v>51.8</v>
      </c>
      <c r="F231">
        <f>VLOOKUP(A232,[1]timesData!$B:$P,5,FALSE)</f>
        <v>46.8</v>
      </c>
      <c r="G231">
        <f>VLOOKUP(A232,[1]timesData!$B:$P,6,FALSE)</f>
        <v>34.700000000000003</v>
      </c>
      <c r="H231" t="str">
        <f>VLOOKUP(A232,[1]timesData!$B:$P,7,FALSE)</f>
        <v>-</v>
      </c>
      <c r="I231">
        <f>VLOOKUP(A232,[1]timesData!$B:$P,8,FALSE)</f>
        <v>46.4</v>
      </c>
      <c r="J231">
        <f>VLOOKUP(A232,[1]timesData!$B:$P,9,FALSE)</f>
        <v>24313</v>
      </c>
      <c r="K231">
        <f>VLOOKUP(A232,[1]timesData!$B:$P,10,FALSE)</f>
        <v>9.1999999999999993</v>
      </c>
      <c r="L231">
        <f>VLOOKUP(A232,[1]timesData!$B:$P,11,FALSE)</f>
        <v>0.17</v>
      </c>
      <c r="M231">
        <f>VLOOKUP(A232,[1]timesData!$B:$P,12,FALSE)</f>
        <v>2.2409722222222221</v>
      </c>
      <c r="N231">
        <f>VLOOKUP(A232,[1]timesData!$B:$P,13,FALSE)</f>
        <v>2011</v>
      </c>
      <c r="O231">
        <f>VLOOKUP(A231,[2]cwurData!$B:$P,14,FALSE)</f>
        <v>206</v>
      </c>
      <c r="P231">
        <f>VLOOKUP(A231,[2]cwurData!$B:$N, 3, FALSE)</f>
        <v>5</v>
      </c>
      <c r="Q231">
        <f>VLOOKUP(A231,[2]cwurData!$B:$N, 4, FALSE)</f>
        <v>355</v>
      </c>
      <c r="R231">
        <f>VLOOKUP(A231,[2]cwurData!$B:$N, 5, FALSE)</f>
        <v>293</v>
      </c>
      <c r="S231">
        <f>VLOOKUP(A231,[2]cwurData!$B:$N, 6, FALSE)</f>
        <v>210</v>
      </c>
      <c r="T231">
        <f>VLOOKUP(A231,[2]cwurData!$B:$N, 7, FALSE)</f>
        <v>86</v>
      </c>
      <c r="U231">
        <f>VLOOKUP(A231,[2]cwurData!$B:$N, 8, FALSE)</f>
        <v>318</v>
      </c>
      <c r="V231">
        <f>VLOOKUP(A231,[2]cwurData!$B:$N, 9, FALSE)</f>
        <v>493</v>
      </c>
      <c r="W231">
        <f>VLOOKUP(A231,[2]cwurData!$B:$N, 10, FALSE)</f>
        <v>290</v>
      </c>
      <c r="X231">
        <f>VLOOKUP(A231,[2]cwurData!$B:$N, 11, FALSE)</f>
        <v>94</v>
      </c>
      <c r="Y231">
        <f>VLOOKUP(A231,[2]cwurData!$B:$N, 12, FALSE)</f>
        <v>47.76</v>
      </c>
      <c r="Z231">
        <f>VLOOKUP(A231,[2]cwurData!$B:$N, 13, FALSE)</f>
        <v>2014</v>
      </c>
    </row>
    <row r="232" spans="1:26" x14ac:dyDescent="0.3">
      <c r="A232" t="s">
        <v>197</v>
      </c>
      <c r="B232" t="str">
        <f>IFERROR(VLOOKUP(A232,[1]timesData!$B:$P,2,FALSE),VLOOKUP(A232,[2]cwurData!$B:$P,2,FALSE))</f>
        <v>United States of America</v>
      </c>
      <c r="C232">
        <f>VLOOKUP(A232,[1]timesData!$B:$P,3,FALSE)</f>
        <v>197</v>
      </c>
      <c r="D232">
        <f>VLOOKUP(A233,[1]timesData!$B:$P,3,FALSE)</f>
        <v>197</v>
      </c>
      <c r="E232">
        <f>VLOOKUP(A233,[1]timesData!$B:$P,4,FALSE)</f>
        <v>86.4</v>
      </c>
      <c r="F232">
        <f>VLOOKUP(A233,[1]timesData!$B:$P,5,FALSE)</f>
        <v>30.5</v>
      </c>
      <c r="G232">
        <f>VLOOKUP(A233,[1]timesData!$B:$P,6,FALSE)</f>
        <v>53.9</v>
      </c>
      <c r="H232" t="str">
        <f>VLOOKUP(A233,[1]timesData!$B:$P,7,FALSE)</f>
        <v>-</v>
      </c>
      <c r="I232">
        <f>VLOOKUP(A233,[1]timesData!$B:$P,8,FALSE)</f>
        <v>41.5</v>
      </c>
      <c r="J232">
        <f>VLOOKUP(A233,[1]timesData!$B:$P,9,FALSE)</f>
        <v>15626</v>
      </c>
      <c r="K232">
        <f>VLOOKUP(A233,[1]timesData!$B:$P,10,FALSE)</f>
        <v>18.899999999999999</v>
      </c>
      <c r="L232">
        <f>VLOOKUP(A233,[1]timesData!$B:$P,11,FALSE)</f>
        <v>0.48</v>
      </c>
      <c r="M232">
        <f>VLOOKUP(A233,[1]timesData!$B:$P,12,FALSE)</f>
        <v>2.3638888888888889</v>
      </c>
      <c r="N232">
        <f>VLOOKUP(A233,[1]timesData!$B:$P,13,FALSE)</f>
        <v>2012</v>
      </c>
      <c r="O232">
        <f>VLOOKUP(A232,[2]cwurData!$B:$P,14,FALSE)</f>
        <v>218</v>
      </c>
      <c r="P232">
        <f>VLOOKUP(A232,[2]cwurData!$B:$N, 3, FALSE)</f>
        <v>90</v>
      </c>
      <c r="Q232">
        <f>VLOOKUP(A232,[2]cwurData!$B:$N, 4, FALSE)</f>
        <v>355</v>
      </c>
      <c r="R232">
        <f>VLOOKUP(A232,[2]cwurData!$B:$N, 5, FALSE)</f>
        <v>416</v>
      </c>
      <c r="S232">
        <f>VLOOKUP(A232,[2]cwurData!$B:$N, 6, FALSE)</f>
        <v>210</v>
      </c>
      <c r="T232">
        <f>VLOOKUP(A232,[2]cwurData!$B:$N, 7, FALSE)</f>
        <v>131</v>
      </c>
      <c r="U232">
        <f>VLOOKUP(A232,[2]cwurData!$B:$N, 8, FALSE)</f>
        <v>189</v>
      </c>
      <c r="V232">
        <f>VLOOKUP(A232,[2]cwurData!$B:$N, 9, FALSE)</f>
        <v>220</v>
      </c>
      <c r="W232">
        <f>VLOOKUP(A232,[2]cwurData!$B:$N, 10, FALSE)</f>
        <v>185</v>
      </c>
      <c r="X232">
        <f>VLOOKUP(A232,[2]cwurData!$B:$N, 11, FALSE)</f>
        <v>170</v>
      </c>
      <c r="Y232">
        <f>VLOOKUP(A232,[2]cwurData!$B:$N, 12, FALSE)</f>
        <v>47.63</v>
      </c>
      <c r="Z232">
        <f>VLOOKUP(A232,[2]cwurData!$B:$N, 13, FALSE)</f>
        <v>2014</v>
      </c>
    </row>
    <row r="233" spans="1:26" x14ac:dyDescent="0.3">
      <c r="A233" t="s">
        <v>225</v>
      </c>
      <c r="B233" t="str">
        <f>IFERROR(VLOOKUP(A233,[1]timesData!$B:$P,2,FALSE),VLOOKUP(A233,[2]cwurData!$B:$P,2,FALSE))</f>
        <v>Netherlands</v>
      </c>
      <c r="C233">
        <f>VLOOKUP(A233,[1]timesData!$B:$P,3,FALSE)</f>
        <v>197</v>
      </c>
      <c r="D233">
        <f>VLOOKUP(A234,[1]timesData!$B:$P,3,FALSE)</f>
        <v>197</v>
      </c>
      <c r="E233">
        <f>VLOOKUP(A234,[1]timesData!$B:$P,4,FALSE)</f>
        <v>84.9</v>
      </c>
      <c r="F233">
        <f>VLOOKUP(A234,[1]timesData!$B:$P,5,FALSE)</f>
        <v>30.3</v>
      </c>
      <c r="G233">
        <f>VLOOKUP(A234,[1]timesData!$B:$P,6,FALSE)</f>
        <v>56.3</v>
      </c>
      <c r="H233">
        <f>VLOOKUP(A234,[1]timesData!$B:$P,7,FALSE)</f>
        <v>34.4</v>
      </c>
      <c r="I233">
        <f>VLOOKUP(A234,[1]timesData!$B:$P,8,FALSE)</f>
        <v>41.5</v>
      </c>
      <c r="J233">
        <f>VLOOKUP(A234,[1]timesData!$B:$P,9,FALSE)</f>
        <v>14541</v>
      </c>
      <c r="K233">
        <f>VLOOKUP(A234,[1]timesData!$B:$P,10,FALSE)</f>
        <v>13.4</v>
      </c>
      <c r="L233">
        <f>VLOOKUP(A234,[1]timesData!$B:$P,11,FALSE)</f>
        <v>0.35</v>
      </c>
      <c r="M233">
        <f>VLOOKUP(A234,[1]timesData!$B:$P,12,FALSE)</f>
        <v>2.2819444444444446</v>
      </c>
      <c r="N233">
        <f>VLOOKUP(A234,[1]timesData!$B:$P,13,FALSE)</f>
        <v>2012</v>
      </c>
      <c r="O233">
        <f>VLOOKUP(A233,[2]cwurData!$B:$P,14,FALSE)</f>
        <v>250</v>
      </c>
      <c r="P233">
        <f>VLOOKUP(A233,[2]cwurData!$B:$N, 3, FALSE)</f>
        <v>8</v>
      </c>
      <c r="Q233">
        <f>VLOOKUP(A233,[2]cwurData!$B:$N, 4, FALSE)</f>
        <v>355</v>
      </c>
      <c r="R233">
        <f>VLOOKUP(A233,[2]cwurData!$B:$N, 5, FALSE)</f>
        <v>478</v>
      </c>
      <c r="S233">
        <f>VLOOKUP(A233,[2]cwurData!$B:$N, 6, FALSE)</f>
        <v>210</v>
      </c>
      <c r="T233">
        <f>VLOOKUP(A233,[2]cwurData!$B:$N, 7, FALSE)</f>
        <v>208</v>
      </c>
      <c r="U233">
        <f>VLOOKUP(A233,[2]cwurData!$B:$N, 8, FALSE)</f>
        <v>376</v>
      </c>
      <c r="V233">
        <f>VLOOKUP(A233,[2]cwurData!$B:$N, 9, FALSE)</f>
        <v>283</v>
      </c>
      <c r="W233">
        <f>VLOOKUP(A233,[2]cwurData!$B:$N, 10, FALSE)</f>
        <v>164</v>
      </c>
      <c r="X233">
        <f>VLOOKUP(A233,[2]cwurData!$B:$N, 11, FALSE)</f>
        <v>307</v>
      </c>
      <c r="Y233">
        <f>VLOOKUP(A233,[2]cwurData!$B:$N, 12, FALSE)</f>
        <v>47.11</v>
      </c>
      <c r="Z233">
        <f>VLOOKUP(A233,[2]cwurData!$B:$N, 13, FALSE)</f>
        <v>2014</v>
      </c>
    </row>
    <row r="234" spans="1:26" x14ac:dyDescent="0.3">
      <c r="A234" t="s">
        <v>226</v>
      </c>
      <c r="B234" t="str">
        <f>IFERROR(VLOOKUP(A234,[1]timesData!$B:$P,2,FALSE),VLOOKUP(A234,[2]cwurData!$B:$P,2,FALSE))</f>
        <v>United Kingdom</v>
      </c>
      <c r="C234">
        <f>VLOOKUP(A234,[1]timesData!$B:$P,3,FALSE)</f>
        <v>197</v>
      </c>
      <c r="D234">
        <f>VLOOKUP(A235,[1]timesData!$B:$P,3,FALSE)</f>
        <v>199</v>
      </c>
      <c r="E234">
        <f>VLOOKUP(A235,[1]timesData!$B:$P,4,FALSE)</f>
        <v>51.9</v>
      </c>
      <c r="F234">
        <f>VLOOKUP(A235,[1]timesData!$B:$P,5,FALSE)</f>
        <v>44.2</v>
      </c>
      <c r="G234">
        <f>VLOOKUP(A235,[1]timesData!$B:$P,6,FALSE)</f>
        <v>60.2</v>
      </c>
      <c r="H234">
        <f>VLOOKUP(A235,[1]timesData!$B:$P,7,FALSE)</f>
        <v>37.9</v>
      </c>
      <c r="I234">
        <f>VLOOKUP(A235,[1]timesData!$B:$P,8,FALSE)</f>
        <v>46.2</v>
      </c>
      <c r="J234">
        <f>VLOOKUP(A235,[1]timesData!$B:$P,9,FALSE)</f>
        <v>26640</v>
      </c>
      <c r="K234">
        <f>VLOOKUP(A235,[1]timesData!$B:$P,10,FALSE)</f>
        <v>28.3</v>
      </c>
      <c r="L234">
        <f>VLOOKUP(A235,[1]timesData!$B:$P,11,FALSE)</f>
        <v>0.19</v>
      </c>
      <c r="M234">
        <f>VLOOKUP(A235,[1]timesData!$B:$P,12,FALSE)</f>
        <v>2.3229166666666665</v>
      </c>
      <c r="N234">
        <f>VLOOKUP(A235,[1]timesData!$B:$P,13,FALSE)</f>
        <v>2011</v>
      </c>
      <c r="O234">
        <f>VLOOKUP(A234,[2]cwurData!$B:$P,14,FALSE)</f>
        <v>263</v>
      </c>
      <c r="P234">
        <f>VLOOKUP(A234,[2]cwurData!$B:$N, 3, FALSE)</f>
        <v>22</v>
      </c>
      <c r="Q234">
        <f>VLOOKUP(A234,[2]cwurData!$B:$N, 4, FALSE)</f>
        <v>355</v>
      </c>
      <c r="R234">
        <f>VLOOKUP(A234,[2]cwurData!$B:$N, 5, FALSE)</f>
        <v>478</v>
      </c>
      <c r="S234">
        <f>VLOOKUP(A234,[2]cwurData!$B:$N, 6, FALSE)</f>
        <v>210</v>
      </c>
      <c r="T234">
        <f>VLOOKUP(A234,[2]cwurData!$B:$N, 7, FALSE)</f>
        <v>254</v>
      </c>
      <c r="U234">
        <f>VLOOKUP(A234,[2]cwurData!$B:$N, 8, FALSE)</f>
        <v>140</v>
      </c>
      <c r="V234">
        <f>VLOOKUP(A234,[2]cwurData!$B:$N, 9, FALSE)</f>
        <v>220</v>
      </c>
      <c r="W234">
        <f>VLOOKUP(A234,[2]cwurData!$B:$N, 10, FALSE)</f>
        <v>185</v>
      </c>
      <c r="X234">
        <f>VLOOKUP(A234,[2]cwurData!$B:$N, 11, FALSE)</f>
        <v>373</v>
      </c>
      <c r="Y234">
        <f>VLOOKUP(A234,[2]cwurData!$B:$N, 12, FALSE)</f>
        <v>46.87</v>
      </c>
      <c r="Z234">
        <f>VLOOKUP(A234,[2]cwurData!$B:$N, 13, FALSE)</f>
        <v>2014</v>
      </c>
    </row>
    <row r="235" spans="1:26" x14ac:dyDescent="0.3">
      <c r="A235" t="s">
        <v>199</v>
      </c>
      <c r="B235" t="str">
        <f>IFERROR(VLOOKUP(A235,[1]timesData!$B:$P,2,FALSE),VLOOKUP(A235,[2]cwurData!$B:$P,2,FALSE))</f>
        <v>Canada</v>
      </c>
      <c r="C235">
        <f>VLOOKUP(A235,[1]timesData!$B:$P,3,FALSE)</f>
        <v>199</v>
      </c>
      <c r="D235">
        <f>VLOOKUP(A236,[1]timesData!$B:$P,3,FALSE)</f>
        <v>199</v>
      </c>
      <c r="E235" t="str">
        <f>VLOOKUP(A236,[1]timesData!$B:$P,4,FALSE)</f>
        <v>-</v>
      </c>
      <c r="F235">
        <f>VLOOKUP(A236,[1]timesData!$B:$P,5,FALSE)</f>
        <v>49.5</v>
      </c>
      <c r="G235">
        <f>VLOOKUP(A236,[1]timesData!$B:$P,6,FALSE)</f>
        <v>41.7</v>
      </c>
      <c r="H235">
        <f>VLOOKUP(A236,[1]timesData!$B:$P,7,FALSE)</f>
        <v>99.9</v>
      </c>
      <c r="I235">
        <f>VLOOKUP(A236,[1]timesData!$B:$P,8,FALSE)</f>
        <v>46.2</v>
      </c>
      <c r="J235">
        <f>VLOOKUP(A236,[1]timesData!$B:$P,9,FALSE)</f>
        <v>3879</v>
      </c>
      <c r="K235">
        <f>VLOOKUP(A236,[1]timesData!$B:$P,10,FALSE)</f>
        <v>4.5999999999999996</v>
      </c>
      <c r="L235">
        <f>VLOOKUP(A236,[1]timesData!$B:$P,11,FALSE)</f>
        <v>0</v>
      </c>
      <c r="M235">
        <f>VLOOKUP(A236,[1]timesData!$B:$P,12,FALSE)</f>
        <v>2.8145833333333332</v>
      </c>
      <c r="N235">
        <f>VLOOKUP(A236,[1]timesData!$B:$P,13,FALSE)</f>
        <v>2011</v>
      </c>
      <c r="O235">
        <f>VLOOKUP(A235,[2]cwurData!$B:$P,14,FALSE)</f>
        <v>393</v>
      </c>
      <c r="P235">
        <f>VLOOKUP(A235,[2]cwurData!$B:$N, 3, FALSE)</f>
        <v>17</v>
      </c>
      <c r="Q235">
        <f>VLOOKUP(A235,[2]cwurData!$B:$N, 4, FALSE)</f>
        <v>355</v>
      </c>
      <c r="R235">
        <f>VLOOKUP(A235,[2]cwurData!$B:$N, 5, FALSE)</f>
        <v>478</v>
      </c>
      <c r="S235">
        <f>VLOOKUP(A235,[2]cwurData!$B:$N, 6, FALSE)</f>
        <v>210</v>
      </c>
      <c r="T235">
        <f>VLOOKUP(A235,[2]cwurData!$B:$N, 7, FALSE)</f>
        <v>286</v>
      </c>
      <c r="U235">
        <f>VLOOKUP(A235,[2]cwurData!$B:$N, 8, FALSE)</f>
        <v>281</v>
      </c>
      <c r="V235">
        <f>VLOOKUP(A235,[2]cwurData!$B:$N, 9, FALSE)</f>
        <v>406</v>
      </c>
      <c r="W235">
        <f>VLOOKUP(A235,[2]cwurData!$B:$N, 10, FALSE)</f>
        <v>341</v>
      </c>
      <c r="X235">
        <f>VLOOKUP(A235,[2]cwurData!$B:$N, 11, FALSE)</f>
        <v>373</v>
      </c>
      <c r="Y235">
        <f>VLOOKUP(A235,[2]cwurData!$B:$N, 12, FALSE)</f>
        <v>45.58</v>
      </c>
      <c r="Z235">
        <f>VLOOKUP(A235,[2]cwurData!$B:$N, 13, FALSE)</f>
        <v>2014</v>
      </c>
    </row>
    <row r="236" spans="1:26" x14ac:dyDescent="0.3">
      <c r="A236" t="s">
        <v>200</v>
      </c>
      <c r="B236" t="str">
        <f>IFERROR(VLOOKUP(A236,[1]timesData!$B:$P,2,FALSE),VLOOKUP(A236,[2]cwurData!$B:$P,2,FALSE))</f>
        <v>Sweden</v>
      </c>
      <c r="C236">
        <f>VLOOKUP(A236,[1]timesData!$B:$P,3,FALSE)</f>
        <v>199</v>
      </c>
      <c r="D236" t="str">
        <f>VLOOKUP(A237,[1]timesData!$B:$P,3,FALSE)</f>
        <v>201-225</v>
      </c>
      <c r="E236">
        <f>VLOOKUP(A237,[1]timesData!$B:$P,4,FALSE)</f>
        <v>21.2</v>
      </c>
      <c r="F236">
        <f>VLOOKUP(A237,[1]timesData!$B:$P,5,FALSE)</f>
        <v>39.200000000000003</v>
      </c>
      <c r="G236">
        <f>VLOOKUP(A237,[1]timesData!$B:$P,6,FALSE)</f>
        <v>43.8</v>
      </c>
      <c r="H236">
        <f>VLOOKUP(A237,[1]timesData!$B:$P,7,FALSE)</f>
        <v>33.1</v>
      </c>
      <c r="I236" t="str">
        <f>VLOOKUP(A237,[1]timesData!$B:$P,8,FALSE)</f>
        <v>-</v>
      </c>
      <c r="J236">
        <f>VLOOKUP(A237,[1]timesData!$B:$P,9,FALSE)</f>
        <v>15529</v>
      </c>
      <c r="K236">
        <f>VLOOKUP(A237,[1]timesData!$B:$P,10,FALSE)</f>
        <v>7.9</v>
      </c>
      <c r="L236">
        <f>VLOOKUP(A237,[1]timesData!$B:$P,11,FALSE)</f>
        <v>0.1</v>
      </c>
      <c r="M236" t="str">
        <f>VLOOKUP(A237,[1]timesData!$B:$P,12,FALSE)</f>
        <v>29 : 71</v>
      </c>
      <c r="N236">
        <f>VLOOKUP(A237,[1]timesData!$B:$P,13,FALSE)</f>
        <v>2012</v>
      </c>
      <c r="O236">
        <f>VLOOKUP(A236,[2]cwurData!$B:$P,14,FALSE)</f>
        <v>433</v>
      </c>
      <c r="P236">
        <f>VLOOKUP(A236,[2]cwurData!$B:$N, 3, FALSE)</f>
        <v>10</v>
      </c>
      <c r="Q236">
        <f>VLOOKUP(A236,[2]cwurData!$B:$N, 4, FALSE)</f>
        <v>355</v>
      </c>
      <c r="R236">
        <f>VLOOKUP(A236,[2]cwurData!$B:$N, 5, FALSE)</f>
        <v>478</v>
      </c>
      <c r="S236">
        <f>VLOOKUP(A236,[2]cwurData!$B:$N, 6, FALSE)</f>
        <v>210</v>
      </c>
      <c r="T236">
        <f>VLOOKUP(A236,[2]cwurData!$B:$N, 7, FALSE)</f>
        <v>376</v>
      </c>
      <c r="U236">
        <f>VLOOKUP(A236,[2]cwurData!$B:$N, 8, FALSE)</f>
        <v>266</v>
      </c>
      <c r="V236">
        <f>VLOOKUP(A236,[2]cwurData!$B:$N, 9, FALSE)</f>
        <v>363</v>
      </c>
      <c r="W236">
        <f>VLOOKUP(A236,[2]cwurData!$B:$N, 10, FALSE)</f>
        <v>346</v>
      </c>
      <c r="X236">
        <f>VLOOKUP(A236,[2]cwurData!$B:$N, 11, FALSE)</f>
        <v>737</v>
      </c>
      <c r="Y236">
        <f>VLOOKUP(A236,[2]cwurData!$B:$N, 12, FALSE)</f>
        <v>45.4</v>
      </c>
      <c r="Z236">
        <f>VLOOKUP(A236,[2]cwurData!$B:$N, 13, FALSE)</f>
        <v>2014</v>
      </c>
    </row>
    <row r="237" spans="1:26" x14ac:dyDescent="0.3">
      <c r="A237" t="s">
        <v>230</v>
      </c>
      <c r="B237" t="str">
        <f>IFERROR(VLOOKUP(A237,[1]timesData!$B:$P,2,FALSE),VLOOKUP(A237,[2]cwurData!$B:$P,2,FALSE))</f>
        <v>Japan</v>
      </c>
      <c r="C237" t="str">
        <f>VLOOKUP(A237,[1]timesData!$B:$P,3,FALSE)</f>
        <v>201-225</v>
      </c>
      <c r="D237" t="str">
        <f>VLOOKUP(A238,[1]timesData!$B:$P,3,FALSE)</f>
        <v>201-225</v>
      </c>
      <c r="E237">
        <f>VLOOKUP(A238,[1]timesData!$B:$P,4,FALSE)</f>
        <v>80.400000000000006</v>
      </c>
      <c r="F237">
        <f>VLOOKUP(A238,[1]timesData!$B:$P,5,FALSE)</f>
        <v>25.9</v>
      </c>
      <c r="G237">
        <f>VLOOKUP(A238,[1]timesData!$B:$P,6,FALSE)</f>
        <v>53.5</v>
      </c>
      <c r="H237">
        <f>VLOOKUP(A238,[1]timesData!$B:$P,7,FALSE)</f>
        <v>52.8</v>
      </c>
      <c r="I237" t="str">
        <f>VLOOKUP(A238,[1]timesData!$B:$P,8,FALSE)</f>
        <v>-</v>
      </c>
      <c r="J237">
        <f>VLOOKUP(A238,[1]timesData!$B:$P,9,FALSE)</f>
        <v>23819</v>
      </c>
      <c r="K237">
        <f>VLOOKUP(A238,[1]timesData!$B:$P,10,FALSE)</f>
        <v>26.1</v>
      </c>
      <c r="L237">
        <f>VLOOKUP(A238,[1]timesData!$B:$P,11,FALSE)</f>
        <v>0.32</v>
      </c>
      <c r="M237">
        <f>VLOOKUP(A238,[1]timesData!$B:$P,12,FALSE)</f>
        <v>2.2819444444444446</v>
      </c>
      <c r="N237">
        <f>VLOOKUP(A238,[1]timesData!$B:$P,13,FALSE)</f>
        <v>2012</v>
      </c>
      <c r="O237">
        <f>VLOOKUP(A237,[2]cwurData!$B:$P,14,FALSE)</f>
        <v>74</v>
      </c>
      <c r="P237">
        <f>VLOOKUP(A237,[2]cwurData!$B:$N, 3, FALSE)</f>
        <v>4</v>
      </c>
      <c r="Q237">
        <f>VLOOKUP(A237,[2]cwurData!$B:$N, 4, FALSE)</f>
        <v>56</v>
      </c>
      <c r="R237">
        <f>VLOOKUP(A237,[2]cwurData!$B:$N, 5, FALSE)</f>
        <v>101</v>
      </c>
      <c r="S237">
        <f>VLOOKUP(A237,[2]cwurData!$B:$N, 6, FALSE)</f>
        <v>69</v>
      </c>
      <c r="T237">
        <f>VLOOKUP(A237,[2]cwurData!$B:$N, 7, FALSE)</f>
        <v>101</v>
      </c>
      <c r="U237">
        <f>VLOOKUP(A237,[2]cwurData!$B:$N, 8, FALSE)</f>
        <v>101</v>
      </c>
      <c r="V237">
        <f>VLOOKUP(A237,[2]cwurData!$B:$N, 9, FALSE)</f>
        <v>101</v>
      </c>
      <c r="W237">
        <f>VLOOKUP(A237,[2]cwurData!$B:$N, 10, FALSE)</f>
        <v>0</v>
      </c>
      <c r="X237">
        <f>VLOOKUP(A237,[2]cwurData!$B:$N, 11, FALSE)</f>
        <v>46</v>
      </c>
      <c r="Y237">
        <f>VLOOKUP(A237,[2]cwurData!$B:$N, 12, FALSE)</f>
        <v>46.89</v>
      </c>
      <c r="Z237">
        <f>VLOOKUP(A237,[2]cwurData!$B:$N, 13, FALSE)</f>
        <v>2012</v>
      </c>
    </row>
    <row r="238" spans="1:26" x14ac:dyDescent="0.3">
      <c r="A238" t="s">
        <v>246</v>
      </c>
      <c r="B238" t="str">
        <f>IFERROR(VLOOKUP(A238,[1]timesData!$B:$P,2,FALSE),VLOOKUP(A238,[2]cwurData!$B:$P,2,FALSE))</f>
        <v>Belgium</v>
      </c>
      <c r="C238" t="str">
        <f>VLOOKUP(A238,[1]timesData!$B:$P,3,FALSE)</f>
        <v>201-225</v>
      </c>
      <c r="D238" t="str">
        <f>VLOOKUP(A239,[1]timesData!$B:$P,3,FALSE)</f>
        <v>201-225</v>
      </c>
      <c r="E238">
        <f>VLOOKUP(A239,[1]timesData!$B:$P,4,FALSE)</f>
        <v>48.4</v>
      </c>
      <c r="F238">
        <f>VLOOKUP(A239,[1]timesData!$B:$P,5,FALSE)</f>
        <v>37.700000000000003</v>
      </c>
      <c r="G238">
        <f>VLOOKUP(A239,[1]timesData!$B:$P,6,FALSE)</f>
        <v>55.7</v>
      </c>
      <c r="H238">
        <f>VLOOKUP(A239,[1]timesData!$B:$P,7,FALSE)</f>
        <v>37.700000000000003</v>
      </c>
      <c r="I238" t="str">
        <f>VLOOKUP(A239,[1]timesData!$B:$P,8,FALSE)</f>
        <v>-</v>
      </c>
      <c r="J238">
        <f>VLOOKUP(A239,[1]timesData!$B:$P,9,FALSE)</f>
        <v>26420</v>
      </c>
      <c r="K238">
        <f>VLOOKUP(A239,[1]timesData!$B:$P,10,FALSE)</f>
        <v>16.399999999999999</v>
      </c>
      <c r="L238">
        <f>VLOOKUP(A239,[1]timesData!$B:$P,11,FALSE)</f>
        <v>0.12</v>
      </c>
      <c r="M238">
        <f>VLOOKUP(A239,[1]timesData!$B:$P,12,FALSE)</f>
        <v>0</v>
      </c>
      <c r="N238">
        <f>VLOOKUP(A239,[1]timesData!$B:$P,13,FALSE)</f>
        <v>2012</v>
      </c>
      <c r="O238">
        <f>VLOOKUP(A238,[2]cwurData!$B:$P,14,FALSE)</f>
        <v>139</v>
      </c>
      <c r="P238">
        <f>VLOOKUP(A238,[2]cwurData!$B:$N, 3, FALSE)</f>
        <v>3</v>
      </c>
      <c r="Q238">
        <f>VLOOKUP(A238,[2]cwurData!$B:$N, 4, FALSE)</f>
        <v>165</v>
      </c>
      <c r="R238">
        <f>VLOOKUP(A238,[2]cwurData!$B:$N, 5, FALSE)</f>
        <v>167</v>
      </c>
      <c r="S238">
        <f>VLOOKUP(A238,[2]cwurData!$B:$N, 6, FALSE)</f>
        <v>57</v>
      </c>
      <c r="T238">
        <f>VLOOKUP(A238,[2]cwurData!$B:$N, 7, FALSE)</f>
        <v>221</v>
      </c>
      <c r="U238">
        <f>VLOOKUP(A238,[2]cwurData!$B:$N, 8, FALSE)</f>
        <v>196</v>
      </c>
      <c r="V238">
        <f>VLOOKUP(A238,[2]cwurData!$B:$N, 9, FALSE)</f>
        <v>81</v>
      </c>
      <c r="W238">
        <f>VLOOKUP(A238,[2]cwurData!$B:$N, 10, FALSE)</f>
        <v>158</v>
      </c>
      <c r="X238">
        <f>VLOOKUP(A238,[2]cwurData!$B:$N, 11, FALSE)</f>
        <v>115</v>
      </c>
      <c r="Y238">
        <f>VLOOKUP(A238,[2]cwurData!$B:$N, 12, FALSE)</f>
        <v>49.6</v>
      </c>
      <c r="Z238">
        <f>VLOOKUP(A238,[2]cwurData!$B:$N, 13, FALSE)</f>
        <v>2014</v>
      </c>
    </row>
    <row r="239" spans="1:26" x14ac:dyDescent="0.3">
      <c r="A239" t="s">
        <v>239</v>
      </c>
      <c r="B239" t="str">
        <f>IFERROR(VLOOKUP(A239,[1]timesData!$B:$P,2,FALSE),VLOOKUP(A239,[2]cwurData!$B:$P,2,FALSE))</f>
        <v>Sweden</v>
      </c>
      <c r="C239" t="str">
        <f>VLOOKUP(A239,[1]timesData!$B:$P,3,FALSE)</f>
        <v>201-225</v>
      </c>
      <c r="D239" t="str">
        <f>VLOOKUP(A240,[1]timesData!$B:$P,3,FALSE)</f>
        <v>201-225</v>
      </c>
      <c r="E239">
        <f>VLOOKUP(A240,[1]timesData!$B:$P,4,FALSE)</f>
        <v>70.400000000000006</v>
      </c>
      <c r="F239">
        <f>VLOOKUP(A240,[1]timesData!$B:$P,5,FALSE)</f>
        <v>17.3</v>
      </c>
      <c r="G239">
        <f>VLOOKUP(A240,[1]timesData!$B:$P,6,FALSE)</f>
        <v>70.3</v>
      </c>
      <c r="H239">
        <f>VLOOKUP(A240,[1]timesData!$B:$P,7,FALSE)</f>
        <v>32.1</v>
      </c>
      <c r="I239" t="str">
        <f>VLOOKUP(A240,[1]timesData!$B:$P,8,FALSE)</f>
        <v>-</v>
      </c>
      <c r="J239">
        <f>VLOOKUP(A240,[1]timesData!$B:$P,9,FALSE)</f>
        <v>46208</v>
      </c>
      <c r="K239">
        <f>VLOOKUP(A240,[1]timesData!$B:$P,10,FALSE)</f>
        <v>17.8</v>
      </c>
      <c r="L239">
        <f>VLOOKUP(A240,[1]timesData!$B:$P,11,FALSE)</f>
        <v>0.21</v>
      </c>
      <c r="M239">
        <f>VLOOKUP(A240,[1]timesData!$B:$P,12,FALSE)</f>
        <v>2.4458333333333333</v>
      </c>
      <c r="N239">
        <f>VLOOKUP(A240,[1]timesData!$B:$P,13,FALSE)</f>
        <v>2012</v>
      </c>
      <c r="O239">
        <f>VLOOKUP(A239,[2]cwurData!$B:$P,14,FALSE)</f>
        <v>168</v>
      </c>
      <c r="P239">
        <f>VLOOKUP(A239,[2]cwurData!$B:$N, 3, FALSE)</f>
        <v>5</v>
      </c>
      <c r="Q239">
        <f>VLOOKUP(A239,[2]cwurData!$B:$N, 4, FALSE)</f>
        <v>248</v>
      </c>
      <c r="R239">
        <f>VLOOKUP(A239,[2]cwurData!$B:$N, 5, FALSE)</f>
        <v>321</v>
      </c>
      <c r="S239">
        <f>VLOOKUP(A239,[2]cwurData!$B:$N, 6, FALSE)</f>
        <v>71</v>
      </c>
      <c r="T239">
        <f>VLOOKUP(A239,[2]cwurData!$B:$N, 7, FALSE)</f>
        <v>177</v>
      </c>
      <c r="U239">
        <f>VLOOKUP(A239,[2]cwurData!$B:$N, 8, FALSE)</f>
        <v>186</v>
      </c>
      <c r="V239">
        <f>VLOOKUP(A239,[2]cwurData!$B:$N, 9, FALSE)</f>
        <v>107</v>
      </c>
      <c r="W239">
        <f>VLOOKUP(A239,[2]cwurData!$B:$N, 10, FALSE)</f>
        <v>112</v>
      </c>
      <c r="X239">
        <f>VLOOKUP(A239,[2]cwurData!$B:$N, 11, FALSE)</f>
        <v>737</v>
      </c>
      <c r="Y239">
        <f>VLOOKUP(A239,[2]cwurData!$B:$N, 12, FALSE)</f>
        <v>48.79</v>
      </c>
      <c r="Z239">
        <f>VLOOKUP(A239,[2]cwurData!$B:$N, 13, FALSE)</f>
        <v>2014</v>
      </c>
    </row>
    <row r="240" spans="1:26" x14ac:dyDescent="0.3">
      <c r="A240" t="s">
        <v>243</v>
      </c>
      <c r="B240" t="str">
        <f>IFERROR(VLOOKUP(A240,[1]timesData!$B:$P,2,FALSE),VLOOKUP(A240,[2]cwurData!$B:$P,2,FALSE))</f>
        <v>France</v>
      </c>
      <c r="C240" t="str">
        <f>VLOOKUP(A240,[1]timesData!$B:$P,3,FALSE)</f>
        <v>201-225</v>
      </c>
      <c r="D240" t="str">
        <f>VLOOKUP(A241,[1]timesData!$B:$P,3,FALSE)</f>
        <v>201-225</v>
      </c>
      <c r="E240">
        <f>VLOOKUP(A241,[1]timesData!$B:$P,4,FALSE)</f>
        <v>30.6</v>
      </c>
      <c r="F240">
        <f>VLOOKUP(A241,[1]timesData!$B:$P,5,FALSE)</f>
        <v>36.4</v>
      </c>
      <c r="G240">
        <f>VLOOKUP(A241,[1]timesData!$B:$P,6,FALSE)</f>
        <v>37.299999999999997</v>
      </c>
      <c r="H240">
        <f>VLOOKUP(A241,[1]timesData!$B:$P,7,FALSE)</f>
        <v>27.7</v>
      </c>
      <c r="I240" t="str">
        <f>VLOOKUP(A241,[1]timesData!$B:$P,8,FALSE)</f>
        <v>-</v>
      </c>
      <c r="J240">
        <f>VLOOKUP(A241,[1]timesData!$B:$P,9,FALSE)</f>
        <v>33119</v>
      </c>
      <c r="K240">
        <f>VLOOKUP(A241,[1]timesData!$B:$P,10,FALSE)</f>
        <v>19.899999999999999</v>
      </c>
      <c r="L240">
        <f>VLOOKUP(A241,[1]timesData!$B:$P,11,FALSE)</f>
        <v>7.0000000000000007E-2</v>
      </c>
      <c r="M240">
        <f>VLOOKUP(A241,[1]timesData!$B:$P,12,FALSE)</f>
        <v>2.4048611111111109</v>
      </c>
      <c r="N240">
        <f>VLOOKUP(A241,[1]timesData!$B:$P,13,FALSE)</f>
        <v>2012</v>
      </c>
      <c r="O240">
        <f>VLOOKUP(A240,[2]cwurData!$B:$P,14,FALSE)</f>
        <v>176</v>
      </c>
      <c r="P240">
        <f>VLOOKUP(A240,[2]cwurData!$B:$N, 3, FALSE)</f>
        <v>7</v>
      </c>
      <c r="Q240">
        <f>VLOOKUP(A240,[2]cwurData!$B:$N, 4, FALSE)</f>
        <v>59</v>
      </c>
      <c r="R240">
        <f>VLOOKUP(A240,[2]cwurData!$B:$N, 5, FALSE)</f>
        <v>478</v>
      </c>
      <c r="S240">
        <f>VLOOKUP(A240,[2]cwurData!$B:$N, 6, FALSE)</f>
        <v>55</v>
      </c>
      <c r="T240">
        <f>VLOOKUP(A240,[2]cwurData!$B:$N, 7, FALSE)</f>
        <v>190</v>
      </c>
      <c r="U240">
        <f>VLOOKUP(A240,[2]cwurData!$B:$N, 8, FALSE)</f>
        <v>135</v>
      </c>
      <c r="V240">
        <f>VLOOKUP(A240,[2]cwurData!$B:$N, 9, FALSE)</f>
        <v>250</v>
      </c>
      <c r="W240">
        <f>VLOOKUP(A240,[2]cwurData!$B:$N, 10, FALSE)</f>
        <v>224</v>
      </c>
      <c r="X240">
        <f>VLOOKUP(A240,[2]cwurData!$B:$N, 11, FALSE)</f>
        <v>204</v>
      </c>
      <c r="Y240">
        <f>VLOOKUP(A240,[2]cwurData!$B:$N, 12, FALSE)</f>
        <v>48.61</v>
      </c>
      <c r="Z240">
        <f>VLOOKUP(A240,[2]cwurData!$B:$N, 13, FALSE)</f>
        <v>2014</v>
      </c>
    </row>
    <row r="241" spans="1:26" x14ac:dyDescent="0.3">
      <c r="A241" t="s">
        <v>238</v>
      </c>
      <c r="B241" t="str">
        <f>IFERROR(VLOOKUP(A241,[1]timesData!$B:$P,2,FALSE),VLOOKUP(A241,[2]cwurData!$B:$P,2,FALSE))</f>
        <v>United States of America</v>
      </c>
      <c r="C241" t="str">
        <f>VLOOKUP(A241,[1]timesData!$B:$P,3,FALSE)</f>
        <v>201-225</v>
      </c>
      <c r="D241" t="str">
        <f>VLOOKUP(A242,[1]timesData!$B:$P,3,FALSE)</f>
        <v>201-225</v>
      </c>
      <c r="E241">
        <f>VLOOKUP(A242,[1]timesData!$B:$P,4,FALSE)</f>
        <v>67.8</v>
      </c>
      <c r="F241">
        <f>VLOOKUP(A242,[1]timesData!$B:$P,5,FALSE)</f>
        <v>34</v>
      </c>
      <c r="G241">
        <f>VLOOKUP(A242,[1]timesData!$B:$P,6,FALSE)</f>
        <v>51.7</v>
      </c>
      <c r="H241">
        <f>VLOOKUP(A242,[1]timesData!$B:$P,7,FALSE)</f>
        <v>35.5</v>
      </c>
      <c r="I241" t="str">
        <f>VLOOKUP(A242,[1]timesData!$B:$P,8,FALSE)</f>
        <v>-</v>
      </c>
      <c r="J241">
        <f>VLOOKUP(A242,[1]timesData!$B:$P,9,FALSE)</f>
        <v>23347</v>
      </c>
      <c r="K241">
        <f>VLOOKUP(A242,[1]timesData!$B:$P,10,FALSE)</f>
        <v>13.1</v>
      </c>
      <c r="L241">
        <f>VLOOKUP(A242,[1]timesData!$B:$P,11,FALSE)</f>
        <v>0.23</v>
      </c>
      <c r="M241">
        <f>VLOOKUP(A242,[1]timesData!$B:$P,12,FALSE)</f>
        <v>2.4048611111111109</v>
      </c>
      <c r="N241">
        <f>VLOOKUP(A242,[1]timesData!$B:$P,13,FALSE)</f>
        <v>2012</v>
      </c>
      <c r="O241">
        <f>VLOOKUP(A241,[2]cwurData!$B:$P,14,FALSE)</f>
        <v>207</v>
      </c>
      <c r="P241">
        <f>VLOOKUP(A241,[2]cwurData!$B:$N, 3, FALSE)</f>
        <v>87</v>
      </c>
      <c r="Q241">
        <f>VLOOKUP(A241,[2]cwurData!$B:$N, 4, FALSE)</f>
        <v>104</v>
      </c>
      <c r="R241">
        <f>VLOOKUP(A241,[2]cwurData!$B:$N, 5, FALSE)</f>
        <v>193</v>
      </c>
      <c r="S241">
        <f>VLOOKUP(A241,[2]cwurData!$B:$N, 6, FALSE)</f>
        <v>169</v>
      </c>
      <c r="T241">
        <f>VLOOKUP(A241,[2]cwurData!$B:$N, 7, FALSE)</f>
        <v>176</v>
      </c>
      <c r="U241">
        <f>VLOOKUP(A241,[2]cwurData!$B:$N, 8, FALSE)</f>
        <v>122</v>
      </c>
      <c r="V241">
        <f>VLOOKUP(A241,[2]cwurData!$B:$N, 9, FALSE)</f>
        <v>187</v>
      </c>
      <c r="W241">
        <f>VLOOKUP(A241,[2]cwurData!$B:$N, 10, FALSE)</f>
        <v>247</v>
      </c>
      <c r="X241">
        <f>VLOOKUP(A241,[2]cwurData!$B:$N, 11, FALSE)</f>
        <v>128</v>
      </c>
      <c r="Y241">
        <f>VLOOKUP(A241,[2]cwurData!$B:$N, 12, FALSE)</f>
        <v>47.75</v>
      </c>
      <c r="Z241">
        <f>VLOOKUP(A241,[2]cwurData!$B:$N, 13, FALSE)</f>
        <v>2014</v>
      </c>
    </row>
    <row r="242" spans="1:26" x14ac:dyDescent="0.3">
      <c r="A242" t="s">
        <v>228</v>
      </c>
      <c r="B242" t="str">
        <f>IFERROR(VLOOKUP(A242,[1]timesData!$B:$P,2,FALSE),VLOOKUP(A242,[2]cwurData!$B:$P,2,FALSE))</f>
        <v>United Kingdom</v>
      </c>
      <c r="C242" t="str">
        <f>VLOOKUP(A242,[1]timesData!$B:$P,3,FALSE)</f>
        <v>201-225</v>
      </c>
      <c r="D242" t="str">
        <f>VLOOKUP(A243,[1]timesData!$B:$P,3,FALSE)</f>
        <v>201-225</v>
      </c>
      <c r="E242">
        <f>VLOOKUP(A243,[1]timesData!$B:$P,4,FALSE)</f>
        <v>49</v>
      </c>
      <c r="F242">
        <f>VLOOKUP(A243,[1]timesData!$B:$P,5,FALSE)</f>
        <v>18.7</v>
      </c>
      <c r="G242">
        <f>VLOOKUP(A243,[1]timesData!$B:$P,6,FALSE)</f>
        <v>74.599999999999994</v>
      </c>
      <c r="H242">
        <f>VLOOKUP(A243,[1]timesData!$B:$P,7,FALSE)</f>
        <v>45.2</v>
      </c>
      <c r="I242" t="str">
        <f>VLOOKUP(A243,[1]timesData!$B:$P,8,FALSE)</f>
        <v>-</v>
      </c>
      <c r="J242">
        <f>VLOOKUP(A243,[1]timesData!$B:$P,9,FALSE)</f>
        <v>36146</v>
      </c>
      <c r="K242">
        <f>VLOOKUP(A243,[1]timesData!$B:$P,10,FALSE)</f>
        <v>53.9</v>
      </c>
      <c r="L242">
        <f>VLOOKUP(A243,[1]timesData!$B:$P,11,FALSE)</f>
        <v>0.09</v>
      </c>
      <c r="M242">
        <f>VLOOKUP(A243,[1]timesData!$B:$P,12,FALSE)</f>
        <v>2.0770833333333334</v>
      </c>
      <c r="N242">
        <f>VLOOKUP(A243,[1]timesData!$B:$P,13,FALSE)</f>
        <v>2013</v>
      </c>
      <c r="O242">
        <f>VLOOKUP(A242,[2]cwurData!$B:$P,14,FALSE)</f>
        <v>209</v>
      </c>
      <c r="P242">
        <f>VLOOKUP(A242,[2]cwurData!$B:$N, 3, FALSE)</f>
        <v>16</v>
      </c>
      <c r="Q242">
        <f>VLOOKUP(A242,[2]cwurData!$B:$N, 4, FALSE)</f>
        <v>306</v>
      </c>
      <c r="R242">
        <f>VLOOKUP(A242,[2]cwurData!$B:$N, 5, FALSE)</f>
        <v>183</v>
      </c>
      <c r="S242">
        <f>VLOOKUP(A242,[2]cwurData!$B:$N, 6, FALSE)</f>
        <v>135</v>
      </c>
      <c r="T242">
        <f>VLOOKUP(A242,[2]cwurData!$B:$N, 7, FALSE)</f>
        <v>183</v>
      </c>
      <c r="U242">
        <f>VLOOKUP(A242,[2]cwurData!$B:$N, 8, FALSE)</f>
        <v>153</v>
      </c>
      <c r="V242">
        <f>VLOOKUP(A242,[2]cwurData!$B:$N, 9, FALSE)</f>
        <v>310</v>
      </c>
      <c r="W242">
        <f>VLOOKUP(A242,[2]cwurData!$B:$N, 10, FALSE)</f>
        <v>189</v>
      </c>
      <c r="X242">
        <f>VLOOKUP(A242,[2]cwurData!$B:$N, 11, FALSE)</f>
        <v>170</v>
      </c>
      <c r="Y242">
        <f>VLOOKUP(A242,[2]cwurData!$B:$N, 12, FALSE)</f>
        <v>47.74</v>
      </c>
      <c r="Z242">
        <f>VLOOKUP(A242,[2]cwurData!$B:$N, 13, FALSE)</f>
        <v>2014</v>
      </c>
    </row>
    <row r="243" spans="1:26" x14ac:dyDescent="0.3">
      <c r="A243" t="s">
        <v>409</v>
      </c>
      <c r="B243" t="str">
        <f>IFERROR(VLOOKUP(A243,[1]timesData!$B:$P,2,FALSE),VLOOKUP(A243,[2]cwurData!$B:$P,2,FALSE))</f>
        <v>Germany</v>
      </c>
      <c r="C243" t="str">
        <f>VLOOKUP(A243,[1]timesData!$B:$P,3,FALSE)</f>
        <v>201-225</v>
      </c>
      <c r="D243" t="str">
        <f>VLOOKUP(A244,[1]timesData!$B:$P,3,FALSE)</f>
        <v>201-225</v>
      </c>
      <c r="E243">
        <f>VLOOKUP(A244,[1]timesData!$B:$P,4,FALSE)</f>
        <v>29.8</v>
      </c>
      <c r="F243">
        <f>VLOOKUP(A244,[1]timesData!$B:$P,5,FALSE)</f>
        <v>34.1</v>
      </c>
      <c r="G243">
        <f>VLOOKUP(A244,[1]timesData!$B:$P,6,FALSE)</f>
        <v>58.8</v>
      </c>
      <c r="H243" t="str">
        <f>VLOOKUP(A244,[1]timesData!$B:$P,7,FALSE)</f>
        <v>-</v>
      </c>
      <c r="I243" t="str">
        <f>VLOOKUP(A244,[1]timesData!$B:$P,8,FALSE)</f>
        <v>-</v>
      </c>
      <c r="J243">
        <f>VLOOKUP(A244,[1]timesData!$B:$P,9,FALSE)</f>
        <v>11381</v>
      </c>
      <c r="K243">
        <f>VLOOKUP(A244,[1]timesData!$B:$P,10,FALSE)</f>
        <v>8.4</v>
      </c>
      <c r="L243">
        <f>VLOOKUP(A244,[1]timesData!$B:$P,11,FALSE)</f>
        <v>0.08</v>
      </c>
      <c r="M243">
        <f>VLOOKUP(A244,[1]timesData!$B:$P,12,FALSE)</f>
        <v>2.3638888888888889</v>
      </c>
      <c r="N243">
        <f>VLOOKUP(A244,[1]timesData!$B:$P,13,FALSE)</f>
        <v>2012</v>
      </c>
      <c r="O243">
        <f>VLOOKUP(A243,[2]cwurData!$B:$P,14,FALSE)</f>
        <v>213</v>
      </c>
      <c r="P243">
        <f>VLOOKUP(A243,[2]cwurData!$B:$N, 3, FALSE)</f>
        <v>14</v>
      </c>
      <c r="Q243">
        <f>VLOOKUP(A243,[2]cwurData!$B:$N, 4, FALSE)</f>
        <v>222</v>
      </c>
      <c r="R243">
        <f>VLOOKUP(A243,[2]cwurData!$B:$N, 5, FALSE)</f>
        <v>478</v>
      </c>
      <c r="S243">
        <f>VLOOKUP(A243,[2]cwurData!$B:$N, 6, FALSE)</f>
        <v>210</v>
      </c>
      <c r="T243">
        <f>VLOOKUP(A243,[2]cwurData!$B:$N, 7, FALSE)</f>
        <v>170</v>
      </c>
      <c r="U243">
        <f>VLOOKUP(A243,[2]cwurData!$B:$N, 8, FALSE)</f>
        <v>208</v>
      </c>
      <c r="V243">
        <f>VLOOKUP(A243,[2]cwurData!$B:$N, 9, FALSE)</f>
        <v>134</v>
      </c>
      <c r="W243">
        <f>VLOOKUP(A243,[2]cwurData!$B:$N, 10, FALSE)</f>
        <v>145</v>
      </c>
      <c r="X243">
        <f>VLOOKUP(A243,[2]cwurData!$B:$N, 11, FALSE)</f>
        <v>307</v>
      </c>
      <c r="Y243">
        <f>VLOOKUP(A243,[2]cwurData!$B:$N, 12, FALSE)</f>
        <v>47.69</v>
      </c>
      <c r="Z243">
        <f>VLOOKUP(A243,[2]cwurData!$B:$N, 13, FALSE)</f>
        <v>2014</v>
      </c>
    </row>
    <row r="244" spans="1:26" x14ac:dyDescent="0.3">
      <c r="A244" t="s">
        <v>233</v>
      </c>
      <c r="B244" t="str">
        <f>IFERROR(VLOOKUP(A244,[1]timesData!$B:$P,2,FALSE),VLOOKUP(A244,[2]cwurData!$B:$P,2,FALSE))</f>
        <v>United States of America</v>
      </c>
      <c r="C244" t="str">
        <f>VLOOKUP(A244,[1]timesData!$B:$P,3,FALSE)</f>
        <v>201-225</v>
      </c>
      <c r="D244" t="str">
        <f>VLOOKUP(A245,[1]timesData!$B:$P,3,FALSE)</f>
        <v>201-225</v>
      </c>
      <c r="E244">
        <f>VLOOKUP(A245,[1]timesData!$B:$P,4,FALSE)</f>
        <v>57</v>
      </c>
      <c r="F244">
        <f>VLOOKUP(A245,[1]timesData!$B:$P,5,FALSE)</f>
        <v>18.399999999999999</v>
      </c>
      <c r="G244">
        <f>VLOOKUP(A245,[1]timesData!$B:$P,6,FALSE)</f>
        <v>85.2</v>
      </c>
      <c r="H244" t="str">
        <f>VLOOKUP(A245,[1]timesData!$B:$P,7,FALSE)</f>
        <v>-</v>
      </c>
      <c r="I244" t="str">
        <f>VLOOKUP(A245,[1]timesData!$B:$P,8,FALSE)</f>
        <v>-</v>
      </c>
      <c r="J244">
        <f>VLOOKUP(A245,[1]timesData!$B:$P,9,FALSE)</f>
        <v>35609</v>
      </c>
      <c r="K244">
        <f>VLOOKUP(A245,[1]timesData!$B:$P,10,FALSE)</f>
        <v>32.6</v>
      </c>
      <c r="L244">
        <f>VLOOKUP(A245,[1]timesData!$B:$P,11,FALSE)</f>
        <v>0.1</v>
      </c>
      <c r="M244">
        <f>VLOOKUP(A245,[1]timesData!$B:$P,12,FALSE)</f>
        <v>2.4458333333333333</v>
      </c>
      <c r="N244">
        <f>VLOOKUP(A245,[1]timesData!$B:$P,13,FALSE)</f>
        <v>2013</v>
      </c>
      <c r="O244">
        <f>VLOOKUP(A244,[2]cwurData!$B:$P,14,FALSE)</f>
        <v>234</v>
      </c>
      <c r="P244">
        <f>VLOOKUP(A244,[2]cwurData!$B:$N, 3, FALSE)</f>
        <v>95</v>
      </c>
      <c r="Q244">
        <f>VLOOKUP(A244,[2]cwurData!$B:$N, 4, FALSE)</f>
        <v>298</v>
      </c>
      <c r="R244">
        <f>VLOOKUP(A244,[2]cwurData!$B:$N, 5, FALSE)</f>
        <v>92</v>
      </c>
      <c r="S244">
        <f>VLOOKUP(A244,[2]cwurData!$B:$N, 6, FALSE)</f>
        <v>210</v>
      </c>
      <c r="T244">
        <f>VLOOKUP(A244,[2]cwurData!$B:$N, 7, FALSE)</f>
        <v>363</v>
      </c>
      <c r="U244">
        <f>VLOOKUP(A244,[2]cwurData!$B:$N, 8, FALSE)</f>
        <v>298</v>
      </c>
      <c r="V244">
        <f>VLOOKUP(A244,[2]cwurData!$B:$N, 9, FALSE)</f>
        <v>283</v>
      </c>
      <c r="W244">
        <f>VLOOKUP(A244,[2]cwurData!$B:$N, 10, FALSE)</f>
        <v>215</v>
      </c>
      <c r="X244">
        <f>VLOOKUP(A244,[2]cwurData!$B:$N, 11, FALSE)</f>
        <v>194</v>
      </c>
      <c r="Y244">
        <f>VLOOKUP(A244,[2]cwurData!$B:$N, 12, FALSE)</f>
        <v>47.34</v>
      </c>
      <c r="Z244">
        <f>VLOOKUP(A244,[2]cwurData!$B:$N, 13, FALSE)</f>
        <v>2014</v>
      </c>
    </row>
    <row r="245" spans="1:26" x14ac:dyDescent="0.3">
      <c r="A245" t="s">
        <v>407</v>
      </c>
      <c r="B245" t="str">
        <f>IFERROR(VLOOKUP(A245,[1]timesData!$B:$P,2,FALSE),VLOOKUP(A245,[2]cwurData!$B:$P,2,FALSE))</f>
        <v>Germany</v>
      </c>
      <c r="C245" t="str">
        <f>VLOOKUP(A245,[1]timesData!$B:$P,3,FALSE)</f>
        <v>201-225</v>
      </c>
      <c r="D245" t="str">
        <f>VLOOKUP(A246,[1]timesData!$B:$P,3,FALSE)</f>
        <v>201-225</v>
      </c>
      <c r="E245">
        <f>VLOOKUP(A246,[1]timesData!$B:$P,4,FALSE)</f>
        <v>45.9</v>
      </c>
      <c r="F245">
        <f>VLOOKUP(A246,[1]timesData!$B:$P,5,FALSE)</f>
        <v>27.9</v>
      </c>
      <c r="G245">
        <f>VLOOKUP(A246,[1]timesData!$B:$P,6,FALSE)</f>
        <v>57.9</v>
      </c>
      <c r="H245">
        <f>VLOOKUP(A246,[1]timesData!$B:$P,7,FALSE)</f>
        <v>37</v>
      </c>
      <c r="I245" t="str">
        <f>VLOOKUP(A246,[1]timesData!$B:$P,8,FALSE)</f>
        <v>-</v>
      </c>
      <c r="J245">
        <f>VLOOKUP(A246,[1]timesData!$B:$P,9,FALSE)</f>
        <v>30538</v>
      </c>
      <c r="K245">
        <f>VLOOKUP(A246,[1]timesData!$B:$P,10,FALSE)</f>
        <v>12.3</v>
      </c>
      <c r="L245">
        <f>VLOOKUP(A246,[1]timesData!$B:$P,11,FALSE)</f>
        <v>0.1</v>
      </c>
      <c r="M245">
        <f>VLOOKUP(A246,[1]timesData!$B:$P,12,FALSE)</f>
        <v>2.4868055555555557</v>
      </c>
      <c r="N245">
        <f>VLOOKUP(A246,[1]timesData!$B:$P,13,FALSE)</f>
        <v>2012</v>
      </c>
      <c r="O245">
        <f>VLOOKUP(A245,[2]cwurData!$B:$P,14,FALSE)</f>
        <v>249</v>
      </c>
      <c r="P245">
        <f>VLOOKUP(A245,[2]cwurData!$B:$N, 3, FALSE)</f>
        <v>20</v>
      </c>
      <c r="Q245">
        <f>VLOOKUP(A245,[2]cwurData!$B:$N, 4, FALSE)</f>
        <v>355</v>
      </c>
      <c r="R245">
        <f>VLOOKUP(A245,[2]cwurData!$B:$N, 5, FALSE)</f>
        <v>478</v>
      </c>
      <c r="S245">
        <f>VLOOKUP(A245,[2]cwurData!$B:$N, 6, FALSE)</f>
        <v>188</v>
      </c>
      <c r="T245">
        <f>VLOOKUP(A245,[2]cwurData!$B:$N, 7, FALSE)</f>
        <v>204</v>
      </c>
      <c r="U245">
        <f>VLOOKUP(A245,[2]cwurData!$B:$N, 8, FALSE)</f>
        <v>167</v>
      </c>
      <c r="V245">
        <f>VLOOKUP(A245,[2]cwurData!$B:$N, 9, FALSE)</f>
        <v>250</v>
      </c>
      <c r="W245">
        <f>VLOOKUP(A245,[2]cwurData!$B:$N, 10, FALSE)</f>
        <v>164</v>
      </c>
      <c r="X245">
        <f>VLOOKUP(A245,[2]cwurData!$B:$N, 11, FALSE)</f>
        <v>637</v>
      </c>
      <c r="Y245">
        <f>VLOOKUP(A245,[2]cwurData!$B:$N, 12, FALSE)</f>
        <v>47.14</v>
      </c>
      <c r="Z245">
        <f>VLOOKUP(A245,[2]cwurData!$B:$N, 13, FALSE)</f>
        <v>2014</v>
      </c>
    </row>
    <row r="246" spans="1:26" x14ac:dyDescent="0.3">
      <c r="A246" t="s">
        <v>227</v>
      </c>
      <c r="B246" t="str">
        <f>IFERROR(VLOOKUP(A246,[1]timesData!$B:$P,2,FALSE),VLOOKUP(A246,[2]cwurData!$B:$P,2,FALSE))</f>
        <v>Spain</v>
      </c>
      <c r="C246" t="str">
        <f>VLOOKUP(A246,[1]timesData!$B:$P,3,FALSE)</f>
        <v>201-225</v>
      </c>
      <c r="D246" t="str">
        <f>VLOOKUP(A247,[1]timesData!$B:$P,3,FALSE)</f>
        <v>201-225</v>
      </c>
      <c r="E246">
        <f>VLOOKUP(A247,[1]timesData!$B:$P,4,FALSE)</f>
        <v>62.1</v>
      </c>
      <c r="F246">
        <f>VLOOKUP(A247,[1]timesData!$B:$P,5,FALSE)</f>
        <v>44.2</v>
      </c>
      <c r="G246">
        <f>VLOOKUP(A247,[1]timesData!$B:$P,6,FALSE)</f>
        <v>32.5</v>
      </c>
      <c r="H246">
        <f>VLOOKUP(A247,[1]timesData!$B:$P,7,FALSE)</f>
        <v>32.700000000000003</v>
      </c>
      <c r="I246" t="str">
        <f>VLOOKUP(A247,[1]timesData!$B:$P,8,FALSE)</f>
        <v>-</v>
      </c>
      <c r="J246">
        <f>VLOOKUP(A247,[1]timesData!$B:$P,9,FALSE)</f>
        <v>30726</v>
      </c>
      <c r="K246">
        <f>VLOOKUP(A247,[1]timesData!$B:$P,10,FALSE)</f>
        <v>24.2</v>
      </c>
      <c r="L246">
        <f>VLOOKUP(A247,[1]timesData!$B:$P,11,FALSE)</f>
        <v>0.14000000000000001</v>
      </c>
      <c r="M246">
        <f>VLOOKUP(A247,[1]timesData!$B:$P,12,FALSE)</f>
        <v>1.9131944444444444</v>
      </c>
      <c r="N246">
        <f>VLOOKUP(A247,[1]timesData!$B:$P,13,FALSE)</f>
        <v>2012</v>
      </c>
      <c r="O246">
        <f>VLOOKUP(A246,[2]cwurData!$B:$P,14,FALSE)</f>
        <v>254</v>
      </c>
      <c r="P246">
        <f>VLOOKUP(A246,[2]cwurData!$B:$N, 3, FALSE)</f>
        <v>3</v>
      </c>
      <c r="Q246">
        <f>VLOOKUP(A246,[2]cwurData!$B:$N, 4, FALSE)</f>
        <v>355</v>
      </c>
      <c r="R246">
        <f>VLOOKUP(A246,[2]cwurData!$B:$N, 5, FALSE)</f>
        <v>478</v>
      </c>
      <c r="S246">
        <f>VLOOKUP(A246,[2]cwurData!$B:$N, 6, FALSE)</f>
        <v>210</v>
      </c>
      <c r="T246">
        <f>VLOOKUP(A246,[2]cwurData!$B:$N, 7, FALSE)</f>
        <v>146</v>
      </c>
      <c r="U246">
        <f>VLOOKUP(A246,[2]cwurData!$B:$N, 8, FALSE)</f>
        <v>218</v>
      </c>
      <c r="V246">
        <f>VLOOKUP(A246,[2]cwurData!$B:$N, 9, FALSE)</f>
        <v>250</v>
      </c>
      <c r="W246">
        <f>VLOOKUP(A246,[2]cwurData!$B:$N, 10, FALSE)</f>
        <v>224</v>
      </c>
      <c r="X246">
        <f>VLOOKUP(A246,[2]cwurData!$B:$N, 11, FALSE)</f>
        <v>204</v>
      </c>
      <c r="Y246">
        <f>VLOOKUP(A246,[2]cwurData!$B:$N, 12, FALSE)</f>
        <v>46.99</v>
      </c>
      <c r="Z246">
        <f>VLOOKUP(A246,[2]cwurData!$B:$N, 13, FALSE)</f>
        <v>2014</v>
      </c>
    </row>
    <row r="247" spans="1:26" x14ac:dyDescent="0.3">
      <c r="A247" t="s">
        <v>244</v>
      </c>
      <c r="B247" t="str">
        <f>IFERROR(VLOOKUP(A247,[1]timesData!$B:$P,2,FALSE),VLOOKUP(A247,[2]cwurData!$B:$P,2,FALSE))</f>
        <v>Canada</v>
      </c>
      <c r="C247" t="str">
        <f>VLOOKUP(A247,[1]timesData!$B:$P,3,FALSE)</f>
        <v>201-225</v>
      </c>
      <c r="D247" t="str">
        <f>VLOOKUP(A248,[1]timesData!$B:$P,3,FALSE)</f>
        <v>201-225</v>
      </c>
      <c r="E247">
        <f>VLOOKUP(A248,[1]timesData!$B:$P,4,FALSE)</f>
        <v>52</v>
      </c>
      <c r="F247">
        <f>VLOOKUP(A248,[1]timesData!$B:$P,5,FALSE)</f>
        <v>29.2</v>
      </c>
      <c r="G247">
        <f>VLOOKUP(A248,[1]timesData!$B:$P,6,FALSE)</f>
        <v>59.4</v>
      </c>
      <c r="H247">
        <f>VLOOKUP(A248,[1]timesData!$B:$P,7,FALSE)</f>
        <v>26.3</v>
      </c>
      <c r="I247" t="str">
        <f>VLOOKUP(A248,[1]timesData!$B:$P,8,FALSE)</f>
        <v>-</v>
      </c>
      <c r="J247">
        <f>VLOOKUP(A248,[1]timesData!$B:$P,9,FALSE)</f>
        <v>16667</v>
      </c>
      <c r="K247">
        <f>VLOOKUP(A248,[1]timesData!$B:$P,10,FALSE)</f>
        <v>11.9</v>
      </c>
      <c r="L247">
        <f>VLOOKUP(A248,[1]timesData!$B:$P,11,FALSE)</f>
        <v>7.0000000000000007E-2</v>
      </c>
      <c r="M247">
        <f>VLOOKUP(A248,[1]timesData!$B:$P,12,FALSE)</f>
        <v>2.5277777777777777</v>
      </c>
      <c r="N247">
        <f>VLOOKUP(A248,[1]timesData!$B:$P,13,FALSE)</f>
        <v>2012</v>
      </c>
      <c r="O247">
        <f>VLOOKUP(A247,[2]cwurData!$B:$P,14,FALSE)</f>
        <v>280</v>
      </c>
      <c r="P247">
        <f>VLOOKUP(A247,[2]cwurData!$B:$N, 3, FALSE)</f>
        <v>13</v>
      </c>
      <c r="Q247">
        <f>VLOOKUP(A247,[2]cwurData!$B:$N, 4, FALSE)</f>
        <v>355</v>
      </c>
      <c r="R247">
        <f>VLOOKUP(A247,[2]cwurData!$B:$N, 5, FALSE)</f>
        <v>125</v>
      </c>
      <c r="S247">
        <f>VLOOKUP(A247,[2]cwurData!$B:$N, 6, FALSE)</f>
        <v>210</v>
      </c>
      <c r="T247">
        <f>VLOOKUP(A247,[2]cwurData!$B:$N, 7, FALSE)</f>
        <v>205</v>
      </c>
      <c r="U247">
        <f>VLOOKUP(A247,[2]cwurData!$B:$N, 8, FALSE)</f>
        <v>352</v>
      </c>
      <c r="V247">
        <f>VLOOKUP(A247,[2]cwurData!$B:$N, 9, FALSE)</f>
        <v>283</v>
      </c>
      <c r="W247">
        <f>VLOOKUP(A247,[2]cwurData!$B:$N, 10, FALSE)</f>
        <v>306</v>
      </c>
      <c r="X247">
        <f>VLOOKUP(A247,[2]cwurData!$B:$N, 11, FALSE)</f>
        <v>637</v>
      </c>
      <c r="Y247">
        <f>VLOOKUP(A247,[2]cwurData!$B:$N, 12, FALSE)</f>
        <v>46.58</v>
      </c>
      <c r="Z247">
        <f>VLOOKUP(A247,[2]cwurData!$B:$N, 13, FALSE)</f>
        <v>2014</v>
      </c>
    </row>
    <row r="248" spans="1:26" x14ac:dyDescent="0.3">
      <c r="A248" t="s">
        <v>235</v>
      </c>
      <c r="B248" t="str">
        <f>IFERROR(VLOOKUP(A248,[1]timesData!$B:$P,2,FALSE),VLOOKUP(A248,[2]cwurData!$B:$P,2,FALSE))</f>
        <v>Sweden</v>
      </c>
      <c r="C248" t="str">
        <f>VLOOKUP(A248,[1]timesData!$B:$P,3,FALSE)</f>
        <v>201-225</v>
      </c>
      <c r="D248" t="str">
        <f>VLOOKUP(A249,[1]timesData!$B:$P,3,FALSE)</f>
        <v>201-225</v>
      </c>
      <c r="E248">
        <f>VLOOKUP(A249,[1]timesData!$B:$P,4,FALSE)</f>
        <v>38</v>
      </c>
      <c r="F248">
        <f>VLOOKUP(A249,[1]timesData!$B:$P,5,FALSE)</f>
        <v>18.899999999999999</v>
      </c>
      <c r="G248">
        <f>VLOOKUP(A249,[1]timesData!$B:$P,6,FALSE)</f>
        <v>70</v>
      </c>
      <c r="H248">
        <f>VLOOKUP(A249,[1]timesData!$B:$P,7,FALSE)</f>
        <v>31.1</v>
      </c>
      <c r="I248" t="str">
        <f>VLOOKUP(A249,[1]timesData!$B:$P,8,FALSE)</f>
        <v>-</v>
      </c>
      <c r="J248">
        <f>VLOOKUP(A249,[1]timesData!$B:$P,9,FALSE)</f>
        <v>18539</v>
      </c>
      <c r="K248">
        <f>VLOOKUP(A249,[1]timesData!$B:$P,10,FALSE)</f>
        <v>15.1</v>
      </c>
      <c r="L248">
        <f>VLOOKUP(A249,[1]timesData!$B:$P,11,FALSE)</f>
        <v>0.26</v>
      </c>
      <c r="M248">
        <f>VLOOKUP(A249,[1]timesData!$B:$P,12,FALSE)</f>
        <v>2.1180555555555554</v>
      </c>
      <c r="N248">
        <f>VLOOKUP(A249,[1]timesData!$B:$P,13,FALSE)</f>
        <v>2012</v>
      </c>
      <c r="O248">
        <f>VLOOKUP(A248,[2]cwurData!$B:$P,14,FALSE)</f>
        <v>289</v>
      </c>
      <c r="P248">
        <f>VLOOKUP(A248,[2]cwurData!$B:$N, 3, FALSE)</f>
        <v>7</v>
      </c>
      <c r="Q248">
        <f>VLOOKUP(A248,[2]cwurData!$B:$N, 4, FALSE)</f>
        <v>355</v>
      </c>
      <c r="R248">
        <f>VLOOKUP(A248,[2]cwurData!$B:$N, 5, FALSE)</f>
        <v>478</v>
      </c>
      <c r="S248">
        <f>VLOOKUP(A248,[2]cwurData!$B:$N, 6, FALSE)</f>
        <v>210</v>
      </c>
      <c r="T248">
        <f>VLOOKUP(A248,[2]cwurData!$B:$N, 7, FALSE)</f>
        <v>277</v>
      </c>
      <c r="U248">
        <f>VLOOKUP(A248,[2]cwurData!$B:$N, 8, FALSE)</f>
        <v>199</v>
      </c>
      <c r="V248">
        <f>VLOOKUP(A248,[2]cwurData!$B:$N, 9, FALSE)</f>
        <v>220</v>
      </c>
      <c r="W248">
        <f>VLOOKUP(A248,[2]cwurData!$B:$N, 10, FALSE)</f>
        <v>215</v>
      </c>
      <c r="X248">
        <f>VLOOKUP(A248,[2]cwurData!$B:$N, 11, FALSE)</f>
        <v>737</v>
      </c>
      <c r="Y248">
        <f>VLOOKUP(A248,[2]cwurData!$B:$N, 12, FALSE)</f>
        <v>46.44</v>
      </c>
      <c r="Z248">
        <f>VLOOKUP(A248,[2]cwurData!$B:$N, 13, FALSE)</f>
        <v>2014</v>
      </c>
    </row>
    <row r="249" spans="1:26" x14ac:dyDescent="0.3">
      <c r="A249" t="s">
        <v>231</v>
      </c>
      <c r="B249" t="str">
        <f>IFERROR(VLOOKUP(A249,[1]timesData!$B:$P,2,FALSE),VLOOKUP(A249,[2]cwurData!$B:$P,2,FALSE))</f>
        <v>United States of America</v>
      </c>
      <c r="C249" t="str">
        <f>VLOOKUP(A249,[1]timesData!$B:$P,3,FALSE)</f>
        <v>201-225</v>
      </c>
      <c r="D249" t="str">
        <f>VLOOKUP(A250,[1]timesData!$B:$P,3,FALSE)</f>
        <v>201-225</v>
      </c>
      <c r="E249">
        <f>VLOOKUP(A250,[1]timesData!$B:$P,4,FALSE)</f>
        <v>88.8</v>
      </c>
      <c r="F249">
        <f>VLOOKUP(A250,[1]timesData!$B:$P,5,FALSE)</f>
        <v>28</v>
      </c>
      <c r="G249">
        <f>VLOOKUP(A250,[1]timesData!$B:$P,6,FALSE)</f>
        <v>48</v>
      </c>
      <c r="H249">
        <f>VLOOKUP(A250,[1]timesData!$B:$P,7,FALSE)</f>
        <v>27.8</v>
      </c>
      <c r="I249" t="str">
        <f>VLOOKUP(A250,[1]timesData!$B:$P,8,FALSE)</f>
        <v>-</v>
      </c>
      <c r="J249">
        <f>VLOOKUP(A250,[1]timesData!$B:$P,9,FALSE)</f>
        <v>18600</v>
      </c>
      <c r="K249">
        <f>VLOOKUP(A250,[1]timesData!$B:$P,10,FALSE)</f>
        <v>20.3</v>
      </c>
      <c r="L249">
        <f>VLOOKUP(A250,[1]timesData!$B:$P,11,FALSE)</f>
        <v>0.21</v>
      </c>
      <c r="M249">
        <f>VLOOKUP(A250,[1]timesData!$B:$P,12,FALSE)</f>
        <v>2.4048611111111109</v>
      </c>
      <c r="N249">
        <f>VLOOKUP(A250,[1]timesData!$B:$P,13,FALSE)</f>
        <v>2012</v>
      </c>
      <c r="O249">
        <f>VLOOKUP(A249,[2]cwurData!$B:$P,14,FALSE)</f>
        <v>318</v>
      </c>
      <c r="P249">
        <f>VLOOKUP(A249,[2]cwurData!$B:$N, 3, FALSE)</f>
        <v>119</v>
      </c>
      <c r="Q249">
        <f>VLOOKUP(A249,[2]cwurData!$B:$N, 4, FALSE)</f>
        <v>295</v>
      </c>
      <c r="R249">
        <f>VLOOKUP(A249,[2]cwurData!$B:$N, 5, FALSE)</f>
        <v>171</v>
      </c>
      <c r="S249">
        <f>VLOOKUP(A249,[2]cwurData!$B:$N, 6, FALSE)</f>
        <v>210</v>
      </c>
      <c r="T249">
        <f>VLOOKUP(A249,[2]cwurData!$B:$N, 7, FALSE)</f>
        <v>383</v>
      </c>
      <c r="U249">
        <f>VLOOKUP(A249,[2]cwurData!$B:$N, 8, FALSE)</f>
        <v>307</v>
      </c>
      <c r="V249">
        <f>VLOOKUP(A249,[2]cwurData!$B:$N, 9, FALSE)</f>
        <v>250</v>
      </c>
      <c r="W249">
        <f>VLOOKUP(A249,[2]cwurData!$B:$N, 10, FALSE)</f>
        <v>375</v>
      </c>
      <c r="X249">
        <f>VLOOKUP(A249,[2]cwurData!$B:$N, 11, FALSE)</f>
        <v>115</v>
      </c>
      <c r="Y249">
        <f>VLOOKUP(A249,[2]cwurData!$B:$N, 12, FALSE)</f>
        <v>46.2</v>
      </c>
      <c r="Z249">
        <f>VLOOKUP(A249,[2]cwurData!$B:$N, 13, FALSE)</f>
        <v>2014</v>
      </c>
    </row>
    <row r="250" spans="1:26" x14ac:dyDescent="0.3">
      <c r="A250" t="s">
        <v>241</v>
      </c>
      <c r="B250" t="str">
        <f>IFERROR(VLOOKUP(A250,[1]timesData!$B:$P,2,FALSE),VLOOKUP(A250,[2]cwurData!$B:$P,2,FALSE))</f>
        <v>New Zealand</v>
      </c>
      <c r="C250" t="str">
        <f>VLOOKUP(A250,[1]timesData!$B:$P,3,FALSE)</f>
        <v>201-225</v>
      </c>
      <c r="D250" t="str">
        <f>VLOOKUP(A251,[1]timesData!$B:$P,3,FALSE)</f>
        <v>201-225</v>
      </c>
      <c r="E250">
        <f>VLOOKUP(A251,[1]timesData!$B:$P,4,FALSE)</f>
        <v>38.4</v>
      </c>
      <c r="F250">
        <f>VLOOKUP(A251,[1]timesData!$B:$P,5,FALSE)</f>
        <v>22.8</v>
      </c>
      <c r="G250">
        <f>VLOOKUP(A251,[1]timesData!$B:$P,6,FALSE)</f>
        <v>63.7</v>
      </c>
      <c r="H250">
        <f>VLOOKUP(A251,[1]timesData!$B:$P,7,FALSE)</f>
        <v>99.4</v>
      </c>
      <c r="I250" t="str">
        <f>VLOOKUP(A251,[1]timesData!$B:$P,8,FALSE)</f>
        <v>-</v>
      </c>
      <c r="J250">
        <f>VLOOKUP(A251,[1]timesData!$B:$P,9,FALSE)</f>
        <v>5287</v>
      </c>
      <c r="K250">
        <f>VLOOKUP(A251,[1]timesData!$B:$P,10,FALSE)</f>
        <v>18.2</v>
      </c>
      <c r="L250">
        <f>VLOOKUP(A251,[1]timesData!$B:$P,11,FALSE)</f>
        <v>0.12</v>
      </c>
      <c r="M250" t="str">
        <f>VLOOKUP(A251,[1]timesData!$B:$P,12,FALSE)</f>
        <v>26 : 74</v>
      </c>
      <c r="N250">
        <f>VLOOKUP(A251,[1]timesData!$B:$P,13,FALSE)</f>
        <v>2012</v>
      </c>
      <c r="O250">
        <f>VLOOKUP(A250,[2]cwurData!$B:$P,14,FALSE)</f>
        <v>355</v>
      </c>
      <c r="P250">
        <f>VLOOKUP(A250,[2]cwurData!$B:$N, 3, FALSE)</f>
        <v>2</v>
      </c>
      <c r="Q250">
        <f>VLOOKUP(A250,[2]cwurData!$B:$N, 4, FALSE)</f>
        <v>355</v>
      </c>
      <c r="R250">
        <f>VLOOKUP(A250,[2]cwurData!$B:$N, 5, FALSE)</f>
        <v>372</v>
      </c>
      <c r="S250">
        <f>VLOOKUP(A250,[2]cwurData!$B:$N, 6, FALSE)</f>
        <v>210</v>
      </c>
      <c r="T250">
        <f>VLOOKUP(A250,[2]cwurData!$B:$N, 7, FALSE)</f>
        <v>318</v>
      </c>
      <c r="U250">
        <f>VLOOKUP(A250,[2]cwurData!$B:$N, 8, FALSE)</f>
        <v>338</v>
      </c>
      <c r="V250">
        <f>VLOOKUP(A250,[2]cwurData!$B:$N, 9, FALSE)</f>
        <v>220</v>
      </c>
      <c r="W250">
        <f>VLOOKUP(A250,[2]cwurData!$B:$N, 10, FALSE)</f>
        <v>313</v>
      </c>
      <c r="X250">
        <f>VLOOKUP(A250,[2]cwurData!$B:$N, 11, FALSE)</f>
        <v>637</v>
      </c>
      <c r="Y250">
        <f>VLOOKUP(A250,[2]cwurData!$B:$N, 12, FALSE)</f>
        <v>45.8</v>
      </c>
      <c r="Z250">
        <f>VLOOKUP(A250,[2]cwurData!$B:$N, 13, FALSE)</f>
        <v>2014</v>
      </c>
    </row>
    <row r="251" spans="1:26" x14ac:dyDescent="0.3">
      <c r="A251" t="s">
        <v>229</v>
      </c>
      <c r="B251" t="str">
        <f>IFERROR(VLOOKUP(A251,[1]timesData!$B:$P,2,FALSE),VLOOKUP(A251,[2]cwurData!$B:$P,2,FALSE))</f>
        <v>United States of America</v>
      </c>
      <c r="C251" t="str">
        <f>VLOOKUP(A251,[1]timesData!$B:$P,3,FALSE)</f>
        <v>201-225</v>
      </c>
      <c r="D251" t="str">
        <f>VLOOKUP(A252,[1]timesData!$B:$P,3,FALSE)</f>
        <v>201-225</v>
      </c>
      <c r="E251">
        <f>VLOOKUP(A252,[1]timesData!$B:$P,4,FALSE)</f>
        <v>90.1</v>
      </c>
      <c r="F251">
        <f>VLOOKUP(A252,[1]timesData!$B:$P,5,FALSE)</f>
        <v>35.9</v>
      </c>
      <c r="G251">
        <f>VLOOKUP(A252,[1]timesData!$B:$P,6,FALSE)</f>
        <v>37</v>
      </c>
      <c r="H251">
        <f>VLOOKUP(A252,[1]timesData!$B:$P,7,FALSE)</f>
        <v>28.3</v>
      </c>
      <c r="I251" t="str">
        <f>VLOOKUP(A252,[1]timesData!$B:$P,8,FALSE)</f>
        <v>-</v>
      </c>
      <c r="J251">
        <f>VLOOKUP(A252,[1]timesData!$B:$P,9,FALSE)</f>
        <v>12695</v>
      </c>
      <c r="K251">
        <f>VLOOKUP(A252,[1]timesData!$B:$P,10,FALSE)</f>
        <v>19.8</v>
      </c>
      <c r="L251">
        <f>VLOOKUP(A252,[1]timesData!$B:$P,11,FALSE)</f>
        <v>0.39</v>
      </c>
      <c r="M251">
        <f>VLOOKUP(A252,[1]timesData!$B:$P,12,FALSE)</f>
        <v>2.3229166666666665</v>
      </c>
      <c r="N251">
        <f>VLOOKUP(A252,[1]timesData!$B:$P,13,FALSE)</f>
        <v>2012</v>
      </c>
      <c r="O251">
        <f>VLOOKUP(A251,[2]cwurData!$B:$P,14,FALSE)</f>
        <v>364</v>
      </c>
      <c r="P251">
        <f>VLOOKUP(A251,[2]cwurData!$B:$N, 3, FALSE)</f>
        <v>131</v>
      </c>
      <c r="Q251">
        <f>VLOOKUP(A251,[2]cwurData!$B:$N, 4, FALSE)</f>
        <v>355</v>
      </c>
      <c r="R251">
        <f>VLOOKUP(A251,[2]cwurData!$B:$N, 5, FALSE)</f>
        <v>76</v>
      </c>
      <c r="S251">
        <f>VLOOKUP(A251,[2]cwurData!$B:$N, 6, FALSE)</f>
        <v>210</v>
      </c>
      <c r="T251">
        <f>VLOOKUP(A251,[2]cwurData!$B:$N, 7, FALSE)</f>
        <v>653</v>
      </c>
      <c r="U251">
        <f>VLOOKUP(A251,[2]cwurData!$B:$N, 8, FALSE)</f>
        <v>577</v>
      </c>
      <c r="V251">
        <f>VLOOKUP(A251,[2]cwurData!$B:$N, 9, FALSE)</f>
        <v>310</v>
      </c>
      <c r="W251">
        <f>VLOOKUP(A251,[2]cwurData!$B:$N, 10, FALSE)</f>
        <v>596</v>
      </c>
      <c r="X251">
        <f>VLOOKUP(A251,[2]cwurData!$B:$N, 11, FALSE)</f>
        <v>637</v>
      </c>
      <c r="Y251">
        <f>VLOOKUP(A251,[2]cwurData!$B:$N, 12, FALSE)</f>
        <v>45.74</v>
      </c>
      <c r="Z251">
        <f>VLOOKUP(A251,[2]cwurData!$B:$N, 13, FALSE)</f>
        <v>2014</v>
      </c>
    </row>
    <row r="252" spans="1:26" x14ac:dyDescent="0.3">
      <c r="A252" t="s">
        <v>237</v>
      </c>
      <c r="B252" t="str">
        <f>IFERROR(VLOOKUP(A252,[1]timesData!$B:$P,2,FALSE),VLOOKUP(A252,[2]cwurData!$B:$P,2,FALSE))</f>
        <v>United Kingdom</v>
      </c>
      <c r="C252" t="str">
        <f>VLOOKUP(A252,[1]timesData!$B:$P,3,FALSE)</f>
        <v>201-225</v>
      </c>
      <c r="D252" t="str">
        <f>VLOOKUP(A253,[1]timesData!$B:$P,3,FALSE)</f>
        <v>201-225</v>
      </c>
      <c r="E252">
        <f>VLOOKUP(A253,[1]timesData!$B:$P,4,FALSE)</f>
        <v>57.9</v>
      </c>
      <c r="F252">
        <f>VLOOKUP(A253,[1]timesData!$B:$P,5,FALSE)</f>
        <v>22.6</v>
      </c>
      <c r="G252">
        <f>VLOOKUP(A253,[1]timesData!$B:$P,6,FALSE)</f>
        <v>89.7</v>
      </c>
      <c r="H252">
        <f>VLOOKUP(A253,[1]timesData!$B:$P,7,FALSE)</f>
        <v>44.1</v>
      </c>
      <c r="I252" t="str">
        <f>VLOOKUP(A253,[1]timesData!$B:$P,8,FALSE)</f>
        <v>-</v>
      </c>
      <c r="J252">
        <f>VLOOKUP(A253,[1]timesData!$B:$P,9,FALSE)</f>
        <v>2958</v>
      </c>
      <c r="K252">
        <f>VLOOKUP(A253,[1]timesData!$B:$P,10,FALSE)</f>
        <v>13.4</v>
      </c>
      <c r="L252">
        <f>VLOOKUP(A253,[1]timesData!$B:$P,11,FALSE)</f>
        <v>0.17</v>
      </c>
      <c r="M252">
        <f>VLOOKUP(A253,[1]timesData!$B:$P,12,FALSE)</f>
        <v>2.5687500000000001</v>
      </c>
      <c r="N252">
        <f>VLOOKUP(A253,[1]timesData!$B:$P,13,FALSE)</f>
        <v>2013</v>
      </c>
      <c r="O252">
        <f>VLOOKUP(A252,[2]cwurData!$B:$P,14,FALSE)</f>
        <v>563</v>
      </c>
      <c r="P252">
        <f>VLOOKUP(A252,[2]cwurData!$B:$N, 3, FALSE)</f>
        <v>44</v>
      </c>
      <c r="Q252">
        <f>VLOOKUP(A252,[2]cwurData!$B:$N, 4, FALSE)</f>
        <v>106</v>
      </c>
      <c r="R252">
        <f>VLOOKUP(A252,[2]cwurData!$B:$N, 5, FALSE)</f>
        <v>335</v>
      </c>
      <c r="S252">
        <f>VLOOKUP(A252,[2]cwurData!$B:$N, 6, FALSE)</f>
        <v>210</v>
      </c>
      <c r="T252">
        <f>VLOOKUP(A252,[2]cwurData!$B:$N, 7, FALSE)</f>
        <v>710</v>
      </c>
      <c r="U252">
        <f>VLOOKUP(A252,[2]cwurData!$B:$N, 8, FALSE)</f>
        <v>651</v>
      </c>
      <c r="V252">
        <f>VLOOKUP(A252,[2]cwurData!$B:$N, 9, FALSE)</f>
        <v>406</v>
      </c>
      <c r="W252">
        <f>VLOOKUP(A252,[2]cwurData!$B:$N, 10, FALSE)</f>
        <v>642</v>
      </c>
      <c r="X252">
        <f>VLOOKUP(A252,[2]cwurData!$B:$N, 11, FALSE)</f>
        <v>737</v>
      </c>
      <c r="Y252">
        <f>VLOOKUP(A252,[2]cwurData!$B:$N, 12, FALSE)</f>
        <v>44.92</v>
      </c>
      <c r="Z252">
        <f>VLOOKUP(A252,[2]cwurData!$B:$N, 13, FALSE)</f>
        <v>2014</v>
      </c>
    </row>
    <row r="253" spans="1:26" x14ac:dyDescent="0.3">
      <c r="A253" t="s">
        <v>408</v>
      </c>
      <c r="B253" t="str">
        <f>IFERROR(VLOOKUP(A253,[1]timesData!$B:$P,2,FALSE),VLOOKUP(A253,[2]cwurData!$B:$P,2,FALSE))</f>
        <v>United Kingdom</v>
      </c>
      <c r="C253" t="str">
        <f>VLOOKUP(A253,[1]timesData!$B:$P,3,FALSE)</f>
        <v>201-225</v>
      </c>
      <c r="D253" t="str">
        <f>VLOOKUP(A254,[1]timesData!$B:$P,3,FALSE)</f>
        <v>201-225</v>
      </c>
      <c r="E253">
        <f>VLOOKUP(A254,[1]timesData!$B:$P,4,FALSE)</f>
        <v>48.9</v>
      </c>
      <c r="F253">
        <f>VLOOKUP(A254,[1]timesData!$B:$P,5,FALSE)</f>
        <v>45</v>
      </c>
      <c r="G253">
        <f>VLOOKUP(A254,[1]timesData!$B:$P,6,FALSE)</f>
        <v>34</v>
      </c>
      <c r="H253">
        <f>VLOOKUP(A254,[1]timesData!$B:$P,7,FALSE)</f>
        <v>33.6</v>
      </c>
      <c r="I253" t="str">
        <f>VLOOKUP(A254,[1]timesData!$B:$P,8,FALSE)</f>
        <v>-</v>
      </c>
      <c r="J253">
        <f>VLOOKUP(A254,[1]timesData!$B:$P,9,FALSE)</f>
        <v>13855</v>
      </c>
      <c r="K253">
        <f>VLOOKUP(A254,[1]timesData!$B:$P,10,FALSE)</f>
        <v>19.399999999999999</v>
      </c>
      <c r="L253">
        <f>VLOOKUP(A254,[1]timesData!$B:$P,11,FALSE)</f>
        <v>0.04</v>
      </c>
      <c r="M253" t="str">
        <f>VLOOKUP(A254,[1]timesData!$B:$P,12,FALSE)</f>
        <v>35 : 65</v>
      </c>
      <c r="N253">
        <f>VLOOKUP(A254,[1]timesData!$B:$P,13,FALSE)</f>
        <v>2012</v>
      </c>
      <c r="O253" t="e">
        <f>VLOOKUP(A253,[2]cwurData!$B:$P,14,FALSE)</f>
        <v>#N/A</v>
      </c>
      <c r="P253" t="e">
        <f>VLOOKUP(A253,[2]cwurData!$B:$N, 3, FALSE)</f>
        <v>#N/A</v>
      </c>
      <c r="Q253" t="e">
        <f>VLOOKUP(A253,[2]cwurData!$B:$N, 4, FALSE)</f>
        <v>#N/A</v>
      </c>
      <c r="R253" t="e">
        <f>VLOOKUP(A253,[2]cwurData!$B:$N, 5, FALSE)</f>
        <v>#N/A</v>
      </c>
      <c r="S253" t="e">
        <f>VLOOKUP(A253,[2]cwurData!$B:$N, 6, FALSE)</f>
        <v>#N/A</v>
      </c>
      <c r="T253" t="e">
        <f>VLOOKUP(A253,[2]cwurData!$B:$N, 7, FALSE)</f>
        <v>#N/A</v>
      </c>
      <c r="U253" t="e">
        <f>VLOOKUP(A253,[2]cwurData!$B:$N, 8, FALSE)</f>
        <v>#N/A</v>
      </c>
      <c r="V253" t="e">
        <f>VLOOKUP(A253,[2]cwurData!$B:$N, 9, FALSE)</f>
        <v>#N/A</v>
      </c>
      <c r="W253" t="e">
        <f>VLOOKUP(A253,[2]cwurData!$B:$N, 10, FALSE)</f>
        <v>#N/A</v>
      </c>
      <c r="X253" t="e">
        <f>VLOOKUP(A253,[2]cwurData!$B:$N, 11, FALSE)</f>
        <v>#N/A</v>
      </c>
      <c r="Y253" t="e">
        <f>VLOOKUP(A253,[2]cwurData!$B:$N, 12, FALSE)</f>
        <v>#N/A</v>
      </c>
      <c r="Z253" t="e">
        <f>VLOOKUP(A253,[2]cwurData!$B:$N, 13, FALSE)</f>
        <v>#N/A</v>
      </c>
    </row>
    <row r="254" spans="1:26" x14ac:dyDescent="0.3">
      <c r="A254" t="s">
        <v>232</v>
      </c>
      <c r="B254" t="str">
        <f>IFERROR(VLOOKUP(A254,[1]timesData!$B:$P,2,FALSE),VLOOKUP(A254,[2]cwurData!$B:$P,2,FALSE))</f>
        <v>Israel</v>
      </c>
      <c r="C254" t="str">
        <f>VLOOKUP(A254,[1]timesData!$B:$P,3,FALSE)</f>
        <v>201-225</v>
      </c>
      <c r="D254" t="str">
        <f>VLOOKUP(A255,[1]timesData!$B:$P,3,FALSE)</f>
        <v>201-225</v>
      </c>
      <c r="E254">
        <f>VLOOKUP(A255,[1]timesData!$B:$P,4,FALSE)</f>
        <v>50.8</v>
      </c>
      <c r="F254">
        <f>VLOOKUP(A255,[1]timesData!$B:$P,5,FALSE)</f>
        <v>18.8</v>
      </c>
      <c r="G254">
        <f>VLOOKUP(A255,[1]timesData!$B:$P,6,FALSE)</f>
        <v>46.7</v>
      </c>
      <c r="H254">
        <f>VLOOKUP(A255,[1]timesData!$B:$P,7,FALSE)</f>
        <v>69.8</v>
      </c>
      <c r="I254" t="str">
        <f>VLOOKUP(A255,[1]timesData!$B:$P,8,FALSE)</f>
        <v>-</v>
      </c>
      <c r="J254">
        <f>VLOOKUP(A255,[1]timesData!$B:$P,9,FALSE)</f>
        <v>9187</v>
      </c>
      <c r="K254">
        <f>VLOOKUP(A255,[1]timesData!$B:$P,10,FALSE)</f>
        <v>11.2</v>
      </c>
      <c r="L254">
        <f>VLOOKUP(A255,[1]timesData!$B:$P,11,FALSE)</f>
        <v>0.1</v>
      </c>
      <c r="M254">
        <f>VLOOKUP(A255,[1]timesData!$B:$P,12,FALSE)</f>
        <v>1.9951388888888888</v>
      </c>
      <c r="N254">
        <f>VLOOKUP(A255,[1]timesData!$B:$P,13,FALSE)</f>
        <v>2012</v>
      </c>
      <c r="O254" t="e">
        <f>VLOOKUP(A254,[2]cwurData!$B:$P,14,FALSE)</f>
        <v>#N/A</v>
      </c>
      <c r="P254" t="e">
        <f>VLOOKUP(A254,[2]cwurData!$B:$N, 3, FALSE)</f>
        <v>#N/A</v>
      </c>
      <c r="Q254" t="e">
        <f>VLOOKUP(A254,[2]cwurData!$B:$N, 4, FALSE)</f>
        <v>#N/A</v>
      </c>
      <c r="R254" t="e">
        <f>VLOOKUP(A254,[2]cwurData!$B:$N, 5, FALSE)</f>
        <v>#N/A</v>
      </c>
      <c r="S254" t="e">
        <f>VLOOKUP(A254,[2]cwurData!$B:$N, 6, FALSE)</f>
        <v>#N/A</v>
      </c>
      <c r="T254" t="e">
        <f>VLOOKUP(A254,[2]cwurData!$B:$N, 7, FALSE)</f>
        <v>#N/A</v>
      </c>
      <c r="U254" t="e">
        <f>VLOOKUP(A254,[2]cwurData!$B:$N, 8, FALSE)</f>
        <v>#N/A</v>
      </c>
      <c r="V254" t="e">
        <f>VLOOKUP(A254,[2]cwurData!$B:$N, 9, FALSE)</f>
        <v>#N/A</v>
      </c>
      <c r="W254" t="e">
        <f>VLOOKUP(A254,[2]cwurData!$B:$N, 10, FALSE)</f>
        <v>#N/A</v>
      </c>
      <c r="X254" t="e">
        <f>VLOOKUP(A254,[2]cwurData!$B:$N, 11, FALSE)</f>
        <v>#N/A</v>
      </c>
      <c r="Y254" t="e">
        <f>VLOOKUP(A254,[2]cwurData!$B:$N, 12, FALSE)</f>
        <v>#N/A</v>
      </c>
      <c r="Z254" t="e">
        <f>VLOOKUP(A254,[2]cwurData!$B:$N, 13, FALSE)</f>
        <v>#N/A</v>
      </c>
    </row>
    <row r="255" spans="1:26" x14ac:dyDescent="0.3">
      <c r="A255" t="s">
        <v>234</v>
      </c>
      <c r="B255" t="str">
        <f>IFERROR(VLOOKUP(A255,[1]timesData!$B:$P,2,FALSE),VLOOKUP(A255,[2]cwurData!$B:$P,2,FALSE))</f>
        <v>Germany</v>
      </c>
      <c r="C255" t="str">
        <f>VLOOKUP(A255,[1]timesData!$B:$P,3,FALSE)</f>
        <v>201-225</v>
      </c>
      <c r="D255" t="str">
        <f>VLOOKUP(A256,[1]timesData!$B:$P,3,FALSE)</f>
        <v>201-225</v>
      </c>
      <c r="E255">
        <f>VLOOKUP(A256,[1]timesData!$B:$P,4,FALSE)</f>
        <v>49.2</v>
      </c>
      <c r="F255">
        <f>VLOOKUP(A256,[1]timesData!$B:$P,5,FALSE)</f>
        <v>35.6</v>
      </c>
      <c r="G255">
        <f>VLOOKUP(A256,[1]timesData!$B:$P,6,FALSE)</f>
        <v>42</v>
      </c>
      <c r="H255">
        <f>VLOOKUP(A256,[1]timesData!$B:$P,7,FALSE)</f>
        <v>40.9</v>
      </c>
      <c r="I255" t="str">
        <f>VLOOKUP(A256,[1]timesData!$B:$P,8,FALSE)</f>
        <v>-</v>
      </c>
      <c r="J255">
        <f>VLOOKUP(A256,[1]timesData!$B:$P,9,FALSE)</f>
        <v>25668</v>
      </c>
      <c r="K255">
        <f>VLOOKUP(A256,[1]timesData!$B:$P,10,FALSE)</f>
        <v>19</v>
      </c>
      <c r="L255">
        <f>VLOOKUP(A256,[1]timesData!$B:$P,11,FALSE)</f>
        <v>0.19</v>
      </c>
      <c r="M255">
        <f>VLOOKUP(A256,[1]timesData!$B:$P,12,FALSE)</f>
        <v>1.9951388888888888</v>
      </c>
      <c r="N255">
        <f>VLOOKUP(A256,[1]timesData!$B:$P,13,FALSE)</f>
        <v>2012</v>
      </c>
      <c r="O255" t="e">
        <f>VLOOKUP(A255,[2]cwurData!$B:$P,14,FALSE)</f>
        <v>#N/A</v>
      </c>
      <c r="P255" t="e">
        <f>VLOOKUP(A255,[2]cwurData!$B:$N, 3, FALSE)</f>
        <v>#N/A</v>
      </c>
      <c r="Q255" t="e">
        <f>VLOOKUP(A255,[2]cwurData!$B:$N, 4, FALSE)</f>
        <v>#N/A</v>
      </c>
      <c r="R255" t="e">
        <f>VLOOKUP(A255,[2]cwurData!$B:$N, 5, FALSE)</f>
        <v>#N/A</v>
      </c>
      <c r="S255" t="e">
        <f>VLOOKUP(A255,[2]cwurData!$B:$N, 6, FALSE)</f>
        <v>#N/A</v>
      </c>
      <c r="T255" t="e">
        <f>VLOOKUP(A255,[2]cwurData!$B:$N, 7, FALSE)</f>
        <v>#N/A</v>
      </c>
      <c r="U255" t="e">
        <f>VLOOKUP(A255,[2]cwurData!$B:$N, 8, FALSE)</f>
        <v>#N/A</v>
      </c>
      <c r="V255" t="e">
        <f>VLOOKUP(A255,[2]cwurData!$B:$N, 9, FALSE)</f>
        <v>#N/A</v>
      </c>
      <c r="W255" t="e">
        <f>VLOOKUP(A255,[2]cwurData!$B:$N, 10, FALSE)</f>
        <v>#N/A</v>
      </c>
      <c r="X255" t="e">
        <f>VLOOKUP(A255,[2]cwurData!$B:$N, 11, FALSE)</f>
        <v>#N/A</v>
      </c>
      <c r="Y255" t="e">
        <f>VLOOKUP(A255,[2]cwurData!$B:$N, 12, FALSE)</f>
        <v>#N/A</v>
      </c>
      <c r="Z255" t="e">
        <f>VLOOKUP(A255,[2]cwurData!$B:$N, 13, FALSE)</f>
        <v>#N/A</v>
      </c>
    </row>
    <row r="256" spans="1:26" x14ac:dyDescent="0.3">
      <c r="A256" t="s">
        <v>236</v>
      </c>
      <c r="B256" t="str">
        <f>IFERROR(VLOOKUP(A256,[1]timesData!$B:$P,2,FALSE),VLOOKUP(A256,[2]cwurData!$B:$P,2,FALSE))</f>
        <v>United States of America</v>
      </c>
      <c r="C256" t="str">
        <f>VLOOKUP(A256,[1]timesData!$B:$P,3,FALSE)</f>
        <v>201-225</v>
      </c>
      <c r="D256" t="str">
        <f>VLOOKUP(A257,[1]timesData!$B:$P,3,FALSE)</f>
        <v>201-225</v>
      </c>
      <c r="E256">
        <f>VLOOKUP(A257,[1]timesData!$B:$P,4,FALSE)</f>
        <v>31</v>
      </c>
      <c r="F256">
        <f>VLOOKUP(A257,[1]timesData!$B:$P,5,FALSE)</f>
        <v>14.4</v>
      </c>
      <c r="G256">
        <f>VLOOKUP(A257,[1]timesData!$B:$P,6,FALSE)</f>
        <v>55.6</v>
      </c>
      <c r="H256">
        <f>VLOOKUP(A257,[1]timesData!$B:$P,7,FALSE)</f>
        <v>34.299999999999997</v>
      </c>
      <c r="I256" t="str">
        <f>VLOOKUP(A257,[1]timesData!$B:$P,8,FALSE)</f>
        <v>-</v>
      </c>
      <c r="J256">
        <f>VLOOKUP(A257,[1]timesData!$B:$P,9,FALSE)</f>
        <v>0</v>
      </c>
      <c r="K256">
        <f>VLOOKUP(A257,[1]timesData!$B:$P,10,FALSE)</f>
        <v>0</v>
      </c>
      <c r="L256">
        <f>VLOOKUP(A257,[1]timesData!$B:$P,11,FALSE)</f>
        <v>0</v>
      </c>
      <c r="M256">
        <f>VLOOKUP(A257,[1]timesData!$B:$P,12,FALSE)</f>
        <v>0</v>
      </c>
      <c r="N256">
        <f>VLOOKUP(A257,[1]timesData!$B:$P,13,FALSE)</f>
        <v>2012</v>
      </c>
      <c r="O256" t="e">
        <f>VLOOKUP(A256,[2]cwurData!$B:$P,14,FALSE)</f>
        <v>#N/A</v>
      </c>
      <c r="P256" t="e">
        <f>VLOOKUP(A256,[2]cwurData!$B:$N, 3, FALSE)</f>
        <v>#N/A</v>
      </c>
      <c r="Q256" t="e">
        <f>VLOOKUP(A256,[2]cwurData!$B:$N, 4, FALSE)</f>
        <v>#N/A</v>
      </c>
      <c r="R256" t="e">
        <f>VLOOKUP(A256,[2]cwurData!$B:$N, 5, FALSE)</f>
        <v>#N/A</v>
      </c>
      <c r="S256" t="e">
        <f>VLOOKUP(A256,[2]cwurData!$B:$N, 6, FALSE)</f>
        <v>#N/A</v>
      </c>
      <c r="T256" t="e">
        <f>VLOOKUP(A256,[2]cwurData!$B:$N, 7, FALSE)</f>
        <v>#N/A</v>
      </c>
      <c r="U256" t="e">
        <f>VLOOKUP(A256,[2]cwurData!$B:$N, 8, FALSE)</f>
        <v>#N/A</v>
      </c>
      <c r="V256" t="e">
        <f>VLOOKUP(A256,[2]cwurData!$B:$N, 9, FALSE)</f>
        <v>#N/A</v>
      </c>
      <c r="W256" t="e">
        <f>VLOOKUP(A256,[2]cwurData!$B:$N, 10, FALSE)</f>
        <v>#N/A</v>
      </c>
      <c r="X256" t="e">
        <f>VLOOKUP(A256,[2]cwurData!$B:$N, 11, FALSE)</f>
        <v>#N/A</v>
      </c>
      <c r="Y256" t="e">
        <f>VLOOKUP(A256,[2]cwurData!$B:$N, 12, FALSE)</f>
        <v>#N/A</v>
      </c>
      <c r="Z256" t="e">
        <f>VLOOKUP(A256,[2]cwurData!$B:$N, 13, FALSE)</f>
        <v>#N/A</v>
      </c>
    </row>
    <row r="257" spans="1:26" x14ac:dyDescent="0.3">
      <c r="A257" t="s">
        <v>240</v>
      </c>
      <c r="B257" t="str">
        <f>IFERROR(VLOOKUP(A257,[1]timesData!$B:$P,2,FALSE),VLOOKUP(A257,[2]cwurData!$B:$P,2,FALSE))</f>
        <v>United States of America</v>
      </c>
      <c r="C257" t="str">
        <f>VLOOKUP(A257,[1]timesData!$B:$P,3,FALSE)</f>
        <v>201-225</v>
      </c>
      <c r="D257" t="str">
        <f>VLOOKUP(A258,[1]timesData!$B:$P,3,FALSE)</f>
        <v>201-225</v>
      </c>
      <c r="E257">
        <f>VLOOKUP(A258,[1]timesData!$B:$P,4,FALSE)</f>
        <v>26</v>
      </c>
      <c r="F257">
        <f>VLOOKUP(A258,[1]timesData!$B:$P,5,FALSE)</f>
        <v>29.3</v>
      </c>
      <c r="G257">
        <f>VLOOKUP(A258,[1]timesData!$B:$P,6,FALSE)</f>
        <v>52.1</v>
      </c>
      <c r="H257">
        <f>VLOOKUP(A258,[1]timesData!$B:$P,7,FALSE)</f>
        <v>27.3</v>
      </c>
      <c r="I257" t="str">
        <f>VLOOKUP(A258,[1]timesData!$B:$P,8,FALSE)</f>
        <v>-</v>
      </c>
      <c r="J257">
        <f>VLOOKUP(A258,[1]timesData!$B:$P,9,FALSE)</f>
        <v>29336</v>
      </c>
      <c r="K257">
        <f>VLOOKUP(A258,[1]timesData!$B:$P,10,FALSE)</f>
        <v>16.3</v>
      </c>
      <c r="L257">
        <f>VLOOKUP(A258,[1]timesData!$B:$P,11,FALSE)</f>
        <v>0.01</v>
      </c>
      <c r="M257">
        <f>VLOOKUP(A258,[1]timesData!$B:$P,12,FALSE)</f>
        <v>2.3229166666666665</v>
      </c>
      <c r="N257">
        <f>VLOOKUP(A258,[1]timesData!$B:$P,13,FALSE)</f>
        <v>2012</v>
      </c>
      <c r="O257" t="e">
        <f>VLOOKUP(A257,[2]cwurData!$B:$P,14,FALSE)</f>
        <v>#N/A</v>
      </c>
      <c r="P257" t="e">
        <f>VLOOKUP(A257,[2]cwurData!$B:$N, 3, FALSE)</f>
        <v>#N/A</v>
      </c>
      <c r="Q257" t="e">
        <f>VLOOKUP(A257,[2]cwurData!$B:$N, 4, FALSE)</f>
        <v>#N/A</v>
      </c>
      <c r="R257" t="e">
        <f>VLOOKUP(A257,[2]cwurData!$B:$N, 5, FALSE)</f>
        <v>#N/A</v>
      </c>
      <c r="S257" t="e">
        <f>VLOOKUP(A257,[2]cwurData!$B:$N, 6, FALSE)</f>
        <v>#N/A</v>
      </c>
      <c r="T257" t="e">
        <f>VLOOKUP(A257,[2]cwurData!$B:$N, 7, FALSE)</f>
        <v>#N/A</v>
      </c>
      <c r="U257" t="e">
        <f>VLOOKUP(A257,[2]cwurData!$B:$N, 8, FALSE)</f>
        <v>#N/A</v>
      </c>
      <c r="V257" t="e">
        <f>VLOOKUP(A257,[2]cwurData!$B:$N, 9, FALSE)</f>
        <v>#N/A</v>
      </c>
      <c r="W257" t="e">
        <f>VLOOKUP(A257,[2]cwurData!$B:$N, 10, FALSE)</f>
        <v>#N/A</v>
      </c>
      <c r="X257" t="e">
        <f>VLOOKUP(A257,[2]cwurData!$B:$N, 11, FALSE)</f>
        <v>#N/A</v>
      </c>
      <c r="Y257" t="e">
        <f>VLOOKUP(A257,[2]cwurData!$B:$N, 12, FALSE)</f>
        <v>#N/A</v>
      </c>
      <c r="Z257" t="e">
        <f>VLOOKUP(A257,[2]cwurData!$B:$N, 13, FALSE)</f>
        <v>#N/A</v>
      </c>
    </row>
    <row r="258" spans="1:26" x14ac:dyDescent="0.3">
      <c r="A258" t="s">
        <v>242</v>
      </c>
      <c r="B258" t="str">
        <f>IFERROR(VLOOKUP(A258,[1]timesData!$B:$P,2,FALSE),VLOOKUP(A258,[2]cwurData!$B:$P,2,FALSE))</f>
        <v>United States of America</v>
      </c>
      <c r="C258" t="str">
        <f>VLOOKUP(A258,[1]timesData!$B:$P,3,FALSE)</f>
        <v>201-225</v>
      </c>
      <c r="D258" t="str">
        <f>VLOOKUP(A259,[1]timesData!$B:$P,3,FALSE)</f>
        <v>201-225</v>
      </c>
      <c r="E258">
        <f>VLOOKUP(A259,[1]timesData!$B:$P,4,FALSE)</f>
        <v>55.7</v>
      </c>
      <c r="F258">
        <f>VLOOKUP(A259,[1]timesData!$B:$P,5,FALSE)</f>
        <v>34.299999999999997</v>
      </c>
      <c r="G258">
        <f>VLOOKUP(A259,[1]timesData!$B:$P,6,FALSE)</f>
        <v>38.5</v>
      </c>
      <c r="H258">
        <f>VLOOKUP(A259,[1]timesData!$B:$P,7,FALSE)</f>
        <v>41.9</v>
      </c>
      <c r="I258" t="str">
        <f>VLOOKUP(A259,[1]timesData!$B:$P,8,FALSE)</f>
        <v>-</v>
      </c>
      <c r="J258">
        <f>VLOOKUP(A259,[1]timesData!$B:$P,9,FALSE)</f>
        <v>27387</v>
      </c>
      <c r="K258">
        <f>VLOOKUP(A259,[1]timesData!$B:$P,10,FALSE)</f>
        <v>20.7</v>
      </c>
      <c r="L258">
        <f>VLOOKUP(A259,[1]timesData!$B:$P,11,FALSE)</f>
        <v>0.16</v>
      </c>
      <c r="M258">
        <f>VLOOKUP(A259,[1]timesData!$B:$P,12,FALSE)</f>
        <v>2.2819444444444446</v>
      </c>
      <c r="N258">
        <f>VLOOKUP(A259,[1]timesData!$B:$P,13,FALSE)</f>
        <v>2012</v>
      </c>
      <c r="O258" t="e">
        <f>VLOOKUP(A258,[2]cwurData!$B:$P,14,FALSE)</f>
        <v>#N/A</v>
      </c>
      <c r="P258" t="e">
        <f>VLOOKUP(A258,[2]cwurData!$B:$N, 3, FALSE)</f>
        <v>#N/A</v>
      </c>
      <c r="Q258" t="e">
        <f>VLOOKUP(A258,[2]cwurData!$B:$N, 4, FALSE)</f>
        <v>#N/A</v>
      </c>
      <c r="R258" t="e">
        <f>VLOOKUP(A258,[2]cwurData!$B:$N, 5, FALSE)</f>
        <v>#N/A</v>
      </c>
      <c r="S258" t="e">
        <f>VLOOKUP(A258,[2]cwurData!$B:$N, 6, FALSE)</f>
        <v>#N/A</v>
      </c>
      <c r="T258" t="e">
        <f>VLOOKUP(A258,[2]cwurData!$B:$N, 7, FALSE)</f>
        <v>#N/A</v>
      </c>
      <c r="U258" t="e">
        <f>VLOOKUP(A258,[2]cwurData!$B:$N, 8, FALSE)</f>
        <v>#N/A</v>
      </c>
      <c r="V258" t="e">
        <f>VLOOKUP(A258,[2]cwurData!$B:$N, 9, FALSE)</f>
        <v>#N/A</v>
      </c>
      <c r="W258" t="e">
        <f>VLOOKUP(A258,[2]cwurData!$B:$N, 10, FALSE)</f>
        <v>#N/A</v>
      </c>
      <c r="X258" t="e">
        <f>VLOOKUP(A258,[2]cwurData!$B:$N, 11, FALSE)</f>
        <v>#N/A</v>
      </c>
      <c r="Y258" t="e">
        <f>VLOOKUP(A258,[2]cwurData!$B:$N, 12, FALSE)</f>
        <v>#N/A</v>
      </c>
      <c r="Z258" t="e">
        <f>VLOOKUP(A258,[2]cwurData!$B:$N, 13, FALSE)</f>
        <v>#N/A</v>
      </c>
    </row>
    <row r="259" spans="1:26" x14ac:dyDescent="0.3">
      <c r="A259" t="s">
        <v>245</v>
      </c>
      <c r="B259" t="str">
        <f>IFERROR(VLOOKUP(A259,[1]timesData!$B:$P,2,FALSE),VLOOKUP(A259,[2]cwurData!$B:$P,2,FALSE))</f>
        <v>Canada</v>
      </c>
      <c r="C259" t="str">
        <f>VLOOKUP(A259,[1]timesData!$B:$P,3,FALSE)</f>
        <v>201-225</v>
      </c>
      <c r="D259" t="str">
        <f>VLOOKUP(A260,[1]timesData!$B:$P,3,FALSE)</f>
        <v>201-250</v>
      </c>
      <c r="E259">
        <f>VLOOKUP(A260,[1]timesData!$B:$P,4,FALSE)</f>
        <v>49.1</v>
      </c>
      <c r="F259">
        <f>VLOOKUP(A260,[1]timesData!$B:$P,5,FALSE)</f>
        <v>28.8</v>
      </c>
      <c r="G259">
        <f>VLOOKUP(A260,[1]timesData!$B:$P,6,FALSE)</f>
        <v>83.3</v>
      </c>
      <c r="H259">
        <f>VLOOKUP(A260,[1]timesData!$B:$P,7,FALSE)</f>
        <v>29</v>
      </c>
      <c r="I259" t="str">
        <f>VLOOKUP(A260,[1]timesData!$B:$P,8,FALSE)</f>
        <v>-</v>
      </c>
      <c r="J259">
        <f>VLOOKUP(A260,[1]timesData!$B:$P,9,FALSE)</f>
        <v>34691</v>
      </c>
      <c r="K259">
        <f>VLOOKUP(A260,[1]timesData!$B:$P,10,FALSE)</f>
        <v>26.9</v>
      </c>
      <c r="L259">
        <f>VLOOKUP(A260,[1]timesData!$B:$P,11,FALSE)</f>
        <v>0.15</v>
      </c>
      <c r="M259">
        <f>VLOOKUP(A260,[1]timesData!$B:$P,12,FALSE)</f>
        <v>2.6506944444444445</v>
      </c>
      <c r="N259">
        <f>VLOOKUP(A260,[1]timesData!$B:$P,13,FALSE)</f>
        <v>2016</v>
      </c>
      <c r="O259" t="e">
        <f>VLOOKUP(A259,[2]cwurData!$B:$P,14,FALSE)</f>
        <v>#N/A</v>
      </c>
      <c r="P259" t="e">
        <f>VLOOKUP(A259,[2]cwurData!$B:$N, 3, FALSE)</f>
        <v>#N/A</v>
      </c>
      <c r="Q259" t="e">
        <f>VLOOKUP(A259,[2]cwurData!$B:$N, 4, FALSE)</f>
        <v>#N/A</v>
      </c>
      <c r="R259" t="e">
        <f>VLOOKUP(A259,[2]cwurData!$B:$N, 5, FALSE)</f>
        <v>#N/A</v>
      </c>
      <c r="S259" t="e">
        <f>VLOOKUP(A259,[2]cwurData!$B:$N, 6, FALSE)</f>
        <v>#N/A</v>
      </c>
      <c r="T259" t="e">
        <f>VLOOKUP(A259,[2]cwurData!$B:$N, 7, FALSE)</f>
        <v>#N/A</v>
      </c>
      <c r="U259" t="e">
        <f>VLOOKUP(A259,[2]cwurData!$B:$N, 8, FALSE)</f>
        <v>#N/A</v>
      </c>
      <c r="V259" t="e">
        <f>VLOOKUP(A259,[2]cwurData!$B:$N, 9, FALSE)</f>
        <v>#N/A</v>
      </c>
      <c r="W259" t="e">
        <f>VLOOKUP(A259,[2]cwurData!$B:$N, 10, FALSE)</f>
        <v>#N/A</v>
      </c>
      <c r="X259" t="e">
        <f>VLOOKUP(A259,[2]cwurData!$B:$N, 11, FALSE)</f>
        <v>#N/A</v>
      </c>
      <c r="Y259" t="e">
        <f>VLOOKUP(A259,[2]cwurData!$B:$N, 12, FALSE)</f>
        <v>#N/A</v>
      </c>
      <c r="Z259" t="e">
        <f>VLOOKUP(A259,[2]cwurData!$B:$N, 13, FALSE)</f>
        <v>#N/A</v>
      </c>
    </row>
    <row r="260" spans="1:26" x14ac:dyDescent="0.3">
      <c r="A260" t="s">
        <v>489</v>
      </c>
      <c r="B260" t="str">
        <f>IFERROR(VLOOKUP(A260,[1]timesData!$B:$P,2,FALSE),VLOOKUP(A260,[2]cwurData!$B:$P,2,FALSE))</f>
        <v>France</v>
      </c>
      <c r="C260" t="str">
        <f>VLOOKUP(A260,[1]timesData!$B:$P,3,FALSE)</f>
        <v>201-250</v>
      </c>
      <c r="D260" t="str">
        <f>VLOOKUP(A261,[1]timesData!$B:$P,3,FALSE)</f>
        <v>201-250</v>
      </c>
      <c r="E260">
        <f>VLOOKUP(A261,[1]timesData!$B:$P,4,FALSE)</f>
        <v>41.6</v>
      </c>
      <c r="F260">
        <f>VLOOKUP(A261,[1]timesData!$B:$P,5,FALSE)</f>
        <v>40.1</v>
      </c>
      <c r="G260">
        <f>VLOOKUP(A261,[1]timesData!$B:$P,6,FALSE)</f>
        <v>64.7</v>
      </c>
      <c r="H260">
        <f>VLOOKUP(A261,[1]timesData!$B:$P,7,FALSE)</f>
        <v>32</v>
      </c>
      <c r="I260" t="str">
        <f>VLOOKUP(A261,[1]timesData!$B:$P,8,FALSE)</f>
        <v>-</v>
      </c>
      <c r="J260">
        <f>VLOOKUP(A261,[1]timesData!$B:$P,9,FALSE)</f>
        <v>41226</v>
      </c>
      <c r="K260">
        <f>VLOOKUP(A261,[1]timesData!$B:$P,10,FALSE)</f>
        <v>31.8</v>
      </c>
      <c r="L260">
        <f>VLOOKUP(A261,[1]timesData!$B:$P,11,FALSE)</f>
        <v>7.0000000000000007E-2</v>
      </c>
      <c r="M260">
        <f>VLOOKUP(A261,[1]timesData!$B:$P,12,FALSE)</f>
        <v>2.3229166666666665</v>
      </c>
      <c r="N260">
        <f>VLOOKUP(A261,[1]timesData!$B:$P,13,FALSE)</f>
        <v>2016</v>
      </c>
      <c r="O260">
        <f>VLOOKUP(A260,[2]cwurData!$B:$P,14,FALSE)</f>
        <v>245</v>
      </c>
      <c r="P260">
        <f>VLOOKUP(A260,[2]cwurData!$B:$N, 3, FALSE)</f>
        <v>13</v>
      </c>
      <c r="Q260">
        <f>VLOOKUP(A260,[2]cwurData!$B:$N, 4, FALSE)</f>
        <v>202</v>
      </c>
      <c r="R260">
        <f>VLOOKUP(A260,[2]cwurData!$B:$N, 5, FALSE)</f>
        <v>478</v>
      </c>
      <c r="S260">
        <f>VLOOKUP(A260,[2]cwurData!$B:$N, 6, FALSE)</f>
        <v>210</v>
      </c>
      <c r="T260">
        <f>VLOOKUP(A260,[2]cwurData!$B:$N, 7, FALSE)</f>
        <v>189</v>
      </c>
      <c r="U260">
        <f>VLOOKUP(A260,[2]cwurData!$B:$N, 8, FALSE)</f>
        <v>139</v>
      </c>
      <c r="V260">
        <f>VLOOKUP(A260,[2]cwurData!$B:$N, 9, FALSE)</f>
        <v>363</v>
      </c>
      <c r="W260">
        <f>VLOOKUP(A260,[2]cwurData!$B:$N, 10, FALSE)</f>
        <v>173</v>
      </c>
      <c r="X260">
        <f>VLOOKUP(A260,[2]cwurData!$B:$N, 11, FALSE)</f>
        <v>426</v>
      </c>
      <c r="Y260">
        <f>VLOOKUP(A260,[2]cwurData!$B:$N, 12, FALSE)</f>
        <v>47.18</v>
      </c>
      <c r="Z260">
        <f>VLOOKUP(A260,[2]cwurData!$B:$N, 13, FALSE)</f>
        <v>2014</v>
      </c>
    </row>
    <row r="261" spans="1:26" x14ac:dyDescent="0.3">
      <c r="A261" t="s">
        <v>487</v>
      </c>
      <c r="B261" t="str">
        <f>IFERROR(VLOOKUP(A261,[1]timesData!$B:$P,2,FALSE),VLOOKUP(A261,[2]cwurData!$B:$P,2,FALSE))</f>
        <v>United States of America</v>
      </c>
      <c r="C261" t="str">
        <f>VLOOKUP(A261,[1]timesData!$B:$P,3,FALSE)</f>
        <v>201-250</v>
      </c>
      <c r="D261" t="str">
        <f>VLOOKUP(A262,[1]timesData!$B:$P,3,FALSE)</f>
        <v>201-250</v>
      </c>
      <c r="E261">
        <f>VLOOKUP(A262,[1]timesData!$B:$P,4,FALSE)</f>
        <v>21.8</v>
      </c>
      <c r="F261">
        <f>VLOOKUP(A262,[1]timesData!$B:$P,5,FALSE)</f>
        <v>17.399999999999999</v>
      </c>
      <c r="G261">
        <f>VLOOKUP(A262,[1]timesData!$B:$P,6,FALSE)</f>
        <v>88.9</v>
      </c>
      <c r="H261">
        <f>VLOOKUP(A262,[1]timesData!$B:$P,7,FALSE)</f>
        <v>45.4</v>
      </c>
      <c r="I261" t="str">
        <f>VLOOKUP(A262,[1]timesData!$B:$P,8,FALSE)</f>
        <v>-</v>
      </c>
      <c r="J261">
        <f>VLOOKUP(A262,[1]timesData!$B:$P,9,FALSE)</f>
        <v>1855</v>
      </c>
      <c r="K261">
        <f>VLOOKUP(A262,[1]timesData!$B:$P,10,FALSE)</f>
        <v>2.1</v>
      </c>
      <c r="L261">
        <f>VLOOKUP(A262,[1]timesData!$B:$P,11,FALSE)</f>
        <v>0.05</v>
      </c>
      <c r="M261">
        <f>VLOOKUP(A262,[1]timesData!$B:$P,12,FALSE)</f>
        <v>2.9784722222222224</v>
      </c>
      <c r="N261">
        <f>VLOOKUP(A262,[1]timesData!$B:$P,13,FALSE)</f>
        <v>2016</v>
      </c>
      <c r="O261">
        <f>VLOOKUP(A261,[2]cwurData!$B:$P,14,FALSE)</f>
        <v>255</v>
      </c>
      <c r="P261">
        <f>VLOOKUP(A261,[2]cwurData!$B:$N, 3, FALSE)</f>
        <v>102</v>
      </c>
      <c r="Q261">
        <f>VLOOKUP(A261,[2]cwurData!$B:$N, 4, FALSE)</f>
        <v>355</v>
      </c>
      <c r="R261">
        <f>VLOOKUP(A261,[2]cwurData!$B:$N, 5, FALSE)</f>
        <v>288</v>
      </c>
      <c r="S261">
        <f>VLOOKUP(A261,[2]cwurData!$B:$N, 6, FALSE)</f>
        <v>210</v>
      </c>
      <c r="T261">
        <f>VLOOKUP(A261,[2]cwurData!$B:$N, 7, FALSE)</f>
        <v>201</v>
      </c>
      <c r="U261">
        <f>VLOOKUP(A261,[2]cwurData!$B:$N, 8, FALSE)</f>
        <v>180</v>
      </c>
      <c r="V261">
        <f>VLOOKUP(A261,[2]cwurData!$B:$N, 9, FALSE)</f>
        <v>134</v>
      </c>
      <c r="W261">
        <f>VLOOKUP(A261,[2]cwurData!$B:$N, 10, FALSE)</f>
        <v>220</v>
      </c>
      <c r="X261">
        <f>VLOOKUP(A261,[2]cwurData!$B:$N, 11, FALSE)</f>
        <v>338</v>
      </c>
      <c r="Y261">
        <f>VLOOKUP(A261,[2]cwurData!$B:$N, 12, FALSE)</f>
        <v>46.98</v>
      </c>
      <c r="Z261">
        <f>VLOOKUP(A261,[2]cwurData!$B:$N, 13, FALSE)</f>
        <v>2014</v>
      </c>
    </row>
    <row r="262" spans="1:26" x14ac:dyDescent="0.3">
      <c r="A262" t="s">
        <v>492</v>
      </c>
      <c r="B262" t="str">
        <f>IFERROR(VLOOKUP(A262,[1]timesData!$B:$P,2,FALSE),VLOOKUP(A262,[2]cwurData!$B:$P,2,FALSE))</f>
        <v>United States of America</v>
      </c>
      <c r="C262" t="str">
        <f>VLOOKUP(A262,[1]timesData!$B:$P,3,FALSE)</f>
        <v>201-250</v>
      </c>
      <c r="D262" t="str">
        <f>VLOOKUP(A263,[1]timesData!$B:$P,3,FALSE)</f>
        <v>201-250</v>
      </c>
      <c r="E262">
        <f>VLOOKUP(A263,[1]timesData!$B:$P,4,FALSE)</f>
        <v>88.5</v>
      </c>
      <c r="F262">
        <f>VLOOKUP(A263,[1]timesData!$B:$P,5,FALSE)</f>
        <v>26.5</v>
      </c>
      <c r="G262">
        <f>VLOOKUP(A263,[1]timesData!$B:$P,6,FALSE)</f>
        <v>79.400000000000006</v>
      </c>
      <c r="H262">
        <f>VLOOKUP(A263,[1]timesData!$B:$P,7,FALSE)</f>
        <v>35.299999999999997</v>
      </c>
      <c r="I262" t="str">
        <f>VLOOKUP(A263,[1]timesData!$B:$P,8,FALSE)</f>
        <v>-</v>
      </c>
      <c r="J262">
        <f>VLOOKUP(A263,[1]timesData!$B:$P,9,FALSE)</f>
        <v>18293</v>
      </c>
      <c r="K262">
        <f>VLOOKUP(A263,[1]timesData!$B:$P,10,FALSE)</f>
        <v>42.7</v>
      </c>
      <c r="L262">
        <f>VLOOKUP(A263,[1]timesData!$B:$P,11,FALSE)</f>
        <v>0.19</v>
      </c>
      <c r="M262">
        <f>VLOOKUP(A263,[1]timesData!$B:$P,12,FALSE)</f>
        <v>2.036111111111111</v>
      </c>
      <c r="N262">
        <f>VLOOKUP(A263,[1]timesData!$B:$P,13,FALSE)</f>
        <v>2016</v>
      </c>
      <c r="O262">
        <f>VLOOKUP(A262,[2]cwurData!$B:$P,14,FALSE)</f>
        <v>321</v>
      </c>
      <c r="P262">
        <f>VLOOKUP(A262,[2]cwurData!$B:$N, 3, FALSE)</f>
        <v>122</v>
      </c>
      <c r="Q262">
        <f>VLOOKUP(A262,[2]cwurData!$B:$N, 4, FALSE)</f>
        <v>355</v>
      </c>
      <c r="R262">
        <f>VLOOKUP(A262,[2]cwurData!$B:$N, 5, FALSE)</f>
        <v>478</v>
      </c>
      <c r="S262">
        <f>VLOOKUP(A262,[2]cwurData!$B:$N, 6, FALSE)</f>
        <v>210</v>
      </c>
      <c r="T262">
        <f>VLOOKUP(A262,[2]cwurData!$B:$N, 7, FALSE)</f>
        <v>424</v>
      </c>
      <c r="U262">
        <f>VLOOKUP(A262,[2]cwurData!$B:$N, 8, FALSE)</f>
        <v>412</v>
      </c>
      <c r="V262">
        <f>VLOOKUP(A262,[2]cwurData!$B:$N, 9, FALSE)</f>
        <v>150</v>
      </c>
      <c r="W262">
        <f>VLOOKUP(A262,[2]cwurData!$B:$N, 10, FALSE)</f>
        <v>247</v>
      </c>
      <c r="X262">
        <f>VLOOKUP(A262,[2]cwurData!$B:$N, 11, FALSE)</f>
        <v>737</v>
      </c>
      <c r="Y262">
        <f>VLOOKUP(A262,[2]cwurData!$B:$N, 12, FALSE)</f>
        <v>46.18</v>
      </c>
      <c r="Z262">
        <f>VLOOKUP(A262,[2]cwurData!$B:$N, 13, FALSE)</f>
        <v>2014</v>
      </c>
    </row>
    <row r="263" spans="1:26" x14ac:dyDescent="0.3">
      <c r="A263" t="s">
        <v>486</v>
      </c>
      <c r="B263" t="str">
        <f>IFERROR(VLOOKUP(A263,[1]timesData!$B:$P,2,FALSE),VLOOKUP(A263,[2]cwurData!$B:$P,2,FALSE))</f>
        <v>Denmark</v>
      </c>
      <c r="C263" t="str">
        <f>VLOOKUP(A263,[1]timesData!$B:$P,3,FALSE)</f>
        <v>201-250</v>
      </c>
      <c r="D263" t="str">
        <f>VLOOKUP(A264,[1]timesData!$B:$P,3,FALSE)</f>
        <v>201-250</v>
      </c>
      <c r="E263">
        <f>VLOOKUP(A264,[1]timesData!$B:$P,4,FALSE)</f>
        <v>21.4</v>
      </c>
      <c r="F263">
        <f>VLOOKUP(A264,[1]timesData!$B:$P,5,FALSE)</f>
        <v>15.7</v>
      </c>
      <c r="G263">
        <f>VLOOKUP(A264,[1]timesData!$B:$P,6,FALSE)</f>
        <v>96</v>
      </c>
      <c r="H263">
        <f>VLOOKUP(A264,[1]timesData!$B:$P,7,FALSE)</f>
        <v>44.6</v>
      </c>
      <c r="I263" t="str">
        <f>VLOOKUP(A264,[1]timesData!$B:$P,8,FALSE)</f>
        <v>-</v>
      </c>
      <c r="J263">
        <f>VLOOKUP(A264,[1]timesData!$B:$P,9,FALSE)</f>
        <v>2838</v>
      </c>
      <c r="K263">
        <f>VLOOKUP(A264,[1]timesData!$B:$P,10,FALSE)</f>
        <v>1.1000000000000001</v>
      </c>
      <c r="L263">
        <f>VLOOKUP(A264,[1]timesData!$B:$P,11,FALSE)</f>
        <v>0.03</v>
      </c>
      <c r="M263">
        <f>VLOOKUP(A264,[1]timesData!$B:$P,12,FALSE)</f>
        <v>2.7326388888888888</v>
      </c>
      <c r="N263">
        <f>VLOOKUP(A264,[1]timesData!$B:$P,13,FALSE)</f>
        <v>2016</v>
      </c>
      <c r="O263" t="e">
        <f>VLOOKUP(A263,[2]cwurData!$B:$P,14,FALSE)</f>
        <v>#N/A</v>
      </c>
      <c r="P263" t="e">
        <f>VLOOKUP(A263,[2]cwurData!$B:$N, 3, FALSE)</f>
        <v>#N/A</v>
      </c>
      <c r="Q263" t="e">
        <f>VLOOKUP(A263,[2]cwurData!$B:$N, 4, FALSE)</f>
        <v>#N/A</v>
      </c>
      <c r="R263" t="e">
        <f>VLOOKUP(A263,[2]cwurData!$B:$N, 5, FALSE)</f>
        <v>#N/A</v>
      </c>
      <c r="S263" t="e">
        <f>VLOOKUP(A263,[2]cwurData!$B:$N, 6, FALSE)</f>
        <v>#N/A</v>
      </c>
      <c r="T263" t="e">
        <f>VLOOKUP(A263,[2]cwurData!$B:$N, 7, FALSE)</f>
        <v>#N/A</v>
      </c>
      <c r="U263" t="e">
        <f>VLOOKUP(A263,[2]cwurData!$B:$N, 8, FALSE)</f>
        <v>#N/A</v>
      </c>
      <c r="V263" t="e">
        <f>VLOOKUP(A263,[2]cwurData!$B:$N, 9, FALSE)</f>
        <v>#N/A</v>
      </c>
      <c r="W263" t="e">
        <f>VLOOKUP(A263,[2]cwurData!$B:$N, 10, FALSE)</f>
        <v>#N/A</v>
      </c>
      <c r="X263" t="e">
        <f>VLOOKUP(A263,[2]cwurData!$B:$N, 11, FALSE)</f>
        <v>#N/A</v>
      </c>
      <c r="Y263" t="e">
        <f>VLOOKUP(A263,[2]cwurData!$B:$N, 12, FALSE)</f>
        <v>#N/A</v>
      </c>
      <c r="Z263" t="e">
        <f>VLOOKUP(A263,[2]cwurData!$B:$N, 13, FALSE)</f>
        <v>#N/A</v>
      </c>
    </row>
    <row r="264" spans="1:26" x14ac:dyDescent="0.3">
      <c r="A264" t="s">
        <v>488</v>
      </c>
      <c r="B264" t="str">
        <f>IFERROR(VLOOKUP(A264,[1]timesData!$B:$P,2,FALSE),VLOOKUP(A264,[2]cwurData!$B:$P,2,FALSE))</f>
        <v>United States of America</v>
      </c>
      <c r="C264" t="str">
        <f>VLOOKUP(A264,[1]timesData!$B:$P,3,FALSE)</f>
        <v>201-250</v>
      </c>
      <c r="D264" t="str">
        <f>VLOOKUP(A265,[1]timesData!$B:$P,3,FALSE)</f>
        <v>201-250</v>
      </c>
      <c r="E264">
        <f>VLOOKUP(A265,[1]timesData!$B:$P,4,FALSE)</f>
        <v>29.6</v>
      </c>
      <c r="F264">
        <f>VLOOKUP(A265,[1]timesData!$B:$P,5,FALSE)</f>
        <v>17.8</v>
      </c>
      <c r="G264">
        <f>VLOOKUP(A265,[1]timesData!$B:$P,6,FALSE)</f>
        <v>97.4</v>
      </c>
      <c r="H264">
        <f>VLOOKUP(A265,[1]timesData!$B:$P,7,FALSE)</f>
        <v>42.5</v>
      </c>
      <c r="I264" t="str">
        <f>VLOOKUP(A265,[1]timesData!$B:$P,8,FALSE)</f>
        <v>-</v>
      </c>
      <c r="J264">
        <f>VLOOKUP(A265,[1]timesData!$B:$P,9,FALSE)</f>
        <v>17155</v>
      </c>
      <c r="K264">
        <f>VLOOKUP(A265,[1]timesData!$B:$P,10,FALSE)</f>
        <v>7.2</v>
      </c>
      <c r="L264">
        <f>VLOOKUP(A265,[1]timesData!$B:$P,11,FALSE)</f>
        <v>0.08</v>
      </c>
      <c r="M264" t="str">
        <f>VLOOKUP(A265,[1]timesData!$B:$P,12,FALSE)</f>
        <v>40 : 60</v>
      </c>
      <c r="N264">
        <f>VLOOKUP(A265,[1]timesData!$B:$P,13,FALSE)</f>
        <v>2016</v>
      </c>
      <c r="O264" t="e">
        <f>VLOOKUP(A264,[2]cwurData!$B:$P,14,FALSE)</f>
        <v>#N/A</v>
      </c>
      <c r="P264" t="e">
        <f>VLOOKUP(A264,[2]cwurData!$B:$N, 3, FALSE)</f>
        <v>#N/A</v>
      </c>
      <c r="Q264" t="e">
        <f>VLOOKUP(A264,[2]cwurData!$B:$N, 4, FALSE)</f>
        <v>#N/A</v>
      </c>
      <c r="R264" t="e">
        <f>VLOOKUP(A264,[2]cwurData!$B:$N, 5, FALSE)</f>
        <v>#N/A</v>
      </c>
      <c r="S264" t="e">
        <f>VLOOKUP(A264,[2]cwurData!$B:$N, 6, FALSE)</f>
        <v>#N/A</v>
      </c>
      <c r="T264" t="e">
        <f>VLOOKUP(A264,[2]cwurData!$B:$N, 7, FALSE)</f>
        <v>#N/A</v>
      </c>
      <c r="U264" t="e">
        <f>VLOOKUP(A264,[2]cwurData!$B:$N, 8, FALSE)</f>
        <v>#N/A</v>
      </c>
      <c r="V264" t="e">
        <f>VLOOKUP(A264,[2]cwurData!$B:$N, 9, FALSE)</f>
        <v>#N/A</v>
      </c>
      <c r="W264" t="e">
        <f>VLOOKUP(A264,[2]cwurData!$B:$N, 10, FALSE)</f>
        <v>#N/A</v>
      </c>
      <c r="X264" t="e">
        <f>VLOOKUP(A264,[2]cwurData!$B:$N, 11, FALSE)</f>
        <v>#N/A</v>
      </c>
      <c r="Y264" t="e">
        <f>VLOOKUP(A264,[2]cwurData!$B:$N, 12, FALSE)</f>
        <v>#N/A</v>
      </c>
      <c r="Z264" t="e">
        <f>VLOOKUP(A264,[2]cwurData!$B:$N, 13, FALSE)</f>
        <v>#N/A</v>
      </c>
    </row>
    <row r="265" spans="1:26" x14ac:dyDescent="0.3">
      <c r="A265" t="s">
        <v>490</v>
      </c>
      <c r="B265" t="str">
        <f>IFERROR(VLOOKUP(A265,[1]timesData!$B:$P,2,FALSE),VLOOKUP(A265,[2]cwurData!$B:$P,2,FALSE))</f>
        <v>Russian Federation</v>
      </c>
      <c r="C265" t="str">
        <f>VLOOKUP(A265,[1]timesData!$B:$P,3,FALSE)</f>
        <v>201-250</v>
      </c>
      <c r="D265" t="str">
        <f>VLOOKUP(A266,[1]timesData!$B:$P,3,FALSE)</f>
        <v>201-250</v>
      </c>
      <c r="E265">
        <f>VLOOKUP(A266,[1]timesData!$B:$P,4,FALSE)</f>
        <v>81.7</v>
      </c>
      <c r="F265">
        <f>VLOOKUP(A266,[1]timesData!$B:$P,5,FALSE)</f>
        <v>27.8</v>
      </c>
      <c r="G265">
        <f>VLOOKUP(A266,[1]timesData!$B:$P,6,FALSE)</f>
        <v>74.900000000000006</v>
      </c>
      <c r="H265">
        <f>VLOOKUP(A266,[1]timesData!$B:$P,7,FALSE)</f>
        <v>45.5</v>
      </c>
      <c r="I265" t="str">
        <f>VLOOKUP(A266,[1]timesData!$B:$P,8,FALSE)</f>
        <v>-</v>
      </c>
      <c r="J265">
        <f>VLOOKUP(A266,[1]timesData!$B:$P,9,FALSE)</f>
        <v>1819</v>
      </c>
      <c r="K265">
        <f>VLOOKUP(A266,[1]timesData!$B:$P,10,FALSE)</f>
        <v>10.9</v>
      </c>
      <c r="L265">
        <f>VLOOKUP(A266,[1]timesData!$B:$P,11,FALSE)</f>
        <v>0.18</v>
      </c>
      <c r="M265">
        <f>VLOOKUP(A266,[1]timesData!$B:$P,12,FALSE)</f>
        <v>3.2243055555555555</v>
      </c>
      <c r="N265">
        <f>VLOOKUP(A266,[1]timesData!$B:$P,13,FALSE)</f>
        <v>2016</v>
      </c>
      <c r="O265" t="e">
        <f>VLOOKUP(A265,[2]cwurData!$B:$P,14,FALSE)</f>
        <v>#N/A</v>
      </c>
      <c r="P265" t="e">
        <f>VLOOKUP(A265,[2]cwurData!$B:$N, 3, FALSE)</f>
        <v>#N/A</v>
      </c>
      <c r="Q265" t="e">
        <f>VLOOKUP(A265,[2]cwurData!$B:$N, 4, FALSE)</f>
        <v>#N/A</v>
      </c>
      <c r="R265" t="e">
        <f>VLOOKUP(A265,[2]cwurData!$B:$N, 5, FALSE)</f>
        <v>#N/A</v>
      </c>
      <c r="S265" t="e">
        <f>VLOOKUP(A265,[2]cwurData!$B:$N, 6, FALSE)</f>
        <v>#N/A</v>
      </c>
      <c r="T265" t="e">
        <f>VLOOKUP(A265,[2]cwurData!$B:$N, 7, FALSE)</f>
        <v>#N/A</v>
      </c>
      <c r="U265" t="e">
        <f>VLOOKUP(A265,[2]cwurData!$B:$N, 8, FALSE)</f>
        <v>#N/A</v>
      </c>
      <c r="V265" t="e">
        <f>VLOOKUP(A265,[2]cwurData!$B:$N, 9, FALSE)</f>
        <v>#N/A</v>
      </c>
      <c r="W265" t="e">
        <f>VLOOKUP(A265,[2]cwurData!$B:$N, 10, FALSE)</f>
        <v>#N/A</v>
      </c>
      <c r="X265" t="e">
        <f>VLOOKUP(A265,[2]cwurData!$B:$N, 11, FALSE)</f>
        <v>#N/A</v>
      </c>
      <c r="Y265" t="e">
        <f>VLOOKUP(A265,[2]cwurData!$B:$N, 12, FALSE)</f>
        <v>#N/A</v>
      </c>
      <c r="Z265" t="e">
        <f>VLOOKUP(A265,[2]cwurData!$B:$N, 13, FALSE)</f>
        <v>#N/A</v>
      </c>
    </row>
    <row r="266" spans="1:26" x14ac:dyDescent="0.3">
      <c r="A266" t="s">
        <v>491</v>
      </c>
      <c r="B266" t="str">
        <f>IFERROR(VLOOKUP(A266,[1]timesData!$B:$P,2,FALSE),VLOOKUP(A266,[2]cwurData!$B:$P,2,FALSE))</f>
        <v>United Kingdom</v>
      </c>
      <c r="C266" t="str">
        <f>VLOOKUP(A266,[1]timesData!$B:$P,3,FALSE)</f>
        <v>201-250</v>
      </c>
      <c r="D266" t="str">
        <f>VLOOKUP(A267,[1]timesData!$B:$P,3,FALSE)</f>
        <v>226-250</v>
      </c>
      <c r="E266">
        <f>VLOOKUP(A267,[1]timesData!$B:$P,4,FALSE)</f>
        <v>62.4</v>
      </c>
      <c r="F266">
        <f>VLOOKUP(A267,[1]timesData!$B:$P,5,FALSE)</f>
        <v>25.6</v>
      </c>
      <c r="G266">
        <f>VLOOKUP(A267,[1]timesData!$B:$P,6,FALSE)</f>
        <v>51.7</v>
      </c>
      <c r="H266">
        <f>VLOOKUP(A267,[1]timesData!$B:$P,7,FALSE)</f>
        <v>99.4</v>
      </c>
      <c r="I266" t="str">
        <f>VLOOKUP(A267,[1]timesData!$B:$P,8,FALSE)</f>
        <v>-</v>
      </c>
      <c r="J266">
        <f>VLOOKUP(A267,[1]timesData!$B:$P,9,FALSE)</f>
        <v>1283</v>
      </c>
      <c r="K266">
        <f>VLOOKUP(A267,[1]timesData!$B:$P,10,FALSE)</f>
        <v>5.6</v>
      </c>
      <c r="L266">
        <f>VLOOKUP(A267,[1]timesData!$B:$P,11,FALSE)</f>
        <v>0.22</v>
      </c>
      <c r="M266" t="str">
        <f>VLOOKUP(A267,[1]timesData!$B:$P,12,FALSE)</f>
        <v>28 : 72</v>
      </c>
      <c r="N266">
        <f>VLOOKUP(A267,[1]timesData!$B:$P,13,FALSE)</f>
        <v>2013</v>
      </c>
      <c r="O266" t="e">
        <f>VLOOKUP(A266,[2]cwurData!$B:$P,14,FALSE)</f>
        <v>#N/A</v>
      </c>
      <c r="P266" t="e">
        <f>VLOOKUP(A266,[2]cwurData!$B:$N, 3, FALSE)</f>
        <v>#N/A</v>
      </c>
      <c r="Q266" t="e">
        <f>VLOOKUP(A266,[2]cwurData!$B:$N, 4, FALSE)</f>
        <v>#N/A</v>
      </c>
      <c r="R266" t="e">
        <f>VLOOKUP(A266,[2]cwurData!$B:$N, 5, FALSE)</f>
        <v>#N/A</v>
      </c>
      <c r="S266" t="e">
        <f>VLOOKUP(A266,[2]cwurData!$B:$N, 6, FALSE)</f>
        <v>#N/A</v>
      </c>
      <c r="T266" t="e">
        <f>VLOOKUP(A266,[2]cwurData!$B:$N, 7, FALSE)</f>
        <v>#N/A</v>
      </c>
      <c r="U266" t="e">
        <f>VLOOKUP(A266,[2]cwurData!$B:$N, 8, FALSE)</f>
        <v>#N/A</v>
      </c>
      <c r="V266" t="e">
        <f>VLOOKUP(A266,[2]cwurData!$B:$N, 9, FALSE)</f>
        <v>#N/A</v>
      </c>
      <c r="W266" t="e">
        <f>VLOOKUP(A266,[2]cwurData!$B:$N, 10, FALSE)</f>
        <v>#N/A</v>
      </c>
      <c r="X266" t="e">
        <f>VLOOKUP(A266,[2]cwurData!$B:$N, 11, FALSE)</f>
        <v>#N/A</v>
      </c>
      <c r="Y266" t="e">
        <f>VLOOKUP(A266,[2]cwurData!$B:$N, 12, FALSE)</f>
        <v>#N/A</v>
      </c>
      <c r="Z266" t="e">
        <f>VLOOKUP(A266,[2]cwurData!$B:$N, 13, FALSE)</f>
        <v>#N/A</v>
      </c>
    </row>
    <row r="267" spans="1:26" x14ac:dyDescent="0.3">
      <c r="A267" t="s">
        <v>414</v>
      </c>
      <c r="B267" t="str">
        <f>IFERROR(VLOOKUP(A267,[1]timesData!$B:$P,2,FALSE),VLOOKUP(A267,[2]cwurData!$B:$P,2,FALSE))</f>
        <v>France</v>
      </c>
      <c r="C267" t="str">
        <f>VLOOKUP(A267,[1]timesData!$B:$P,3,FALSE)</f>
        <v>226-250</v>
      </c>
      <c r="D267" t="str">
        <f>VLOOKUP(A268,[1]timesData!$B:$P,3,FALSE)</f>
        <v>226-250</v>
      </c>
      <c r="E267">
        <f>VLOOKUP(A268,[1]timesData!$B:$P,4,FALSE)</f>
        <v>23.4</v>
      </c>
      <c r="F267">
        <f>VLOOKUP(A268,[1]timesData!$B:$P,5,FALSE)</f>
        <v>39.6</v>
      </c>
      <c r="G267">
        <f>VLOOKUP(A268,[1]timesData!$B:$P,6,FALSE)</f>
        <v>30.2</v>
      </c>
      <c r="H267">
        <f>VLOOKUP(A268,[1]timesData!$B:$P,7,FALSE)</f>
        <v>49.7</v>
      </c>
      <c r="I267" t="str">
        <f>VLOOKUP(A268,[1]timesData!$B:$P,8,FALSE)</f>
        <v>-</v>
      </c>
      <c r="J267">
        <f>VLOOKUP(A268,[1]timesData!$B:$P,9,FALSE)</f>
        <v>24043</v>
      </c>
      <c r="K267">
        <f>VLOOKUP(A268,[1]timesData!$B:$P,10,FALSE)</f>
        <v>15.8</v>
      </c>
      <c r="L267">
        <f>VLOOKUP(A268,[1]timesData!$B:$P,11,FALSE)</f>
        <v>0.14000000000000001</v>
      </c>
      <c r="M267">
        <f>VLOOKUP(A268,[1]timesData!$B:$P,12,FALSE)</f>
        <v>0</v>
      </c>
      <c r="N267">
        <f>VLOOKUP(A268,[1]timesData!$B:$P,13,FALSE)</f>
        <v>2012</v>
      </c>
      <c r="O267">
        <f>VLOOKUP(A267,[2]cwurData!$B:$P,14,FALSE)</f>
        <v>100</v>
      </c>
      <c r="P267">
        <f>VLOOKUP(A267,[2]cwurData!$B:$N, 3, FALSE)</f>
        <v>5</v>
      </c>
      <c r="Q267">
        <f>VLOOKUP(A267,[2]cwurData!$B:$N, 4, FALSE)</f>
        <v>44</v>
      </c>
      <c r="R267">
        <f>VLOOKUP(A267,[2]cwurData!$B:$N, 5, FALSE)</f>
        <v>4</v>
      </c>
      <c r="S267">
        <f>VLOOKUP(A267,[2]cwurData!$B:$N, 6, FALSE)</f>
        <v>101</v>
      </c>
      <c r="T267">
        <f>VLOOKUP(A267,[2]cwurData!$B:$N, 7, FALSE)</f>
        <v>101</v>
      </c>
      <c r="U267">
        <f>VLOOKUP(A267,[2]cwurData!$B:$N, 8, FALSE)</f>
        <v>101</v>
      </c>
      <c r="V267">
        <f>VLOOKUP(A267,[2]cwurData!$B:$N, 9, FALSE)</f>
        <v>101</v>
      </c>
      <c r="W267">
        <f>VLOOKUP(A267,[2]cwurData!$B:$N, 10, FALSE)</f>
        <v>0</v>
      </c>
      <c r="X267">
        <f>VLOOKUP(A267,[2]cwurData!$B:$N, 11, FALSE)</f>
        <v>101</v>
      </c>
      <c r="Y267">
        <f>VLOOKUP(A267,[2]cwurData!$B:$N, 12, FALSE)</f>
        <v>43.36</v>
      </c>
      <c r="Z267">
        <f>VLOOKUP(A267,[2]cwurData!$B:$N, 13, FALSE)</f>
        <v>2012</v>
      </c>
    </row>
    <row r="268" spans="1:26" x14ac:dyDescent="0.3">
      <c r="A268" t="s">
        <v>252</v>
      </c>
      <c r="B268" t="str">
        <f>IFERROR(VLOOKUP(A268,[1]timesData!$B:$P,2,FALSE),VLOOKUP(A268,[2]cwurData!$B:$P,2,FALSE))</f>
        <v>South Korea</v>
      </c>
      <c r="C268" t="str">
        <f>VLOOKUP(A268,[1]timesData!$B:$P,3,FALSE)</f>
        <v>226-250</v>
      </c>
      <c r="D268" t="str">
        <f>VLOOKUP(A269,[1]timesData!$B:$P,3,FALSE)</f>
        <v>226-250</v>
      </c>
      <c r="E268">
        <f>VLOOKUP(A269,[1]timesData!$B:$P,4,FALSE)</f>
        <v>42.7</v>
      </c>
      <c r="F268">
        <f>VLOOKUP(A269,[1]timesData!$B:$P,5,FALSE)</f>
        <v>34.4</v>
      </c>
      <c r="G268">
        <f>VLOOKUP(A269,[1]timesData!$B:$P,6,FALSE)</f>
        <v>39.700000000000003</v>
      </c>
      <c r="H268">
        <f>VLOOKUP(A269,[1]timesData!$B:$P,7,FALSE)</f>
        <v>39.5</v>
      </c>
      <c r="I268" t="str">
        <f>VLOOKUP(A269,[1]timesData!$B:$P,8,FALSE)</f>
        <v>-</v>
      </c>
      <c r="J268">
        <f>VLOOKUP(A269,[1]timesData!$B:$P,9,FALSE)</f>
        <v>28341</v>
      </c>
      <c r="K268">
        <f>VLOOKUP(A269,[1]timesData!$B:$P,10,FALSE)</f>
        <v>16.5</v>
      </c>
      <c r="L268">
        <f>VLOOKUP(A269,[1]timesData!$B:$P,11,FALSE)</f>
        <v>0.17</v>
      </c>
      <c r="M268">
        <f>VLOOKUP(A269,[1]timesData!$B:$P,12,FALSE)</f>
        <v>2.2409722222222221</v>
      </c>
      <c r="N268">
        <f>VLOOKUP(A269,[1]timesData!$B:$P,13,FALSE)</f>
        <v>2012</v>
      </c>
      <c r="O268">
        <f>VLOOKUP(A268,[2]cwurData!$B:$P,14,FALSE)</f>
        <v>130</v>
      </c>
      <c r="P268">
        <f>VLOOKUP(A268,[2]cwurData!$B:$N, 3, FALSE)</f>
        <v>4</v>
      </c>
      <c r="Q268">
        <f>VLOOKUP(A268,[2]cwurData!$B:$N, 4, FALSE)</f>
        <v>355</v>
      </c>
      <c r="R268">
        <f>VLOOKUP(A268,[2]cwurData!$B:$N, 5, FALSE)</f>
        <v>58</v>
      </c>
      <c r="S268">
        <f>VLOOKUP(A268,[2]cwurData!$B:$N, 6, FALSE)</f>
        <v>210</v>
      </c>
      <c r="T268">
        <f>VLOOKUP(A268,[2]cwurData!$B:$N, 7, FALSE)</f>
        <v>182</v>
      </c>
      <c r="U268">
        <f>VLOOKUP(A268,[2]cwurData!$B:$N, 8, FALSE)</f>
        <v>428</v>
      </c>
      <c r="V268">
        <f>VLOOKUP(A268,[2]cwurData!$B:$N, 9, FALSE)</f>
        <v>220</v>
      </c>
      <c r="W268">
        <f>VLOOKUP(A268,[2]cwurData!$B:$N, 10, FALSE)</f>
        <v>293</v>
      </c>
      <c r="X268">
        <f>VLOOKUP(A268,[2]cwurData!$B:$N, 11, FALSE)</f>
        <v>34</v>
      </c>
      <c r="Y268">
        <f>VLOOKUP(A268,[2]cwurData!$B:$N, 12, FALSE)</f>
        <v>49.84</v>
      </c>
      <c r="Z268">
        <f>VLOOKUP(A268,[2]cwurData!$B:$N, 13, FALSE)</f>
        <v>2014</v>
      </c>
    </row>
    <row r="269" spans="1:26" x14ac:dyDescent="0.3">
      <c r="A269" t="s">
        <v>257</v>
      </c>
      <c r="B269" t="str">
        <f>IFERROR(VLOOKUP(A269,[1]timesData!$B:$P,2,FALSE),VLOOKUP(A269,[2]cwurData!$B:$P,2,FALSE))</f>
        <v>Canada</v>
      </c>
      <c r="C269" t="str">
        <f>VLOOKUP(A269,[1]timesData!$B:$P,3,FALSE)</f>
        <v>226-250</v>
      </c>
      <c r="D269" t="str">
        <f>VLOOKUP(A270,[1]timesData!$B:$P,3,FALSE)</f>
        <v>226-250</v>
      </c>
      <c r="E269">
        <f>VLOOKUP(A270,[1]timesData!$B:$P,4,FALSE)</f>
        <v>56.3</v>
      </c>
      <c r="F269">
        <f>VLOOKUP(A270,[1]timesData!$B:$P,5,FALSE)</f>
        <v>21.3</v>
      </c>
      <c r="G269">
        <f>VLOOKUP(A270,[1]timesData!$B:$P,6,FALSE)</f>
        <v>50</v>
      </c>
      <c r="H269">
        <f>VLOOKUP(A270,[1]timesData!$B:$P,7,FALSE)</f>
        <v>27.4</v>
      </c>
      <c r="I269" t="str">
        <f>VLOOKUP(A270,[1]timesData!$B:$P,8,FALSE)</f>
        <v>-</v>
      </c>
      <c r="J269">
        <f>VLOOKUP(A270,[1]timesData!$B:$P,9,FALSE)</f>
        <v>0</v>
      </c>
      <c r="K269">
        <f>VLOOKUP(A270,[1]timesData!$B:$P,10,FALSE)</f>
        <v>0</v>
      </c>
      <c r="L269">
        <f>VLOOKUP(A270,[1]timesData!$B:$P,11,FALSE)</f>
        <v>0</v>
      </c>
      <c r="M269">
        <f>VLOOKUP(A270,[1]timesData!$B:$P,12,FALSE)</f>
        <v>0</v>
      </c>
      <c r="N269">
        <f>VLOOKUP(A270,[1]timesData!$B:$P,13,FALSE)</f>
        <v>2012</v>
      </c>
      <c r="O269">
        <f>VLOOKUP(A269,[2]cwurData!$B:$P,14,FALSE)</f>
        <v>166</v>
      </c>
      <c r="P269">
        <f>VLOOKUP(A269,[2]cwurData!$B:$N, 3, FALSE)</f>
        <v>8</v>
      </c>
      <c r="Q269">
        <f>VLOOKUP(A269,[2]cwurData!$B:$N, 4, FALSE)</f>
        <v>355</v>
      </c>
      <c r="R269">
        <f>VLOOKUP(A269,[2]cwurData!$B:$N, 5, FALSE)</f>
        <v>89</v>
      </c>
      <c r="S269">
        <f>VLOOKUP(A269,[2]cwurData!$B:$N, 6, FALSE)</f>
        <v>210</v>
      </c>
      <c r="T269">
        <f>VLOOKUP(A269,[2]cwurData!$B:$N, 7, FALSE)</f>
        <v>147</v>
      </c>
      <c r="U269">
        <f>VLOOKUP(A269,[2]cwurData!$B:$N, 8, FALSE)</f>
        <v>171</v>
      </c>
      <c r="V269">
        <f>VLOOKUP(A269,[2]cwurData!$B:$N, 9, FALSE)</f>
        <v>114</v>
      </c>
      <c r="W269">
        <f>VLOOKUP(A269,[2]cwurData!$B:$N, 10, FALSE)</f>
        <v>132</v>
      </c>
      <c r="X269">
        <f>VLOOKUP(A269,[2]cwurData!$B:$N, 11, FALSE)</f>
        <v>737</v>
      </c>
      <c r="Y269">
        <f>VLOOKUP(A269,[2]cwurData!$B:$N, 12, FALSE)</f>
        <v>48.84</v>
      </c>
      <c r="Z269">
        <f>VLOOKUP(A269,[2]cwurData!$B:$N, 13, FALSE)</f>
        <v>2014</v>
      </c>
    </row>
    <row r="270" spans="1:26" x14ac:dyDescent="0.3">
      <c r="A270" t="s">
        <v>258</v>
      </c>
      <c r="B270" t="str">
        <f>IFERROR(VLOOKUP(A270,[1]timesData!$B:$P,2,FALSE),VLOOKUP(A270,[2]cwurData!$B:$P,2,FALSE))</f>
        <v>Germany</v>
      </c>
      <c r="C270" t="str">
        <f>VLOOKUP(A270,[1]timesData!$B:$P,3,FALSE)</f>
        <v>226-250</v>
      </c>
      <c r="D270" t="str">
        <f>VLOOKUP(A271,[1]timesData!$B:$P,3,FALSE)</f>
        <v>226-250</v>
      </c>
      <c r="E270">
        <f>VLOOKUP(A271,[1]timesData!$B:$P,4,FALSE)</f>
        <v>34.299999999999997</v>
      </c>
      <c r="F270">
        <f>VLOOKUP(A271,[1]timesData!$B:$P,5,FALSE)</f>
        <v>24.3</v>
      </c>
      <c r="G270">
        <f>VLOOKUP(A271,[1]timesData!$B:$P,6,FALSE)</f>
        <v>51.3</v>
      </c>
      <c r="H270">
        <f>VLOOKUP(A271,[1]timesData!$B:$P,7,FALSE)</f>
        <v>35</v>
      </c>
      <c r="I270" t="str">
        <f>VLOOKUP(A271,[1]timesData!$B:$P,8,FALSE)</f>
        <v>-</v>
      </c>
      <c r="J270">
        <f>VLOOKUP(A271,[1]timesData!$B:$P,9,FALSE)</f>
        <v>58618</v>
      </c>
      <c r="K270">
        <f>VLOOKUP(A271,[1]timesData!$B:$P,10,FALSE)</f>
        <v>24.3</v>
      </c>
      <c r="L270">
        <f>VLOOKUP(A271,[1]timesData!$B:$P,11,FALSE)</f>
        <v>0.05</v>
      </c>
      <c r="M270">
        <f>VLOOKUP(A271,[1]timesData!$B:$P,12,FALSE)</f>
        <v>2.5277777777777777</v>
      </c>
      <c r="N270">
        <f>VLOOKUP(A271,[1]timesData!$B:$P,13,FALSE)</f>
        <v>2012</v>
      </c>
      <c r="O270">
        <f>VLOOKUP(A270,[2]cwurData!$B:$P,14,FALSE)</f>
        <v>179</v>
      </c>
      <c r="P270">
        <f>VLOOKUP(A270,[2]cwurData!$B:$N, 3, FALSE)</f>
        <v>11</v>
      </c>
      <c r="Q270">
        <f>VLOOKUP(A270,[2]cwurData!$B:$N, 4, FALSE)</f>
        <v>304</v>
      </c>
      <c r="R270">
        <f>VLOOKUP(A270,[2]cwurData!$B:$N, 5, FALSE)</f>
        <v>146</v>
      </c>
      <c r="S270">
        <f>VLOOKUP(A270,[2]cwurData!$B:$N, 6, FALSE)</f>
        <v>126</v>
      </c>
      <c r="T270">
        <f>VLOOKUP(A270,[2]cwurData!$B:$N, 7, FALSE)</f>
        <v>152</v>
      </c>
      <c r="U270">
        <f>VLOOKUP(A270,[2]cwurData!$B:$N, 8, FALSE)</f>
        <v>138</v>
      </c>
      <c r="V270">
        <f>VLOOKUP(A270,[2]cwurData!$B:$N, 9, FALSE)</f>
        <v>134</v>
      </c>
      <c r="W270">
        <f>VLOOKUP(A270,[2]cwurData!$B:$N, 10, FALSE)</f>
        <v>132</v>
      </c>
      <c r="X270">
        <f>VLOOKUP(A270,[2]cwurData!$B:$N, 11, FALSE)</f>
        <v>637</v>
      </c>
      <c r="Y270">
        <f>VLOOKUP(A270,[2]cwurData!$B:$N, 12, FALSE)</f>
        <v>48.54</v>
      </c>
      <c r="Z270">
        <f>VLOOKUP(A270,[2]cwurData!$B:$N, 13, FALSE)</f>
        <v>2014</v>
      </c>
    </row>
    <row r="271" spans="1:26" x14ac:dyDescent="0.3">
      <c r="A271" t="s">
        <v>259</v>
      </c>
      <c r="B271" t="str">
        <f>IFERROR(VLOOKUP(A271,[1]timesData!$B:$P,2,FALSE),VLOOKUP(A271,[2]cwurData!$B:$P,2,FALSE))</f>
        <v>Italy</v>
      </c>
      <c r="C271" t="str">
        <f>VLOOKUP(A271,[1]timesData!$B:$P,3,FALSE)</f>
        <v>226-250</v>
      </c>
      <c r="D271" t="str">
        <f>VLOOKUP(A272,[1]timesData!$B:$P,3,FALSE)</f>
        <v>226-250</v>
      </c>
      <c r="E271">
        <f>VLOOKUP(A272,[1]timesData!$B:$P,4,FALSE)</f>
        <v>34.299999999999997</v>
      </c>
      <c r="F271">
        <f>VLOOKUP(A272,[1]timesData!$B:$P,5,FALSE)</f>
        <v>26</v>
      </c>
      <c r="G271">
        <f>VLOOKUP(A272,[1]timesData!$B:$P,6,FALSE)</f>
        <v>56.2</v>
      </c>
      <c r="H271">
        <f>VLOOKUP(A272,[1]timesData!$B:$P,7,FALSE)</f>
        <v>31.1</v>
      </c>
      <c r="I271" t="str">
        <f>VLOOKUP(A272,[1]timesData!$B:$P,8,FALSE)</f>
        <v>-</v>
      </c>
      <c r="J271">
        <f>VLOOKUP(A272,[1]timesData!$B:$P,9,FALSE)</f>
        <v>62577</v>
      </c>
      <c r="K271">
        <f>VLOOKUP(A272,[1]timesData!$B:$P,10,FALSE)</f>
        <v>18.3</v>
      </c>
      <c r="L271">
        <f>VLOOKUP(A272,[1]timesData!$B:$P,11,FALSE)</f>
        <v>0.04</v>
      </c>
      <c r="M271">
        <f>VLOOKUP(A272,[1]timesData!$B:$P,12,FALSE)</f>
        <v>2.3638888888888889</v>
      </c>
      <c r="N271">
        <f>VLOOKUP(A272,[1]timesData!$B:$P,13,FALSE)</f>
        <v>2012</v>
      </c>
      <c r="O271">
        <f>VLOOKUP(A271,[2]cwurData!$B:$P,14,FALSE)</f>
        <v>181</v>
      </c>
      <c r="P271">
        <f>VLOOKUP(A271,[2]cwurData!$B:$N, 3, FALSE)</f>
        <v>2</v>
      </c>
      <c r="Q271">
        <f>VLOOKUP(A271,[2]cwurData!$B:$N, 4, FALSE)</f>
        <v>162</v>
      </c>
      <c r="R271">
        <f>VLOOKUP(A271,[2]cwurData!$B:$N, 5, FALSE)</f>
        <v>467</v>
      </c>
      <c r="S271">
        <f>VLOOKUP(A271,[2]cwurData!$B:$N, 6, FALSE)</f>
        <v>178</v>
      </c>
      <c r="T271">
        <f>VLOOKUP(A271,[2]cwurData!$B:$N, 7, FALSE)</f>
        <v>109</v>
      </c>
      <c r="U271">
        <f>VLOOKUP(A271,[2]cwurData!$B:$N, 8, FALSE)</f>
        <v>183</v>
      </c>
      <c r="V271">
        <f>VLOOKUP(A271,[2]cwurData!$B:$N, 9, FALSE)</f>
        <v>200</v>
      </c>
      <c r="W271">
        <f>VLOOKUP(A271,[2]cwurData!$B:$N, 10, FALSE)</f>
        <v>114</v>
      </c>
      <c r="X271">
        <f>VLOOKUP(A271,[2]cwurData!$B:$N, 11, FALSE)</f>
        <v>481</v>
      </c>
      <c r="Y271">
        <f>VLOOKUP(A271,[2]cwurData!$B:$N, 12, FALSE)</f>
        <v>48.48</v>
      </c>
      <c r="Z271">
        <f>VLOOKUP(A271,[2]cwurData!$B:$N, 13, FALSE)</f>
        <v>2014</v>
      </c>
    </row>
    <row r="272" spans="1:26" x14ac:dyDescent="0.3">
      <c r="A272" t="s">
        <v>262</v>
      </c>
      <c r="B272" t="str">
        <f>IFERROR(VLOOKUP(A272,[1]timesData!$B:$P,2,FALSE),VLOOKUP(A272,[2]cwurData!$B:$P,2,FALSE))</f>
        <v>Italy</v>
      </c>
      <c r="C272" t="str">
        <f>VLOOKUP(A272,[1]timesData!$B:$P,3,FALSE)</f>
        <v>226-250</v>
      </c>
      <c r="D272" t="str">
        <f>VLOOKUP(A273,[1]timesData!$B:$P,3,FALSE)</f>
        <v>226-250</v>
      </c>
      <c r="E272">
        <f>VLOOKUP(A273,[1]timesData!$B:$P,4,FALSE)</f>
        <v>36.1</v>
      </c>
      <c r="F272">
        <f>VLOOKUP(A273,[1]timesData!$B:$P,5,FALSE)</f>
        <v>26.2</v>
      </c>
      <c r="G272">
        <f>VLOOKUP(A273,[1]timesData!$B:$P,6,FALSE)</f>
        <v>42.9</v>
      </c>
      <c r="H272">
        <f>VLOOKUP(A273,[1]timesData!$B:$P,7,FALSE)</f>
        <v>40.5</v>
      </c>
      <c r="I272" t="str">
        <f>VLOOKUP(A273,[1]timesData!$B:$P,8,FALSE)</f>
        <v>-</v>
      </c>
      <c r="J272">
        <f>VLOOKUP(A273,[1]timesData!$B:$P,9,FALSE)</f>
        <v>32175</v>
      </c>
      <c r="K272">
        <f>VLOOKUP(A273,[1]timesData!$B:$P,10,FALSE)</f>
        <v>12.2</v>
      </c>
      <c r="L272">
        <f>VLOOKUP(A273,[1]timesData!$B:$P,11,FALSE)</f>
        <v>0.11</v>
      </c>
      <c r="M272">
        <f>VLOOKUP(A273,[1]timesData!$B:$P,12,FALSE)</f>
        <v>2.1180555555555554</v>
      </c>
      <c r="N272">
        <f>VLOOKUP(A273,[1]timesData!$B:$P,13,FALSE)</f>
        <v>2012</v>
      </c>
      <c r="O272">
        <f>VLOOKUP(A272,[2]cwurData!$B:$P,14,FALSE)</f>
        <v>184</v>
      </c>
      <c r="P272">
        <f>VLOOKUP(A272,[2]cwurData!$B:$N, 3, FALSE)</f>
        <v>3</v>
      </c>
      <c r="Q272">
        <f>VLOOKUP(A272,[2]cwurData!$B:$N, 4, FALSE)</f>
        <v>278</v>
      </c>
      <c r="R272">
        <f>VLOOKUP(A272,[2]cwurData!$B:$N, 5, FALSE)</f>
        <v>478</v>
      </c>
      <c r="S272">
        <f>VLOOKUP(A272,[2]cwurData!$B:$N, 6, FALSE)</f>
        <v>210</v>
      </c>
      <c r="T272">
        <f>VLOOKUP(A272,[2]cwurData!$B:$N, 7, FALSE)</f>
        <v>101</v>
      </c>
      <c r="U272">
        <f>VLOOKUP(A272,[2]cwurData!$B:$N, 8, FALSE)</f>
        <v>99</v>
      </c>
      <c r="V272">
        <f>VLOOKUP(A272,[2]cwurData!$B:$N, 9, FALSE)</f>
        <v>176</v>
      </c>
      <c r="W272">
        <f>VLOOKUP(A272,[2]cwurData!$B:$N, 10, FALSE)</f>
        <v>126</v>
      </c>
      <c r="X272">
        <f>VLOOKUP(A272,[2]cwurData!$B:$N, 11, FALSE)</f>
        <v>737</v>
      </c>
      <c r="Y272">
        <f>VLOOKUP(A272,[2]cwurData!$B:$N, 12, FALSE)</f>
        <v>48.4</v>
      </c>
      <c r="Z272">
        <f>VLOOKUP(A272,[2]cwurData!$B:$N, 13, FALSE)</f>
        <v>2014</v>
      </c>
    </row>
    <row r="273" spans="1:26" x14ac:dyDescent="0.3">
      <c r="A273" t="s">
        <v>251</v>
      </c>
      <c r="B273" t="str">
        <f>IFERROR(VLOOKUP(A273,[1]timesData!$B:$P,2,FALSE),VLOOKUP(A273,[2]cwurData!$B:$P,2,FALSE))</f>
        <v>China</v>
      </c>
      <c r="C273" t="str">
        <f>VLOOKUP(A273,[1]timesData!$B:$P,3,FALSE)</f>
        <v>226-250</v>
      </c>
      <c r="D273" t="str">
        <f>VLOOKUP(A274,[1]timesData!$B:$P,3,FALSE)</f>
        <v>226-250</v>
      </c>
      <c r="E273">
        <f>VLOOKUP(A274,[1]timesData!$B:$P,4,FALSE)</f>
        <v>34.9</v>
      </c>
      <c r="F273">
        <f>VLOOKUP(A274,[1]timesData!$B:$P,5,FALSE)</f>
        <v>22</v>
      </c>
      <c r="G273">
        <f>VLOOKUP(A274,[1]timesData!$B:$P,6,FALSE)</f>
        <v>52.1</v>
      </c>
      <c r="H273">
        <f>VLOOKUP(A274,[1]timesData!$B:$P,7,FALSE)</f>
        <v>32.200000000000003</v>
      </c>
      <c r="I273" t="str">
        <f>VLOOKUP(A274,[1]timesData!$B:$P,8,FALSE)</f>
        <v>-</v>
      </c>
      <c r="J273">
        <f>VLOOKUP(A274,[1]timesData!$B:$P,9,FALSE)</f>
        <v>85532</v>
      </c>
      <c r="K273">
        <f>VLOOKUP(A274,[1]timesData!$B:$P,10,FALSE)</f>
        <v>22.9</v>
      </c>
      <c r="L273">
        <f>VLOOKUP(A274,[1]timesData!$B:$P,11,FALSE)</f>
        <v>7.0000000000000007E-2</v>
      </c>
      <c r="M273">
        <f>VLOOKUP(A274,[1]timesData!$B:$P,12,FALSE)</f>
        <v>2.3638888888888889</v>
      </c>
      <c r="N273">
        <f>VLOOKUP(A274,[1]timesData!$B:$P,13,FALSE)</f>
        <v>2012</v>
      </c>
      <c r="O273">
        <f>VLOOKUP(A273,[2]cwurData!$B:$P,14,FALSE)</f>
        <v>189</v>
      </c>
      <c r="P273">
        <f>VLOOKUP(A273,[2]cwurData!$B:$N, 3, FALSE)</f>
        <v>3</v>
      </c>
      <c r="Q273">
        <f>VLOOKUP(A273,[2]cwurData!$B:$N, 4, FALSE)</f>
        <v>355</v>
      </c>
      <c r="R273">
        <f>VLOOKUP(A273,[2]cwurData!$B:$N, 5, FALSE)</f>
        <v>126</v>
      </c>
      <c r="S273">
        <f>VLOOKUP(A273,[2]cwurData!$B:$N, 6, FALSE)</f>
        <v>210</v>
      </c>
      <c r="T273">
        <f>VLOOKUP(A273,[2]cwurData!$B:$N, 7, FALSE)</f>
        <v>120</v>
      </c>
      <c r="U273">
        <f>VLOOKUP(A273,[2]cwurData!$B:$N, 8, FALSE)</f>
        <v>264</v>
      </c>
      <c r="V273">
        <f>VLOOKUP(A273,[2]cwurData!$B:$N, 9, FALSE)</f>
        <v>310</v>
      </c>
      <c r="W273">
        <f>VLOOKUP(A273,[2]cwurData!$B:$N, 10, FALSE)</f>
        <v>230</v>
      </c>
      <c r="X273">
        <f>VLOOKUP(A273,[2]cwurData!$B:$N, 11, FALSE)</f>
        <v>100</v>
      </c>
      <c r="Y273">
        <f>VLOOKUP(A273,[2]cwurData!$B:$N, 12, FALSE)</f>
        <v>48.14</v>
      </c>
      <c r="Z273">
        <f>VLOOKUP(A273,[2]cwurData!$B:$N, 13, FALSE)</f>
        <v>2014</v>
      </c>
    </row>
    <row r="274" spans="1:26" x14ac:dyDescent="0.3">
      <c r="A274" t="s">
        <v>256</v>
      </c>
      <c r="B274" t="str">
        <f>IFERROR(VLOOKUP(A274,[1]timesData!$B:$P,2,FALSE),VLOOKUP(A274,[2]cwurData!$B:$P,2,FALSE))</f>
        <v>Italy</v>
      </c>
      <c r="C274" t="str">
        <f>VLOOKUP(A274,[1]timesData!$B:$P,3,FALSE)</f>
        <v>226-250</v>
      </c>
      <c r="D274" t="str">
        <f>VLOOKUP(A275,[1]timesData!$B:$P,3,FALSE)</f>
        <v>226-250</v>
      </c>
      <c r="E274">
        <f>VLOOKUP(A275,[1]timesData!$B:$P,4,FALSE)</f>
        <v>54.4</v>
      </c>
      <c r="F274">
        <f>VLOOKUP(A275,[1]timesData!$B:$P,5,FALSE)</f>
        <v>27.3</v>
      </c>
      <c r="G274">
        <f>VLOOKUP(A275,[1]timesData!$B:$P,6,FALSE)</f>
        <v>57.5</v>
      </c>
      <c r="H274">
        <f>VLOOKUP(A275,[1]timesData!$B:$P,7,FALSE)</f>
        <v>56.6</v>
      </c>
      <c r="I274" t="str">
        <f>VLOOKUP(A275,[1]timesData!$B:$P,8,FALSE)</f>
        <v>-</v>
      </c>
      <c r="J274">
        <f>VLOOKUP(A275,[1]timesData!$B:$P,9,FALSE)</f>
        <v>27227</v>
      </c>
      <c r="K274">
        <f>VLOOKUP(A275,[1]timesData!$B:$P,10,FALSE)</f>
        <v>16.2</v>
      </c>
      <c r="L274">
        <f>VLOOKUP(A275,[1]timesData!$B:$P,11,FALSE)</f>
        <v>0.12</v>
      </c>
      <c r="M274">
        <f>VLOOKUP(A275,[1]timesData!$B:$P,12,FALSE)</f>
        <v>0</v>
      </c>
      <c r="N274">
        <f>VLOOKUP(A275,[1]timesData!$B:$P,13,FALSE)</f>
        <v>2013</v>
      </c>
      <c r="O274">
        <f>VLOOKUP(A274,[2]cwurData!$B:$P,14,FALSE)</f>
        <v>219</v>
      </c>
      <c r="P274">
        <f>VLOOKUP(A274,[2]cwurData!$B:$N, 3, FALSE)</f>
        <v>4</v>
      </c>
      <c r="Q274">
        <f>VLOOKUP(A274,[2]cwurData!$B:$N, 4, FALSE)</f>
        <v>342</v>
      </c>
      <c r="R274">
        <f>VLOOKUP(A274,[2]cwurData!$B:$N, 5, FALSE)</f>
        <v>319</v>
      </c>
      <c r="S274">
        <f>VLOOKUP(A274,[2]cwurData!$B:$N, 6, FALSE)</f>
        <v>210</v>
      </c>
      <c r="T274">
        <f>VLOOKUP(A274,[2]cwurData!$B:$N, 7, FALSE)</f>
        <v>130</v>
      </c>
      <c r="U274">
        <f>VLOOKUP(A274,[2]cwurData!$B:$N, 8, FALSE)</f>
        <v>283</v>
      </c>
      <c r="V274">
        <f>VLOOKUP(A274,[2]cwurData!$B:$N, 9, FALSE)</f>
        <v>187</v>
      </c>
      <c r="W274">
        <f>VLOOKUP(A274,[2]cwurData!$B:$N, 10, FALSE)</f>
        <v>169</v>
      </c>
      <c r="X274">
        <f>VLOOKUP(A274,[2]cwurData!$B:$N, 11, FALSE)</f>
        <v>552</v>
      </c>
      <c r="Y274">
        <f>VLOOKUP(A274,[2]cwurData!$B:$N, 12, FALSE)</f>
        <v>47.59</v>
      </c>
      <c r="Z274">
        <f>VLOOKUP(A274,[2]cwurData!$B:$N, 13, FALSE)</f>
        <v>2014</v>
      </c>
    </row>
    <row r="275" spans="1:26" x14ac:dyDescent="0.3">
      <c r="A275" t="s">
        <v>413</v>
      </c>
      <c r="B275" t="str">
        <f>IFERROR(VLOOKUP(A275,[1]timesData!$B:$P,2,FALSE),VLOOKUP(A275,[2]cwurData!$B:$P,2,FALSE))</f>
        <v>Canada</v>
      </c>
      <c r="C275" t="str">
        <f>VLOOKUP(A275,[1]timesData!$B:$P,3,FALSE)</f>
        <v>226-250</v>
      </c>
      <c r="D275" t="str">
        <f>VLOOKUP(A276,[1]timesData!$B:$P,3,FALSE)</f>
        <v>226-250</v>
      </c>
      <c r="E275">
        <f>VLOOKUP(A276,[1]timesData!$B:$P,4,FALSE)</f>
        <v>70.400000000000006</v>
      </c>
      <c r="F275">
        <f>VLOOKUP(A276,[1]timesData!$B:$P,5,FALSE)</f>
        <v>32.299999999999997</v>
      </c>
      <c r="G275">
        <f>VLOOKUP(A276,[1]timesData!$B:$P,6,FALSE)</f>
        <v>47</v>
      </c>
      <c r="H275">
        <f>VLOOKUP(A276,[1]timesData!$B:$P,7,FALSE)</f>
        <v>63.4</v>
      </c>
      <c r="I275" t="str">
        <f>VLOOKUP(A276,[1]timesData!$B:$P,8,FALSE)</f>
        <v>-</v>
      </c>
      <c r="J275">
        <f>VLOOKUP(A276,[1]timesData!$B:$P,9,FALSE)</f>
        <v>0</v>
      </c>
      <c r="K275">
        <f>VLOOKUP(A276,[1]timesData!$B:$P,10,FALSE)</f>
        <v>0</v>
      </c>
      <c r="L275">
        <f>VLOOKUP(A276,[1]timesData!$B:$P,11,FALSE)</f>
        <v>0</v>
      </c>
      <c r="M275">
        <f>VLOOKUP(A276,[1]timesData!$B:$P,12,FALSE)</f>
        <v>0</v>
      </c>
      <c r="N275">
        <f>VLOOKUP(A276,[1]timesData!$B:$P,13,FALSE)</f>
        <v>2015</v>
      </c>
      <c r="O275">
        <f>VLOOKUP(A275,[2]cwurData!$B:$P,14,FALSE)</f>
        <v>226</v>
      </c>
      <c r="P275">
        <f>VLOOKUP(A275,[2]cwurData!$B:$N, 3, FALSE)</f>
        <v>11</v>
      </c>
      <c r="Q275">
        <f>VLOOKUP(A275,[2]cwurData!$B:$N, 4, FALSE)</f>
        <v>285</v>
      </c>
      <c r="R275">
        <f>VLOOKUP(A275,[2]cwurData!$B:$N, 5, FALSE)</f>
        <v>296</v>
      </c>
      <c r="S275">
        <f>VLOOKUP(A275,[2]cwurData!$B:$N, 6, FALSE)</f>
        <v>210</v>
      </c>
      <c r="T275">
        <f>VLOOKUP(A275,[2]cwurData!$B:$N, 7, FALSE)</f>
        <v>212</v>
      </c>
      <c r="U275">
        <f>VLOOKUP(A275,[2]cwurData!$B:$N, 8, FALSE)</f>
        <v>270</v>
      </c>
      <c r="V275">
        <f>VLOOKUP(A275,[2]cwurData!$B:$N, 9, FALSE)</f>
        <v>220</v>
      </c>
      <c r="W275">
        <f>VLOOKUP(A275,[2]cwurData!$B:$N, 10, FALSE)</f>
        <v>200</v>
      </c>
      <c r="X275">
        <f>VLOOKUP(A275,[2]cwurData!$B:$N, 11, FALSE)</f>
        <v>109</v>
      </c>
      <c r="Y275">
        <f>VLOOKUP(A275,[2]cwurData!$B:$N, 12, FALSE)</f>
        <v>47.47</v>
      </c>
      <c r="Z275">
        <f>VLOOKUP(A275,[2]cwurData!$B:$N, 13, FALSE)</f>
        <v>2014</v>
      </c>
    </row>
    <row r="276" spans="1:26" x14ac:dyDescent="0.3">
      <c r="A276" t="s">
        <v>463</v>
      </c>
      <c r="B276" t="str">
        <f>IFERROR(VLOOKUP(A276,[1]timesData!$B:$P,2,FALSE),VLOOKUP(A276,[2]cwurData!$B:$P,2,FALSE))</f>
        <v>Germany</v>
      </c>
      <c r="C276" t="str">
        <f>VLOOKUP(A276,[1]timesData!$B:$P,3,FALSE)</f>
        <v>226-250</v>
      </c>
      <c r="D276" t="str">
        <f>VLOOKUP(A277,[1]timesData!$B:$P,3,FALSE)</f>
        <v>226-250</v>
      </c>
      <c r="E276">
        <f>VLOOKUP(A277,[1]timesData!$B:$P,4,FALSE)</f>
        <v>45.5</v>
      </c>
      <c r="F276">
        <f>VLOOKUP(A277,[1]timesData!$B:$P,5,FALSE)</f>
        <v>12.9</v>
      </c>
      <c r="G276">
        <f>VLOOKUP(A277,[1]timesData!$B:$P,6,FALSE)</f>
        <v>76.900000000000006</v>
      </c>
      <c r="H276">
        <f>VLOOKUP(A277,[1]timesData!$B:$P,7,FALSE)</f>
        <v>31.3</v>
      </c>
      <c r="I276" t="str">
        <f>VLOOKUP(A277,[1]timesData!$B:$P,8,FALSE)</f>
        <v>-</v>
      </c>
      <c r="J276">
        <f>VLOOKUP(A277,[1]timesData!$B:$P,9,FALSE)</f>
        <v>18135</v>
      </c>
      <c r="K276">
        <f>VLOOKUP(A277,[1]timesData!$B:$P,10,FALSE)</f>
        <v>25.8</v>
      </c>
      <c r="L276">
        <f>VLOOKUP(A277,[1]timesData!$B:$P,11,FALSE)</f>
        <v>0.09</v>
      </c>
      <c r="M276">
        <f>VLOOKUP(A277,[1]timesData!$B:$P,12,FALSE)</f>
        <v>2.3638888888888889</v>
      </c>
      <c r="N276">
        <f>VLOOKUP(A277,[1]timesData!$B:$P,13,FALSE)</f>
        <v>2012</v>
      </c>
      <c r="O276">
        <f>VLOOKUP(A276,[2]cwurData!$B:$P,14,FALSE)</f>
        <v>297</v>
      </c>
      <c r="P276">
        <f>VLOOKUP(A276,[2]cwurData!$B:$N, 3, FALSE)</f>
        <v>24</v>
      </c>
      <c r="Q276">
        <f>VLOOKUP(A276,[2]cwurData!$B:$N, 4, FALSE)</f>
        <v>80</v>
      </c>
      <c r="R276">
        <f>VLOOKUP(A276,[2]cwurData!$B:$N, 5, FALSE)</f>
        <v>276</v>
      </c>
      <c r="S276">
        <f>VLOOKUP(A276,[2]cwurData!$B:$N, 6, FALSE)</f>
        <v>210</v>
      </c>
      <c r="T276">
        <f>VLOOKUP(A276,[2]cwurData!$B:$N, 7, FALSE)</f>
        <v>353</v>
      </c>
      <c r="U276">
        <f>VLOOKUP(A276,[2]cwurData!$B:$N, 8, FALSE)</f>
        <v>432</v>
      </c>
      <c r="V276">
        <f>VLOOKUP(A276,[2]cwurData!$B:$N, 9, FALSE)</f>
        <v>406</v>
      </c>
      <c r="W276">
        <f>VLOOKUP(A276,[2]cwurData!$B:$N, 10, FALSE)</f>
        <v>372</v>
      </c>
      <c r="X276">
        <f>VLOOKUP(A276,[2]cwurData!$B:$N, 11, FALSE)</f>
        <v>115</v>
      </c>
      <c r="Y276">
        <f>VLOOKUP(A276,[2]cwurData!$B:$N, 12, FALSE)</f>
        <v>46.39</v>
      </c>
      <c r="Z276">
        <f>VLOOKUP(A276,[2]cwurData!$B:$N, 13, FALSE)</f>
        <v>2014</v>
      </c>
    </row>
    <row r="277" spans="1:26" x14ac:dyDescent="0.3">
      <c r="A277" t="s">
        <v>263</v>
      </c>
      <c r="B277" t="str">
        <f>IFERROR(VLOOKUP(A277,[1]timesData!$B:$P,2,FALSE),VLOOKUP(A277,[2]cwurData!$B:$P,2,FALSE))</f>
        <v>Italy</v>
      </c>
      <c r="C277" t="str">
        <f>VLOOKUP(A277,[1]timesData!$B:$P,3,FALSE)</f>
        <v>226-250</v>
      </c>
      <c r="D277" t="str">
        <f>VLOOKUP(A278,[1]timesData!$B:$P,3,FALSE)</f>
        <v>226-250</v>
      </c>
      <c r="E277">
        <f>VLOOKUP(A278,[1]timesData!$B:$P,4,FALSE)</f>
        <v>66</v>
      </c>
      <c r="F277">
        <f>VLOOKUP(A278,[1]timesData!$B:$P,5,FALSE)</f>
        <v>37.200000000000003</v>
      </c>
      <c r="G277">
        <f>VLOOKUP(A278,[1]timesData!$B:$P,6,FALSE)</f>
        <v>36.299999999999997</v>
      </c>
      <c r="H277">
        <f>VLOOKUP(A278,[1]timesData!$B:$P,7,FALSE)</f>
        <v>79.3</v>
      </c>
      <c r="I277" t="str">
        <f>VLOOKUP(A278,[1]timesData!$B:$P,8,FALSE)</f>
        <v>-</v>
      </c>
      <c r="J277">
        <f>VLOOKUP(A278,[1]timesData!$B:$P,9,FALSE)</f>
        <v>8605</v>
      </c>
      <c r="K277">
        <f>VLOOKUP(A278,[1]timesData!$B:$P,10,FALSE)</f>
        <v>11.6</v>
      </c>
      <c r="L277">
        <f>VLOOKUP(A278,[1]timesData!$B:$P,11,FALSE)</f>
        <v>0.15</v>
      </c>
      <c r="M277" t="str">
        <f>VLOOKUP(A278,[1]timesData!$B:$P,12,FALSE)</f>
        <v>30 : 70</v>
      </c>
      <c r="N277">
        <f>VLOOKUP(A278,[1]timesData!$B:$P,13,FALSE)</f>
        <v>2012</v>
      </c>
      <c r="O277">
        <f>VLOOKUP(A277,[2]cwurData!$B:$P,14,FALSE)</f>
        <v>367</v>
      </c>
      <c r="P277">
        <f>VLOOKUP(A277,[2]cwurData!$B:$N, 3, FALSE)</f>
        <v>14</v>
      </c>
      <c r="Q277">
        <f>VLOOKUP(A277,[2]cwurData!$B:$N, 4, FALSE)</f>
        <v>355</v>
      </c>
      <c r="R277">
        <f>VLOOKUP(A277,[2]cwurData!$B:$N, 5, FALSE)</f>
        <v>478</v>
      </c>
      <c r="S277">
        <f>VLOOKUP(A277,[2]cwurData!$B:$N, 6, FALSE)</f>
        <v>210</v>
      </c>
      <c r="T277">
        <f>VLOOKUP(A277,[2]cwurData!$B:$N, 7, FALSE)</f>
        <v>378</v>
      </c>
      <c r="U277">
        <f>VLOOKUP(A277,[2]cwurData!$B:$N, 8, FALSE)</f>
        <v>295</v>
      </c>
      <c r="V277">
        <f>VLOOKUP(A277,[2]cwurData!$B:$N, 9, FALSE)</f>
        <v>283</v>
      </c>
      <c r="W277">
        <f>VLOOKUP(A277,[2]cwurData!$B:$N, 10, FALSE)</f>
        <v>295</v>
      </c>
      <c r="X277">
        <f>VLOOKUP(A277,[2]cwurData!$B:$N, 11, FALSE)</f>
        <v>426</v>
      </c>
      <c r="Y277">
        <f>VLOOKUP(A277,[2]cwurData!$B:$N, 12, FALSE)</f>
        <v>45.73</v>
      </c>
      <c r="Z277">
        <f>VLOOKUP(A277,[2]cwurData!$B:$N, 13, FALSE)</f>
        <v>2014</v>
      </c>
    </row>
    <row r="278" spans="1:26" x14ac:dyDescent="0.3">
      <c r="A278" t="s">
        <v>248</v>
      </c>
      <c r="B278" t="str">
        <f>IFERROR(VLOOKUP(A278,[1]timesData!$B:$P,2,FALSE),VLOOKUP(A278,[2]cwurData!$B:$P,2,FALSE))</f>
        <v>Sweden</v>
      </c>
      <c r="C278" t="str">
        <f>VLOOKUP(A278,[1]timesData!$B:$P,3,FALSE)</f>
        <v>226-250</v>
      </c>
      <c r="D278" t="str">
        <f>VLOOKUP(A279,[1]timesData!$B:$P,3,FALSE)</f>
        <v>226-250</v>
      </c>
      <c r="E278">
        <f>VLOOKUP(A279,[1]timesData!$B:$P,4,FALSE)</f>
        <v>93</v>
      </c>
      <c r="F278">
        <f>VLOOKUP(A279,[1]timesData!$B:$P,5,FALSE)</f>
        <v>23.2</v>
      </c>
      <c r="G278">
        <f>VLOOKUP(A279,[1]timesData!$B:$P,6,FALSE)</f>
        <v>46.5</v>
      </c>
      <c r="H278">
        <f>VLOOKUP(A279,[1]timesData!$B:$P,7,FALSE)</f>
        <v>42.3</v>
      </c>
      <c r="I278" t="str">
        <f>VLOOKUP(A279,[1]timesData!$B:$P,8,FALSE)</f>
        <v>-</v>
      </c>
      <c r="J278">
        <f>VLOOKUP(A279,[1]timesData!$B:$P,9,FALSE)</f>
        <v>27930</v>
      </c>
      <c r="K278">
        <f>VLOOKUP(A279,[1]timesData!$B:$P,10,FALSE)</f>
        <v>20</v>
      </c>
      <c r="L278">
        <f>VLOOKUP(A279,[1]timesData!$B:$P,11,FALSE)</f>
        <v>0.44</v>
      </c>
      <c r="M278">
        <f>VLOOKUP(A279,[1]timesData!$B:$P,12,FALSE)</f>
        <v>2.3229166666666665</v>
      </c>
      <c r="N278">
        <f>VLOOKUP(A279,[1]timesData!$B:$P,13,FALSE)</f>
        <v>2012</v>
      </c>
      <c r="O278">
        <f>VLOOKUP(A278,[2]cwurData!$B:$P,14,FALSE)</f>
        <v>395</v>
      </c>
      <c r="P278">
        <f>VLOOKUP(A278,[2]cwurData!$B:$N, 3, FALSE)</f>
        <v>9</v>
      </c>
      <c r="Q278">
        <f>VLOOKUP(A278,[2]cwurData!$B:$N, 4, FALSE)</f>
        <v>349</v>
      </c>
      <c r="R278">
        <f>VLOOKUP(A278,[2]cwurData!$B:$N, 5, FALSE)</f>
        <v>332</v>
      </c>
      <c r="S278">
        <f>VLOOKUP(A278,[2]cwurData!$B:$N, 6, FALSE)</f>
        <v>210</v>
      </c>
      <c r="T278">
        <f>VLOOKUP(A278,[2]cwurData!$B:$N, 7, FALSE)</f>
        <v>359</v>
      </c>
      <c r="U278">
        <f>VLOOKUP(A278,[2]cwurData!$B:$N, 8, FALSE)</f>
        <v>435</v>
      </c>
      <c r="V278">
        <f>VLOOKUP(A278,[2]cwurData!$B:$N, 9, FALSE)</f>
        <v>493</v>
      </c>
      <c r="W278">
        <f>VLOOKUP(A278,[2]cwurData!$B:$N, 10, FALSE)</f>
        <v>337</v>
      </c>
      <c r="X278">
        <f>VLOOKUP(A278,[2]cwurData!$B:$N, 11, FALSE)</f>
        <v>737</v>
      </c>
      <c r="Y278">
        <f>VLOOKUP(A278,[2]cwurData!$B:$N, 12, FALSE)</f>
        <v>45.57</v>
      </c>
      <c r="Z278">
        <f>VLOOKUP(A278,[2]cwurData!$B:$N, 13, FALSE)</f>
        <v>2014</v>
      </c>
    </row>
    <row r="279" spans="1:26" x14ac:dyDescent="0.3">
      <c r="A279" t="s">
        <v>253</v>
      </c>
      <c r="B279" t="str">
        <f>IFERROR(VLOOKUP(A279,[1]timesData!$B:$P,2,FALSE),VLOOKUP(A279,[2]cwurData!$B:$P,2,FALSE))</f>
        <v>Australia</v>
      </c>
      <c r="C279" t="str">
        <f>VLOOKUP(A279,[1]timesData!$B:$P,3,FALSE)</f>
        <v>226-250</v>
      </c>
      <c r="D279" t="str">
        <f>VLOOKUP(A280,[1]timesData!$B:$P,3,FALSE)</f>
        <v>226-250</v>
      </c>
      <c r="E279">
        <f>VLOOKUP(A280,[1]timesData!$B:$P,4,FALSE)</f>
        <v>25</v>
      </c>
      <c r="F279">
        <f>VLOOKUP(A280,[1]timesData!$B:$P,5,FALSE)</f>
        <v>10.5</v>
      </c>
      <c r="G279">
        <f>VLOOKUP(A280,[1]timesData!$B:$P,6,FALSE)</f>
        <v>55.7</v>
      </c>
      <c r="H279">
        <f>VLOOKUP(A280,[1]timesData!$B:$P,7,FALSE)</f>
        <v>24.2</v>
      </c>
      <c r="I279" t="str">
        <f>VLOOKUP(A280,[1]timesData!$B:$P,8,FALSE)</f>
        <v>-</v>
      </c>
      <c r="J279">
        <f>VLOOKUP(A280,[1]timesData!$B:$P,9,FALSE)</f>
        <v>7086</v>
      </c>
      <c r="K279">
        <f>VLOOKUP(A280,[1]timesData!$B:$P,10,FALSE)</f>
        <v>8.3000000000000007</v>
      </c>
      <c r="L279">
        <f>VLOOKUP(A280,[1]timesData!$B:$P,11,FALSE)</f>
        <v>0.02</v>
      </c>
      <c r="M279">
        <f>VLOOKUP(A280,[1]timesData!$B:$P,12,FALSE)</f>
        <v>2.4048611111111109</v>
      </c>
      <c r="N279">
        <f>VLOOKUP(A280,[1]timesData!$B:$P,13,FALSE)</f>
        <v>2012</v>
      </c>
      <c r="O279">
        <f>VLOOKUP(A279,[2]cwurData!$B:$P,14,FALSE)</f>
        <v>486</v>
      </c>
      <c r="P279">
        <f>VLOOKUP(A279,[2]cwurData!$B:$N, 3, FALSE)</f>
        <v>9</v>
      </c>
      <c r="Q279">
        <f>VLOOKUP(A279,[2]cwurData!$B:$N, 4, FALSE)</f>
        <v>355</v>
      </c>
      <c r="R279">
        <f>VLOOKUP(A279,[2]cwurData!$B:$N, 5, FALSE)</f>
        <v>452</v>
      </c>
      <c r="S279">
        <f>VLOOKUP(A279,[2]cwurData!$B:$N, 6, FALSE)</f>
        <v>210</v>
      </c>
      <c r="T279">
        <f>VLOOKUP(A279,[2]cwurData!$B:$N, 7, FALSE)</f>
        <v>416</v>
      </c>
      <c r="U279">
        <f>VLOOKUP(A279,[2]cwurData!$B:$N, 8, FALSE)</f>
        <v>292</v>
      </c>
      <c r="V279">
        <f>VLOOKUP(A279,[2]cwurData!$B:$N, 9, FALSE)</f>
        <v>283</v>
      </c>
      <c r="W279">
        <f>VLOOKUP(A279,[2]cwurData!$B:$N, 10, FALSE)</f>
        <v>409</v>
      </c>
      <c r="X279">
        <f>VLOOKUP(A279,[2]cwurData!$B:$N, 11, FALSE)</f>
        <v>552</v>
      </c>
      <c r="Y279">
        <f>VLOOKUP(A279,[2]cwurData!$B:$N, 12, FALSE)</f>
        <v>45.18</v>
      </c>
      <c r="Z279">
        <f>VLOOKUP(A279,[2]cwurData!$B:$N, 13, FALSE)</f>
        <v>2014</v>
      </c>
    </row>
    <row r="280" spans="1:26" x14ac:dyDescent="0.3">
      <c r="A280" t="s">
        <v>250</v>
      </c>
      <c r="B280" t="str">
        <f>IFERROR(VLOOKUP(A280,[1]timesData!$B:$P,2,FALSE),VLOOKUP(A280,[2]cwurData!$B:$P,2,FALSE))</f>
        <v>United States of America</v>
      </c>
      <c r="C280" t="str">
        <f>VLOOKUP(A280,[1]timesData!$B:$P,3,FALSE)</f>
        <v>226-250</v>
      </c>
      <c r="D280" t="str">
        <f>VLOOKUP(A281,[1]timesData!$B:$P,3,FALSE)</f>
        <v>226-250</v>
      </c>
      <c r="E280">
        <f>VLOOKUP(A281,[1]timesData!$B:$P,4,FALSE)</f>
        <v>17.8</v>
      </c>
      <c r="F280">
        <f>VLOOKUP(A281,[1]timesData!$B:$P,5,FALSE)</f>
        <v>10.3</v>
      </c>
      <c r="G280">
        <f>VLOOKUP(A281,[1]timesData!$B:$P,6,FALSE)</f>
        <v>84.3</v>
      </c>
      <c r="H280">
        <f>VLOOKUP(A281,[1]timesData!$B:$P,7,FALSE)</f>
        <v>27.6</v>
      </c>
      <c r="I280" t="str">
        <f>VLOOKUP(A281,[1]timesData!$B:$P,8,FALSE)</f>
        <v>-</v>
      </c>
      <c r="J280">
        <f>VLOOKUP(A281,[1]timesData!$B:$P,9,FALSE)</f>
        <v>9303</v>
      </c>
      <c r="K280">
        <f>VLOOKUP(A281,[1]timesData!$B:$P,10,FALSE)</f>
        <v>9.9</v>
      </c>
      <c r="L280">
        <f>VLOOKUP(A281,[1]timesData!$B:$P,11,FALSE)</f>
        <v>0.04</v>
      </c>
      <c r="M280" t="str">
        <f>VLOOKUP(A281,[1]timesData!$B:$P,12,FALSE)</f>
        <v>35 : 65</v>
      </c>
      <c r="N280">
        <f>VLOOKUP(A281,[1]timesData!$B:$P,13,FALSE)</f>
        <v>2012</v>
      </c>
      <c r="O280">
        <f>VLOOKUP(A280,[2]cwurData!$B:$P,14,FALSE)</f>
        <v>490</v>
      </c>
      <c r="P280">
        <f>VLOOKUP(A280,[2]cwurData!$B:$N, 3, FALSE)</f>
        <v>160</v>
      </c>
      <c r="Q280">
        <f>VLOOKUP(A280,[2]cwurData!$B:$N, 4, FALSE)</f>
        <v>355</v>
      </c>
      <c r="R280">
        <f>VLOOKUP(A280,[2]cwurData!$B:$N, 5, FALSE)</f>
        <v>478</v>
      </c>
      <c r="S280">
        <f>VLOOKUP(A280,[2]cwurData!$B:$N, 6, FALSE)</f>
        <v>210</v>
      </c>
      <c r="T280">
        <f>VLOOKUP(A280,[2]cwurData!$B:$N, 7, FALSE)</f>
        <v>792</v>
      </c>
      <c r="U280">
        <f>VLOOKUP(A280,[2]cwurData!$B:$N, 8, FALSE)</f>
        <v>618</v>
      </c>
      <c r="V280">
        <f>VLOOKUP(A280,[2]cwurData!$B:$N, 9, FALSE)</f>
        <v>250</v>
      </c>
      <c r="W280">
        <f>VLOOKUP(A280,[2]cwurData!$B:$N, 10, FALSE)</f>
        <v>375</v>
      </c>
      <c r="X280">
        <f>VLOOKUP(A280,[2]cwurData!$B:$N, 11, FALSE)</f>
        <v>637</v>
      </c>
      <c r="Y280">
        <f>VLOOKUP(A280,[2]cwurData!$B:$N, 12, FALSE)</f>
        <v>45.15</v>
      </c>
      <c r="Z280">
        <f>VLOOKUP(A280,[2]cwurData!$B:$N, 13, FALSE)</f>
        <v>2014</v>
      </c>
    </row>
    <row r="281" spans="1:26" x14ac:dyDescent="0.3">
      <c r="A281" t="s">
        <v>255</v>
      </c>
      <c r="B281" t="str">
        <f>IFERROR(VLOOKUP(A281,[1]timesData!$B:$P,2,FALSE),VLOOKUP(A281,[2]cwurData!$B:$P,2,FALSE))</f>
        <v>Japan</v>
      </c>
      <c r="C281" t="str">
        <f>VLOOKUP(A281,[1]timesData!$B:$P,3,FALSE)</f>
        <v>226-250</v>
      </c>
      <c r="D281" t="str">
        <f>VLOOKUP(A282,[1]timesData!$B:$P,3,FALSE)</f>
        <v>226-250</v>
      </c>
      <c r="E281">
        <f>VLOOKUP(A282,[1]timesData!$B:$P,4,FALSE)</f>
        <v>29.3</v>
      </c>
      <c r="F281">
        <f>VLOOKUP(A282,[1]timesData!$B:$P,5,FALSE)</f>
        <v>14</v>
      </c>
      <c r="G281">
        <f>VLOOKUP(A282,[1]timesData!$B:$P,6,FALSE)</f>
        <v>84.7</v>
      </c>
      <c r="H281">
        <f>VLOOKUP(A282,[1]timesData!$B:$P,7,FALSE)</f>
        <v>28.4</v>
      </c>
      <c r="I281" t="str">
        <f>VLOOKUP(A282,[1]timesData!$B:$P,8,FALSE)</f>
        <v>-</v>
      </c>
      <c r="J281">
        <f>VLOOKUP(A282,[1]timesData!$B:$P,9,FALSE)</f>
        <v>16691</v>
      </c>
      <c r="K281">
        <f>VLOOKUP(A282,[1]timesData!$B:$P,10,FALSE)</f>
        <v>23.9</v>
      </c>
      <c r="L281">
        <f>VLOOKUP(A282,[1]timesData!$B:$P,11,FALSE)</f>
        <v>0.01</v>
      </c>
      <c r="M281">
        <f>VLOOKUP(A282,[1]timesData!$B:$P,12,FALSE)</f>
        <v>1.9541666666666666</v>
      </c>
      <c r="N281">
        <f>VLOOKUP(A282,[1]timesData!$B:$P,13,FALSE)</f>
        <v>2014</v>
      </c>
      <c r="O281">
        <f>VLOOKUP(A281,[2]cwurData!$B:$P,14,FALSE)</f>
        <v>502</v>
      </c>
      <c r="P281">
        <f>VLOOKUP(A281,[2]cwurData!$B:$N, 3, FALSE)</f>
        <v>28</v>
      </c>
      <c r="Q281">
        <f>VLOOKUP(A281,[2]cwurData!$B:$N, 4, FALSE)</f>
        <v>355</v>
      </c>
      <c r="R281">
        <f>VLOOKUP(A281,[2]cwurData!$B:$N, 5, FALSE)</f>
        <v>322</v>
      </c>
      <c r="S281">
        <f>VLOOKUP(A281,[2]cwurData!$B:$N, 6, FALSE)</f>
        <v>210</v>
      </c>
      <c r="T281">
        <f>VLOOKUP(A281,[2]cwurData!$B:$N, 7, FALSE)</f>
        <v>550</v>
      </c>
      <c r="U281">
        <f>VLOOKUP(A281,[2]cwurData!$B:$N, 8, FALSE)</f>
        <v>450</v>
      </c>
      <c r="V281">
        <f>VLOOKUP(A281,[2]cwurData!$B:$N, 9, FALSE)</f>
        <v>310</v>
      </c>
      <c r="W281">
        <f>VLOOKUP(A281,[2]cwurData!$B:$N, 10, FALSE)</f>
        <v>420</v>
      </c>
      <c r="X281">
        <f>VLOOKUP(A281,[2]cwurData!$B:$N, 11, FALSE)</f>
        <v>637</v>
      </c>
      <c r="Y281">
        <f>VLOOKUP(A281,[2]cwurData!$B:$N, 12, FALSE)</f>
        <v>45.11</v>
      </c>
      <c r="Z281">
        <f>VLOOKUP(A281,[2]cwurData!$B:$N, 13, FALSE)</f>
        <v>2014</v>
      </c>
    </row>
    <row r="282" spans="1:26" x14ac:dyDescent="0.3">
      <c r="A282" t="s">
        <v>446</v>
      </c>
      <c r="B282" t="str">
        <f>IFERROR(VLOOKUP(A282,[1]timesData!$B:$P,2,FALSE),VLOOKUP(A282,[2]cwurData!$B:$P,2,FALSE))</f>
        <v>India</v>
      </c>
      <c r="C282" t="str">
        <f>VLOOKUP(A282,[1]timesData!$B:$P,3,FALSE)</f>
        <v>226-250</v>
      </c>
      <c r="D282" t="str">
        <f>VLOOKUP(A283,[1]timesData!$B:$P,3,FALSE)</f>
        <v>226-250</v>
      </c>
      <c r="E282">
        <f>VLOOKUP(A283,[1]timesData!$B:$P,4,FALSE)</f>
        <v>16.100000000000001</v>
      </c>
      <c r="F282">
        <f>VLOOKUP(A283,[1]timesData!$B:$P,5,FALSE)</f>
        <v>45.3</v>
      </c>
      <c r="G282">
        <f>VLOOKUP(A283,[1]timesData!$B:$P,6,FALSE)</f>
        <v>39</v>
      </c>
      <c r="H282">
        <f>VLOOKUP(A283,[1]timesData!$B:$P,7,FALSE)</f>
        <v>72.400000000000006</v>
      </c>
      <c r="I282" t="str">
        <f>VLOOKUP(A283,[1]timesData!$B:$P,8,FALSE)</f>
        <v>-</v>
      </c>
      <c r="J282">
        <f>VLOOKUP(A283,[1]timesData!$B:$P,9,FALSE)</f>
        <v>9928</v>
      </c>
      <c r="K282">
        <f>VLOOKUP(A283,[1]timesData!$B:$P,10,FALSE)</f>
        <v>17.5</v>
      </c>
      <c r="L282">
        <f>VLOOKUP(A283,[1]timesData!$B:$P,11,FALSE)</f>
        <v>0</v>
      </c>
      <c r="M282">
        <f>VLOOKUP(A283,[1]timesData!$B:$P,12,FALSE)</f>
        <v>0.68402777777777779</v>
      </c>
      <c r="N282">
        <f>VLOOKUP(A283,[1]timesData!$B:$P,13,FALSE)</f>
        <v>2013</v>
      </c>
      <c r="O282">
        <f>VLOOKUP(A282,[2]cwurData!$B:$P,14,FALSE)</f>
        <v>543</v>
      </c>
      <c r="P282">
        <f>VLOOKUP(A282,[2]cwurData!$B:$N, 3, FALSE)</f>
        <v>5</v>
      </c>
      <c r="Q282">
        <f>VLOOKUP(A282,[2]cwurData!$B:$N, 4, FALSE)</f>
        <v>332</v>
      </c>
      <c r="R282">
        <f>VLOOKUP(A282,[2]cwurData!$B:$N, 5, FALSE)</f>
        <v>212</v>
      </c>
      <c r="S282">
        <f>VLOOKUP(A282,[2]cwurData!$B:$N, 6, FALSE)</f>
        <v>210</v>
      </c>
      <c r="T282">
        <f>VLOOKUP(A282,[2]cwurData!$B:$N, 7, FALSE)</f>
        <v>708</v>
      </c>
      <c r="U282">
        <f>VLOOKUP(A282,[2]cwurData!$B:$N, 8, FALSE)</f>
        <v>722</v>
      </c>
      <c r="V282">
        <f>VLOOKUP(A282,[2]cwurData!$B:$N, 9, FALSE)</f>
        <v>363</v>
      </c>
      <c r="W282">
        <f>VLOOKUP(A282,[2]cwurData!$B:$N, 10, FALSE)</f>
        <v>569</v>
      </c>
      <c r="X282">
        <f>VLOOKUP(A282,[2]cwurData!$B:$N, 11, FALSE)</f>
        <v>737</v>
      </c>
      <c r="Y282">
        <f>VLOOKUP(A282,[2]cwurData!$B:$N, 12, FALSE)</f>
        <v>44.97</v>
      </c>
      <c r="Z282">
        <f>VLOOKUP(A282,[2]cwurData!$B:$N, 13, FALSE)</f>
        <v>2014</v>
      </c>
    </row>
    <row r="283" spans="1:26" x14ac:dyDescent="0.3">
      <c r="A283" t="s">
        <v>411</v>
      </c>
      <c r="B283" t="str">
        <f>IFERROR(VLOOKUP(A283,[1]timesData!$B:$P,2,FALSE),VLOOKUP(A283,[2]cwurData!$B:$P,2,FALSE))</f>
        <v>India</v>
      </c>
      <c r="C283" t="str">
        <f>VLOOKUP(A283,[1]timesData!$B:$P,3,FALSE)</f>
        <v>226-250</v>
      </c>
      <c r="D283" t="str">
        <f>VLOOKUP(A284,[1]timesData!$B:$P,3,FALSE)</f>
        <v>226-250</v>
      </c>
      <c r="E283">
        <f>VLOOKUP(A284,[1]timesData!$B:$P,4,FALSE)</f>
        <v>58.6</v>
      </c>
      <c r="F283">
        <f>VLOOKUP(A284,[1]timesData!$B:$P,5,FALSE)</f>
        <v>24.2</v>
      </c>
      <c r="G283">
        <f>VLOOKUP(A284,[1]timesData!$B:$P,6,FALSE)</f>
        <v>61.6</v>
      </c>
      <c r="H283" t="str">
        <f>VLOOKUP(A284,[1]timesData!$B:$P,7,FALSE)</f>
        <v>-</v>
      </c>
      <c r="I283" t="str">
        <f>VLOOKUP(A284,[1]timesData!$B:$P,8,FALSE)</f>
        <v>-</v>
      </c>
      <c r="J283">
        <f>VLOOKUP(A284,[1]timesData!$B:$P,9,FALSE)</f>
        <v>25036</v>
      </c>
      <c r="K283">
        <f>VLOOKUP(A284,[1]timesData!$B:$P,10,FALSE)</f>
        <v>29.8</v>
      </c>
      <c r="L283">
        <f>VLOOKUP(A284,[1]timesData!$B:$P,11,FALSE)</f>
        <v>0.18</v>
      </c>
      <c r="M283">
        <f>VLOOKUP(A284,[1]timesData!$B:$P,12,FALSE)</f>
        <v>1.9951388888888888</v>
      </c>
      <c r="N283">
        <f>VLOOKUP(A284,[1]timesData!$B:$P,13,FALSE)</f>
        <v>2012</v>
      </c>
      <c r="O283">
        <f>VLOOKUP(A283,[2]cwurData!$B:$P,14,FALSE)</f>
        <v>574</v>
      </c>
      <c r="P283">
        <f>VLOOKUP(A283,[2]cwurData!$B:$N, 3, FALSE)</f>
        <v>7</v>
      </c>
      <c r="Q283">
        <f>VLOOKUP(A283,[2]cwurData!$B:$N, 4, FALSE)</f>
        <v>355</v>
      </c>
      <c r="R283">
        <f>VLOOKUP(A283,[2]cwurData!$B:$N, 5, FALSE)</f>
        <v>201</v>
      </c>
      <c r="S283">
        <f>VLOOKUP(A283,[2]cwurData!$B:$N, 6, FALSE)</f>
        <v>210</v>
      </c>
      <c r="T283">
        <f>VLOOKUP(A283,[2]cwurData!$B:$N, 7, FALSE)</f>
        <v>501</v>
      </c>
      <c r="U283">
        <f>VLOOKUP(A283,[2]cwurData!$B:$N, 8, FALSE)</f>
        <v>966</v>
      </c>
      <c r="V283">
        <f>VLOOKUP(A283,[2]cwurData!$B:$N, 9, FALSE)</f>
        <v>800</v>
      </c>
      <c r="W283">
        <f>VLOOKUP(A283,[2]cwurData!$B:$N, 10, FALSE)</f>
        <v>703</v>
      </c>
      <c r="X283">
        <f>VLOOKUP(A283,[2]cwurData!$B:$N, 11, FALSE)</f>
        <v>426</v>
      </c>
      <c r="Y283">
        <f>VLOOKUP(A283,[2]cwurData!$B:$N, 12, FALSE)</f>
        <v>44.89</v>
      </c>
      <c r="Z283">
        <f>VLOOKUP(A283,[2]cwurData!$B:$N, 13, FALSE)</f>
        <v>2014</v>
      </c>
    </row>
    <row r="284" spans="1:26" x14ac:dyDescent="0.3">
      <c r="A284" t="s">
        <v>247</v>
      </c>
      <c r="B284" t="str">
        <f>IFERROR(VLOOKUP(A284,[1]timesData!$B:$P,2,FALSE),VLOOKUP(A284,[2]cwurData!$B:$P,2,FALSE))</f>
        <v>Canada</v>
      </c>
      <c r="C284" t="str">
        <f>VLOOKUP(A284,[1]timesData!$B:$P,3,FALSE)</f>
        <v>226-250</v>
      </c>
      <c r="D284" t="str">
        <f>VLOOKUP(A285,[1]timesData!$B:$P,3,FALSE)</f>
        <v>226-250</v>
      </c>
      <c r="E284">
        <f>VLOOKUP(A285,[1]timesData!$B:$P,4,FALSE)</f>
        <v>18.8</v>
      </c>
      <c r="F284">
        <f>VLOOKUP(A285,[1]timesData!$B:$P,5,FALSE)</f>
        <v>10.6</v>
      </c>
      <c r="G284">
        <f>VLOOKUP(A285,[1]timesData!$B:$P,6,FALSE)</f>
        <v>100</v>
      </c>
      <c r="H284">
        <f>VLOOKUP(A285,[1]timesData!$B:$P,7,FALSE)</f>
        <v>59.6</v>
      </c>
      <c r="I284" t="str">
        <f>VLOOKUP(A285,[1]timesData!$B:$P,8,FALSE)</f>
        <v>-</v>
      </c>
      <c r="J284">
        <f>VLOOKUP(A285,[1]timesData!$B:$P,9,FALSE)</f>
        <v>7801</v>
      </c>
      <c r="K284">
        <f>VLOOKUP(A285,[1]timesData!$B:$P,10,FALSE)</f>
        <v>7.3</v>
      </c>
      <c r="L284">
        <f>VLOOKUP(A285,[1]timesData!$B:$P,11,FALSE)</f>
        <v>7.0000000000000007E-2</v>
      </c>
      <c r="M284" t="str">
        <f>VLOOKUP(A285,[1]timesData!$B:$P,12,FALSE)</f>
        <v>29 : 71</v>
      </c>
      <c r="N284">
        <f>VLOOKUP(A285,[1]timesData!$B:$P,13,FALSE)</f>
        <v>2013</v>
      </c>
      <c r="O284">
        <f>VLOOKUP(A284,[2]cwurData!$B:$P,14,FALSE)</f>
        <v>627</v>
      </c>
      <c r="P284">
        <f>VLOOKUP(A284,[2]cwurData!$B:$N, 3, FALSE)</f>
        <v>22</v>
      </c>
      <c r="Q284">
        <f>VLOOKUP(A284,[2]cwurData!$B:$N, 4, FALSE)</f>
        <v>355</v>
      </c>
      <c r="R284">
        <f>VLOOKUP(A284,[2]cwurData!$B:$N, 5, FALSE)</f>
        <v>478</v>
      </c>
      <c r="S284">
        <f>VLOOKUP(A284,[2]cwurData!$B:$N, 6, FALSE)</f>
        <v>210</v>
      </c>
      <c r="T284">
        <f>VLOOKUP(A284,[2]cwurData!$B:$N, 7, FALSE)</f>
        <v>496</v>
      </c>
      <c r="U284">
        <f>VLOOKUP(A284,[2]cwurData!$B:$N, 8, FALSE)</f>
        <v>742</v>
      </c>
      <c r="V284">
        <f>VLOOKUP(A284,[2]cwurData!$B:$N, 9, FALSE)</f>
        <v>310</v>
      </c>
      <c r="W284">
        <f>VLOOKUP(A284,[2]cwurData!$B:$N, 10, FALSE)</f>
        <v>554</v>
      </c>
      <c r="X284">
        <f>VLOOKUP(A284,[2]cwurData!$B:$N, 11, FALSE)</f>
        <v>737</v>
      </c>
      <c r="Y284">
        <f>VLOOKUP(A284,[2]cwurData!$B:$N, 12, FALSE)</f>
        <v>44.75</v>
      </c>
      <c r="Z284">
        <f>VLOOKUP(A284,[2]cwurData!$B:$N, 13, FALSE)</f>
        <v>2014</v>
      </c>
    </row>
    <row r="285" spans="1:26" x14ac:dyDescent="0.3">
      <c r="A285" t="s">
        <v>415</v>
      </c>
      <c r="B285" t="str">
        <f>IFERROR(VLOOKUP(A285,[1]timesData!$B:$P,2,FALSE),VLOOKUP(A285,[2]cwurData!$B:$P,2,FALSE))</f>
        <v>Russian Federation</v>
      </c>
      <c r="C285" t="str">
        <f>VLOOKUP(A285,[1]timesData!$B:$P,3,FALSE)</f>
        <v>226-250</v>
      </c>
      <c r="D285" t="str">
        <f>VLOOKUP(A286,[1]timesData!$B:$P,3,FALSE)</f>
        <v>226-250</v>
      </c>
      <c r="E285">
        <f>VLOOKUP(A286,[1]timesData!$B:$P,4,FALSE)</f>
        <v>58.4</v>
      </c>
      <c r="F285">
        <f>VLOOKUP(A286,[1]timesData!$B:$P,5,FALSE)</f>
        <v>11.9</v>
      </c>
      <c r="G285">
        <f>VLOOKUP(A286,[1]timesData!$B:$P,6,FALSE)</f>
        <v>92.5</v>
      </c>
      <c r="H285">
        <f>VLOOKUP(A286,[1]timesData!$B:$P,7,FALSE)</f>
        <v>28.7</v>
      </c>
      <c r="I285" t="str">
        <f>VLOOKUP(A286,[1]timesData!$B:$P,8,FALSE)</f>
        <v>-</v>
      </c>
      <c r="J285">
        <f>VLOOKUP(A286,[1]timesData!$B:$P,9,FALSE)</f>
        <v>4408</v>
      </c>
      <c r="K285">
        <f>VLOOKUP(A286,[1]timesData!$B:$P,10,FALSE)</f>
        <v>13.7</v>
      </c>
      <c r="L285">
        <f>VLOOKUP(A286,[1]timesData!$B:$P,11,FALSE)</f>
        <v>0.26</v>
      </c>
      <c r="M285" t="str">
        <f>VLOOKUP(A286,[1]timesData!$B:$P,12,FALSE)</f>
        <v>34 : 66</v>
      </c>
      <c r="N285">
        <f>VLOOKUP(A286,[1]timesData!$B:$P,13,FALSE)</f>
        <v>2013</v>
      </c>
      <c r="O285">
        <f>VLOOKUP(A285,[2]cwurData!$B:$P,14,FALSE)</f>
        <v>755</v>
      </c>
      <c r="P285">
        <f>VLOOKUP(A285,[2]cwurData!$B:$N, 3, FALSE)</f>
        <v>4</v>
      </c>
      <c r="Q285">
        <f>VLOOKUP(A285,[2]cwurData!$B:$N, 4, FALSE)</f>
        <v>306</v>
      </c>
      <c r="R285">
        <f>VLOOKUP(A285,[2]cwurData!$B:$N, 5, FALSE)</f>
        <v>567</v>
      </c>
      <c r="S285">
        <f>VLOOKUP(A285,[2]cwurData!$B:$N, 6, FALSE)</f>
        <v>218</v>
      </c>
      <c r="T285">
        <f>VLOOKUP(A285,[2]cwurData!$B:$N, 7, FALSE)</f>
        <v>957</v>
      </c>
      <c r="U285">
        <f>VLOOKUP(A285,[2]cwurData!$B:$N, 8, FALSE)</f>
        <v>699</v>
      </c>
      <c r="V285">
        <f>VLOOKUP(A285,[2]cwurData!$B:$N, 9, FALSE)</f>
        <v>428</v>
      </c>
      <c r="W285">
        <f>VLOOKUP(A285,[2]cwurData!$B:$N, 10, FALSE)</f>
        <v>671</v>
      </c>
      <c r="X285">
        <f>VLOOKUP(A285,[2]cwurData!$B:$N, 11, FALSE)</f>
        <v>871</v>
      </c>
      <c r="Y285">
        <f>VLOOKUP(A285,[2]cwurData!$B:$N, 12, FALSE)</f>
        <v>44.29</v>
      </c>
      <c r="Z285">
        <f>VLOOKUP(A285,[2]cwurData!$B:$N, 13, FALSE)</f>
        <v>2015</v>
      </c>
    </row>
    <row r="286" spans="1:26" x14ac:dyDescent="0.3">
      <c r="A286" t="s">
        <v>410</v>
      </c>
      <c r="B286" t="str">
        <f>IFERROR(VLOOKUP(A286,[1]timesData!$B:$P,2,FALSE),VLOOKUP(A286,[2]cwurData!$B:$P,2,FALSE))</f>
        <v>United States of America</v>
      </c>
      <c r="C286" t="str">
        <f>VLOOKUP(A286,[1]timesData!$B:$P,3,FALSE)</f>
        <v>226-250</v>
      </c>
      <c r="D286" t="str">
        <f>VLOOKUP(A287,[1]timesData!$B:$P,3,FALSE)</f>
        <v>226-250</v>
      </c>
      <c r="E286">
        <f>VLOOKUP(A287,[1]timesData!$B:$P,4,FALSE)</f>
        <v>25.5</v>
      </c>
      <c r="F286">
        <f>VLOOKUP(A287,[1]timesData!$B:$P,5,FALSE)</f>
        <v>32</v>
      </c>
      <c r="G286">
        <f>VLOOKUP(A287,[1]timesData!$B:$P,6,FALSE)</f>
        <v>51.2</v>
      </c>
      <c r="H286" t="str">
        <f>VLOOKUP(A287,[1]timesData!$B:$P,7,FALSE)</f>
        <v>-</v>
      </c>
      <c r="I286" t="str">
        <f>VLOOKUP(A287,[1]timesData!$B:$P,8,FALSE)</f>
        <v>-</v>
      </c>
      <c r="J286">
        <f>VLOOKUP(A287,[1]timesData!$B:$P,9,FALSE)</f>
        <v>26769</v>
      </c>
      <c r="K286">
        <f>VLOOKUP(A287,[1]timesData!$B:$P,10,FALSE)</f>
        <v>19</v>
      </c>
      <c r="L286">
        <f>VLOOKUP(A287,[1]timesData!$B:$P,11,FALSE)</f>
        <v>0.05</v>
      </c>
      <c r="M286">
        <f>VLOOKUP(A287,[1]timesData!$B:$P,12,FALSE)</f>
        <v>2.2000000000000002</v>
      </c>
      <c r="N286">
        <f>VLOOKUP(A287,[1]timesData!$B:$P,13,FALSE)</f>
        <v>2012</v>
      </c>
      <c r="O286">
        <f>VLOOKUP(A286,[2]cwurData!$B:$P,14,FALSE)</f>
        <v>853</v>
      </c>
      <c r="P286">
        <f>VLOOKUP(A286,[2]cwurData!$B:$N, 3, FALSE)</f>
        <v>222</v>
      </c>
      <c r="Q286">
        <f>VLOOKUP(A286,[2]cwurData!$B:$N, 4, FALSE)</f>
        <v>355</v>
      </c>
      <c r="R286">
        <f>VLOOKUP(A286,[2]cwurData!$B:$N, 5, FALSE)</f>
        <v>478</v>
      </c>
      <c r="S286">
        <f>VLOOKUP(A286,[2]cwurData!$B:$N, 6, FALSE)</f>
        <v>210</v>
      </c>
      <c r="T286">
        <f>VLOOKUP(A286,[2]cwurData!$B:$N, 7, FALSE)</f>
        <v>959</v>
      </c>
      <c r="U286">
        <f>VLOOKUP(A286,[2]cwurData!$B:$N, 8, FALSE)</f>
        <v>699</v>
      </c>
      <c r="V286">
        <f>VLOOKUP(A286,[2]cwurData!$B:$N, 9, FALSE)</f>
        <v>363</v>
      </c>
      <c r="W286">
        <f>VLOOKUP(A286,[2]cwurData!$B:$N, 10, FALSE)</f>
        <v>800</v>
      </c>
      <c r="X286">
        <f>VLOOKUP(A286,[2]cwurData!$B:$N, 11, FALSE)</f>
        <v>737</v>
      </c>
      <c r="Y286">
        <f>VLOOKUP(A286,[2]cwurData!$B:$N, 12, FALSE)</f>
        <v>44.44</v>
      </c>
      <c r="Z286">
        <f>VLOOKUP(A286,[2]cwurData!$B:$N, 13, FALSE)</f>
        <v>2014</v>
      </c>
    </row>
    <row r="287" spans="1:26" x14ac:dyDescent="0.3">
      <c r="A287" t="s">
        <v>249</v>
      </c>
      <c r="B287" t="str">
        <f>IFERROR(VLOOKUP(A287,[1]timesData!$B:$P,2,FALSE),VLOOKUP(A287,[2]cwurData!$B:$P,2,FALSE))</f>
        <v>United States of America</v>
      </c>
      <c r="C287" t="str">
        <f>VLOOKUP(A287,[1]timesData!$B:$P,3,FALSE)</f>
        <v>226-250</v>
      </c>
      <c r="D287" t="str">
        <f>VLOOKUP(A288,[1]timesData!$B:$P,3,FALSE)</f>
        <v>226-250</v>
      </c>
      <c r="E287">
        <f>VLOOKUP(A288,[1]timesData!$B:$P,4,FALSE)</f>
        <v>52.8</v>
      </c>
      <c r="F287">
        <f>VLOOKUP(A288,[1]timesData!$B:$P,5,FALSE)</f>
        <v>22.3</v>
      </c>
      <c r="G287">
        <f>VLOOKUP(A288,[1]timesData!$B:$P,6,FALSE)</f>
        <v>79.2</v>
      </c>
      <c r="H287">
        <f>VLOOKUP(A288,[1]timesData!$B:$P,7,FALSE)</f>
        <v>37.9</v>
      </c>
      <c r="I287" t="str">
        <f>VLOOKUP(A288,[1]timesData!$B:$P,8,FALSE)</f>
        <v>-</v>
      </c>
      <c r="J287">
        <f>VLOOKUP(A288,[1]timesData!$B:$P,9,FALSE)</f>
        <v>4488</v>
      </c>
      <c r="K287">
        <f>VLOOKUP(A288,[1]timesData!$B:$P,10,FALSE)</f>
        <v>14.6</v>
      </c>
      <c r="L287">
        <f>VLOOKUP(A288,[1]timesData!$B:$P,11,FALSE)</f>
        <v>0.08</v>
      </c>
      <c r="M287">
        <f>VLOOKUP(A288,[1]timesData!$B:$P,12,FALSE)</f>
        <v>2.2000000000000002</v>
      </c>
      <c r="N287">
        <f>VLOOKUP(A288,[1]timesData!$B:$P,13,FALSE)</f>
        <v>2013</v>
      </c>
      <c r="O287" t="e">
        <f>VLOOKUP(A287,[2]cwurData!$B:$P,14,FALSE)</f>
        <v>#N/A</v>
      </c>
      <c r="P287" t="e">
        <f>VLOOKUP(A287,[2]cwurData!$B:$N, 3, FALSE)</f>
        <v>#N/A</v>
      </c>
      <c r="Q287" t="e">
        <f>VLOOKUP(A287,[2]cwurData!$B:$N, 4, FALSE)</f>
        <v>#N/A</v>
      </c>
      <c r="R287" t="e">
        <f>VLOOKUP(A287,[2]cwurData!$B:$N, 5, FALSE)</f>
        <v>#N/A</v>
      </c>
      <c r="S287" t="e">
        <f>VLOOKUP(A287,[2]cwurData!$B:$N, 6, FALSE)</f>
        <v>#N/A</v>
      </c>
      <c r="T287" t="e">
        <f>VLOOKUP(A287,[2]cwurData!$B:$N, 7, FALSE)</f>
        <v>#N/A</v>
      </c>
      <c r="U287" t="e">
        <f>VLOOKUP(A287,[2]cwurData!$B:$N, 8, FALSE)</f>
        <v>#N/A</v>
      </c>
      <c r="V287" t="e">
        <f>VLOOKUP(A287,[2]cwurData!$B:$N, 9, FALSE)</f>
        <v>#N/A</v>
      </c>
      <c r="W287" t="e">
        <f>VLOOKUP(A287,[2]cwurData!$B:$N, 10, FALSE)</f>
        <v>#N/A</v>
      </c>
      <c r="X287" t="e">
        <f>VLOOKUP(A287,[2]cwurData!$B:$N, 11, FALSE)</f>
        <v>#N/A</v>
      </c>
      <c r="Y287" t="e">
        <f>VLOOKUP(A287,[2]cwurData!$B:$N, 12, FALSE)</f>
        <v>#N/A</v>
      </c>
      <c r="Z287" t="e">
        <f>VLOOKUP(A287,[2]cwurData!$B:$N, 13, FALSE)</f>
        <v>#N/A</v>
      </c>
    </row>
    <row r="288" spans="1:26" x14ac:dyDescent="0.3">
      <c r="A288" t="s">
        <v>412</v>
      </c>
      <c r="B288" t="str">
        <f>IFERROR(VLOOKUP(A288,[1]timesData!$B:$P,2,FALSE),VLOOKUP(A288,[2]cwurData!$B:$P,2,FALSE))</f>
        <v>Turkey</v>
      </c>
      <c r="C288" t="str">
        <f>VLOOKUP(A288,[1]timesData!$B:$P,3,FALSE)</f>
        <v>226-250</v>
      </c>
      <c r="D288" t="str">
        <f>VLOOKUP(A289,[1]timesData!$B:$P,3,FALSE)</f>
        <v>226-250</v>
      </c>
      <c r="E288">
        <f>VLOOKUP(A289,[1]timesData!$B:$P,4,FALSE)</f>
        <v>25.9</v>
      </c>
      <c r="F288">
        <f>VLOOKUP(A289,[1]timesData!$B:$P,5,FALSE)</f>
        <v>30.8</v>
      </c>
      <c r="G288">
        <f>VLOOKUP(A289,[1]timesData!$B:$P,6,FALSE)</f>
        <v>53.5</v>
      </c>
      <c r="H288">
        <f>VLOOKUP(A289,[1]timesData!$B:$P,7,FALSE)</f>
        <v>92.9</v>
      </c>
      <c r="I288" t="str">
        <f>VLOOKUP(A289,[1]timesData!$B:$P,8,FALSE)</f>
        <v>-</v>
      </c>
      <c r="J288">
        <f>VLOOKUP(A289,[1]timesData!$B:$P,9,FALSE)</f>
        <v>15387</v>
      </c>
      <c r="K288">
        <f>VLOOKUP(A289,[1]timesData!$B:$P,10,FALSE)</f>
        <v>18.5</v>
      </c>
      <c r="L288">
        <f>VLOOKUP(A289,[1]timesData!$B:$P,11,FALSE)</f>
        <v>0.08</v>
      </c>
      <c r="M288">
        <f>VLOOKUP(A289,[1]timesData!$B:$P,12,FALSE)</f>
        <v>2.1590277777777778</v>
      </c>
      <c r="N288">
        <f>VLOOKUP(A289,[1]timesData!$B:$P,13,FALSE)</f>
        <v>2012</v>
      </c>
      <c r="O288" t="e">
        <f>VLOOKUP(A288,[2]cwurData!$B:$P,14,FALSE)</f>
        <v>#N/A</v>
      </c>
      <c r="P288" t="e">
        <f>VLOOKUP(A288,[2]cwurData!$B:$N, 3, FALSE)</f>
        <v>#N/A</v>
      </c>
      <c r="Q288" t="e">
        <f>VLOOKUP(A288,[2]cwurData!$B:$N, 4, FALSE)</f>
        <v>#N/A</v>
      </c>
      <c r="R288" t="e">
        <f>VLOOKUP(A288,[2]cwurData!$B:$N, 5, FALSE)</f>
        <v>#N/A</v>
      </c>
      <c r="S288" t="e">
        <f>VLOOKUP(A288,[2]cwurData!$B:$N, 6, FALSE)</f>
        <v>#N/A</v>
      </c>
      <c r="T288" t="e">
        <f>VLOOKUP(A288,[2]cwurData!$B:$N, 7, FALSE)</f>
        <v>#N/A</v>
      </c>
      <c r="U288" t="e">
        <f>VLOOKUP(A288,[2]cwurData!$B:$N, 8, FALSE)</f>
        <v>#N/A</v>
      </c>
      <c r="V288" t="e">
        <f>VLOOKUP(A288,[2]cwurData!$B:$N, 9, FALSE)</f>
        <v>#N/A</v>
      </c>
      <c r="W288" t="e">
        <f>VLOOKUP(A288,[2]cwurData!$B:$N, 10, FALSE)</f>
        <v>#N/A</v>
      </c>
      <c r="X288" t="e">
        <f>VLOOKUP(A288,[2]cwurData!$B:$N, 11, FALSE)</f>
        <v>#N/A</v>
      </c>
      <c r="Y288" t="e">
        <f>VLOOKUP(A288,[2]cwurData!$B:$N, 12, FALSE)</f>
        <v>#N/A</v>
      </c>
      <c r="Z288" t="e">
        <f>VLOOKUP(A288,[2]cwurData!$B:$N, 13, FALSE)</f>
        <v>#N/A</v>
      </c>
    </row>
    <row r="289" spans="1:26" x14ac:dyDescent="0.3">
      <c r="A289" t="s">
        <v>254</v>
      </c>
      <c r="B289" t="str">
        <f>IFERROR(VLOOKUP(A289,[1]timesData!$B:$P,2,FALSE),VLOOKUP(A289,[2]cwurData!$B:$P,2,FALSE))</f>
        <v>United States of America</v>
      </c>
      <c r="C289" t="str">
        <f>VLOOKUP(A289,[1]timesData!$B:$P,3,FALSE)</f>
        <v>226-250</v>
      </c>
      <c r="D289" t="str">
        <f>VLOOKUP(A290,[1]timesData!$B:$P,3,FALSE)</f>
        <v>226-250</v>
      </c>
      <c r="E289">
        <f>VLOOKUP(A290,[1]timesData!$B:$P,4,FALSE)</f>
        <v>33.200000000000003</v>
      </c>
      <c r="F289">
        <f>VLOOKUP(A290,[1]timesData!$B:$P,5,FALSE)</f>
        <v>12.3</v>
      </c>
      <c r="G289">
        <f>VLOOKUP(A290,[1]timesData!$B:$P,6,FALSE)</f>
        <v>78.3</v>
      </c>
      <c r="H289">
        <f>VLOOKUP(A290,[1]timesData!$B:$P,7,FALSE)</f>
        <v>35.6</v>
      </c>
      <c r="I289" t="str">
        <f>VLOOKUP(A290,[1]timesData!$B:$P,8,FALSE)</f>
        <v>-</v>
      </c>
      <c r="J289">
        <f>VLOOKUP(A290,[1]timesData!$B:$P,9,FALSE)</f>
        <v>33370</v>
      </c>
      <c r="K289">
        <f>VLOOKUP(A290,[1]timesData!$B:$P,10,FALSE)</f>
        <v>72.5</v>
      </c>
      <c r="L289">
        <f>VLOOKUP(A290,[1]timesData!$B:$P,11,FALSE)</f>
        <v>0.05</v>
      </c>
      <c r="M289">
        <f>VLOOKUP(A290,[1]timesData!$B:$P,12,FALSE)</f>
        <v>2.5277777777777777</v>
      </c>
      <c r="N289">
        <f>VLOOKUP(A290,[1]timesData!$B:$P,13,FALSE)</f>
        <v>2012</v>
      </c>
      <c r="O289" t="e">
        <f>VLOOKUP(A289,[2]cwurData!$B:$P,14,FALSE)</f>
        <v>#N/A</v>
      </c>
      <c r="P289" t="e">
        <f>VLOOKUP(A289,[2]cwurData!$B:$N, 3, FALSE)</f>
        <v>#N/A</v>
      </c>
      <c r="Q289" t="e">
        <f>VLOOKUP(A289,[2]cwurData!$B:$N, 4, FALSE)</f>
        <v>#N/A</v>
      </c>
      <c r="R289" t="e">
        <f>VLOOKUP(A289,[2]cwurData!$B:$N, 5, FALSE)</f>
        <v>#N/A</v>
      </c>
      <c r="S289" t="e">
        <f>VLOOKUP(A289,[2]cwurData!$B:$N, 6, FALSE)</f>
        <v>#N/A</v>
      </c>
      <c r="T289" t="e">
        <f>VLOOKUP(A289,[2]cwurData!$B:$N, 7, FALSE)</f>
        <v>#N/A</v>
      </c>
      <c r="U289" t="e">
        <f>VLOOKUP(A289,[2]cwurData!$B:$N, 8, FALSE)</f>
        <v>#N/A</v>
      </c>
      <c r="V289" t="e">
        <f>VLOOKUP(A289,[2]cwurData!$B:$N, 9, FALSE)</f>
        <v>#N/A</v>
      </c>
      <c r="W289" t="e">
        <f>VLOOKUP(A289,[2]cwurData!$B:$N, 10, FALSE)</f>
        <v>#N/A</v>
      </c>
      <c r="X289" t="e">
        <f>VLOOKUP(A289,[2]cwurData!$B:$N, 11, FALSE)</f>
        <v>#N/A</v>
      </c>
      <c r="Y289" t="e">
        <f>VLOOKUP(A289,[2]cwurData!$B:$N, 12, FALSE)</f>
        <v>#N/A</v>
      </c>
      <c r="Z289" t="e">
        <f>VLOOKUP(A289,[2]cwurData!$B:$N, 13, FALSE)</f>
        <v>#N/A</v>
      </c>
    </row>
    <row r="290" spans="1:26" x14ac:dyDescent="0.3">
      <c r="A290" t="s">
        <v>260</v>
      </c>
      <c r="B290" t="str">
        <f>IFERROR(VLOOKUP(A290,[1]timesData!$B:$P,2,FALSE),VLOOKUP(A290,[2]cwurData!$B:$P,2,FALSE))</f>
        <v>Italy</v>
      </c>
      <c r="C290" t="str">
        <f>VLOOKUP(A290,[1]timesData!$B:$P,3,FALSE)</f>
        <v>226-250</v>
      </c>
      <c r="D290" t="str">
        <f>VLOOKUP(A291,[1]timesData!$B:$P,3,FALSE)</f>
        <v>226-250</v>
      </c>
      <c r="E290">
        <f>VLOOKUP(A291,[1]timesData!$B:$P,4,FALSE)</f>
        <v>26.9</v>
      </c>
      <c r="F290">
        <f>VLOOKUP(A291,[1]timesData!$B:$P,5,FALSE)</f>
        <v>33.700000000000003</v>
      </c>
      <c r="G290">
        <f>VLOOKUP(A291,[1]timesData!$B:$P,6,FALSE)</f>
        <v>37.700000000000003</v>
      </c>
      <c r="H290">
        <f>VLOOKUP(A291,[1]timesData!$B:$P,7,FALSE)</f>
        <v>26.5</v>
      </c>
      <c r="I290" t="str">
        <f>VLOOKUP(A291,[1]timesData!$B:$P,8,FALSE)</f>
        <v>-</v>
      </c>
      <c r="J290">
        <f>VLOOKUP(A291,[1]timesData!$B:$P,9,FALSE)</f>
        <v>29885</v>
      </c>
      <c r="K290">
        <f>VLOOKUP(A291,[1]timesData!$B:$P,10,FALSE)</f>
        <v>14.1</v>
      </c>
      <c r="L290">
        <f>VLOOKUP(A291,[1]timesData!$B:$P,11,FALSE)</f>
        <v>0.05</v>
      </c>
      <c r="M290">
        <f>VLOOKUP(A291,[1]timesData!$B:$P,12,FALSE)</f>
        <v>2.2409722222222221</v>
      </c>
      <c r="N290">
        <f>VLOOKUP(A291,[1]timesData!$B:$P,13,FALSE)</f>
        <v>2012</v>
      </c>
      <c r="O290" t="e">
        <f>VLOOKUP(A290,[2]cwurData!$B:$P,14,FALSE)</f>
        <v>#N/A</v>
      </c>
      <c r="P290" t="e">
        <f>VLOOKUP(A290,[2]cwurData!$B:$N, 3, FALSE)</f>
        <v>#N/A</v>
      </c>
      <c r="Q290" t="e">
        <f>VLOOKUP(A290,[2]cwurData!$B:$N, 4, FALSE)</f>
        <v>#N/A</v>
      </c>
      <c r="R290" t="e">
        <f>VLOOKUP(A290,[2]cwurData!$B:$N, 5, FALSE)</f>
        <v>#N/A</v>
      </c>
      <c r="S290" t="e">
        <f>VLOOKUP(A290,[2]cwurData!$B:$N, 6, FALSE)</f>
        <v>#N/A</v>
      </c>
      <c r="T290" t="e">
        <f>VLOOKUP(A290,[2]cwurData!$B:$N, 7, FALSE)</f>
        <v>#N/A</v>
      </c>
      <c r="U290" t="e">
        <f>VLOOKUP(A290,[2]cwurData!$B:$N, 8, FALSE)</f>
        <v>#N/A</v>
      </c>
      <c r="V290" t="e">
        <f>VLOOKUP(A290,[2]cwurData!$B:$N, 9, FALSE)</f>
        <v>#N/A</v>
      </c>
      <c r="W290" t="e">
        <f>VLOOKUP(A290,[2]cwurData!$B:$N, 10, FALSE)</f>
        <v>#N/A</v>
      </c>
      <c r="X290" t="e">
        <f>VLOOKUP(A290,[2]cwurData!$B:$N, 11, FALSE)</f>
        <v>#N/A</v>
      </c>
      <c r="Y290" t="e">
        <f>VLOOKUP(A290,[2]cwurData!$B:$N, 12, FALSE)</f>
        <v>#N/A</v>
      </c>
      <c r="Z290" t="e">
        <f>VLOOKUP(A290,[2]cwurData!$B:$N, 13, FALSE)</f>
        <v>#N/A</v>
      </c>
    </row>
    <row r="291" spans="1:26" x14ac:dyDescent="0.3">
      <c r="A291" t="s">
        <v>261</v>
      </c>
      <c r="B291" t="str">
        <f>IFERROR(VLOOKUP(A291,[1]timesData!$B:$P,2,FALSE),VLOOKUP(A291,[2]cwurData!$B:$P,2,FALSE))</f>
        <v>United States of America</v>
      </c>
      <c r="C291" t="str">
        <f>VLOOKUP(A291,[1]timesData!$B:$P,3,FALSE)</f>
        <v>226-250</v>
      </c>
      <c r="D291" t="str">
        <f>VLOOKUP(A292,[1]timesData!$B:$P,3,FALSE)</f>
        <v>251-275</v>
      </c>
      <c r="E291">
        <f>VLOOKUP(A292,[1]timesData!$B:$P,4,FALSE)</f>
        <v>19.5</v>
      </c>
      <c r="F291">
        <f>VLOOKUP(A292,[1]timesData!$B:$P,5,FALSE)</f>
        <v>30.7</v>
      </c>
      <c r="G291">
        <f>VLOOKUP(A292,[1]timesData!$B:$P,6,FALSE)</f>
        <v>23.2</v>
      </c>
      <c r="H291">
        <f>VLOOKUP(A292,[1]timesData!$B:$P,7,FALSE)</f>
        <v>75.099999999999994</v>
      </c>
      <c r="I291" t="str">
        <f>VLOOKUP(A292,[1]timesData!$B:$P,8,FALSE)</f>
        <v>-</v>
      </c>
      <c r="J291">
        <f>VLOOKUP(A292,[1]timesData!$B:$P,9,FALSE)</f>
        <v>18925</v>
      </c>
      <c r="K291">
        <f>VLOOKUP(A292,[1]timesData!$B:$P,10,FALSE)</f>
        <v>6.7</v>
      </c>
      <c r="L291">
        <f>VLOOKUP(A292,[1]timesData!$B:$P,11,FALSE)</f>
        <v>0.08</v>
      </c>
      <c r="M291" t="str">
        <f>VLOOKUP(A292,[1]timesData!$B:$P,12,FALSE)</f>
        <v>28 : 72</v>
      </c>
      <c r="N291">
        <f>VLOOKUP(A292,[1]timesData!$B:$P,13,FALSE)</f>
        <v>2012</v>
      </c>
      <c r="O291" t="e">
        <f>VLOOKUP(A291,[2]cwurData!$B:$P,14,FALSE)</f>
        <v>#N/A</v>
      </c>
      <c r="P291" t="e">
        <f>VLOOKUP(A291,[2]cwurData!$B:$N, 3, FALSE)</f>
        <v>#N/A</v>
      </c>
      <c r="Q291" t="e">
        <f>VLOOKUP(A291,[2]cwurData!$B:$N, 4, FALSE)</f>
        <v>#N/A</v>
      </c>
      <c r="R291" t="e">
        <f>VLOOKUP(A291,[2]cwurData!$B:$N, 5, FALSE)</f>
        <v>#N/A</v>
      </c>
      <c r="S291" t="e">
        <f>VLOOKUP(A291,[2]cwurData!$B:$N, 6, FALSE)</f>
        <v>#N/A</v>
      </c>
      <c r="T291" t="e">
        <f>VLOOKUP(A291,[2]cwurData!$B:$N, 7, FALSE)</f>
        <v>#N/A</v>
      </c>
      <c r="U291" t="e">
        <f>VLOOKUP(A291,[2]cwurData!$B:$N, 8, FALSE)</f>
        <v>#N/A</v>
      </c>
      <c r="V291" t="e">
        <f>VLOOKUP(A291,[2]cwurData!$B:$N, 9, FALSE)</f>
        <v>#N/A</v>
      </c>
      <c r="W291" t="e">
        <f>VLOOKUP(A291,[2]cwurData!$B:$N, 10, FALSE)</f>
        <v>#N/A</v>
      </c>
      <c r="X291" t="e">
        <f>VLOOKUP(A291,[2]cwurData!$B:$N, 11, FALSE)</f>
        <v>#N/A</v>
      </c>
      <c r="Y291" t="e">
        <f>VLOOKUP(A291,[2]cwurData!$B:$N, 12, FALSE)</f>
        <v>#N/A</v>
      </c>
      <c r="Z291" t="e">
        <f>VLOOKUP(A291,[2]cwurData!$B:$N, 13, FALSE)</f>
        <v>#N/A</v>
      </c>
    </row>
    <row r="292" spans="1:26" x14ac:dyDescent="0.3">
      <c r="A292" t="s">
        <v>267</v>
      </c>
      <c r="B292" t="str">
        <f>IFERROR(VLOOKUP(A292,[1]timesData!$B:$P,2,FALSE),VLOOKUP(A292,[2]cwurData!$B:$P,2,FALSE))</f>
        <v>Japan</v>
      </c>
      <c r="C292" t="str">
        <f>VLOOKUP(A292,[1]timesData!$B:$P,3,FALSE)</f>
        <v>251-275</v>
      </c>
      <c r="D292" t="str">
        <f>VLOOKUP(A293,[1]timesData!$B:$P,3,FALSE)</f>
        <v>251-275</v>
      </c>
      <c r="E292">
        <f>VLOOKUP(A293,[1]timesData!$B:$P,4,FALSE)</f>
        <v>71.7</v>
      </c>
      <c r="F292">
        <f>VLOOKUP(A293,[1]timesData!$B:$P,5,FALSE)</f>
        <v>32.4</v>
      </c>
      <c r="G292">
        <f>VLOOKUP(A293,[1]timesData!$B:$P,6,FALSE)</f>
        <v>32.700000000000003</v>
      </c>
      <c r="H292">
        <f>VLOOKUP(A293,[1]timesData!$B:$P,7,FALSE)</f>
        <v>100</v>
      </c>
      <c r="I292" t="str">
        <f>VLOOKUP(A293,[1]timesData!$B:$P,8,FALSE)</f>
        <v>-</v>
      </c>
      <c r="J292">
        <f>VLOOKUP(A293,[1]timesData!$B:$P,9,FALSE)</f>
        <v>23321</v>
      </c>
      <c r="K292">
        <f>VLOOKUP(A293,[1]timesData!$B:$P,10,FALSE)</f>
        <v>18.600000000000001</v>
      </c>
      <c r="L292">
        <f>VLOOKUP(A293,[1]timesData!$B:$P,11,FALSE)</f>
        <v>0.09</v>
      </c>
      <c r="M292">
        <f>VLOOKUP(A293,[1]timesData!$B:$P,12,FALSE)</f>
        <v>2.3638888888888889</v>
      </c>
      <c r="N292">
        <f>VLOOKUP(A293,[1]timesData!$B:$P,13,FALSE)</f>
        <v>2012</v>
      </c>
      <c r="O292">
        <f>VLOOKUP(A292,[2]cwurData!$B:$P,14,FALSE)</f>
        <v>92</v>
      </c>
      <c r="P292">
        <f>VLOOKUP(A292,[2]cwurData!$B:$N, 3, FALSE)</f>
        <v>7</v>
      </c>
      <c r="Q292">
        <f>VLOOKUP(A292,[2]cwurData!$B:$N, 4, FALSE)</f>
        <v>355</v>
      </c>
      <c r="R292">
        <f>VLOOKUP(A292,[2]cwurData!$B:$N, 5, FALSE)</f>
        <v>41</v>
      </c>
      <c r="S292">
        <f>VLOOKUP(A292,[2]cwurData!$B:$N, 6, FALSE)</f>
        <v>210</v>
      </c>
      <c r="T292">
        <f>VLOOKUP(A292,[2]cwurData!$B:$N, 7, FALSE)</f>
        <v>135</v>
      </c>
      <c r="U292">
        <f>VLOOKUP(A292,[2]cwurData!$B:$N, 8, FALSE)</f>
        <v>170</v>
      </c>
      <c r="V292">
        <f>VLOOKUP(A292,[2]cwurData!$B:$N, 9, FALSE)</f>
        <v>283</v>
      </c>
      <c r="W292">
        <f>VLOOKUP(A292,[2]cwurData!$B:$N, 10, FALSE)</f>
        <v>207</v>
      </c>
      <c r="X292">
        <f>VLOOKUP(A292,[2]cwurData!$B:$N, 11, FALSE)</f>
        <v>27</v>
      </c>
      <c r="Y292">
        <f>VLOOKUP(A292,[2]cwurData!$B:$N, 12, FALSE)</f>
        <v>51.96</v>
      </c>
      <c r="Z292">
        <f>VLOOKUP(A292,[2]cwurData!$B:$N, 13, FALSE)</f>
        <v>2014</v>
      </c>
    </row>
    <row r="293" spans="1:26" x14ac:dyDescent="0.3">
      <c r="A293" t="s">
        <v>279</v>
      </c>
      <c r="B293" t="str">
        <f>IFERROR(VLOOKUP(A293,[1]timesData!$B:$P,2,FALSE),VLOOKUP(A293,[2]cwurData!$B:$P,2,FALSE))</f>
        <v>South Africa</v>
      </c>
      <c r="C293" t="str">
        <f>VLOOKUP(A293,[1]timesData!$B:$P,3,FALSE)</f>
        <v>251-275</v>
      </c>
      <c r="D293" t="str">
        <f>VLOOKUP(A294,[1]timesData!$B:$P,3,FALSE)</f>
        <v>251-275</v>
      </c>
      <c r="E293">
        <f>VLOOKUP(A294,[1]timesData!$B:$P,4,FALSE)</f>
        <v>35.9</v>
      </c>
      <c r="F293">
        <f>VLOOKUP(A294,[1]timesData!$B:$P,5,FALSE)</f>
        <v>36.700000000000003</v>
      </c>
      <c r="G293">
        <f>VLOOKUP(A294,[1]timesData!$B:$P,6,FALSE)</f>
        <v>44.2</v>
      </c>
      <c r="H293">
        <f>VLOOKUP(A294,[1]timesData!$B:$P,7,FALSE)</f>
        <v>31.1</v>
      </c>
      <c r="I293" t="str">
        <f>VLOOKUP(A294,[1]timesData!$B:$P,8,FALSE)</f>
        <v>-</v>
      </c>
      <c r="J293">
        <f>VLOOKUP(A294,[1]timesData!$B:$P,9,FALSE)</f>
        <v>16306</v>
      </c>
      <c r="K293">
        <f>VLOOKUP(A294,[1]timesData!$B:$P,10,FALSE)</f>
        <v>22.8</v>
      </c>
      <c r="L293">
        <f>VLOOKUP(A294,[1]timesData!$B:$P,11,FALSE)</f>
        <v>0.23</v>
      </c>
      <c r="M293">
        <f>VLOOKUP(A294,[1]timesData!$B:$P,12,FALSE)</f>
        <v>1.8722222222222222</v>
      </c>
      <c r="N293">
        <f>VLOOKUP(A294,[1]timesData!$B:$P,13,FALSE)</f>
        <v>2012</v>
      </c>
      <c r="O293">
        <f>VLOOKUP(A293,[2]cwurData!$B:$P,14,FALSE)</f>
        <v>114</v>
      </c>
      <c r="P293">
        <f>VLOOKUP(A293,[2]cwurData!$B:$N, 3, FALSE)</f>
        <v>1</v>
      </c>
      <c r="Q293">
        <f>VLOOKUP(A293,[2]cwurData!$B:$N, 4, FALSE)</f>
        <v>79</v>
      </c>
      <c r="R293">
        <f>VLOOKUP(A293,[2]cwurData!$B:$N, 5, FALSE)</f>
        <v>29</v>
      </c>
      <c r="S293">
        <f>VLOOKUP(A293,[2]cwurData!$B:$N, 6, FALSE)</f>
        <v>169</v>
      </c>
      <c r="T293">
        <f>VLOOKUP(A293,[2]cwurData!$B:$N, 7, FALSE)</f>
        <v>456</v>
      </c>
      <c r="U293">
        <f>VLOOKUP(A293,[2]cwurData!$B:$N, 8, FALSE)</f>
        <v>241</v>
      </c>
      <c r="V293">
        <f>VLOOKUP(A293,[2]cwurData!$B:$N, 9, FALSE)</f>
        <v>310</v>
      </c>
      <c r="W293">
        <f>VLOOKUP(A293,[2]cwurData!$B:$N, 10, FALSE)</f>
        <v>472</v>
      </c>
      <c r="X293">
        <f>VLOOKUP(A293,[2]cwurData!$B:$N, 11, FALSE)</f>
        <v>259</v>
      </c>
      <c r="Y293">
        <f>VLOOKUP(A293,[2]cwurData!$B:$N, 12, FALSE)</f>
        <v>50.4</v>
      </c>
      <c r="Z293">
        <f>VLOOKUP(A293,[2]cwurData!$B:$N, 13, FALSE)</f>
        <v>2014</v>
      </c>
    </row>
    <row r="294" spans="1:26" x14ac:dyDescent="0.3">
      <c r="A294" t="s">
        <v>278</v>
      </c>
      <c r="B294" t="str">
        <f>IFERROR(VLOOKUP(A294,[1]timesData!$B:$P,2,FALSE),VLOOKUP(A294,[2]cwurData!$B:$P,2,FALSE))</f>
        <v>United States of America</v>
      </c>
      <c r="C294" t="str">
        <f>VLOOKUP(A294,[1]timesData!$B:$P,3,FALSE)</f>
        <v>251-275</v>
      </c>
      <c r="D294" t="str">
        <f>VLOOKUP(A295,[1]timesData!$B:$P,3,FALSE)</f>
        <v>251-275</v>
      </c>
      <c r="E294">
        <f>VLOOKUP(A295,[1]timesData!$B:$P,4,FALSE)</f>
        <v>32.200000000000003</v>
      </c>
      <c r="F294">
        <f>VLOOKUP(A295,[1]timesData!$B:$P,5,FALSE)</f>
        <v>23.4</v>
      </c>
      <c r="G294">
        <f>VLOOKUP(A295,[1]timesData!$B:$P,6,FALSE)</f>
        <v>73.099999999999994</v>
      </c>
      <c r="H294">
        <f>VLOOKUP(A295,[1]timesData!$B:$P,7,FALSE)</f>
        <v>44.5</v>
      </c>
      <c r="I294" t="str">
        <f>VLOOKUP(A295,[1]timesData!$B:$P,8,FALSE)</f>
        <v>-</v>
      </c>
      <c r="J294">
        <f>VLOOKUP(A295,[1]timesData!$B:$P,9,FALSE)</f>
        <v>0</v>
      </c>
      <c r="K294">
        <f>VLOOKUP(A295,[1]timesData!$B:$P,10,FALSE)</f>
        <v>0</v>
      </c>
      <c r="L294">
        <f>VLOOKUP(A295,[1]timesData!$B:$P,11,FALSE)</f>
        <v>0</v>
      </c>
      <c r="M294">
        <f>VLOOKUP(A295,[1]timesData!$B:$P,12,FALSE)</f>
        <v>0</v>
      </c>
      <c r="N294">
        <f>VLOOKUP(A295,[1]timesData!$B:$P,13,FALSE)</f>
        <v>2015</v>
      </c>
      <c r="O294">
        <f>VLOOKUP(A294,[2]cwurData!$B:$P,14,FALSE)</f>
        <v>143</v>
      </c>
      <c r="P294">
        <f>VLOOKUP(A294,[2]cwurData!$B:$N, 3, FALSE)</f>
        <v>67</v>
      </c>
      <c r="Q294">
        <f>VLOOKUP(A294,[2]cwurData!$B:$N, 4, FALSE)</f>
        <v>355</v>
      </c>
      <c r="R294">
        <f>VLOOKUP(A294,[2]cwurData!$B:$N, 5, FALSE)</f>
        <v>244</v>
      </c>
      <c r="S294">
        <f>VLOOKUP(A294,[2]cwurData!$B:$N, 6, FALSE)</f>
        <v>210</v>
      </c>
      <c r="T294">
        <f>VLOOKUP(A294,[2]cwurData!$B:$N, 7, FALSE)</f>
        <v>219</v>
      </c>
      <c r="U294">
        <f>VLOOKUP(A294,[2]cwurData!$B:$N, 8, FALSE)</f>
        <v>100</v>
      </c>
      <c r="V294">
        <f>VLOOKUP(A294,[2]cwurData!$B:$N, 9, FALSE)</f>
        <v>61</v>
      </c>
      <c r="W294">
        <f>VLOOKUP(A294,[2]cwurData!$B:$N, 10, FALSE)</f>
        <v>44</v>
      </c>
      <c r="X294">
        <f>VLOOKUP(A294,[2]cwurData!$B:$N, 11, FALSE)</f>
        <v>307</v>
      </c>
      <c r="Y294">
        <f>VLOOKUP(A294,[2]cwurData!$B:$N, 12, FALSE)</f>
        <v>49.47</v>
      </c>
      <c r="Z294">
        <f>VLOOKUP(A294,[2]cwurData!$B:$N, 13, FALSE)</f>
        <v>2014</v>
      </c>
    </row>
    <row r="295" spans="1:26" x14ac:dyDescent="0.3">
      <c r="A295" t="s">
        <v>466</v>
      </c>
      <c r="B295" t="str">
        <f>IFERROR(VLOOKUP(A295,[1]timesData!$B:$P,2,FALSE),VLOOKUP(A295,[2]cwurData!$B:$P,2,FALSE))</f>
        <v>United States of America</v>
      </c>
      <c r="C295" t="str">
        <f>VLOOKUP(A295,[1]timesData!$B:$P,3,FALSE)</f>
        <v>251-275</v>
      </c>
      <c r="D295" t="str">
        <f>VLOOKUP(A296,[1]timesData!$B:$P,3,FALSE)</f>
        <v>251-275</v>
      </c>
      <c r="E295">
        <f>VLOOKUP(A296,[1]timesData!$B:$P,4,FALSE)</f>
        <v>24.6</v>
      </c>
      <c r="F295">
        <f>VLOOKUP(A296,[1]timesData!$B:$P,5,FALSE)</f>
        <v>16.399999999999999</v>
      </c>
      <c r="G295">
        <f>VLOOKUP(A296,[1]timesData!$B:$P,6,FALSE)</f>
        <v>55.2</v>
      </c>
      <c r="H295" t="str">
        <f>VLOOKUP(A296,[1]timesData!$B:$P,7,FALSE)</f>
        <v>-</v>
      </c>
      <c r="I295" t="str">
        <f>VLOOKUP(A296,[1]timesData!$B:$P,8,FALSE)</f>
        <v>-</v>
      </c>
      <c r="J295">
        <f>VLOOKUP(A296,[1]timesData!$B:$P,9,FALSE)</f>
        <v>23065</v>
      </c>
      <c r="K295">
        <f>VLOOKUP(A296,[1]timesData!$B:$P,10,FALSE)</f>
        <v>10.7</v>
      </c>
      <c r="L295">
        <f>VLOOKUP(A296,[1]timesData!$B:$P,11,FALSE)</f>
        <v>7.0000000000000007E-2</v>
      </c>
      <c r="M295">
        <f>VLOOKUP(A296,[1]timesData!$B:$P,12,FALSE)</f>
        <v>2.4048611111111109</v>
      </c>
      <c r="N295">
        <f>VLOOKUP(A296,[1]timesData!$B:$P,13,FALSE)</f>
        <v>2012</v>
      </c>
      <c r="O295">
        <f>VLOOKUP(A295,[2]cwurData!$B:$P,14,FALSE)</f>
        <v>185</v>
      </c>
      <c r="P295">
        <f>VLOOKUP(A295,[2]cwurData!$B:$N, 3, FALSE)</f>
        <v>82</v>
      </c>
      <c r="Q295">
        <f>VLOOKUP(A295,[2]cwurData!$B:$N, 4, FALSE)</f>
        <v>355</v>
      </c>
      <c r="R295">
        <f>VLOOKUP(A295,[2]cwurData!$B:$N, 5, FALSE)</f>
        <v>478</v>
      </c>
      <c r="S295">
        <f>VLOOKUP(A295,[2]cwurData!$B:$N, 6, FALSE)</f>
        <v>210</v>
      </c>
      <c r="T295">
        <f>VLOOKUP(A295,[2]cwurData!$B:$N, 7, FALSE)</f>
        <v>227</v>
      </c>
      <c r="U295">
        <f>VLOOKUP(A295,[2]cwurData!$B:$N, 8, FALSE)</f>
        <v>168</v>
      </c>
      <c r="V295">
        <f>VLOOKUP(A295,[2]cwurData!$B:$N, 9, FALSE)</f>
        <v>61</v>
      </c>
      <c r="W295">
        <f>VLOOKUP(A295,[2]cwurData!$B:$N, 10, FALSE)</f>
        <v>137</v>
      </c>
      <c r="X295">
        <f>VLOOKUP(A295,[2]cwurData!$B:$N, 11, FALSE)</f>
        <v>149</v>
      </c>
      <c r="Y295">
        <f>VLOOKUP(A295,[2]cwurData!$B:$N, 12, FALSE)</f>
        <v>48.36</v>
      </c>
      <c r="Z295">
        <f>VLOOKUP(A295,[2]cwurData!$B:$N, 13, FALSE)</f>
        <v>2014</v>
      </c>
    </row>
    <row r="296" spans="1:26" x14ac:dyDescent="0.3">
      <c r="A296" t="s">
        <v>284</v>
      </c>
      <c r="B296" t="str">
        <f>IFERROR(VLOOKUP(A296,[1]timesData!$B:$P,2,FALSE),VLOOKUP(A296,[2]cwurData!$B:$P,2,FALSE))</f>
        <v>United States of America</v>
      </c>
      <c r="C296" t="str">
        <f>VLOOKUP(A296,[1]timesData!$B:$P,3,FALSE)</f>
        <v>251-275</v>
      </c>
      <c r="D296" t="str">
        <f>VLOOKUP(A297,[1]timesData!$B:$P,3,FALSE)</f>
        <v>251-275</v>
      </c>
      <c r="E296">
        <f>VLOOKUP(A297,[1]timesData!$B:$P,4,FALSE)</f>
        <v>53.4</v>
      </c>
      <c r="F296">
        <f>VLOOKUP(A297,[1]timesData!$B:$P,5,FALSE)</f>
        <v>18.7</v>
      </c>
      <c r="G296">
        <f>VLOOKUP(A297,[1]timesData!$B:$P,6,FALSE)</f>
        <v>63.6</v>
      </c>
      <c r="H296" t="str">
        <f>VLOOKUP(A297,[1]timesData!$B:$P,7,FALSE)</f>
        <v>-</v>
      </c>
      <c r="I296" t="str">
        <f>VLOOKUP(A297,[1]timesData!$B:$P,8,FALSE)</f>
        <v>-</v>
      </c>
      <c r="J296">
        <f>VLOOKUP(A297,[1]timesData!$B:$P,9,FALSE)</f>
        <v>43280</v>
      </c>
      <c r="K296">
        <f>VLOOKUP(A297,[1]timesData!$B:$P,10,FALSE)</f>
        <v>43.4</v>
      </c>
      <c r="L296">
        <f>VLOOKUP(A297,[1]timesData!$B:$P,11,FALSE)</f>
        <v>0.11</v>
      </c>
      <c r="M296">
        <f>VLOOKUP(A297,[1]timesData!$B:$P,12,FALSE)</f>
        <v>2.5277777777777777</v>
      </c>
      <c r="N296">
        <f>VLOOKUP(A297,[1]timesData!$B:$P,13,FALSE)</f>
        <v>2014</v>
      </c>
      <c r="O296">
        <f>VLOOKUP(A296,[2]cwurData!$B:$P,14,FALSE)</f>
        <v>192</v>
      </c>
      <c r="P296">
        <f>VLOOKUP(A296,[2]cwurData!$B:$N, 3, FALSE)</f>
        <v>83</v>
      </c>
      <c r="Q296">
        <f>VLOOKUP(A296,[2]cwurData!$B:$N, 4, FALSE)</f>
        <v>355</v>
      </c>
      <c r="R296">
        <f>VLOOKUP(A296,[2]cwurData!$B:$N, 5, FALSE)</f>
        <v>186</v>
      </c>
      <c r="S296">
        <f>VLOOKUP(A296,[2]cwurData!$B:$N, 6, FALSE)</f>
        <v>210</v>
      </c>
      <c r="T296">
        <f>VLOOKUP(A296,[2]cwurData!$B:$N, 7, FALSE)</f>
        <v>187</v>
      </c>
      <c r="U296">
        <f>VLOOKUP(A296,[2]cwurData!$B:$N, 8, FALSE)</f>
        <v>258</v>
      </c>
      <c r="V296">
        <f>VLOOKUP(A296,[2]cwurData!$B:$N, 9, FALSE)</f>
        <v>125</v>
      </c>
      <c r="W296">
        <f>VLOOKUP(A296,[2]cwurData!$B:$N, 10, FALSE)</f>
        <v>155</v>
      </c>
      <c r="X296">
        <f>VLOOKUP(A296,[2]cwurData!$B:$N, 11, FALSE)</f>
        <v>181</v>
      </c>
      <c r="Y296">
        <f>VLOOKUP(A296,[2]cwurData!$B:$N, 12, FALSE)</f>
        <v>48.07</v>
      </c>
      <c r="Z296">
        <f>VLOOKUP(A296,[2]cwurData!$B:$N, 13, FALSE)</f>
        <v>2014</v>
      </c>
    </row>
    <row r="297" spans="1:26" x14ac:dyDescent="0.3">
      <c r="A297" t="s">
        <v>447</v>
      </c>
      <c r="B297" t="str">
        <f>IFERROR(VLOOKUP(A297,[1]timesData!$B:$P,2,FALSE),VLOOKUP(A297,[2]cwurData!$B:$P,2,FALSE))</f>
        <v>Germany</v>
      </c>
      <c r="C297" t="str">
        <f>VLOOKUP(A297,[1]timesData!$B:$P,3,FALSE)</f>
        <v>251-275</v>
      </c>
      <c r="D297" t="str">
        <f>VLOOKUP(A298,[1]timesData!$B:$P,3,FALSE)</f>
        <v>251-275</v>
      </c>
      <c r="E297">
        <f>VLOOKUP(A298,[1]timesData!$B:$P,4,FALSE)</f>
        <v>47.3</v>
      </c>
      <c r="F297">
        <f>VLOOKUP(A298,[1]timesData!$B:$P,5,FALSE)</f>
        <v>20.9</v>
      </c>
      <c r="G297">
        <f>VLOOKUP(A298,[1]timesData!$B:$P,6,FALSE)</f>
        <v>52.1</v>
      </c>
      <c r="H297">
        <f>VLOOKUP(A298,[1]timesData!$B:$P,7,FALSE)</f>
        <v>33.6</v>
      </c>
      <c r="I297" t="str">
        <f>VLOOKUP(A298,[1]timesData!$B:$P,8,FALSE)</f>
        <v>-</v>
      </c>
      <c r="J297">
        <f>VLOOKUP(A298,[1]timesData!$B:$P,9,FALSE)</f>
        <v>24444</v>
      </c>
      <c r="K297">
        <f>VLOOKUP(A298,[1]timesData!$B:$P,10,FALSE)</f>
        <v>23.8</v>
      </c>
      <c r="L297">
        <f>VLOOKUP(A298,[1]timesData!$B:$P,11,FALSE)</f>
        <v>0.08</v>
      </c>
      <c r="M297">
        <f>VLOOKUP(A298,[1]timesData!$B:$P,12,FALSE)</f>
        <v>2.2409722222222221</v>
      </c>
      <c r="N297">
        <f>VLOOKUP(A298,[1]timesData!$B:$P,13,FALSE)</f>
        <v>2012</v>
      </c>
      <c r="O297">
        <f>VLOOKUP(A297,[2]cwurData!$B:$P,14,FALSE)</f>
        <v>199</v>
      </c>
      <c r="P297">
        <f>VLOOKUP(A297,[2]cwurData!$B:$N, 3, FALSE)</f>
        <v>12</v>
      </c>
      <c r="Q297">
        <f>VLOOKUP(A297,[2]cwurData!$B:$N, 4, FALSE)</f>
        <v>355</v>
      </c>
      <c r="R297">
        <f>VLOOKUP(A297,[2]cwurData!$B:$N, 5, FALSE)</f>
        <v>109</v>
      </c>
      <c r="S297">
        <f>VLOOKUP(A297,[2]cwurData!$B:$N, 6, FALSE)</f>
        <v>194</v>
      </c>
      <c r="T297">
        <f>VLOOKUP(A297,[2]cwurData!$B:$N, 7, FALSE)</f>
        <v>215</v>
      </c>
      <c r="U297">
        <f>VLOOKUP(A297,[2]cwurData!$B:$N, 8, FALSE)</f>
        <v>150</v>
      </c>
      <c r="V297">
        <f>VLOOKUP(A297,[2]cwurData!$B:$N, 9, FALSE)</f>
        <v>187</v>
      </c>
      <c r="W297">
        <f>VLOOKUP(A297,[2]cwurData!$B:$N, 10, FALSE)</f>
        <v>161</v>
      </c>
      <c r="X297">
        <f>VLOOKUP(A297,[2]cwurData!$B:$N, 11, FALSE)</f>
        <v>426</v>
      </c>
      <c r="Y297">
        <f>VLOOKUP(A297,[2]cwurData!$B:$N, 12, FALSE)</f>
        <v>47.97</v>
      </c>
      <c r="Z297">
        <f>VLOOKUP(A297,[2]cwurData!$B:$N, 13, FALSE)</f>
        <v>2014</v>
      </c>
    </row>
    <row r="298" spans="1:26" x14ac:dyDescent="0.3">
      <c r="A298" t="s">
        <v>276</v>
      </c>
      <c r="B298" t="str">
        <f>IFERROR(VLOOKUP(A298,[1]timesData!$B:$P,2,FALSE),VLOOKUP(A298,[2]cwurData!$B:$P,2,FALSE))</f>
        <v>Germany</v>
      </c>
      <c r="C298" t="str">
        <f>VLOOKUP(A298,[1]timesData!$B:$P,3,FALSE)</f>
        <v>251-275</v>
      </c>
      <c r="D298" t="str">
        <f>VLOOKUP(A299,[1]timesData!$B:$P,3,FALSE)</f>
        <v>251-275</v>
      </c>
      <c r="E298">
        <f>VLOOKUP(A299,[1]timesData!$B:$P,4,FALSE)</f>
        <v>40.5</v>
      </c>
      <c r="F298">
        <f>VLOOKUP(A299,[1]timesData!$B:$P,5,FALSE)</f>
        <v>29.7</v>
      </c>
      <c r="G298">
        <f>VLOOKUP(A299,[1]timesData!$B:$P,6,FALSE)</f>
        <v>50</v>
      </c>
      <c r="H298">
        <f>VLOOKUP(A299,[1]timesData!$B:$P,7,FALSE)</f>
        <v>32.6</v>
      </c>
      <c r="I298" t="str">
        <f>VLOOKUP(A299,[1]timesData!$B:$P,8,FALSE)</f>
        <v>-</v>
      </c>
      <c r="J298">
        <f>VLOOKUP(A299,[1]timesData!$B:$P,9,FALSE)</f>
        <v>25742</v>
      </c>
      <c r="K298">
        <f>VLOOKUP(A299,[1]timesData!$B:$P,10,FALSE)</f>
        <v>13</v>
      </c>
      <c r="L298">
        <f>VLOOKUP(A299,[1]timesData!$B:$P,11,FALSE)</f>
        <v>0.11</v>
      </c>
      <c r="M298">
        <f>VLOOKUP(A299,[1]timesData!$B:$P,12,FALSE)</f>
        <v>2.1590277777777778</v>
      </c>
      <c r="N298">
        <f>VLOOKUP(A299,[1]timesData!$B:$P,13,FALSE)</f>
        <v>2013</v>
      </c>
      <c r="O298">
        <f>VLOOKUP(A298,[2]cwurData!$B:$P,14,FALSE)</f>
        <v>232</v>
      </c>
      <c r="P298">
        <f>VLOOKUP(A298,[2]cwurData!$B:$N, 3, FALSE)</f>
        <v>17</v>
      </c>
      <c r="Q298">
        <f>VLOOKUP(A298,[2]cwurData!$B:$N, 4, FALSE)</f>
        <v>180</v>
      </c>
      <c r="R298">
        <f>VLOOKUP(A298,[2]cwurData!$B:$N, 5, FALSE)</f>
        <v>396</v>
      </c>
      <c r="S298">
        <f>VLOOKUP(A298,[2]cwurData!$B:$N, 6, FALSE)</f>
        <v>192</v>
      </c>
      <c r="T298">
        <f>VLOOKUP(A298,[2]cwurData!$B:$N, 7, FALSE)</f>
        <v>236</v>
      </c>
      <c r="U298">
        <f>VLOOKUP(A298,[2]cwurData!$B:$N, 8, FALSE)</f>
        <v>185</v>
      </c>
      <c r="V298">
        <f>VLOOKUP(A298,[2]cwurData!$B:$N, 9, FALSE)</f>
        <v>220</v>
      </c>
      <c r="W298">
        <f>VLOOKUP(A298,[2]cwurData!$B:$N, 10, FALSE)</f>
        <v>158</v>
      </c>
      <c r="X298">
        <f>VLOOKUP(A298,[2]cwurData!$B:$N, 11, FALSE)</f>
        <v>280</v>
      </c>
      <c r="Y298">
        <f>VLOOKUP(A298,[2]cwurData!$B:$N, 12, FALSE)</f>
        <v>47.39</v>
      </c>
      <c r="Z298">
        <f>VLOOKUP(A298,[2]cwurData!$B:$N, 13, FALSE)</f>
        <v>2014</v>
      </c>
    </row>
    <row r="299" spans="1:26" x14ac:dyDescent="0.3">
      <c r="A299" t="s">
        <v>416</v>
      </c>
      <c r="B299" t="str">
        <f>IFERROR(VLOOKUP(A299,[1]timesData!$B:$P,2,FALSE),VLOOKUP(A299,[2]cwurData!$B:$P,2,FALSE))</f>
        <v>United States of America</v>
      </c>
      <c r="C299" t="str">
        <f>VLOOKUP(A299,[1]timesData!$B:$P,3,FALSE)</f>
        <v>251-275</v>
      </c>
      <c r="D299" t="str">
        <f>VLOOKUP(A300,[1]timesData!$B:$P,3,FALSE)</f>
        <v>251-275</v>
      </c>
      <c r="E299">
        <f>VLOOKUP(A300,[1]timesData!$B:$P,4,FALSE)</f>
        <v>27.2</v>
      </c>
      <c r="F299">
        <f>VLOOKUP(A300,[1]timesData!$B:$P,5,FALSE)</f>
        <v>26.2</v>
      </c>
      <c r="G299">
        <f>VLOOKUP(A300,[1]timesData!$B:$P,6,FALSE)</f>
        <v>41.4</v>
      </c>
      <c r="H299">
        <f>VLOOKUP(A300,[1]timesData!$B:$P,7,FALSE)</f>
        <v>32</v>
      </c>
      <c r="I299" t="str">
        <f>VLOOKUP(A300,[1]timesData!$B:$P,8,FALSE)</f>
        <v>-</v>
      </c>
      <c r="J299">
        <f>VLOOKUP(A300,[1]timesData!$B:$P,9,FALSE)</f>
        <v>15930</v>
      </c>
      <c r="K299">
        <f>VLOOKUP(A300,[1]timesData!$B:$P,10,FALSE)</f>
        <v>12.6</v>
      </c>
      <c r="L299">
        <f>VLOOKUP(A300,[1]timesData!$B:$P,11,FALSE)</f>
        <v>0.16</v>
      </c>
      <c r="M299" t="str">
        <f>VLOOKUP(A300,[1]timesData!$B:$P,12,FALSE)</f>
        <v>38 : 62</v>
      </c>
      <c r="N299">
        <f>VLOOKUP(A300,[1]timesData!$B:$P,13,FALSE)</f>
        <v>2012</v>
      </c>
      <c r="O299">
        <f>VLOOKUP(A299,[2]cwurData!$B:$P,14,FALSE)</f>
        <v>233</v>
      </c>
      <c r="P299">
        <f>VLOOKUP(A299,[2]cwurData!$B:$N, 3, FALSE)</f>
        <v>94</v>
      </c>
      <c r="Q299">
        <f>VLOOKUP(A299,[2]cwurData!$B:$N, 4, FALSE)</f>
        <v>282</v>
      </c>
      <c r="R299">
        <f>VLOOKUP(A299,[2]cwurData!$B:$N, 5, FALSE)</f>
        <v>402</v>
      </c>
      <c r="S299">
        <f>VLOOKUP(A299,[2]cwurData!$B:$N, 6, FALSE)</f>
        <v>210</v>
      </c>
      <c r="T299">
        <f>VLOOKUP(A299,[2]cwurData!$B:$N, 7, FALSE)</f>
        <v>160</v>
      </c>
      <c r="U299">
        <f>VLOOKUP(A299,[2]cwurData!$B:$N, 8, FALSE)</f>
        <v>187</v>
      </c>
      <c r="V299">
        <f>VLOOKUP(A299,[2]cwurData!$B:$N, 9, FALSE)</f>
        <v>200</v>
      </c>
      <c r="W299">
        <f>VLOOKUP(A299,[2]cwurData!$B:$N, 10, FALSE)</f>
        <v>185</v>
      </c>
      <c r="X299">
        <f>VLOOKUP(A299,[2]cwurData!$B:$N, 11, FALSE)</f>
        <v>204</v>
      </c>
      <c r="Y299">
        <f>VLOOKUP(A299,[2]cwurData!$B:$N, 12, FALSE)</f>
        <v>47.35</v>
      </c>
      <c r="Z299">
        <f>VLOOKUP(A299,[2]cwurData!$B:$N, 13, FALSE)</f>
        <v>2014</v>
      </c>
    </row>
    <row r="300" spans="1:26" x14ac:dyDescent="0.3">
      <c r="A300" t="s">
        <v>280</v>
      </c>
      <c r="B300" t="str">
        <f>IFERROR(VLOOKUP(A300,[1]timesData!$B:$P,2,FALSE),VLOOKUP(A300,[2]cwurData!$B:$P,2,FALSE))</f>
        <v>Japan</v>
      </c>
      <c r="C300" t="str">
        <f>VLOOKUP(A300,[1]timesData!$B:$P,3,FALSE)</f>
        <v>251-275</v>
      </c>
      <c r="D300" t="str">
        <f>VLOOKUP(A301,[1]timesData!$B:$P,3,FALSE)</f>
        <v>251-275</v>
      </c>
      <c r="E300">
        <f>VLOOKUP(A301,[1]timesData!$B:$P,4,FALSE)</f>
        <v>25.1</v>
      </c>
      <c r="F300">
        <f>VLOOKUP(A301,[1]timesData!$B:$P,5,FALSE)</f>
        <v>40.4</v>
      </c>
      <c r="G300">
        <f>VLOOKUP(A301,[1]timesData!$B:$P,6,FALSE)</f>
        <v>30.3</v>
      </c>
      <c r="H300">
        <f>VLOOKUP(A301,[1]timesData!$B:$P,7,FALSE)</f>
        <v>24.2</v>
      </c>
      <c r="I300" t="str">
        <f>VLOOKUP(A301,[1]timesData!$B:$P,8,FALSE)</f>
        <v>-</v>
      </c>
      <c r="J300">
        <f>VLOOKUP(A301,[1]timesData!$B:$P,9,FALSE)</f>
        <v>30850</v>
      </c>
      <c r="K300">
        <f>VLOOKUP(A301,[1]timesData!$B:$P,10,FALSE)</f>
        <v>18.600000000000001</v>
      </c>
      <c r="L300">
        <f>VLOOKUP(A301,[1]timesData!$B:$P,11,FALSE)</f>
        <v>0.1</v>
      </c>
      <c r="M300">
        <f>VLOOKUP(A301,[1]timesData!$B:$P,12,FALSE)</f>
        <v>1.7902777777777779</v>
      </c>
      <c r="N300">
        <f>VLOOKUP(A301,[1]timesData!$B:$P,13,FALSE)</f>
        <v>2012</v>
      </c>
      <c r="O300">
        <f>VLOOKUP(A300,[2]cwurData!$B:$P,14,FALSE)</f>
        <v>253</v>
      </c>
      <c r="P300">
        <f>VLOOKUP(A300,[2]cwurData!$B:$N, 3, FALSE)</f>
        <v>13</v>
      </c>
      <c r="Q300">
        <f>VLOOKUP(A300,[2]cwurData!$B:$N, 4, FALSE)</f>
        <v>183</v>
      </c>
      <c r="R300">
        <f>VLOOKUP(A300,[2]cwurData!$B:$N, 5, FALSE)</f>
        <v>478</v>
      </c>
      <c r="S300">
        <f>VLOOKUP(A300,[2]cwurData!$B:$N, 6, FALSE)</f>
        <v>108</v>
      </c>
      <c r="T300">
        <f>VLOOKUP(A300,[2]cwurData!$B:$N, 7, FALSE)</f>
        <v>226</v>
      </c>
      <c r="U300">
        <f>VLOOKUP(A300,[2]cwurData!$B:$N, 8, FALSE)</f>
        <v>239</v>
      </c>
      <c r="V300">
        <f>VLOOKUP(A300,[2]cwurData!$B:$N, 9, FALSE)</f>
        <v>176</v>
      </c>
      <c r="W300">
        <f>VLOOKUP(A300,[2]cwurData!$B:$N, 10, FALSE)</f>
        <v>220</v>
      </c>
      <c r="X300">
        <f>VLOOKUP(A300,[2]cwurData!$B:$N, 11, FALSE)</f>
        <v>259</v>
      </c>
      <c r="Y300">
        <f>VLOOKUP(A300,[2]cwurData!$B:$N, 12, FALSE)</f>
        <v>47</v>
      </c>
      <c r="Z300">
        <f>VLOOKUP(A300,[2]cwurData!$B:$N, 13, FALSE)</f>
        <v>2014</v>
      </c>
    </row>
    <row r="301" spans="1:26" x14ac:dyDescent="0.3">
      <c r="A301" t="s">
        <v>283</v>
      </c>
      <c r="B301" t="str">
        <f>IFERROR(VLOOKUP(A301,[1]timesData!$B:$P,2,FALSE),VLOOKUP(A301,[2]cwurData!$B:$P,2,FALSE))</f>
        <v>United States of America</v>
      </c>
      <c r="C301" t="str">
        <f>VLOOKUP(A301,[1]timesData!$B:$P,3,FALSE)</f>
        <v>251-275</v>
      </c>
      <c r="D301" t="str">
        <f>VLOOKUP(A302,[1]timesData!$B:$P,3,FALSE)</f>
        <v>251-275</v>
      </c>
      <c r="E301">
        <f>VLOOKUP(A302,[1]timesData!$B:$P,4,FALSE)</f>
        <v>57.7</v>
      </c>
      <c r="F301">
        <f>VLOOKUP(A302,[1]timesData!$B:$P,5,FALSE)</f>
        <v>26.9</v>
      </c>
      <c r="G301">
        <f>VLOOKUP(A302,[1]timesData!$B:$P,6,FALSE)</f>
        <v>41.5</v>
      </c>
      <c r="H301">
        <f>VLOOKUP(A302,[1]timesData!$B:$P,7,FALSE)</f>
        <v>49.7</v>
      </c>
      <c r="I301" t="str">
        <f>VLOOKUP(A302,[1]timesData!$B:$P,8,FALSE)</f>
        <v>-</v>
      </c>
      <c r="J301">
        <f>VLOOKUP(A302,[1]timesData!$B:$P,9,FALSE)</f>
        <v>17381</v>
      </c>
      <c r="K301">
        <f>VLOOKUP(A302,[1]timesData!$B:$P,10,FALSE)</f>
        <v>13.9</v>
      </c>
      <c r="L301">
        <f>VLOOKUP(A302,[1]timesData!$B:$P,11,FALSE)</f>
        <v>0.09</v>
      </c>
      <c r="M301">
        <f>VLOOKUP(A302,[1]timesData!$B:$P,12,FALSE)</f>
        <v>1.9541666666666666</v>
      </c>
      <c r="N301">
        <f>VLOOKUP(A302,[1]timesData!$B:$P,13,FALSE)</f>
        <v>2012</v>
      </c>
      <c r="O301">
        <f>VLOOKUP(A301,[2]cwurData!$B:$P,14,FALSE)</f>
        <v>271</v>
      </c>
      <c r="P301">
        <f>VLOOKUP(A301,[2]cwurData!$B:$N, 3, FALSE)</f>
        <v>111</v>
      </c>
      <c r="Q301">
        <f>VLOOKUP(A301,[2]cwurData!$B:$N, 4, FALSE)</f>
        <v>270</v>
      </c>
      <c r="R301">
        <f>VLOOKUP(A301,[2]cwurData!$B:$N, 5, FALSE)</f>
        <v>185</v>
      </c>
      <c r="S301">
        <f>VLOOKUP(A301,[2]cwurData!$B:$N, 6, FALSE)</f>
        <v>210</v>
      </c>
      <c r="T301">
        <f>VLOOKUP(A301,[2]cwurData!$B:$N, 7, FALSE)</f>
        <v>196</v>
      </c>
      <c r="U301">
        <f>VLOOKUP(A301,[2]cwurData!$B:$N, 8, FALSE)</f>
        <v>267</v>
      </c>
      <c r="V301">
        <f>VLOOKUP(A301,[2]cwurData!$B:$N, 9, FALSE)</f>
        <v>200</v>
      </c>
      <c r="W301">
        <f>VLOOKUP(A301,[2]cwurData!$B:$N, 10, FALSE)</f>
        <v>281</v>
      </c>
      <c r="X301">
        <f>VLOOKUP(A301,[2]cwurData!$B:$N, 11, FALSE)</f>
        <v>227</v>
      </c>
      <c r="Y301">
        <f>VLOOKUP(A301,[2]cwurData!$B:$N, 12, FALSE)</f>
        <v>46.72</v>
      </c>
      <c r="Z301">
        <f>VLOOKUP(A301,[2]cwurData!$B:$N, 13, FALSE)</f>
        <v>2014</v>
      </c>
    </row>
    <row r="302" spans="1:26" x14ac:dyDescent="0.3">
      <c r="A302" t="s">
        <v>268</v>
      </c>
      <c r="B302" t="str">
        <f>IFERROR(VLOOKUP(A302,[1]timesData!$B:$P,2,FALSE),VLOOKUP(A302,[2]cwurData!$B:$P,2,FALSE))</f>
        <v>Norway</v>
      </c>
      <c r="C302" t="str">
        <f>VLOOKUP(A302,[1]timesData!$B:$P,3,FALSE)</f>
        <v>251-275</v>
      </c>
      <c r="D302" t="str">
        <f>VLOOKUP(A303,[1]timesData!$B:$P,3,FALSE)</f>
        <v>251-275</v>
      </c>
      <c r="E302">
        <f>VLOOKUP(A303,[1]timesData!$B:$P,4,FALSE)</f>
        <v>46.6</v>
      </c>
      <c r="F302">
        <f>VLOOKUP(A303,[1]timesData!$B:$P,5,FALSE)</f>
        <v>28.3</v>
      </c>
      <c r="G302">
        <f>VLOOKUP(A303,[1]timesData!$B:$P,6,FALSE)</f>
        <v>36</v>
      </c>
      <c r="H302">
        <f>VLOOKUP(A303,[1]timesData!$B:$P,7,FALSE)</f>
        <v>59.7</v>
      </c>
      <c r="I302" t="str">
        <f>VLOOKUP(A303,[1]timesData!$B:$P,8,FALSE)</f>
        <v>-</v>
      </c>
      <c r="J302">
        <f>VLOOKUP(A303,[1]timesData!$B:$P,9,FALSE)</f>
        <v>38675</v>
      </c>
      <c r="K302">
        <f>VLOOKUP(A303,[1]timesData!$B:$P,10,FALSE)</f>
        <v>46.3</v>
      </c>
      <c r="L302">
        <f>VLOOKUP(A303,[1]timesData!$B:$P,11,FALSE)</f>
        <v>0.13</v>
      </c>
      <c r="M302">
        <f>VLOOKUP(A303,[1]timesData!$B:$P,12,FALSE)</f>
        <v>2.036111111111111</v>
      </c>
      <c r="N302">
        <f>VLOOKUP(A303,[1]timesData!$B:$P,13,FALSE)</f>
        <v>2012</v>
      </c>
      <c r="O302">
        <f>VLOOKUP(A302,[2]cwurData!$B:$P,14,FALSE)</f>
        <v>286</v>
      </c>
      <c r="P302">
        <f>VLOOKUP(A302,[2]cwurData!$B:$N, 3, FALSE)</f>
        <v>2</v>
      </c>
      <c r="Q302">
        <f>VLOOKUP(A302,[2]cwurData!$B:$N, 4, FALSE)</f>
        <v>231</v>
      </c>
      <c r="R302">
        <f>VLOOKUP(A302,[2]cwurData!$B:$N, 5, FALSE)</f>
        <v>163</v>
      </c>
      <c r="S302">
        <f>VLOOKUP(A302,[2]cwurData!$B:$N, 6, FALSE)</f>
        <v>210</v>
      </c>
      <c r="T302">
        <f>VLOOKUP(A302,[2]cwurData!$B:$N, 7, FALSE)</f>
        <v>274</v>
      </c>
      <c r="U302">
        <f>VLOOKUP(A302,[2]cwurData!$B:$N, 8, FALSE)</f>
        <v>350</v>
      </c>
      <c r="V302">
        <f>VLOOKUP(A302,[2]cwurData!$B:$N, 9, FALSE)</f>
        <v>220</v>
      </c>
      <c r="W302">
        <f>VLOOKUP(A302,[2]cwurData!$B:$N, 10, FALSE)</f>
        <v>277</v>
      </c>
      <c r="X302">
        <f>VLOOKUP(A302,[2]cwurData!$B:$N, 11, FALSE)</f>
        <v>373</v>
      </c>
      <c r="Y302">
        <f>VLOOKUP(A302,[2]cwurData!$B:$N, 12, FALSE)</f>
        <v>46.49</v>
      </c>
      <c r="Z302">
        <f>VLOOKUP(A302,[2]cwurData!$B:$N, 13, FALSE)</f>
        <v>2014</v>
      </c>
    </row>
    <row r="303" spans="1:26" x14ac:dyDescent="0.3">
      <c r="A303" t="s">
        <v>270</v>
      </c>
      <c r="B303" t="str">
        <f>IFERROR(VLOOKUP(A303,[1]timesData!$B:$P,2,FALSE),VLOOKUP(A303,[2]cwurData!$B:$P,2,FALSE))</f>
        <v>Germany</v>
      </c>
      <c r="C303" t="str">
        <f>VLOOKUP(A303,[1]timesData!$B:$P,3,FALSE)</f>
        <v>251-275</v>
      </c>
      <c r="D303" t="str">
        <f>VLOOKUP(A304,[1]timesData!$B:$P,3,FALSE)</f>
        <v>251-275</v>
      </c>
      <c r="E303">
        <f>VLOOKUP(A304,[1]timesData!$B:$P,4,FALSE)</f>
        <v>44.4</v>
      </c>
      <c r="F303">
        <f>VLOOKUP(A304,[1]timesData!$B:$P,5,FALSE)</f>
        <v>30</v>
      </c>
      <c r="G303">
        <f>VLOOKUP(A304,[1]timesData!$B:$P,6,FALSE)</f>
        <v>36.6</v>
      </c>
      <c r="H303">
        <f>VLOOKUP(A304,[1]timesData!$B:$P,7,FALSE)</f>
        <v>99.6</v>
      </c>
      <c r="I303" t="str">
        <f>VLOOKUP(A304,[1]timesData!$B:$P,8,FALSE)</f>
        <v>-</v>
      </c>
      <c r="J303">
        <f>VLOOKUP(A304,[1]timesData!$B:$P,9,FALSE)</f>
        <v>21849</v>
      </c>
      <c r="K303">
        <f>VLOOKUP(A304,[1]timesData!$B:$P,10,FALSE)</f>
        <v>23</v>
      </c>
      <c r="L303">
        <f>VLOOKUP(A304,[1]timesData!$B:$P,11,FALSE)</f>
        <v>0.08</v>
      </c>
      <c r="M303">
        <f>VLOOKUP(A304,[1]timesData!$B:$P,12,FALSE)</f>
        <v>2.2409722222222221</v>
      </c>
      <c r="N303">
        <f>VLOOKUP(A304,[1]timesData!$B:$P,13,FALSE)</f>
        <v>2012</v>
      </c>
      <c r="O303">
        <f>VLOOKUP(A303,[2]cwurData!$B:$P,14,FALSE)</f>
        <v>304</v>
      </c>
      <c r="P303">
        <f>VLOOKUP(A303,[2]cwurData!$B:$N, 3, FALSE)</f>
        <v>28</v>
      </c>
      <c r="Q303">
        <f>VLOOKUP(A303,[2]cwurData!$B:$N, 4, FALSE)</f>
        <v>355</v>
      </c>
      <c r="R303">
        <f>VLOOKUP(A303,[2]cwurData!$B:$N, 5, FALSE)</f>
        <v>283</v>
      </c>
      <c r="S303">
        <f>VLOOKUP(A303,[2]cwurData!$B:$N, 6, FALSE)</f>
        <v>210</v>
      </c>
      <c r="T303">
        <f>VLOOKUP(A303,[2]cwurData!$B:$N, 7, FALSE)</f>
        <v>235</v>
      </c>
      <c r="U303">
        <f>VLOOKUP(A303,[2]cwurData!$B:$N, 8, FALSE)</f>
        <v>222</v>
      </c>
      <c r="V303">
        <f>VLOOKUP(A303,[2]cwurData!$B:$N, 9, FALSE)</f>
        <v>406</v>
      </c>
      <c r="W303">
        <f>VLOOKUP(A303,[2]cwurData!$B:$N, 10, FALSE)</f>
        <v>265</v>
      </c>
      <c r="X303">
        <f>VLOOKUP(A303,[2]cwurData!$B:$N, 11, FALSE)</f>
        <v>637</v>
      </c>
      <c r="Y303">
        <f>VLOOKUP(A303,[2]cwurData!$B:$N, 12, FALSE)</f>
        <v>46.31</v>
      </c>
      <c r="Z303">
        <f>VLOOKUP(A303,[2]cwurData!$B:$N, 13, FALSE)</f>
        <v>2014</v>
      </c>
    </row>
    <row r="304" spans="1:26" x14ac:dyDescent="0.3">
      <c r="A304" t="s">
        <v>271</v>
      </c>
      <c r="B304" t="str">
        <f>IFERROR(VLOOKUP(A304,[1]timesData!$B:$P,2,FALSE),VLOOKUP(A304,[2]cwurData!$B:$P,2,FALSE))</f>
        <v>South Africa</v>
      </c>
      <c r="C304" t="str">
        <f>VLOOKUP(A304,[1]timesData!$B:$P,3,FALSE)</f>
        <v>251-275</v>
      </c>
      <c r="D304" t="str">
        <f>VLOOKUP(A305,[1]timesData!$B:$P,3,FALSE)</f>
        <v>251-275</v>
      </c>
      <c r="E304">
        <f>VLOOKUP(A305,[1]timesData!$B:$P,4,FALSE)</f>
        <v>30.2</v>
      </c>
      <c r="F304">
        <f>VLOOKUP(A305,[1]timesData!$B:$P,5,FALSE)</f>
        <v>21.7</v>
      </c>
      <c r="G304">
        <f>VLOOKUP(A305,[1]timesData!$B:$P,6,FALSE)</f>
        <v>70.400000000000006</v>
      </c>
      <c r="H304" t="str">
        <f>VLOOKUP(A305,[1]timesData!$B:$P,7,FALSE)</f>
        <v>-</v>
      </c>
      <c r="I304" t="str">
        <f>VLOOKUP(A305,[1]timesData!$B:$P,8,FALSE)</f>
        <v>-</v>
      </c>
      <c r="J304">
        <f>VLOOKUP(A305,[1]timesData!$B:$P,9,FALSE)</f>
        <v>24418</v>
      </c>
      <c r="K304">
        <f>VLOOKUP(A305,[1]timesData!$B:$P,10,FALSE)</f>
        <v>20.2</v>
      </c>
      <c r="L304">
        <f>VLOOKUP(A305,[1]timesData!$B:$P,11,FALSE)</f>
        <v>0.11</v>
      </c>
      <c r="M304">
        <f>VLOOKUP(A305,[1]timesData!$B:$P,12,FALSE)</f>
        <v>2.2000000000000002</v>
      </c>
      <c r="N304">
        <f>VLOOKUP(A305,[1]timesData!$B:$P,13,FALSE)</f>
        <v>2013</v>
      </c>
      <c r="O304">
        <f>VLOOKUP(A304,[2]cwurData!$B:$P,14,FALSE)</f>
        <v>311</v>
      </c>
      <c r="P304">
        <f>VLOOKUP(A304,[2]cwurData!$B:$N, 3, FALSE)</f>
        <v>3</v>
      </c>
      <c r="Q304">
        <f>VLOOKUP(A304,[2]cwurData!$B:$N, 4, FALSE)</f>
        <v>355</v>
      </c>
      <c r="R304">
        <f>VLOOKUP(A304,[2]cwurData!$B:$N, 5, FALSE)</f>
        <v>64</v>
      </c>
      <c r="S304">
        <f>VLOOKUP(A304,[2]cwurData!$B:$N, 6, FALSE)</f>
        <v>210</v>
      </c>
      <c r="T304">
        <f>VLOOKUP(A304,[2]cwurData!$B:$N, 7, FALSE)</f>
        <v>545</v>
      </c>
      <c r="U304">
        <f>VLOOKUP(A304,[2]cwurData!$B:$N, 8, FALSE)</f>
        <v>494</v>
      </c>
      <c r="V304">
        <f>VLOOKUP(A304,[2]cwurData!$B:$N, 9, FALSE)</f>
        <v>310</v>
      </c>
      <c r="W304">
        <f>VLOOKUP(A304,[2]cwurData!$B:$N, 10, FALSE)</f>
        <v>504</v>
      </c>
      <c r="X304">
        <f>VLOOKUP(A304,[2]cwurData!$B:$N, 11, FALSE)</f>
        <v>259</v>
      </c>
      <c r="Y304">
        <f>VLOOKUP(A304,[2]cwurData!$B:$N, 12, FALSE)</f>
        <v>46.26</v>
      </c>
      <c r="Z304">
        <f>VLOOKUP(A304,[2]cwurData!$B:$N, 13, FALSE)</f>
        <v>2014</v>
      </c>
    </row>
    <row r="305" spans="1:26" x14ac:dyDescent="0.3">
      <c r="A305" t="s">
        <v>417</v>
      </c>
      <c r="B305" t="str">
        <f>IFERROR(VLOOKUP(A305,[1]timesData!$B:$P,2,FALSE),VLOOKUP(A305,[2]cwurData!$B:$P,2,FALSE))</f>
        <v>United States of America</v>
      </c>
      <c r="C305" t="str">
        <f>VLOOKUP(A305,[1]timesData!$B:$P,3,FALSE)</f>
        <v>251-275</v>
      </c>
      <c r="D305" t="str">
        <f>VLOOKUP(A306,[1]timesData!$B:$P,3,FALSE)</f>
        <v>251-275</v>
      </c>
      <c r="E305">
        <f>VLOOKUP(A306,[1]timesData!$B:$P,4,FALSE)</f>
        <v>73.7</v>
      </c>
      <c r="F305">
        <f>VLOOKUP(A306,[1]timesData!$B:$P,5,FALSE)</f>
        <v>12.4</v>
      </c>
      <c r="G305">
        <f>VLOOKUP(A306,[1]timesData!$B:$P,6,FALSE)</f>
        <v>58</v>
      </c>
      <c r="H305">
        <f>VLOOKUP(A306,[1]timesData!$B:$P,7,FALSE)</f>
        <v>67.900000000000006</v>
      </c>
      <c r="I305" t="str">
        <f>VLOOKUP(A306,[1]timesData!$B:$P,8,FALSE)</f>
        <v>-</v>
      </c>
      <c r="J305">
        <f>VLOOKUP(A306,[1]timesData!$B:$P,9,FALSE)</f>
        <v>22210</v>
      </c>
      <c r="K305">
        <f>VLOOKUP(A306,[1]timesData!$B:$P,10,FALSE)</f>
        <v>12.7</v>
      </c>
      <c r="L305">
        <f>VLOOKUP(A306,[1]timesData!$B:$P,11,FALSE)</f>
        <v>0.16</v>
      </c>
      <c r="M305">
        <f>VLOOKUP(A306,[1]timesData!$B:$P,12,FALSE)</f>
        <v>2.2000000000000002</v>
      </c>
      <c r="N305">
        <f>VLOOKUP(A306,[1]timesData!$B:$P,13,FALSE)</f>
        <v>2012</v>
      </c>
      <c r="O305">
        <f>VLOOKUP(A305,[2]cwurData!$B:$P,14,FALSE)</f>
        <v>346</v>
      </c>
      <c r="P305">
        <f>VLOOKUP(A305,[2]cwurData!$B:$N, 3, FALSE)</f>
        <v>126</v>
      </c>
      <c r="Q305">
        <f>VLOOKUP(A305,[2]cwurData!$B:$N, 4, FALSE)</f>
        <v>334</v>
      </c>
      <c r="R305">
        <f>VLOOKUP(A305,[2]cwurData!$B:$N, 5, FALSE)</f>
        <v>478</v>
      </c>
      <c r="S305">
        <f>VLOOKUP(A305,[2]cwurData!$B:$N, 6, FALSE)</f>
        <v>210</v>
      </c>
      <c r="T305">
        <f>VLOOKUP(A305,[2]cwurData!$B:$N, 7, FALSE)</f>
        <v>370</v>
      </c>
      <c r="U305">
        <f>VLOOKUP(A305,[2]cwurData!$B:$N, 8, FALSE)</f>
        <v>205</v>
      </c>
      <c r="V305">
        <f>VLOOKUP(A305,[2]cwurData!$B:$N, 9, FALSE)</f>
        <v>200</v>
      </c>
      <c r="W305">
        <f>VLOOKUP(A305,[2]cwurData!$B:$N, 10, FALSE)</f>
        <v>281</v>
      </c>
      <c r="X305">
        <f>VLOOKUP(A305,[2]cwurData!$B:$N, 11, FALSE)</f>
        <v>637</v>
      </c>
      <c r="Y305">
        <f>VLOOKUP(A305,[2]cwurData!$B:$N, 12, FALSE)</f>
        <v>45.89</v>
      </c>
      <c r="Z305">
        <f>VLOOKUP(A305,[2]cwurData!$B:$N, 13, FALSE)</f>
        <v>2014</v>
      </c>
    </row>
    <row r="306" spans="1:26" x14ac:dyDescent="0.3">
      <c r="A306" t="s">
        <v>277</v>
      </c>
      <c r="B306" t="str">
        <f>IFERROR(VLOOKUP(A306,[1]timesData!$B:$P,2,FALSE),VLOOKUP(A306,[2]cwurData!$B:$P,2,FALSE))</f>
        <v>Denmark</v>
      </c>
      <c r="C306" t="str">
        <f>VLOOKUP(A306,[1]timesData!$B:$P,3,FALSE)</f>
        <v>251-275</v>
      </c>
      <c r="D306" t="str">
        <f>VLOOKUP(A307,[1]timesData!$B:$P,3,FALSE)</f>
        <v>251-275</v>
      </c>
      <c r="E306">
        <f>VLOOKUP(A307,[1]timesData!$B:$P,4,FALSE)</f>
        <v>80.599999999999994</v>
      </c>
      <c r="F306">
        <f>VLOOKUP(A307,[1]timesData!$B:$P,5,FALSE)</f>
        <v>23.2</v>
      </c>
      <c r="G306">
        <f>VLOOKUP(A307,[1]timesData!$B:$P,6,FALSE)</f>
        <v>39.9</v>
      </c>
      <c r="H306">
        <f>VLOOKUP(A307,[1]timesData!$B:$P,7,FALSE)</f>
        <v>38.9</v>
      </c>
      <c r="I306" t="str">
        <f>VLOOKUP(A307,[1]timesData!$B:$P,8,FALSE)</f>
        <v>-</v>
      </c>
      <c r="J306">
        <f>VLOOKUP(A307,[1]timesData!$B:$P,9,FALSE)</f>
        <v>12830</v>
      </c>
      <c r="K306">
        <f>VLOOKUP(A307,[1]timesData!$B:$P,10,FALSE)</f>
        <v>18.8</v>
      </c>
      <c r="L306">
        <f>VLOOKUP(A307,[1]timesData!$B:$P,11,FALSE)</f>
        <v>0.3</v>
      </c>
      <c r="M306">
        <f>VLOOKUP(A307,[1]timesData!$B:$P,12,FALSE)</f>
        <v>1.9541666666666666</v>
      </c>
      <c r="N306">
        <f>VLOOKUP(A307,[1]timesData!$B:$P,13,FALSE)</f>
        <v>2012</v>
      </c>
      <c r="O306">
        <f>VLOOKUP(A306,[2]cwurData!$B:$P,14,FALSE)</f>
        <v>352</v>
      </c>
      <c r="P306">
        <f>VLOOKUP(A306,[2]cwurData!$B:$N, 3, FALSE)</f>
        <v>4</v>
      </c>
      <c r="Q306">
        <f>VLOOKUP(A306,[2]cwurData!$B:$N, 4, FALSE)</f>
        <v>355</v>
      </c>
      <c r="R306">
        <f>VLOOKUP(A306,[2]cwurData!$B:$N, 5, FALSE)</f>
        <v>478</v>
      </c>
      <c r="S306">
        <f>VLOOKUP(A306,[2]cwurData!$B:$N, 6, FALSE)</f>
        <v>210</v>
      </c>
      <c r="T306">
        <f>VLOOKUP(A306,[2]cwurData!$B:$N, 7, FALSE)</f>
        <v>380</v>
      </c>
      <c r="U306">
        <f>VLOOKUP(A306,[2]cwurData!$B:$N, 8, FALSE)</f>
        <v>316</v>
      </c>
      <c r="V306">
        <f>VLOOKUP(A306,[2]cwurData!$B:$N, 9, FALSE)</f>
        <v>310</v>
      </c>
      <c r="W306">
        <f>VLOOKUP(A306,[2]cwurData!$B:$N, 10, FALSE)</f>
        <v>290</v>
      </c>
      <c r="X306">
        <f>VLOOKUP(A306,[2]cwurData!$B:$N, 11, FALSE)</f>
        <v>280</v>
      </c>
      <c r="Y306">
        <f>VLOOKUP(A306,[2]cwurData!$B:$N, 12, FALSE)</f>
        <v>45.83</v>
      </c>
      <c r="Z306">
        <f>VLOOKUP(A306,[2]cwurData!$B:$N, 13, FALSE)</f>
        <v>2014</v>
      </c>
    </row>
    <row r="307" spans="1:26" x14ac:dyDescent="0.3">
      <c r="A307" t="s">
        <v>274</v>
      </c>
      <c r="B307" t="str">
        <f>IFERROR(VLOOKUP(A307,[1]timesData!$B:$P,2,FALSE),VLOOKUP(A307,[2]cwurData!$B:$P,2,FALSE))</f>
        <v>United Kingdom</v>
      </c>
      <c r="C307" t="str">
        <f>VLOOKUP(A307,[1]timesData!$B:$P,3,FALSE)</f>
        <v>251-275</v>
      </c>
      <c r="D307" t="str">
        <f>VLOOKUP(A308,[1]timesData!$B:$P,3,FALSE)</f>
        <v>251-275</v>
      </c>
      <c r="E307">
        <f>VLOOKUP(A308,[1]timesData!$B:$P,4,FALSE)</f>
        <v>88.7</v>
      </c>
      <c r="F307">
        <f>VLOOKUP(A308,[1]timesData!$B:$P,5,FALSE)</f>
        <v>23</v>
      </c>
      <c r="G307">
        <f>VLOOKUP(A308,[1]timesData!$B:$P,6,FALSE)</f>
        <v>43.5</v>
      </c>
      <c r="H307">
        <f>VLOOKUP(A308,[1]timesData!$B:$P,7,FALSE)</f>
        <v>40.4</v>
      </c>
      <c r="I307" t="str">
        <f>VLOOKUP(A308,[1]timesData!$B:$P,8,FALSE)</f>
        <v>-</v>
      </c>
      <c r="J307">
        <f>VLOOKUP(A308,[1]timesData!$B:$P,9,FALSE)</f>
        <v>16489</v>
      </c>
      <c r="K307">
        <f>VLOOKUP(A308,[1]timesData!$B:$P,10,FALSE)</f>
        <v>25.4</v>
      </c>
      <c r="L307">
        <f>VLOOKUP(A308,[1]timesData!$B:$P,11,FALSE)</f>
        <v>0.24</v>
      </c>
      <c r="M307">
        <f>VLOOKUP(A308,[1]timesData!$B:$P,12,FALSE)</f>
        <v>2.1180555555555554</v>
      </c>
      <c r="N307">
        <f>VLOOKUP(A308,[1]timesData!$B:$P,13,FALSE)</f>
        <v>2012</v>
      </c>
      <c r="O307">
        <f>VLOOKUP(A307,[2]cwurData!$B:$P,14,FALSE)</f>
        <v>421</v>
      </c>
      <c r="P307">
        <f>VLOOKUP(A307,[2]cwurData!$B:$N, 3, FALSE)</f>
        <v>37</v>
      </c>
      <c r="Q307">
        <f>VLOOKUP(A307,[2]cwurData!$B:$N, 4, FALSE)</f>
        <v>355</v>
      </c>
      <c r="R307">
        <f>VLOOKUP(A307,[2]cwurData!$B:$N, 5, FALSE)</f>
        <v>352</v>
      </c>
      <c r="S307">
        <f>VLOOKUP(A307,[2]cwurData!$B:$N, 6, FALSE)</f>
        <v>210</v>
      </c>
      <c r="T307">
        <f>VLOOKUP(A307,[2]cwurData!$B:$N, 7, FALSE)</f>
        <v>387</v>
      </c>
      <c r="U307">
        <f>VLOOKUP(A307,[2]cwurData!$B:$N, 8, FALSE)</f>
        <v>379</v>
      </c>
      <c r="V307">
        <f>VLOOKUP(A307,[2]cwurData!$B:$N, 9, FALSE)</f>
        <v>310</v>
      </c>
      <c r="W307">
        <f>VLOOKUP(A307,[2]cwurData!$B:$N, 10, FALSE)</f>
        <v>355</v>
      </c>
      <c r="X307">
        <f>VLOOKUP(A307,[2]cwurData!$B:$N, 11, FALSE)</f>
        <v>552</v>
      </c>
      <c r="Y307">
        <f>VLOOKUP(A307,[2]cwurData!$B:$N, 12, FALSE)</f>
        <v>45.44</v>
      </c>
      <c r="Z307">
        <f>VLOOKUP(A307,[2]cwurData!$B:$N, 13, FALSE)</f>
        <v>2014</v>
      </c>
    </row>
    <row r="308" spans="1:26" x14ac:dyDescent="0.3">
      <c r="A308" t="s">
        <v>281</v>
      </c>
      <c r="B308" t="str">
        <f>IFERROR(VLOOKUP(A308,[1]timesData!$B:$P,2,FALSE),VLOOKUP(A308,[2]cwurData!$B:$P,2,FALSE))</f>
        <v>Australia</v>
      </c>
      <c r="C308" t="str">
        <f>VLOOKUP(A308,[1]timesData!$B:$P,3,FALSE)</f>
        <v>251-275</v>
      </c>
      <c r="D308" t="str">
        <f>VLOOKUP(A309,[1]timesData!$B:$P,3,FALSE)</f>
        <v>251-275</v>
      </c>
      <c r="E308">
        <f>VLOOKUP(A309,[1]timesData!$B:$P,4,FALSE)</f>
        <v>63.8</v>
      </c>
      <c r="F308">
        <f>VLOOKUP(A309,[1]timesData!$B:$P,5,FALSE)</f>
        <v>14</v>
      </c>
      <c r="G308">
        <f>VLOOKUP(A309,[1]timesData!$B:$P,6,FALSE)</f>
        <v>55.1</v>
      </c>
      <c r="H308">
        <f>VLOOKUP(A309,[1]timesData!$B:$P,7,FALSE)</f>
        <v>25.5</v>
      </c>
      <c r="I308" t="str">
        <f>VLOOKUP(A309,[1]timesData!$B:$P,8,FALSE)</f>
        <v>-</v>
      </c>
      <c r="J308">
        <f>VLOOKUP(A309,[1]timesData!$B:$P,9,FALSE)</f>
        <v>20584</v>
      </c>
      <c r="K308">
        <f>VLOOKUP(A309,[1]timesData!$B:$P,10,FALSE)</f>
        <v>26.8</v>
      </c>
      <c r="L308">
        <f>VLOOKUP(A309,[1]timesData!$B:$P,11,FALSE)</f>
        <v>0.12</v>
      </c>
      <c r="M308">
        <f>VLOOKUP(A309,[1]timesData!$B:$P,12,FALSE)</f>
        <v>2.7326388888888888</v>
      </c>
      <c r="N308">
        <f>VLOOKUP(A309,[1]timesData!$B:$P,13,FALSE)</f>
        <v>2012</v>
      </c>
      <c r="O308">
        <f>VLOOKUP(A308,[2]cwurData!$B:$P,14,FALSE)</f>
        <v>506</v>
      </c>
      <c r="P308">
        <f>VLOOKUP(A308,[2]cwurData!$B:$N, 3, FALSE)</f>
        <v>10</v>
      </c>
      <c r="Q308">
        <f>VLOOKUP(A308,[2]cwurData!$B:$N, 4, FALSE)</f>
        <v>355</v>
      </c>
      <c r="R308">
        <f>VLOOKUP(A308,[2]cwurData!$B:$N, 5, FALSE)</f>
        <v>274</v>
      </c>
      <c r="S308">
        <f>VLOOKUP(A308,[2]cwurData!$B:$N, 6, FALSE)</f>
        <v>210</v>
      </c>
      <c r="T308">
        <f>VLOOKUP(A308,[2]cwurData!$B:$N, 7, FALSE)</f>
        <v>445</v>
      </c>
      <c r="U308">
        <f>VLOOKUP(A308,[2]cwurData!$B:$N, 8, FALSE)</f>
        <v>460</v>
      </c>
      <c r="V308">
        <f>VLOOKUP(A308,[2]cwurData!$B:$N, 9, FALSE)</f>
        <v>609</v>
      </c>
      <c r="W308">
        <f>VLOOKUP(A308,[2]cwurData!$B:$N, 10, FALSE)</f>
        <v>488</v>
      </c>
      <c r="X308">
        <f>VLOOKUP(A308,[2]cwurData!$B:$N, 11, FALSE)</f>
        <v>338</v>
      </c>
      <c r="Y308">
        <f>VLOOKUP(A308,[2]cwurData!$B:$N, 12, FALSE)</f>
        <v>45.1</v>
      </c>
      <c r="Z308">
        <f>VLOOKUP(A308,[2]cwurData!$B:$N, 13, FALSE)</f>
        <v>2014</v>
      </c>
    </row>
    <row r="309" spans="1:26" x14ac:dyDescent="0.3">
      <c r="A309" t="s">
        <v>275</v>
      </c>
      <c r="B309" t="str">
        <f>IFERROR(VLOOKUP(A309,[1]timesData!$B:$P,2,FALSE),VLOOKUP(A309,[2]cwurData!$B:$P,2,FALSE))</f>
        <v>Austria</v>
      </c>
      <c r="C309" t="str">
        <f>VLOOKUP(A309,[1]timesData!$B:$P,3,FALSE)</f>
        <v>251-275</v>
      </c>
      <c r="D309" t="str">
        <f>VLOOKUP(A310,[1]timesData!$B:$P,3,FALSE)</f>
        <v>251-275</v>
      </c>
      <c r="E309">
        <f>VLOOKUP(A310,[1]timesData!$B:$P,4,FALSE)</f>
        <v>89</v>
      </c>
      <c r="F309">
        <f>VLOOKUP(A310,[1]timesData!$B:$P,5,FALSE)</f>
        <v>21.5</v>
      </c>
      <c r="G309">
        <f>VLOOKUP(A310,[1]timesData!$B:$P,6,FALSE)</f>
        <v>51.1</v>
      </c>
      <c r="H309">
        <f>VLOOKUP(A310,[1]timesData!$B:$P,7,FALSE)</f>
        <v>25.8</v>
      </c>
      <c r="I309" t="str">
        <f>VLOOKUP(A310,[1]timesData!$B:$P,8,FALSE)</f>
        <v>-</v>
      </c>
      <c r="J309">
        <f>VLOOKUP(A310,[1]timesData!$B:$P,9,FALSE)</f>
        <v>17142</v>
      </c>
      <c r="K309">
        <f>VLOOKUP(A310,[1]timesData!$B:$P,10,FALSE)</f>
        <v>21.1</v>
      </c>
      <c r="L309">
        <f>VLOOKUP(A310,[1]timesData!$B:$P,11,FALSE)</f>
        <v>0.21</v>
      </c>
      <c r="M309">
        <f>VLOOKUP(A310,[1]timesData!$B:$P,12,FALSE)</f>
        <v>2.3229166666666665</v>
      </c>
      <c r="N309">
        <f>VLOOKUP(A310,[1]timesData!$B:$P,13,FALSE)</f>
        <v>2012</v>
      </c>
      <c r="O309">
        <f>VLOOKUP(A309,[2]cwurData!$B:$P,14,FALSE)</f>
        <v>518</v>
      </c>
      <c r="P309">
        <f>VLOOKUP(A309,[2]cwurData!$B:$N, 3, FALSE)</f>
        <v>6</v>
      </c>
      <c r="Q309">
        <f>VLOOKUP(A309,[2]cwurData!$B:$N, 4, FALSE)</f>
        <v>338</v>
      </c>
      <c r="R309">
        <f>VLOOKUP(A309,[2]cwurData!$B:$N, 5, FALSE)</f>
        <v>429</v>
      </c>
      <c r="S309">
        <f>VLOOKUP(A309,[2]cwurData!$B:$N, 6, FALSE)</f>
        <v>197</v>
      </c>
      <c r="T309">
        <f>VLOOKUP(A309,[2]cwurData!$B:$N, 7, FALSE)</f>
        <v>526</v>
      </c>
      <c r="U309">
        <f>VLOOKUP(A309,[2]cwurData!$B:$N, 8, FALSE)</f>
        <v>524</v>
      </c>
      <c r="V309">
        <f>VLOOKUP(A309,[2]cwurData!$B:$N, 9, FALSE)</f>
        <v>406</v>
      </c>
      <c r="W309">
        <f>VLOOKUP(A309,[2]cwurData!$B:$N, 10, FALSE)</f>
        <v>437</v>
      </c>
      <c r="X309">
        <f>VLOOKUP(A309,[2]cwurData!$B:$N, 11, FALSE)</f>
        <v>481</v>
      </c>
      <c r="Y309">
        <f>VLOOKUP(A309,[2]cwurData!$B:$N, 12, FALSE)</f>
        <v>45.04</v>
      </c>
      <c r="Z309">
        <f>VLOOKUP(A309,[2]cwurData!$B:$N, 13, FALSE)</f>
        <v>2014</v>
      </c>
    </row>
    <row r="310" spans="1:26" x14ac:dyDescent="0.3">
      <c r="A310" t="s">
        <v>282</v>
      </c>
      <c r="B310" t="str">
        <f>IFERROR(VLOOKUP(A310,[1]timesData!$B:$P,2,FALSE),VLOOKUP(A310,[2]cwurData!$B:$P,2,FALSE))</f>
        <v>New Zealand</v>
      </c>
      <c r="C310" t="str">
        <f>VLOOKUP(A310,[1]timesData!$B:$P,3,FALSE)</f>
        <v>251-275</v>
      </c>
      <c r="D310" t="str">
        <f>VLOOKUP(A311,[1]timesData!$B:$P,3,FALSE)</f>
        <v>251-275</v>
      </c>
      <c r="E310">
        <f>VLOOKUP(A311,[1]timesData!$B:$P,4,FALSE)</f>
        <v>53</v>
      </c>
      <c r="F310">
        <f>VLOOKUP(A311,[1]timesData!$B:$P,5,FALSE)</f>
        <v>27.6</v>
      </c>
      <c r="G310">
        <f>VLOOKUP(A311,[1]timesData!$B:$P,6,FALSE)</f>
        <v>55.7</v>
      </c>
      <c r="H310">
        <f>VLOOKUP(A311,[1]timesData!$B:$P,7,FALSE)</f>
        <v>46.3</v>
      </c>
      <c r="I310" t="str">
        <f>VLOOKUP(A311,[1]timesData!$B:$P,8,FALSE)</f>
        <v>-</v>
      </c>
      <c r="J310">
        <f>VLOOKUP(A311,[1]timesData!$B:$P,9,FALSE)</f>
        <v>18590</v>
      </c>
      <c r="K310">
        <f>VLOOKUP(A311,[1]timesData!$B:$P,10,FALSE)</f>
        <v>25.6</v>
      </c>
      <c r="L310">
        <f>VLOOKUP(A311,[1]timesData!$B:$P,11,FALSE)</f>
        <v>0.11</v>
      </c>
      <c r="M310">
        <f>VLOOKUP(A311,[1]timesData!$B:$P,12,FALSE)</f>
        <v>2.1180555555555554</v>
      </c>
      <c r="N310">
        <f>VLOOKUP(A311,[1]timesData!$B:$P,13,FALSE)</f>
        <v>2015</v>
      </c>
      <c r="O310">
        <f>VLOOKUP(A310,[2]cwurData!$B:$P,14,FALSE)</f>
        <v>527</v>
      </c>
      <c r="P310">
        <f>VLOOKUP(A310,[2]cwurData!$B:$N, 3, FALSE)</f>
        <v>4</v>
      </c>
      <c r="Q310">
        <f>VLOOKUP(A310,[2]cwurData!$B:$N, 4, FALSE)</f>
        <v>296</v>
      </c>
      <c r="R310">
        <f>VLOOKUP(A310,[2]cwurData!$B:$N, 5, FALSE)</f>
        <v>161</v>
      </c>
      <c r="S310">
        <f>VLOOKUP(A310,[2]cwurData!$B:$N, 6, FALSE)</f>
        <v>210</v>
      </c>
      <c r="T310">
        <f>VLOOKUP(A310,[2]cwurData!$B:$N, 7, FALSE)</f>
        <v>630</v>
      </c>
      <c r="U310">
        <f>VLOOKUP(A310,[2]cwurData!$B:$N, 8, FALSE)</f>
        <v>441</v>
      </c>
      <c r="V310">
        <f>VLOOKUP(A310,[2]cwurData!$B:$N, 9, FALSE)</f>
        <v>609</v>
      </c>
      <c r="W310">
        <f>VLOOKUP(A310,[2]cwurData!$B:$N, 10, FALSE)</f>
        <v>675</v>
      </c>
      <c r="X310">
        <f>VLOOKUP(A310,[2]cwurData!$B:$N, 11, FALSE)</f>
        <v>637</v>
      </c>
      <c r="Y310">
        <f>VLOOKUP(A310,[2]cwurData!$B:$N, 12, FALSE)</f>
        <v>45.01</v>
      </c>
      <c r="Z310">
        <f>VLOOKUP(A310,[2]cwurData!$B:$N, 13, FALSE)</f>
        <v>2014</v>
      </c>
    </row>
    <row r="311" spans="1:26" x14ac:dyDescent="0.3">
      <c r="A311" t="s">
        <v>465</v>
      </c>
      <c r="B311" t="str">
        <f>IFERROR(VLOOKUP(A311,[1]timesData!$B:$P,2,FALSE),VLOOKUP(A311,[2]cwurData!$B:$P,2,FALSE))</f>
        <v>Germany</v>
      </c>
      <c r="C311" t="str">
        <f>VLOOKUP(A311,[1]timesData!$B:$P,3,FALSE)</f>
        <v>251-275</v>
      </c>
      <c r="D311" t="str">
        <f>VLOOKUP(A312,[1]timesData!$B:$P,3,FALSE)</f>
        <v>251-275</v>
      </c>
      <c r="E311">
        <f>VLOOKUP(A312,[1]timesData!$B:$P,4,FALSE)</f>
        <v>67.099999999999994</v>
      </c>
      <c r="F311">
        <f>VLOOKUP(A312,[1]timesData!$B:$P,5,FALSE)</f>
        <v>23.8</v>
      </c>
      <c r="G311">
        <f>VLOOKUP(A312,[1]timesData!$B:$P,6,FALSE)</f>
        <v>48</v>
      </c>
      <c r="H311">
        <f>VLOOKUP(A312,[1]timesData!$B:$P,7,FALSE)</f>
        <v>29</v>
      </c>
      <c r="I311" t="str">
        <f>VLOOKUP(A312,[1]timesData!$B:$P,8,FALSE)</f>
        <v>-</v>
      </c>
      <c r="J311">
        <f>VLOOKUP(A312,[1]timesData!$B:$P,9,FALSE)</f>
        <v>9567</v>
      </c>
      <c r="K311">
        <f>VLOOKUP(A312,[1]timesData!$B:$P,10,FALSE)</f>
        <v>19.5</v>
      </c>
      <c r="L311">
        <f>VLOOKUP(A312,[1]timesData!$B:$P,11,FALSE)</f>
        <v>0.22</v>
      </c>
      <c r="M311">
        <f>VLOOKUP(A312,[1]timesData!$B:$P,12,FALSE)</f>
        <v>2.3229166666666665</v>
      </c>
      <c r="N311">
        <f>VLOOKUP(A312,[1]timesData!$B:$P,13,FALSE)</f>
        <v>2012</v>
      </c>
      <c r="O311">
        <f>VLOOKUP(A311,[2]cwurData!$B:$P,14,FALSE)</f>
        <v>549</v>
      </c>
      <c r="P311">
        <f>VLOOKUP(A311,[2]cwurData!$B:$N, 3, FALSE)</f>
        <v>44</v>
      </c>
      <c r="Q311">
        <f>VLOOKUP(A311,[2]cwurData!$B:$N, 4, FALSE)</f>
        <v>355</v>
      </c>
      <c r="R311">
        <f>VLOOKUP(A311,[2]cwurData!$B:$N, 5, FALSE)</f>
        <v>478</v>
      </c>
      <c r="S311">
        <f>VLOOKUP(A311,[2]cwurData!$B:$N, 6, FALSE)</f>
        <v>210</v>
      </c>
      <c r="T311">
        <f>VLOOKUP(A311,[2]cwurData!$B:$N, 7, FALSE)</f>
        <v>439</v>
      </c>
      <c r="U311">
        <f>VLOOKUP(A311,[2]cwurData!$B:$N, 8, FALSE)</f>
        <v>296</v>
      </c>
      <c r="V311">
        <f>VLOOKUP(A311,[2]cwurData!$B:$N, 9, FALSE)</f>
        <v>363</v>
      </c>
      <c r="W311">
        <f>VLOOKUP(A311,[2]cwurData!$B:$N, 10, FALSE)</f>
        <v>460</v>
      </c>
      <c r="X311">
        <f>VLOOKUP(A311,[2]cwurData!$B:$N, 11, FALSE)</f>
        <v>552</v>
      </c>
      <c r="Y311">
        <f>VLOOKUP(A311,[2]cwurData!$B:$N, 12, FALSE)</f>
        <v>44.96</v>
      </c>
      <c r="Z311">
        <f>VLOOKUP(A311,[2]cwurData!$B:$N, 13, FALSE)</f>
        <v>2014</v>
      </c>
    </row>
    <row r="312" spans="1:26" x14ac:dyDescent="0.3">
      <c r="A312" t="s">
        <v>264</v>
      </c>
      <c r="B312" t="str">
        <f>IFERROR(VLOOKUP(A312,[1]timesData!$B:$P,2,FALSE),VLOOKUP(A312,[2]cwurData!$B:$P,2,FALSE))</f>
        <v>United Kingdom</v>
      </c>
      <c r="C312" t="str">
        <f>VLOOKUP(A312,[1]timesData!$B:$P,3,FALSE)</f>
        <v>251-275</v>
      </c>
      <c r="D312" t="str">
        <f>VLOOKUP(A313,[1]timesData!$B:$P,3,FALSE)</f>
        <v>251-275</v>
      </c>
      <c r="E312">
        <f>VLOOKUP(A313,[1]timesData!$B:$P,4,FALSE)</f>
        <v>69.099999999999994</v>
      </c>
      <c r="F312">
        <f>VLOOKUP(A313,[1]timesData!$B:$P,5,FALSE)</f>
        <v>49.4</v>
      </c>
      <c r="G312">
        <f>VLOOKUP(A313,[1]timesData!$B:$P,6,FALSE)</f>
        <v>23.6</v>
      </c>
      <c r="H312">
        <f>VLOOKUP(A313,[1]timesData!$B:$P,7,FALSE)</f>
        <v>36</v>
      </c>
      <c r="I312" t="str">
        <f>VLOOKUP(A313,[1]timesData!$B:$P,8,FALSE)</f>
        <v>-</v>
      </c>
      <c r="J312">
        <f>VLOOKUP(A313,[1]timesData!$B:$P,9,FALSE)</f>
        <v>7576</v>
      </c>
      <c r="K312">
        <f>VLOOKUP(A313,[1]timesData!$B:$P,10,FALSE)</f>
        <v>22.4</v>
      </c>
      <c r="L312">
        <f>VLOOKUP(A313,[1]timesData!$B:$P,11,FALSE)</f>
        <v>0.1</v>
      </c>
      <c r="M312">
        <f>VLOOKUP(A313,[1]timesData!$B:$P,12,FALSE)</f>
        <v>2.0770833333333334</v>
      </c>
      <c r="N312">
        <f>VLOOKUP(A313,[1]timesData!$B:$P,13,FALSE)</f>
        <v>2012</v>
      </c>
      <c r="O312">
        <f>VLOOKUP(A312,[2]cwurData!$B:$P,14,FALSE)</f>
        <v>552</v>
      </c>
      <c r="P312">
        <f>VLOOKUP(A312,[2]cwurData!$B:$N, 3, FALSE)</f>
        <v>43</v>
      </c>
      <c r="Q312">
        <f>VLOOKUP(A312,[2]cwurData!$B:$N, 4, FALSE)</f>
        <v>246</v>
      </c>
      <c r="R312">
        <f>VLOOKUP(A312,[2]cwurData!$B:$N, 5, FALSE)</f>
        <v>360</v>
      </c>
      <c r="S312">
        <f>VLOOKUP(A312,[2]cwurData!$B:$N, 6, FALSE)</f>
        <v>210</v>
      </c>
      <c r="T312">
        <f>VLOOKUP(A312,[2]cwurData!$B:$N, 7, FALSE)</f>
        <v>624</v>
      </c>
      <c r="U312">
        <f>VLOOKUP(A312,[2]cwurData!$B:$N, 8, FALSE)</f>
        <v>526</v>
      </c>
      <c r="V312">
        <f>VLOOKUP(A312,[2]cwurData!$B:$N, 9, FALSE)</f>
        <v>609</v>
      </c>
      <c r="W312">
        <f>VLOOKUP(A312,[2]cwurData!$B:$N, 10, FALSE)</f>
        <v>504</v>
      </c>
      <c r="X312">
        <f>VLOOKUP(A312,[2]cwurData!$B:$N, 11, FALSE)</f>
        <v>373</v>
      </c>
      <c r="Y312">
        <f>VLOOKUP(A312,[2]cwurData!$B:$N, 12, FALSE)</f>
        <v>44.95</v>
      </c>
      <c r="Z312">
        <f>VLOOKUP(A312,[2]cwurData!$B:$N, 13, FALSE)</f>
        <v>2014</v>
      </c>
    </row>
    <row r="313" spans="1:26" x14ac:dyDescent="0.3">
      <c r="A313" t="s">
        <v>272</v>
      </c>
      <c r="B313" t="str">
        <f>IFERROR(VLOOKUP(A313,[1]timesData!$B:$P,2,FALSE),VLOOKUP(A313,[2]cwurData!$B:$P,2,FALSE))</f>
        <v>Netherlands</v>
      </c>
      <c r="C313" t="str">
        <f>VLOOKUP(A313,[1]timesData!$B:$P,3,FALSE)</f>
        <v>251-275</v>
      </c>
      <c r="D313" t="str">
        <f>VLOOKUP(A314,[1]timesData!$B:$P,3,FALSE)</f>
        <v>251-275</v>
      </c>
      <c r="E313">
        <f>VLOOKUP(A314,[1]timesData!$B:$P,4,FALSE)</f>
        <v>56.6</v>
      </c>
      <c r="F313">
        <f>VLOOKUP(A314,[1]timesData!$B:$P,5,FALSE)</f>
        <v>11.1</v>
      </c>
      <c r="G313">
        <f>VLOOKUP(A314,[1]timesData!$B:$P,6,FALSE)</f>
        <v>62.8</v>
      </c>
      <c r="H313">
        <f>VLOOKUP(A314,[1]timesData!$B:$P,7,FALSE)</f>
        <v>73.400000000000006</v>
      </c>
      <c r="I313" t="str">
        <f>VLOOKUP(A314,[1]timesData!$B:$P,8,FALSE)</f>
        <v>-</v>
      </c>
      <c r="J313">
        <f>VLOOKUP(A314,[1]timesData!$B:$P,9,FALSE)</f>
        <v>19646</v>
      </c>
      <c r="K313">
        <f>VLOOKUP(A314,[1]timesData!$B:$P,10,FALSE)</f>
        <v>29.1</v>
      </c>
      <c r="L313">
        <f>VLOOKUP(A314,[1]timesData!$B:$P,11,FALSE)</f>
        <v>0.1</v>
      </c>
      <c r="M313">
        <f>VLOOKUP(A314,[1]timesData!$B:$P,12,FALSE)</f>
        <v>2.036111111111111</v>
      </c>
      <c r="N313">
        <f>VLOOKUP(A314,[1]timesData!$B:$P,13,FALSE)</f>
        <v>2012</v>
      </c>
      <c r="O313">
        <f>VLOOKUP(A313,[2]cwurData!$B:$P,14,FALSE)</f>
        <v>614</v>
      </c>
      <c r="P313">
        <f>VLOOKUP(A313,[2]cwurData!$B:$N, 3, FALSE)</f>
        <v>13</v>
      </c>
      <c r="Q313">
        <f>VLOOKUP(A313,[2]cwurData!$B:$N, 4, FALSE)</f>
        <v>355</v>
      </c>
      <c r="R313">
        <f>VLOOKUP(A313,[2]cwurData!$B:$N, 5, FALSE)</f>
        <v>227</v>
      </c>
      <c r="S313">
        <f>VLOOKUP(A313,[2]cwurData!$B:$N, 6, FALSE)</f>
        <v>210</v>
      </c>
      <c r="T313">
        <f>VLOOKUP(A313,[2]cwurData!$B:$N, 7, FALSE)</f>
        <v>605</v>
      </c>
      <c r="U313">
        <f>VLOOKUP(A313,[2]cwurData!$B:$N, 8, FALSE)</f>
        <v>861</v>
      </c>
      <c r="V313">
        <f>VLOOKUP(A313,[2]cwurData!$B:$N, 9, FALSE)</f>
        <v>609</v>
      </c>
      <c r="W313">
        <f>VLOOKUP(A313,[2]cwurData!$B:$N, 10, FALSE)</f>
        <v>716</v>
      </c>
      <c r="X313">
        <f>VLOOKUP(A313,[2]cwurData!$B:$N, 11, FALSE)</f>
        <v>737</v>
      </c>
      <c r="Y313">
        <f>VLOOKUP(A313,[2]cwurData!$B:$N, 12, FALSE)</f>
        <v>44.78</v>
      </c>
      <c r="Z313">
        <f>VLOOKUP(A313,[2]cwurData!$B:$N, 13, FALSE)</f>
        <v>2014</v>
      </c>
    </row>
    <row r="314" spans="1:26" x14ac:dyDescent="0.3">
      <c r="A314" t="s">
        <v>266</v>
      </c>
      <c r="B314" t="str">
        <f>IFERROR(VLOOKUP(A314,[1]timesData!$B:$P,2,FALSE),VLOOKUP(A314,[2]cwurData!$B:$P,2,FALSE))</f>
        <v>Austria</v>
      </c>
      <c r="C314" t="str">
        <f>VLOOKUP(A314,[1]timesData!$B:$P,3,FALSE)</f>
        <v>251-275</v>
      </c>
      <c r="D314" t="str">
        <f>VLOOKUP(A315,[1]timesData!$B:$P,3,FALSE)</f>
        <v>251-275</v>
      </c>
      <c r="E314">
        <f>VLOOKUP(A315,[1]timesData!$B:$P,4,FALSE)</f>
        <v>48.7</v>
      </c>
      <c r="F314">
        <f>VLOOKUP(A315,[1]timesData!$B:$P,5,FALSE)</f>
        <v>10.1</v>
      </c>
      <c r="G314">
        <f>VLOOKUP(A315,[1]timesData!$B:$P,6,FALSE)</f>
        <v>99.7</v>
      </c>
      <c r="H314">
        <f>VLOOKUP(A315,[1]timesData!$B:$P,7,FALSE)</f>
        <v>28.1</v>
      </c>
      <c r="I314" t="str">
        <f>VLOOKUP(A315,[1]timesData!$B:$P,8,FALSE)</f>
        <v>-</v>
      </c>
      <c r="J314">
        <f>VLOOKUP(A315,[1]timesData!$B:$P,9,FALSE)</f>
        <v>11718</v>
      </c>
      <c r="K314">
        <f>VLOOKUP(A315,[1]timesData!$B:$P,10,FALSE)</f>
        <v>34</v>
      </c>
      <c r="L314">
        <f>VLOOKUP(A315,[1]timesData!$B:$P,11,FALSE)</f>
        <v>0.02</v>
      </c>
      <c r="M314" t="str">
        <f>VLOOKUP(A315,[1]timesData!$B:$P,12,FALSE)</f>
        <v>24 : 76</v>
      </c>
      <c r="N314">
        <f>VLOOKUP(A315,[1]timesData!$B:$P,13,FALSE)</f>
        <v>2015</v>
      </c>
      <c r="O314">
        <f>VLOOKUP(A314,[2]cwurData!$B:$P,14,FALSE)</f>
        <v>687</v>
      </c>
      <c r="P314">
        <f>VLOOKUP(A314,[2]cwurData!$B:$N, 3, FALSE)</f>
        <v>8</v>
      </c>
      <c r="Q314">
        <f>VLOOKUP(A314,[2]cwurData!$B:$N, 4, FALSE)</f>
        <v>355</v>
      </c>
      <c r="R314">
        <f>VLOOKUP(A314,[2]cwurData!$B:$N, 5, FALSE)</f>
        <v>373</v>
      </c>
      <c r="S314">
        <f>VLOOKUP(A314,[2]cwurData!$B:$N, 6, FALSE)</f>
        <v>210</v>
      </c>
      <c r="T314">
        <f>VLOOKUP(A314,[2]cwurData!$B:$N, 7, FALSE)</f>
        <v>738</v>
      </c>
      <c r="U314">
        <f>VLOOKUP(A314,[2]cwurData!$B:$N, 8, FALSE)</f>
        <v>645</v>
      </c>
      <c r="V314">
        <f>VLOOKUP(A314,[2]cwurData!$B:$N, 9, FALSE)</f>
        <v>493</v>
      </c>
      <c r="W314">
        <f>VLOOKUP(A314,[2]cwurData!$B:$N, 10, FALSE)</f>
        <v>663</v>
      </c>
      <c r="X314">
        <f>VLOOKUP(A314,[2]cwurData!$B:$N, 11, FALSE)</f>
        <v>481</v>
      </c>
      <c r="Y314">
        <f>VLOOKUP(A314,[2]cwurData!$B:$N, 12, FALSE)</f>
        <v>44.66</v>
      </c>
      <c r="Z314">
        <f>VLOOKUP(A314,[2]cwurData!$B:$N, 13, FALSE)</f>
        <v>2014</v>
      </c>
    </row>
    <row r="315" spans="1:26" x14ac:dyDescent="0.3">
      <c r="A315" t="s">
        <v>464</v>
      </c>
      <c r="B315" t="str">
        <f>IFERROR(VLOOKUP(A315,[1]timesData!$B:$P,2,FALSE),VLOOKUP(A315,[2]cwurData!$B:$P,2,FALSE))</f>
        <v>Chile</v>
      </c>
      <c r="C315" t="str">
        <f>VLOOKUP(A315,[1]timesData!$B:$P,3,FALSE)</f>
        <v>251-275</v>
      </c>
      <c r="D315" t="str">
        <f>VLOOKUP(A316,[1]timesData!$B:$P,3,FALSE)</f>
        <v>251-275</v>
      </c>
      <c r="E315">
        <f>VLOOKUP(A316,[1]timesData!$B:$P,4,FALSE)</f>
        <v>89.9</v>
      </c>
      <c r="F315">
        <f>VLOOKUP(A316,[1]timesData!$B:$P,5,FALSE)</f>
        <v>20.3</v>
      </c>
      <c r="G315">
        <f>VLOOKUP(A316,[1]timesData!$B:$P,6,FALSE)</f>
        <v>51.7</v>
      </c>
      <c r="H315">
        <f>VLOOKUP(A316,[1]timesData!$B:$P,7,FALSE)</f>
        <v>30</v>
      </c>
      <c r="I315" t="str">
        <f>VLOOKUP(A316,[1]timesData!$B:$P,8,FALSE)</f>
        <v>-</v>
      </c>
      <c r="J315">
        <f>VLOOKUP(A316,[1]timesData!$B:$P,9,FALSE)</f>
        <v>12613</v>
      </c>
      <c r="K315">
        <f>VLOOKUP(A316,[1]timesData!$B:$P,10,FALSE)</f>
        <v>17.600000000000001</v>
      </c>
      <c r="L315">
        <f>VLOOKUP(A316,[1]timesData!$B:$P,11,FALSE)</f>
        <v>0.38</v>
      </c>
      <c r="M315">
        <f>VLOOKUP(A316,[1]timesData!$B:$P,12,FALSE)</f>
        <v>1.9541666666666666</v>
      </c>
      <c r="N315">
        <f>VLOOKUP(A316,[1]timesData!$B:$P,13,FALSE)</f>
        <v>2012</v>
      </c>
      <c r="O315">
        <f>VLOOKUP(A315,[2]cwurData!$B:$P,14,FALSE)</f>
        <v>971</v>
      </c>
      <c r="P315">
        <f>VLOOKUP(A315,[2]cwurData!$B:$N, 3, FALSE)</f>
        <v>4</v>
      </c>
      <c r="Q315">
        <f>VLOOKUP(A315,[2]cwurData!$B:$N, 4, FALSE)</f>
        <v>355</v>
      </c>
      <c r="R315">
        <f>VLOOKUP(A315,[2]cwurData!$B:$N, 5, FALSE)</f>
        <v>478</v>
      </c>
      <c r="S315">
        <f>VLOOKUP(A315,[2]cwurData!$B:$N, 6, FALSE)</f>
        <v>210</v>
      </c>
      <c r="T315">
        <f>VLOOKUP(A315,[2]cwurData!$B:$N, 7, FALSE)</f>
        <v>984</v>
      </c>
      <c r="U315">
        <f>VLOOKUP(A315,[2]cwurData!$B:$N, 8, FALSE)</f>
        <v>938</v>
      </c>
      <c r="V315">
        <f>VLOOKUP(A315,[2]cwurData!$B:$N, 9, FALSE)</f>
        <v>493</v>
      </c>
      <c r="W315">
        <f>VLOOKUP(A315,[2]cwurData!$B:$N, 10, FALSE)</f>
        <v>966</v>
      </c>
      <c r="X315">
        <f>VLOOKUP(A315,[2]cwurData!$B:$N, 11, FALSE)</f>
        <v>481</v>
      </c>
      <c r="Y315">
        <f>VLOOKUP(A315,[2]cwurData!$B:$N, 12, FALSE)</f>
        <v>44.3</v>
      </c>
      <c r="Z315">
        <f>VLOOKUP(A315,[2]cwurData!$B:$N, 13, FALSE)</f>
        <v>2014</v>
      </c>
    </row>
    <row r="316" spans="1:26" x14ac:dyDescent="0.3">
      <c r="A316" t="s">
        <v>265</v>
      </c>
      <c r="B316" t="str">
        <f>IFERROR(VLOOKUP(A316,[1]timesData!$B:$P,2,FALSE),VLOOKUP(A316,[2]cwurData!$B:$P,2,FALSE))</f>
        <v>United Kingdom</v>
      </c>
      <c r="C316" t="str">
        <f>VLOOKUP(A316,[1]timesData!$B:$P,3,FALSE)</f>
        <v>251-275</v>
      </c>
      <c r="D316" t="str">
        <f>VLOOKUP(A317,[1]timesData!$B:$P,3,FALSE)</f>
        <v>251-275</v>
      </c>
      <c r="E316">
        <f>VLOOKUP(A317,[1]timesData!$B:$P,4,FALSE)</f>
        <v>89.5</v>
      </c>
      <c r="F316">
        <f>VLOOKUP(A317,[1]timesData!$B:$P,5,FALSE)</f>
        <v>21.3</v>
      </c>
      <c r="G316">
        <f>VLOOKUP(A317,[1]timesData!$B:$P,6,FALSE)</f>
        <v>42</v>
      </c>
      <c r="H316">
        <f>VLOOKUP(A317,[1]timesData!$B:$P,7,FALSE)</f>
        <v>41.9</v>
      </c>
      <c r="I316" t="str">
        <f>VLOOKUP(A317,[1]timesData!$B:$P,8,FALSE)</f>
        <v>-</v>
      </c>
      <c r="J316">
        <f>VLOOKUP(A317,[1]timesData!$B:$P,9,FALSE)</f>
        <v>17940</v>
      </c>
      <c r="K316">
        <f>VLOOKUP(A317,[1]timesData!$B:$P,10,FALSE)</f>
        <v>17.899999999999999</v>
      </c>
      <c r="L316">
        <f>VLOOKUP(A317,[1]timesData!$B:$P,11,FALSE)</f>
        <v>0.3</v>
      </c>
      <c r="M316">
        <f>VLOOKUP(A317,[1]timesData!$B:$P,12,FALSE)</f>
        <v>2.2819444444444446</v>
      </c>
      <c r="N316">
        <f>VLOOKUP(A317,[1]timesData!$B:$P,13,FALSE)</f>
        <v>2012</v>
      </c>
      <c r="O316" t="e">
        <f>VLOOKUP(A316,[2]cwurData!$B:$P,14,FALSE)</f>
        <v>#N/A</v>
      </c>
      <c r="P316" t="e">
        <f>VLOOKUP(A316,[2]cwurData!$B:$N, 3, FALSE)</f>
        <v>#N/A</v>
      </c>
      <c r="Q316" t="e">
        <f>VLOOKUP(A316,[2]cwurData!$B:$N, 4, FALSE)</f>
        <v>#N/A</v>
      </c>
      <c r="R316" t="e">
        <f>VLOOKUP(A316,[2]cwurData!$B:$N, 5, FALSE)</f>
        <v>#N/A</v>
      </c>
      <c r="S316" t="e">
        <f>VLOOKUP(A316,[2]cwurData!$B:$N, 6, FALSE)</f>
        <v>#N/A</v>
      </c>
      <c r="T316" t="e">
        <f>VLOOKUP(A316,[2]cwurData!$B:$N, 7, FALSE)</f>
        <v>#N/A</v>
      </c>
      <c r="U316" t="e">
        <f>VLOOKUP(A316,[2]cwurData!$B:$N, 8, FALSE)</f>
        <v>#N/A</v>
      </c>
      <c r="V316" t="e">
        <f>VLOOKUP(A316,[2]cwurData!$B:$N, 9, FALSE)</f>
        <v>#N/A</v>
      </c>
      <c r="W316" t="e">
        <f>VLOOKUP(A316,[2]cwurData!$B:$N, 10, FALSE)</f>
        <v>#N/A</v>
      </c>
      <c r="X316" t="e">
        <f>VLOOKUP(A316,[2]cwurData!$B:$N, 11, FALSE)</f>
        <v>#N/A</v>
      </c>
      <c r="Y316" t="e">
        <f>VLOOKUP(A316,[2]cwurData!$B:$N, 12, FALSE)</f>
        <v>#N/A</v>
      </c>
      <c r="Z316" t="e">
        <f>VLOOKUP(A316,[2]cwurData!$B:$N, 13, FALSE)</f>
        <v>#N/A</v>
      </c>
    </row>
    <row r="317" spans="1:26" x14ac:dyDescent="0.3">
      <c r="A317" t="s">
        <v>269</v>
      </c>
      <c r="B317" t="str">
        <f>IFERROR(VLOOKUP(A317,[1]timesData!$B:$P,2,FALSE),VLOOKUP(A317,[2]cwurData!$B:$P,2,FALSE))</f>
        <v>United Kingdom</v>
      </c>
      <c r="C317" t="str">
        <f>VLOOKUP(A317,[1]timesData!$B:$P,3,FALSE)</f>
        <v>251-275</v>
      </c>
      <c r="D317" t="str">
        <f>VLOOKUP(A318,[1]timesData!$B:$P,3,FALSE)</f>
        <v>251-275</v>
      </c>
      <c r="E317">
        <f>VLOOKUP(A318,[1]timesData!$B:$P,4,FALSE)</f>
        <v>49.2</v>
      </c>
      <c r="F317">
        <f>VLOOKUP(A318,[1]timesData!$B:$P,5,FALSE)</f>
        <v>13.8</v>
      </c>
      <c r="G317">
        <f>VLOOKUP(A318,[1]timesData!$B:$P,6,FALSE)</f>
        <v>57.4</v>
      </c>
      <c r="H317">
        <f>VLOOKUP(A318,[1]timesData!$B:$P,7,FALSE)</f>
        <v>31.9</v>
      </c>
      <c r="I317" t="str">
        <f>VLOOKUP(A318,[1]timesData!$B:$P,8,FALSE)</f>
        <v>-</v>
      </c>
      <c r="J317">
        <f>VLOOKUP(A318,[1]timesData!$B:$P,9,FALSE)</f>
        <v>35487</v>
      </c>
      <c r="K317">
        <f>VLOOKUP(A318,[1]timesData!$B:$P,10,FALSE)</f>
        <v>37.4</v>
      </c>
      <c r="L317">
        <f>VLOOKUP(A318,[1]timesData!$B:$P,11,FALSE)</f>
        <v>0.12</v>
      </c>
      <c r="M317">
        <f>VLOOKUP(A318,[1]timesData!$B:$P,12,FALSE)</f>
        <v>1.7902777777777779</v>
      </c>
      <c r="N317">
        <f>VLOOKUP(A318,[1]timesData!$B:$P,13,FALSE)</f>
        <v>2012</v>
      </c>
      <c r="O317" t="e">
        <f>VLOOKUP(A317,[2]cwurData!$B:$P,14,FALSE)</f>
        <v>#N/A</v>
      </c>
      <c r="P317" t="e">
        <f>VLOOKUP(A317,[2]cwurData!$B:$N, 3, FALSE)</f>
        <v>#N/A</v>
      </c>
      <c r="Q317" t="e">
        <f>VLOOKUP(A317,[2]cwurData!$B:$N, 4, FALSE)</f>
        <v>#N/A</v>
      </c>
      <c r="R317" t="e">
        <f>VLOOKUP(A317,[2]cwurData!$B:$N, 5, FALSE)</f>
        <v>#N/A</v>
      </c>
      <c r="S317" t="e">
        <f>VLOOKUP(A317,[2]cwurData!$B:$N, 6, FALSE)</f>
        <v>#N/A</v>
      </c>
      <c r="T317" t="e">
        <f>VLOOKUP(A317,[2]cwurData!$B:$N, 7, FALSE)</f>
        <v>#N/A</v>
      </c>
      <c r="U317" t="e">
        <f>VLOOKUP(A317,[2]cwurData!$B:$N, 8, FALSE)</f>
        <v>#N/A</v>
      </c>
      <c r="V317" t="e">
        <f>VLOOKUP(A317,[2]cwurData!$B:$N, 9, FALSE)</f>
        <v>#N/A</v>
      </c>
      <c r="W317" t="e">
        <f>VLOOKUP(A317,[2]cwurData!$B:$N, 10, FALSE)</f>
        <v>#N/A</v>
      </c>
      <c r="X317" t="e">
        <f>VLOOKUP(A317,[2]cwurData!$B:$N, 11, FALSE)</f>
        <v>#N/A</v>
      </c>
      <c r="Y317" t="e">
        <f>VLOOKUP(A317,[2]cwurData!$B:$N, 12, FALSE)</f>
        <v>#N/A</v>
      </c>
      <c r="Z317" t="e">
        <f>VLOOKUP(A317,[2]cwurData!$B:$N, 13, FALSE)</f>
        <v>#N/A</v>
      </c>
    </row>
    <row r="318" spans="1:26" x14ac:dyDescent="0.3">
      <c r="A318" t="s">
        <v>273</v>
      </c>
      <c r="B318" t="str">
        <f>IFERROR(VLOOKUP(A318,[1]timesData!$B:$P,2,FALSE),VLOOKUP(A318,[2]cwurData!$B:$P,2,FALSE))</f>
        <v>Germany</v>
      </c>
      <c r="C318" t="str">
        <f>VLOOKUP(A318,[1]timesData!$B:$P,3,FALSE)</f>
        <v>251-275</v>
      </c>
      <c r="D318" t="str">
        <f>VLOOKUP(A319,[1]timesData!$B:$P,3,FALSE)</f>
        <v>251-275</v>
      </c>
      <c r="E318">
        <f>VLOOKUP(A319,[1]timesData!$B:$P,4,FALSE)</f>
        <v>42</v>
      </c>
      <c r="F318">
        <f>VLOOKUP(A319,[1]timesData!$B:$P,5,FALSE)</f>
        <v>30</v>
      </c>
      <c r="G318">
        <f>VLOOKUP(A319,[1]timesData!$B:$P,6,FALSE)</f>
        <v>52.4</v>
      </c>
      <c r="H318">
        <f>VLOOKUP(A319,[1]timesData!$B:$P,7,FALSE)</f>
        <v>34.200000000000003</v>
      </c>
      <c r="I318" t="str">
        <f>VLOOKUP(A319,[1]timesData!$B:$P,8,FALSE)</f>
        <v>-</v>
      </c>
      <c r="J318">
        <f>VLOOKUP(A319,[1]timesData!$B:$P,9,FALSE)</f>
        <v>21789</v>
      </c>
      <c r="K318">
        <f>VLOOKUP(A319,[1]timesData!$B:$P,10,FALSE)</f>
        <v>16.399999999999999</v>
      </c>
      <c r="L318">
        <f>VLOOKUP(A319,[1]timesData!$B:$P,11,FALSE)</f>
        <v>0.09</v>
      </c>
      <c r="M318">
        <f>VLOOKUP(A319,[1]timesData!$B:$P,12,FALSE)</f>
        <v>1.9541666666666666</v>
      </c>
      <c r="N318">
        <f>VLOOKUP(A319,[1]timesData!$B:$P,13,FALSE)</f>
        <v>2014</v>
      </c>
      <c r="O318" t="e">
        <f>VLOOKUP(A318,[2]cwurData!$B:$P,14,FALSE)</f>
        <v>#N/A</v>
      </c>
      <c r="P318" t="e">
        <f>VLOOKUP(A318,[2]cwurData!$B:$N, 3, FALSE)</f>
        <v>#N/A</v>
      </c>
      <c r="Q318" t="e">
        <f>VLOOKUP(A318,[2]cwurData!$B:$N, 4, FALSE)</f>
        <v>#N/A</v>
      </c>
      <c r="R318" t="e">
        <f>VLOOKUP(A318,[2]cwurData!$B:$N, 5, FALSE)</f>
        <v>#N/A</v>
      </c>
      <c r="S318" t="e">
        <f>VLOOKUP(A318,[2]cwurData!$B:$N, 6, FALSE)</f>
        <v>#N/A</v>
      </c>
      <c r="T318" t="e">
        <f>VLOOKUP(A318,[2]cwurData!$B:$N, 7, FALSE)</f>
        <v>#N/A</v>
      </c>
      <c r="U318" t="e">
        <f>VLOOKUP(A318,[2]cwurData!$B:$N, 8, FALSE)</f>
        <v>#N/A</v>
      </c>
      <c r="V318" t="e">
        <f>VLOOKUP(A318,[2]cwurData!$B:$N, 9, FALSE)</f>
        <v>#N/A</v>
      </c>
      <c r="W318" t="e">
        <f>VLOOKUP(A318,[2]cwurData!$B:$N, 10, FALSE)</f>
        <v>#N/A</v>
      </c>
      <c r="X318" t="e">
        <f>VLOOKUP(A318,[2]cwurData!$B:$N, 11, FALSE)</f>
        <v>#N/A</v>
      </c>
      <c r="Y318" t="e">
        <f>VLOOKUP(A318,[2]cwurData!$B:$N, 12, FALSE)</f>
        <v>#N/A</v>
      </c>
      <c r="Z318" t="e">
        <f>VLOOKUP(A318,[2]cwurData!$B:$N, 13, FALSE)</f>
        <v>#N/A</v>
      </c>
    </row>
    <row r="319" spans="1:26" x14ac:dyDescent="0.3">
      <c r="A319" t="s">
        <v>448</v>
      </c>
      <c r="B319" t="str">
        <f>IFERROR(VLOOKUP(A319,[1]timesData!$B:$P,2,FALSE),VLOOKUP(A319,[2]cwurData!$B:$P,2,FALSE))</f>
        <v>United States of America</v>
      </c>
      <c r="C319" t="str">
        <f>VLOOKUP(A319,[1]timesData!$B:$P,3,FALSE)</f>
        <v>251-275</v>
      </c>
      <c r="D319" t="str">
        <f>VLOOKUP(A320,[1]timesData!$B:$P,3,FALSE)</f>
        <v>251-300</v>
      </c>
      <c r="E319">
        <f>VLOOKUP(A320,[1]timesData!$B:$P,4,FALSE)</f>
        <v>63</v>
      </c>
      <c r="F319">
        <f>VLOOKUP(A320,[1]timesData!$B:$P,5,FALSE)</f>
        <v>22.1</v>
      </c>
      <c r="G319">
        <f>VLOOKUP(A320,[1]timesData!$B:$P,6,FALSE)</f>
        <v>64.900000000000006</v>
      </c>
      <c r="H319">
        <f>VLOOKUP(A320,[1]timesData!$B:$P,7,FALSE)</f>
        <v>33.1</v>
      </c>
      <c r="I319" t="str">
        <f>VLOOKUP(A320,[1]timesData!$B:$P,8,FALSE)</f>
        <v>-</v>
      </c>
      <c r="J319">
        <f>VLOOKUP(A320,[1]timesData!$B:$P,9,FALSE)</f>
        <v>71749</v>
      </c>
      <c r="K319">
        <f>VLOOKUP(A320,[1]timesData!$B:$P,10,FALSE)</f>
        <v>45.5</v>
      </c>
      <c r="L319">
        <f>VLOOKUP(A320,[1]timesData!$B:$P,11,FALSE)</f>
        <v>0.13</v>
      </c>
      <c r="M319">
        <f>VLOOKUP(A320,[1]timesData!$B:$P,12,FALSE)</f>
        <v>2.5687500000000001</v>
      </c>
      <c r="N319">
        <f>VLOOKUP(A320,[1]timesData!$B:$P,13,FALSE)</f>
        <v>2016</v>
      </c>
      <c r="O319" t="e">
        <f>VLOOKUP(A319,[2]cwurData!$B:$P,14,FALSE)</f>
        <v>#N/A</v>
      </c>
      <c r="P319" t="e">
        <f>VLOOKUP(A319,[2]cwurData!$B:$N, 3, FALSE)</f>
        <v>#N/A</v>
      </c>
      <c r="Q319" t="e">
        <f>VLOOKUP(A319,[2]cwurData!$B:$N, 4, FALSE)</f>
        <v>#N/A</v>
      </c>
      <c r="R319" t="e">
        <f>VLOOKUP(A319,[2]cwurData!$B:$N, 5, FALSE)</f>
        <v>#N/A</v>
      </c>
      <c r="S319" t="e">
        <f>VLOOKUP(A319,[2]cwurData!$B:$N, 6, FALSE)</f>
        <v>#N/A</v>
      </c>
      <c r="T319" t="e">
        <f>VLOOKUP(A319,[2]cwurData!$B:$N, 7, FALSE)</f>
        <v>#N/A</v>
      </c>
      <c r="U319" t="e">
        <f>VLOOKUP(A319,[2]cwurData!$B:$N, 8, FALSE)</f>
        <v>#N/A</v>
      </c>
      <c r="V319" t="e">
        <f>VLOOKUP(A319,[2]cwurData!$B:$N, 9, FALSE)</f>
        <v>#N/A</v>
      </c>
      <c r="W319" t="e">
        <f>VLOOKUP(A319,[2]cwurData!$B:$N, 10, FALSE)</f>
        <v>#N/A</v>
      </c>
      <c r="X319" t="e">
        <f>VLOOKUP(A319,[2]cwurData!$B:$N, 11, FALSE)</f>
        <v>#N/A</v>
      </c>
      <c r="Y319" t="e">
        <f>VLOOKUP(A319,[2]cwurData!$B:$N, 12, FALSE)</f>
        <v>#N/A</v>
      </c>
      <c r="Z319" t="e">
        <f>VLOOKUP(A319,[2]cwurData!$B:$N, 13, FALSE)</f>
        <v>#N/A</v>
      </c>
    </row>
    <row r="320" spans="1:26" x14ac:dyDescent="0.3">
      <c r="A320" t="s">
        <v>493</v>
      </c>
      <c r="B320" t="str">
        <f>IFERROR(VLOOKUP(A320,[1]timesData!$B:$P,2,FALSE),VLOOKUP(A320,[2]cwurData!$B:$P,2,FALSE))</f>
        <v>France</v>
      </c>
      <c r="C320" t="str">
        <f>VLOOKUP(A320,[1]timesData!$B:$P,3,FALSE)</f>
        <v>251-300</v>
      </c>
      <c r="D320" t="str">
        <f>VLOOKUP(A321,[1]timesData!$B:$P,3,FALSE)</f>
        <v>251-300</v>
      </c>
      <c r="E320">
        <f>VLOOKUP(A321,[1]timesData!$B:$P,4,FALSE)</f>
        <v>39.299999999999997</v>
      </c>
      <c r="F320">
        <f>VLOOKUP(A321,[1]timesData!$B:$P,5,FALSE)</f>
        <v>23.2</v>
      </c>
      <c r="G320">
        <f>VLOOKUP(A321,[1]timesData!$B:$P,6,FALSE)</f>
        <v>81.400000000000006</v>
      </c>
      <c r="H320">
        <f>VLOOKUP(A321,[1]timesData!$B:$P,7,FALSE)</f>
        <v>41.3</v>
      </c>
      <c r="I320" t="str">
        <f>VLOOKUP(A321,[1]timesData!$B:$P,8,FALSE)</f>
        <v>-</v>
      </c>
      <c r="J320">
        <f>VLOOKUP(A321,[1]timesData!$B:$P,9,FALSE)</f>
        <v>24716</v>
      </c>
      <c r="K320">
        <f>VLOOKUP(A321,[1]timesData!$B:$P,10,FALSE)</f>
        <v>17</v>
      </c>
      <c r="L320">
        <f>VLOOKUP(A321,[1]timesData!$B:$P,11,FALSE)</f>
        <v>0.05</v>
      </c>
      <c r="M320">
        <f>VLOOKUP(A321,[1]timesData!$B:$P,12,FALSE)</f>
        <v>0</v>
      </c>
      <c r="N320">
        <f>VLOOKUP(A321,[1]timesData!$B:$P,13,FALSE)</f>
        <v>2016</v>
      </c>
      <c r="O320">
        <f>VLOOKUP(A320,[2]cwurData!$B:$P,14,FALSE)</f>
        <v>224</v>
      </c>
      <c r="P320">
        <f>VLOOKUP(A320,[2]cwurData!$B:$N, 3, FALSE)</f>
        <v>9</v>
      </c>
      <c r="Q320">
        <f>VLOOKUP(A320,[2]cwurData!$B:$N, 4, FALSE)</f>
        <v>220</v>
      </c>
      <c r="R320">
        <f>VLOOKUP(A320,[2]cwurData!$B:$N, 5, FALSE)</f>
        <v>472</v>
      </c>
      <c r="S320">
        <f>VLOOKUP(A320,[2]cwurData!$B:$N, 6, FALSE)</f>
        <v>210</v>
      </c>
      <c r="T320">
        <f>VLOOKUP(A320,[2]cwurData!$B:$N, 7, FALSE)</f>
        <v>129</v>
      </c>
      <c r="U320">
        <f>VLOOKUP(A320,[2]cwurData!$B:$N, 8, FALSE)</f>
        <v>83</v>
      </c>
      <c r="V320">
        <f>VLOOKUP(A320,[2]cwurData!$B:$N, 9, FALSE)</f>
        <v>176</v>
      </c>
      <c r="W320">
        <f>VLOOKUP(A320,[2]cwurData!$B:$N, 10, FALSE)</f>
        <v>215</v>
      </c>
      <c r="X320">
        <f>VLOOKUP(A320,[2]cwurData!$B:$N, 11, FALSE)</f>
        <v>227</v>
      </c>
      <c r="Y320">
        <f>VLOOKUP(A320,[2]cwurData!$B:$N, 12, FALSE)</f>
        <v>47.48</v>
      </c>
      <c r="Z320">
        <f>VLOOKUP(A320,[2]cwurData!$B:$N, 13, FALSE)</f>
        <v>2014</v>
      </c>
    </row>
    <row r="321" spans="1:26" x14ac:dyDescent="0.3">
      <c r="A321" t="s">
        <v>498</v>
      </c>
      <c r="B321" t="str">
        <f>IFERROR(VLOOKUP(A321,[1]timesData!$B:$P,2,FALSE),VLOOKUP(A321,[2]cwurData!$B:$P,2,FALSE))</f>
        <v>United States of America</v>
      </c>
      <c r="C321" t="str">
        <f>VLOOKUP(A321,[1]timesData!$B:$P,3,FALSE)</f>
        <v>251-300</v>
      </c>
      <c r="D321" t="str">
        <f>VLOOKUP(A322,[1]timesData!$B:$P,3,FALSE)</f>
        <v>251-300</v>
      </c>
      <c r="E321">
        <f>VLOOKUP(A322,[1]timesData!$B:$P,4,FALSE)</f>
        <v>54.6</v>
      </c>
      <c r="F321">
        <f>VLOOKUP(A322,[1]timesData!$B:$P,5,FALSE)</f>
        <v>22</v>
      </c>
      <c r="G321">
        <f>VLOOKUP(A322,[1]timesData!$B:$P,6,FALSE)</f>
        <v>71.7</v>
      </c>
      <c r="H321">
        <f>VLOOKUP(A322,[1]timesData!$B:$P,7,FALSE)</f>
        <v>30.6</v>
      </c>
      <c r="I321" t="str">
        <f>VLOOKUP(A322,[1]timesData!$B:$P,8,FALSE)</f>
        <v>-</v>
      </c>
      <c r="J321">
        <f>VLOOKUP(A322,[1]timesData!$B:$P,9,FALSE)</f>
        <v>51239</v>
      </c>
      <c r="K321">
        <f>VLOOKUP(A322,[1]timesData!$B:$P,10,FALSE)</f>
        <v>19.399999999999999</v>
      </c>
      <c r="L321">
        <f>VLOOKUP(A322,[1]timesData!$B:$P,11,FALSE)</f>
        <v>0.12</v>
      </c>
      <c r="M321">
        <f>VLOOKUP(A322,[1]timesData!$B:$P,12,FALSE)</f>
        <v>2.4458333333333333</v>
      </c>
      <c r="N321">
        <f>VLOOKUP(A322,[1]timesData!$B:$P,13,FALSE)</f>
        <v>2016</v>
      </c>
      <c r="O321">
        <f>VLOOKUP(A321,[2]cwurData!$B:$P,14,FALSE)</f>
        <v>227</v>
      </c>
      <c r="P321">
        <f>VLOOKUP(A321,[2]cwurData!$B:$N, 3, FALSE)</f>
        <v>92</v>
      </c>
      <c r="Q321">
        <f>VLOOKUP(A321,[2]cwurData!$B:$N, 4, FALSE)</f>
        <v>300</v>
      </c>
      <c r="R321">
        <f>VLOOKUP(A321,[2]cwurData!$B:$N, 5, FALSE)</f>
        <v>117</v>
      </c>
      <c r="S321">
        <f>VLOOKUP(A321,[2]cwurData!$B:$N, 6, FALSE)</f>
        <v>210</v>
      </c>
      <c r="T321">
        <f>VLOOKUP(A321,[2]cwurData!$B:$N, 7, FALSE)</f>
        <v>192</v>
      </c>
      <c r="U321">
        <f>VLOOKUP(A321,[2]cwurData!$B:$N, 8, FALSE)</f>
        <v>177</v>
      </c>
      <c r="V321">
        <f>VLOOKUP(A321,[2]cwurData!$B:$N, 9, FALSE)</f>
        <v>134</v>
      </c>
      <c r="W321">
        <f>VLOOKUP(A321,[2]cwurData!$B:$N, 10, FALSE)</f>
        <v>224</v>
      </c>
      <c r="X321">
        <f>VLOOKUP(A321,[2]cwurData!$B:$N, 11, FALSE)</f>
        <v>481</v>
      </c>
      <c r="Y321">
        <f>VLOOKUP(A321,[2]cwurData!$B:$N, 12, FALSE)</f>
        <v>47.45</v>
      </c>
      <c r="Z321">
        <f>VLOOKUP(A321,[2]cwurData!$B:$N, 13, FALSE)</f>
        <v>2014</v>
      </c>
    </row>
    <row r="322" spans="1:26" x14ac:dyDescent="0.3">
      <c r="A322" t="s">
        <v>494</v>
      </c>
      <c r="B322" t="str">
        <f>IFERROR(VLOOKUP(A322,[1]timesData!$B:$P,2,FALSE),VLOOKUP(A322,[2]cwurData!$B:$P,2,FALSE))</f>
        <v>France</v>
      </c>
      <c r="C322" t="str">
        <f>VLOOKUP(A322,[1]timesData!$B:$P,3,FALSE)</f>
        <v>251-300</v>
      </c>
      <c r="D322" t="str">
        <f>VLOOKUP(A323,[1]timesData!$B:$P,3,FALSE)</f>
        <v>251-300</v>
      </c>
      <c r="E322">
        <f>VLOOKUP(A323,[1]timesData!$B:$P,4,FALSE)</f>
        <v>46.8</v>
      </c>
      <c r="F322">
        <f>VLOOKUP(A323,[1]timesData!$B:$P,5,FALSE)</f>
        <v>33.9</v>
      </c>
      <c r="G322">
        <f>VLOOKUP(A323,[1]timesData!$B:$P,6,FALSE)</f>
        <v>52.9</v>
      </c>
      <c r="H322">
        <f>VLOOKUP(A323,[1]timesData!$B:$P,7,FALSE)</f>
        <v>46.4</v>
      </c>
      <c r="I322" t="str">
        <f>VLOOKUP(A323,[1]timesData!$B:$P,8,FALSE)</f>
        <v>-</v>
      </c>
      <c r="J322">
        <f>VLOOKUP(A323,[1]timesData!$B:$P,9,FALSE)</f>
        <v>25682</v>
      </c>
      <c r="K322">
        <f>VLOOKUP(A323,[1]timesData!$B:$P,10,FALSE)</f>
        <v>53.9</v>
      </c>
      <c r="L322">
        <f>VLOOKUP(A323,[1]timesData!$B:$P,11,FALSE)</f>
        <v>0.09</v>
      </c>
      <c r="M322">
        <f>VLOOKUP(A323,[1]timesData!$B:$P,12,FALSE)</f>
        <v>2.6097222222222221</v>
      </c>
      <c r="N322">
        <f>VLOOKUP(A323,[1]timesData!$B:$P,13,FALSE)</f>
        <v>2016</v>
      </c>
      <c r="O322">
        <f>VLOOKUP(A322,[2]cwurData!$B:$P,14,FALSE)</f>
        <v>299</v>
      </c>
      <c r="P322">
        <f>VLOOKUP(A322,[2]cwurData!$B:$N, 3, FALSE)</f>
        <v>14</v>
      </c>
      <c r="Q322">
        <f>VLOOKUP(A322,[2]cwurData!$B:$N, 4, FALSE)</f>
        <v>354</v>
      </c>
      <c r="R322">
        <f>VLOOKUP(A322,[2]cwurData!$B:$N, 5, FALSE)</f>
        <v>567</v>
      </c>
      <c r="S322">
        <f>VLOOKUP(A322,[2]cwurData!$B:$N, 6, FALSE)</f>
        <v>218</v>
      </c>
      <c r="T322">
        <f>VLOOKUP(A322,[2]cwurData!$B:$N, 7, FALSE)</f>
        <v>291</v>
      </c>
      <c r="U322">
        <f>VLOOKUP(A322,[2]cwurData!$B:$N, 8, FALSE)</f>
        <v>265</v>
      </c>
      <c r="V322">
        <f>VLOOKUP(A322,[2]cwurData!$B:$N, 9, FALSE)</f>
        <v>234</v>
      </c>
      <c r="W322">
        <f>VLOOKUP(A322,[2]cwurData!$B:$N, 10, FALSE)</f>
        <v>251</v>
      </c>
      <c r="X322">
        <f>VLOOKUP(A322,[2]cwurData!$B:$N, 11, FALSE)</f>
        <v>297</v>
      </c>
      <c r="Y322">
        <f>VLOOKUP(A322,[2]cwurData!$B:$N, 12, FALSE)</f>
        <v>45.96</v>
      </c>
      <c r="Z322">
        <f>VLOOKUP(A322,[2]cwurData!$B:$N, 13, FALSE)</f>
        <v>2015</v>
      </c>
    </row>
    <row r="323" spans="1:26" x14ac:dyDescent="0.3">
      <c r="A323" t="s">
        <v>496</v>
      </c>
      <c r="B323" t="str">
        <f>IFERROR(VLOOKUP(A323,[1]timesData!$B:$P,2,FALSE),VLOOKUP(A323,[2]cwurData!$B:$P,2,FALSE))</f>
        <v>Germany</v>
      </c>
      <c r="C323" t="str">
        <f>VLOOKUP(A323,[1]timesData!$B:$P,3,FALSE)</f>
        <v>251-300</v>
      </c>
      <c r="D323" t="str">
        <f>VLOOKUP(A324,[1]timesData!$B:$P,3,FALSE)</f>
        <v>251-300</v>
      </c>
      <c r="E323">
        <f>VLOOKUP(A324,[1]timesData!$B:$P,4,FALSE)</f>
        <v>26.6</v>
      </c>
      <c r="F323">
        <f>VLOOKUP(A324,[1]timesData!$B:$P,5,FALSE)</f>
        <v>10.9</v>
      </c>
      <c r="G323">
        <f>VLOOKUP(A324,[1]timesData!$B:$P,6,FALSE)</f>
        <v>85</v>
      </c>
      <c r="H323">
        <f>VLOOKUP(A324,[1]timesData!$B:$P,7,FALSE)</f>
        <v>29.9</v>
      </c>
      <c r="I323" t="str">
        <f>VLOOKUP(A324,[1]timesData!$B:$P,8,FALSE)</f>
        <v>-</v>
      </c>
      <c r="J323">
        <f>VLOOKUP(A324,[1]timesData!$B:$P,9,FALSE)</f>
        <v>11919</v>
      </c>
      <c r="K323">
        <f>VLOOKUP(A324,[1]timesData!$B:$P,10,FALSE)</f>
        <v>5.8</v>
      </c>
      <c r="L323">
        <f>VLOOKUP(A324,[1]timesData!$B:$P,11,FALSE)</f>
        <v>0.08</v>
      </c>
      <c r="M323">
        <f>VLOOKUP(A324,[1]timesData!$B:$P,12,FALSE)</f>
        <v>2.4458333333333333</v>
      </c>
      <c r="N323">
        <f>VLOOKUP(A324,[1]timesData!$B:$P,13,FALSE)</f>
        <v>2016</v>
      </c>
      <c r="O323">
        <f>VLOOKUP(A323,[2]cwurData!$B:$P,14,FALSE)</f>
        <v>360</v>
      </c>
      <c r="P323">
        <f>VLOOKUP(A323,[2]cwurData!$B:$N, 3, FALSE)</f>
        <v>33</v>
      </c>
      <c r="Q323">
        <f>VLOOKUP(A323,[2]cwurData!$B:$N, 4, FALSE)</f>
        <v>355</v>
      </c>
      <c r="R323">
        <f>VLOOKUP(A323,[2]cwurData!$B:$N, 5, FALSE)</f>
        <v>478</v>
      </c>
      <c r="S323">
        <f>VLOOKUP(A323,[2]cwurData!$B:$N, 6, FALSE)</f>
        <v>210</v>
      </c>
      <c r="T323">
        <f>VLOOKUP(A323,[2]cwurData!$B:$N, 7, FALSE)</f>
        <v>336</v>
      </c>
      <c r="U323">
        <f>VLOOKUP(A323,[2]cwurData!$B:$N, 8, FALSE)</f>
        <v>349</v>
      </c>
      <c r="V323">
        <f>VLOOKUP(A323,[2]cwurData!$B:$N, 9, FALSE)</f>
        <v>363</v>
      </c>
      <c r="W323">
        <f>VLOOKUP(A323,[2]cwurData!$B:$N, 10, FALSE)</f>
        <v>318</v>
      </c>
      <c r="X323">
        <f>VLOOKUP(A323,[2]cwurData!$B:$N, 11, FALSE)</f>
        <v>204</v>
      </c>
      <c r="Y323">
        <f>VLOOKUP(A323,[2]cwurData!$B:$N, 12, FALSE)</f>
        <v>45.78</v>
      </c>
      <c r="Z323">
        <f>VLOOKUP(A323,[2]cwurData!$B:$N, 13, FALSE)</f>
        <v>2014</v>
      </c>
    </row>
    <row r="324" spans="1:26" x14ac:dyDescent="0.3">
      <c r="A324" t="s">
        <v>497</v>
      </c>
      <c r="B324" t="str">
        <f>IFERROR(VLOOKUP(A324,[1]timesData!$B:$P,2,FALSE),VLOOKUP(A324,[2]cwurData!$B:$P,2,FALSE))</f>
        <v>United States of America</v>
      </c>
      <c r="C324" t="str">
        <f>VLOOKUP(A324,[1]timesData!$B:$P,3,FALSE)</f>
        <v>251-300</v>
      </c>
      <c r="D324" t="str">
        <f>VLOOKUP(A325,[1]timesData!$B:$P,3,FALSE)</f>
        <v>251-300</v>
      </c>
      <c r="E324">
        <f>VLOOKUP(A325,[1]timesData!$B:$P,4,FALSE)</f>
        <v>70.400000000000006</v>
      </c>
      <c r="F324">
        <f>VLOOKUP(A325,[1]timesData!$B:$P,5,FALSE)</f>
        <v>22.8</v>
      </c>
      <c r="G324">
        <f>VLOOKUP(A325,[1]timesData!$B:$P,6,FALSE)</f>
        <v>81.400000000000006</v>
      </c>
      <c r="H324">
        <f>VLOOKUP(A325,[1]timesData!$B:$P,7,FALSE)</f>
        <v>40.700000000000003</v>
      </c>
      <c r="I324" t="str">
        <f>VLOOKUP(A325,[1]timesData!$B:$P,8,FALSE)</f>
        <v>-</v>
      </c>
      <c r="J324">
        <f>VLOOKUP(A325,[1]timesData!$B:$P,9,FALSE)</f>
        <v>11713</v>
      </c>
      <c r="K324">
        <f>VLOOKUP(A325,[1]timesData!$B:$P,10,FALSE)</f>
        <v>21.9</v>
      </c>
      <c r="L324">
        <f>VLOOKUP(A325,[1]timesData!$B:$P,11,FALSE)</f>
        <v>0.11</v>
      </c>
      <c r="M324">
        <f>VLOOKUP(A325,[1]timesData!$B:$P,12,FALSE)</f>
        <v>2.6506944444444445</v>
      </c>
      <c r="N324">
        <f>VLOOKUP(A325,[1]timesData!$B:$P,13,FALSE)</f>
        <v>2016</v>
      </c>
      <c r="O324">
        <f>VLOOKUP(A324,[2]cwurData!$B:$P,14,FALSE)</f>
        <v>363</v>
      </c>
      <c r="P324">
        <f>VLOOKUP(A324,[2]cwurData!$B:$N, 3, FALSE)</f>
        <v>130</v>
      </c>
      <c r="Q324">
        <f>VLOOKUP(A324,[2]cwurData!$B:$N, 4, FALSE)</f>
        <v>355</v>
      </c>
      <c r="R324">
        <f>VLOOKUP(A324,[2]cwurData!$B:$N, 5, FALSE)</f>
        <v>342</v>
      </c>
      <c r="S324">
        <f>VLOOKUP(A324,[2]cwurData!$B:$N, 6, FALSE)</f>
        <v>195</v>
      </c>
      <c r="T324">
        <f>VLOOKUP(A324,[2]cwurData!$B:$N, 7, FALSE)</f>
        <v>468</v>
      </c>
      <c r="U324">
        <f>VLOOKUP(A324,[2]cwurData!$B:$N, 8, FALSE)</f>
        <v>287</v>
      </c>
      <c r="V324">
        <f>VLOOKUP(A324,[2]cwurData!$B:$N, 9, FALSE)</f>
        <v>493</v>
      </c>
      <c r="W324">
        <f>VLOOKUP(A324,[2]cwurData!$B:$N, 10, FALSE)</f>
        <v>318</v>
      </c>
      <c r="X324">
        <f>VLOOKUP(A324,[2]cwurData!$B:$N, 11, FALSE)</f>
        <v>227</v>
      </c>
      <c r="Y324">
        <f>VLOOKUP(A324,[2]cwurData!$B:$N, 12, FALSE)</f>
        <v>45.75</v>
      </c>
      <c r="Z324">
        <f>VLOOKUP(A324,[2]cwurData!$B:$N, 13, FALSE)</f>
        <v>2014</v>
      </c>
    </row>
    <row r="325" spans="1:26" x14ac:dyDescent="0.3">
      <c r="A325" t="s">
        <v>495</v>
      </c>
      <c r="B325" t="str">
        <f>IFERROR(VLOOKUP(A325,[1]timesData!$B:$P,2,FALSE),VLOOKUP(A325,[2]cwurData!$B:$P,2,FALSE))</f>
        <v>Australia</v>
      </c>
      <c r="C325" t="str">
        <f>VLOOKUP(A325,[1]timesData!$B:$P,3,FALSE)</f>
        <v>251-300</v>
      </c>
      <c r="D325" t="str">
        <f>VLOOKUP(A326,[1]timesData!$B:$P,3,FALSE)</f>
        <v>251-300</v>
      </c>
      <c r="E325">
        <f>VLOOKUP(A326,[1]timesData!$B:$P,4,FALSE)</f>
        <v>32.700000000000003</v>
      </c>
      <c r="F325">
        <f>VLOOKUP(A326,[1]timesData!$B:$P,5,FALSE)</f>
        <v>15.1</v>
      </c>
      <c r="G325">
        <f>VLOOKUP(A326,[1]timesData!$B:$P,6,FALSE)</f>
        <v>82.4</v>
      </c>
      <c r="H325">
        <f>VLOOKUP(A326,[1]timesData!$B:$P,7,FALSE)</f>
        <v>60.2</v>
      </c>
      <c r="I325" t="str">
        <f>VLOOKUP(A326,[1]timesData!$B:$P,8,FALSE)</f>
        <v>-</v>
      </c>
      <c r="J325">
        <f>VLOOKUP(A326,[1]timesData!$B:$P,9,FALSE)</f>
        <v>11902</v>
      </c>
      <c r="K325">
        <f>VLOOKUP(A326,[1]timesData!$B:$P,10,FALSE)</f>
        <v>6.9</v>
      </c>
      <c r="L325">
        <f>VLOOKUP(A326,[1]timesData!$B:$P,11,FALSE)</f>
        <v>0.17</v>
      </c>
      <c r="M325" t="str">
        <f>VLOOKUP(A326,[1]timesData!$B:$P,12,FALSE)</f>
        <v>39 : 61</v>
      </c>
      <c r="N325">
        <f>VLOOKUP(A326,[1]timesData!$B:$P,13,FALSE)</f>
        <v>2016</v>
      </c>
      <c r="O325">
        <f>VLOOKUP(A325,[2]cwurData!$B:$P,14,FALSE)</f>
        <v>572</v>
      </c>
      <c r="P325">
        <f>VLOOKUP(A325,[2]cwurData!$B:$N, 3, FALSE)</f>
        <v>13</v>
      </c>
      <c r="Q325">
        <f>VLOOKUP(A325,[2]cwurData!$B:$N, 4, FALSE)</f>
        <v>355</v>
      </c>
      <c r="R325">
        <f>VLOOKUP(A325,[2]cwurData!$B:$N, 5, FALSE)</f>
        <v>478</v>
      </c>
      <c r="S325">
        <f>VLOOKUP(A325,[2]cwurData!$B:$N, 6, FALSE)</f>
        <v>210</v>
      </c>
      <c r="T325">
        <f>VLOOKUP(A325,[2]cwurData!$B:$N, 7, FALSE)</f>
        <v>510</v>
      </c>
      <c r="U325">
        <f>VLOOKUP(A325,[2]cwurData!$B:$N, 8, FALSE)</f>
        <v>238</v>
      </c>
      <c r="V325">
        <f>VLOOKUP(A325,[2]cwurData!$B:$N, 9, FALSE)</f>
        <v>363</v>
      </c>
      <c r="W325">
        <f>VLOOKUP(A325,[2]cwurData!$B:$N, 10, FALSE)</f>
        <v>488</v>
      </c>
      <c r="X325">
        <f>VLOOKUP(A325,[2]cwurData!$B:$N, 11, FALSE)</f>
        <v>552</v>
      </c>
      <c r="Y325">
        <f>VLOOKUP(A325,[2]cwurData!$B:$N, 12, FALSE)</f>
        <v>44.9</v>
      </c>
      <c r="Z325">
        <f>VLOOKUP(A325,[2]cwurData!$B:$N, 13, FALSE)</f>
        <v>2014</v>
      </c>
    </row>
    <row r="326" spans="1:26" x14ac:dyDescent="0.3">
      <c r="A326" t="s">
        <v>499</v>
      </c>
      <c r="B326" t="str">
        <f>IFERROR(VLOOKUP(A326,[1]timesData!$B:$P,2,FALSE),VLOOKUP(A326,[2]cwurData!$B:$P,2,FALSE))</f>
        <v>Russian Federation</v>
      </c>
      <c r="C326" t="str">
        <f>VLOOKUP(A326,[1]timesData!$B:$P,3,FALSE)</f>
        <v>251-300</v>
      </c>
      <c r="D326" t="str">
        <f>VLOOKUP(A327,[1]timesData!$B:$P,3,FALSE)</f>
        <v>276-300</v>
      </c>
      <c r="E326">
        <f>VLOOKUP(A327,[1]timesData!$B:$P,4,FALSE)</f>
        <v>53.3</v>
      </c>
      <c r="F326">
        <f>VLOOKUP(A327,[1]timesData!$B:$P,5,FALSE)</f>
        <v>27.5</v>
      </c>
      <c r="G326">
        <f>VLOOKUP(A327,[1]timesData!$B:$P,6,FALSE)</f>
        <v>11</v>
      </c>
      <c r="H326">
        <f>VLOOKUP(A327,[1]timesData!$B:$P,7,FALSE)</f>
        <v>80</v>
      </c>
      <c r="I326" t="str">
        <f>VLOOKUP(A327,[1]timesData!$B:$P,8,FALSE)</f>
        <v>-</v>
      </c>
      <c r="J326">
        <f>VLOOKUP(A327,[1]timesData!$B:$P,9,FALSE)</f>
        <v>30822</v>
      </c>
      <c r="K326">
        <f>VLOOKUP(A327,[1]timesData!$B:$P,10,FALSE)</f>
        <v>7.7</v>
      </c>
      <c r="L326">
        <f>VLOOKUP(A327,[1]timesData!$B:$P,11,FALSE)</f>
        <v>0.2</v>
      </c>
      <c r="M326">
        <f>VLOOKUP(A327,[1]timesData!$B:$P,12,FALSE)</f>
        <v>1.83125</v>
      </c>
      <c r="N326">
        <f>VLOOKUP(A327,[1]timesData!$B:$P,13,FALSE)</f>
        <v>2012</v>
      </c>
      <c r="O326" t="e">
        <f>VLOOKUP(A326,[2]cwurData!$B:$P,14,FALSE)</f>
        <v>#N/A</v>
      </c>
      <c r="P326" t="e">
        <f>VLOOKUP(A326,[2]cwurData!$B:$N, 3, FALSE)</f>
        <v>#N/A</v>
      </c>
      <c r="Q326" t="e">
        <f>VLOOKUP(A326,[2]cwurData!$B:$N, 4, FALSE)</f>
        <v>#N/A</v>
      </c>
      <c r="R326" t="e">
        <f>VLOOKUP(A326,[2]cwurData!$B:$N, 5, FALSE)</f>
        <v>#N/A</v>
      </c>
      <c r="S326" t="e">
        <f>VLOOKUP(A326,[2]cwurData!$B:$N, 6, FALSE)</f>
        <v>#N/A</v>
      </c>
      <c r="T326" t="e">
        <f>VLOOKUP(A326,[2]cwurData!$B:$N, 7, FALSE)</f>
        <v>#N/A</v>
      </c>
      <c r="U326" t="e">
        <f>VLOOKUP(A326,[2]cwurData!$B:$N, 8, FALSE)</f>
        <v>#N/A</v>
      </c>
      <c r="V326" t="e">
        <f>VLOOKUP(A326,[2]cwurData!$B:$N, 9, FALSE)</f>
        <v>#N/A</v>
      </c>
      <c r="W326" t="e">
        <f>VLOOKUP(A326,[2]cwurData!$B:$N, 10, FALSE)</f>
        <v>#N/A</v>
      </c>
      <c r="X326" t="e">
        <f>VLOOKUP(A326,[2]cwurData!$B:$N, 11, FALSE)</f>
        <v>#N/A</v>
      </c>
      <c r="Y326" t="e">
        <f>VLOOKUP(A326,[2]cwurData!$B:$N, 12, FALSE)</f>
        <v>#N/A</v>
      </c>
      <c r="Z326" t="e">
        <f>VLOOKUP(A326,[2]cwurData!$B:$N, 13, FALSE)</f>
        <v>#N/A</v>
      </c>
    </row>
    <row r="327" spans="1:26" x14ac:dyDescent="0.3">
      <c r="A327" t="s">
        <v>289</v>
      </c>
      <c r="B327" t="str">
        <f>IFERROR(VLOOKUP(A327,[1]timesData!$B:$P,2,FALSE),VLOOKUP(A327,[2]cwurData!$B:$P,2,FALSE))</f>
        <v>Russian Federation</v>
      </c>
      <c r="C327" t="str">
        <f>VLOOKUP(A327,[1]timesData!$B:$P,3,FALSE)</f>
        <v>276-300</v>
      </c>
      <c r="D327" t="str">
        <f>VLOOKUP(A328,[1]timesData!$B:$P,3,FALSE)</f>
        <v>276-300</v>
      </c>
      <c r="E327">
        <f>VLOOKUP(A328,[1]timesData!$B:$P,4,FALSE)</f>
        <v>18.8</v>
      </c>
      <c r="F327">
        <f>VLOOKUP(A328,[1]timesData!$B:$P,5,FALSE)</f>
        <v>34.299999999999997</v>
      </c>
      <c r="G327">
        <f>VLOOKUP(A328,[1]timesData!$B:$P,6,FALSE)</f>
        <v>21.6</v>
      </c>
      <c r="H327">
        <f>VLOOKUP(A328,[1]timesData!$B:$P,7,FALSE)</f>
        <v>38.700000000000003</v>
      </c>
      <c r="I327" t="str">
        <f>VLOOKUP(A328,[1]timesData!$B:$P,8,FALSE)</f>
        <v>-</v>
      </c>
      <c r="J327">
        <f>VLOOKUP(A328,[1]timesData!$B:$P,9,FALSE)</f>
        <v>18162</v>
      </c>
      <c r="K327">
        <f>VLOOKUP(A328,[1]timesData!$B:$P,10,FALSE)</f>
        <v>8.1999999999999993</v>
      </c>
      <c r="L327">
        <f>VLOOKUP(A328,[1]timesData!$B:$P,11,FALSE)</f>
        <v>0.09</v>
      </c>
      <c r="M327" t="str">
        <f>VLOOKUP(A328,[1]timesData!$B:$P,12,FALSE)</f>
        <v>29 : 71</v>
      </c>
      <c r="N327">
        <f>VLOOKUP(A328,[1]timesData!$B:$P,13,FALSE)</f>
        <v>2012</v>
      </c>
      <c r="O327">
        <f>VLOOKUP(A327,[2]cwurData!$B:$P,14,FALSE)</f>
        <v>90</v>
      </c>
      <c r="P327">
        <f>VLOOKUP(A327,[2]cwurData!$B:$N, 3, FALSE)</f>
        <v>1</v>
      </c>
      <c r="Q327">
        <f>VLOOKUP(A327,[2]cwurData!$B:$N, 4, FALSE)</f>
        <v>14</v>
      </c>
      <c r="R327">
        <f>VLOOKUP(A327,[2]cwurData!$B:$N, 5, FALSE)</f>
        <v>101</v>
      </c>
      <c r="S327">
        <f>VLOOKUP(A327,[2]cwurData!$B:$N, 6, FALSE)</f>
        <v>51</v>
      </c>
      <c r="T327">
        <f>VLOOKUP(A327,[2]cwurData!$B:$N, 7, FALSE)</f>
        <v>101</v>
      </c>
      <c r="U327">
        <f>VLOOKUP(A327,[2]cwurData!$B:$N, 8, FALSE)</f>
        <v>101</v>
      </c>
      <c r="V327">
        <f>VLOOKUP(A327,[2]cwurData!$B:$N, 9, FALSE)</f>
        <v>101</v>
      </c>
      <c r="W327">
        <f>VLOOKUP(A327,[2]cwurData!$B:$N, 10, FALSE)</f>
        <v>0</v>
      </c>
      <c r="X327">
        <f>VLOOKUP(A327,[2]cwurData!$B:$N, 11, FALSE)</f>
        <v>101</v>
      </c>
      <c r="Y327">
        <f>VLOOKUP(A327,[2]cwurData!$B:$N, 12, FALSE)</f>
        <v>44.93</v>
      </c>
      <c r="Z327">
        <f>VLOOKUP(A327,[2]cwurData!$B:$N, 13, FALSE)</f>
        <v>2013</v>
      </c>
    </row>
    <row r="328" spans="1:26" x14ac:dyDescent="0.3">
      <c r="A328" t="s">
        <v>287</v>
      </c>
      <c r="B328" t="str">
        <f>IFERROR(VLOOKUP(A328,[1]timesData!$B:$P,2,FALSE),VLOOKUP(A328,[2]cwurData!$B:$P,2,FALSE))</f>
        <v>Japan</v>
      </c>
      <c r="C328" t="str">
        <f>VLOOKUP(A328,[1]timesData!$B:$P,3,FALSE)</f>
        <v>276-300</v>
      </c>
      <c r="D328" t="str">
        <f>VLOOKUP(A329,[1]timesData!$B:$P,3,FALSE)</f>
        <v>276-300</v>
      </c>
      <c r="E328">
        <f>VLOOKUP(A329,[1]timesData!$B:$P,4,FALSE)</f>
        <v>23.5</v>
      </c>
      <c r="F328">
        <f>VLOOKUP(A329,[1]timesData!$B:$P,5,FALSE)</f>
        <v>20.100000000000001</v>
      </c>
      <c r="G328">
        <f>VLOOKUP(A329,[1]timesData!$B:$P,6,FALSE)</f>
        <v>43</v>
      </c>
      <c r="H328">
        <f>VLOOKUP(A329,[1]timesData!$B:$P,7,FALSE)</f>
        <v>27.6</v>
      </c>
      <c r="I328" t="str">
        <f>VLOOKUP(A329,[1]timesData!$B:$P,8,FALSE)</f>
        <v>-</v>
      </c>
      <c r="J328">
        <f>VLOOKUP(A329,[1]timesData!$B:$P,9,FALSE)</f>
        <v>0</v>
      </c>
      <c r="K328">
        <f>VLOOKUP(A329,[1]timesData!$B:$P,10,FALSE)</f>
        <v>0</v>
      </c>
      <c r="L328">
        <f>VLOOKUP(A329,[1]timesData!$B:$P,11,FALSE)</f>
        <v>0</v>
      </c>
      <c r="M328">
        <f>VLOOKUP(A329,[1]timesData!$B:$P,12,FALSE)</f>
        <v>0</v>
      </c>
      <c r="N328">
        <f>VLOOKUP(A329,[1]timesData!$B:$P,13,FALSE)</f>
        <v>2012</v>
      </c>
      <c r="O328">
        <f>VLOOKUP(A328,[2]cwurData!$B:$P,14,FALSE)</f>
        <v>188</v>
      </c>
      <c r="P328">
        <f>VLOOKUP(A328,[2]cwurData!$B:$N, 3, FALSE)</f>
        <v>12</v>
      </c>
      <c r="Q328">
        <f>VLOOKUP(A328,[2]cwurData!$B:$N, 4, FALSE)</f>
        <v>260</v>
      </c>
      <c r="R328">
        <f>VLOOKUP(A328,[2]cwurData!$B:$N, 5, FALSE)</f>
        <v>378</v>
      </c>
      <c r="S328">
        <f>VLOOKUP(A328,[2]cwurData!$B:$N, 6, FALSE)</f>
        <v>126</v>
      </c>
      <c r="T328">
        <f>VLOOKUP(A328,[2]cwurData!$B:$N, 7, FALSE)</f>
        <v>138</v>
      </c>
      <c r="U328">
        <f>VLOOKUP(A328,[2]cwurData!$B:$N, 8, FALSE)</f>
        <v>172</v>
      </c>
      <c r="V328">
        <f>VLOOKUP(A328,[2]cwurData!$B:$N, 9, FALSE)</f>
        <v>283</v>
      </c>
      <c r="W328">
        <f>VLOOKUP(A328,[2]cwurData!$B:$N, 10, FALSE)</f>
        <v>251</v>
      </c>
      <c r="X328">
        <f>VLOOKUP(A328,[2]cwurData!$B:$N, 11, FALSE)</f>
        <v>61</v>
      </c>
      <c r="Y328">
        <f>VLOOKUP(A328,[2]cwurData!$B:$N, 12, FALSE)</f>
        <v>48.18</v>
      </c>
      <c r="Z328">
        <f>VLOOKUP(A328,[2]cwurData!$B:$N, 13, FALSE)</f>
        <v>2014</v>
      </c>
    </row>
    <row r="329" spans="1:26" x14ac:dyDescent="0.3">
      <c r="A329" t="s">
        <v>300</v>
      </c>
      <c r="B329" t="str">
        <f>IFERROR(VLOOKUP(A329,[1]timesData!$B:$P,2,FALSE),VLOOKUP(A329,[2]cwurData!$B:$P,2,FALSE))</f>
        <v>United States of America</v>
      </c>
      <c r="C329" t="str">
        <f>VLOOKUP(A329,[1]timesData!$B:$P,3,FALSE)</f>
        <v>276-300</v>
      </c>
      <c r="D329" t="str">
        <f>VLOOKUP(A330,[1]timesData!$B:$P,3,FALSE)</f>
        <v>276-300</v>
      </c>
      <c r="E329">
        <f>VLOOKUP(A330,[1]timesData!$B:$P,4,FALSE)</f>
        <v>43.3</v>
      </c>
      <c r="F329">
        <f>VLOOKUP(A330,[1]timesData!$B:$P,5,FALSE)</f>
        <v>18.5</v>
      </c>
      <c r="G329">
        <f>VLOOKUP(A330,[1]timesData!$B:$P,6,FALSE)</f>
        <v>49.1</v>
      </c>
      <c r="H329">
        <f>VLOOKUP(A330,[1]timesData!$B:$P,7,FALSE)</f>
        <v>35.1</v>
      </c>
      <c r="I329" t="str">
        <f>VLOOKUP(A330,[1]timesData!$B:$P,8,FALSE)</f>
        <v>-</v>
      </c>
      <c r="J329">
        <f>VLOOKUP(A330,[1]timesData!$B:$P,9,FALSE)</f>
        <v>39838</v>
      </c>
      <c r="K329">
        <f>VLOOKUP(A330,[1]timesData!$B:$P,10,FALSE)</f>
        <v>46.1</v>
      </c>
      <c r="L329">
        <f>VLOOKUP(A330,[1]timesData!$B:$P,11,FALSE)</f>
        <v>0.08</v>
      </c>
      <c r="M329">
        <f>VLOOKUP(A330,[1]timesData!$B:$P,12,FALSE)</f>
        <v>2.2409722222222221</v>
      </c>
      <c r="N329">
        <f>VLOOKUP(A330,[1]timesData!$B:$P,13,FALSE)</f>
        <v>2012</v>
      </c>
      <c r="O329">
        <f>VLOOKUP(A329,[2]cwurData!$B:$P,14,FALSE)</f>
        <v>203</v>
      </c>
      <c r="P329">
        <f>VLOOKUP(A329,[2]cwurData!$B:$N, 3, FALSE)</f>
        <v>86</v>
      </c>
      <c r="Q329">
        <f>VLOOKUP(A329,[2]cwurData!$B:$N, 4, FALSE)</f>
        <v>216</v>
      </c>
      <c r="R329">
        <f>VLOOKUP(A329,[2]cwurData!$B:$N, 5, FALSE)</f>
        <v>83</v>
      </c>
      <c r="S329">
        <f>VLOOKUP(A329,[2]cwurData!$B:$N, 6, FALSE)</f>
        <v>210</v>
      </c>
      <c r="T329">
        <f>VLOOKUP(A329,[2]cwurData!$B:$N, 7, FALSE)</f>
        <v>209</v>
      </c>
      <c r="U329">
        <f>VLOOKUP(A329,[2]cwurData!$B:$N, 8, FALSE)</f>
        <v>161</v>
      </c>
      <c r="V329">
        <f>VLOOKUP(A329,[2]cwurData!$B:$N, 9, FALSE)</f>
        <v>159</v>
      </c>
      <c r="W329">
        <f>VLOOKUP(A329,[2]cwurData!$B:$N, 10, FALSE)</f>
        <v>234</v>
      </c>
      <c r="X329">
        <f>VLOOKUP(A329,[2]cwurData!$B:$N, 11, FALSE)</f>
        <v>194</v>
      </c>
      <c r="Y329">
        <f>VLOOKUP(A329,[2]cwurData!$B:$N, 12, FALSE)</f>
        <v>47.82</v>
      </c>
      <c r="Z329">
        <f>VLOOKUP(A329,[2]cwurData!$B:$N, 13, FALSE)</f>
        <v>2014</v>
      </c>
    </row>
    <row r="330" spans="1:26" x14ac:dyDescent="0.3">
      <c r="A330" t="s">
        <v>302</v>
      </c>
      <c r="B330" t="str">
        <f>IFERROR(VLOOKUP(A330,[1]timesData!$B:$P,2,FALSE),VLOOKUP(A330,[2]cwurData!$B:$P,2,FALSE))</f>
        <v>Germany</v>
      </c>
      <c r="C330" t="str">
        <f>VLOOKUP(A330,[1]timesData!$B:$P,3,FALSE)</f>
        <v>276-300</v>
      </c>
      <c r="D330" t="str">
        <f>VLOOKUP(A331,[1]timesData!$B:$P,3,FALSE)</f>
        <v>276-300</v>
      </c>
      <c r="E330">
        <f>VLOOKUP(A331,[1]timesData!$B:$P,4,FALSE)</f>
        <v>36.299999999999997</v>
      </c>
      <c r="F330">
        <f>VLOOKUP(A331,[1]timesData!$B:$P,5,FALSE)</f>
        <v>23.4</v>
      </c>
      <c r="G330">
        <f>VLOOKUP(A331,[1]timesData!$B:$P,6,FALSE)</f>
        <v>66.2</v>
      </c>
      <c r="H330">
        <f>VLOOKUP(A331,[1]timesData!$B:$P,7,FALSE)</f>
        <v>40.4</v>
      </c>
      <c r="I330" t="str">
        <f>VLOOKUP(A331,[1]timesData!$B:$P,8,FALSE)</f>
        <v>-</v>
      </c>
      <c r="J330">
        <f>VLOOKUP(A331,[1]timesData!$B:$P,9,FALSE)</f>
        <v>67552</v>
      </c>
      <c r="K330">
        <f>VLOOKUP(A331,[1]timesData!$B:$P,10,FALSE)</f>
        <v>66</v>
      </c>
      <c r="L330">
        <f>VLOOKUP(A331,[1]timesData!$B:$P,11,FALSE)</f>
        <v>0.06</v>
      </c>
      <c r="M330">
        <f>VLOOKUP(A331,[1]timesData!$B:$P,12,FALSE)</f>
        <v>2.6097222222222221</v>
      </c>
      <c r="N330">
        <f>VLOOKUP(A331,[1]timesData!$B:$P,13,FALSE)</f>
        <v>2013</v>
      </c>
      <c r="O330">
        <f>VLOOKUP(A330,[2]cwurData!$B:$P,14,FALSE)</f>
        <v>210</v>
      </c>
      <c r="P330">
        <f>VLOOKUP(A330,[2]cwurData!$B:$N, 3, FALSE)</f>
        <v>13</v>
      </c>
      <c r="Q330">
        <f>VLOOKUP(A330,[2]cwurData!$B:$N, 4, FALSE)</f>
        <v>114</v>
      </c>
      <c r="R330">
        <f>VLOOKUP(A330,[2]cwurData!$B:$N, 5, FALSE)</f>
        <v>456</v>
      </c>
      <c r="S330">
        <f>VLOOKUP(A330,[2]cwurData!$B:$N, 6, FALSE)</f>
        <v>171</v>
      </c>
      <c r="T330">
        <f>VLOOKUP(A330,[2]cwurData!$B:$N, 7, FALSE)</f>
        <v>173</v>
      </c>
      <c r="U330">
        <f>VLOOKUP(A330,[2]cwurData!$B:$N, 8, FALSE)</f>
        <v>197</v>
      </c>
      <c r="V330">
        <f>VLOOKUP(A330,[2]cwurData!$B:$N, 9, FALSE)</f>
        <v>114</v>
      </c>
      <c r="W330">
        <f>VLOOKUP(A330,[2]cwurData!$B:$N, 10, FALSE)</f>
        <v>180</v>
      </c>
      <c r="X330">
        <f>VLOOKUP(A330,[2]cwurData!$B:$N, 11, FALSE)</f>
        <v>338</v>
      </c>
      <c r="Y330">
        <f>VLOOKUP(A330,[2]cwurData!$B:$N, 12, FALSE)</f>
        <v>47.73</v>
      </c>
      <c r="Z330">
        <f>VLOOKUP(A330,[2]cwurData!$B:$N, 13, FALSE)</f>
        <v>2014</v>
      </c>
    </row>
    <row r="331" spans="1:26" x14ac:dyDescent="0.3">
      <c r="A331" t="s">
        <v>421</v>
      </c>
      <c r="B331" t="str">
        <f>IFERROR(VLOOKUP(A331,[1]timesData!$B:$P,2,FALSE),VLOOKUP(A331,[2]cwurData!$B:$P,2,FALSE))</f>
        <v>Italy</v>
      </c>
      <c r="C331" t="str">
        <f>VLOOKUP(A331,[1]timesData!$B:$P,3,FALSE)</f>
        <v>276-300</v>
      </c>
      <c r="D331" t="str">
        <f>VLOOKUP(A332,[1]timesData!$B:$P,3,FALSE)</f>
        <v>276-300</v>
      </c>
      <c r="E331">
        <f>VLOOKUP(A332,[1]timesData!$B:$P,4,FALSE)</f>
        <v>22.6</v>
      </c>
      <c r="F331">
        <f>VLOOKUP(A332,[1]timesData!$B:$P,5,FALSE)</f>
        <v>15.4</v>
      </c>
      <c r="G331">
        <f>VLOOKUP(A332,[1]timesData!$B:$P,6,FALSE)</f>
        <v>70.3</v>
      </c>
      <c r="H331">
        <f>VLOOKUP(A332,[1]timesData!$B:$P,7,FALSE)</f>
        <v>25.3</v>
      </c>
      <c r="I331" t="str">
        <f>VLOOKUP(A332,[1]timesData!$B:$P,8,FALSE)</f>
        <v>-</v>
      </c>
      <c r="J331">
        <f>VLOOKUP(A332,[1]timesData!$B:$P,9,FALSE)</f>
        <v>27520</v>
      </c>
      <c r="K331">
        <f>VLOOKUP(A332,[1]timesData!$B:$P,10,FALSE)</f>
        <v>26.9</v>
      </c>
      <c r="L331">
        <f>VLOOKUP(A332,[1]timesData!$B:$P,11,FALSE)</f>
        <v>0.06</v>
      </c>
      <c r="M331">
        <f>VLOOKUP(A332,[1]timesData!$B:$P,12,FALSE)</f>
        <v>2.036111111111111</v>
      </c>
      <c r="N331">
        <f>VLOOKUP(A332,[1]timesData!$B:$P,13,FALSE)</f>
        <v>2012</v>
      </c>
      <c r="O331">
        <f>VLOOKUP(A331,[2]cwurData!$B:$P,14,FALSE)</f>
        <v>231</v>
      </c>
      <c r="P331">
        <f>VLOOKUP(A331,[2]cwurData!$B:$N, 3, FALSE)</f>
        <v>5</v>
      </c>
      <c r="Q331">
        <f>VLOOKUP(A331,[2]cwurData!$B:$N, 4, FALSE)</f>
        <v>311</v>
      </c>
      <c r="R331">
        <f>VLOOKUP(A331,[2]cwurData!$B:$N, 5, FALSE)</f>
        <v>471</v>
      </c>
      <c r="S331">
        <f>VLOOKUP(A331,[2]cwurData!$B:$N, 6, FALSE)</f>
        <v>159</v>
      </c>
      <c r="T331">
        <f>VLOOKUP(A331,[2]cwurData!$B:$N, 7, FALSE)</f>
        <v>214</v>
      </c>
      <c r="U331">
        <f>VLOOKUP(A331,[2]cwurData!$B:$N, 8, FALSE)</f>
        <v>272</v>
      </c>
      <c r="V331">
        <f>VLOOKUP(A331,[2]cwurData!$B:$N, 9, FALSE)</f>
        <v>220</v>
      </c>
      <c r="W331">
        <f>VLOOKUP(A331,[2]cwurData!$B:$N, 10, FALSE)</f>
        <v>151</v>
      </c>
      <c r="X331">
        <f>VLOOKUP(A331,[2]cwurData!$B:$N, 11, FALSE)</f>
        <v>552</v>
      </c>
      <c r="Y331">
        <f>VLOOKUP(A331,[2]cwurData!$B:$N, 12, FALSE)</f>
        <v>47.4</v>
      </c>
      <c r="Z331">
        <f>VLOOKUP(A331,[2]cwurData!$B:$N, 13, FALSE)</f>
        <v>2014</v>
      </c>
    </row>
    <row r="332" spans="1:26" x14ac:dyDescent="0.3">
      <c r="A332" t="s">
        <v>304</v>
      </c>
      <c r="B332" t="str">
        <f>IFERROR(VLOOKUP(A332,[1]timesData!$B:$P,2,FALSE),VLOOKUP(A332,[2]cwurData!$B:$P,2,FALSE))</f>
        <v>United States of America</v>
      </c>
      <c r="C332" t="str">
        <f>VLOOKUP(A332,[1]timesData!$B:$P,3,FALSE)</f>
        <v>276-300</v>
      </c>
      <c r="D332" t="str">
        <f>VLOOKUP(A333,[1]timesData!$B:$P,3,FALSE)</f>
        <v>276-300</v>
      </c>
      <c r="E332">
        <f>VLOOKUP(A333,[1]timesData!$B:$P,4,FALSE)</f>
        <v>18.3</v>
      </c>
      <c r="F332">
        <f>VLOOKUP(A333,[1]timesData!$B:$P,5,FALSE)</f>
        <v>28.4</v>
      </c>
      <c r="G332">
        <f>VLOOKUP(A333,[1]timesData!$B:$P,6,FALSE)</f>
        <v>35.200000000000003</v>
      </c>
      <c r="H332" t="str">
        <f>VLOOKUP(A333,[1]timesData!$B:$P,7,FALSE)</f>
        <v>-</v>
      </c>
      <c r="I332" t="str">
        <f>VLOOKUP(A333,[1]timesData!$B:$P,8,FALSE)</f>
        <v>-</v>
      </c>
      <c r="J332">
        <f>VLOOKUP(A333,[1]timesData!$B:$P,9,FALSE)</f>
        <v>0</v>
      </c>
      <c r="K332">
        <f>VLOOKUP(A333,[1]timesData!$B:$P,10,FALSE)</f>
        <v>0</v>
      </c>
      <c r="L332">
        <f>VLOOKUP(A333,[1]timesData!$B:$P,11,FALSE)</f>
        <v>0</v>
      </c>
      <c r="M332">
        <f>VLOOKUP(A333,[1]timesData!$B:$P,12,FALSE)</f>
        <v>0</v>
      </c>
      <c r="N332">
        <f>VLOOKUP(A333,[1]timesData!$B:$P,13,FALSE)</f>
        <v>2012</v>
      </c>
      <c r="O332">
        <f>VLOOKUP(A332,[2]cwurData!$B:$P,14,FALSE)</f>
        <v>256</v>
      </c>
      <c r="P332">
        <f>VLOOKUP(A332,[2]cwurData!$B:$N, 3, FALSE)</f>
        <v>103</v>
      </c>
      <c r="Q332">
        <f>VLOOKUP(A332,[2]cwurData!$B:$N, 4, FALSE)</f>
        <v>355</v>
      </c>
      <c r="R332">
        <f>VLOOKUP(A332,[2]cwurData!$B:$N, 5, FALSE)</f>
        <v>478</v>
      </c>
      <c r="S332">
        <f>VLOOKUP(A332,[2]cwurData!$B:$N, 6, FALSE)</f>
        <v>210</v>
      </c>
      <c r="T332">
        <f>VLOOKUP(A332,[2]cwurData!$B:$N, 7, FALSE)</f>
        <v>410</v>
      </c>
      <c r="U332">
        <f>VLOOKUP(A332,[2]cwurData!$B:$N, 8, FALSE)</f>
        <v>334</v>
      </c>
      <c r="V332">
        <f>VLOOKUP(A332,[2]cwurData!$B:$N, 9, FALSE)</f>
        <v>125</v>
      </c>
      <c r="W332">
        <f>VLOOKUP(A332,[2]cwurData!$B:$N, 10, FALSE)</f>
        <v>180</v>
      </c>
      <c r="X332">
        <f>VLOOKUP(A332,[2]cwurData!$B:$N, 11, FALSE)</f>
        <v>227</v>
      </c>
      <c r="Y332">
        <f>VLOOKUP(A332,[2]cwurData!$B:$N, 12, FALSE)</f>
        <v>46.95</v>
      </c>
      <c r="Z332">
        <f>VLOOKUP(A332,[2]cwurData!$B:$N, 13, FALSE)</f>
        <v>2014</v>
      </c>
    </row>
    <row r="333" spans="1:26" x14ac:dyDescent="0.3">
      <c r="A333" t="s">
        <v>301</v>
      </c>
      <c r="B333" t="str">
        <f>IFERROR(VLOOKUP(A333,[1]timesData!$B:$P,2,FALSE),VLOOKUP(A333,[2]cwurData!$B:$P,2,FALSE))</f>
        <v>United States of America</v>
      </c>
      <c r="C333" t="str">
        <f>VLOOKUP(A333,[1]timesData!$B:$P,3,FALSE)</f>
        <v>276-300</v>
      </c>
      <c r="D333" t="str">
        <f>VLOOKUP(A334,[1]timesData!$B:$P,3,FALSE)</f>
        <v>276-300</v>
      </c>
      <c r="E333">
        <f>VLOOKUP(A334,[1]timesData!$B:$P,4,FALSE)</f>
        <v>34.200000000000003</v>
      </c>
      <c r="F333">
        <f>VLOOKUP(A334,[1]timesData!$B:$P,5,FALSE)</f>
        <v>24.2</v>
      </c>
      <c r="G333">
        <f>VLOOKUP(A334,[1]timesData!$B:$P,6,FALSE)</f>
        <v>64.099999999999994</v>
      </c>
      <c r="H333">
        <f>VLOOKUP(A334,[1]timesData!$B:$P,7,FALSE)</f>
        <v>31</v>
      </c>
      <c r="I333" t="str">
        <f>VLOOKUP(A334,[1]timesData!$B:$P,8,FALSE)</f>
        <v>-</v>
      </c>
      <c r="J333">
        <f>VLOOKUP(A334,[1]timesData!$B:$P,9,FALSE)</f>
        <v>22578</v>
      </c>
      <c r="K333">
        <f>VLOOKUP(A334,[1]timesData!$B:$P,10,FALSE)</f>
        <v>16.8</v>
      </c>
      <c r="L333">
        <f>VLOOKUP(A334,[1]timesData!$B:$P,11,FALSE)</f>
        <v>0.09</v>
      </c>
      <c r="M333">
        <f>VLOOKUP(A334,[1]timesData!$B:$P,12,FALSE)</f>
        <v>1.9951388888888888</v>
      </c>
      <c r="N333">
        <f>VLOOKUP(A334,[1]timesData!$B:$P,13,FALSE)</f>
        <v>2013</v>
      </c>
      <c r="O333">
        <f>VLOOKUP(A333,[2]cwurData!$B:$P,14,FALSE)</f>
        <v>259</v>
      </c>
      <c r="P333">
        <f>VLOOKUP(A333,[2]cwurData!$B:$N, 3, FALSE)</f>
        <v>105</v>
      </c>
      <c r="Q333">
        <f>VLOOKUP(A333,[2]cwurData!$B:$N, 4, FALSE)</f>
        <v>317</v>
      </c>
      <c r="R333">
        <f>VLOOKUP(A333,[2]cwurData!$B:$N, 5, FALSE)</f>
        <v>270</v>
      </c>
      <c r="S333">
        <f>VLOOKUP(A333,[2]cwurData!$B:$N, 6, FALSE)</f>
        <v>210</v>
      </c>
      <c r="T333">
        <f>VLOOKUP(A333,[2]cwurData!$B:$N, 7, FALSE)</f>
        <v>184</v>
      </c>
      <c r="U333">
        <f>VLOOKUP(A333,[2]cwurData!$B:$N, 8, FALSE)</f>
        <v>219</v>
      </c>
      <c r="V333">
        <f>VLOOKUP(A333,[2]cwurData!$B:$N, 9, FALSE)</f>
        <v>250</v>
      </c>
      <c r="W333">
        <f>VLOOKUP(A333,[2]cwurData!$B:$N, 10, FALSE)</f>
        <v>220</v>
      </c>
      <c r="X333">
        <f>VLOOKUP(A333,[2]cwurData!$B:$N, 11, FALSE)</f>
        <v>338</v>
      </c>
      <c r="Y333">
        <f>VLOOKUP(A333,[2]cwurData!$B:$N, 12, FALSE)</f>
        <v>46.9</v>
      </c>
      <c r="Z333">
        <f>VLOOKUP(A333,[2]cwurData!$B:$N, 13, FALSE)</f>
        <v>2014</v>
      </c>
    </row>
    <row r="334" spans="1:26" x14ac:dyDescent="0.3">
      <c r="A334" t="s">
        <v>419</v>
      </c>
      <c r="B334" t="str">
        <f>IFERROR(VLOOKUP(A334,[1]timesData!$B:$P,2,FALSE),VLOOKUP(A334,[2]cwurData!$B:$P,2,FALSE))</f>
        <v>United States of America</v>
      </c>
      <c r="C334" t="str">
        <f>VLOOKUP(A334,[1]timesData!$B:$P,3,FALSE)</f>
        <v>276-300</v>
      </c>
      <c r="D334" t="str">
        <f>VLOOKUP(A335,[1]timesData!$B:$P,3,FALSE)</f>
        <v>276-300</v>
      </c>
      <c r="E334">
        <f>VLOOKUP(A335,[1]timesData!$B:$P,4,FALSE)</f>
        <v>39.700000000000003</v>
      </c>
      <c r="F334">
        <f>VLOOKUP(A335,[1]timesData!$B:$P,5,FALSE)</f>
        <v>21.4</v>
      </c>
      <c r="G334">
        <f>VLOOKUP(A335,[1]timesData!$B:$P,6,FALSE)</f>
        <v>47.5</v>
      </c>
      <c r="H334">
        <f>VLOOKUP(A335,[1]timesData!$B:$P,7,FALSE)</f>
        <v>32.5</v>
      </c>
      <c r="I334" t="str">
        <f>VLOOKUP(A335,[1]timesData!$B:$P,8,FALSE)</f>
        <v>-</v>
      </c>
      <c r="J334">
        <f>VLOOKUP(A335,[1]timesData!$B:$P,9,FALSE)</f>
        <v>28296</v>
      </c>
      <c r="K334">
        <f>VLOOKUP(A335,[1]timesData!$B:$P,10,FALSE)</f>
        <v>13</v>
      </c>
      <c r="L334">
        <f>VLOOKUP(A335,[1]timesData!$B:$P,11,FALSE)</f>
        <v>0.15</v>
      </c>
      <c r="M334">
        <f>VLOOKUP(A335,[1]timesData!$B:$P,12,FALSE)</f>
        <v>2.3638888888888889</v>
      </c>
      <c r="N334">
        <f>VLOOKUP(A335,[1]timesData!$B:$P,13,FALSE)</f>
        <v>2012</v>
      </c>
      <c r="O334">
        <f>VLOOKUP(A334,[2]cwurData!$B:$P,14,FALSE)</f>
        <v>265</v>
      </c>
      <c r="P334">
        <f>VLOOKUP(A334,[2]cwurData!$B:$N, 3, FALSE)</f>
        <v>109</v>
      </c>
      <c r="Q334">
        <f>VLOOKUP(A334,[2]cwurData!$B:$N, 4, FALSE)</f>
        <v>175</v>
      </c>
      <c r="R334">
        <f>VLOOKUP(A334,[2]cwurData!$B:$N, 5, FALSE)</f>
        <v>268</v>
      </c>
      <c r="S334">
        <f>VLOOKUP(A334,[2]cwurData!$B:$N, 6, FALSE)</f>
        <v>210</v>
      </c>
      <c r="T334">
        <f>VLOOKUP(A334,[2]cwurData!$B:$N, 7, FALSE)</f>
        <v>247</v>
      </c>
      <c r="U334">
        <f>VLOOKUP(A334,[2]cwurData!$B:$N, 8, FALSE)</f>
        <v>145</v>
      </c>
      <c r="V334">
        <f>VLOOKUP(A334,[2]cwurData!$B:$N, 9, FALSE)</f>
        <v>176</v>
      </c>
      <c r="W334">
        <f>VLOOKUP(A334,[2]cwurData!$B:$N, 10, FALSE)</f>
        <v>238</v>
      </c>
      <c r="X334">
        <f>VLOOKUP(A334,[2]cwurData!$B:$N, 11, FALSE)</f>
        <v>338</v>
      </c>
      <c r="Y334">
        <f>VLOOKUP(A334,[2]cwurData!$B:$N, 12, FALSE)</f>
        <v>46.82</v>
      </c>
      <c r="Z334">
        <f>VLOOKUP(A334,[2]cwurData!$B:$N, 13, FALSE)</f>
        <v>2014</v>
      </c>
    </row>
    <row r="335" spans="1:26" x14ac:dyDescent="0.3">
      <c r="A335" t="s">
        <v>286</v>
      </c>
      <c r="B335" t="str">
        <f>IFERROR(VLOOKUP(A335,[1]timesData!$B:$P,2,FALSE),VLOOKUP(A335,[2]cwurData!$B:$P,2,FALSE))</f>
        <v>Spain</v>
      </c>
      <c r="C335" t="str">
        <f>VLOOKUP(A335,[1]timesData!$B:$P,3,FALSE)</f>
        <v>276-300</v>
      </c>
      <c r="D335" t="str">
        <f>VLOOKUP(A336,[1]timesData!$B:$P,3,FALSE)</f>
        <v>276-300</v>
      </c>
      <c r="E335">
        <f>VLOOKUP(A336,[1]timesData!$B:$P,4,FALSE)</f>
        <v>70.7</v>
      </c>
      <c r="F335">
        <f>VLOOKUP(A336,[1]timesData!$B:$P,5,FALSE)</f>
        <v>10.9</v>
      </c>
      <c r="G335">
        <f>VLOOKUP(A336,[1]timesData!$B:$P,6,FALSE)</f>
        <v>55.3</v>
      </c>
      <c r="H335">
        <f>VLOOKUP(A336,[1]timesData!$B:$P,7,FALSE)</f>
        <v>56.2</v>
      </c>
      <c r="I335" t="str">
        <f>VLOOKUP(A336,[1]timesData!$B:$P,8,FALSE)</f>
        <v>-</v>
      </c>
      <c r="J335">
        <f>VLOOKUP(A336,[1]timesData!$B:$P,9,FALSE)</f>
        <v>12346</v>
      </c>
      <c r="K335">
        <f>VLOOKUP(A336,[1]timesData!$B:$P,10,FALSE)</f>
        <v>30.3</v>
      </c>
      <c r="L335">
        <f>VLOOKUP(A336,[1]timesData!$B:$P,11,FALSE)</f>
        <v>0.16</v>
      </c>
      <c r="M335">
        <f>VLOOKUP(A336,[1]timesData!$B:$P,12,FALSE)</f>
        <v>2.3638888888888889</v>
      </c>
      <c r="N335">
        <f>VLOOKUP(A336,[1]timesData!$B:$P,13,FALSE)</f>
        <v>2012</v>
      </c>
      <c r="O335">
        <f>VLOOKUP(A335,[2]cwurData!$B:$P,14,FALSE)</f>
        <v>309</v>
      </c>
      <c r="P335">
        <f>VLOOKUP(A335,[2]cwurData!$B:$N, 3, FALSE)</f>
        <v>5</v>
      </c>
      <c r="Q335">
        <f>VLOOKUP(A335,[2]cwurData!$B:$N, 4, FALSE)</f>
        <v>355</v>
      </c>
      <c r="R335">
        <f>VLOOKUP(A335,[2]cwurData!$B:$N, 5, FALSE)</f>
        <v>449</v>
      </c>
      <c r="S335">
        <f>VLOOKUP(A335,[2]cwurData!$B:$N, 6, FALSE)</f>
        <v>210</v>
      </c>
      <c r="T335">
        <f>VLOOKUP(A335,[2]cwurData!$B:$N, 7, FALSE)</f>
        <v>228</v>
      </c>
      <c r="U335">
        <f>VLOOKUP(A335,[2]cwurData!$B:$N, 8, FALSE)</f>
        <v>245</v>
      </c>
      <c r="V335">
        <f>VLOOKUP(A335,[2]cwurData!$B:$N, 9, FALSE)</f>
        <v>310</v>
      </c>
      <c r="W335">
        <f>VLOOKUP(A335,[2]cwurData!$B:$N, 10, FALSE)</f>
        <v>261</v>
      </c>
      <c r="X335">
        <f>VLOOKUP(A335,[2]cwurData!$B:$N, 11, FALSE)</f>
        <v>426</v>
      </c>
      <c r="Y335">
        <f>VLOOKUP(A335,[2]cwurData!$B:$N, 12, FALSE)</f>
        <v>46.29</v>
      </c>
      <c r="Z335">
        <f>VLOOKUP(A335,[2]cwurData!$B:$N, 13, FALSE)</f>
        <v>2014</v>
      </c>
    </row>
    <row r="336" spans="1:26" x14ac:dyDescent="0.3">
      <c r="A336" t="s">
        <v>296</v>
      </c>
      <c r="B336" t="str">
        <f>IFERROR(VLOOKUP(A336,[1]timesData!$B:$P,2,FALSE),VLOOKUP(A336,[2]cwurData!$B:$P,2,FALSE))</f>
        <v>Belgium</v>
      </c>
      <c r="C336" t="str">
        <f>VLOOKUP(A336,[1]timesData!$B:$P,3,FALSE)</f>
        <v>276-300</v>
      </c>
      <c r="D336" t="str">
        <f>VLOOKUP(A337,[1]timesData!$B:$P,3,FALSE)</f>
        <v>276-300</v>
      </c>
      <c r="E336">
        <f>VLOOKUP(A337,[1]timesData!$B:$P,4,FALSE)</f>
        <v>33.299999999999997</v>
      </c>
      <c r="F336">
        <f>VLOOKUP(A337,[1]timesData!$B:$P,5,FALSE)</f>
        <v>31.4</v>
      </c>
      <c r="G336">
        <f>VLOOKUP(A337,[1]timesData!$B:$P,6,FALSE)</f>
        <v>38.6</v>
      </c>
      <c r="H336">
        <f>VLOOKUP(A337,[1]timesData!$B:$P,7,FALSE)</f>
        <v>48.9</v>
      </c>
      <c r="I336" t="str">
        <f>VLOOKUP(A337,[1]timesData!$B:$P,8,FALSE)</f>
        <v>-</v>
      </c>
      <c r="J336">
        <f>VLOOKUP(A337,[1]timesData!$B:$P,9,FALSE)</f>
        <v>21643</v>
      </c>
      <c r="K336">
        <f>VLOOKUP(A337,[1]timesData!$B:$P,10,FALSE)</f>
        <v>28.3</v>
      </c>
      <c r="L336">
        <f>VLOOKUP(A337,[1]timesData!$B:$P,11,FALSE)</f>
        <v>0.04</v>
      </c>
      <c r="M336">
        <f>VLOOKUP(A337,[1]timesData!$B:$P,12,FALSE)</f>
        <v>2.5277777777777777</v>
      </c>
      <c r="N336">
        <f>VLOOKUP(A337,[1]timesData!$B:$P,13,FALSE)</f>
        <v>2012</v>
      </c>
      <c r="O336">
        <f>VLOOKUP(A336,[2]cwurData!$B:$P,14,FALSE)</f>
        <v>330</v>
      </c>
      <c r="P336">
        <f>VLOOKUP(A336,[2]cwurData!$B:$N, 3, FALSE)</f>
        <v>7</v>
      </c>
      <c r="Q336">
        <f>VLOOKUP(A336,[2]cwurData!$B:$N, 4, FALSE)</f>
        <v>355</v>
      </c>
      <c r="R336">
        <f>VLOOKUP(A336,[2]cwurData!$B:$N, 5, FALSE)</f>
        <v>478</v>
      </c>
      <c r="S336">
        <f>VLOOKUP(A336,[2]cwurData!$B:$N, 6, FALSE)</f>
        <v>210</v>
      </c>
      <c r="T336">
        <f>VLOOKUP(A336,[2]cwurData!$B:$N, 7, FALSE)</f>
        <v>258</v>
      </c>
      <c r="U336">
        <f>VLOOKUP(A336,[2]cwurData!$B:$N, 8, FALSE)</f>
        <v>314</v>
      </c>
      <c r="V336">
        <f>VLOOKUP(A336,[2]cwurData!$B:$N, 9, FALSE)</f>
        <v>220</v>
      </c>
      <c r="W336">
        <f>VLOOKUP(A336,[2]cwurData!$B:$N, 10, FALSE)</f>
        <v>274</v>
      </c>
      <c r="X336">
        <f>VLOOKUP(A336,[2]cwurData!$B:$N, 11, FALSE)</f>
        <v>373</v>
      </c>
      <c r="Y336">
        <f>VLOOKUP(A336,[2]cwurData!$B:$N, 12, FALSE)</f>
        <v>46.08</v>
      </c>
      <c r="Z336">
        <f>VLOOKUP(A336,[2]cwurData!$B:$N, 13, FALSE)</f>
        <v>2014</v>
      </c>
    </row>
    <row r="337" spans="1:26" x14ac:dyDescent="0.3">
      <c r="A337" t="s">
        <v>298</v>
      </c>
      <c r="B337" t="str">
        <f>IFERROR(VLOOKUP(A337,[1]timesData!$B:$P,2,FALSE),VLOOKUP(A337,[2]cwurData!$B:$P,2,FALSE))</f>
        <v>Canada</v>
      </c>
      <c r="C337" t="str">
        <f>VLOOKUP(A337,[1]timesData!$B:$P,3,FALSE)</f>
        <v>276-300</v>
      </c>
      <c r="D337" t="str">
        <f>VLOOKUP(A338,[1]timesData!$B:$P,3,FALSE)</f>
        <v>276-300</v>
      </c>
      <c r="E337">
        <f>VLOOKUP(A338,[1]timesData!$B:$P,4,FALSE)</f>
        <v>57.7</v>
      </c>
      <c r="F337">
        <f>VLOOKUP(A338,[1]timesData!$B:$P,5,FALSE)</f>
        <v>27.7</v>
      </c>
      <c r="G337">
        <f>VLOOKUP(A338,[1]timesData!$B:$P,6,FALSE)</f>
        <v>41.2</v>
      </c>
      <c r="H337">
        <f>VLOOKUP(A338,[1]timesData!$B:$P,7,FALSE)</f>
        <v>41.7</v>
      </c>
      <c r="I337" t="str">
        <f>VLOOKUP(A338,[1]timesData!$B:$P,8,FALSE)</f>
        <v>-</v>
      </c>
      <c r="J337">
        <f>VLOOKUP(A338,[1]timesData!$B:$P,9,FALSE)</f>
        <v>48007</v>
      </c>
      <c r="K337">
        <f>VLOOKUP(A338,[1]timesData!$B:$P,10,FALSE)</f>
        <v>39.4</v>
      </c>
      <c r="L337">
        <f>VLOOKUP(A338,[1]timesData!$B:$P,11,FALSE)</f>
        <v>0.09</v>
      </c>
      <c r="M337">
        <f>VLOOKUP(A338,[1]timesData!$B:$P,12,FALSE)</f>
        <v>2.4868055555555557</v>
      </c>
      <c r="N337">
        <f>VLOOKUP(A338,[1]timesData!$B:$P,13,FALSE)</f>
        <v>2012</v>
      </c>
      <c r="O337">
        <f>VLOOKUP(A337,[2]cwurData!$B:$P,14,FALSE)</f>
        <v>366</v>
      </c>
      <c r="P337">
        <f>VLOOKUP(A337,[2]cwurData!$B:$N, 3, FALSE)</f>
        <v>15</v>
      </c>
      <c r="Q337">
        <f>VLOOKUP(A337,[2]cwurData!$B:$N, 4, FALSE)</f>
        <v>355</v>
      </c>
      <c r="R337">
        <f>VLOOKUP(A337,[2]cwurData!$B:$N, 5, FALSE)</f>
        <v>478</v>
      </c>
      <c r="S337">
        <f>VLOOKUP(A337,[2]cwurData!$B:$N, 6, FALSE)</f>
        <v>210</v>
      </c>
      <c r="T337">
        <f>VLOOKUP(A337,[2]cwurData!$B:$N, 7, FALSE)</f>
        <v>319</v>
      </c>
      <c r="U337">
        <f>VLOOKUP(A337,[2]cwurData!$B:$N, 8, FALSE)</f>
        <v>289</v>
      </c>
      <c r="V337">
        <f>VLOOKUP(A337,[2]cwurData!$B:$N, 9, FALSE)</f>
        <v>125</v>
      </c>
      <c r="W337">
        <f>VLOOKUP(A337,[2]cwurData!$B:$N, 10, FALSE)</f>
        <v>349</v>
      </c>
      <c r="X337">
        <f>VLOOKUP(A337,[2]cwurData!$B:$N, 11, FALSE)</f>
        <v>373</v>
      </c>
      <c r="Y337">
        <f>VLOOKUP(A337,[2]cwurData!$B:$N, 12, FALSE)</f>
        <v>45.74</v>
      </c>
      <c r="Z337">
        <f>VLOOKUP(A337,[2]cwurData!$B:$N, 13, FALSE)</f>
        <v>2014</v>
      </c>
    </row>
    <row r="338" spans="1:26" x14ac:dyDescent="0.3">
      <c r="A338" t="s">
        <v>306</v>
      </c>
      <c r="B338" t="str">
        <f>IFERROR(VLOOKUP(A338,[1]timesData!$B:$P,2,FALSE),VLOOKUP(A338,[2]cwurData!$B:$P,2,FALSE))</f>
        <v>Canada</v>
      </c>
      <c r="C338" t="str">
        <f>VLOOKUP(A338,[1]timesData!$B:$P,3,FALSE)</f>
        <v>276-300</v>
      </c>
      <c r="D338" t="str">
        <f>VLOOKUP(A339,[1]timesData!$B:$P,3,FALSE)</f>
        <v>276-300</v>
      </c>
      <c r="E338">
        <f>VLOOKUP(A339,[1]timesData!$B:$P,4,FALSE)</f>
        <v>18.2</v>
      </c>
      <c r="F338">
        <f>VLOOKUP(A339,[1]timesData!$B:$P,5,FALSE)</f>
        <v>39.5</v>
      </c>
      <c r="G338">
        <f>VLOOKUP(A339,[1]timesData!$B:$P,6,FALSE)</f>
        <v>51.6</v>
      </c>
      <c r="H338">
        <f>VLOOKUP(A339,[1]timesData!$B:$P,7,FALSE)</f>
        <v>37.9</v>
      </c>
      <c r="I338" t="str">
        <f>VLOOKUP(A339,[1]timesData!$B:$P,8,FALSE)</f>
        <v>-</v>
      </c>
      <c r="J338">
        <f>VLOOKUP(A339,[1]timesData!$B:$P,9,FALSE)</f>
        <v>3318</v>
      </c>
      <c r="K338">
        <f>VLOOKUP(A339,[1]timesData!$B:$P,10,FALSE)</f>
        <v>8.1999999999999993</v>
      </c>
      <c r="L338">
        <f>VLOOKUP(A339,[1]timesData!$B:$P,11,FALSE)</f>
        <v>0.01</v>
      </c>
      <c r="M338">
        <f>VLOOKUP(A339,[1]timesData!$B:$P,12,FALSE)</f>
        <v>0.84791666666666665</v>
      </c>
      <c r="N338">
        <f>VLOOKUP(A339,[1]timesData!$B:$P,13,FALSE)</f>
        <v>2015</v>
      </c>
      <c r="O338">
        <f>VLOOKUP(A338,[2]cwurData!$B:$P,14,FALSE)</f>
        <v>398</v>
      </c>
      <c r="P338">
        <f>VLOOKUP(A338,[2]cwurData!$B:$N, 3, FALSE)</f>
        <v>18</v>
      </c>
      <c r="Q338">
        <f>VLOOKUP(A338,[2]cwurData!$B:$N, 4, FALSE)</f>
        <v>355</v>
      </c>
      <c r="R338">
        <f>VLOOKUP(A338,[2]cwurData!$B:$N, 5, FALSE)</f>
        <v>164</v>
      </c>
      <c r="S338">
        <f>VLOOKUP(A338,[2]cwurData!$B:$N, 6, FALSE)</f>
        <v>210</v>
      </c>
      <c r="T338">
        <f>VLOOKUP(A338,[2]cwurData!$B:$N, 7, FALSE)</f>
        <v>397</v>
      </c>
      <c r="U338">
        <f>VLOOKUP(A338,[2]cwurData!$B:$N, 8, FALSE)</f>
        <v>396</v>
      </c>
      <c r="V338">
        <f>VLOOKUP(A338,[2]cwurData!$B:$N, 9, FALSE)</f>
        <v>250</v>
      </c>
      <c r="W338">
        <f>VLOOKUP(A338,[2]cwurData!$B:$N, 10, FALSE)</f>
        <v>409</v>
      </c>
      <c r="X338">
        <f>VLOOKUP(A338,[2]cwurData!$B:$N, 11, FALSE)</f>
        <v>737</v>
      </c>
      <c r="Y338">
        <f>VLOOKUP(A338,[2]cwurData!$B:$N, 12, FALSE)</f>
        <v>45.55</v>
      </c>
      <c r="Z338">
        <f>VLOOKUP(A338,[2]cwurData!$B:$N, 13, FALSE)</f>
        <v>2014</v>
      </c>
    </row>
    <row r="339" spans="1:26" x14ac:dyDescent="0.3">
      <c r="A339" t="s">
        <v>467</v>
      </c>
      <c r="B339" t="str">
        <f>IFERROR(VLOOKUP(A339,[1]timesData!$B:$P,2,FALSE),VLOOKUP(A339,[2]cwurData!$B:$P,2,FALSE))</f>
        <v>India</v>
      </c>
      <c r="C339" t="str">
        <f>VLOOKUP(A339,[1]timesData!$B:$P,3,FALSE)</f>
        <v>276-300</v>
      </c>
      <c r="D339" t="str">
        <f>VLOOKUP(A340,[1]timesData!$B:$P,3,FALSE)</f>
        <v>276-300</v>
      </c>
      <c r="E339">
        <f>VLOOKUP(A340,[1]timesData!$B:$P,4,FALSE)</f>
        <v>56.9</v>
      </c>
      <c r="F339">
        <f>VLOOKUP(A340,[1]timesData!$B:$P,5,FALSE)</f>
        <v>17.3</v>
      </c>
      <c r="G339">
        <f>VLOOKUP(A340,[1]timesData!$B:$P,6,FALSE)</f>
        <v>62.4</v>
      </c>
      <c r="H339">
        <f>VLOOKUP(A340,[1]timesData!$B:$P,7,FALSE)</f>
        <v>75.400000000000006</v>
      </c>
      <c r="I339" t="str">
        <f>VLOOKUP(A340,[1]timesData!$B:$P,8,FALSE)</f>
        <v>-</v>
      </c>
      <c r="J339">
        <f>VLOOKUP(A340,[1]timesData!$B:$P,9,FALSE)</f>
        <v>13960</v>
      </c>
      <c r="K339">
        <f>VLOOKUP(A340,[1]timesData!$B:$P,10,FALSE)</f>
        <v>25.9</v>
      </c>
      <c r="L339">
        <f>VLOOKUP(A340,[1]timesData!$B:$P,11,FALSE)</f>
        <v>0.08</v>
      </c>
      <c r="M339">
        <f>VLOOKUP(A340,[1]timesData!$B:$P,12,FALSE)</f>
        <v>2.7736111111111112</v>
      </c>
      <c r="N339">
        <f>VLOOKUP(A340,[1]timesData!$B:$P,13,FALSE)</f>
        <v>2012</v>
      </c>
      <c r="O339">
        <f>VLOOKUP(A339,[2]cwurData!$B:$P,14,FALSE)</f>
        <v>501</v>
      </c>
      <c r="P339">
        <f>VLOOKUP(A339,[2]cwurData!$B:$N, 3, FALSE)</f>
        <v>3</v>
      </c>
      <c r="Q339">
        <f>VLOOKUP(A339,[2]cwurData!$B:$N, 4, FALSE)</f>
        <v>355</v>
      </c>
      <c r="R339">
        <f>VLOOKUP(A339,[2]cwurData!$B:$N, 5, FALSE)</f>
        <v>478</v>
      </c>
      <c r="S339">
        <f>VLOOKUP(A339,[2]cwurData!$B:$N, 6, FALSE)</f>
        <v>210</v>
      </c>
      <c r="T339">
        <f>VLOOKUP(A339,[2]cwurData!$B:$N, 7, FALSE)</f>
        <v>305</v>
      </c>
      <c r="U339">
        <f>VLOOKUP(A339,[2]cwurData!$B:$N, 8, FALSE)</f>
        <v>495</v>
      </c>
      <c r="V339">
        <f>VLOOKUP(A339,[2]cwurData!$B:$N, 9, FALSE)</f>
        <v>609</v>
      </c>
      <c r="W339">
        <f>VLOOKUP(A339,[2]cwurData!$B:$N, 10, FALSE)</f>
        <v>472</v>
      </c>
      <c r="X339">
        <f>VLOOKUP(A339,[2]cwurData!$B:$N, 11, FALSE)</f>
        <v>280</v>
      </c>
      <c r="Y339">
        <f>VLOOKUP(A339,[2]cwurData!$B:$N, 12, FALSE)</f>
        <v>45.11</v>
      </c>
      <c r="Z339">
        <f>VLOOKUP(A339,[2]cwurData!$B:$N, 13, FALSE)</f>
        <v>2014</v>
      </c>
    </row>
    <row r="340" spans="1:26" x14ac:dyDescent="0.3">
      <c r="A340" t="s">
        <v>299</v>
      </c>
      <c r="B340" t="str">
        <f>IFERROR(VLOOKUP(A340,[1]timesData!$B:$P,2,FALSE),VLOOKUP(A340,[2]cwurData!$B:$P,2,FALSE))</f>
        <v>Iceland</v>
      </c>
      <c r="C340" t="str">
        <f>VLOOKUP(A340,[1]timesData!$B:$P,3,FALSE)</f>
        <v>276-300</v>
      </c>
      <c r="D340" t="str">
        <f>VLOOKUP(A341,[1]timesData!$B:$P,3,FALSE)</f>
        <v>276-300</v>
      </c>
      <c r="E340">
        <f>VLOOKUP(A341,[1]timesData!$B:$P,4,FALSE)</f>
        <v>76.3</v>
      </c>
      <c r="F340">
        <f>VLOOKUP(A341,[1]timesData!$B:$P,5,FALSE)</f>
        <v>27.1</v>
      </c>
      <c r="G340">
        <f>VLOOKUP(A341,[1]timesData!$B:$P,6,FALSE)</f>
        <v>35.799999999999997</v>
      </c>
      <c r="H340">
        <f>VLOOKUP(A341,[1]timesData!$B:$P,7,FALSE)</f>
        <v>64.8</v>
      </c>
      <c r="I340" t="str">
        <f>VLOOKUP(A341,[1]timesData!$B:$P,8,FALSE)</f>
        <v>-</v>
      </c>
      <c r="J340">
        <f>VLOOKUP(A341,[1]timesData!$B:$P,9,FALSE)</f>
        <v>23508</v>
      </c>
      <c r="K340">
        <f>VLOOKUP(A341,[1]timesData!$B:$P,10,FALSE)</f>
        <v>21.9</v>
      </c>
      <c r="L340">
        <f>VLOOKUP(A341,[1]timesData!$B:$P,11,FALSE)</f>
        <v>0.18</v>
      </c>
      <c r="M340">
        <f>VLOOKUP(A341,[1]timesData!$B:$P,12,FALSE)</f>
        <v>2.3638888888888889</v>
      </c>
      <c r="N340">
        <f>VLOOKUP(A341,[1]timesData!$B:$P,13,FALSE)</f>
        <v>2012</v>
      </c>
      <c r="O340">
        <f>VLOOKUP(A340,[2]cwurData!$B:$P,14,FALSE)</f>
        <v>516</v>
      </c>
      <c r="P340">
        <f>VLOOKUP(A340,[2]cwurData!$B:$N, 3, FALSE)</f>
        <v>1</v>
      </c>
      <c r="Q340">
        <f>VLOOKUP(A340,[2]cwurData!$B:$N, 4, FALSE)</f>
        <v>355</v>
      </c>
      <c r="R340">
        <f>VLOOKUP(A340,[2]cwurData!$B:$N, 5, FALSE)</f>
        <v>478</v>
      </c>
      <c r="S340">
        <f>VLOOKUP(A340,[2]cwurData!$B:$N, 6, FALSE)</f>
        <v>210</v>
      </c>
      <c r="T340">
        <f>VLOOKUP(A340,[2]cwurData!$B:$N, 7, FALSE)</f>
        <v>629</v>
      </c>
      <c r="U340">
        <f>VLOOKUP(A340,[2]cwurData!$B:$N, 8, FALSE)</f>
        <v>311</v>
      </c>
      <c r="V340">
        <f>VLOOKUP(A340,[2]cwurData!$B:$N, 9, FALSE)</f>
        <v>310</v>
      </c>
      <c r="W340">
        <f>VLOOKUP(A340,[2]cwurData!$B:$N, 10, FALSE)</f>
        <v>409</v>
      </c>
      <c r="X340">
        <f>VLOOKUP(A340,[2]cwurData!$B:$N, 11, FALSE)</f>
        <v>737</v>
      </c>
      <c r="Y340">
        <f>VLOOKUP(A340,[2]cwurData!$B:$N, 12, FALSE)</f>
        <v>45.05</v>
      </c>
      <c r="Z340">
        <f>VLOOKUP(A340,[2]cwurData!$B:$N, 13, FALSE)</f>
        <v>2014</v>
      </c>
    </row>
    <row r="341" spans="1:26" x14ac:dyDescent="0.3">
      <c r="A341" t="s">
        <v>303</v>
      </c>
      <c r="B341" t="str">
        <f>IFERROR(VLOOKUP(A341,[1]timesData!$B:$P,2,FALSE),VLOOKUP(A341,[2]cwurData!$B:$P,2,FALSE))</f>
        <v>Australia</v>
      </c>
      <c r="C341" t="str">
        <f>VLOOKUP(A341,[1]timesData!$B:$P,3,FALSE)</f>
        <v>276-300</v>
      </c>
      <c r="D341" t="str">
        <f>VLOOKUP(A342,[1]timesData!$B:$P,3,FALSE)</f>
        <v>276-300</v>
      </c>
      <c r="E341">
        <f>VLOOKUP(A342,[1]timesData!$B:$P,4,FALSE)</f>
        <v>42.6</v>
      </c>
      <c r="F341">
        <f>VLOOKUP(A342,[1]timesData!$B:$P,5,FALSE)</f>
        <v>12.6</v>
      </c>
      <c r="G341">
        <f>VLOOKUP(A342,[1]timesData!$B:$P,6,FALSE)</f>
        <v>66.7</v>
      </c>
      <c r="H341">
        <f>VLOOKUP(A342,[1]timesData!$B:$P,7,FALSE)</f>
        <v>33.200000000000003</v>
      </c>
      <c r="I341" t="str">
        <f>VLOOKUP(A342,[1]timesData!$B:$P,8,FALSE)</f>
        <v>-</v>
      </c>
      <c r="J341">
        <f>VLOOKUP(A342,[1]timesData!$B:$P,9,FALSE)</f>
        <v>14650</v>
      </c>
      <c r="K341">
        <f>VLOOKUP(A342,[1]timesData!$B:$P,10,FALSE)</f>
        <v>26.9</v>
      </c>
      <c r="L341">
        <f>VLOOKUP(A342,[1]timesData!$B:$P,11,FALSE)</f>
        <v>0.05</v>
      </c>
      <c r="M341">
        <f>VLOOKUP(A342,[1]timesData!$B:$P,12,FALSE)</f>
        <v>2.6506944444444445</v>
      </c>
      <c r="N341">
        <f>VLOOKUP(A342,[1]timesData!$B:$P,13,FALSE)</f>
        <v>2012</v>
      </c>
      <c r="O341">
        <f>VLOOKUP(A341,[2]cwurData!$B:$P,14,FALSE)</f>
        <v>546</v>
      </c>
      <c r="P341">
        <f>VLOOKUP(A341,[2]cwurData!$B:$N, 3, FALSE)</f>
        <v>12</v>
      </c>
      <c r="Q341">
        <f>VLOOKUP(A341,[2]cwurData!$B:$N, 4, FALSE)</f>
        <v>355</v>
      </c>
      <c r="R341">
        <f>VLOOKUP(A341,[2]cwurData!$B:$N, 5, FALSE)</f>
        <v>478</v>
      </c>
      <c r="S341">
        <f>VLOOKUP(A341,[2]cwurData!$B:$N, 6, FALSE)</f>
        <v>210</v>
      </c>
      <c r="T341">
        <f>VLOOKUP(A341,[2]cwurData!$B:$N, 7, FALSE)</f>
        <v>434</v>
      </c>
      <c r="U341">
        <f>VLOOKUP(A341,[2]cwurData!$B:$N, 8, FALSE)</f>
        <v>475</v>
      </c>
      <c r="V341">
        <f>VLOOKUP(A341,[2]cwurData!$B:$N, 9, FALSE)</f>
        <v>609</v>
      </c>
      <c r="W341">
        <f>VLOOKUP(A341,[2]cwurData!$B:$N, 10, FALSE)</f>
        <v>442</v>
      </c>
      <c r="X341">
        <f>VLOOKUP(A341,[2]cwurData!$B:$N, 11, FALSE)</f>
        <v>637</v>
      </c>
      <c r="Y341">
        <f>VLOOKUP(A341,[2]cwurData!$B:$N, 12, FALSE)</f>
        <v>44.97</v>
      </c>
      <c r="Z341">
        <f>VLOOKUP(A341,[2]cwurData!$B:$N, 13, FALSE)</f>
        <v>2014</v>
      </c>
    </row>
    <row r="342" spans="1:26" x14ac:dyDescent="0.3">
      <c r="A342" t="s">
        <v>297</v>
      </c>
      <c r="B342" t="str">
        <f>IFERROR(VLOOKUP(A342,[1]timesData!$B:$P,2,FALSE),VLOOKUP(A342,[2]cwurData!$B:$P,2,FALSE))</f>
        <v>Greece</v>
      </c>
      <c r="C342" t="str">
        <f>VLOOKUP(A342,[1]timesData!$B:$P,3,FALSE)</f>
        <v>276-300</v>
      </c>
      <c r="D342" t="str">
        <f>VLOOKUP(A343,[1]timesData!$B:$P,3,FALSE)</f>
        <v>276-300</v>
      </c>
      <c r="E342">
        <f>VLOOKUP(A343,[1]timesData!$B:$P,4,FALSE)</f>
        <v>49.7</v>
      </c>
      <c r="F342">
        <f>VLOOKUP(A343,[1]timesData!$B:$P,5,FALSE)</f>
        <v>20</v>
      </c>
      <c r="G342">
        <f>VLOOKUP(A343,[1]timesData!$B:$P,6,FALSE)</f>
        <v>51.5</v>
      </c>
      <c r="H342">
        <f>VLOOKUP(A343,[1]timesData!$B:$P,7,FALSE)</f>
        <v>51</v>
      </c>
      <c r="I342" t="str">
        <f>VLOOKUP(A343,[1]timesData!$B:$P,8,FALSE)</f>
        <v>-</v>
      </c>
      <c r="J342">
        <f>VLOOKUP(A343,[1]timesData!$B:$P,9,FALSE)</f>
        <v>16841</v>
      </c>
      <c r="K342">
        <f>VLOOKUP(A343,[1]timesData!$B:$P,10,FALSE)</f>
        <v>43.2</v>
      </c>
      <c r="L342">
        <f>VLOOKUP(A343,[1]timesData!$B:$P,11,FALSE)</f>
        <v>0.08</v>
      </c>
      <c r="M342">
        <f>VLOOKUP(A343,[1]timesData!$B:$P,12,FALSE)</f>
        <v>2.1590277777777778</v>
      </c>
      <c r="N342">
        <f>VLOOKUP(A343,[1]timesData!$B:$P,13,FALSE)</f>
        <v>2012</v>
      </c>
      <c r="O342">
        <f>VLOOKUP(A342,[2]cwurData!$B:$P,14,FALSE)</f>
        <v>551</v>
      </c>
      <c r="P342">
        <f>VLOOKUP(A342,[2]cwurData!$B:$N, 3, FALSE)</f>
        <v>3</v>
      </c>
      <c r="Q342">
        <f>VLOOKUP(A342,[2]cwurData!$B:$N, 4, FALSE)</f>
        <v>355</v>
      </c>
      <c r="R342">
        <f>VLOOKUP(A342,[2]cwurData!$B:$N, 5, FALSE)</f>
        <v>478</v>
      </c>
      <c r="S342">
        <f>VLOOKUP(A342,[2]cwurData!$B:$N, 6, FALSE)</f>
        <v>210</v>
      </c>
      <c r="T342">
        <f>VLOOKUP(A342,[2]cwurData!$B:$N, 7, FALSE)</f>
        <v>481</v>
      </c>
      <c r="U342">
        <f>VLOOKUP(A342,[2]cwurData!$B:$N, 8, FALSE)</f>
        <v>497</v>
      </c>
      <c r="V342">
        <f>VLOOKUP(A342,[2]cwurData!$B:$N, 9, FALSE)</f>
        <v>406</v>
      </c>
      <c r="W342">
        <f>VLOOKUP(A342,[2]cwurData!$B:$N, 10, FALSE)</f>
        <v>442</v>
      </c>
      <c r="X342">
        <f>VLOOKUP(A342,[2]cwurData!$B:$N, 11, FALSE)</f>
        <v>737</v>
      </c>
      <c r="Y342">
        <f>VLOOKUP(A342,[2]cwurData!$B:$N, 12, FALSE)</f>
        <v>44.96</v>
      </c>
      <c r="Z342">
        <f>VLOOKUP(A342,[2]cwurData!$B:$N, 13, FALSE)</f>
        <v>2014</v>
      </c>
    </row>
    <row r="343" spans="1:26" x14ac:dyDescent="0.3">
      <c r="A343" t="s">
        <v>305</v>
      </c>
      <c r="B343" t="str">
        <f>IFERROR(VLOOKUP(A343,[1]timesData!$B:$P,2,FALSE),VLOOKUP(A343,[2]cwurData!$B:$P,2,FALSE))</f>
        <v>Italy</v>
      </c>
      <c r="C343" t="str">
        <f>VLOOKUP(A343,[1]timesData!$B:$P,3,FALSE)</f>
        <v>276-300</v>
      </c>
      <c r="D343" t="str">
        <f>VLOOKUP(A344,[1]timesData!$B:$P,3,FALSE)</f>
        <v>276-300</v>
      </c>
      <c r="E343">
        <f>VLOOKUP(A344,[1]timesData!$B:$P,4,FALSE)</f>
        <v>76.7</v>
      </c>
      <c r="F343">
        <f>VLOOKUP(A344,[1]timesData!$B:$P,5,FALSE)</f>
        <v>26.7</v>
      </c>
      <c r="G343">
        <f>VLOOKUP(A344,[1]timesData!$B:$P,6,FALSE)</f>
        <v>35.5</v>
      </c>
      <c r="H343">
        <f>VLOOKUP(A344,[1]timesData!$B:$P,7,FALSE)</f>
        <v>62.5</v>
      </c>
      <c r="I343" t="str">
        <f>VLOOKUP(A344,[1]timesData!$B:$P,8,FALSE)</f>
        <v>-</v>
      </c>
      <c r="J343">
        <f>VLOOKUP(A344,[1]timesData!$B:$P,9,FALSE)</f>
        <v>33391</v>
      </c>
      <c r="K343">
        <f>VLOOKUP(A344,[1]timesData!$B:$P,10,FALSE)</f>
        <v>35.799999999999997</v>
      </c>
      <c r="L343">
        <f>VLOOKUP(A344,[1]timesData!$B:$P,11,FALSE)</f>
        <v>0.17</v>
      </c>
      <c r="M343">
        <f>VLOOKUP(A344,[1]timesData!$B:$P,12,FALSE)</f>
        <v>2.2819444444444446</v>
      </c>
      <c r="N343">
        <f>VLOOKUP(A344,[1]timesData!$B:$P,13,FALSE)</f>
        <v>2012</v>
      </c>
      <c r="O343">
        <f>VLOOKUP(A343,[2]cwurData!$B:$P,14,FALSE)</f>
        <v>597</v>
      </c>
      <c r="P343">
        <f>VLOOKUP(A343,[2]cwurData!$B:$N, 3, FALSE)</f>
        <v>33</v>
      </c>
      <c r="Q343">
        <f>VLOOKUP(A343,[2]cwurData!$B:$N, 4, FALSE)</f>
        <v>355</v>
      </c>
      <c r="R343">
        <f>VLOOKUP(A343,[2]cwurData!$B:$N, 5, FALSE)</f>
        <v>478</v>
      </c>
      <c r="S343">
        <f>VLOOKUP(A343,[2]cwurData!$B:$N, 6, FALSE)</f>
        <v>210</v>
      </c>
      <c r="T343">
        <f>VLOOKUP(A343,[2]cwurData!$B:$N, 7, FALSE)</f>
        <v>490</v>
      </c>
      <c r="U343">
        <f>VLOOKUP(A343,[2]cwurData!$B:$N, 8, FALSE)</f>
        <v>569</v>
      </c>
      <c r="V343">
        <f>VLOOKUP(A343,[2]cwurData!$B:$N, 9, FALSE)</f>
        <v>609</v>
      </c>
      <c r="W343">
        <f>VLOOKUP(A343,[2]cwurData!$B:$N, 10, FALSE)</f>
        <v>504</v>
      </c>
      <c r="X343">
        <f>VLOOKUP(A343,[2]cwurData!$B:$N, 11, FALSE)</f>
        <v>737</v>
      </c>
      <c r="Y343">
        <f>VLOOKUP(A343,[2]cwurData!$B:$N, 12, FALSE)</f>
        <v>44.82</v>
      </c>
      <c r="Z343">
        <f>VLOOKUP(A343,[2]cwurData!$B:$N, 13, FALSE)</f>
        <v>2014</v>
      </c>
    </row>
    <row r="344" spans="1:26" x14ac:dyDescent="0.3">
      <c r="A344" t="s">
        <v>291</v>
      </c>
      <c r="B344" t="str">
        <f>IFERROR(VLOOKUP(A344,[1]timesData!$B:$P,2,FALSE),VLOOKUP(A344,[2]cwurData!$B:$P,2,FALSE))</f>
        <v>Australia</v>
      </c>
      <c r="C344" t="str">
        <f>VLOOKUP(A344,[1]timesData!$B:$P,3,FALSE)</f>
        <v>276-300</v>
      </c>
      <c r="D344" t="str">
        <f>VLOOKUP(A345,[1]timesData!$B:$P,3,FALSE)</f>
        <v>276-300</v>
      </c>
      <c r="E344">
        <f>VLOOKUP(A345,[1]timesData!$B:$P,4,FALSE)</f>
        <v>38.200000000000003</v>
      </c>
      <c r="F344">
        <f>VLOOKUP(A345,[1]timesData!$B:$P,5,FALSE)</f>
        <v>25.5</v>
      </c>
      <c r="G344">
        <f>VLOOKUP(A345,[1]timesData!$B:$P,6,FALSE)</f>
        <v>57.4</v>
      </c>
      <c r="H344">
        <f>VLOOKUP(A345,[1]timesData!$B:$P,7,FALSE)</f>
        <v>52.5</v>
      </c>
      <c r="I344" t="str">
        <f>VLOOKUP(A345,[1]timesData!$B:$P,8,FALSE)</f>
        <v>-</v>
      </c>
      <c r="J344">
        <f>VLOOKUP(A345,[1]timesData!$B:$P,9,FALSE)</f>
        <v>3837</v>
      </c>
      <c r="K344">
        <f>VLOOKUP(A345,[1]timesData!$B:$P,10,FALSE)</f>
        <v>8.1999999999999993</v>
      </c>
      <c r="L344">
        <f>VLOOKUP(A345,[1]timesData!$B:$P,11,FALSE)</f>
        <v>7.0000000000000007E-2</v>
      </c>
      <c r="M344">
        <f>VLOOKUP(A345,[1]timesData!$B:$P,12,FALSE)</f>
        <v>2.2409722222222221</v>
      </c>
      <c r="N344">
        <f>VLOOKUP(A345,[1]timesData!$B:$P,13,FALSE)</f>
        <v>2014</v>
      </c>
      <c r="O344">
        <f>VLOOKUP(A344,[2]cwurData!$B:$P,14,FALSE)</f>
        <v>605</v>
      </c>
      <c r="P344">
        <f>VLOOKUP(A344,[2]cwurData!$B:$N, 3, FALSE)</f>
        <v>14</v>
      </c>
      <c r="Q344">
        <f>VLOOKUP(A344,[2]cwurData!$B:$N, 4, FALSE)</f>
        <v>355</v>
      </c>
      <c r="R344">
        <f>VLOOKUP(A344,[2]cwurData!$B:$N, 5, FALSE)</f>
        <v>478</v>
      </c>
      <c r="S344">
        <f>VLOOKUP(A344,[2]cwurData!$B:$N, 6, FALSE)</f>
        <v>210</v>
      </c>
      <c r="T344">
        <f>VLOOKUP(A344,[2]cwurData!$B:$N, 7, FALSE)</f>
        <v>457</v>
      </c>
      <c r="U344">
        <f>VLOOKUP(A344,[2]cwurData!$B:$N, 8, FALSE)</f>
        <v>733</v>
      </c>
      <c r="V344">
        <f>VLOOKUP(A344,[2]cwurData!$B:$N, 9, FALSE)</f>
        <v>493</v>
      </c>
      <c r="W344">
        <f>VLOOKUP(A344,[2]cwurData!$B:$N, 10, FALSE)</f>
        <v>523</v>
      </c>
      <c r="X344">
        <f>VLOOKUP(A344,[2]cwurData!$B:$N, 11, FALSE)</f>
        <v>552</v>
      </c>
      <c r="Y344">
        <f>VLOOKUP(A344,[2]cwurData!$B:$N, 12, FALSE)</f>
        <v>44.81</v>
      </c>
      <c r="Z344">
        <f>VLOOKUP(A344,[2]cwurData!$B:$N, 13, FALSE)</f>
        <v>2014</v>
      </c>
    </row>
    <row r="345" spans="1:26" x14ac:dyDescent="0.3">
      <c r="A345" t="s">
        <v>449</v>
      </c>
      <c r="B345" t="str">
        <f>IFERROR(VLOOKUP(A345,[1]timesData!$B:$P,2,FALSE),VLOOKUP(A345,[2]cwurData!$B:$P,2,FALSE))</f>
        <v>United States of America</v>
      </c>
      <c r="C345" t="str">
        <f>VLOOKUP(A345,[1]timesData!$B:$P,3,FALSE)</f>
        <v>276-300</v>
      </c>
      <c r="D345" t="str">
        <f>VLOOKUP(A346,[1]timesData!$B:$P,3,FALSE)</f>
        <v>276-300</v>
      </c>
      <c r="E345">
        <f>VLOOKUP(A346,[1]timesData!$B:$P,4,FALSE)</f>
        <v>18.899999999999999</v>
      </c>
      <c r="F345">
        <f>VLOOKUP(A346,[1]timesData!$B:$P,5,FALSE)</f>
        <v>18.2</v>
      </c>
      <c r="G345">
        <f>VLOOKUP(A346,[1]timesData!$B:$P,6,FALSE)</f>
        <v>48.9</v>
      </c>
      <c r="H345">
        <f>VLOOKUP(A346,[1]timesData!$B:$P,7,FALSE)</f>
        <v>99.1</v>
      </c>
      <c r="I345" t="str">
        <f>VLOOKUP(A346,[1]timesData!$B:$P,8,FALSE)</f>
        <v>-</v>
      </c>
      <c r="J345">
        <f>VLOOKUP(A346,[1]timesData!$B:$P,9,FALSE)</f>
        <v>34550</v>
      </c>
      <c r="K345">
        <f>VLOOKUP(A346,[1]timesData!$B:$P,10,FALSE)</f>
        <v>16</v>
      </c>
      <c r="L345">
        <f>VLOOKUP(A346,[1]timesData!$B:$P,11,FALSE)</f>
        <v>0.05</v>
      </c>
      <c r="M345" t="str">
        <f>VLOOKUP(A346,[1]timesData!$B:$P,12,FALSE)</f>
        <v>34 : 66</v>
      </c>
      <c r="N345">
        <f>VLOOKUP(A346,[1]timesData!$B:$P,13,FALSE)</f>
        <v>2012</v>
      </c>
      <c r="O345">
        <f>VLOOKUP(A345,[2]cwurData!$B:$P,14,FALSE)</f>
        <v>621</v>
      </c>
      <c r="P345">
        <f>VLOOKUP(A345,[2]cwurData!$B:$N, 3, FALSE)</f>
        <v>180</v>
      </c>
      <c r="Q345">
        <f>VLOOKUP(A345,[2]cwurData!$B:$N, 4, FALSE)</f>
        <v>355</v>
      </c>
      <c r="R345">
        <f>VLOOKUP(A345,[2]cwurData!$B:$N, 5, FALSE)</f>
        <v>478</v>
      </c>
      <c r="S345">
        <f>VLOOKUP(A345,[2]cwurData!$B:$N, 6, FALSE)</f>
        <v>210</v>
      </c>
      <c r="T345">
        <f>VLOOKUP(A345,[2]cwurData!$B:$N, 7, FALSE)</f>
        <v>608</v>
      </c>
      <c r="U345">
        <f>VLOOKUP(A345,[2]cwurData!$B:$N, 8, FALSE)</f>
        <v>339</v>
      </c>
      <c r="V345">
        <f>VLOOKUP(A345,[2]cwurData!$B:$N, 9, FALSE)</f>
        <v>609</v>
      </c>
      <c r="W345">
        <f>VLOOKUP(A345,[2]cwurData!$B:$N, 10, FALSE)</f>
        <v>523</v>
      </c>
      <c r="X345">
        <f>VLOOKUP(A345,[2]cwurData!$B:$N, 11, FALSE)</f>
        <v>737</v>
      </c>
      <c r="Y345">
        <f>VLOOKUP(A345,[2]cwurData!$B:$N, 12, FALSE)</f>
        <v>44.77</v>
      </c>
      <c r="Z345">
        <f>VLOOKUP(A345,[2]cwurData!$B:$N, 13, FALSE)</f>
        <v>2014</v>
      </c>
    </row>
    <row r="346" spans="1:26" x14ac:dyDescent="0.3">
      <c r="A346" t="s">
        <v>288</v>
      </c>
      <c r="B346" t="str">
        <f>IFERROR(VLOOKUP(A346,[1]timesData!$B:$P,2,FALSE),VLOOKUP(A346,[2]cwurData!$B:$P,2,FALSE))</f>
        <v>Turkey</v>
      </c>
      <c r="C346" t="str">
        <f>VLOOKUP(A346,[1]timesData!$B:$P,3,FALSE)</f>
        <v>276-300</v>
      </c>
      <c r="D346" t="str">
        <f>VLOOKUP(A347,[1]timesData!$B:$P,3,FALSE)</f>
        <v>276-300</v>
      </c>
      <c r="E346">
        <f>VLOOKUP(A347,[1]timesData!$B:$P,4,FALSE)</f>
        <v>63.8</v>
      </c>
      <c r="F346">
        <f>VLOOKUP(A347,[1]timesData!$B:$P,5,FALSE)</f>
        <v>15.5</v>
      </c>
      <c r="G346">
        <f>VLOOKUP(A347,[1]timesData!$B:$P,6,FALSE)</f>
        <v>56.6</v>
      </c>
      <c r="H346">
        <f>VLOOKUP(A347,[1]timesData!$B:$P,7,FALSE)</f>
        <v>35.5</v>
      </c>
      <c r="I346" t="str">
        <f>VLOOKUP(A347,[1]timesData!$B:$P,8,FALSE)</f>
        <v>-</v>
      </c>
      <c r="J346">
        <f>VLOOKUP(A347,[1]timesData!$B:$P,9,FALSE)</f>
        <v>9252</v>
      </c>
      <c r="K346">
        <f>VLOOKUP(A347,[1]timesData!$B:$P,10,FALSE)</f>
        <v>19.2</v>
      </c>
      <c r="L346">
        <f>VLOOKUP(A347,[1]timesData!$B:$P,11,FALSE)</f>
        <v>0.18</v>
      </c>
      <c r="M346">
        <f>VLOOKUP(A347,[1]timesData!$B:$P,12,FALSE)</f>
        <v>2.036111111111111</v>
      </c>
      <c r="N346">
        <f>VLOOKUP(A347,[1]timesData!$B:$P,13,FALSE)</f>
        <v>2012</v>
      </c>
      <c r="O346">
        <f>VLOOKUP(A346,[2]cwurData!$B:$P,14,FALSE)</f>
        <v>773</v>
      </c>
      <c r="P346">
        <f>VLOOKUP(A346,[2]cwurData!$B:$N, 3, FALSE)</f>
        <v>4</v>
      </c>
      <c r="Q346">
        <f>VLOOKUP(A346,[2]cwurData!$B:$N, 4, FALSE)</f>
        <v>355</v>
      </c>
      <c r="R346">
        <f>VLOOKUP(A346,[2]cwurData!$B:$N, 5, FALSE)</f>
        <v>388</v>
      </c>
      <c r="S346">
        <f>VLOOKUP(A346,[2]cwurData!$B:$N, 6, FALSE)</f>
        <v>210</v>
      </c>
      <c r="T346">
        <f>VLOOKUP(A346,[2]cwurData!$B:$N, 7, FALSE)</f>
        <v>641</v>
      </c>
      <c r="U346">
        <f>VLOOKUP(A346,[2]cwurData!$B:$N, 8, FALSE)</f>
        <v>858</v>
      </c>
      <c r="V346">
        <f>VLOOKUP(A346,[2]cwurData!$B:$N, 9, FALSE)</f>
        <v>363</v>
      </c>
      <c r="W346">
        <f>VLOOKUP(A346,[2]cwurData!$B:$N, 10, FALSE)</f>
        <v>769</v>
      </c>
      <c r="X346">
        <f>VLOOKUP(A346,[2]cwurData!$B:$N, 11, FALSE)</f>
        <v>637</v>
      </c>
      <c r="Y346">
        <f>VLOOKUP(A346,[2]cwurData!$B:$N, 12, FALSE)</f>
        <v>44.56</v>
      </c>
      <c r="Z346">
        <f>VLOOKUP(A346,[2]cwurData!$B:$N, 13, FALSE)</f>
        <v>2014</v>
      </c>
    </row>
    <row r="347" spans="1:26" x14ac:dyDescent="0.3">
      <c r="A347" t="s">
        <v>285</v>
      </c>
      <c r="B347" t="str">
        <f>IFERROR(VLOOKUP(A347,[1]timesData!$B:$P,2,FALSE),VLOOKUP(A347,[2]cwurData!$B:$P,2,FALSE))</f>
        <v>United Kingdom</v>
      </c>
      <c r="C347" t="str">
        <f>VLOOKUP(A347,[1]timesData!$B:$P,3,FALSE)</f>
        <v>276-300</v>
      </c>
      <c r="D347" t="str">
        <f>VLOOKUP(A348,[1]timesData!$B:$P,3,FALSE)</f>
        <v>276-300</v>
      </c>
      <c r="E347">
        <f>VLOOKUP(A348,[1]timesData!$B:$P,4,FALSE)</f>
        <v>50.4</v>
      </c>
      <c r="F347">
        <f>VLOOKUP(A348,[1]timesData!$B:$P,5,FALSE)</f>
        <v>14.9</v>
      </c>
      <c r="G347">
        <f>VLOOKUP(A348,[1]timesData!$B:$P,6,FALSE)</f>
        <v>72.099999999999994</v>
      </c>
      <c r="H347">
        <f>VLOOKUP(A348,[1]timesData!$B:$P,7,FALSE)</f>
        <v>35.4</v>
      </c>
      <c r="I347" t="str">
        <f>VLOOKUP(A348,[1]timesData!$B:$P,8,FALSE)</f>
        <v>-</v>
      </c>
      <c r="J347">
        <f>VLOOKUP(A348,[1]timesData!$B:$P,9,FALSE)</f>
        <v>12520</v>
      </c>
      <c r="K347">
        <f>VLOOKUP(A348,[1]timesData!$B:$P,10,FALSE)</f>
        <v>35.5</v>
      </c>
      <c r="L347">
        <f>VLOOKUP(A348,[1]timesData!$B:$P,11,FALSE)</f>
        <v>0.08</v>
      </c>
      <c r="M347">
        <f>VLOOKUP(A348,[1]timesData!$B:$P,12,FALSE)</f>
        <v>1.9541666666666666</v>
      </c>
      <c r="N347">
        <f>VLOOKUP(A348,[1]timesData!$B:$P,13,FALSE)</f>
        <v>2013</v>
      </c>
      <c r="O347">
        <f>VLOOKUP(A347,[2]cwurData!$B:$P,14,FALSE)</f>
        <v>800</v>
      </c>
      <c r="P347">
        <f>VLOOKUP(A347,[2]cwurData!$B:$N, 3, FALSE)</f>
        <v>59</v>
      </c>
      <c r="Q347">
        <f>VLOOKUP(A347,[2]cwurData!$B:$N, 4, FALSE)</f>
        <v>355</v>
      </c>
      <c r="R347">
        <f>VLOOKUP(A347,[2]cwurData!$B:$N, 5, FALSE)</f>
        <v>478</v>
      </c>
      <c r="S347">
        <f>VLOOKUP(A347,[2]cwurData!$B:$N, 6, FALSE)</f>
        <v>210</v>
      </c>
      <c r="T347">
        <f>VLOOKUP(A347,[2]cwurData!$B:$N, 7, FALSE)</f>
        <v>818</v>
      </c>
      <c r="U347">
        <f>VLOOKUP(A347,[2]cwurData!$B:$N, 8, FALSE)</f>
        <v>562</v>
      </c>
      <c r="V347">
        <f>VLOOKUP(A347,[2]cwurData!$B:$N, 9, FALSE)</f>
        <v>493</v>
      </c>
      <c r="W347">
        <f>VLOOKUP(A347,[2]cwurData!$B:$N, 10, FALSE)</f>
        <v>716</v>
      </c>
      <c r="X347">
        <f>VLOOKUP(A347,[2]cwurData!$B:$N, 11, FALSE)</f>
        <v>481</v>
      </c>
      <c r="Y347">
        <f>VLOOKUP(A347,[2]cwurData!$B:$N, 12, FALSE)</f>
        <v>44.53</v>
      </c>
      <c r="Z347">
        <f>VLOOKUP(A347,[2]cwurData!$B:$N, 13, FALSE)</f>
        <v>2014</v>
      </c>
    </row>
    <row r="348" spans="1:26" x14ac:dyDescent="0.3">
      <c r="A348" t="s">
        <v>418</v>
      </c>
      <c r="B348" t="str">
        <f>IFERROR(VLOOKUP(A348,[1]timesData!$B:$P,2,FALSE),VLOOKUP(A348,[2]cwurData!$B:$P,2,FALSE))</f>
        <v>Germany</v>
      </c>
      <c r="C348" t="str">
        <f>VLOOKUP(A348,[1]timesData!$B:$P,3,FALSE)</f>
        <v>276-300</v>
      </c>
      <c r="D348" t="str">
        <f>VLOOKUP(A349,[1]timesData!$B:$P,3,FALSE)</f>
        <v>276-300</v>
      </c>
      <c r="E348">
        <f>VLOOKUP(A349,[1]timesData!$B:$P,4,FALSE)</f>
        <v>59.1</v>
      </c>
      <c r="F348">
        <f>VLOOKUP(A349,[1]timesData!$B:$P,5,FALSE)</f>
        <v>25.5</v>
      </c>
      <c r="G348">
        <f>VLOOKUP(A349,[1]timesData!$B:$P,6,FALSE)</f>
        <v>59.9</v>
      </c>
      <c r="H348">
        <f>VLOOKUP(A349,[1]timesData!$B:$P,7,FALSE)</f>
        <v>73.8</v>
      </c>
      <c r="I348" t="str">
        <f>VLOOKUP(A349,[1]timesData!$B:$P,8,FALSE)</f>
        <v>-</v>
      </c>
      <c r="J348">
        <f>VLOOKUP(A349,[1]timesData!$B:$P,9,FALSE)</f>
        <v>3486</v>
      </c>
      <c r="K348">
        <f>VLOOKUP(A349,[1]timesData!$B:$P,10,FALSE)</f>
        <v>23.9</v>
      </c>
      <c r="L348">
        <f>VLOOKUP(A349,[1]timesData!$B:$P,11,FALSE)</f>
        <v>0.19</v>
      </c>
      <c r="M348" t="str">
        <f>VLOOKUP(A349,[1]timesData!$B:$P,12,FALSE)</f>
        <v>31 : 69</v>
      </c>
      <c r="N348">
        <f>VLOOKUP(A349,[1]timesData!$B:$P,13,FALSE)</f>
        <v>2015</v>
      </c>
      <c r="O348" t="e">
        <f>VLOOKUP(A348,[2]cwurData!$B:$P,14,FALSE)</f>
        <v>#N/A</v>
      </c>
      <c r="P348" t="e">
        <f>VLOOKUP(A348,[2]cwurData!$B:$N, 3, FALSE)</f>
        <v>#N/A</v>
      </c>
      <c r="Q348" t="e">
        <f>VLOOKUP(A348,[2]cwurData!$B:$N, 4, FALSE)</f>
        <v>#N/A</v>
      </c>
      <c r="R348" t="e">
        <f>VLOOKUP(A348,[2]cwurData!$B:$N, 5, FALSE)</f>
        <v>#N/A</v>
      </c>
      <c r="S348" t="e">
        <f>VLOOKUP(A348,[2]cwurData!$B:$N, 6, FALSE)</f>
        <v>#N/A</v>
      </c>
      <c r="T348" t="e">
        <f>VLOOKUP(A348,[2]cwurData!$B:$N, 7, FALSE)</f>
        <v>#N/A</v>
      </c>
      <c r="U348" t="e">
        <f>VLOOKUP(A348,[2]cwurData!$B:$N, 8, FALSE)</f>
        <v>#N/A</v>
      </c>
      <c r="V348" t="e">
        <f>VLOOKUP(A348,[2]cwurData!$B:$N, 9, FALSE)</f>
        <v>#N/A</v>
      </c>
      <c r="W348" t="e">
        <f>VLOOKUP(A348,[2]cwurData!$B:$N, 10, FALSE)</f>
        <v>#N/A</v>
      </c>
      <c r="X348" t="e">
        <f>VLOOKUP(A348,[2]cwurData!$B:$N, 11, FALSE)</f>
        <v>#N/A</v>
      </c>
      <c r="Y348" t="e">
        <f>VLOOKUP(A348,[2]cwurData!$B:$N, 12, FALSE)</f>
        <v>#N/A</v>
      </c>
      <c r="Z348" t="e">
        <f>VLOOKUP(A348,[2]cwurData!$B:$N, 13, FALSE)</f>
        <v>#N/A</v>
      </c>
    </row>
    <row r="349" spans="1:26" x14ac:dyDescent="0.3">
      <c r="A349" t="s">
        <v>468</v>
      </c>
      <c r="B349" t="str">
        <f>IFERROR(VLOOKUP(A349,[1]timesData!$B:$P,2,FALSE),VLOOKUP(A349,[2]cwurData!$B:$P,2,FALSE))</f>
        <v>Finland</v>
      </c>
      <c r="C349" t="str">
        <f>VLOOKUP(A349,[1]timesData!$B:$P,3,FALSE)</f>
        <v>276-300</v>
      </c>
      <c r="D349" t="str">
        <f>VLOOKUP(A350,[1]timesData!$B:$P,3,FALSE)</f>
        <v>276-300</v>
      </c>
      <c r="E349">
        <f>VLOOKUP(A350,[1]timesData!$B:$P,4,FALSE)</f>
        <v>52.9</v>
      </c>
      <c r="F349">
        <f>VLOOKUP(A350,[1]timesData!$B:$P,5,FALSE)</f>
        <v>8.6999999999999993</v>
      </c>
      <c r="G349">
        <f>VLOOKUP(A350,[1]timesData!$B:$P,6,FALSE)</f>
        <v>62.3</v>
      </c>
      <c r="H349">
        <f>VLOOKUP(A350,[1]timesData!$B:$P,7,FALSE)</f>
        <v>24.9</v>
      </c>
      <c r="I349" t="str">
        <f>VLOOKUP(A350,[1]timesData!$B:$P,8,FALSE)</f>
        <v>-</v>
      </c>
      <c r="J349">
        <f>VLOOKUP(A350,[1]timesData!$B:$P,9,FALSE)</f>
        <v>36731</v>
      </c>
      <c r="K349">
        <f>VLOOKUP(A350,[1]timesData!$B:$P,10,FALSE)</f>
        <v>18.399999999999999</v>
      </c>
      <c r="L349">
        <f>VLOOKUP(A350,[1]timesData!$B:$P,11,FALSE)</f>
        <v>0.14000000000000001</v>
      </c>
      <c r="M349">
        <f>VLOOKUP(A350,[1]timesData!$B:$P,12,FALSE)</f>
        <v>2.1590277777777778</v>
      </c>
      <c r="N349">
        <f>VLOOKUP(A350,[1]timesData!$B:$P,13,FALSE)</f>
        <v>2012</v>
      </c>
      <c r="O349" t="e">
        <f>VLOOKUP(A349,[2]cwurData!$B:$P,14,FALSE)</f>
        <v>#N/A</v>
      </c>
      <c r="P349" t="e">
        <f>VLOOKUP(A349,[2]cwurData!$B:$N, 3, FALSE)</f>
        <v>#N/A</v>
      </c>
      <c r="Q349" t="e">
        <f>VLOOKUP(A349,[2]cwurData!$B:$N, 4, FALSE)</f>
        <v>#N/A</v>
      </c>
      <c r="R349" t="e">
        <f>VLOOKUP(A349,[2]cwurData!$B:$N, 5, FALSE)</f>
        <v>#N/A</v>
      </c>
      <c r="S349" t="e">
        <f>VLOOKUP(A349,[2]cwurData!$B:$N, 6, FALSE)</f>
        <v>#N/A</v>
      </c>
      <c r="T349" t="e">
        <f>VLOOKUP(A349,[2]cwurData!$B:$N, 7, FALSE)</f>
        <v>#N/A</v>
      </c>
      <c r="U349" t="e">
        <f>VLOOKUP(A349,[2]cwurData!$B:$N, 8, FALSE)</f>
        <v>#N/A</v>
      </c>
      <c r="V349" t="e">
        <f>VLOOKUP(A349,[2]cwurData!$B:$N, 9, FALSE)</f>
        <v>#N/A</v>
      </c>
      <c r="W349" t="e">
        <f>VLOOKUP(A349,[2]cwurData!$B:$N, 10, FALSE)</f>
        <v>#N/A</v>
      </c>
      <c r="X349" t="e">
        <f>VLOOKUP(A349,[2]cwurData!$B:$N, 11, FALSE)</f>
        <v>#N/A</v>
      </c>
      <c r="Y349" t="e">
        <f>VLOOKUP(A349,[2]cwurData!$B:$N, 12, FALSE)</f>
        <v>#N/A</v>
      </c>
      <c r="Z349" t="e">
        <f>VLOOKUP(A349,[2]cwurData!$B:$N, 13, FALSE)</f>
        <v>#N/A</v>
      </c>
    </row>
    <row r="350" spans="1:26" x14ac:dyDescent="0.3">
      <c r="A350" t="s">
        <v>290</v>
      </c>
      <c r="B350" t="str">
        <f>IFERROR(VLOOKUP(A350,[1]timesData!$B:$P,2,FALSE),VLOOKUP(A350,[2]cwurData!$B:$P,2,FALSE))</f>
        <v>France</v>
      </c>
      <c r="C350" t="str">
        <f>VLOOKUP(A350,[1]timesData!$B:$P,3,FALSE)</f>
        <v>276-300</v>
      </c>
      <c r="D350" t="str">
        <f>VLOOKUP(A351,[1]timesData!$B:$P,3,FALSE)</f>
        <v>276-300</v>
      </c>
      <c r="E350">
        <f>VLOOKUP(A351,[1]timesData!$B:$P,4,FALSE)</f>
        <v>19.100000000000001</v>
      </c>
      <c r="F350">
        <f>VLOOKUP(A351,[1]timesData!$B:$P,5,FALSE)</f>
        <v>33.1</v>
      </c>
      <c r="G350">
        <f>VLOOKUP(A351,[1]timesData!$B:$P,6,FALSE)</f>
        <v>15.2</v>
      </c>
      <c r="H350">
        <f>VLOOKUP(A351,[1]timesData!$B:$P,7,FALSE)</f>
        <v>43.2</v>
      </c>
      <c r="I350" t="str">
        <f>VLOOKUP(A351,[1]timesData!$B:$P,8,FALSE)</f>
        <v>-</v>
      </c>
      <c r="J350">
        <f>VLOOKUP(A351,[1]timesData!$B:$P,9,FALSE)</f>
        <v>27095</v>
      </c>
      <c r="K350">
        <f>VLOOKUP(A351,[1]timesData!$B:$P,10,FALSE)</f>
        <v>15.3</v>
      </c>
      <c r="L350">
        <f>VLOOKUP(A351,[1]timesData!$B:$P,11,FALSE)</f>
        <v>0.03</v>
      </c>
      <c r="M350">
        <f>VLOOKUP(A351,[1]timesData!$B:$P,12,FALSE)</f>
        <v>2.036111111111111</v>
      </c>
      <c r="N350">
        <f>VLOOKUP(A351,[1]timesData!$B:$P,13,FALSE)</f>
        <v>2012</v>
      </c>
      <c r="O350" t="e">
        <f>VLOOKUP(A350,[2]cwurData!$B:$P,14,FALSE)</f>
        <v>#N/A</v>
      </c>
      <c r="P350" t="e">
        <f>VLOOKUP(A350,[2]cwurData!$B:$N, 3, FALSE)</f>
        <v>#N/A</v>
      </c>
      <c r="Q350" t="e">
        <f>VLOOKUP(A350,[2]cwurData!$B:$N, 4, FALSE)</f>
        <v>#N/A</v>
      </c>
      <c r="R350" t="e">
        <f>VLOOKUP(A350,[2]cwurData!$B:$N, 5, FALSE)</f>
        <v>#N/A</v>
      </c>
      <c r="S350" t="e">
        <f>VLOOKUP(A350,[2]cwurData!$B:$N, 6, FALSE)</f>
        <v>#N/A</v>
      </c>
      <c r="T350" t="e">
        <f>VLOOKUP(A350,[2]cwurData!$B:$N, 7, FALSE)</f>
        <v>#N/A</v>
      </c>
      <c r="U350" t="e">
        <f>VLOOKUP(A350,[2]cwurData!$B:$N, 8, FALSE)</f>
        <v>#N/A</v>
      </c>
      <c r="V350" t="e">
        <f>VLOOKUP(A350,[2]cwurData!$B:$N, 9, FALSE)</f>
        <v>#N/A</v>
      </c>
      <c r="W350" t="e">
        <f>VLOOKUP(A350,[2]cwurData!$B:$N, 10, FALSE)</f>
        <v>#N/A</v>
      </c>
      <c r="X350" t="e">
        <f>VLOOKUP(A350,[2]cwurData!$B:$N, 11, FALSE)</f>
        <v>#N/A</v>
      </c>
      <c r="Y350" t="e">
        <f>VLOOKUP(A350,[2]cwurData!$B:$N, 12, FALSE)</f>
        <v>#N/A</v>
      </c>
      <c r="Z350" t="e">
        <f>VLOOKUP(A350,[2]cwurData!$B:$N, 13, FALSE)</f>
        <v>#N/A</v>
      </c>
    </row>
    <row r="351" spans="1:26" x14ac:dyDescent="0.3">
      <c r="A351" t="s">
        <v>292</v>
      </c>
      <c r="B351" t="str">
        <f>IFERROR(VLOOKUP(A351,[1]timesData!$B:$P,2,FALSE),VLOOKUP(A351,[2]cwurData!$B:$P,2,FALSE))</f>
        <v>Brazil</v>
      </c>
      <c r="C351" t="str">
        <f>VLOOKUP(A351,[1]timesData!$B:$P,3,FALSE)</f>
        <v>276-300</v>
      </c>
      <c r="D351" t="str">
        <f>VLOOKUP(A352,[1]timesData!$B:$P,3,FALSE)</f>
        <v>276-300</v>
      </c>
      <c r="E351">
        <f>VLOOKUP(A352,[1]timesData!$B:$P,4,FALSE)</f>
        <v>71</v>
      </c>
      <c r="F351">
        <f>VLOOKUP(A352,[1]timesData!$B:$P,5,FALSE)</f>
        <v>15.5</v>
      </c>
      <c r="G351">
        <f>VLOOKUP(A352,[1]timesData!$B:$P,6,FALSE)</f>
        <v>39.200000000000003</v>
      </c>
      <c r="H351">
        <f>VLOOKUP(A352,[1]timesData!$B:$P,7,FALSE)</f>
        <v>45.1</v>
      </c>
      <c r="I351" t="str">
        <f>VLOOKUP(A352,[1]timesData!$B:$P,8,FALSE)</f>
        <v>-</v>
      </c>
      <c r="J351">
        <f>VLOOKUP(A352,[1]timesData!$B:$P,9,FALSE)</f>
        <v>20300</v>
      </c>
      <c r="K351">
        <f>VLOOKUP(A352,[1]timesData!$B:$P,10,FALSE)</f>
        <v>53.6</v>
      </c>
      <c r="L351">
        <f>VLOOKUP(A352,[1]timesData!$B:$P,11,FALSE)</f>
        <v>0.18</v>
      </c>
      <c r="M351" t="str">
        <f>VLOOKUP(A352,[1]timesData!$B:$P,12,FALSE)</f>
        <v>28 : 72</v>
      </c>
      <c r="N351">
        <f>VLOOKUP(A352,[1]timesData!$B:$P,13,FALSE)</f>
        <v>2012</v>
      </c>
      <c r="O351" t="e">
        <f>VLOOKUP(A351,[2]cwurData!$B:$P,14,FALSE)</f>
        <v>#N/A</v>
      </c>
      <c r="P351" t="e">
        <f>VLOOKUP(A351,[2]cwurData!$B:$N, 3, FALSE)</f>
        <v>#N/A</v>
      </c>
      <c r="Q351" t="e">
        <f>VLOOKUP(A351,[2]cwurData!$B:$N, 4, FALSE)</f>
        <v>#N/A</v>
      </c>
      <c r="R351" t="e">
        <f>VLOOKUP(A351,[2]cwurData!$B:$N, 5, FALSE)</f>
        <v>#N/A</v>
      </c>
      <c r="S351" t="e">
        <f>VLOOKUP(A351,[2]cwurData!$B:$N, 6, FALSE)</f>
        <v>#N/A</v>
      </c>
      <c r="T351" t="e">
        <f>VLOOKUP(A351,[2]cwurData!$B:$N, 7, FALSE)</f>
        <v>#N/A</v>
      </c>
      <c r="U351" t="e">
        <f>VLOOKUP(A351,[2]cwurData!$B:$N, 8, FALSE)</f>
        <v>#N/A</v>
      </c>
      <c r="V351" t="e">
        <f>VLOOKUP(A351,[2]cwurData!$B:$N, 9, FALSE)</f>
        <v>#N/A</v>
      </c>
      <c r="W351" t="e">
        <f>VLOOKUP(A351,[2]cwurData!$B:$N, 10, FALSE)</f>
        <v>#N/A</v>
      </c>
      <c r="X351" t="e">
        <f>VLOOKUP(A351,[2]cwurData!$B:$N, 11, FALSE)</f>
        <v>#N/A</v>
      </c>
      <c r="Y351" t="e">
        <f>VLOOKUP(A351,[2]cwurData!$B:$N, 12, FALSE)</f>
        <v>#N/A</v>
      </c>
      <c r="Z351" t="e">
        <f>VLOOKUP(A351,[2]cwurData!$B:$N, 13, FALSE)</f>
        <v>#N/A</v>
      </c>
    </row>
    <row r="352" spans="1:26" x14ac:dyDescent="0.3">
      <c r="A352" t="s">
        <v>293</v>
      </c>
      <c r="B352" t="str">
        <f>IFERROR(VLOOKUP(A352,[1]timesData!$B:$P,2,FALSE),VLOOKUP(A352,[2]cwurData!$B:$P,2,FALSE))</f>
        <v>Germany</v>
      </c>
      <c r="C352" t="str">
        <f>VLOOKUP(A352,[1]timesData!$B:$P,3,FALSE)</f>
        <v>276-300</v>
      </c>
      <c r="D352" t="str">
        <f>VLOOKUP(A353,[1]timesData!$B:$P,3,FALSE)</f>
        <v>276-300</v>
      </c>
      <c r="E352">
        <f>VLOOKUP(A353,[1]timesData!$B:$P,4,FALSE)</f>
        <v>18</v>
      </c>
      <c r="F352">
        <f>VLOOKUP(A353,[1]timesData!$B:$P,5,FALSE)</f>
        <v>22.6</v>
      </c>
      <c r="G352">
        <f>VLOOKUP(A353,[1]timesData!$B:$P,6,FALSE)</f>
        <v>36.700000000000003</v>
      </c>
      <c r="H352">
        <f>VLOOKUP(A353,[1]timesData!$B:$P,7,FALSE)</f>
        <v>40.799999999999997</v>
      </c>
      <c r="I352" t="str">
        <f>VLOOKUP(A353,[1]timesData!$B:$P,8,FALSE)</f>
        <v>-</v>
      </c>
      <c r="J352">
        <f>VLOOKUP(A353,[1]timesData!$B:$P,9,FALSE)</f>
        <v>2872</v>
      </c>
      <c r="K352">
        <f>VLOOKUP(A353,[1]timesData!$B:$P,10,FALSE)</f>
        <v>3.3</v>
      </c>
      <c r="L352">
        <f>VLOOKUP(A353,[1]timesData!$B:$P,11,FALSE)</f>
        <v>7.0000000000000007E-2</v>
      </c>
      <c r="M352">
        <f>VLOOKUP(A353,[1]timesData!$B:$P,12,FALSE)</f>
        <v>2.1590277777777778</v>
      </c>
      <c r="N352">
        <f>VLOOKUP(A353,[1]timesData!$B:$P,13,FALSE)</f>
        <v>2012</v>
      </c>
      <c r="O352" t="e">
        <f>VLOOKUP(A352,[2]cwurData!$B:$P,14,FALSE)</f>
        <v>#N/A</v>
      </c>
      <c r="P352" t="e">
        <f>VLOOKUP(A352,[2]cwurData!$B:$N, 3, FALSE)</f>
        <v>#N/A</v>
      </c>
      <c r="Q352" t="e">
        <f>VLOOKUP(A352,[2]cwurData!$B:$N, 4, FALSE)</f>
        <v>#N/A</v>
      </c>
      <c r="R352" t="e">
        <f>VLOOKUP(A352,[2]cwurData!$B:$N, 5, FALSE)</f>
        <v>#N/A</v>
      </c>
      <c r="S352" t="e">
        <f>VLOOKUP(A352,[2]cwurData!$B:$N, 6, FALSE)</f>
        <v>#N/A</v>
      </c>
      <c r="T352" t="e">
        <f>VLOOKUP(A352,[2]cwurData!$B:$N, 7, FALSE)</f>
        <v>#N/A</v>
      </c>
      <c r="U352" t="e">
        <f>VLOOKUP(A352,[2]cwurData!$B:$N, 8, FALSE)</f>
        <v>#N/A</v>
      </c>
      <c r="V352" t="e">
        <f>VLOOKUP(A352,[2]cwurData!$B:$N, 9, FALSE)</f>
        <v>#N/A</v>
      </c>
      <c r="W352" t="e">
        <f>VLOOKUP(A352,[2]cwurData!$B:$N, 10, FALSE)</f>
        <v>#N/A</v>
      </c>
      <c r="X352" t="e">
        <f>VLOOKUP(A352,[2]cwurData!$B:$N, 11, FALSE)</f>
        <v>#N/A</v>
      </c>
      <c r="Y352" t="e">
        <f>VLOOKUP(A352,[2]cwurData!$B:$N, 12, FALSE)</f>
        <v>#N/A</v>
      </c>
      <c r="Z352" t="e">
        <f>VLOOKUP(A352,[2]cwurData!$B:$N, 13, FALSE)</f>
        <v>#N/A</v>
      </c>
    </row>
    <row r="353" spans="1:26" x14ac:dyDescent="0.3">
      <c r="A353" t="s">
        <v>294</v>
      </c>
      <c r="B353" t="str">
        <f>IFERROR(VLOOKUP(A353,[1]timesData!$B:$P,2,FALSE),VLOOKUP(A353,[2]cwurData!$B:$P,2,FALSE))</f>
        <v>Japan</v>
      </c>
      <c r="C353" t="str">
        <f>VLOOKUP(A353,[1]timesData!$B:$P,3,FALSE)</f>
        <v>276-300</v>
      </c>
      <c r="D353" t="str">
        <f>VLOOKUP(A354,[1]timesData!$B:$P,3,FALSE)</f>
        <v>276-300</v>
      </c>
      <c r="E353">
        <f>VLOOKUP(A354,[1]timesData!$B:$P,4,FALSE)</f>
        <v>63.5</v>
      </c>
      <c r="F353">
        <f>VLOOKUP(A354,[1]timesData!$B:$P,5,FALSE)</f>
        <v>14.4</v>
      </c>
      <c r="G353">
        <f>VLOOKUP(A354,[1]timesData!$B:$P,6,FALSE)</f>
        <v>53</v>
      </c>
      <c r="H353">
        <f>VLOOKUP(A354,[1]timesData!$B:$P,7,FALSE)</f>
        <v>32.799999999999997</v>
      </c>
      <c r="I353" t="str">
        <f>VLOOKUP(A354,[1]timesData!$B:$P,8,FALSE)</f>
        <v>-</v>
      </c>
      <c r="J353">
        <f>VLOOKUP(A354,[1]timesData!$B:$P,9,FALSE)</f>
        <v>10398</v>
      </c>
      <c r="K353">
        <f>VLOOKUP(A354,[1]timesData!$B:$P,10,FALSE)</f>
        <v>12.2</v>
      </c>
      <c r="L353">
        <f>VLOOKUP(A354,[1]timesData!$B:$P,11,FALSE)</f>
        <v>0.1</v>
      </c>
      <c r="M353">
        <f>VLOOKUP(A354,[1]timesData!$B:$P,12,FALSE)</f>
        <v>2.5277777777777777</v>
      </c>
      <c r="N353">
        <f>VLOOKUP(A354,[1]timesData!$B:$P,13,FALSE)</f>
        <v>2012</v>
      </c>
      <c r="O353" t="e">
        <f>VLOOKUP(A353,[2]cwurData!$B:$P,14,FALSE)</f>
        <v>#N/A</v>
      </c>
      <c r="P353" t="e">
        <f>VLOOKUP(A353,[2]cwurData!$B:$N, 3, FALSE)</f>
        <v>#N/A</v>
      </c>
      <c r="Q353" t="e">
        <f>VLOOKUP(A353,[2]cwurData!$B:$N, 4, FALSE)</f>
        <v>#N/A</v>
      </c>
      <c r="R353" t="e">
        <f>VLOOKUP(A353,[2]cwurData!$B:$N, 5, FALSE)</f>
        <v>#N/A</v>
      </c>
      <c r="S353" t="e">
        <f>VLOOKUP(A353,[2]cwurData!$B:$N, 6, FALSE)</f>
        <v>#N/A</v>
      </c>
      <c r="T353" t="e">
        <f>VLOOKUP(A353,[2]cwurData!$B:$N, 7, FALSE)</f>
        <v>#N/A</v>
      </c>
      <c r="U353" t="e">
        <f>VLOOKUP(A353,[2]cwurData!$B:$N, 8, FALSE)</f>
        <v>#N/A</v>
      </c>
      <c r="V353" t="e">
        <f>VLOOKUP(A353,[2]cwurData!$B:$N, 9, FALSE)</f>
        <v>#N/A</v>
      </c>
      <c r="W353" t="e">
        <f>VLOOKUP(A353,[2]cwurData!$B:$N, 10, FALSE)</f>
        <v>#N/A</v>
      </c>
      <c r="X353" t="e">
        <f>VLOOKUP(A353,[2]cwurData!$B:$N, 11, FALSE)</f>
        <v>#N/A</v>
      </c>
      <c r="Y353" t="e">
        <f>VLOOKUP(A353,[2]cwurData!$B:$N, 12, FALSE)</f>
        <v>#N/A</v>
      </c>
      <c r="Z353" t="e">
        <f>VLOOKUP(A353,[2]cwurData!$B:$N, 13, FALSE)</f>
        <v>#N/A</v>
      </c>
    </row>
    <row r="354" spans="1:26" x14ac:dyDescent="0.3">
      <c r="A354" t="s">
        <v>295</v>
      </c>
      <c r="B354" t="str">
        <f>IFERROR(VLOOKUP(A354,[1]timesData!$B:$P,2,FALSE),VLOOKUP(A354,[2]cwurData!$B:$P,2,FALSE))</f>
        <v>Norway</v>
      </c>
      <c r="C354" t="str">
        <f>VLOOKUP(A354,[1]timesData!$B:$P,3,FALSE)</f>
        <v>276-300</v>
      </c>
      <c r="D354" t="str">
        <f>VLOOKUP(A355,[1]timesData!$B:$P,3,FALSE)</f>
        <v>276-300</v>
      </c>
      <c r="E354">
        <f>VLOOKUP(A355,[1]timesData!$B:$P,4,FALSE)</f>
        <v>73.3</v>
      </c>
      <c r="F354">
        <f>VLOOKUP(A355,[1]timesData!$B:$P,5,FALSE)</f>
        <v>20.3</v>
      </c>
      <c r="G354">
        <f>VLOOKUP(A355,[1]timesData!$B:$P,6,FALSE)</f>
        <v>68.099999999999994</v>
      </c>
      <c r="H354">
        <f>VLOOKUP(A355,[1]timesData!$B:$P,7,FALSE)</f>
        <v>33.6</v>
      </c>
      <c r="I354" t="str">
        <f>VLOOKUP(A355,[1]timesData!$B:$P,8,FALSE)</f>
        <v>-</v>
      </c>
      <c r="J354">
        <f>VLOOKUP(A355,[1]timesData!$B:$P,9,FALSE)</f>
        <v>8521</v>
      </c>
      <c r="K354">
        <f>VLOOKUP(A355,[1]timesData!$B:$P,10,FALSE)</f>
        <v>14.9</v>
      </c>
      <c r="L354">
        <f>VLOOKUP(A355,[1]timesData!$B:$P,11,FALSE)</f>
        <v>0.31</v>
      </c>
      <c r="M354">
        <f>VLOOKUP(A355,[1]timesData!$B:$P,12,FALSE)</f>
        <v>2.4458333333333333</v>
      </c>
      <c r="N354">
        <f>VLOOKUP(A355,[1]timesData!$B:$P,13,FALSE)</f>
        <v>2015</v>
      </c>
      <c r="O354" t="e">
        <f>VLOOKUP(A354,[2]cwurData!$B:$P,14,FALSE)</f>
        <v>#N/A</v>
      </c>
      <c r="P354" t="e">
        <f>VLOOKUP(A354,[2]cwurData!$B:$N, 3, FALSE)</f>
        <v>#N/A</v>
      </c>
      <c r="Q354" t="e">
        <f>VLOOKUP(A354,[2]cwurData!$B:$N, 4, FALSE)</f>
        <v>#N/A</v>
      </c>
      <c r="R354" t="e">
        <f>VLOOKUP(A354,[2]cwurData!$B:$N, 5, FALSE)</f>
        <v>#N/A</v>
      </c>
      <c r="S354" t="e">
        <f>VLOOKUP(A354,[2]cwurData!$B:$N, 6, FALSE)</f>
        <v>#N/A</v>
      </c>
      <c r="T354" t="e">
        <f>VLOOKUP(A354,[2]cwurData!$B:$N, 7, FALSE)</f>
        <v>#N/A</v>
      </c>
      <c r="U354" t="e">
        <f>VLOOKUP(A354,[2]cwurData!$B:$N, 8, FALSE)</f>
        <v>#N/A</v>
      </c>
      <c r="V354" t="e">
        <f>VLOOKUP(A354,[2]cwurData!$B:$N, 9, FALSE)</f>
        <v>#N/A</v>
      </c>
      <c r="W354" t="e">
        <f>VLOOKUP(A354,[2]cwurData!$B:$N, 10, FALSE)</f>
        <v>#N/A</v>
      </c>
      <c r="X354" t="e">
        <f>VLOOKUP(A354,[2]cwurData!$B:$N, 11, FALSE)</f>
        <v>#N/A</v>
      </c>
      <c r="Y354" t="e">
        <f>VLOOKUP(A354,[2]cwurData!$B:$N, 12, FALSE)</f>
        <v>#N/A</v>
      </c>
      <c r="Z354" t="e">
        <f>VLOOKUP(A354,[2]cwurData!$B:$N, 13, FALSE)</f>
        <v>#N/A</v>
      </c>
    </row>
    <row r="355" spans="1:26" x14ac:dyDescent="0.3">
      <c r="A355" t="s">
        <v>469</v>
      </c>
      <c r="B355" t="str">
        <f>IFERROR(VLOOKUP(A355,[1]timesData!$B:$P,2,FALSE),VLOOKUP(A355,[2]cwurData!$B:$P,2,FALSE))</f>
        <v>Macau</v>
      </c>
      <c r="C355" t="str">
        <f>VLOOKUP(A355,[1]timesData!$B:$P,3,FALSE)</f>
        <v>276-300</v>
      </c>
      <c r="D355" t="str">
        <f>VLOOKUP(A356,[1]timesData!$B:$P,3,FALSE)</f>
        <v>276-300</v>
      </c>
      <c r="E355">
        <f>VLOOKUP(A356,[1]timesData!$B:$P,4,FALSE)</f>
        <v>24.9</v>
      </c>
      <c r="F355">
        <f>VLOOKUP(A356,[1]timesData!$B:$P,5,FALSE)</f>
        <v>14.9</v>
      </c>
      <c r="G355">
        <f>VLOOKUP(A356,[1]timesData!$B:$P,6,FALSE)</f>
        <v>72.099999999999994</v>
      </c>
      <c r="H355">
        <f>VLOOKUP(A356,[1]timesData!$B:$P,7,FALSE)</f>
        <v>34.1</v>
      </c>
      <c r="I355" t="str">
        <f>VLOOKUP(A356,[1]timesData!$B:$P,8,FALSE)</f>
        <v>-</v>
      </c>
      <c r="J355">
        <f>VLOOKUP(A356,[1]timesData!$B:$P,9,FALSE)</f>
        <v>12470</v>
      </c>
      <c r="K355">
        <f>VLOOKUP(A356,[1]timesData!$B:$P,10,FALSE)</f>
        <v>15.2</v>
      </c>
      <c r="L355">
        <f>VLOOKUP(A356,[1]timesData!$B:$P,11,FALSE)</f>
        <v>0.03</v>
      </c>
      <c r="M355">
        <f>VLOOKUP(A356,[1]timesData!$B:$P,12,FALSE)</f>
        <v>2.2819444444444446</v>
      </c>
      <c r="N355">
        <f>VLOOKUP(A356,[1]timesData!$B:$P,13,FALSE)</f>
        <v>2013</v>
      </c>
      <c r="O355" t="e">
        <f>VLOOKUP(A355,[2]cwurData!$B:$P,14,FALSE)</f>
        <v>#N/A</v>
      </c>
      <c r="P355" t="e">
        <f>VLOOKUP(A355,[2]cwurData!$B:$N, 3, FALSE)</f>
        <v>#N/A</v>
      </c>
      <c r="Q355" t="e">
        <f>VLOOKUP(A355,[2]cwurData!$B:$N, 4, FALSE)</f>
        <v>#N/A</v>
      </c>
      <c r="R355" t="e">
        <f>VLOOKUP(A355,[2]cwurData!$B:$N, 5, FALSE)</f>
        <v>#N/A</v>
      </c>
      <c r="S355" t="e">
        <f>VLOOKUP(A355,[2]cwurData!$B:$N, 6, FALSE)</f>
        <v>#N/A</v>
      </c>
      <c r="T355" t="e">
        <f>VLOOKUP(A355,[2]cwurData!$B:$N, 7, FALSE)</f>
        <v>#N/A</v>
      </c>
      <c r="U355" t="e">
        <f>VLOOKUP(A355,[2]cwurData!$B:$N, 8, FALSE)</f>
        <v>#N/A</v>
      </c>
      <c r="V355" t="e">
        <f>VLOOKUP(A355,[2]cwurData!$B:$N, 9, FALSE)</f>
        <v>#N/A</v>
      </c>
      <c r="W355" t="e">
        <f>VLOOKUP(A355,[2]cwurData!$B:$N, 10, FALSE)</f>
        <v>#N/A</v>
      </c>
      <c r="X355" t="e">
        <f>VLOOKUP(A355,[2]cwurData!$B:$N, 11, FALSE)</f>
        <v>#N/A</v>
      </c>
      <c r="Y355" t="e">
        <f>VLOOKUP(A355,[2]cwurData!$B:$N, 12, FALSE)</f>
        <v>#N/A</v>
      </c>
      <c r="Z355" t="e">
        <f>VLOOKUP(A355,[2]cwurData!$B:$N, 13, FALSE)</f>
        <v>#N/A</v>
      </c>
    </row>
    <row r="356" spans="1:26" x14ac:dyDescent="0.3">
      <c r="A356" t="s">
        <v>420</v>
      </c>
      <c r="B356" t="str">
        <f>IFERROR(VLOOKUP(A356,[1]timesData!$B:$P,2,FALSE),VLOOKUP(A356,[2]cwurData!$B:$P,2,FALSE))</f>
        <v>United States of America</v>
      </c>
      <c r="C356" t="str">
        <f>VLOOKUP(A356,[1]timesData!$B:$P,3,FALSE)</f>
        <v>276-300</v>
      </c>
      <c r="D356" t="str">
        <f>VLOOKUP(A357,[1]timesData!$B:$P,3,FALSE)</f>
        <v>301-350</v>
      </c>
      <c r="E356">
        <f>VLOOKUP(A357,[1]timesData!$B:$P,4,FALSE)</f>
        <v>18.3</v>
      </c>
      <c r="F356">
        <f>VLOOKUP(A357,[1]timesData!$B:$P,5,FALSE)</f>
        <v>21.9</v>
      </c>
      <c r="G356">
        <f>VLOOKUP(A357,[1]timesData!$B:$P,6,FALSE)</f>
        <v>26.1</v>
      </c>
      <c r="H356">
        <f>VLOOKUP(A357,[1]timesData!$B:$P,7,FALSE)</f>
        <v>40</v>
      </c>
      <c r="I356" t="str">
        <f>VLOOKUP(A357,[1]timesData!$B:$P,8,FALSE)</f>
        <v>-</v>
      </c>
      <c r="J356">
        <f>VLOOKUP(A357,[1]timesData!$B:$P,9,FALSE)</f>
        <v>33751</v>
      </c>
      <c r="K356">
        <f>VLOOKUP(A357,[1]timesData!$B:$P,10,FALSE)</f>
        <v>11.9</v>
      </c>
      <c r="L356">
        <f>VLOOKUP(A357,[1]timesData!$B:$P,11,FALSE)</f>
        <v>0.05</v>
      </c>
      <c r="M356" t="str">
        <f>VLOOKUP(A357,[1]timesData!$B:$P,12,FALSE)</f>
        <v>32 : 68</v>
      </c>
      <c r="N356">
        <f>VLOOKUP(A357,[1]timesData!$B:$P,13,FALSE)</f>
        <v>2012</v>
      </c>
      <c r="O356" t="e">
        <f>VLOOKUP(A356,[2]cwurData!$B:$P,14,FALSE)</f>
        <v>#N/A</v>
      </c>
      <c r="P356" t="e">
        <f>VLOOKUP(A356,[2]cwurData!$B:$N, 3, FALSE)</f>
        <v>#N/A</v>
      </c>
      <c r="Q356" t="e">
        <f>VLOOKUP(A356,[2]cwurData!$B:$N, 4, FALSE)</f>
        <v>#N/A</v>
      </c>
      <c r="R356" t="e">
        <f>VLOOKUP(A356,[2]cwurData!$B:$N, 5, FALSE)</f>
        <v>#N/A</v>
      </c>
      <c r="S356" t="e">
        <f>VLOOKUP(A356,[2]cwurData!$B:$N, 6, FALSE)</f>
        <v>#N/A</v>
      </c>
      <c r="T356" t="e">
        <f>VLOOKUP(A356,[2]cwurData!$B:$N, 7, FALSE)</f>
        <v>#N/A</v>
      </c>
      <c r="U356" t="e">
        <f>VLOOKUP(A356,[2]cwurData!$B:$N, 8, FALSE)</f>
        <v>#N/A</v>
      </c>
      <c r="V356" t="e">
        <f>VLOOKUP(A356,[2]cwurData!$B:$N, 9, FALSE)</f>
        <v>#N/A</v>
      </c>
      <c r="W356" t="e">
        <f>VLOOKUP(A356,[2]cwurData!$B:$N, 10, FALSE)</f>
        <v>#N/A</v>
      </c>
      <c r="X356" t="e">
        <f>VLOOKUP(A356,[2]cwurData!$B:$N, 11, FALSE)</f>
        <v>#N/A</v>
      </c>
      <c r="Y356" t="e">
        <f>VLOOKUP(A356,[2]cwurData!$B:$N, 12, FALSE)</f>
        <v>#N/A</v>
      </c>
      <c r="Z356" t="e">
        <f>VLOOKUP(A356,[2]cwurData!$B:$N, 13, FALSE)</f>
        <v>#N/A</v>
      </c>
    </row>
    <row r="357" spans="1:26" x14ac:dyDescent="0.3">
      <c r="A357" t="s">
        <v>318</v>
      </c>
      <c r="B357" t="str">
        <f>IFERROR(VLOOKUP(A357,[1]timesData!$B:$P,2,FALSE),VLOOKUP(A357,[2]cwurData!$B:$P,2,FALSE))</f>
        <v>Japan</v>
      </c>
      <c r="C357" t="str">
        <f>VLOOKUP(A357,[1]timesData!$B:$P,3,FALSE)</f>
        <v>301-350</v>
      </c>
      <c r="D357" t="str">
        <f>VLOOKUP(A358,[1]timesData!$B:$P,3,FALSE)</f>
        <v>301-350</v>
      </c>
      <c r="E357">
        <f>VLOOKUP(A358,[1]timesData!$B:$P,4,FALSE)</f>
        <v>32.4</v>
      </c>
      <c r="F357">
        <f>VLOOKUP(A358,[1]timesData!$B:$P,5,FALSE)</f>
        <v>27.2</v>
      </c>
      <c r="G357">
        <f>VLOOKUP(A358,[1]timesData!$B:$P,6,FALSE)</f>
        <v>29.2</v>
      </c>
      <c r="H357">
        <f>VLOOKUP(A358,[1]timesData!$B:$P,7,FALSE)</f>
        <v>32.799999999999997</v>
      </c>
      <c r="I357" t="str">
        <f>VLOOKUP(A358,[1]timesData!$B:$P,8,FALSE)</f>
        <v>-</v>
      </c>
      <c r="J357">
        <f>VLOOKUP(A358,[1]timesData!$B:$P,9,FALSE)</f>
        <v>120986</v>
      </c>
      <c r="K357">
        <f>VLOOKUP(A358,[1]timesData!$B:$P,10,FALSE)</f>
        <v>32.299999999999997</v>
      </c>
      <c r="L357">
        <f>VLOOKUP(A358,[1]timesData!$B:$P,11,FALSE)</f>
        <v>7.0000000000000007E-2</v>
      </c>
      <c r="M357">
        <f>VLOOKUP(A358,[1]timesData!$B:$P,12,FALSE)</f>
        <v>2.4868055555555557</v>
      </c>
      <c r="N357">
        <f>VLOOKUP(A358,[1]timesData!$B:$P,13,FALSE)</f>
        <v>2012</v>
      </c>
      <c r="O357">
        <f>VLOOKUP(A357,[2]cwurData!$B:$P,14,FALSE)</f>
        <v>70</v>
      </c>
      <c r="P357">
        <f>VLOOKUP(A357,[2]cwurData!$B:$N, 3, FALSE)</f>
        <v>4</v>
      </c>
      <c r="Q357">
        <f>VLOOKUP(A357,[2]cwurData!$B:$N, 4, FALSE)</f>
        <v>101</v>
      </c>
      <c r="R357">
        <f>VLOOKUP(A357,[2]cwurData!$B:$N, 5, FALSE)</f>
        <v>6</v>
      </c>
      <c r="S357">
        <f>VLOOKUP(A357,[2]cwurData!$B:$N, 6, FALSE)</f>
        <v>101</v>
      </c>
      <c r="T357">
        <f>VLOOKUP(A357,[2]cwurData!$B:$N, 7, FALSE)</f>
        <v>101</v>
      </c>
      <c r="U357">
        <f>VLOOKUP(A357,[2]cwurData!$B:$N, 8, FALSE)</f>
        <v>101</v>
      </c>
      <c r="V357">
        <f>VLOOKUP(A357,[2]cwurData!$B:$N, 9, FALSE)</f>
        <v>101</v>
      </c>
      <c r="W357">
        <f>VLOOKUP(A357,[2]cwurData!$B:$N, 10, FALSE)</f>
        <v>0</v>
      </c>
      <c r="X357">
        <f>VLOOKUP(A357,[2]cwurData!$B:$N, 11, FALSE)</f>
        <v>73</v>
      </c>
      <c r="Y357">
        <f>VLOOKUP(A357,[2]cwurData!$B:$N, 12, FALSE)</f>
        <v>47.05</v>
      </c>
      <c r="Z357">
        <f>VLOOKUP(A357,[2]cwurData!$B:$N, 13, FALSE)</f>
        <v>2013</v>
      </c>
    </row>
    <row r="358" spans="1:26" x14ac:dyDescent="0.3">
      <c r="A358" t="s">
        <v>324</v>
      </c>
      <c r="B358" t="str">
        <f>IFERROR(VLOOKUP(A358,[1]timesData!$B:$P,2,FALSE),VLOOKUP(A358,[2]cwurData!$B:$P,2,FALSE))</f>
        <v>Italy</v>
      </c>
      <c r="C358" t="str">
        <f>VLOOKUP(A358,[1]timesData!$B:$P,3,FALSE)</f>
        <v>301-350</v>
      </c>
      <c r="D358" t="str">
        <f>VLOOKUP(A359,[1]timesData!$B:$P,3,FALSE)</f>
        <v>301-350</v>
      </c>
      <c r="E358">
        <f>VLOOKUP(A359,[1]timesData!$B:$P,4,FALSE)</f>
        <v>27.7</v>
      </c>
      <c r="F358">
        <f>VLOOKUP(A359,[1]timesData!$B:$P,5,FALSE)</f>
        <v>23.6</v>
      </c>
      <c r="G358">
        <f>VLOOKUP(A359,[1]timesData!$B:$P,6,FALSE)</f>
        <v>23.6</v>
      </c>
      <c r="H358">
        <f>VLOOKUP(A359,[1]timesData!$B:$P,7,FALSE)</f>
        <v>31.2</v>
      </c>
      <c r="I358" t="str">
        <f>VLOOKUP(A359,[1]timesData!$B:$P,8,FALSE)</f>
        <v>-</v>
      </c>
      <c r="J358">
        <f>VLOOKUP(A359,[1]timesData!$B:$P,9,FALSE)</f>
        <v>40325</v>
      </c>
      <c r="K358">
        <f>VLOOKUP(A359,[1]timesData!$B:$P,10,FALSE)</f>
        <v>43.7</v>
      </c>
      <c r="L358">
        <f>VLOOKUP(A359,[1]timesData!$B:$P,11,FALSE)</f>
        <v>0.09</v>
      </c>
      <c r="M358">
        <f>VLOOKUP(A359,[1]timesData!$B:$P,12,FALSE)</f>
        <v>2.1180555555555554</v>
      </c>
      <c r="N358">
        <f>VLOOKUP(A359,[1]timesData!$B:$P,13,FALSE)</f>
        <v>2012</v>
      </c>
      <c r="O358">
        <f>VLOOKUP(A358,[2]cwurData!$B:$P,14,FALSE)</f>
        <v>77</v>
      </c>
      <c r="P358">
        <f>VLOOKUP(A358,[2]cwurData!$B:$N, 3, FALSE)</f>
        <v>1</v>
      </c>
      <c r="Q358">
        <f>VLOOKUP(A358,[2]cwurData!$B:$N, 4, FALSE)</f>
        <v>101</v>
      </c>
      <c r="R358">
        <f>VLOOKUP(A358,[2]cwurData!$B:$N, 5, FALSE)</f>
        <v>101</v>
      </c>
      <c r="S358">
        <f>VLOOKUP(A358,[2]cwurData!$B:$N, 6, FALSE)</f>
        <v>30</v>
      </c>
      <c r="T358">
        <f>VLOOKUP(A358,[2]cwurData!$B:$N, 7, FALSE)</f>
        <v>70</v>
      </c>
      <c r="U358">
        <f>VLOOKUP(A358,[2]cwurData!$B:$N, 8, FALSE)</f>
        <v>101</v>
      </c>
      <c r="V358">
        <f>VLOOKUP(A358,[2]cwurData!$B:$N, 9, FALSE)</f>
        <v>101</v>
      </c>
      <c r="W358">
        <f>VLOOKUP(A358,[2]cwurData!$B:$N, 10, FALSE)</f>
        <v>0</v>
      </c>
      <c r="X358">
        <f>VLOOKUP(A358,[2]cwurData!$B:$N, 11, FALSE)</f>
        <v>101</v>
      </c>
      <c r="Y358">
        <f>VLOOKUP(A358,[2]cwurData!$B:$N, 12, FALSE)</f>
        <v>46.34</v>
      </c>
      <c r="Z358">
        <f>VLOOKUP(A358,[2]cwurData!$B:$N, 13, FALSE)</f>
        <v>2012</v>
      </c>
    </row>
    <row r="359" spans="1:26" x14ac:dyDescent="0.3">
      <c r="A359" t="s">
        <v>334</v>
      </c>
      <c r="B359" t="str">
        <f>IFERROR(VLOOKUP(A359,[1]timesData!$B:$P,2,FALSE),VLOOKUP(A359,[2]cwurData!$B:$P,2,FALSE))</f>
        <v>United States of America</v>
      </c>
      <c r="C359" t="str">
        <f>VLOOKUP(A359,[1]timesData!$B:$P,3,FALSE)</f>
        <v>301-350</v>
      </c>
      <c r="D359" t="str">
        <f>VLOOKUP(A360,[1]timesData!$B:$P,3,FALSE)</f>
        <v>301-350</v>
      </c>
      <c r="E359">
        <f>VLOOKUP(A360,[1]timesData!$B:$P,4,FALSE)</f>
        <v>20.5</v>
      </c>
      <c r="F359">
        <f>VLOOKUP(A360,[1]timesData!$B:$P,5,FALSE)</f>
        <v>29.7</v>
      </c>
      <c r="G359">
        <f>VLOOKUP(A360,[1]timesData!$B:$P,6,FALSE)</f>
        <v>19.100000000000001</v>
      </c>
      <c r="H359">
        <f>VLOOKUP(A360,[1]timesData!$B:$P,7,FALSE)</f>
        <v>85.2</v>
      </c>
      <c r="I359" t="str">
        <f>VLOOKUP(A360,[1]timesData!$B:$P,8,FALSE)</f>
        <v>-</v>
      </c>
      <c r="J359">
        <f>VLOOKUP(A360,[1]timesData!$B:$P,9,FALSE)</f>
        <v>38191</v>
      </c>
      <c r="K359">
        <f>VLOOKUP(A360,[1]timesData!$B:$P,10,FALSE)</f>
        <v>12.8</v>
      </c>
      <c r="L359">
        <f>VLOOKUP(A360,[1]timesData!$B:$P,11,FALSE)</f>
        <v>0.06</v>
      </c>
      <c r="M359" t="str">
        <f>VLOOKUP(A360,[1]timesData!$B:$P,12,FALSE)</f>
        <v>37 : 63</v>
      </c>
      <c r="N359">
        <f>VLOOKUP(A360,[1]timesData!$B:$P,13,FALSE)</f>
        <v>2012</v>
      </c>
      <c r="O359">
        <f>VLOOKUP(A359,[2]cwurData!$B:$P,14,FALSE)</f>
        <v>162</v>
      </c>
      <c r="P359">
        <f>VLOOKUP(A359,[2]cwurData!$B:$N, 3, FALSE)</f>
        <v>70</v>
      </c>
      <c r="Q359">
        <f>VLOOKUP(A359,[2]cwurData!$B:$N, 4, FALSE)</f>
        <v>355</v>
      </c>
      <c r="R359">
        <f>VLOOKUP(A359,[2]cwurData!$B:$N, 5, FALSE)</f>
        <v>40</v>
      </c>
      <c r="S359">
        <f>VLOOKUP(A359,[2]cwurData!$B:$N, 6, FALSE)</f>
        <v>210</v>
      </c>
      <c r="T359">
        <f>VLOOKUP(A359,[2]cwurData!$B:$N, 7, FALSE)</f>
        <v>315</v>
      </c>
      <c r="U359">
        <f>VLOOKUP(A359,[2]cwurData!$B:$N, 8, FALSE)</f>
        <v>291</v>
      </c>
      <c r="V359">
        <f>VLOOKUP(A359,[2]cwurData!$B:$N, 9, FALSE)</f>
        <v>493</v>
      </c>
      <c r="W359">
        <f>VLOOKUP(A359,[2]cwurData!$B:$N, 10, FALSE)</f>
        <v>355</v>
      </c>
      <c r="X359">
        <f>VLOOKUP(A359,[2]cwurData!$B:$N, 11, FALSE)</f>
        <v>89</v>
      </c>
      <c r="Y359">
        <f>VLOOKUP(A359,[2]cwurData!$B:$N, 12, FALSE)</f>
        <v>48.91</v>
      </c>
      <c r="Z359">
        <f>VLOOKUP(A359,[2]cwurData!$B:$N, 13, FALSE)</f>
        <v>2014</v>
      </c>
    </row>
    <row r="360" spans="1:26" x14ac:dyDescent="0.3">
      <c r="A360" t="s">
        <v>325</v>
      </c>
      <c r="B360" t="str">
        <f>IFERROR(VLOOKUP(A360,[1]timesData!$B:$P,2,FALSE),VLOOKUP(A360,[2]cwurData!$B:$P,2,FALSE))</f>
        <v>China</v>
      </c>
      <c r="C360" t="str">
        <f>VLOOKUP(A360,[1]timesData!$B:$P,3,FALSE)</f>
        <v>301-350</v>
      </c>
      <c r="D360" t="str">
        <f>VLOOKUP(A361,[1]timesData!$B:$P,3,FALSE)</f>
        <v>301-350</v>
      </c>
      <c r="E360">
        <f>VLOOKUP(A361,[1]timesData!$B:$P,4,FALSE)</f>
        <v>40.200000000000003</v>
      </c>
      <c r="F360">
        <f>VLOOKUP(A361,[1]timesData!$B:$P,5,FALSE)</f>
        <v>31.7</v>
      </c>
      <c r="G360">
        <f>VLOOKUP(A361,[1]timesData!$B:$P,6,FALSE)</f>
        <v>27.7</v>
      </c>
      <c r="H360">
        <f>VLOOKUP(A361,[1]timesData!$B:$P,7,FALSE)</f>
        <v>40.700000000000003</v>
      </c>
      <c r="I360" t="str">
        <f>VLOOKUP(A361,[1]timesData!$B:$P,8,FALSE)</f>
        <v>-</v>
      </c>
      <c r="J360">
        <f>VLOOKUP(A361,[1]timesData!$B:$P,9,FALSE)</f>
        <v>28576</v>
      </c>
      <c r="K360">
        <f>VLOOKUP(A361,[1]timesData!$B:$P,10,FALSE)</f>
        <v>27.8</v>
      </c>
      <c r="L360">
        <f>VLOOKUP(A361,[1]timesData!$B:$P,11,FALSE)</f>
        <v>0.11</v>
      </c>
      <c r="M360">
        <f>VLOOKUP(A361,[1]timesData!$B:$P,12,FALSE)</f>
        <v>2.3229166666666665</v>
      </c>
      <c r="N360">
        <f>VLOOKUP(A361,[1]timesData!$B:$P,13,FALSE)</f>
        <v>2012</v>
      </c>
      <c r="O360">
        <f>VLOOKUP(A360,[2]cwurData!$B:$P,14,FALSE)</f>
        <v>195</v>
      </c>
      <c r="P360">
        <f>VLOOKUP(A360,[2]cwurData!$B:$N, 3, FALSE)</f>
        <v>4</v>
      </c>
      <c r="Q360">
        <f>VLOOKUP(A360,[2]cwurData!$B:$N, 4, FALSE)</f>
        <v>325</v>
      </c>
      <c r="R360">
        <f>VLOOKUP(A360,[2]cwurData!$B:$N, 5, FALSE)</f>
        <v>149</v>
      </c>
      <c r="S360">
        <f>VLOOKUP(A360,[2]cwurData!$B:$N, 6, FALSE)</f>
        <v>210</v>
      </c>
      <c r="T360">
        <f>VLOOKUP(A360,[2]cwurData!$B:$N, 7, FALSE)</f>
        <v>102</v>
      </c>
      <c r="U360">
        <f>VLOOKUP(A360,[2]cwurData!$B:$N, 8, FALSE)</f>
        <v>250</v>
      </c>
      <c r="V360">
        <f>VLOOKUP(A360,[2]cwurData!$B:$N, 9, FALSE)</f>
        <v>250</v>
      </c>
      <c r="W360">
        <f>VLOOKUP(A360,[2]cwurData!$B:$N, 10, FALSE)</f>
        <v>234</v>
      </c>
      <c r="X360">
        <f>VLOOKUP(A360,[2]cwurData!$B:$N, 11, FALSE)</f>
        <v>138</v>
      </c>
      <c r="Y360">
        <f>VLOOKUP(A360,[2]cwurData!$B:$N, 12, FALSE)</f>
        <v>48.02</v>
      </c>
      <c r="Z360">
        <f>VLOOKUP(A360,[2]cwurData!$B:$N, 13, FALSE)</f>
        <v>2014</v>
      </c>
    </row>
    <row r="361" spans="1:26" x14ac:dyDescent="0.3">
      <c r="A361" t="s">
        <v>337</v>
      </c>
      <c r="B361" t="str">
        <f>IFERROR(VLOOKUP(A361,[1]timesData!$B:$P,2,FALSE),VLOOKUP(A361,[2]cwurData!$B:$P,2,FALSE))</f>
        <v>Canada</v>
      </c>
      <c r="C361" t="str">
        <f>VLOOKUP(A361,[1]timesData!$B:$P,3,FALSE)</f>
        <v>301-350</v>
      </c>
      <c r="D361" t="str">
        <f>VLOOKUP(A362,[1]timesData!$B:$P,3,FALSE)</f>
        <v>301-350</v>
      </c>
      <c r="E361">
        <f>VLOOKUP(A362,[1]timesData!$B:$P,4,FALSE)</f>
        <v>29.2</v>
      </c>
      <c r="F361">
        <f>VLOOKUP(A362,[1]timesData!$B:$P,5,FALSE)</f>
        <v>28.8</v>
      </c>
      <c r="G361">
        <f>VLOOKUP(A362,[1]timesData!$B:$P,6,FALSE)</f>
        <v>47.6</v>
      </c>
      <c r="H361">
        <f>VLOOKUP(A362,[1]timesData!$B:$P,7,FALSE)</f>
        <v>35.700000000000003</v>
      </c>
      <c r="I361" t="str">
        <f>VLOOKUP(A362,[1]timesData!$B:$P,8,FALSE)</f>
        <v>-</v>
      </c>
      <c r="J361">
        <f>VLOOKUP(A362,[1]timesData!$B:$P,9,FALSE)</f>
        <v>30533</v>
      </c>
      <c r="K361">
        <f>VLOOKUP(A362,[1]timesData!$B:$P,10,FALSE)</f>
        <v>13.6</v>
      </c>
      <c r="L361">
        <f>VLOOKUP(A362,[1]timesData!$B:$P,11,FALSE)</f>
        <v>0.11</v>
      </c>
      <c r="M361">
        <f>VLOOKUP(A362,[1]timesData!$B:$P,12,FALSE)</f>
        <v>1.8722222222222222</v>
      </c>
      <c r="N361">
        <f>VLOOKUP(A362,[1]timesData!$B:$P,13,FALSE)</f>
        <v>2013</v>
      </c>
      <c r="O361">
        <f>VLOOKUP(A361,[2]cwurData!$B:$P,14,FALSE)</f>
        <v>220</v>
      </c>
      <c r="P361">
        <f>VLOOKUP(A361,[2]cwurData!$B:$N, 3, FALSE)</f>
        <v>10</v>
      </c>
      <c r="Q361">
        <f>VLOOKUP(A361,[2]cwurData!$B:$N, 4, FALSE)</f>
        <v>149</v>
      </c>
      <c r="R361">
        <f>VLOOKUP(A361,[2]cwurData!$B:$N, 5, FALSE)</f>
        <v>84</v>
      </c>
      <c r="S361">
        <f>VLOOKUP(A361,[2]cwurData!$B:$N, 6, FALSE)</f>
        <v>150</v>
      </c>
      <c r="T361">
        <f>VLOOKUP(A361,[2]cwurData!$B:$N, 7, FALSE)</f>
        <v>257</v>
      </c>
      <c r="U361">
        <f>VLOOKUP(A361,[2]cwurData!$B:$N, 8, FALSE)</f>
        <v>297</v>
      </c>
      <c r="V361">
        <f>VLOOKUP(A361,[2]cwurData!$B:$N, 9, FALSE)</f>
        <v>220</v>
      </c>
      <c r="W361">
        <f>VLOOKUP(A361,[2]cwurData!$B:$N, 10, FALSE)</f>
        <v>249</v>
      </c>
      <c r="X361">
        <f>VLOOKUP(A361,[2]cwurData!$B:$N, 11, FALSE)</f>
        <v>227</v>
      </c>
      <c r="Y361">
        <f>VLOOKUP(A361,[2]cwurData!$B:$N, 12, FALSE)</f>
        <v>47.56</v>
      </c>
      <c r="Z361">
        <f>VLOOKUP(A361,[2]cwurData!$B:$N, 13, FALSE)</f>
        <v>2014</v>
      </c>
    </row>
    <row r="362" spans="1:26" x14ac:dyDescent="0.3">
      <c r="A362" t="s">
        <v>427</v>
      </c>
      <c r="B362" t="str">
        <f>IFERROR(VLOOKUP(A362,[1]timesData!$B:$P,2,FALSE),VLOOKUP(A362,[2]cwurData!$B:$P,2,FALSE))</f>
        <v>United States of America</v>
      </c>
      <c r="C362" t="str">
        <f>VLOOKUP(A362,[1]timesData!$B:$P,3,FALSE)</f>
        <v>301-350</v>
      </c>
      <c r="D362" t="str">
        <f>VLOOKUP(A363,[1]timesData!$B:$P,3,FALSE)</f>
        <v>301-350</v>
      </c>
      <c r="E362">
        <f>VLOOKUP(A363,[1]timesData!$B:$P,4,FALSE)</f>
        <v>50</v>
      </c>
      <c r="F362">
        <f>VLOOKUP(A363,[1]timesData!$B:$P,5,FALSE)</f>
        <v>17.100000000000001</v>
      </c>
      <c r="G362">
        <f>VLOOKUP(A363,[1]timesData!$B:$P,6,FALSE)</f>
        <v>62.6</v>
      </c>
      <c r="H362" t="str">
        <f>VLOOKUP(A363,[1]timesData!$B:$P,7,FALSE)</f>
        <v>-</v>
      </c>
      <c r="I362" t="str">
        <f>VLOOKUP(A363,[1]timesData!$B:$P,8,FALSE)</f>
        <v>-</v>
      </c>
      <c r="J362">
        <f>VLOOKUP(A363,[1]timesData!$B:$P,9,FALSE)</f>
        <v>35308</v>
      </c>
      <c r="K362">
        <f>VLOOKUP(A363,[1]timesData!$B:$P,10,FALSE)</f>
        <v>16.100000000000001</v>
      </c>
      <c r="L362">
        <f>VLOOKUP(A363,[1]timesData!$B:$P,11,FALSE)</f>
        <v>0.11</v>
      </c>
      <c r="M362">
        <f>VLOOKUP(A363,[1]timesData!$B:$P,12,FALSE)</f>
        <v>2.1180555555555554</v>
      </c>
      <c r="N362">
        <f>VLOOKUP(A363,[1]timesData!$B:$P,13,FALSE)</f>
        <v>2013</v>
      </c>
      <c r="O362">
        <f>VLOOKUP(A362,[2]cwurData!$B:$P,14,FALSE)</f>
        <v>228</v>
      </c>
      <c r="P362">
        <f>VLOOKUP(A362,[2]cwurData!$B:$N, 3, FALSE)</f>
        <v>93</v>
      </c>
      <c r="Q362">
        <f>VLOOKUP(A362,[2]cwurData!$B:$N, 4, FALSE)</f>
        <v>245</v>
      </c>
      <c r="R362">
        <f>VLOOKUP(A362,[2]cwurData!$B:$N, 5, FALSE)</f>
        <v>194</v>
      </c>
      <c r="S362">
        <f>VLOOKUP(A362,[2]cwurData!$B:$N, 6, FALSE)</f>
        <v>210</v>
      </c>
      <c r="T362">
        <f>VLOOKUP(A362,[2]cwurData!$B:$N, 7, FALSE)</f>
        <v>151</v>
      </c>
      <c r="U362">
        <f>VLOOKUP(A362,[2]cwurData!$B:$N, 8, FALSE)</f>
        <v>202</v>
      </c>
      <c r="V362">
        <f>VLOOKUP(A362,[2]cwurData!$B:$N, 9, FALSE)</f>
        <v>159</v>
      </c>
      <c r="W362">
        <f>VLOOKUP(A362,[2]cwurData!$B:$N, 10, FALSE)</f>
        <v>238</v>
      </c>
      <c r="X362">
        <f>VLOOKUP(A362,[2]cwurData!$B:$N, 11, FALSE)</f>
        <v>181</v>
      </c>
      <c r="Y362">
        <f>VLOOKUP(A362,[2]cwurData!$B:$N, 12, FALSE)</f>
        <v>47.43</v>
      </c>
      <c r="Z362">
        <f>VLOOKUP(A362,[2]cwurData!$B:$N, 13, FALSE)</f>
        <v>2014</v>
      </c>
    </row>
    <row r="363" spans="1:26" x14ac:dyDescent="0.3">
      <c r="A363" t="s">
        <v>422</v>
      </c>
      <c r="B363" t="str">
        <f>IFERROR(VLOOKUP(A363,[1]timesData!$B:$P,2,FALSE),VLOOKUP(A363,[2]cwurData!$B:$P,2,FALSE))</f>
        <v>France</v>
      </c>
      <c r="C363" t="str">
        <f>VLOOKUP(A363,[1]timesData!$B:$P,3,FALSE)</f>
        <v>301-350</v>
      </c>
      <c r="D363" t="str">
        <f>VLOOKUP(A364,[1]timesData!$B:$P,3,FALSE)</f>
        <v>301-350</v>
      </c>
      <c r="E363">
        <f>VLOOKUP(A364,[1]timesData!$B:$P,4,FALSE)</f>
        <v>22.9</v>
      </c>
      <c r="F363">
        <f>VLOOKUP(A364,[1]timesData!$B:$P,5,FALSE)</f>
        <v>40.299999999999997</v>
      </c>
      <c r="G363">
        <f>VLOOKUP(A364,[1]timesData!$B:$P,6,FALSE)</f>
        <v>30.4</v>
      </c>
      <c r="H363">
        <f>VLOOKUP(A364,[1]timesData!$B:$P,7,FALSE)</f>
        <v>99.9</v>
      </c>
      <c r="I363" t="str">
        <f>VLOOKUP(A364,[1]timesData!$B:$P,8,FALSE)</f>
        <v>-</v>
      </c>
      <c r="J363">
        <f>VLOOKUP(A364,[1]timesData!$B:$P,9,FALSE)</f>
        <v>21234</v>
      </c>
      <c r="K363">
        <f>VLOOKUP(A364,[1]timesData!$B:$P,10,FALSE)</f>
        <v>14.4</v>
      </c>
      <c r="L363">
        <f>VLOOKUP(A364,[1]timesData!$B:$P,11,FALSE)</f>
        <v>0.11</v>
      </c>
      <c r="M363" t="str">
        <f>VLOOKUP(A364,[1]timesData!$B:$P,12,FALSE)</f>
        <v>36 : 64</v>
      </c>
      <c r="N363">
        <f>VLOOKUP(A364,[1]timesData!$B:$P,13,FALSE)</f>
        <v>2013</v>
      </c>
      <c r="O363">
        <f>VLOOKUP(A363,[2]cwurData!$B:$P,14,FALSE)</f>
        <v>230</v>
      </c>
      <c r="P363">
        <f>VLOOKUP(A363,[2]cwurData!$B:$N, 3, FALSE)</f>
        <v>10</v>
      </c>
      <c r="Q363">
        <f>VLOOKUP(A363,[2]cwurData!$B:$N, 4, FALSE)</f>
        <v>355</v>
      </c>
      <c r="R363">
        <f>VLOOKUP(A363,[2]cwurData!$B:$N, 5, FALSE)</f>
        <v>478</v>
      </c>
      <c r="S363">
        <f>VLOOKUP(A363,[2]cwurData!$B:$N, 6, FALSE)</f>
        <v>210</v>
      </c>
      <c r="T363">
        <f>VLOOKUP(A363,[2]cwurData!$B:$N, 7, FALSE)</f>
        <v>133</v>
      </c>
      <c r="U363">
        <f>VLOOKUP(A363,[2]cwurData!$B:$N, 8, FALSE)</f>
        <v>130</v>
      </c>
      <c r="V363">
        <f>VLOOKUP(A363,[2]cwurData!$B:$N, 9, FALSE)</f>
        <v>220</v>
      </c>
      <c r="W363">
        <f>VLOOKUP(A363,[2]cwurData!$B:$N, 10, FALSE)</f>
        <v>196</v>
      </c>
      <c r="X363">
        <f>VLOOKUP(A363,[2]cwurData!$B:$N, 11, FALSE)</f>
        <v>204</v>
      </c>
      <c r="Y363">
        <f>VLOOKUP(A363,[2]cwurData!$B:$N, 12, FALSE)</f>
        <v>47.42</v>
      </c>
      <c r="Z363">
        <f>VLOOKUP(A363,[2]cwurData!$B:$N, 13, FALSE)</f>
        <v>2014</v>
      </c>
    </row>
    <row r="364" spans="1:26" x14ac:dyDescent="0.3">
      <c r="A364" t="s">
        <v>426</v>
      </c>
      <c r="B364" t="str">
        <f>IFERROR(VLOOKUP(A364,[1]timesData!$B:$P,2,FALSE),VLOOKUP(A364,[2]cwurData!$B:$P,2,FALSE))</f>
        <v>Taiwan</v>
      </c>
      <c r="C364" t="str">
        <f>VLOOKUP(A364,[1]timesData!$B:$P,3,FALSE)</f>
        <v>301-350</v>
      </c>
      <c r="D364" t="str">
        <f>VLOOKUP(A365,[1]timesData!$B:$P,3,FALSE)</f>
        <v>301-350</v>
      </c>
      <c r="E364">
        <f>VLOOKUP(A365,[1]timesData!$B:$P,4,FALSE)</f>
        <v>49.4</v>
      </c>
      <c r="F364">
        <f>VLOOKUP(A365,[1]timesData!$B:$P,5,FALSE)</f>
        <v>21.1</v>
      </c>
      <c r="G364">
        <f>VLOOKUP(A365,[1]timesData!$B:$P,6,FALSE)</f>
        <v>36.700000000000003</v>
      </c>
      <c r="H364">
        <f>VLOOKUP(A365,[1]timesData!$B:$P,7,FALSE)</f>
        <v>66.2</v>
      </c>
      <c r="I364" t="str">
        <f>VLOOKUP(A365,[1]timesData!$B:$P,8,FALSE)</f>
        <v>-</v>
      </c>
      <c r="J364">
        <f>VLOOKUP(A365,[1]timesData!$B:$P,9,FALSE)</f>
        <v>9020</v>
      </c>
      <c r="K364">
        <f>VLOOKUP(A365,[1]timesData!$B:$P,10,FALSE)</f>
        <v>17.100000000000001</v>
      </c>
      <c r="L364">
        <f>VLOOKUP(A365,[1]timesData!$B:$P,11,FALSE)</f>
        <v>0.16</v>
      </c>
      <c r="M364">
        <f>VLOOKUP(A365,[1]timesData!$B:$P,12,FALSE)</f>
        <v>2.3229166666666665</v>
      </c>
      <c r="N364">
        <f>VLOOKUP(A365,[1]timesData!$B:$P,13,FALSE)</f>
        <v>2012</v>
      </c>
      <c r="O364">
        <f>VLOOKUP(A364,[2]cwurData!$B:$P,14,FALSE)</f>
        <v>246</v>
      </c>
      <c r="P364">
        <f>VLOOKUP(A364,[2]cwurData!$B:$N, 3, FALSE)</f>
        <v>2</v>
      </c>
      <c r="Q364">
        <f>VLOOKUP(A364,[2]cwurData!$B:$N, 4, FALSE)</f>
        <v>355</v>
      </c>
      <c r="R364">
        <f>VLOOKUP(A364,[2]cwurData!$B:$N, 5, FALSE)</f>
        <v>60</v>
      </c>
      <c r="S364">
        <f>VLOOKUP(A364,[2]cwurData!$B:$N, 6, FALSE)</f>
        <v>210</v>
      </c>
      <c r="T364">
        <f>VLOOKUP(A364,[2]cwurData!$B:$N, 7, FALSE)</f>
        <v>157</v>
      </c>
      <c r="U364">
        <f>VLOOKUP(A364,[2]cwurData!$B:$N, 8, FALSE)</f>
        <v>545</v>
      </c>
      <c r="V364">
        <f>VLOOKUP(A364,[2]cwurData!$B:$N, 9, FALSE)</f>
        <v>800</v>
      </c>
      <c r="W364">
        <f>VLOOKUP(A364,[2]cwurData!$B:$N, 10, FALSE)</f>
        <v>395</v>
      </c>
      <c r="X364">
        <f>VLOOKUP(A364,[2]cwurData!$B:$N, 11, FALSE)</f>
        <v>307</v>
      </c>
      <c r="Y364">
        <f>VLOOKUP(A364,[2]cwurData!$B:$N, 12, FALSE)</f>
        <v>47.16</v>
      </c>
      <c r="Z364">
        <f>VLOOKUP(A364,[2]cwurData!$B:$N, 13, FALSE)</f>
        <v>2014</v>
      </c>
    </row>
    <row r="365" spans="1:26" x14ac:dyDescent="0.3">
      <c r="A365" t="s">
        <v>352</v>
      </c>
      <c r="B365" t="str">
        <f>IFERROR(VLOOKUP(A365,[1]timesData!$B:$P,2,FALSE),VLOOKUP(A365,[2]cwurData!$B:$P,2,FALSE))</f>
        <v>Belgium</v>
      </c>
      <c r="C365" t="str">
        <f>VLOOKUP(A365,[1]timesData!$B:$P,3,FALSE)</f>
        <v>301-350</v>
      </c>
      <c r="D365" t="str">
        <f>VLOOKUP(A366,[1]timesData!$B:$P,3,FALSE)</f>
        <v>301-350</v>
      </c>
      <c r="E365">
        <f>VLOOKUP(A366,[1]timesData!$B:$P,4,FALSE)</f>
        <v>26.5</v>
      </c>
      <c r="F365">
        <f>VLOOKUP(A366,[1]timesData!$B:$P,5,FALSE)</f>
        <v>18.100000000000001</v>
      </c>
      <c r="G365">
        <f>VLOOKUP(A366,[1]timesData!$B:$P,6,FALSE)</f>
        <v>44.9</v>
      </c>
      <c r="H365">
        <f>VLOOKUP(A366,[1]timesData!$B:$P,7,FALSE)</f>
        <v>38.6</v>
      </c>
      <c r="I365" t="str">
        <f>VLOOKUP(A366,[1]timesData!$B:$P,8,FALSE)</f>
        <v>-</v>
      </c>
      <c r="J365">
        <f>VLOOKUP(A366,[1]timesData!$B:$P,9,FALSE)</f>
        <v>6300</v>
      </c>
      <c r="K365">
        <f>VLOOKUP(A366,[1]timesData!$B:$P,10,FALSE)</f>
        <v>11.3</v>
      </c>
      <c r="L365">
        <f>VLOOKUP(A366,[1]timesData!$B:$P,11,FALSE)</f>
        <v>0.15</v>
      </c>
      <c r="M365">
        <f>VLOOKUP(A366,[1]timesData!$B:$P,12,FALSE)</f>
        <v>1.8722222222222222</v>
      </c>
      <c r="N365">
        <f>VLOOKUP(A366,[1]timesData!$B:$P,13,FALSE)</f>
        <v>2012</v>
      </c>
      <c r="O365">
        <f>VLOOKUP(A365,[2]cwurData!$B:$P,14,FALSE)</f>
        <v>248</v>
      </c>
      <c r="P365">
        <f>VLOOKUP(A365,[2]cwurData!$B:$N, 3, FALSE)</f>
        <v>5</v>
      </c>
      <c r="Q365">
        <f>VLOOKUP(A365,[2]cwurData!$B:$N, 4, FALSE)</f>
        <v>73</v>
      </c>
      <c r="R365">
        <f>VLOOKUP(A365,[2]cwurData!$B:$N, 5, FALSE)</f>
        <v>478</v>
      </c>
      <c r="S365">
        <f>VLOOKUP(A365,[2]cwurData!$B:$N, 6, FALSE)</f>
        <v>210</v>
      </c>
      <c r="T365">
        <f>VLOOKUP(A365,[2]cwurData!$B:$N, 7, FALSE)</f>
        <v>271</v>
      </c>
      <c r="U365">
        <f>VLOOKUP(A365,[2]cwurData!$B:$N, 8, FALSE)</f>
        <v>276</v>
      </c>
      <c r="V365">
        <f>VLOOKUP(A365,[2]cwurData!$B:$N, 9, FALSE)</f>
        <v>130</v>
      </c>
      <c r="W365">
        <f>VLOOKUP(A365,[2]cwurData!$B:$N, 10, FALSE)</f>
        <v>220</v>
      </c>
      <c r="X365">
        <f>VLOOKUP(A365,[2]cwurData!$B:$N, 11, FALSE)</f>
        <v>552</v>
      </c>
      <c r="Y365">
        <f>VLOOKUP(A365,[2]cwurData!$B:$N, 12, FALSE)</f>
        <v>47.14</v>
      </c>
      <c r="Z365">
        <f>VLOOKUP(A365,[2]cwurData!$B:$N, 13, FALSE)</f>
        <v>2014</v>
      </c>
    </row>
    <row r="366" spans="1:26" x14ac:dyDescent="0.3">
      <c r="A366" t="s">
        <v>319</v>
      </c>
      <c r="B366" t="str">
        <f>IFERROR(VLOOKUP(A366,[1]timesData!$B:$P,2,FALSE),VLOOKUP(A366,[2]cwurData!$B:$P,2,FALSE))</f>
        <v>United States of America</v>
      </c>
      <c r="C366" t="str">
        <f>VLOOKUP(A366,[1]timesData!$B:$P,3,FALSE)</f>
        <v>301-350</v>
      </c>
      <c r="D366" t="str">
        <f>VLOOKUP(A367,[1]timesData!$B:$P,3,FALSE)</f>
        <v>301-350</v>
      </c>
      <c r="E366">
        <f>VLOOKUP(A367,[1]timesData!$B:$P,4,FALSE)</f>
        <v>21.1</v>
      </c>
      <c r="F366">
        <f>VLOOKUP(A367,[1]timesData!$B:$P,5,FALSE)</f>
        <v>14.8</v>
      </c>
      <c r="G366">
        <f>VLOOKUP(A367,[1]timesData!$B:$P,6,FALSE)</f>
        <v>81.3</v>
      </c>
      <c r="H366">
        <f>VLOOKUP(A367,[1]timesData!$B:$P,7,FALSE)</f>
        <v>47.4</v>
      </c>
      <c r="I366" t="str">
        <f>VLOOKUP(A367,[1]timesData!$B:$P,8,FALSE)</f>
        <v>-</v>
      </c>
      <c r="J366">
        <f>VLOOKUP(A367,[1]timesData!$B:$P,9,FALSE)</f>
        <v>83653</v>
      </c>
      <c r="K366">
        <f>VLOOKUP(A367,[1]timesData!$B:$P,10,FALSE)</f>
        <v>64.2</v>
      </c>
      <c r="L366">
        <f>VLOOKUP(A367,[1]timesData!$B:$P,11,FALSE)</f>
        <v>0.01</v>
      </c>
      <c r="M366">
        <f>VLOOKUP(A367,[1]timesData!$B:$P,12,FALSE)</f>
        <v>0</v>
      </c>
      <c r="N366">
        <f>VLOOKUP(A367,[1]timesData!$B:$P,13,FALSE)</f>
        <v>2016</v>
      </c>
      <c r="O366">
        <f>VLOOKUP(A366,[2]cwurData!$B:$P,14,FALSE)</f>
        <v>258</v>
      </c>
      <c r="P366">
        <f>VLOOKUP(A366,[2]cwurData!$B:$N, 3, FALSE)</f>
        <v>104</v>
      </c>
      <c r="Q366">
        <f>VLOOKUP(A366,[2]cwurData!$B:$N, 4, FALSE)</f>
        <v>355</v>
      </c>
      <c r="R366">
        <f>VLOOKUP(A366,[2]cwurData!$B:$N, 5, FALSE)</f>
        <v>44</v>
      </c>
      <c r="S366">
        <f>VLOOKUP(A366,[2]cwurData!$B:$N, 6, FALSE)</f>
        <v>210</v>
      </c>
      <c r="T366">
        <f>VLOOKUP(A366,[2]cwurData!$B:$N, 7, FALSE)</f>
        <v>594</v>
      </c>
      <c r="U366">
        <f>VLOOKUP(A366,[2]cwurData!$B:$N, 8, FALSE)</f>
        <v>512</v>
      </c>
      <c r="V366">
        <f>VLOOKUP(A366,[2]cwurData!$B:$N, 9, FALSE)</f>
        <v>609</v>
      </c>
      <c r="W366">
        <f>VLOOKUP(A366,[2]cwurData!$B:$N, 10, FALSE)</f>
        <v>523</v>
      </c>
      <c r="X366">
        <f>VLOOKUP(A366,[2]cwurData!$B:$N, 11, FALSE)</f>
        <v>481</v>
      </c>
      <c r="Y366">
        <f>VLOOKUP(A366,[2]cwurData!$B:$N, 12, FALSE)</f>
        <v>46.91</v>
      </c>
      <c r="Z366">
        <f>VLOOKUP(A366,[2]cwurData!$B:$N, 13, FALSE)</f>
        <v>2014</v>
      </c>
    </row>
    <row r="367" spans="1:26" x14ac:dyDescent="0.3">
      <c r="A367" t="s">
        <v>505</v>
      </c>
      <c r="B367" t="str">
        <f>IFERROR(VLOOKUP(A367,[1]timesData!$B:$P,2,FALSE),VLOOKUP(A367,[2]cwurData!$B:$P,2,FALSE))</f>
        <v>Italy</v>
      </c>
      <c r="C367" t="str">
        <f>VLOOKUP(A367,[1]timesData!$B:$P,3,FALSE)</f>
        <v>301-350</v>
      </c>
      <c r="D367" t="str">
        <f>VLOOKUP(A368,[1]timesData!$B:$P,3,FALSE)</f>
        <v>301-350</v>
      </c>
      <c r="E367">
        <f>VLOOKUP(A368,[1]timesData!$B:$P,4,FALSE)</f>
        <v>42</v>
      </c>
      <c r="F367">
        <f>VLOOKUP(A368,[1]timesData!$B:$P,5,FALSE)</f>
        <v>13</v>
      </c>
      <c r="G367">
        <f>VLOOKUP(A368,[1]timesData!$B:$P,6,FALSE)</f>
        <v>43.9</v>
      </c>
      <c r="H367">
        <f>VLOOKUP(A368,[1]timesData!$B:$P,7,FALSE)</f>
        <v>33.700000000000003</v>
      </c>
      <c r="I367" t="str">
        <f>VLOOKUP(A368,[1]timesData!$B:$P,8,FALSE)</f>
        <v>-</v>
      </c>
      <c r="J367">
        <f>VLOOKUP(A368,[1]timesData!$B:$P,9,FALSE)</f>
        <v>32720</v>
      </c>
      <c r="K367">
        <f>VLOOKUP(A368,[1]timesData!$B:$P,10,FALSE)</f>
        <v>18.8</v>
      </c>
      <c r="L367">
        <f>VLOOKUP(A368,[1]timesData!$B:$P,11,FALSE)</f>
        <v>0.09</v>
      </c>
      <c r="M367">
        <f>VLOOKUP(A368,[1]timesData!$B:$P,12,FALSE)</f>
        <v>2.2819444444444446</v>
      </c>
      <c r="N367">
        <f>VLOOKUP(A368,[1]timesData!$B:$P,13,FALSE)</f>
        <v>2012</v>
      </c>
      <c r="O367">
        <f>VLOOKUP(A367,[2]cwurData!$B:$P,14,FALSE)</f>
        <v>272</v>
      </c>
      <c r="P367">
        <f>VLOOKUP(A367,[2]cwurData!$B:$N, 3, FALSE)</f>
        <v>7</v>
      </c>
      <c r="Q367">
        <f>VLOOKUP(A367,[2]cwurData!$B:$N, 4, FALSE)</f>
        <v>324</v>
      </c>
      <c r="R367">
        <f>VLOOKUP(A367,[2]cwurData!$B:$N, 5, FALSE)</f>
        <v>475</v>
      </c>
      <c r="S367">
        <f>VLOOKUP(A367,[2]cwurData!$B:$N, 6, FALSE)</f>
        <v>210</v>
      </c>
      <c r="T367">
        <f>VLOOKUP(A367,[2]cwurData!$B:$N, 7, FALSE)</f>
        <v>163</v>
      </c>
      <c r="U367">
        <f>VLOOKUP(A367,[2]cwurData!$B:$N, 8, FALSE)</f>
        <v>333</v>
      </c>
      <c r="V367">
        <f>VLOOKUP(A367,[2]cwurData!$B:$N, 9, FALSE)</f>
        <v>200</v>
      </c>
      <c r="W367">
        <f>VLOOKUP(A367,[2]cwurData!$B:$N, 10, FALSE)</f>
        <v>238</v>
      </c>
      <c r="X367">
        <f>VLOOKUP(A367,[2]cwurData!$B:$N, 11, FALSE)</f>
        <v>737</v>
      </c>
      <c r="Y367">
        <f>VLOOKUP(A367,[2]cwurData!$B:$N, 12, FALSE)</f>
        <v>46.67</v>
      </c>
      <c r="Z367">
        <f>VLOOKUP(A367,[2]cwurData!$B:$N, 13, FALSE)</f>
        <v>2014</v>
      </c>
    </row>
    <row r="368" spans="1:26" x14ac:dyDescent="0.3">
      <c r="A368" t="s">
        <v>342</v>
      </c>
      <c r="B368" t="str">
        <f>IFERROR(VLOOKUP(A368,[1]timesData!$B:$P,2,FALSE),VLOOKUP(A368,[2]cwurData!$B:$P,2,FALSE))</f>
        <v>Portugal</v>
      </c>
      <c r="C368" t="str">
        <f>VLOOKUP(A368,[1]timesData!$B:$P,3,FALSE)</f>
        <v>301-350</v>
      </c>
      <c r="D368" t="str">
        <f>VLOOKUP(A369,[1]timesData!$B:$P,3,FALSE)</f>
        <v>301-350</v>
      </c>
      <c r="E368">
        <f>VLOOKUP(A369,[1]timesData!$B:$P,4,FALSE)</f>
        <v>30.4</v>
      </c>
      <c r="F368">
        <f>VLOOKUP(A369,[1]timesData!$B:$P,5,FALSE)</f>
        <v>12.1</v>
      </c>
      <c r="G368">
        <f>VLOOKUP(A369,[1]timesData!$B:$P,6,FALSE)</f>
        <v>85.2</v>
      </c>
      <c r="H368">
        <f>VLOOKUP(A369,[1]timesData!$B:$P,7,FALSE)</f>
        <v>31.8</v>
      </c>
      <c r="I368" t="str">
        <f>VLOOKUP(A369,[1]timesData!$B:$P,8,FALSE)</f>
        <v>-</v>
      </c>
      <c r="J368">
        <f>VLOOKUP(A369,[1]timesData!$B:$P,9,FALSE)</f>
        <v>1211</v>
      </c>
      <c r="K368">
        <f>VLOOKUP(A369,[1]timesData!$B:$P,10,FALSE)</f>
        <v>0.6</v>
      </c>
      <c r="L368">
        <f>VLOOKUP(A369,[1]timesData!$B:$P,11,FALSE)</f>
        <v>0.05</v>
      </c>
      <c r="M368">
        <f>VLOOKUP(A369,[1]timesData!$B:$P,12,FALSE)</f>
        <v>2.036111111111111</v>
      </c>
      <c r="N368">
        <f>VLOOKUP(A369,[1]timesData!$B:$P,13,FALSE)</f>
        <v>2016</v>
      </c>
      <c r="O368">
        <f>VLOOKUP(A368,[2]cwurData!$B:$P,14,FALSE)</f>
        <v>290</v>
      </c>
      <c r="P368">
        <f>VLOOKUP(A368,[2]cwurData!$B:$N, 3, FALSE)</f>
        <v>2</v>
      </c>
      <c r="Q368">
        <f>VLOOKUP(A368,[2]cwurData!$B:$N, 4, FALSE)</f>
        <v>83</v>
      </c>
      <c r="R368">
        <f>VLOOKUP(A368,[2]cwurData!$B:$N, 5, FALSE)</f>
        <v>427</v>
      </c>
      <c r="S368">
        <f>VLOOKUP(A368,[2]cwurData!$B:$N, 6, FALSE)</f>
        <v>89</v>
      </c>
      <c r="T368">
        <f>VLOOKUP(A368,[2]cwurData!$B:$N, 7, FALSE)</f>
        <v>269</v>
      </c>
      <c r="U368">
        <f>VLOOKUP(A368,[2]cwurData!$B:$N, 8, FALSE)</f>
        <v>394</v>
      </c>
      <c r="V368">
        <f>VLOOKUP(A368,[2]cwurData!$B:$N, 9, FALSE)</f>
        <v>250</v>
      </c>
      <c r="W368">
        <f>VLOOKUP(A368,[2]cwurData!$B:$N, 10, FALSE)</f>
        <v>349</v>
      </c>
      <c r="X368">
        <f>VLOOKUP(A368,[2]cwurData!$B:$N, 11, FALSE)</f>
        <v>426</v>
      </c>
      <c r="Y368">
        <f>VLOOKUP(A368,[2]cwurData!$B:$N, 12, FALSE)</f>
        <v>46.42</v>
      </c>
      <c r="Z368">
        <f>VLOOKUP(A368,[2]cwurData!$B:$N, 13, FALSE)</f>
        <v>2014</v>
      </c>
    </row>
    <row r="369" spans="1:26" x14ac:dyDescent="0.3">
      <c r="A369" t="s">
        <v>504</v>
      </c>
      <c r="B369" t="str">
        <f>IFERROR(VLOOKUP(A369,[1]timesData!$B:$P,2,FALSE),VLOOKUP(A369,[2]cwurData!$B:$P,2,FALSE))</f>
        <v>United States of America</v>
      </c>
      <c r="C369" t="str">
        <f>VLOOKUP(A369,[1]timesData!$B:$P,3,FALSE)</f>
        <v>301-350</v>
      </c>
      <c r="D369" t="str">
        <f>VLOOKUP(A370,[1]timesData!$B:$P,3,FALSE)</f>
        <v>301-350</v>
      </c>
      <c r="E369">
        <f>VLOOKUP(A370,[1]timesData!$B:$P,4,FALSE)</f>
        <v>59.3</v>
      </c>
      <c r="F369">
        <f>VLOOKUP(A370,[1]timesData!$B:$P,5,FALSE)</f>
        <v>17.3</v>
      </c>
      <c r="G369">
        <f>VLOOKUP(A370,[1]timesData!$B:$P,6,FALSE)</f>
        <v>56.9</v>
      </c>
      <c r="H369">
        <f>VLOOKUP(A370,[1]timesData!$B:$P,7,FALSE)</f>
        <v>48.2</v>
      </c>
      <c r="I369" t="str">
        <f>VLOOKUP(A370,[1]timesData!$B:$P,8,FALSE)</f>
        <v>-</v>
      </c>
      <c r="J369">
        <f>VLOOKUP(A370,[1]timesData!$B:$P,9,FALSE)</f>
        <v>24099</v>
      </c>
      <c r="K369">
        <f>VLOOKUP(A370,[1]timesData!$B:$P,10,FALSE)</f>
        <v>45.4</v>
      </c>
      <c r="L369">
        <f>VLOOKUP(A370,[1]timesData!$B:$P,11,FALSE)</f>
        <v>0.2</v>
      </c>
      <c r="M369" t="str">
        <f>VLOOKUP(A370,[1]timesData!$B:$P,12,FALSE)</f>
        <v>31 : 69</v>
      </c>
      <c r="N369">
        <f>VLOOKUP(A370,[1]timesData!$B:$P,13,FALSE)</f>
        <v>2015</v>
      </c>
      <c r="O369">
        <f>VLOOKUP(A369,[2]cwurData!$B:$P,14,FALSE)</f>
        <v>293</v>
      </c>
      <c r="P369">
        <f>VLOOKUP(A369,[2]cwurData!$B:$N, 3, FALSE)</f>
        <v>113</v>
      </c>
      <c r="Q369">
        <f>VLOOKUP(A369,[2]cwurData!$B:$N, 4, FALSE)</f>
        <v>355</v>
      </c>
      <c r="R369">
        <f>VLOOKUP(A369,[2]cwurData!$B:$N, 5, FALSE)</f>
        <v>478</v>
      </c>
      <c r="S369">
        <f>VLOOKUP(A369,[2]cwurData!$B:$N, 6, FALSE)</f>
        <v>210</v>
      </c>
      <c r="T369">
        <f>VLOOKUP(A369,[2]cwurData!$B:$N, 7, FALSE)</f>
        <v>338</v>
      </c>
      <c r="U369">
        <f>VLOOKUP(A369,[2]cwurData!$B:$N, 8, FALSE)</f>
        <v>279</v>
      </c>
      <c r="V369">
        <f>VLOOKUP(A369,[2]cwurData!$B:$N, 9, FALSE)</f>
        <v>220</v>
      </c>
      <c r="W369">
        <f>VLOOKUP(A369,[2]cwurData!$B:$N, 10, FALSE)</f>
        <v>203</v>
      </c>
      <c r="X369">
        <f>VLOOKUP(A369,[2]cwurData!$B:$N, 11, FALSE)</f>
        <v>737</v>
      </c>
      <c r="Y369">
        <f>VLOOKUP(A369,[2]cwurData!$B:$N, 12, FALSE)</f>
        <v>46.42</v>
      </c>
      <c r="Z369">
        <f>VLOOKUP(A369,[2]cwurData!$B:$N, 13, FALSE)</f>
        <v>2014</v>
      </c>
    </row>
    <row r="370" spans="1:26" x14ac:dyDescent="0.3">
      <c r="A370" t="s">
        <v>474</v>
      </c>
      <c r="B370" t="str">
        <f>IFERROR(VLOOKUP(A370,[1]timesData!$B:$P,2,FALSE),VLOOKUP(A370,[2]cwurData!$B:$P,2,FALSE))</f>
        <v>Germany</v>
      </c>
      <c r="C370" t="str">
        <f>VLOOKUP(A370,[1]timesData!$B:$P,3,FALSE)</f>
        <v>301-350</v>
      </c>
      <c r="D370" t="str">
        <f>VLOOKUP(A371,[1]timesData!$B:$P,3,FALSE)</f>
        <v>301-350</v>
      </c>
      <c r="E370">
        <f>VLOOKUP(A371,[1]timesData!$B:$P,4,FALSE)</f>
        <v>36.4</v>
      </c>
      <c r="F370">
        <f>VLOOKUP(A371,[1]timesData!$B:$P,5,FALSE)</f>
        <v>10.199999999999999</v>
      </c>
      <c r="G370">
        <f>VLOOKUP(A371,[1]timesData!$B:$P,6,FALSE)</f>
        <v>64.3</v>
      </c>
      <c r="H370">
        <f>VLOOKUP(A371,[1]timesData!$B:$P,7,FALSE)</f>
        <v>32.1</v>
      </c>
      <c r="I370" t="str">
        <f>VLOOKUP(A371,[1]timesData!$B:$P,8,FALSE)</f>
        <v>-</v>
      </c>
      <c r="J370">
        <f>VLOOKUP(A371,[1]timesData!$B:$P,9,FALSE)</f>
        <v>58413</v>
      </c>
      <c r="K370">
        <f>VLOOKUP(A371,[1]timesData!$B:$P,10,FALSE)</f>
        <v>15.4</v>
      </c>
      <c r="L370">
        <f>VLOOKUP(A371,[1]timesData!$B:$P,11,FALSE)</f>
        <v>0.09</v>
      </c>
      <c r="M370">
        <f>VLOOKUP(A371,[1]timesData!$B:$P,12,FALSE)</f>
        <v>2.5277777777777777</v>
      </c>
      <c r="N370">
        <f>VLOOKUP(A371,[1]timesData!$B:$P,13,FALSE)</f>
        <v>2012</v>
      </c>
      <c r="O370">
        <f>VLOOKUP(A370,[2]cwurData!$B:$P,14,FALSE)</f>
        <v>300</v>
      </c>
      <c r="P370">
        <f>VLOOKUP(A370,[2]cwurData!$B:$N, 3, FALSE)</f>
        <v>26</v>
      </c>
      <c r="Q370">
        <f>VLOOKUP(A370,[2]cwurData!$B:$N, 4, FALSE)</f>
        <v>78</v>
      </c>
      <c r="R370">
        <f>VLOOKUP(A370,[2]cwurData!$B:$N, 5, FALSE)</f>
        <v>175</v>
      </c>
      <c r="S370">
        <f>VLOOKUP(A370,[2]cwurData!$B:$N, 6, FALSE)</f>
        <v>210</v>
      </c>
      <c r="T370">
        <f>VLOOKUP(A370,[2]cwurData!$B:$N, 7, FALSE)</f>
        <v>379</v>
      </c>
      <c r="U370">
        <f>VLOOKUP(A370,[2]cwurData!$B:$N, 8, FALSE)</f>
        <v>367</v>
      </c>
      <c r="V370">
        <f>VLOOKUP(A370,[2]cwurData!$B:$N, 9, FALSE)</f>
        <v>363</v>
      </c>
      <c r="W370">
        <f>VLOOKUP(A370,[2]cwurData!$B:$N, 10, FALSE)</f>
        <v>346</v>
      </c>
      <c r="X370">
        <f>VLOOKUP(A370,[2]cwurData!$B:$N, 11, FALSE)</f>
        <v>280</v>
      </c>
      <c r="Y370">
        <f>VLOOKUP(A370,[2]cwurData!$B:$N, 12, FALSE)</f>
        <v>46.34</v>
      </c>
      <c r="Z370">
        <f>VLOOKUP(A370,[2]cwurData!$B:$N, 13, FALSE)</f>
        <v>2014</v>
      </c>
    </row>
    <row r="371" spans="1:26" x14ac:dyDescent="0.3">
      <c r="A371" t="s">
        <v>348</v>
      </c>
      <c r="B371" t="str">
        <f>IFERROR(VLOOKUP(A371,[1]timesData!$B:$P,2,FALSE),VLOOKUP(A371,[2]cwurData!$B:$P,2,FALSE))</f>
        <v>Spain</v>
      </c>
      <c r="C371" t="str">
        <f>VLOOKUP(A371,[1]timesData!$B:$P,3,FALSE)</f>
        <v>301-350</v>
      </c>
      <c r="D371" t="str">
        <f>VLOOKUP(A372,[1]timesData!$B:$P,3,FALSE)</f>
        <v>301-350</v>
      </c>
      <c r="E371">
        <f>VLOOKUP(A372,[1]timesData!$B:$P,4,FALSE)</f>
        <v>48.6</v>
      </c>
      <c r="F371">
        <f>VLOOKUP(A372,[1]timesData!$B:$P,5,FALSE)</f>
        <v>18.899999999999999</v>
      </c>
      <c r="G371">
        <f>VLOOKUP(A372,[1]timesData!$B:$P,6,FALSE)</f>
        <v>42.8</v>
      </c>
      <c r="H371">
        <f>VLOOKUP(A372,[1]timesData!$B:$P,7,FALSE)</f>
        <v>31.8</v>
      </c>
      <c r="I371" t="str">
        <f>VLOOKUP(A372,[1]timesData!$B:$P,8,FALSE)</f>
        <v>-</v>
      </c>
      <c r="J371">
        <f>VLOOKUP(A372,[1]timesData!$B:$P,9,FALSE)</f>
        <v>17866</v>
      </c>
      <c r="K371">
        <f>VLOOKUP(A372,[1]timesData!$B:$P,10,FALSE)</f>
        <v>7.7</v>
      </c>
      <c r="L371">
        <f>VLOOKUP(A372,[1]timesData!$B:$P,11,FALSE)</f>
        <v>0.1</v>
      </c>
      <c r="M371">
        <f>VLOOKUP(A372,[1]timesData!$B:$P,12,FALSE)</f>
        <v>2.2000000000000002</v>
      </c>
      <c r="N371">
        <f>VLOOKUP(A372,[1]timesData!$B:$P,13,FALSE)</f>
        <v>2012</v>
      </c>
      <c r="O371">
        <f>VLOOKUP(A371,[2]cwurData!$B:$P,14,FALSE)</f>
        <v>301</v>
      </c>
      <c r="P371">
        <f>VLOOKUP(A371,[2]cwurData!$B:$N, 3, FALSE)</f>
        <v>4</v>
      </c>
      <c r="Q371">
        <f>VLOOKUP(A371,[2]cwurData!$B:$N, 4, FALSE)</f>
        <v>355</v>
      </c>
      <c r="R371">
        <f>VLOOKUP(A371,[2]cwurData!$B:$N, 5, FALSE)</f>
        <v>464</v>
      </c>
      <c r="S371">
        <f>VLOOKUP(A371,[2]cwurData!$B:$N, 6, FALSE)</f>
        <v>210</v>
      </c>
      <c r="T371">
        <f>VLOOKUP(A371,[2]cwurData!$B:$N, 7, FALSE)</f>
        <v>210</v>
      </c>
      <c r="U371">
        <f>VLOOKUP(A371,[2]cwurData!$B:$N, 8, FALSE)</f>
        <v>342</v>
      </c>
      <c r="V371">
        <f>VLOOKUP(A371,[2]cwurData!$B:$N, 9, FALSE)</f>
        <v>220</v>
      </c>
      <c r="W371">
        <f>VLOOKUP(A371,[2]cwurData!$B:$N, 10, FALSE)</f>
        <v>261</v>
      </c>
      <c r="X371">
        <f>VLOOKUP(A371,[2]cwurData!$B:$N, 11, FALSE)</f>
        <v>552</v>
      </c>
      <c r="Y371">
        <f>VLOOKUP(A371,[2]cwurData!$B:$N, 12, FALSE)</f>
        <v>46.34</v>
      </c>
      <c r="Z371">
        <f>VLOOKUP(A371,[2]cwurData!$B:$N, 13, FALSE)</f>
        <v>2014</v>
      </c>
    </row>
    <row r="372" spans="1:26" x14ac:dyDescent="0.3">
      <c r="A372" t="s">
        <v>320</v>
      </c>
      <c r="B372" t="str">
        <f>IFERROR(VLOOKUP(A372,[1]timesData!$B:$P,2,FALSE),VLOOKUP(A372,[2]cwurData!$B:$P,2,FALSE))</f>
        <v>Sweden</v>
      </c>
      <c r="C372" t="str">
        <f>VLOOKUP(A372,[1]timesData!$B:$P,3,FALSE)</f>
        <v>301-350</v>
      </c>
      <c r="D372" t="str">
        <f>VLOOKUP(A373,[1]timesData!$B:$P,3,FALSE)</f>
        <v>301-350</v>
      </c>
      <c r="E372">
        <f>VLOOKUP(A373,[1]timesData!$B:$P,4,FALSE)</f>
        <v>26.2</v>
      </c>
      <c r="F372">
        <f>VLOOKUP(A373,[1]timesData!$B:$P,5,FALSE)</f>
        <v>18.5</v>
      </c>
      <c r="G372">
        <f>VLOOKUP(A373,[1]timesData!$B:$P,6,FALSE)</f>
        <v>50.8</v>
      </c>
      <c r="H372">
        <f>VLOOKUP(A373,[1]timesData!$B:$P,7,FALSE)</f>
        <v>35.299999999999997</v>
      </c>
      <c r="I372" t="str">
        <f>VLOOKUP(A373,[1]timesData!$B:$P,8,FALSE)</f>
        <v>-</v>
      </c>
      <c r="J372">
        <f>VLOOKUP(A373,[1]timesData!$B:$P,9,FALSE)</f>
        <v>47247</v>
      </c>
      <c r="K372">
        <f>VLOOKUP(A373,[1]timesData!$B:$P,10,FALSE)</f>
        <v>18</v>
      </c>
      <c r="L372">
        <f>VLOOKUP(A373,[1]timesData!$B:$P,11,FALSE)</f>
        <v>0.04</v>
      </c>
      <c r="M372">
        <f>VLOOKUP(A373,[1]timesData!$B:$P,12,FALSE)</f>
        <v>2.2000000000000002</v>
      </c>
      <c r="N372">
        <f>VLOOKUP(A373,[1]timesData!$B:$P,13,FALSE)</f>
        <v>2012</v>
      </c>
      <c r="O372">
        <f>VLOOKUP(A372,[2]cwurData!$B:$P,14,FALSE)</f>
        <v>302</v>
      </c>
      <c r="P372">
        <f>VLOOKUP(A372,[2]cwurData!$B:$N, 3, FALSE)</f>
        <v>8</v>
      </c>
      <c r="Q372">
        <f>VLOOKUP(A372,[2]cwurData!$B:$N, 4, FALSE)</f>
        <v>355</v>
      </c>
      <c r="R372">
        <f>VLOOKUP(A372,[2]cwurData!$B:$N, 5, FALSE)</f>
        <v>177</v>
      </c>
      <c r="S372">
        <f>VLOOKUP(A372,[2]cwurData!$B:$N, 6, FALSE)</f>
        <v>210</v>
      </c>
      <c r="T372">
        <f>VLOOKUP(A372,[2]cwurData!$B:$N, 7, FALSE)</f>
        <v>290</v>
      </c>
      <c r="U372">
        <f>VLOOKUP(A372,[2]cwurData!$B:$N, 8, FALSE)</f>
        <v>345</v>
      </c>
      <c r="V372">
        <f>VLOOKUP(A372,[2]cwurData!$B:$N, 9, FALSE)</f>
        <v>310</v>
      </c>
      <c r="W372">
        <f>VLOOKUP(A372,[2]cwurData!$B:$N, 10, FALSE)</f>
        <v>274</v>
      </c>
      <c r="X372">
        <f>VLOOKUP(A372,[2]cwurData!$B:$N, 11, FALSE)</f>
        <v>737</v>
      </c>
      <c r="Y372">
        <f>VLOOKUP(A372,[2]cwurData!$B:$N, 12, FALSE)</f>
        <v>46.32</v>
      </c>
      <c r="Z372">
        <f>VLOOKUP(A372,[2]cwurData!$B:$N, 13, FALSE)</f>
        <v>2014</v>
      </c>
    </row>
    <row r="373" spans="1:26" x14ac:dyDescent="0.3">
      <c r="A373" t="s">
        <v>341</v>
      </c>
      <c r="B373" t="str">
        <f>IFERROR(VLOOKUP(A373,[1]timesData!$B:$P,2,FALSE),VLOOKUP(A373,[2]cwurData!$B:$P,2,FALSE))</f>
        <v>Italy</v>
      </c>
      <c r="C373" t="str">
        <f>VLOOKUP(A373,[1]timesData!$B:$P,3,FALSE)</f>
        <v>301-350</v>
      </c>
      <c r="D373" t="str">
        <f>VLOOKUP(A374,[1]timesData!$B:$P,3,FALSE)</f>
        <v>301-350</v>
      </c>
      <c r="E373">
        <f>VLOOKUP(A374,[1]timesData!$B:$P,4,FALSE)</f>
        <v>66.2</v>
      </c>
      <c r="F373">
        <f>VLOOKUP(A374,[1]timesData!$B:$P,5,FALSE)</f>
        <v>13.4</v>
      </c>
      <c r="G373">
        <f>VLOOKUP(A374,[1]timesData!$B:$P,6,FALSE)</f>
        <v>66</v>
      </c>
      <c r="H373">
        <f>VLOOKUP(A374,[1]timesData!$B:$P,7,FALSE)</f>
        <v>33.200000000000003</v>
      </c>
      <c r="I373" t="str">
        <f>VLOOKUP(A374,[1]timesData!$B:$P,8,FALSE)</f>
        <v>-</v>
      </c>
      <c r="J373">
        <f>VLOOKUP(A374,[1]timesData!$B:$P,9,FALSE)</f>
        <v>7426</v>
      </c>
      <c r="K373">
        <f>VLOOKUP(A374,[1]timesData!$B:$P,10,FALSE)</f>
        <v>2.9</v>
      </c>
      <c r="L373">
        <f>VLOOKUP(A374,[1]timesData!$B:$P,11,FALSE)</f>
        <v>0.28000000000000003</v>
      </c>
      <c r="M373">
        <f>VLOOKUP(A374,[1]timesData!$B:$P,12,FALSE)</f>
        <v>2.1180555555555554</v>
      </c>
      <c r="N373">
        <f>VLOOKUP(A374,[1]timesData!$B:$P,13,FALSE)</f>
        <v>2013</v>
      </c>
      <c r="O373">
        <f>VLOOKUP(A373,[2]cwurData!$B:$P,14,FALSE)</f>
        <v>308</v>
      </c>
      <c r="P373">
        <f>VLOOKUP(A373,[2]cwurData!$B:$N, 3, FALSE)</f>
        <v>8</v>
      </c>
      <c r="Q373">
        <f>VLOOKUP(A373,[2]cwurData!$B:$N, 4, FALSE)</f>
        <v>268</v>
      </c>
      <c r="R373">
        <f>VLOOKUP(A373,[2]cwurData!$B:$N, 5, FALSE)</f>
        <v>465</v>
      </c>
      <c r="S373">
        <f>VLOOKUP(A373,[2]cwurData!$B:$N, 6, FALSE)</f>
        <v>210</v>
      </c>
      <c r="T373">
        <f>VLOOKUP(A373,[2]cwurData!$B:$N, 7, FALSE)</f>
        <v>229</v>
      </c>
      <c r="U373">
        <f>VLOOKUP(A373,[2]cwurData!$B:$N, 8, FALSE)</f>
        <v>368</v>
      </c>
      <c r="V373">
        <f>VLOOKUP(A373,[2]cwurData!$B:$N, 9, FALSE)</f>
        <v>200</v>
      </c>
      <c r="W373">
        <f>VLOOKUP(A373,[2]cwurData!$B:$N, 10, FALSE)</f>
        <v>266</v>
      </c>
      <c r="X373">
        <f>VLOOKUP(A373,[2]cwurData!$B:$N, 11, FALSE)</f>
        <v>426</v>
      </c>
      <c r="Y373">
        <f>VLOOKUP(A373,[2]cwurData!$B:$N, 12, FALSE)</f>
        <v>46.3</v>
      </c>
      <c r="Z373">
        <f>VLOOKUP(A373,[2]cwurData!$B:$N, 13, FALSE)</f>
        <v>2014</v>
      </c>
    </row>
    <row r="374" spans="1:26" x14ac:dyDescent="0.3">
      <c r="A374" t="s">
        <v>424</v>
      </c>
      <c r="B374" t="str">
        <f>IFERROR(VLOOKUP(A374,[1]timesData!$B:$P,2,FALSE),VLOOKUP(A374,[2]cwurData!$B:$P,2,FALSE))</f>
        <v>Austria</v>
      </c>
      <c r="C374" t="str">
        <f>VLOOKUP(A374,[1]timesData!$B:$P,3,FALSE)</f>
        <v>301-350</v>
      </c>
      <c r="D374" t="str">
        <f>VLOOKUP(A375,[1]timesData!$B:$P,3,FALSE)</f>
        <v>301-350</v>
      </c>
      <c r="E374">
        <f>VLOOKUP(A375,[1]timesData!$B:$P,4,FALSE)</f>
        <v>51.4</v>
      </c>
      <c r="F374">
        <f>VLOOKUP(A375,[1]timesData!$B:$P,5,FALSE)</f>
        <v>24.6</v>
      </c>
      <c r="G374">
        <f>VLOOKUP(A375,[1]timesData!$B:$P,6,FALSE)</f>
        <v>31</v>
      </c>
      <c r="H374">
        <f>VLOOKUP(A375,[1]timesData!$B:$P,7,FALSE)</f>
        <v>24.5</v>
      </c>
      <c r="I374" t="str">
        <f>VLOOKUP(A375,[1]timesData!$B:$P,8,FALSE)</f>
        <v>-</v>
      </c>
      <c r="J374">
        <f>VLOOKUP(A375,[1]timesData!$B:$P,9,FALSE)</f>
        <v>51438</v>
      </c>
      <c r="K374">
        <f>VLOOKUP(A375,[1]timesData!$B:$P,10,FALSE)</f>
        <v>13</v>
      </c>
      <c r="L374">
        <f>VLOOKUP(A375,[1]timesData!$B:$P,11,FALSE)</f>
        <v>0.15</v>
      </c>
      <c r="M374">
        <f>VLOOKUP(A375,[1]timesData!$B:$P,12,FALSE)</f>
        <v>2.6097222222222221</v>
      </c>
      <c r="N374">
        <f>VLOOKUP(A375,[1]timesData!$B:$P,13,FALSE)</f>
        <v>2012</v>
      </c>
      <c r="O374">
        <f>VLOOKUP(A374,[2]cwurData!$B:$P,14,FALSE)</f>
        <v>310</v>
      </c>
      <c r="P374">
        <f>VLOOKUP(A374,[2]cwurData!$B:$N, 3, FALSE)</f>
        <v>2</v>
      </c>
      <c r="Q374">
        <f>VLOOKUP(A374,[2]cwurData!$B:$N, 4, FALSE)</f>
        <v>355</v>
      </c>
      <c r="R374">
        <f>VLOOKUP(A374,[2]cwurData!$B:$N, 5, FALSE)</f>
        <v>478</v>
      </c>
      <c r="S374">
        <f>VLOOKUP(A374,[2]cwurData!$B:$N, 6, FALSE)</f>
        <v>210</v>
      </c>
      <c r="T374">
        <f>VLOOKUP(A374,[2]cwurData!$B:$N, 7, FALSE)</f>
        <v>275</v>
      </c>
      <c r="U374">
        <f>VLOOKUP(A374,[2]cwurData!$B:$N, 8, FALSE)</f>
        <v>242</v>
      </c>
      <c r="V374">
        <f>VLOOKUP(A374,[2]cwurData!$B:$N, 9, FALSE)</f>
        <v>283</v>
      </c>
      <c r="W374">
        <f>VLOOKUP(A374,[2]cwurData!$B:$N, 10, FALSE)</f>
        <v>238</v>
      </c>
      <c r="X374">
        <f>VLOOKUP(A374,[2]cwurData!$B:$N, 11, FALSE)</f>
        <v>426</v>
      </c>
      <c r="Y374">
        <f>VLOOKUP(A374,[2]cwurData!$B:$N, 12, FALSE)</f>
        <v>46.29</v>
      </c>
      <c r="Z374">
        <f>VLOOKUP(A374,[2]cwurData!$B:$N, 13, FALSE)</f>
        <v>2014</v>
      </c>
    </row>
    <row r="375" spans="1:26" x14ac:dyDescent="0.3">
      <c r="A375" t="s">
        <v>313</v>
      </c>
      <c r="B375" t="str">
        <f>IFERROR(VLOOKUP(A375,[1]timesData!$B:$P,2,FALSE),VLOOKUP(A375,[2]cwurData!$B:$P,2,FALSE))</f>
        <v>Czech Republic</v>
      </c>
      <c r="C375" t="str">
        <f>VLOOKUP(A375,[1]timesData!$B:$P,3,FALSE)</f>
        <v>301-350</v>
      </c>
      <c r="D375" t="str">
        <f>VLOOKUP(A376,[1]timesData!$B:$P,3,FALSE)</f>
        <v>301-350</v>
      </c>
      <c r="E375">
        <f>VLOOKUP(A376,[1]timesData!$B:$P,4,FALSE)</f>
        <v>68.7</v>
      </c>
      <c r="F375">
        <f>VLOOKUP(A376,[1]timesData!$B:$P,5,FALSE)</f>
        <v>16.399999999999999</v>
      </c>
      <c r="G375">
        <f>VLOOKUP(A376,[1]timesData!$B:$P,6,FALSE)</f>
        <v>38.9</v>
      </c>
      <c r="H375">
        <f>VLOOKUP(A376,[1]timesData!$B:$P,7,FALSE)</f>
        <v>64.8</v>
      </c>
      <c r="I375" t="str">
        <f>VLOOKUP(A376,[1]timesData!$B:$P,8,FALSE)</f>
        <v>-</v>
      </c>
      <c r="J375">
        <f>VLOOKUP(A376,[1]timesData!$B:$P,9,FALSE)</f>
        <v>20951</v>
      </c>
      <c r="K375">
        <f>VLOOKUP(A376,[1]timesData!$B:$P,10,FALSE)</f>
        <v>25.9</v>
      </c>
      <c r="L375">
        <f>VLOOKUP(A376,[1]timesData!$B:$P,11,FALSE)</f>
        <v>0.23</v>
      </c>
      <c r="M375">
        <f>VLOOKUP(A376,[1]timesData!$B:$P,12,FALSE)</f>
        <v>2.2819444444444446</v>
      </c>
      <c r="N375">
        <f>VLOOKUP(A376,[1]timesData!$B:$P,13,FALSE)</f>
        <v>2012</v>
      </c>
      <c r="O375">
        <f>VLOOKUP(A375,[2]cwurData!$B:$P,14,FALSE)</f>
        <v>313</v>
      </c>
      <c r="P375">
        <f>VLOOKUP(A375,[2]cwurData!$B:$N, 3, FALSE)</f>
        <v>1</v>
      </c>
      <c r="Q375">
        <f>VLOOKUP(A375,[2]cwurData!$B:$N, 4, FALSE)</f>
        <v>337</v>
      </c>
      <c r="R375">
        <f>VLOOKUP(A375,[2]cwurData!$B:$N, 5, FALSE)</f>
        <v>478</v>
      </c>
      <c r="S375">
        <f>VLOOKUP(A375,[2]cwurData!$B:$N, 6, FALSE)</f>
        <v>210</v>
      </c>
      <c r="T375">
        <f>VLOOKUP(A375,[2]cwurData!$B:$N, 7, FALSE)</f>
        <v>243</v>
      </c>
      <c r="U375">
        <f>VLOOKUP(A375,[2]cwurData!$B:$N, 8, FALSE)</f>
        <v>231</v>
      </c>
      <c r="V375">
        <f>VLOOKUP(A375,[2]cwurData!$B:$N, 9, FALSE)</f>
        <v>220</v>
      </c>
      <c r="W375">
        <f>VLOOKUP(A375,[2]cwurData!$B:$N, 10, FALSE)</f>
        <v>256</v>
      </c>
      <c r="X375">
        <f>VLOOKUP(A375,[2]cwurData!$B:$N, 11, FALSE)</f>
        <v>637</v>
      </c>
      <c r="Y375">
        <f>VLOOKUP(A375,[2]cwurData!$B:$N, 12, FALSE)</f>
        <v>46.23</v>
      </c>
      <c r="Z375">
        <f>VLOOKUP(A375,[2]cwurData!$B:$N, 13, FALSE)</f>
        <v>2014</v>
      </c>
    </row>
    <row r="376" spans="1:26" x14ac:dyDescent="0.3">
      <c r="A376" t="s">
        <v>336</v>
      </c>
      <c r="B376" t="str">
        <f>IFERROR(VLOOKUP(A376,[1]timesData!$B:$P,2,FALSE),VLOOKUP(A376,[2]cwurData!$B:$P,2,FALSE))</f>
        <v>Belgium</v>
      </c>
      <c r="C376" t="str">
        <f>VLOOKUP(A376,[1]timesData!$B:$P,3,FALSE)</f>
        <v>301-350</v>
      </c>
      <c r="D376" t="str">
        <f>VLOOKUP(A377,[1]timesData!$B:$P,3,FALSE)</f>
        <v>301-350</v>
      </c>
      <c r="E376">
        <f>VLOOKUP(A377,[1]timesData!$B:$P,4,FALSE)</f>
        <v>66.2</v>
      </c>
      <c r="F376">
        <f>VLOOKUP(A377,[1]timesData!$B:$P,5,FALSE)</f>
        <v>16.7</v>
      </c>
      <c r="G376">
        <f>VLOOKUP(A377,[1]timesData!$B:$P,6,FALSE)</f>
        <v>40.200000000000003</v>
      </c>
      <c r="H376">
        <f>VLOOKUP(A377,[1]timesData!$B:$P,7,FALSE)</f>
        <v>28.1</v>
      </c>
      <c r="I376" t="str">
        <f>VLOOKUP(A377,[1]timesData!$B:$P,8,FALSE)</f>
        <v>-</v>
      </c>
      <c r="J376">
        <f>VLOOKUP(A377,[1]timesData!$B:$P,9,FALSE)</f>
        <v>15141</v>
      </c>
      <c r="K376">
        <f>VLOOKUP(A377,[1]timesData!$B:$P,10,FALSE)</f>
        <v>18.7</v>
      </c>
      <c r="L376">
        <f>VLOOKUP(A377,[1]timesData!$B:$P,11,FALSE)</f>
        <v>0.2</v>
      </c>
      <c r="M376">
        <f>VLOOKUP(A377,[1]timesData!$B:$P,12,FALSE)</f>
        <v>2.2000000000000002</v>
      </c>
      <c r="N376">
        <f>VLOOKUP(A377,[1]timesData!$B:$P,13,FALSE)</f>
        <v>2012</v>
      </c>
      <c r="O376">
        <f>VLOOKUP(A376,[2]cwurData!$B:$P,14,FALSE)</f>
        <v>316</v>
      </c>
      <c r="P376">
        <f>VLOOKUP(A376,[2]cwurData!$B:$N, 3, FALSE)</f>
        <v>6</v>
      </c>
      <c r="Q376">
        <f>VLOOKUP(A376,[2]cwurData!$B:$N, 4, FALSE)</f>
        <v>135</v>
      </c>
      <c r="R376">
        <f>VLOOKUP(A376,[2]cwurData!$B:$N, 5, FALSE)</f>
        <v>478</v>
      </c>
      <c r="S376">
        <f>VLOOKUP(A376,[2]cwurData!$B:$N, 6, FALSE)</f>
        <v>136</v>
      </c>
      <c r="T376">
        <f>VLOOKUP(A376,[2]cwurData!$B:$N, 7, FALSE)</f>
        <v>313</v>
      </c>
      <c r="U376">
        <f>VLOOKUP(A376,[2]cwurData!$B:$N, 8, FALSE)</f>
        <v>215</v>
      </c>
      <c r="V376">
        <f>VLOOKUP(A376,[2]cwurData!$B:$N, 9, FALSE)</f>
        <v>310</v>
      </c>
      <c r="W376">
        <f>VLOOKUP(A376,[2]cwurData!$B:$N, 10, FALSE)</f>
        <v>295</v>
      </c>
      <c r="X376">
        <f>VLOOKUP(A376,[2]cwurData!$B:$N, 11, FALSE)</f>
        <v>227</v>
      </c>
      <c r="Y376">
        <f>VLOOKUP(A376,[2]cwurData!$B:$N, 12, FALSE)</f>
        <v>46.21</v>
      </c>
      <c r="Z376">
        <f>VLOOKUP(A376,[2]cwurData!$B:$N, 13, FALSE)</f>
        <v>2014</v>
      </c>
    </row>
    <row r="377" spans="1:26" x14ac:dyDescent="0.3">
      <c r="A377" t="s">
        <v>335</v>
      </c>
      <c r="B377" t="str">
        <f>IFERROR(VLOOKUP(A377,[1]timesData!$B:$P,2,FALSE),VLOOKUP(A377,[2]cwurData!$B:$P,2,FALSE))</f>
        <v>United Kingdom</v>
      </c>
      <c r="C377" t="str">
        <f>VLOOKUP(A377,[1]timesData!$B:$P,3,FALSE)</f>
        <v>301-350</v>
      </c>
      <c r="D377" t="str">
        <f>VLOOKUP(A378,[1]timesData!$B:$P,3,FALSE)</f>
        <v>301-350</v>
      </c>
      <c r="E377">
        <f>VLOOKUP(A378,[1]timesData!$B:$P,4,FALSE)</f>
        <v>19.899999999999999</v>
      </c>
      <c r="F377">
        <f>VLOOKUP(A378,[1]timesData!$B:$P,5,FALSE)</f>
        <v>20.6</v>
      </c>
      <c r="G377">
        <f>VLOOKUP(A378,[1]timesData!$B:$P,6,FALSE)</f>
        <v>58.6</v>
      </c>
      <c r="H377" t="str">
        <f>VLOOKUP(A378,[1]timesData!$B:$P,7,FALSE)</f>
        <v>-</v>
      </c>
      <c r="I377" t="str">
        <f>VLOOKUP(A378,[1]timesData!$B:$P,8,FALSE)</f>
        <v>-</v>
      </c>
      <c r="J377">
        <f>VLOOKUP(A378,[1]timesData!$B:$P,9,FALSE)</f>
        <v>0</v>
      </c>
      <c r="K377">
        <f>VLOOKUP(A378,[1]timesData!$B:$P,10,FALSE)</f>
        <v>0</v>
      </c>
      <c r="L377">
        <f>VLOOKUP(A378,[1]timesData!$B:$P,11,FALSE)</f>
        <v>0</v>
      </c>
      <c r="M377">
        <f>VLOOKUP(A378,[1]timesData!$B:$P,12,FALSE)</f>
        <v>0</v>
      </c>
      <c r="N377">
        <f>VLOOKUP(A378,[1]timesData!$B:$P,13,FALSE)</f>
        <v>2013</v>
      </c>
      <c r="O377">
        <f>VLOOKUP(A377,[2]cwurData!$B:$P,14,FALSE)</f>
        <v>317</v>
      </c>
      <c r="P377">
        <f>VLOOKUP(A377,[2]cwurData!$B:$N, 3, FALSE)</f>
        <v>27</v>
      </c>
      <c r="Q377">
        <f>VLOOKUP(A377,[2]cwurData!$B:$N, 4, FALSE)</f>
        <v>287</v>
      </c>
      <c r="R377">
        <f>VLOOKUP(A377,[2]cwurData!$B:$N, 5, FALSE)</f>
        <v>253</v>
      </c>
      <c r="S377">
        <f>VLOOKUP(A377,[2]cwurData!$B:$N, 6, FALSE)</f>
        <v>158</v>
      </c>
      <c r="T377">
        <f>VLOOKUP(A377,[2]cwurData!$B:$N, 7, FALSE)</f>
        <v>612</v>
      </c>
      <c r="U377">
        <f>VLOOKUP(A377,[2]cwurData!$B:$N, 8, FALSE)</f>
        <v>554</v>
      </c>
      <c r="V377">
        <f>VLOOKUP(A377,[2]cwurData!$B:$N, 9, FALSE)</f>
        <v>493</v>
      </c>
      <c r="W377">
        <f>VLOOKUP(A377,[2]cwurData!$B:$N, 10, FALSE)</f>
        <v>256</v>
      </c>
      <c r="X377">
        <f>VLOOKUP(A377,[2]cwurData!$B:$N, 11, FALSE)</f>
        <v>552</v>
      </c>
      <c r="Y377">
        <f>VLOOKUP(A377,[2]cwurData!$B:$N, 12, FALSE)</f>
        <v>46.21</v>
      </c>
      <c r="Z377">
        <f>VLOOKUP(A377,[2]cwurData!$B:$N, 13, FALSE)</f>
        <v>2014</v>
      </c>
    </row>
    <row r="378" spans="1:26" x14ac:dyDescent="0.3">
      <c r="A378" t="s">
        <v>432</v>
      </c>
      <c r="B378" t="str">
        <f>IFERROR(VLOOKUP(A378,[1]timesData!$B:$P,2,FALSE),VLOOKUP(A378,[2]cwurData!$B:$P,2,FALSE))</f>
        <v>United States of America</v>
      </c>
      <c r="C378" t="str">
        <f>VLOOKUP(A378,[1]timesData!$B:$P,3,FALSE)</f>
        <v>301-350</v>
      </c>
      <c r="D378" t="str">
        <f>VLOOKUP(A379,[1]timesData!$B:$P,3,FALSE)</f>
        <v>301-350</v>
      </c>
      <c r="E378">
        <f>VLOOKUP(A379,[1]timesData!$B:$P,4,FALSE)</f>
        <v>36.200000000000003</v>
      </c>
      <c r="F378">
        <f>VLOOKUP(A379,[1]timesData!$B:$P,5,FALSE)</f>
        <v>42</v>
      </c>
      <c r="G378">
        <f>VLOOKUP(A379,[1]timesData!$B:$P,6,FALSE)</f>
        <v>43.7</v>
      </c>
      <c r="H378">
        <f>VLOOKUP(A379,[1]timesData!$B:$P,7,FALSE)</f>
        <v>45.2</v>
      </c>
      <c r="I378" t="str">
        <f>VLOOKUP(A379,[1]timesData!$B:$P,8,FALSE)</f>
        <v>-</v>
      </c>
      <c r="J378">
        <f>VLOOKUP(A379,[1]timesData!$B:$P,9,FALSE)</f>
        <v>1394</v>
      </c>
      <c r="K378">
        <f>VLOOKUP(A379,[1]timesData!$B:$P,10,FALSE)</f>
        <v>9.6</v>
      </c>
      <c r="L378">
        <f>VLOOKUP(A379,[1]timesData!$B:$P,11,FALSE)</f>
        <v>0.08</v>
      </c>
      <c r="M378" t="str">
        <f>VLOOKUP(A379,[1]timesData!$B:$P,12,FALSE)</f>
        <v>25 : 75</v>
      </c>
      <c r="N378">
        <f>VLOOKUP(A379,[1]timesData!$B:$P,13,FALSE)</f>
        <v>2016</v>
      </c>
      <c r="O378">
        <f>VLOOKUP(A378,[2]cwurData!$B:$P,14,FALSE)</f>
        <v>320</v>
      </c>
      <c r="P378">
        <f>VLOOKUP(A378,[2]cwurData!$B:$N, 3, FALSE)</f>
        <v>121</v>
      </c>
      <c r="Q378">
        <f>VLOOKUP(A378,[2]cwurData!$B:$N, 4, FALSE)</f>
        <v>178</v>
      </c>
      <c r="R378">
        <f>VLOOKUP(A378,[2]cwurData!$B:$N, 5, FALSE)</f>
        <v>215</v>
      </c>
      <c r="S378">
        <f>VLOOKUP(A378,[2]cwurData!$B:$N, 6, FALSE)</f>
        <v>210</v>
      </c>
      <c r="T378">
        <f>VLOOKUP(A378,[2]cwurData!$B:$N, 7, FALSE)</f>
        <v>364</v>
      </c>
      <c r="U378">
        <f>VLOOKUP(A378,[2]cwurData!$B:$N, 8, FALSE)</f>
        <v>300</v>
      </c>
      <c r="V378">
        <f>VLOOKUP(A378,[2]cwurData!$B:$N, 9, FALSE)</f>
        <v>406</v>
      </c>
      <c r="W378">
        <f>VLOOKUP(A378,[2]cwurData!$B:$N, 10, FALSE)</f>
        <v>277</v>
      </c>
      <c r="X378">
        <f>VLOOKUP(A378,[2]cwurData!$B:$N, 11, FALSE)</f>
        <v>373</v>
      </c>
      <c r="Y378">
        <f>VLOOKUP(A378,[2]cwurData!$B:$N, 12, FALSE)</f>
        <v>46.2</v>
      </c>
      <c r="Z378">
        <f>VLOOKUP(A378,[2]cwurData!$B:$N, 13, FALSE)</f>
        <v>2014</v>
      </c>
    </row>
    <row r="379" spans="1:26" x14ac:dyDescent="0.3">
      <c r="A379" t="s">
        <v>501</v>
      </c>
      <c r="B379" t="str">
        <f>IFERROR(VLOOKUP(A379,[1]timesData!$B:$P,2,FALSE),VLOOKUP(A379,[2]cwurData!$B:$P,2,FALSE))</f>
        <v>South Korea</v>
      </c>
      <c r="C379" t="str">
        <f>VLOOKUP(A379,[1]timesData!$B:$P,3,FALSE)</f>
        <v>301-350</v>
      </c>
      <c r="D379" t="str">
        <f>VLOOKUP(A380,[1]timesData!$B:$P,3,FALSE)</f>
        <v>301-350</v>
      </c>
      <c r="E379">
        <f>VLOOKUP(A380,[1]timesData!$B:$P,4,FALSE)</f>
        <v>34.4</v>
      </c>
      <c r="F379">
        <f>VLOOKUP(A380,[1]timesData!$B:$P,5,FALSE)</f>
        <v>18.3</v>
      </c>
      <c r="G379">
        <f>VLOOKUP(A380,[1]timesData!$B:$P,6,FALSE)</f>
        <v>56.3</v>
      </c>
      <c r="H379">
        <f>VLOOKUP(A380,[1]timesData!$B:$P,7,FALSE)</f>
        <v>60.6</v>
      </c>
      <c r="I379" t="str">
        <f>VLOOKUP(A380,[1]timesData!$B:$P,8,FALSE)</f>
        <v>-</v>
      </c>
      <c r="J379">
        <f>VLOOKUP(A380,[1]timesData!$B:$P,9,FALSE)</f>
        <v>22958</v>
      </c>
      <c r="K379">
        <f>VLOOKUP(A380,[1]timesData!$B:$P,10,FALSE)</f>
        <v>40.6</v>
      </c>
      <c r="L379">
        <f>VLOOKUP(A380,[1]timesData!$B:$P,11,FALSE)</f>
        <v>0.06</v>
      </c>
      <c r="M379">
        <f>VLOOKUP(A380,[1]timesData!$B:$P,12,FALSE)</f>
        <v>2.3638888888888889</v>
      </c>
      <c r="N379">
        <f>VLOOKUP(A380,[1]timesData!$B:$P,13,FALSE)</f>
        <v>2013</v>
      </c>
      <c r="O379">
        <f>VLOOKUP(A379,[2]cwurData!$B:$P,14,FALSE)</f>
        <v>334</v>
      </c>
      <c r="P379">
        <f>VLOOKUP(A379,[2]cwurData!$B:$N, 3, FALSE)</f>
        <v>9</v>
      </c>
      <c r="Q379">
        <f>VLOOKUP(A379,[2]cwurData!$B:$N, 4, FALSE)</f>
        <v>355</v>
      </c>
      <c r="R379">
        <f>VLOOKUP(A379,[2]cwurData!$B:$N, 5, FALSE)</f>
        <v>478</v>
      </c>
      <c r="S379">
        <f>VLOOKUP(A379,[2]cwurData!$B:$N, 6, FALSE)</f>
        <v>210</v>
      </c>
      <c r="T379">
        <f>VLOOKUP(A379,[2]cwurData!$B:$N, 7, FALSE)</f>
        <v>528</v>
      </c>
      <c r="U379">
        <f>VLOOKUP(A379,[2]cwurData!$B:$N, 8, FALSE)</f>
        <v>565</v>
      </c>
      <c r="V379">
        <f>VLOOKUP(A379,[2]cwurData!$B:$N, 9, FALSE)</f>
        <v>406</v>
      </c>
      <c r="W379">
        <f>VLOOKUP(A379,[2]cwurData!$B:$N, 10, FALSE)</f>
        <v>543</v>
      </c>
      <c r="X379">
        <f>VLOOKUP(A379,[2]cwurData!$B:$N, 11, FALSE)</f>
        <v>57</v>
      </c>
      <c r="Y379">
        <f>VLOOKUP(A379,[2]cwurData!$B:$N, 12, FALSE)</f>
        <v>46.02</v>
      </c>
      <c r="Z379">
        <f>VLOOKUP(A379,[2]cwurData!$B:$N, 13, FALSE)</f>
        <v>2014</v>
      </c>
    </row>
    <row r="380" spans="1:26" x14ac:dyDescent="0.3">
      <c r="A380" t="s">
        <v>430</v>
      </c>
      <c r="B380" t="str">
        <f>IFERROR(VLOOKUP(A380,[1]timesData!$B:$P,2,FALSE),VLOOKUP(A380,[2]cwurData!$B:$P,2,FALSE))</f>
        <v>Italy</v>
      </c>
      <c r="C380" t="str">
        <f>VLOOKUP(A380,[1]timesData!$B:$P,3,FALSE)</f>
        <v>301-350</v>
      </c>
      <c r="D380" t="str">
        <f>VLOOKUP(A381,[1]timesData!$B:$P,3,FALSE)</f>
        <v>301-350</v>
      </c>
      <c r="E380">
        <f>VLOOKUP(A381,[1]timesData!$B:$P,4,FALSE)</f>
        <v>34.799999999999997</v>
      </c>
      <c r="F380">
        <f>VLOOKUP(A381,[1]timesData!$B:$P,5,FALSE)</f>
        <v>16.5</v>
      </c>
      <c r="G380">
        <f>VLOOKUP(A381,[1]timesData!$B:$P,6,FALSE)</f>
        <v>51.5</v>
      </c>
      <c r="H380">
        <f>VLOOKUP(A381,[1]timesData!$B:$P,7,FALSE)</f>
        <v>34.5</v>
      </c>
      <c r="I380" t="str">
        <f>VLOOKUP(A381,[1]timesData!$B:$P,8,FALSE)</f>
        <v>-</v>
      </c>
      <c r="J380">
        <f>VLOOKUP(A381,[1]timesData!$B:$P,9,FALSE)</f>
        <v>2857</v>
      </c>
      <c r="K380">
        <f>VLOOKUP(A381,[1]timesData!$B:$P,10,FALSE)</f>
        <v>2.6</v>
      </c>
      <c r="L380">
        <f>VLOOKUP(A381,[1]timesData!$B:$P,11,FALSE)</f>
        <v>0.08</v>
      </c>
      <c r="M380">
        <f>VLOOKUP(A381,[1]timesData!$B:$P,12,FALSE)</f>
        <v>2.8145833333333332</v>
      </c>
      <c r="N380">
        <f>VLOOKUP(A381,[1]timesData!$B:$P,13,FALSE)</f>
        <v>2015</v>
      </c>
      <c r="O380">
        <f>VLOOKUP(A380,[2]cwurData!$B:$P,14,FALSE)</f>
        <v>344</v>
      </c>
      <c r="P380">
        <f>VLOOKUP(A380,[2]cwurData!$B:$N, 3, FALSE)</f>
        <v>12</v>
      </c>
      <c r="Q380">
        <f>VLOOKUP(A380,[2]cwurData!$B:$N, 4, FALSE)</f>
        <v>276</v>
      </c>
      <c r="R380">
        <f>VLOOKUP(A380,[2]cwurData!$B:$N, 5, FALSE)</f>
        <v>385</v>
      </c>
      <c r="S380">
        <f>VLOOKUP(A380,[2]cwurData!$B:$N, 6, FALSE)</f>
        <v>206</v>
      </c>
      <c r="T380">
        <f>VLOOKUP(A380,[2]cwurData!$B:$N, 7, FALSE)</f>
        <v>329</v>
      </c>
      <c r="U380">
        <f>VLOOKUP(A380,[2]cwurData!$B:$N, 8, FALSE)</f>
        <v>359</v>
      </c>
      <c r="V380">
        <f>VLOOKUP(A380,[2]cwurData!$B:$N, 9, FALSE)</f>
        <v>283</v>
      </c>
      <c r="W380">
        <f>VLOOKUP(A380,[2]cwurData!$B:$N, 10, FALSE)</f>
        <v>288</v>
      </c>
      <c r="X380">
        <f>VLOOKUP(A380,[2]cwurData!$B:$N, 11, FALSE)</f>
        <v>637</v>
      </c>
      <c r="Y380">
        <f>VLOOKUP(A380,[2]cwurData!$B:$N, 12, FALSE)</f>
        <v>45.92</v>
      </c>
      <c r="Z380">
        <f>VLOOKUP(A380,[2]cwurData!$B:$N, 13, FALSE)</f>
        <v>2014</v>
      </c>
    </row>
    <row r="381" spans="1:26" x14ac:dyDescent="0.3">
      <c r="A381" t="s">
        <v>473</v>
      </c>
      <c r="B381" t="str">
        <f>IFERROR(VLOOKUP(A381,[1]timesData!$B:$P,2,FALSE),VLOOKUP(A381,[2]cwurData!$B:$P,2,FALSE))</f>
        <v>United States of America</v>
      </c>
      <c r="C381" t="str">
        <f>VLOOKUP(A381,[1]timesData!$B:$P,3,FALSE)</f>
        <v>301-350</v>
      </c>
      <c r="D381" t="str">
        <f>VLOOKUP(A382,[1]timesData!$B:$P,3,FALSE)</f>
        <v>301-350</v>
      </c>
      <c r="E381">
        <f>VLOOKUP(A382,[1]timesData!$B:$P,4,FALSE)</f>
        <v>33.5</v>
      </c>
      <c r="F381">
        <f>VLOOKUP(A382,[1]timesData!$B:$P,5,FALSE)</f>
        <v>16.100000000000001</v>
      </c>
      <c r="G381">
        <f>VLOOKUP(A382,[1]timesData!$B:$P,6,FALSE)</f>
        <v>51.1</v>
      </c>
      <c r="H381">
        <f>VLOOKUP(A382,[1]timesData!$B:$P,7,FALSE)</f>
        <v>30.2</v>
      </c>
      <c r="I381" t="str">
        <f>VLOOKUP(A382,[1]timesData!$B:$P,8,FALSE)</f>
        <v>-</v>
      </c>
      <c r="J381">
        <f>VLOOKUP(A382,[1]timesData!$B:$P,9,FALSE)</f>
        <v>10798</v>
      </c>
      <c r="K381">
        <f>VLOOKUP(A382,[1]timesData!$B:$P,10,FALSE)</f>
        <v>17.3</v>
      </c>
      <c r="L381">
        <f>VLOOKUP(A382,[1]timesData!$B:$P,11,FALSE)</f>
        <v>0.06</v>
      </c>
      <c r="M381">
        <f>VLOOKUP(A382,[1]timesData!$B:$P,12,FALSE)</f>
        <v>2.6916666666666669</v>
      </c>
      <c r="N381">
        <f>VLOOKUP(A382,[1]timesData!$B:$P,13,FALSE)</f>
        <v>2012</v>
      </c>
      <c r="O381">
        <f>VLOOKUP(A381,[2]cwurData!$B:$P,14,FALSE)</f>
        <v>351</v>
      </c>
      <c r="P381">
        <f>VLOOKUP(A381,[2]cwurData!$B:$N, 3, FALSE)</f>
        <v>128</v>
      </c>
      <c r="Q381">
        <f>VLOOKUP(A381,[2]cwurData!$B:$N, 4, FALSE)</f>
        <v>355</v>
      </c>
      <c r="R381">
        <f>VLOOKUP(A381,[2]cwurData!$B:$N, 5, FALSE)</f>
        <v>478</v>
      </c>
      <c r="S381">
        <f>VLOOKUP(A381,[2]cwurData!$B:$N, 6, FALSE)</f>
        <v>210</v>
      </c>
      <c r="T381">
        <f>VLOOKUP(A381,[2]cwurData!$B:$N, 7, FALSE)</f>
        <v>469</v>
      </c>
      <c r="U381">
        <f>VLOOKUP(A381,[2]cwurData!$B:$N, 8, FALSE)</f>
        <v>395</v>
      </c>
      <c r="V381">
        <f>VLOOKUP(A381,[2]cwurData!$B:$N, 9, FALSE)</f>
        <v>363</v>
      </c>
      <c r="W381">
        <f>VLOOKUP(A381,[2]cwurData!$B:$N, 10, FALSE)</f>
        <v>339</v>
      </c>
      <c r="X381">
        <f>VLOOKUP(A381,[2]cwurData!$B:$N, 11, FALSE)</f>
        <v>128</v>
      </c>
      <c r="Y381">
        <f>VLOOKUP(A381,[2]cwurData!$B:$N, 12, FALSE)</f>
        <v>45.83</v>
      </c>
      <c r="Z381">
        <f>VLOOKUP(A381,[2]cwurData!$B:$N, 13, FALSE)</f>
        <v>2014</v>
      </c>
    </row>
    <row r="382" spans="1:26" x14ac:dyDescent="0.3">
      <c r="A382" t="s">
        <v>331</v>
      </c>
      <c r="B382" t="str">
        <f>IFERROR(VLOOKUP(A382,[1]timesData!$B:$P,2,FALSE),VLOOKUP(A382,[2]cwurData!$B:$P,2,FALSE))</f>
        <v>Finland</v>
      </c>
      <c r="C382" t="str">
        <f>VLOOKUP(A382,[1]timesData!$B:$P,3,FALSE)</f>
        <v>301-350</v>
      </c>
      <c r="D382" t="str">
        <f>VLOOKUP(A383,[1]timesData!$B:$P,3,FALSE)</f>
        <v>301-350</v>
      </c>
      <c r="E382">
        <f>VLOOKUP(A383,[1]timesData!$B:$P,4,FALSE)</f>
        <v>37.1</v>
      </c>
      <c r="F382">
        <f>VLOOKUP(A383,[1]timesData!$B:$P,5,FALSE)</f>
        <v>14.1</v>
      </c>
      <c r="G382">
        <f>VLOOKUP(A383,[1]timesData!$B:$P,6,FALSE)</f>
        <v>59.3</v>
      </c>
      <c r="H382">
        <f>VLOOKUP(A383,[1]timesData!$B:$P,7,FALSE)</f>
        <v>34.299999999999997</v>
      </c>
      <c r="I382" t="str">
        <f>VLOOKUP(A383,[1]timesData!$B:$P,8,FALSE)</f>
        <v>-</v>
      </c>
      <c r="J382">
        <f>VLOOKUP(A383,[1]timesData!$B:$P,9,FALSE)</f>
        <v>18882</v>
      </c>
      <c r="K382">
        <f>VLOOKUP(A383,[1]timesData!$B:$P,10,FALSE)</f>
        <v>30.2</v>
      </c>
      <c r="L382">
        <f>VLOOKUP(A383,[1]timesData!$B:$P,11,FALSE)</f>
        <v>7.0000000000000007E-2</v>
      </c>
      <c r="M382">
        <f>VLOOKUP(A383,[1]timesData!$B:$P,12,FALSE)</f>
        <v>2.3638888888888889</v>
      </c>
      <c r="N382">
        <f>VLOOKUP(A383,[1]timesData!$B:$P,13,FALSE)</f>
        <v>2012</v>
      </c>
      <c r="O382">
        <f>VLOOKUP(A382,[2]cwurData!$B:$P,14,FALSE)</f>
        <v>373</v>
      </c>
      <c r="P382">
        <f>VLOOKUP(A382,[2]cwurData!$B:$N, 3, FALSE)</f>
        <v>2</v>
      </c>
      <c r="Q382">
        <f>VLOOKUP(A382,[2]cwurData!$B:$N, 4, FALSE)</f>
        <v>355</v>
      </c>
      <c r="R382">
        <f>VLOOKUP(A382,[2]cwurData!$B:$N, 5, FALSE)</f>
        <v>478</v>
      </c>
      <c r="S382">
        <f>VLOOKUP(A382,[2]cwurData!$B:$N, 6, FALSE)</f>
        <v>210</v>
      </c>
      <c r="T382">
        <f>VLOOKUP(A382,[2]cwurData!$B:$N, 7, FALSE)</f>
        <v>377</v>
      </c>
      <c r="U382">
        <f>VLOOKUP(A382,[2]cwurData!$B:$N, 8, FALSE)</f>
        <v>410</v>
      </c>
      <c r="V382">
        <f>VLOOKUP(A382,[2]cwurData!$B:$N, 9, FALSE)</f>
        <v>310</v>
      </c>
      <c r="W382">
        <f>VLOOKUP(A382,[2]cwurData!$B:$N, 10, FALSE)</f>
        <v>295</v>
      </c>
      <c r="X382">
        <f>VLOOKUP(A382,[2]cwurData!$B:$N, 11, FALSE)</f>
        <v>737</v>
      </c>
      <c r="Y382">
        <f>VLOOKUP(A382,[2]cwurData!$B:$N, 12, FALSE)</f>
        <v>45.69</v>
      </c>
      <c r="Z382">
        <f>VLOOKUP(A382,[2]cwurData!$B:$N, 13, FALSE)</f>
        <v>2014</v>
      </c>
    </row>
    <row r="383" spans="1:26" x14ac:dyDescent="0.3">
      <c r="A383" t="s">
        <v>332</v>
      </c>
      <c r="B383" t="str">
        <f>IFERROR(VLOOKUP(A383,[1]timesData!$B:$P,2,FALSE),VLOOKUP(A383,[2]cwurData!$B:$P,2,FALSE))</f>
        <v>Italy</v>
      </c>
      <c r="C383" t="str">
        <f>VLOOKUP(A383,[1]timesData!$B:$P,3,FALSE)</f>
        <v>301-350</v>
      </c>
      <c r="D383" t="str">
        <f>VLOOKUP(A384,[1]timesData!$B:$P,3,FALSE)</f>
        <v>301-350</v>
      </c>
      <c r="E383">
        <f>VLOOKUP(A384,[1]timesData!$B:$P,4,FALSE)</f>
        <v>33.6</v>
      </c>
      <c r="F383">
        <f>VLOOKUP(A384,[1]timesData!$B:$P,5,FALSE)</f>
        <v>17.600000000000001</v>
      </c>
      <c r="G383">
        <f>VLOOKUP(A384,[1]timesData!$B:$P,6,FALSE)</f>
        <v>33.9</v>
      </c>
      <c r="H383">
        <f>VLOOKUP(A384,[1]timesData!$B:$P,7,FALSE)</f>
        <v>69.8</v>
      </c>
      <c r="I383" t="str">
        <f>VLOOKUP(A384,[1]timesData!$B:$P,8,FALSE)</f>
        <v>-</v>
      </c>
      <c r="J383">
        <f>VLOOKUP(A384,[1]timesData!$B:$P,9,FALSE)</f>
        <v>30025</v>
      </c>
      <c r="K383">
        <f>VLOOKUP(A384,[1]timesData!$B:$P,10,FALSE)</f>
        <v>22.2</v>
      </c>
      <c r="L383">
        <f>VLOOKUP(A384,[1]timesData!$B:$P,11,FALSE)</f>
        <v>0.12</v>
      </c>
      <c r="M383" t="str">
        <f>VLOOKUP(A384,[1]timesData!$B:$P,12,FALSE)</f>
        <v>34 : 66</v>
      </c>
      <c r="N383">
        <f>VLOOKUP(A384,[1]timesData!$B:$P,13,FALSE)</f>
        <v>2012</v>
      </c>
      <c r="O383">
        <f>VLOOKUP(A383,[2]cwurData!$B:$P,14,FALSE)</f>
        <v>387</v>
      </c>
      <c r="P383">
        <f>VLOOKUP(A383,[2]cwurData!$B:$N, 3, FALSE)</f>
        <v>17</v>
      </c>
      <c r="Q383">
        <f>VLOOKUP(A383,[2]cwurData!$B:$N, 4, FALSE)</f>
        <v>355</v>
      </c>
      <c r="R383">
        <f>VLOOKUP(A383,[2]cwurData!$B:$N, 5, FALSE)</f>
        <v>478</v>
      </c>
      <c r="S383">
        <f>VLOOKUP(A383,[2]cwurData!$B:$N, 6, FALSE)</f>
        <v>210</v>
      </c>
      <c r="T383">
        <f>VLOOKUP(A383,[2]cwurData!$B:$N, 7, FALSE)</f>
        <v>399</v>
      </c>
      <c r="U383">
        <f>VLOOKUP(A383,[2]cwurData!$B:$N, 8, FALSE)</f>
        <v>393</v>
      </c>
      <c r="V383">
        <f>VLOOKUP(A383,[2]cwurData!$B:$N, 9, FALSE)</f>
        <v>310</v>
      </c>
      <c r="W383">
        <f>VLOOKUP(A383,[2]cwurData!$B:$N, 10, FALSE)</f>
        <v>313</v>
      </c>
      <c r="X383">
        <f>VLOOKUP(A383,[2]cwurData!$B:$N, 11, FALSE)</f>
        <v>552</v>
      </c>
      <c r="Y383">
        <f>VLOOKUP(A383,[2]cwurData!$B:$N, 12, FALSE)</f>
        <v>45.6</v>
      </c>
      <c r="Z383">
        <f>VLOOKUP(A383,[2]cwurData!$B:$N, 13, FALSE)</f>
        <v>2014</v>
      </c>
    </row>
    <row r="384" spans="1:26" x14ac:dyDescent="0.3">
      <c r="A384" t="s">
        <v>323</v>
      </c>
      <c r="B384" t="str">
        <f>IFERROR(VLOOKUP(A384,[1]timesData!$B:$P,2,FALSE),VLOOKUP(A384,[2]cwurData!$B:$P,2,FALSE))</f>
        <v>Italy</v>
      </c>
      <c r="C384" t="str">
        <f>VLOOKUP(A384,[1]timesData!$B:$P,3,FALSE)</f>
        <v>301-350</v>
      </c>
      <c r="D384" t="str">
        <f>VLOOKUP(A385,[1]timesData!$B:$P,3,FALSE)</f>
        <v>301-350</v>
      </c>
      <c r="E384">
        <f>VLOOKUP(A385,[1]timesData!$B:$P,4,FALSE)</f>
        <v>49</v>
      </c>
      <c r="F384">
        <f>VLOOKUP(A385,[1]timesData!$B:$P,5,FALSE)</f>
        <v>22.2</v>
      </c>
      <c r="G384">
        <f>VLOOKUP(A385,[1]timesData!$B:$P,6,FALSE)</f>
        <v>37.5</v>
      </c>
      <c r="H384">
        <f>VLOOKUP(A385,[1]timesData!$B:$P,7,FALSE)</f>
        <v>61.9</v>
      </c>
      <c r="I384" t="str">
        <f>VLOOKUP(A385,[1]timesData!$B:$P,8,FALSE)</f>
        <v>-</v>
      </c>
      <c r="J384">
        <f>VLOOKUP(A385,[1]timesData!$B:$P,9,FALSE)</f>
        <v>16099</v>
      </c>
      <c r="K384">
        <f>VLOOKUP(A385,[1]timesData!$B:$P,10,FALSE)</f>
        <v>24.2</v>
      </c>
      <c r="L384">
        <f>VLOOKUP(A385,[1]timesData!$B:$P,11,FALSE)</f>
        <v>0.17</v>
      </c>
      <c r="M384" t="str">
        <f>VLOOKUP(A385,[1]timesData!$B:$P,12,FALSE)</f>
        <v>32 : 68</v>
      </c>
      <c r="N384">
        <f>VLOOKUP(A385,[1]timesData!$B:$P,13,FALSE)</f>
        <v>2012</v>
      </c>
      <c r="O384">
        <f>VLOOKUP(A384,[2]cwurData!$B:$P,14,FALSE)</f>
        <v>389</v>
      </c>
      <c r="P384">
        <f>VLOOKUP(A384,[2]cwurData!$B:$N, 3, FALSE)</f>
        <v>19</v>
      </c>
      <c r="Q384">
        <f>VLOOKUP(A384,[2]cwurData!$B:$N, 4, FALSE)</f>
        <v>101</v>
      </c>
      <c r="R384">
        <f>VLOOKUP(A384,[2]cwurData!$B:$N, 5, FALSE)</f>
        <v>203</v>
      </c>
      <c r="S384">
        <f>VLOOKUP(A384,[2]cwurData!$B:$N, 6, FALSE)</f>
        <v>186</v>
      </c>
      <c r="T384">
        <f>VLOOKUP(A384,[2]cwurData!$B:$N, 7, FALSE)</f>
        <v>360</v>
      </c>
      <c r="U384">
        <f>VLOOKUP(A384,[2]cwurData!$B:$N, 8, FALSE)</f>
        <v>532</v>
      </c>
      <c r="V384">
        <f>VLOOKUP(A384,[2]cwurData!$B:$N, 9, FALSE)</f>
        <v>609</v>
      </c>
      <c r="W384">
        <f>VLOOKUP(A384,[2]cwurData!$B:$N, 10, FALSE)</f>
        <v>504</v>
      </c>
      <c r="X384">
        <f>VLOOKUP(A384,[2]cwurData!$B:$N, 11, FALSE)</f>
        <v>280</v>
      </c>
      <c r="Y384">
        <f>VLOOKUP(A384,[2]cwurData!$B:$N, 12, FALSE)</f>
        <v>45.59</v>
      </c>
      <c r="Z384">
        <f>VLOOKUP(A384,[2]cwurData!$B:$N, 13, FALSE)</f>
        <v>2014</v>
      </c>
    </row>
    <row r="385" spans="1:26" x14ac:dyDescent="0.3">
      <c r="A385" t="s">
        <v>308</v>
      </c>
      <c r="B385" t="str">
        <f>IFERROR(VLOOKUP(A385,[1]timesData!$B:$P,2,FALSE),VLOOKUP(A385,[2]cwurData!$B:$P,2,FALSE))</f>
        <v>Finland</v>
      </c>
      <c r="C385" t="str">
        <f>VLOOKUP(A385,[1]timesData!$B:$P,3,FALSE)</f>
        <v>301-350</v>
      </c>
      <c r="D385" t="str">
        <f>VLOOKUP(A386,[1]timesData!$B:$P,3,FALSE)</f>
        <v>301-350</v>
      </c>
      <c r="E385">
        <f>VLOOKUP(A386,[1]timesData!$B:$P,4,FALSE)</f>
        <v>35.799999999999997</v>
      </c>
      <c r="F385">
        <f>VLOOKUP(A386,[1]timesData!$B:$P,5,FALSE)</f>
        <v>15.7</v>
      </c>
      <c r="G385">
        <f>VLOOKUP(A386,[1]timesData!$B:$P,6,FALSE)</f>
        <v>44.3</v>
      </c>
      <c r="H385" t="str">
        <f>VLOOKUP(A386,[1]timesData!$B:$P,7,FALSE)</f>
        <v>-</v>
      </c>
      <c r="I385" t="str">
        <f>VLOOKUP(A386,[1]timesData!$B:$P,8,FALSE)</f>
        <v>-</v>
      </c>
      <c r="J385">
        <f>VLOOKUP(A386,[1]timesData!$B:$P,9,FALSE)</f>
        <v>49292</v>
      </c>
      <c r="K385">
        <f>VLOOKUP(A386,[1]timesData!$B:$P,10,FALSE)</f>
        <v>14.1</v>
      </c>
      <c r="L385">
        <f>VLOOKUP(A386,[1]timesData!$B:$P,11,FALSE)</f>
        <v>7.0000000000000007E-2</v>
      </c>
      <c r="M385">
        <f>VLOOKUP(A386,[1]timesData!$B:$P,12,FALSE)</f>
        <v>2.8145833333333332</v>
      </c>
      <c r="N385">
        <f>VLOOKUP(A386,[1]timesData!$B:$P,13,FALSE)</f>
        <v>2012</v>
      </c>
      <c r="O385">
        <f>VLOOKUP(A385,[2]cwurData!$B:$P,14,FALSE)</f>
        <v>392</v>
      </c>
      <c r="P385">
        <f>VLOOKUP(A385,[2]cwurData!$B:$N, 3, FALSE)</f>
        <v>4</v>
      </c>
      <c r="Q385">
        <f>VLOOKUP(A385,[2]cwurData!$B:$N, 4, FALSE)</f>
        <v>355</v>
      </c>
      <c r="R385">
        <f>VLOOKUP(A385,[2]cwurData!$B:$N, 5, FALSE)</f>
        <v>251</v>
      </c>
      <c r="S385">
        <f>VLOOKUP(A385,[2]cwurData!$B:$N, 6, FALSE)</f>
        <v>210</v>
      </c>
      <c r="T385">
        <f>VLOOKUP(A385,[2]cwurData!$B:$N, 7, FALSE)</f>
        <v>344</v>
      </c>
      <c r="U385">
        <f>VLOOKUP(A385,[2]cwurData!$B:$N, 8, FALSE)</f>
        <v>434</v>
      </c>
      <c r="V385">
        <f>VLOOKUP(A385,[2]cwurData!$B:$N, 9, FALSE)</f>
        <v>609</v>
      </c>
      <c r="W385">
        <f>VLOOKUP(A385,[2]cwurData!$B:$N, 10, FALSE)</f>
        <v>460</v>
      </c>
      <c r="X385">
        <f>VLOOKUP(A385,[2]cwurData!$B:$N, 11, FALSE)</f>
        <v>138</v>
      </c>
      <c r="Y385">
        <f>VLOOKUP(A385,[2]cwurData!$B:$N, 12, FALSE)</f>
        <v>45.58</v>
      </c>
      <c r="Z385">
        <f>VLOOKUP(A385,[2]cwurData!$B:$N, 13, FALSE)</f>
        <v>2014</v>
      </c>
    </row>
    <row r="386" spans="1:26" x14ac:dyDescent="0.3">
      <c r="A386" t="s">
        <v>350</v>
      </c>
      <c r="B386" t="str">
        <f>IFERROR(VLOOKUP(A386,[1]timesData!$B:$P,2,FALSE),VLOOKUP(A386,[2]cwurData!$B:$P,2,FALSE))</f>
        <v>Poland</v>
      </c>
      <c r="C386" t="str">
        <f>VLOOKUP(A386,[1]timesData!$B:$P,3,FALSE)</f>
        <v>301-350</v>
      </c>
      <c r="D386" t="str">
        <f>VLOOKUP(A387,[1]timesData!$B:$P,3,FALSE)</f>
        <v>301-350</v>
      </c>
      <c r="E386">
        <f>VLOOKUP(A387,[1]timesData!$B:$P,4,FALSE)</f>
        <v>82.5</v>
      </c>
      <c r="F386">
        <f>VLOOKUP(A387,[1]timesData!$B:$P,5,FALSE)</f>
        <v>14.1</v>
      </c>
      <c r="G386">
        <f>VLOOKUP(A387,[1]timesData!$B:$P,6,FALSE)</f>
        <v>24.3</v>
      </c>
      <c r="H386">
        <f>VLOOKUP(A387,[1]timesData!$B:$P,7,FALSE)</f>
        <v>35.200000000000003</v>
      </c>
      <c r="I386" t="str">
        <f>VLOOKUP(A387,[1]timesData!$B:$P,8,FALSE)</f>
        <v>-</v>
      </c>
      <c r="J386">
        <f>VLOOKUP(A387,[1]timesData!$B:$P,9,FALSE)</f>
        <v>26419</v>
      </c>
      <c r="K386">
        <f>VLOOKUP(A387,[1]timesData!$B:$P,10,FALSE)</f>
        <v>52</v>
      </c>
      <c r="L386">
        <f>VLOOKUP(A387,[1]timesData!$B:$P,11,FALSE)</f>
        <v>0.27</v>
      </c>
      <c r="M386" t="str">
        <f>VLOOKUP(A387,[1]timesData!$B:$P,12,FALSE)</f>
        <v>27 : 73</v>
      </c>
      <c r="N386">
        <f>VLOOKUP(A387,[1]timesData!$B:$P,13,FALSE)</f>
        <v>2012</v>
      </c>
      <c r="O386">
        <f>VLOOKUP(A386,[2]cwurData!$B:$P,14,FALSE)</f>
        <v>419</v>
      </c>
      <c r="P386">
        <f>VLOOKUP(A386,[2]cwurData!$B:$N, 3, FALSE)</f>
        <v>1</v>
      </c>
      <c r="Q386">
        <f>VLOOKUP(A386,[2]cwurData!$B:$N, 4, FALSE)</f>
        <v>119</v>
      </c>
      <c r="R386">
        <f>VLOOKUP(A386,[2]cwurData!$B:$N, 5, FALSE)</f>
        <v>478</v>
      </c>
      <c r="S386">
        <f>VLOOKUP(A386,[2]cwurData!$B:$N, 6, FALSE)</f>
        <v>145</v>
      </c>
      <c r="T386">
        <f>VLOOKUP(A386,[2]cwurData!$B:$N, 7, FALSE)</f>
        <v>400</v>
      </c>
      <c r="U386">
        <f>VLOOKUP(A386,[2]cwurData!$B:$N, 8, FALSE)</f>
        <v>488</v>
      </c>
      <c r="V386">
        <f>VLOOKUP(A386,[2]cwurData!$B:$N, 9, FALSE)</f>
        <v>363</v>
      </c>
      <c r="W386">
        <f>VLOOKUP(A386,[2]cwurData!$B:$N, 10, FALSE)</f>
        <v>402</v>
      </c>
      <c r="X386">
        <f>VLOOKUP(A386,[2]cwurData!$B:$N, 11, FALSE)</f>
        <v>637</v>
      </c>
      <c r="Y386">
        <f>VLOOKUP(A386,[2]cwurData!$B:$N, 12, FALSE)</f>
        <v>45.45</v>
      </c>
      <c r="Z386">
        <f>VLOOKUP(A386,[2]cwurData!$B:$N, 13, FALSE)</f>
        <v>2014</v>
      </c>
    </row>
    <row r="387" spans="1:26" x14ac:dyDescent="0.3">
      <c r="A387" t="s">
        <v>351</v>
      </c>
      <c r="B387" t="str">
        <f>IFERROR(VLOOKUP(A387,[1]timesData!$B:$P,2,FALSE),VLOOKUP(A387,[2]cwurData!$B:$P,2,FALSE))</f>
        <v>Austria</v>
      </c>
      <c r="C387" t="str">
        <f>VLOOKUP(A387,[1]timesData!$B:$P,3,FALSE)</f>
        <v>301-350</v>
      </c>
      <c r="D387" t="str">
        <f>VLOOKUP(A388,[1]timesData!$B:$P,3,FALSE)</f>
        <v>301-350</v>
      </c>
      <c r="E387">
        <f>VLOOKUP(A388,[1]timesData!$B:$P,4,FALSE)</f>
        <v>38.299999999999997</v>
      </c>
      <c r="F387">
        <f>VLOOKUP(A388,[1]timesData!$B:$P,5,FALSE)</f>
        <v>22.1</v>
      </c>
      <c r="G387">
        <f>VLOOKUP(A388,[1]timesData!$B:$P,6,FALSE)</f>
        <v>44.4</v>
      </c>
      <c r="H387">
        <f>VLOOKUP(A388,[1]timesData!$B:$P,7,FALSE)</f>
        <v>55.1</v>
      </c>
      <c r="I387" t="str">
        <f>VLOOKUP(A388,[1]timesData!$B:$P,8,FALSE)</f>
        <v>-</v>
      </c>
      <c r="J387">
        <f>VLOOKUP(A388,[1]timesData!$B:$P,9,FALSE)</f>
        <v>10045</v>
      </c>
      <c r="K387">
        <f>VLOOKUP(A388,[1]timesData!$B:$P,10,FALSE)</f>
        <v>9.5</v>
      </c>
      <c r="L387">
        <f>VLOOKUP(A388,[1]timesData!$B:$P,11,FALSE)</f>
        <v>0.04</v>
      </c>
      <c r="M387">
        <f>VLOOKUP(A388,[1]timesData!$B:$P,12,FALSE)</f>
        <v>2.7736111111111112</v>
      </c>
      <c r="N387">
        <f>VLOOKUP(A388,[1]timesData!$B:$P,13,FALSE)</f>
        <v>2012</v>
      </c>
      <c r="O387">
        <f>VLOOKUP(A387,[2]cwurData!$B:$P,14,FALSE)</f>
        <v>427</v>
      </c>
      <c r="P387">
        <f>VLOOKUP(A387,[2]cwurData!$B:$N, 3, FALSE)</f>
        <v>4</v>
      </c>
      <c r="Q387">
        <f>VLOOKUP(A387,[2]cwurData!$B:$N, 4, FALSE)</f>
        <v>351</v>
      </c>
      <c r="R387">
        <f>VLOOKUP(A387,[2]cwurData!$B:$N, 5, FALSE)</f>
        <v>413</v>
      </c>
      <c r="S387">
        <f>VLOOKUP(A387,[2]cwurData!$B:$N, 6, FALSE)</f>
        <v>210</v>
      </c>
      <c r="T387">
        <f>VLOOKUP(A387,[2]cwurData!$B:$N, 7, FALSE)</f>
        <v>381</v>
      </c>
      <c r="U387">
        <f>VLOOKUP(A387,[2]cwurData!$B:$N, 8, FALSE)</f>
        <v>365</v>
      </c>
      <c r="V387">
        <f>VLOOKUP(A387,[2]cwurData!$B:$N, 9, FALSE)</f>
        <v>406</v>
      </c>
      <c r="W387">
        <f>VLOOKUP(A387,[2]cwurData!$B:$N, 10, FALSE)</f>
        <v>420</v>
      </c>
      <c r="X387">
        <f>VLOOKUP(A387,[2]cwurData!$B:$N, 11, FALSE)</f>
        <v>159</v>
      </c>
      <c r="Y387">
        <f>VLOOKUP(A387,[2]cwurData!$B:$N, 12, FALSE)</f>
        <v>45.43</v>
      </c>
      <c r="Z387">
        <f>VLOOKUP(A387,[2]cwurData!$B:$N, 13, FALSE)</f>
        <v>2014</v>
      </c>
    </row>
    <row r="388" spans="1:26" x14ac:dyDescent="0.3">
      <c r="A388" t="s">
        <v>346</v>
      </c>
      <c r="B388" t="str">
        <f>IFERROR(VLOOKUP(A388,[1]timesData!$B:$P,2,FALSE),VLOOKUP(A388,[2]cwurData!$B:$P,2,FALSE))</f>
        <v>Finland</v>
      </c>
      <c r="C388" t="str">
        <f>VLOOKUP(A388,[1]timesData!$B:$P,3,FALSE)</f>
        <v>301-350</v>
      </c>
      <c r="D388" t="str">
        <f>VLOOKUP(A389,[1]timesData!$B:$P,3,FALSE)</f>
        <v>301-350</v>
      </c>
      <c r="E388">
        <f>VLOOKUP(A389,[1]timesData!$B:$P,4,FALSE)</f>
        <v>23.8</v>
      </c>
      <c r="F388">
        <f>VLOOKUP(A389,[1]timesData!$B:$P,5,FALSE)</f>
        <v>17.7</v>
      </c>
      <c r="G388">
        <f>VLOOKUP(A389,[1]timesData!$B:$P,6,FALSE)</f>
        <v>42.6</v>
      </c>
      <c r="H388">
        <f>VLOOKUP(A389,[1]timesData!$B:$P,7,FALSE)</f>
        <v>25.1</v>
      </c>
      <c r="I388" t="str">
        <f>VLOOKUP(A389,[1]timesData!$B:$P,8,FALSE)</f>
        <v>-</v>
      </c>
      <c r="J388">
        <f>VLOOKUP(A389,[1]timesData!$B:$P,9,FALSE)</f>
        <v>26622</v>
      </c>
      <c r="K388">
        <f>VLOOKUP(A389,[1]timesData!$B:$P,10,FALSE)</f>
        <v>17</v>
      </c>
      <c r="L388">
        <f>VLOOKUP(A389,[1]timesData!$B:$P,11,FALSE)</f>
        <v>7.0000000000000007E-2</v>
      </c>
      <c r="M388">
        <f>VLOOKUP(A389,[1]timesData!$B:$P,12,FALSE)</f>
        <v>2.2819444444444446</v>
      </c>
      <c r="N388">
        <f>VLOOKUP(A389,[1]timesData!$B:$P,13,FALSE)</f>
        <v>2012</v>
      </c>
      <c r="O388">
        <f>VLOOKUP(A388,[2]cwurData!$B:$P,14,FALSE)</f>
        <v>430</v>
      </c>
      <c r="P388">
        <f>VLOOKUP(A388,[2]cwurData!$B:$N, 3, FALSE)</f>
        <v>6</v>
      </c>
      <c r="Q388">
        <f>VLOOKUP(A388,[2]cwurData!$B:$N, 4, FALSE)</f>
        <v>355</v>
      </c>
      <c r="R388">
        <f>VLOOKUP(A388,[2]cwurData!$B:$N, 5, FALSE)</f>
        <v>235</v>
      </c>
      <c r="S388">
        <f>VLOOKUP(A388,[2]cwurData!$B:$N, 6, FALSE)</f>
        <v>210</v>
      </c>
      <c r="T388">
        <f>VLOOKUP(A388,[2]cwurData!$B:$N, 7, FALSE)</f>
        <v>554</v>
      </c>
      <c r="U388">
        <f>VLOOKUP(A388,[2]cwurData!$B:$N, 8, FALSE)</f>
        <v>461</v>
      </c>
      <c r="V388">
        <f>VLOOKUP(A388,[2]cwurData!$B:$N, 9, FALSE)</f>
        <v>493</v>
      </c>
      <c r="W388">
        <f>VLOOKUP(A388,[2]cwurData!$B:$N, 10, FALSE)</f>
        <v>370</v>
      </c>
      <c r="X388">
        <f>VLOOKUP(A388,[2]cwurData!$B:$N, 11, FALSE)</f>
        <v>637</v>
      </c>
      <c r="Y388">
        <f>VLOOKUP(A388,[2]cwurData!$B:$N, 12, FALSE)</f>
        <v>45.41</v>
      </c>
      <c r="Z388">
        <f>VLOOKUP(A388,[2]cwurData!$B:$N, 13, FALSE)</f>
        <v>2014</v>
      </c>
    </row>
    <row r="389" spans="1:26" x14ac:dyDescent="0.3">
      <c r="A389" t="s">
        <v>314</v>
      </c>
      <c r="B389" t="str">
        <f>IFERROR(VLOOKUP(A389,[1]timesData!$B:$P,2,FALSE),VLOOKUP(A389,[2]cwurData!$B:$P,2,FALSE))</f>
        <v>United States of America</v>
      </c>
      <c r="C389" t="str">
        <f>VLOOKUP(A389,[1]timesData!$B:$P,3,FALSE)</f>
        <v>301-350</v>
      </c>
      <c r="D389" t="str">
        <f>VLOOKUP(A390,[1]timesData!$B:$P,3,FALSE)</f>
        <v>301-350</v>
      </c>
      <c r="E389">
        <f>VLOOKUP(A390,[1]timesData!$B:$P,4,FALSE)</f>
        <v>40.799999999999997</v>
      </c>
      <c r="F389">
        <f>VLOOKUP(A390,[1]timesData!$B:$P,5,FALSE)</f>
        <v>29.8</v>
      </c>
      <c r="G389">
        <f>VLOOKUP(A390,[1]timesData!$B:$P,6,FALSE)</f>
        <v>55.3</v>
      </c>
      <c r="H389">
        <f>VLOOKUP(A390,[1]timesData!$B:$P,7,FALSE)</f>
        <v>48.6</v>
      </c>
      <c r="I389" t="str">
        <f>VLOOKUP(A390,[1]timesData!$B:$P,8,FALSE)</f>
        <v>-</v>
      </c>
      <c r="J389">
        <f>VLOOKUP(A390,[1]timesData!$B:$P,9,FALSE)</f>
        <v>29143</v>
      </c>
      <c r="K389">
        <f>VLOOKUP(A390,[1]timesData!$B:$P,10,FALSE)</f>
        <v>88.9</v>
      </c>
      <c r="L389">
        <f>VLOOKUP(A390,[1]timesData!$B:$P,11,FALSE)</f>
        <v>0.1</v>
      </c>
      <c r="M389">
        <f>VLOOKUP(A390,[1]timesData!$B:$P,12,FALSE)</f>
        <v>1.9951388888888888</v>
      </c>
      <c r="N389">
        <f>VLOOKUP(A390,[1]timesData!$B:$P,13,FALSE)</f>
        <v>2016</v>
      </c>
      <c r="O389">
        <f>VLOOKUP(A389,[2]cwurData!$B:$P,14,FALSE)</f>
        <v>434</v>
      </c>
      <c r="P389">
        <f>VLOOKUP(A389,[2]cwurData!$B:$N, 3, FALSE)</f>
        <v>141</v>
      </c>
      <c r="Q389">
        <f>VLOOKUP(A389,[2]cwurData!$B:$N, 4, FALSE)</f>
        <v>355</v>
      </c>
      <c r="R389">
        <f>VLOOKUP(A389,[2]cwurData!$B:$N, 5, FALSE)</f>
        <v>478</v>
      </c>
      <c r="S389">
        <f>VLOOKUP(A389,[2]cwurData!$B:$N, 6, FALSE)</f>
        <v>97</v>
      </c>
      <c r="T389">
        <f>VLOOKUP(A389,[2]cwurData!$B:$N, 7, FALSE)</f>
        <v>449</v>
      </c>
      <c r="U389">
        <f>VLOOKUP(A389,[2]cwurData!$B:$N, 8, FALSE)</f>
        <v>374</v>
      </c>
      <c r="V389">
        <f>VLOOKUP(A389,[2]cwurData!$B:$N, 9, FALSE)</f>
        <v>283</v>
      </c>
      <c r="W389">
        <f>VLOOKUP(A389,[2]cwurData!$B:$N, 10, FALSE)</f>
        <v>415</v>
      </c>
      <c r="X389">
        <f>VLOOKUP(A389,[2]cwurData!$B:$N, 11, FALSE)</f>
        <v>637</v>
      </c>
      <c r="Y389">
        <f>VLOOKUP(A389,[2]cwurData!$B:$N, 12, FALSE)</f>
        <v>45.4</v>
      </c>
      <c r="Z389">
        <f>VLOOKUP(A389,[2]cwurData!$B:$N, 13, FALSE)</f>
        <v>2014</v>
      </c>
    </row>
    <row r="390" spans="1:26" x14ac:dyDescent="0.3">
      <c r="A390" t="s">
        <v>507</v>
      </c>
      <c r="B390" t="str">
        <f>IFERROR(VLOOKUP(A390,[1]timesData!$B:$P,2,FALSE),VLOOKUP(A390,[2]cwurData!$B:$P,2,FALSE))</f>
        <v>Germany</v>
      </c>
      <c r="C390" t="str">
        <f>VLOOKUP(A390,[1]timesData!$B:$P,3,FALSE)</f>
        <v>301-350</v>
      </c>
      <c r="D390" t="str">
        <f>VLOOKUP(A391,[1]timesData!$B:$P,3,FALSE)</f>
        <v>301-350</v>
      </c>
      <c r="E390">
        <f>VLOOKUP(A391,[1]timesData!$B:$P,4,FALSE)</f>
        <v>77</v>
      </c>
      <c r="F390">
        <f>VLOOKUP(A391,[1]timesData!$B:$P,5,FALSE)</f>
        <v>19.2</v>
      </c>
      <c r="G390">
        <f>VLOOKUP(A391,[1]timesData!$B:$P,6,FALSE)</f>
        <v>29.4</v>
      </c>
      <c r="H390">
        <f>VLOOKUP(A391,[1]timesData!$B:$P,7,FALSE)</f>
        <v>36.799999999999997</v>
      </c>
      <c r="I390" t="str">
        <f>VLOOKUP(A391,[1]timesData!$B:$P,8,FALSE)</f>
        <v>-</v>
      </c>
      <c r="J390">
        <f>VLOOKUP(A391,[1]timesData!$B:$P,9,FALSE)</f>
        <v>15805</v>
      </c>
      <c r="K390">
        <f>VLOOKUP(A391,[1]timesData!$B:$P,10,FALSE)</f>
        <v>22.3</v>
      </c>
      <c r="L390">
        <f>VLOOKUP(A391,[1]timesData!$B:$P,11,FALSE)</f>
        <v>0.15</v>
      </c>
      <c r="M390">
        <f>VLOOKUP(A391,[1]timesData!$B:$P,12,FALSE)</f>
        <v>2.3229166666666665</v>
      </c>
      <c r="N390">
        <f>VLOOKUP(A391,[1]timesData!$B:$P,13,FALSE)</f>
        <v>2012</v>
      </c>
      <c r="O390">
        <f>VLOOKUP(A390,[2]cwurData!$B:$P,14,FALSE)</f>
        <v>458</v>
      </c>
      <c r="P390">
        <f>VLOOKUP(A390,[2]cwurData!$B:$N, 3, FALSE)</f>
        <v>35</v>
      </c>
      <c r="Q390">
        <f>VLOOKUP(A390,[2]cwurData!$B:$N, 4, FALSE)</f>
        <v>355</v>
      </c>
      <c r="R390">
        <f>VLOOKUP(A390,[2]cwurData!$B:$N, 5, FALSE)</f>
        <v>478</v>
      </c>
      <c r="S390">
        <f>VLOOKUP(A390,[2]cwurData!$B:$N, 6, FALSE)</f>
        <v>210</v>
      </c>
      <c r="T390">
        <f>VLOOKUP(A390,[2]cwurData!$B:$N, 7, FALSE)</f>
        <v>454</v>
      </c>
      <c r="U390">
        <f>VLOOKUP(A390,[2]cwurData!$B:$N, 8, FALSE)</f>
        <v>539</v>
      </c>
      <c r="V390">
        <f>VLOOKUP(A390,[2]cwurData!$B:$N, 9, FALSE)</f>
        <v>406</v>
      </c>
      <c r="W390">
        <f>VLOOKUP(A390,[2]cwurData!$B:$N, 10, FALSE)</f>
        <v>430</v>
      </c>
      <c r="X390">
        <f>VLOOKUP(A390,[2]cwurData!$B:$N, 11, FALSE)</f>
        <v>170</v>
      </c>
      <c r="Y390">
        <f>VLOOKUP(A390,[2]cwurData!$B:$N, 12, FALSE)</f>
        <v>45.26</v>
      </c>
      <c r="Z390">
        <f>VLOOKUP(A390,[2]cwurData!$B:$N, 13, FALSE)</f>
        <v>2014</v>
      </c>
    </row>
    <row r="391" spans="1:26" x14ac:dyDescent="0.3">
      <c r="A391" t="s">
        <v>328</v>
      </c>
      <c r="B391" t="str">
        <f>IFERROR(VLOOKUP(A391,[1]timesData!$B:$P,2,FALSE),VLOOKUP(A391,[2]cwurData!$B:$P,2,FALSE))</f>
        <v>Republic of Ireland</v>
      </c>
      <c r="C391" t="str">
        <f>VLOOKUP(A391,[1]timesData!$B:$P,3,FALSE)</f>
        <v>301-350</v>
      </c>
      <c r="D391" t="str">
        <f>VLOOKUP(A392,[1]timesData!$B:$P,3,FALSE)</f>
        <v>301-350</v>
      </c>
      <c r="E391">
        <f>VLOOKUP(A392,[1]timesData!$B:$P,4,FALSE)</f>
        <v>26.8</v>
      </c>
      <c r="F391">
        <f>VLOOKUP(A392,[1]timesData!$B:$P,5,FALSE)</f>
        <v>15.7</v>
      </c>
      <c r="G391">
        <f>VLOOKUP(A392,[1]timesData!$B:$P,6,FALSE)</f>
        <v>50.8</v>
      </c>
      <c r="H391">
        <f>VLOOKUP(A392,[1]timesData!$B:$P,7,FALSE)</f>
        <v>27.9</v>
      </c>
      <c r="I391" t="str">
        <f>VLOOKUP(A392,[1]timesData!$B:$P,8,FALSE)</f>
        <v>-</v>
      </c>
      <c r="J391">
        <f>VLOOKUP(A392,[1]timesData!$B:$P,9,FALSE)</f>
        <v>19693</v>
      </c>
      <c r="K391">
        <f>VLOOKUP(A392,[1]timesData!$B:$P,10,FALSE)</f>
        <v>25.3</v>
      </c>
      <c r="L391">
        <f>VLOOKUP(A392,[1]timesData!$B:$P,11,FALSE)</f>
        <v>0.06</v>
      </c>
      <c r="M391">
        <f>VLOOKUP(A392,[1]timesData!$B:$P,12,FALSE)</f>
        <v>2.2819444444444446</v>
      </c>
      <c r="N391">
        <f>VLOOKUP(A392,[1]timesData!$B:$P,13,FALSE)</f>
        <v>2012</v>
      </c>
      <c r="O391">
        <f>VLOOKUP(A391,[2]cwurData!$B:$P,14,FALSE)</f>
        <v>463</v>
      </c>
      <c r="P391">
        <f>VLOOKUP(A391,[2]cwurData!$B:$N, 3, FALSE)</f>
        <v>3</v>
      </c>
      <c r="Q391">
        <f>VLOOKUP(A391,[2]cwurData!$B:$N, 4, FALSE)</f>
        <v>355</v>
      </c>
      <c r="R391">
        <f>VLOOKUP(A391,[2]cwurData!$B:$N, 5, FALSE)</f>
        <v>359</v>
      </c>
      <c r="S391">
        <f>VLOOKUP(A391,[2]cwurData!$B:$N, 6, FALSE)</f>
        <v>210</v>
      </c>
      <c r="T391">
        <f>VLOOKUP(A391,[2]cwurData!$B:$N, 7, FALSE)</f>
        <v>423</v>
      </c>
      <c r="U391">
        <f>VLOOKUP(A391,[2]cwurData!$B:$N, 8, FALSE)</f>
        <v>464</v>
      </c>
      <c r="V391">
        <f>VLOOKUP(A391,[2]cwurData!$B:$N, 9, FALSE)</f>
        <v>406</v>
      </c>
      <c r="W391">
        <f>VLOOKUP(A391,[2]cwurData!$B:$N, 10, FALSE)</f>
        <v>420</v>
      </c>
      <c r="X391">
        <f>VLOOKUP(A391,[2]cwurData!$B:$N, 11, FALSE)</f>
        <v>227</v>
      </c>
      <c r="Y391">
        <f>VLOOKUP(A391,[2]cwurData!$B:$N, 12, FALSE)</f>
        <v>45.25</v>
      </c>
      <c r="Z391">
        <f>VLOOKUP(A391,[2]cwurData!$B:$N, 13, FALSE)</f>
        <v>2014</v>
      </c>
    </row>
    <row r="392" spans="1:26" x14ac:dyDescent="0.3">
      <c r="A392" t="s">
        <v>339</v>
      </c>
      <c r="B392" t="str">
        <f>IFERROR(VLOOKUP(A392,[1]timesData!$B:$P,2,FALSE),VLOOKUP(A392,[2]cwurData!$B:$P,2,FALSE))</f>
        <v>Italy</v>
      </c>
      <c r="C392" t="str">
        <f>VLOOKUP(A392,[1]timesData!$B:$P,3,FALSE)</f>
        <v>301-350</v>
      </c>
      <c r="D392" t="str">
        <f>VLOOKUP(A393,[1]timesData!$B:$P,3,FALSE)</f>
        <v>301-350</v>
      </c>
      <c r="E392">
        <f>VLOOKUP(A393,[1]timesData!$B:$P,4,FALSE)</f>
        <v>39.5</v>
      </c>
      <c r="F392">
        <f>VLOOKUP(A393,[1]timesData!$B:$P,5,FALSE)</f>
        <v>16</v>
      </c>
      <c r="G392">
        <f>VLOOKUP(A393,[1]timesData!$B:$P,6,FALSE)</f>
        <v>43.1</v>
      </c>
      <c r="H392">
        <f>VLOOKUP(A393,[1]timesData!$B:$P,7,FALSE)</f>
        <v>25.8</v>
      </c>
      <c r="I392" t="str">
        <f>VLOOKUP(A393,[1]timesData!$B:$P,8,FALSE)</f>
        <v>-</v>
      </c>
      <c r="J392">
        <f>VLOOKUP(A393,[1]timesData!$B:$P,9,FALSE)</f>
        <v>42835</v>
      </c>
      <c r="K392">
        <f>VLOOKUP(A393,[1]timesData!$B:$P,10,FALSE)</f>
        <v>11.5</v>
      </c>
      <c r="L392">
        <f>VLOOKUP(A393,[1]timesData!$B:$P,11,FALSE)</f>
        <v>0.05</v>
      </c>
      <c r="M392">
        <f>VLOOKUP(A393,[1]timesData!$B:$P,12,FALSE)</f>
        <v>2.8145833333333332</v>
      </c>
      <c r="N392">
        <f>VLOOKUP(A393,[1]timesData!$B:$P,13,FALSE)</f>
        <v>2012</v>
      </c>
      <c r="O392">
        <f>VLOOKUP(A392,[2]cwurData!$B:$P,14,FALSE)</f>
        <v>466</v>
      </c>
      <c r="P392">
        <f>VLOOKUP(A392,[2]cwurData!$B:$N, 3, FALSE)</f>
        <v>24</v>
      </c>
      <c r="Q392">
        <f>VLOOKUP(A392,[2]cwurData!$B:$N, 4, FALSE)</f>
        <v>355</v>
      </c>
      <c r="R392">
        <f>VLOOKUP(A392,[2]cwurData!$B:$N, 5, FALSE)</f>
        <v>478</v>
      </c>
      <c r="S392">
        <f>VLOOKUP(A392,[2]cwurData!$B:$N, 6, FALSE)</f>
        <v>210</v>
      </c>
      <c r="T392">
        <f>VLOOKUP(A392,[2]cwurData!$B:$N, 7, FALSE)</f>
        <v>435</v>
      </c>
      <c r="U392">
        <f>VLOOKUP(A392,[2]cwurData!$B:$N, 8, FALSE)</f>
        <v>485</v>
      </c>
      <c r="V392">
        <f>VLOOKUP(A392,[2]cwurData!$B:$N, 9, FALSE)</f>
        <v>310</v>
      </c>
      <c r="W392">
        <f>VLOOKUP(A392,[2]cwurData!$B:$N, 10, FALSE)</f>
        <v>370</v>
      </c>
      <c r="X392">
        <f>VLOOKUP(A392,[2]cwurData!$B:$N, 11, FALSE)</f>
        <v>637</v>
      </c>
      <c r="Y392">
        <f>VLOOKUP(A392,[2]cwurData!$B:$N, 12, FALSE)</f>
        <v>45.23</v>
      </c>
      <c r="Z392">
        <f>VLOOKUP(A392,[2]cwurData!$B:$N, 13, FALSE)</f>
        <v>2014</v>
      </c>
    </row>
    <row r="393" spans="1:26" x14ac:dyDescent="0.3">
      <c r="A393" t="s">
        <v>316</v>
      </c>
      <c r="B393" t="str">
        <f>IFERROR(VLOOKUP(A393,[1]timesData!$B:$P,2,FALSE),VLOOKUP(A393,[2]cwurData!$B:$P,2,FALSE))</f>
        <v>Poland</v>
      </c>
      <c r="C393" t="str">
        <f>VLOOKUP(A393,[1]timesData!$B:$P,3,FALSE)</f>
        <v>301-350</v>
      </c>
      <c r="D393" t="str">
        <f>VLOOKUP(A394,[1]timesData!$B:$P,3,FALSE)</f>
        <v>301-350</v>
      </c>
      <c r="E393">
        <f>VLOOKUP(A394,[1]timesData!$B:$P,4,FALSE)</f>
        <v>76.3</v>
      </c>
      <c r="F393">
        <f>VLOOKUP(A394,[1]timesData!$B:$P,5,FALSE)</f>
        <v>24.3</v>
      </c>
      <c r="G393">
        <f>VLOOKUP(A394,[1]timesData!$B:$P,6,FALSE)</f>
        <v>30.5</v>
      </c>
      <c r="H393">
        <f>VLOOKUP(A394,[1]timesData!$B:$P,7,FALSE)</f>
        <v>26.6</v>
      </c>
      <c r="I393" t="str">
        <f>VLOOKUP(A394,[1]timesData!$B:$P,8,FALSE)</f>
        <v>-</v>
      </c>
      <c r="J393">
        <f>VLOOKUP(A394,[1]timesData!$B:$P,9,FALSE)</f>
        <v>12187</v>
      </c>
      <c r="K393">
        <f>VLOOKUP(A394,[1]timesData!$B:$P,10,FALSE)</f>
        <v>16.5</v>
      </c>
      <c r="L393">
        <f>VLOOKUP(A394,[1]timesData!$B:$P,11,FALSE)</f>
        <v>0.2</v>
      </c>
      <c r="M393">
        <f>VLOOKUP(A394,[1]timesData!$B:$P,12,FALSE)</f>
        <v>2.1590277777777778</v>
      </c>
      <c r="N393">
        <f>VLOOKUP(A394,[1]timesData!$B:$P,13,FALSE)</f>
        <v>2012</v>
      </c>
      <c r="O393">
        <f>VLOOKUP(A393,[2]cwurData!$B:$P,14,FALSE)</f>
        <v>479</v>
      </c>
      <c r="P393">
        <f>VLOOKUP(A393,[2]cwurData!$B:$N, 3, FALSE)</f>
        <v>2</v>
      </c>
      <c r="Q393">
        <f>VLOOKUP(A393,[2]cwurData!$B:$N, 4, FALSE)</f>
        <v>355</v>
      </c>
      <c r="R393">
        <f>VLOOKUP(A393,[2]cwurData!$B:$N, 5, FALSE)</f>
        <v>478</v>
      </c>
      <c r="S393">
        <f>VLOOKUP(A393,[2]cwurData!$B:$N, 6, FALSE)</f>
        <v>210</v>
      </c>
      <c r="T393">
        <f>VLOOKUP(A393,[2]cwurData!$B:$N, 7, FALSE)</f>
        <v>396</v>
      </c>
      <c r="U393">
        <f>VLOOKUP(A393,[2]cwurData!$B:$N, 8, FALSE)</f>
        <v>466</v>
      </c>
      <c r="V393">
        <f>VLOOKUP(A393,[2]cwurData!$B:$N, 9, FALSE)</f>
        <v>609</v>
      </c>
      <c r="W393">
        <f>VLOOKUP(A393,[2]cwurData!$B:$N, 10, FALSE)</f>
        <v>375</v>
      </c>
      <c r="X393">
        <f>VLOOKUP(A393,[2]cwurData!$B:$N, 11, FALSE)</f>
        <v>552</v>
      </c>
      <c r="Y393">
        <f>VLOOKUP(A393,[2]cwurData!$B:$N, 12, FALSE)</f>
        <v>45.19</v>
      </c>
      <c r="Z393">
        <f>VLOOKUP(A393,[2]cwurData!$B:$N, 13, FALSE)</f>
        <v>2014</v>
      </c>
    </row>
    <row r="394" spans="1:26" x14ac:dyDescent="0.3">
      <c r="A394" t="s">
        <v>330</v>
      </c>
      <c r="B394" t="str">
        <f>IFERROR(VLOOKUP(A394,[1]timesData!$B:$P,2,FALSE),VLOOKUP(A394,[2]cwurData!$B:$P,2,FALSE))</f>
        <v>New Zealand</v>
      </c>
      <c r="C394" t="str">
        <f>VLOOKUP(A394,[1]timesData!$B:$P,3,FALSE)</f>
        <v>301-350</v>
      </c>
      <c r="D394" t="str">
        <f>VLOOKUP(A395,[1]timesData!$B:$P,3,FALSE)</f>
        <v>301-350</v>
      </c>
      <c r="E394">
        <f>VLOOKUP(A395,[1]timesData!$B:$P,4,FALSE)</f>
        <v>59.4</v>
      </c>
      <c r="F394">
        <f>VLOOKUP(A395,[1]timesData!$B:$P,5,FALSE)</f>
        <v>17.3</v>
      </c>
      <c r="G394">
        <f>VLOOKUP(A395,[1]timesData!$B:$P,6,FALSE)</f>
        <v>50.3</v>
      </c>
      <c r="H394" t="str">
        <f>VLOOKUP(A395,[1]timesData!$B:$P,7,FALSE)</f>
        <v>-</v>
      </c>
      <c r="I394" t="str">
        <f>VLOOKUP(A395,[1]timesData!$B:$P,8,FALSE)</f>
        <v>-</v>
      </c>
      <c r="J394">
        <f>VLOOKUP(A395,[1]timesData!$B:$P,9,FALSE)</f>
        <v>0</v>
      </c>
      <c r="K394">
        <f>VLOOKUP(A395,[1]timesData!$B:$P,10,FALSE)</f>
        <v>0</v>
      </c>
      <c r="L394">
        <f>VLOOKUP(A395,[1]timesData!$B:$P,11,FALSE)</f>
        <v>0</v>
      </c>
      <c r="M394">
        <f>VLOOKUP(A395,[1]timesData!$B:$P,12,FALSE)</f>
        <v>0</v>
      </c>
      <c r="N394">
        <f>VLOOKUP(A395,[1]timesData!$B:$P,13,FALSE)</f>
        <v>2015</v>
      </c>
      <c r="O394">
        <f>VLOOKUP(A394,[2]cwurData!$B:$P,14,FALSE)</f>
        <v>487</v>
      </c>
      <c r="P394">
        <f>VLOOKUP(A394,[2]cwurData!$B:$N, 3, FALSE)</f>
        <v>3</v>
      </c>
      <c r="Q394">
        <f>VLOOKUP(A394,[2]cwurData!$B:$N, 4, FALSE)</f>
        <v>173</v>
      </c>
      <c r="R394">
        <f>VLOOKUP(A394,[2]cwurData!$B:$N, 5, FALSE)</f>
        <v>154</v>
      </c>
      <c r="S394">
        <f>VLOOKUP(A394,[2]cwurData!$B:$N, 6, FALSE)</f>
        <v>210</v>
      </c>
      <c r="T394">
        <f>VLOOKUP(A394,[2]cwurData!$B:$N, 7, FALSE)</f>
        <v>561</v>
      </c>
      <c r="U394">
        <f>VLOOKUP(A394,[2]cwurData!$B:$N, 8, FALSE)</f>
        <v>426</v>
      </c>
      <c r="V394">
        <f>VLOOKUP(A394,[2]cwurData!$B:$N, 9, FALSE)</f>
        <v>493</v>
      </c>
      <c r="W394">
        <f>VLOOKUP(A394,[2]cwurData!$B:$N, 10, FALSE)</f>
        <v>628</v>
      </c>
      <c r="X394">
        <f>VLOOKUP(A394,[2]cwurData!$B:$N, 11, FALSE)</f>
        <v>737</v>
      </c>
      <c r="Y394">
        <f>VLOOKUP(A394,[2]cwurData!$B:$N, 12, FALSE)</f>
        <v>45.17</v>
      </c>
      <c r="Z394">
        <f>VLOOKUP(A394,[2]cwurData!$B:$N, 13, FALSE)</f>
        <v>2014</v>
      </c>
    </row>
    <row r="395" spans="1:26" x14ac:dyDescent="0.3">
      <c r="A395" t="s">
        <v>470</v>
      </c>
      <c r="B395" t="str">
        <f>IFERROR(VLOOKUP(A395,[1]timesData!$B:$P,2,FALSE),VLOOKUP(A395,[2]cwurData!$B:$P,2,FALSE))</f>
        <v>United States of America</v>
      </c>
      <c r="C395" t="str">
        <f>VLOOKUP(A395,[1]timesData!$B:$P,3,FALSE)</f>
        <v>301-350</v>
      </c>
      <c r="D395" t="str">
        <f>VLOOKUP(A396,[1]timesData!$B:$P,3,FALSE)</f>
        <v>301-350</v>
      </c>
      <c r="E395">
        <f>VLOOKUP(A396,[1]timesData!$B:$P,4,FALSE)</f>
        <v>45.8</v>
      </c>
      <c r="F395">
        <f>VLOOKUP(A396,[1]timesData!$B:$P,5,FALSE)</f>
        <v>12</v>
      </c>
      <c r="G395">
        <f>VLOOKUP(A396,[1]timesData!$B:$P,6,FALSE)</f>
        <v>59.6</v>
      </c>
      <c r="H395">
        <f>VLOOKUP(A396,[1]timesData!$B:$P,7,FALSE)</f>
        <v>44</v>
      </c>
      <c r="I395" t="str">
        <f>VLOOKUP(A396,[1]timesData!$B:$P,8,FALSE)</f>
        <v>-</v>
      </c>
      <c r="J395">
        <f>VLOOKUP(A396,[1]timesData!$B:$P,9,FALSE)</f>
        <v>24954</v>
      </c>
      <c r="K395">
        <f>VLOOKUP(A396,[1]timesData!$B:$P,10,FALSE)</f>
        <v>12.7</v>
      </c>
      <c r="L395">
        <f>VLOOKUP(A396,[1]timesData!$B:$P,11,FALSE)</f>
        <v>0.06</v>
      </c>
      <c r="M395">
        <f>VLOOKUP(A396,[1]timesData!$B:$P,12,FALSE)</f>
        <v>0</v>
      </c>
      <c r="N395">
        <f>VLOOKUP(A396,[1]timesData!$B:$P,13,FALSE)</f>
        <v>2013</v>
      </c>
      <c r="O395">
        <f>VLOOKUP(A395,[2]cwurData!$B:$P,14,FALSE)</f>
        <v>489</v>
      </c>
      <c r="P395">
        <f>VLOOKUP(A395,[2]cwurData!$B:$N, 3, FALSE)</f>
        <v>159</v>
      </c>
      <c r="Q395">
        <f>VLOOKUP(A395,[2]cwurData!$B:$N, 4, FALSE)</f>
        <v>251</v>
      </c>
      <c r="R395">
        <f>VLOOKUP(A395,[2]cwurData!$B:$N, 5, FALSE)</f>
        <v>123</v>
      </c>
      <c r="S395">
        <f>VLOOKUP(A395,[2]cwurData!$B:$N, 6, FALSE)</f>
        <v>210</v>
      </c>
      <c r="T395">
        <f>VLOOKUP(A395,[2]cwurData!$B:$N, 7, FALSE)</f>
        <v>767</v>
      </c>
      <c r="U395">
        <f>VLOOKUP(A395,[2]cwurData!$B:$N, 8, FALSE)</f>
        <v>718</v>
      </c>
      <c r="V395">
        <f>VLOOKUP(A395,[2]cwurData!$B:$N, 9, FALSE)</f>
        <v>800</v>
      </c>
      <c r="W395">
        <f>VLOOKUP(A395,[2]cwurData!$B:$N, 10, FALSE)</f>
        <v>716</v>
      </c>
      <c r="X395">
        <f>VLOOKUP(A395,[2]cwurData!$B:$N, 11, FALSE)</f>
        <v>737</v>
      </c>
      <c r="Y395">
        <f>VLOOKUP(A395,[2]cwurData!$B:$N, 12, FALSE)</f>
        <v>45.15</v>
      </c>
      <c r="Z395">
        <f>VLOOKUP(A395,[2]cwurData!$B:$N, 13, FALSE)</f>
        <v>2014</v>
      </c>
    </row>
    <row r="396" spans="1:26" x14ac:dyDescent="0.3">
      <c r="A396" t="s">
        <v>428</v>
      </c>
      <c r="B396" t="str">
        <f>IFERROR(VLOOKUP(A396,[1]timesData!$B:$P,2,FALSE),VLOOKUP(A396,[2]cwurData!$B:$P,2,FALSE))</f>
        <v>China</v>
      </c>
      <c r="C396" t="str">
        <f>VLOOKUP(A396,[1]timesData!$B:$P,3,FALSE)</f>
        <v>301-350</v>
      </c>
      <c r="D396" t="str">
        <f>VLOOKUP(A397,[1]timesData!$B:$P,3,FALSE)</f>
        <v>301-350</v>
      </c>
      <c r="E396">
        <f>VLOOKUP(A397,[1]timesData!$B:$P,4,FALSE)</f>
        <v>81.5</v>
      </c>
      <c r="F396">
        <f>VLOOKUP(A397,[1]timesData!$B:$P,5,FALSE)</f>
        <v>25.2</v>
      </c>
      <c r="G396">
        <f>VLOOKUP(A397,[1]timesData!$B:$P,6,FALSE)</f>
        <v>12.4</v>
      </c>
      <c r="H396">
        <f>VLOOKUP(A397,[1]timesData!$B:$P,7,FALSE)</f>
        <v>46.9</v>
      </c>
      <c r="I396" t="str">
        <f>VLOOKUP(A397,[1]timesData!$B:$P,8,FALSE)</f>
        <v>-</v>
      </c>
      <c r="J396">
        <f>VLOOKUP(A397,[1]timesData!$B:$P,9,FALSE)</f>
        <v>12063</v>
      </c>
      <c r="K396">
        <f>VLOOKUP(A397,[1]timesData!$B:$P,10,FALSE)</f>
        <v>16.600000000000001</v>
      </c>
      <c r="L396">
        <f>VLOOKUP(A397,[1]timesData!$B:$P,11,FALSE)</f>
        <v>0.38</v>
      </c>
      <c r="M396">
        <f>VLOOKUP(A397,[1]timesData!$B:$P,12,FALSE)</f>
        <v>2.3229166666666665</v>
      </c>
      <c r="N396">
        <f>VLOOKUP(A397,[1]timesData!$B:$P,13,FALSE)</f>
        <v>2012</v>
      </c>
      <c r="O396">
        <f>VLOOKUP(A396,[2]cwurData!$B:$P,14,FALSE)</f>
        <v>496</v>
      </c>
      <c r="P396">
        <f>VLOOKUP(A396,[2]cwurData!$B:$N, 3, FALSE)</f>
        <v>27</v>
      </c>
      <c r="Q396">
        <f>VLOOKUP(A396,[2]cwurData!$B:$N, 4, FALSE)</f>
        <v>367</v>
      </c>
      <c r="R396">
        <f>VLOOKUP(A396,[2]cwurData!$B:$N, 5, FALSE)</f>
        <v>100</v>
      </c>
      <c r="S396">
        <f>VLOOKUP(A396,[2]cwurData!$B:$N, 6, FALSE)</f>
        <v>218</v>
      </c>
      <c r="T396">
        <f>VLOOKUP(A396,[2]cwurData!$B:$N, 7, FALSE)</f>
        <v>965</v>
      </c>
      <c r="U396">
        <f>VLOOKUP(A396,[2]cwurData!$B:$N, 8, FALSE)</f>
        <v>936</v>
      </c>
      <c r="V396">
        <f>VLOOKUP(A396,[2]cwurData!$B:$N, 9, FALSE)</f>
        <v>812</v>
      </c>
      <c r="W396">
        <f>VLOOKUP(A396,[2]cwurData!$B:$N, 10, FALSE)</f>
        <v>896</v>
      </c>
      <c r="X396">
        <f>VLOOKUP(A396,[2]cwurData!$B:$N, 11, FALSE)</f>
        <v>715</v>
      </c>
      <c r="Y396">
        <f>VLOOKUP(A396,[2]cwurData!$B:$N, 12, FALSE)</f>
        <v>44.79</v>
      </c>
      <c r="Z396">
        <f>VLOOKUP(A396,[2]cwurData!$B:$N, 13, FALSE)</f>
        <v>2015</v>
      </c>
    </row>
    <row r="397" spans="1:26" x14ac:dyDescent="0.3">
      <c r="A397" t="s">
        <v>345</v>
      </c>
      <c r="B397" t="str">
        <f>IFERROR(VLOOKUP(A397,[1]timesData!$B:$P,2,FALSE),VLOOKUP(A397,[2]cwurData!$B:$P,2,FALSE))</f>
        <v>United Kingdom</v>
      </c>
      <c r="C397" t="str">
        <f>VLOOKUP(A397,[1]timesData!$B:$P,3,FALSE)</f>
        <v>301-350</v>
      </c>
      <c r="D397" t="str">
        <f>VLOOKUP(A398,[1]timesData!$B:$P,3,FALSE)</f>
        <v>301-350</v>
      </c>
      <c r="E397">
        <f>VLOOKUP(A398,[1]timesData!$B:$P,4,FALSE)</f>
        <v>47</v>
      </c>
      <c r="F397">
        <f>VLOOKUP(A398,[1]timesData!$B:$P,5,FALSE)</f>
        <v>32.200000000000003</v>
      </c>
      <c r="G397">
        <f>VLOOKUP(A398,[1]timesData!$B:$P,6,FALSE)</f>
        <v>15.7</v>
      </c>
      <c r="H397">
        <f>VLOOKUP(A398,[1]timesData!$B:$P,7,FALSE)</f>
        <v>28.5</v>
      </c>
      <c r="I397" t="str">
        <f>VLOOKUP(A398,[1]timesData!$B:$P,8,FALSE)</f>
        <v>-</v>
      </c>
      <c r="J397">
        <f>VLOOKUP(A398,[1]timesData!$B:$P,9,FALSE)</f>
        <v>17503</v>
      </c>
      <c r="K397">
        <f>VLOOKUP(A398,[1]timesData!$B:$P,10,FALSE)</f>
        <v>16</v>
      </c>
      <c r="L397">
        <f>VLOOKUP(A398,[1]timesData!$B:$P,11,FALSE)</f>
        <v>0.05</v>
      </c>
      <c r="M397">
        <f>VLOOKUP(A398,[1]timesData!$B:$P,12,FALSE)</f>
        <v>2.4868055555555557</v>
      </c>
      <c r="N397">
        <f>VLOOKUP(A398,[1]timesData!$B:$P,13,FALSE)</f>
        <v>2012</v>
      </c>
      <c r="O397">
        <f>VLOOKUP(A397,[2]cwurData!$B:$P,14,FALSE)</f>
        <v>499</v>
      </c>
      <c r="P397">
        <f>VLOOKUP(A397,[2]cwurData!$B:$N, 3, FALSE)</f>
        <v>41</v>
      </c>
      <c r="Q397">
        <f>VLOOKUP(A397,[2]cwurData!$B:$N, 4, FALSE)</f>
        <v>195</v>
      </c>
      <c r="R397">
        <f>VLOOKUP(A397,[2]cwurData!$B:$N, 5, FALSE)</f>
        <v>234</v>
      </c>
      <c r="S397">
        <f>VLOOKUP(A397,[2]cwurData!$B:$N, 6, FALSE)</f>
        <v>210</v>
      </c>
      <c r="T397">
        <f>VLOOKUP(A397,[2]cwurData!$B:$N, 7, FALSE)</f>
        <v>414</v>
      </c>
      <c r="U397">
        <f>VLOOKUP(A397,[2]cwurData!$B:$N, 8, FALSE)</f>
        <v>548</v>
      </c>
      <c r="V397">
        <f>VLOOKUP(A397,[2]cwurData!$B:$N, 9, FALSE)</f>
        <v>406</v>
      </c>
      <c r="W397">
        <f>VLOOKUP(A397,[2]cwurData!$B:$N, 10, FALSE)</f>
        <v>569</v>
      </c>
      <c r="X397">
        <f>VLOOKUP(A397,[2]cwurData!$B:$N, 11, FALSE)</f>
        <v>338</v>
      </c>
      <c r="Y397">
        <f>VLOOKUP(A397,[2]cwurData!$B:$N, 12, FALSE)</f>
        <v>45.12</v>
      </c>
      <c r="Z397">
        <f>VLOOKUP(A397,[2]cwurData!$B:$N, 13, FALSE)</f>
        <v>2014</v>
      </c>
    </row>
    <row r="398" spans="1:26" x14ac:dyDescent="0.3">
      <c r="A398" t="s">
        <v>309</v>
      </c>
      <c r="B398" t="str">
        <f>IFERROR(VLOOKUP(A398,[1]timesData!$B:$P,2,FALSE),VLOOKUP(A398,[2]cwurData!$B:$P,2,FALSE))</f>
        <v>Israel</v>
      </c>
      <c r="C398" t="str">
        <f>VLOOKUP(A398,[1]timesData!$B:$P,3,FALSE)</f>
        <v>301-350</v>
      </c>
      <c r="D398" t="str">
        <f>VLOOKUP(A399,[1]timesData!$B:$P,3,FALSE)</f>
        <v>301-350</v>
      </c>
      <c r="E398">
        <f>VLOOKUP(A399,[1]timesData!$B:$P,4,FALSE)</f>
        <v>18.600000000000001</v>
      </c>
      <c r="F398">
        <f>VLOOKUP(A399,[1]timesData!$B:$P,5,FALSE)</f>
        <v>14.5</v>
      </c>
      <c r="G398">
        <f>VLOOKUP(A399,[1]timesData!$B:$P,6,FALSE)</f>
        <v>52.8</v>
      </c>
      <c r="H398">
        <f>VLOOKUP(A399,[1]timesData!$B:$P,7,FALSE)</f>
        <v>29.9</v>
      </c>
      <c r="I398" t="str">
        <f>VLOOKUP(A399,[1]timesData!$B:$P,8,FALSE)</f>
        <v>-</v>
      </c>
      <c r="J398">
        <f>VLOOKUP(A399,[1]timesData!$B:$P,9,FALSE)</f>
        <v>13908</v>
      </c>
      <c r="K398">
        <f>VLOOKUP(A399,[1]timesData!$B:$P,10,FALSE)</f>
        <v>18.100000000000001</v>
      </c>
      <c r="L398">
        <f>VLOOKUP(A399,[1]timesData!$B:$P,11,FALSE)</f>
        <v>7.0000000000000007E-2</v>
      </c>
      <c r="M398">
        <f>VLOOKUP(A399,[1]timesData!$B:$P,12,FALSE)</f>
        <v>1.9541666666666666</v>
      </c>
      <c r="N398">
        <f>VLOOKUP(A399,[1]timesData!$B:$P,13,FALSE)</f>
        <v>2012</v>
      </c>
      <c r="O398">
        <f>VLOOKUP(A398,[2]cwurData!$B:$P,14,FALSE)</f>
        <v>503</v>
      </c>
      <c r="P398">
        <f>VLOOKUP(A398,[2]cwurData!$B:$N, 3, FALSE)</f>
        <v>6</v>
      </c>
      <c r="Q398">
        <f>VLOOKUP(A398,[2]cwurData!$B:$N, 4, FALSE)</f>
        <v>266</v>
      </c>
      <c r="R398">
        <f>VLOOKUP(A398,[2]cwurData!$B:$N, 5, FALSE)</f>
        <v>408</v>
      </c>
      <c r="S398">
        <f>VLOOKUP(A398,[2]cwurData!$B:$N, 6, FALSE)</f>
        <v>210</v>
      </c>
      <c r="T398">
        <f>VLOOKUP(A398,[2]cwurData!$B:$N, 7, FALSE)</f>
        <v>415</v>
      </c>
      <c r="U398">
        <f>VLOOKUP(A398,[2]cwurData!$B:$N, 8, FALSE)</f>
        <v>392</v>
      </c>
      <c r="V398">
        <f>VLOOKUP(A398,[2]cwurData!$B:$N, 9, FALSE)</f>
        <v>609</v>
      </c>
      <c r="W398">
        <f>VLOOKUP(A398,[2]cwurData!$B:$N, 10, FALSE)</f>
        <v>482</v>
      </c>
      <c r="X398">
        <f>VLOOKUP(A398,[2]cwurData!$B:$N, 11, FALSE)</f>
        <v>259</v>
      </c>
      <c r="Y398">
        <f>VLOOKUP(A398,[2]cwurData!$B:$N, 12, FALSE)</f>
        <v>45.11</v>
      </c>
      <c r="Z398">
        <f>VLOOKUP(A398,[2]cwurData!$B:$N, 13, FALSE)</f>
        <v>2014</v>
      </c>
    </row>
    <row r="399" spans="1:26" x14ac:dyDescent="0.3">
      <c r="A399" t="s">
        <v>338</v>
      </c>
      <c r="B399" t="str">
        <f>IFERROR(VLOOKUP(A399,[1]timesData!$B:$P,2,FALSE),VLOOKUP(A399,[2]cwurData!$B:$P,2,FALSE))</f>
        <v>United States of America</v>
      </c>
      <c r="C399" t="str">
        <f>VLOOKUP(A399,[1]timesData!$B:$P,3,FALSE)</f>
        <v>301-350</v>
      </c>
      <c r="D399" t="str">
        <f>VLOOKUP(A400,[1]timesData!$B:$P,3,FALSE)</f>
        <v>301-350</v>
      </c>
      <c r="E399">
        <f>VLOOKUP(A400,[1]timesData!$B:$P,4,FALSE)</f>
        <v>59.5</v>
      </c>
      <c r="F399">
        <f>VLOOKUP(A400,[1]timesData!$B:$P,5,FALSE)</f>
        <v>11</v>
      </c>
      <c r="G399">
        <f>VLOOKUP(A400,[1]timesData!$B:$P,6,FALSE)</f>
        <v>69.400000000000006</v>
      </c>
      <c r="H399" t="str">
        <f>VLOOKUP(A400,[1]timesData!$B:$P,7,FALSE)</f>
        <v>-</v>
      </c>
      <c r="I399" t="str">
        <f>VLOOKUP(A400,[1]timesData!$B:$P,8,FALSE)</f>
        <v>-</v>
      </c>
      <c r="J399">
        <f>VLOOKUP(A400,[1]timesData!$B:$P,9,FALSE)</f>
        <v>10416</v>
      </c>
      <c r="K399">
        <f>VLOOKUP(A400,[1]timesData!$B:$P,10,FALSE)</f>
        <v>46.9</v>
      </c>
      <c r="L399">
        <f>VLOOKUP(A400,[1]timesData!$B:$P,11,FALSE)</f>
        <v>0.19</v>
      </c>
      <c r="M399">
        <f>VLOOKUP(A400,[1]timesData!$B:$P,12,FALSE)</f>
        <v>2.4458333333333333</v>
      </c>
      <c r="N399">
        <f>VLOOKUP(A400,[1]timesData!$B:$P,13,FALSE)</f>
        <v>2013</v>
      </c>
      <c r="O399">
        <f>VLOOKUP(A399,[2]cwurData!$B:$P,14,FALSE)</f>
        <v>505</v>
      </c>
      <c r="P399">
        <f>VLOOKUP(A399,[2]cwurData!$B:$N, 3, FALSE)</f>
        <v>162</v>
      </c>
      <c r="Q399">
        <f>VLOOKUP(A399,[2]cwurData!$B:$N, 4, FALSE)</f>
        <v>355</v>
      </c>
      <c r="R399">
        <f>VLOOKUP(A399,[2]cwurData!$B:$N, 5, FALSE)</f>
        <v>478</v>
      </c>
      <c r="S399">
        <f>VLOOKUP(A399,[2]cwurData!$B:$N, 6, FALSE)</f>
        <v>210</v>
      </c>
      <c r="T399">
        <f>VLOOKUP(A399,[2]cwurData!$B:$N, 7, FALSE)</f>
        <v>554</v>
      </c>
      <c r="U399">
        <f>VLOOKUP(A399,[2]cwurData!$B:$N, 8, FALSE)</f>
        <v>377</v>
      </c>
      <c r="V399">
        <f>VLOOKUP(A399,[2]cwurData!$B:$N, 9, FALSE)</f>
        <v>363</v>
      </c>
      <c r="W399">
        <f>VLOOKUP(A399,[2]cwurData!$B:$N, 10, FALSE)</f>
        <v>402</v>
      </c>
      <c r="X399">
        <f>VLOOKUP(A399,[2]cwurData!$B:$N, 11, FALSE)</f>
        <v>373</v>
      </c>
      <c r="Y399">
        <f>VLOOKUP(A399,[2]cwurData!$B:$N, 12, FALSE)</f>
        <v>45.1</v>
      </c>
      <c r="Z399">
        <f>VLOOKUP(A399,[2]cwurData!$B:$N, 13, FALSE)</f>
        <v>2014</v>
      </c>
    </row>
    <row r="400" spans="1:26" x14ac:dyDescent="0.3">
      <c r="A400" t="s">
        <v>429</v>
      </c>
      <c r="B400" t="str">
        <f>IFERROR(VLOOKUP(A400,[1]timesData!$B:$P,2,FALSE),VLOOKUP(A400,[2]cwurData!$B:$P,2,FALSE))</f>
        <v>Switzerland</v>
      </c>
      <c r="C400" t="str">
        <f>VLOOKUP(A400,[1]timesData!$B:$P,3,FALSE)</f>
        <v>301-350</v>
      </c>
      <c r="D400" t="str">
        <f>VLOOKUP(A401,[1]timesData!$B:$P,3,FALSE)</f>
        <v>301-350</v>
      </c>
      <c r="E400">
        <f>VLOOKUP(A401,[1]timesData!$B:$P,4,FALSE)</f>
        <v>14.3</v>
      </c>
      <c r="F400">
        <f>VLOOKUP(A401,[1]timesData!$B:$P,5,FALSE)</f>
        <v>15.7</v>
      </c>
      <c r="G400">
        <f>VLOOKUP(A401,[1]timesData!$B:$P,6,FALSE)</f>
        <v>38.799999999999997</v>
      </c>
      <c r="H400">
        <f>VLOOKUP(A401,[1]timesData!$B:$P,7,FALSE)</f>
        <v>24.2</v>
      </c>
      <c r="I400" t="str">
        <f>VLOOKUP(A401,[1]timesData!$B:$P,8,FALSE)</f>
        <v>-</v>
      </c>
      <c r="J400">
        <f>VLOOKUP(A401,[1]timesData!$B:$P,9,FALSE)</f>
        <v>8327</v>
      </c>
      <c r="K400">
        <f>VLOOKUP(A401,[1]timesData!$B:$P,10,FALSE)</f>
        <v>14.9</v>
      </c>
      <c r="L400">
        <f>VLOOKUP(A401,[1]timesData!$B:$P,11,FALSE)</f>
        <v>0.01</v>
      </c>
      <c r="M400">
        <f>VLOOKUP(A401,[1]timesData!$B:$P,12,FALSE)</f>
        <v>0.72499999999999998</v>
      </c>
      <c r="N400">
        <f>VLOOKUP(A401,[1]timesData!$B:$P,13,FALSE)</f>
        <v>2012</v>
      </c>
      <c r="O400">
        <f>VLOOKUP(A400,[2]cwurData!$B:$P,14,FALSE)</f>
        <v>514</v>
      </c>
      <c r="P400">
        <f>VLOOKUP(A400,[2]cwurData!$B:$N, 3, FALSE)</f>
        <v>8</v>
      </c>
      <c r="Q400">
        <f>VLOOKUP(A400,[2]cwurData!$B:$N, 4, FALSE)</f>
        <v>208</v>
      </c>
      <c r="R400">
        <f>VLOOKUP(A400,[2]cwurData!$B:$N, 5, FALSE)</f>
        <v>209</v>
      </c>
      <c r="S400">
        <f>VLOOKUP(A400,[2]cwurData!$B:$N, 6, FALSE)</f>
        <v>210</v>
      </c>
      <c r="T400">
        <f>VLOOKUP(A400,[2]cwurData!$B:$N, 7, FALSE)</f>
        <v>727</v>
      </c>
      <c r="U400">
        <f>VLOOKUP(A400,[2]cwurData!$B:$N, 8, FALSE)</f>
        <v>405</v>
      </c>
      <c r="V400">
        <f>VLOOKUP(A400,[2]cwurData!$B:$N, 9, FALSE)</f>
        <v>406</v>
      </c>
      <c r="W400">
        <f>VLOOKUP(A400,[2]cwurData!$B:$N, 10, FALSE)</f>
        <v>554</v>
      </c>
      <c r="X400">
        <f>VLOOKUP(A400,[2]cwurData!$B:$N, 11, FALSE)</f>
        <v>552</v>
      </c>
      <c r="Y400">
        <f>VLOOKUP(A400,[2]cwurData!$B:$N, 12, FALSE)</f>
        <v>45.05</v>
      </c>
      <c r="Z400">
        <f>VLOOKUP(A400,[2]cwurData!$B:$N, 13, FALSE)</f>
        <v>2014</v>
      </c>
    </row>
    <row r="401" spans="1:26" x14ac:dyDescent="0.3">
      <c r="A401" t="s">
        <v>315</v>
      </c>
      <c r="B401" t="str">
        <f>IFERROR(VLOOKUP(A401,[1]timesData!$B:$P,2,FALSE),VLOOKUP(A401,[2]cwurData!$B:$P,2,FALSE))</f>
        <v>India</v>
      </c>
      <c r="C401" t="str">
        <f>VLOOKUP(A401,[1]timesData!$B:$P,3,FALSE)</f>
        <v>301-350</v>
      </c>
      <c r="D401" t="str">
        <f>VLOOKUP(A402,[1]timesData!$B:$P,3,FALSE)</f>
        <v>301-350</v>
      </c>
      <c r="E401">
        <f>VLOOKUP(A402,[1]timesData!$B:$P,4,FALSE)</f>
        <v>48.4</v>
      </c>
      <c r="F401">
        <f>VLOOKUP(A402,[1]timesData!$B:$P,5,FALSE)</f>
        <v>15.9</v>
      </c>
      <c r="G401">
        <f>VLOOKUP(A402,[1]timesData!$B:$P,6,FALSE)</f>
        <v>40.9</v>
      </c>
      <c r="H401">
        <f>VLOOKUP(A402,[1]timesData!$B:$P,7,FALSE)</f>
        <v>34.700000000000003</v>
      </c>
      <c r="I401" t="str">
        <f>VLOOKUP(A402,[1]timesData!$B:$P,8,FALSE)</f>
        <v>-</v>
      </c>
      <c r="J401">
        <f>VLOOKUP(A402,[1]timesData!$B:$P,9,FALSE)</f>
        <v>10791</v>
      </c>
      <c r="K401">
        <f>VLOOKUP(A402,[1]timesData!$B:$P,10,FALSE)</f>
        <v>17.8</v>
      </c>
      <c r="L401">
        <f>VLOOKUP(A402,[1]timesData!$B:$P,11,FALSE)</f>
        <v>0.1</v>
      </c>
      <c r="M401">
        <f>VLOOKUP(A402,[1]timesData!$B:$P,12,FALSE)</f>
        <v>2.1590277777777778</v>
      </c>
      <c r="N401">
        <f>VLOOKUP(A402,[1]timesData!$B:$P,13,FALSE)</f>
        <v>2012</v>
      </c>
      <c r="O401">
        <f>VLOOKUP(A401,[2]cwurData!$B:$P,14,FALSE)</f>
        <v>535</v>
      </c>
      <c r="P401">
        <f>VLOOKUP(A401,[2]cwurData!$B:$N, 3, FALSE)</f>
        <v>4</v>
      </c>
      <c r="Q401">
        <f>VLOOKUP(A401,[2]cwurData!$B:$N, 4, FALSE)</f>
        <v>355</v>
      </c>
      <c r="R401">
        <f>VLOOKUP(A401,[2]cwurData!$B:$N, 5, FALSE)</f>
        <v>478</v>
      </c>
      <c r="S401">
        <f>VLOOKUP(A401,[2]cwurData!$B:$N, 6, FALSE)</f>
        <v>210</v>
      </c>
      <c r="T401">
        <f>VLOOKUP(A401,[2]cwurData!$B:$N, 7, FALSE)</f>
        <v>522</v>
      </c>
      <c r="U401">
        <f>VLOOKUP(A401,[2]cwurData!$B:$N, 8, FALSE)</f>
        <v>785</v>
      </c>
      <c r="V401">
        <f>VLOOKUP(A401,[2]cwurData!$B:$N, 9, FALSE)</f>
        <v>609</v>
      </c>
      <c r="W401">
        <f>VLOOKUP(A401,[2]cwurData!$B:$N, 10, FALSE)</f>
        <v>724</v>
      </c>
      <c r="X401">
        <f>VLOOKUP(A401,[2]cwurData!$B:$N, 11, FALSE)</f>
        <v>121</v>
      </c>
      <c r="Y401">
        <f>VLOOKUP(A401,[2]cwurData!$B:$N, 12, FALSE)</f>
        <v>45</v>
      </c>
      <c r="Z401">
        <f>VLOOKUP(A401,[2]cwurData!$B:$N, 13, FALSE)</f>
        <v>2014</v>
      </c>
    </row>
    <row r="402" spans="1:26" x14ac:dyDescent="0.3">
      <c r="A402" t="s">
        <v>329</v>
      </c>
      <c r="B402" t="str">
        <f>IFERROR(VLOOKUP(A402,[1]timesData!$B:$P,2,FALSE),VLOOKUP(A402,[2]cwurData!$B:$P,2,FALSE))</f>
        <v>Portugal</v>
      </c>
      <c r="C402" t="str">
        <f>VLOOKUP(A402,[1]timesData!$B:$P,3,FALSE)</f>
        <v>301-350</v>
      </c>
      <c r="D402" t="str">
        <f>VLOOKUP(A403,[1]timesData!$B:$P,3,FALSE)</f>
        <v>301-350</v>
      </c>
      <c r="E402">
        <f>VLOOKUP(A403,[1]timesData!$B:$P,4,FALSE)</f>
        <v>49</v>
      </c>
      <c r="F402">
        <f>VLOOKUP(A403,[1]timesData!$B:$P,5,FALSE)</f>
        <v>13.7</v>
      </c>
      <c r="G402">
        <f>VLOOKUP(A403,[1]timesData!$B:$P,6,FALSE)</f>
        <v>58.1</v>
      </c>
      <c r="H402">
        <f>VLOOKUP(A403,[1]timesData!$B:$P,7,FALSE)</f>
        <v>25.8</v>
      </c>
      <c r="I402" t="str">
        <f>VLOOKUP(A403,[1]timesData!$B:$P,8,FALSE)</f>
        <v>-</v>
      </c>
      <c r="J402">
        <f>VLOOKUP(A403,[1]timesData!$B:$P,9,FALSE)</f>
        <v>24121</v>
      </c>
      <c r="K402">
        <f>VLOOKUP(A403,[1]timesData!$B:$P,10,FALSE)</f>
        <v>25.9</v>
      </c>
      <c r="L402">
        <f>VLOOKUP(A403,[1]timesData!$B:$P,11,FALSE)</f>
        <v>0.13</v>
      </c>
      <c r="M402">
        <f>VLOOKUP(A403,[1]timesData!$B:$P,12,FALSE)</f>
        <v>2.2000000000000002</v>
      </c>
      <c r="N402">
        <f>VLOOKUP(A403,[1]timesData!$B:$P,13,FALSE)</f>
        <v>2012</v>
      </c>
      <c r="O402">
        <f>VLOOKUP(A402,[2]cwurData!$B:$P,14,FALSE)</f>
        <v>553</v>
      </c>
      <c r="P402">
        <f>VLOOKUP(A402,[2]cwurData!$B:$N, 3, FALSE)</f>
        <v>4</v>
      </c>
      <c r="Q402">
        <f>VLOOKUP(A402,[2]cwurData!$B:$N, 4, FALSE)</f>
        <v>355</v>
      </c>
      <c r="R402">
        <f>VLOOKUP(A402,[2]cwurData!$B:$N, 5, FALSE)</f>
        <v>478</v>
      </c>
      <c r="S402">
        <f>VLOOKUP(A402,[2]cwurData!$B:$N, 6, FALSE)</f>
        <v>210</v>
      </c>
      <c r="T402">
        <f>VLOOKUP(A402,[2]cwurData!$B:$N, 7, FALSE)</f>
        <v>419</v>
      </c>
      <c r="U402">
        <f>VLOOKUP(A402,[2]cwurData!$B:$N, 8, FALSE)</f>
        <v>659</v>
      </c>
      <c r="V402">
        <f>VLOOKUP(A402,[2]cwurData!$B:$N, 9, FALSE)</f>
        <v>609</v>
      </c>
      <c r="W402">
        <f>VLOOKUP(A402,[2]cwurData!$B:$N, 10, FALSE)</f>
        <v>605</v>
      </c>
      <c r="X402">
        <f>VLOOKUP(A402,[2]cwurData!$B:$N, 11, FALSE)</f>
        <v>170</v>
      </c>
      <c r="Y402">
        <f>VLOOKUP(A402,[2]cwurData!$B:$N, 12, FALSE)</f>
        <v>44.95</v>
      </c>
      <c r="Z402">
        <f>VLOOKUP(A402,[2]cwurData!$B:$N, 13, FALSE)</f>
        <v>2014</v>
      </c>
    </row>
    <row r="403" spans="1:26" x14ac:dyDescent="0.3">
      <c r="A403" t="s">
        <v>322</v>
      </c>
      <c r="B403" t="str">
        <f>IFERROR(VLOOKUP(A403,[1]timesData!$B:$P,2,FALSE),VLOOKUP(A403,[2]cwurData!$B:$P,2,FALSE))</f>
        <v>United Kingdom</v>
      </c>
      <c r="C403" t="str">
        <f>VLOOKUP(A403,[1]timesData!$B:$P,3,FALSE)</f>
        <v>301-350</v>
      </c>
      <c r="D403" t="str">
        <f>VLOOKUP(A404,[1]timesData!$B:$P,3,FALSE)</f>
        <v>301-350</v>
      </c>
      <c r="E403">
        <f>VLOOKUP(A404,[1]timesData!$B:$P,4,FALSE)</f>
        <v>75.3</v>
      </c>
      <c r="F403">
        <f>VLOOKUP(A404,[1]timesData!$B:$P,5,FALSE)</f>
        <v>20</v>
      </c>
      <c r="G403">
        <f>VLOOKUP(A404,[1]timesData!$B:$P,6,FALSE)</f>
        <v>27.1</v>
      </c>
      <c r="H403">
        <f>VLOOKUP(A404,[1]timesData!$B:$P,7,FALSE)</f>
        <v>36.4</v>
      </c>
      <c r="I403" t="str">
        <f>VLOOKUP(A404,[1]timesData!$B:$P,8,FALSE)</f>
        <v>-</v>
      </c>
      <c r="J403">
        <f>VLOOKUP(A404,[1]timesData!$B:$P,9,FALSE)</f>
        <v>17422</v>
      </c>
      <c r="K403">
        <f>VLOOKUP(A404,[1]timesData!$B:$P,10,FALSE)</f>
        <v>15.9</v>
      </c>
      <c r="L403">
        <f>VLOOKUP(A404,[1]timesData!$B:$P,11,FALSE)</f>
        <v>0.15</v>
      </c>
      <c r="M403">
        <f>VLOOKUP(A404,[1]timesData!$B:$P,12,FALSE)</f>
        <v>2.036111111111111</v>
      </c>
      <c r="N403">
        <f>VLOOKUP(A404,[1]timesData!$B:$P,13,FALSE)</f>
        <v>2012</v>
      </c>
      <c r="O403">
        <f>VLOOKUP(A403,[2]cwurData!$B:$P,14,FALSE)</f>
        <v>577</v>
      </c>
      <c r="P403">
        <f>VLOOKUP(A403,[2]cwurData!$B:$N, 3, FALSE)</f>
        <v>45</v>
      </c>
      <c r="Q403">
        <f>VLOOKUP(A403,[2]cwurData!$B:$N, 4, FALSE)</f>
        <v>355</v>
      </c>
      <c r="R403">
        <f>VLOOKUP(A403,[2]cwurData!$B:$N, 5, FALSE)</f>
        <v>437</v>
      </c>
      <c r="S403">
        <f>VLOOKUP(A403,[2]cwurData!$B:$N, 6, FALSE)</f>
        <v>210</v>
      </c>
      <c r="T403">
        <f>VLOOKUP(A403,[2]cwurData!$B:$N, 7, FALSE)</f>
        <v>534</v>
      </c>
      <c r="U403">
        <f>VLOOKUP(A403,[2]cwurData!$B:$N, 8, FALSE)</f>
        <v>425</v>
      </c>
      <c r="V403">
        <f>VLOOKUP(A403,[2]cwurData!$B:$N, 9, FALSE)</f>
        <v>493</v>
      </c>
      <c r="W403">
        <f>VLOOKUP(A403,[2]cwurData!$B:$N, 10, FALSE)</f>
        <v>514</v>
      </c>
      <c r="X403">
        <f>VLOOKUP(A403,[2]cwurData!$B:$N, 11, FALSE)</f>
        <v>426</v>
      </c>
      <c r="Y403">
        <f>VLOOKUP(A403,[2]cwurData!$B:$N, 12, FALSE)</f>
        <v>44.88</v>
      </c>
      <c r="Z403">
        <f>VLOOKUP(A403,[2]cwurData!$B:$N, 13, FALSE)</f>
        <v>2014</v>
      </c>
    </row>
    <row r="404" spans="1:26" x14ac:dyDescent="0.3">
      <c r="A404" t="s">
        <v>307</v>
      </c>
      <c r="B404" t="str">
        <f>IFERROR(VLOOKUP(A404,[1]timesData!$B:$P,2,FALSE),VLOOKUP(A404,[2]cwurData!$B:$P,2,FALSE))</f>
        <v>Denmark</v>
      </c>
      <c r="C404" t="str">
        <f>VLOOKUP(A404,[1]timesData!$B:$P,3,FALSE)</f>
        <v>301-350</v>
      </c>
      <c r="D404" t="str">
        <f>VLOOKUP(A405,[1]timesData!$B:$P,3,FALSE)</f>
        <v>301-350</v>
      </c>
      <c r="E404">
        <f>VLOOKUP(A405,[1]timesData!$B:$P,4,FALSE)</f>
        <v>70.5</v>
      </c>
      <c r="F404">
        <f>VLOOKUP(A405,[1]timesData!$B:$P,5,FALSE)</f>
        <v>15</v>
      </c>
      <c r="G404">
        <f>VLOOKUP(A405,[1]timesData!$B:$P,6,FALSE)</f>
        <v>34.9</v>
      </c>
      <c r="H404">
        <f>VLOOKUP(A405,[1]timesData!$B:$P,7,FALSE)</f>
        <v>42.1</v>
      </c>
      <c r="I404" t="str">
        <f>VLOOKUP(A405,[1]timesData!$B:$P,8,FALSE)</f>
        <v>-</v>
      </c>
      <c r="J404">
        <f>VLOOKUP(A405,[1]timesData!$B:$P,9,FALSE)</f>
        <v>18340</v>
      </c>
      <c r="K404">
        <f>VLOOKUP(A405,[1]timesData!$B:$P,10,FALSE)</f>
        <v>23.8</v>
      </c>
      <c r="L404">
        <f>VLOOKUP(A405,[1]timesData!$B:$P,11,FALSE)</f>
        <v>0.21</v>
      </c>
      <c r="M404">
        <f>VLOOKUP(A405,[1]timesData!$B:$P,12,FALSE)</f>
        <v>2.4048611111111109</v>
      </c>
      <c r="N404">
        <f>VLOOKUP(A405,[1]timesData!$B:$P,13,FALSE)</f>
        <v>2012</v>
      </c>
      <c r="O404">
        <f>VLOOKUP(A404,[2]cwurData!$B:$P,14,FALSE)</f>
        <v>593</v>
      </c>
      <c r="P404">
        <f>VLOOKUP(A404,[2]cwurData!$B:$N, 3, FALSE)</f>
        <v>5</v>
      </c>
      <c r="Q404">
        <f>VLOOKUP(A404,[2]cwurData!$B:$N, 4, FALSE)</f>
        <v>355</v>
      </c>
      <c r="R404">
        <f>VLOOKUP(A404,[2]cwurData!$B:$N, 5, FALSE)</f>
        <v>384</v>
      </c>
      <c r="S404">
        <f>VLOOKUP(A404,[2]cwurData!$B:$N, 6, FALSE)</f>
        <v>210</v>
      </c>
      <c r="T404">
        <f>VLOOKUP(A404,[2]cwurData!$B:$N, 7, FALSE)</f>
        <v>606</v>
      </c>
      <c r="U404">
        <f>VLOOKUP(A404,[2]cwurData!$B:$N, 8, FALSE)</f>
        <v>633</v>
      </c>
      <c r="V404">
        <f>VLOOKUP(A404,[2]cwurData!$B:$N, 9, FALSE)</f>
        <v>363</v>
      </c>
      <c r="W404">
        <f>VLOOKUP(A404,[2]cwurData!$B:$N, 10, FALSE)</f>
        <v>543</v>
      </c>
      <c r="X404">
        <f>VLOOKUP(A404,[2]cwurData!$B:$N, 11, FALSE)</f>
        <v>426</v>
      </c>
      <c r="Y404">
        <f>VLOOKUP(A404,[2]cwurData!$B:$N, 12, FALSE)</f>
        <v>44.83</v>
      </c>
      <c r="Z404">
        <f>VLOOKUP(A404,[2]cwurData!$B:$N, 13, FALSE)</f>
        <v>2014</v>
      </c>
    </row>
    <row r="405" spans="1:26" x14ac:dyDescent="0.3">
      <c r="A405" t="s">
        <v>347</v>
      </c>
      <c r="B405" t="str">
        <f>IFERROR(VLOOKUP(A405,[1]timesData!$B:$P,2,FALSE),VLOOKUP(A405,[2]cwurData!$B:$P,2,FALSE))</f>
        <v>Australia</v>
      </c>
      <c r="C405" t="str">
        <f>VLOOKUP(A405,[1]timesData!$B:$P,3,FALSE)</f>
        <v>301-350</v>
      </c>
      <c r="D405" t="str">
        <f>VLOOKUP(A406,[1]timesData!$B:$P,3,FALSE)</f>
        <v>301-350</v>
      </c>
      <c r="E405">
        <f>VLOOKUP(A406,[1]timesData!$B:$P,4,FALSE)</f>
        <v>70.2</v>
      </c>
      <c r="F405">
        <f>VLOOKUP(A406,[1]timesData!$B:$P,5,FALSE)</f>
        <v>10.5</v>
      </c>
      <c r="G405">
        <f>VLOOKUP(A406,[1]timesData!$B:$P,6,FALSE)</f>
        <v>72.3</v>
      </c>
      <c r="H405">
        <f>VLOOKUP(A406,[1]timesData!$B:$P,7,FALSE)</f>
        <v>29.2</v>
      </c>
      <c r="I405" t="str">
        <f>VLOOKUP(A406,[1]timesData!$B:$P,8,FALSE)</f>
        <v>-</v>
      </c>
      <c r="J405">
        <f>VLOOKUP(A406,[1]timesData!$B:$P,9,FALSE)</f>
        <v>20161</v>
      </c>
      <c r="K405">
        <f>VLOOKUP(A406,[1]timesData!$B:$P,10,FALSE)</f>
        <v>19.100000000000001</v>
      </c>
      <c r="L405">
        <f>VLOOKUP(A406,[1]timesData!$B:$P,11,FALSE)</f>
        <v>0.23</v>
      </c>
      <c r="M405">
        <f>VLOOKUP(A406,[1]timesData!$B:$P,12,FALSE)</f>
        <v>1.9131944444444444</v>
      </c>
      <c r="N405">
        <f>VLOOKUP(A406,[1]timesData!$B:$P,13,FALSE)</f>
        <v>2013</v>
      </c>
      <c r="O405">
        <f>VLOOKUP(A405,[2]cwurData!$B:$P,14,FALSE)</f>
        <v>608</v>
      </c>
      <c r="P405">
        <f>VLOOKUP(A405,[2]cwurData!$B:$N, 3, FALSE)</f>
        <v>15</v>
      </c>
      <c r="Q405">
        <f>VLOOKUP(A405,[2]cwurData!$B:$N, 4, FALSE)</f>
        <v>355</v>
      </c>
      <c r="R405">
        <f>VLOOKUP(A405,[2]cwurData!$B:$N, 5, FALSE)</f>
        <v>478</v>
      </c>
      <c r="S405">
        <f>VLOOKUP(A405,[2]cwurData!$B:$N, 6, FALSE)</f>
        <v>210</v>
      </c>
      <c r="T405">
        <f>VLOOKUP(A405,[2]cwurData!$B:$N, 7, FALSE)</f>
        <v>461</v>
      </c>
      <c r="U405">
        <f>VLOOKUP(A405,[2]cwurData!$B:$N, 8, FALSE)</f>
        <v>278</v>
      </c>
      <c r="V405">
        <f>VLOOKUP(A405,[2]cwurData!$B:$N, 9, FALSE)</f>
        <v>609</v>
      </c>
      <c r="W405">
        <f>VLOOKUP(A405,[2]cwurData!$B:$N, 10, FALSE)</f>
        <v>531</v>
      </c>
      <c r="X405">
        <f>VLOOKUP(A405,[2]cwurData!$B:$N, 11, FALSE)</f>
        <v>737</v>
      </c>
      <c r="Y405">
        <f>VLOOKUP(A405,[2]cwurData!$B:$N, 12, FALSE)</f>
        <v>44.8</v>
      </c>
      <c r="Z405">
        <f>VLOOKUP(A405,[2]cwurData!$B:$N, 13, FALSE)</f>
        <v>2014</v>
      </c>
    </row>
    <row r="406" spans="1:26" x14ac:dyDescent="0.3">
      <c r="A406" t="s">
        <v>431</v>
      </c>
      <c r="B406" t="str">
        <f>IFERROR(VLOOKUP(A406,[1]timesData!$B:$P,2,FALSE),VLOOKUP(A406,[2]cwurData!$B:$P,2,FALSE))</f>
        <v>United Kingdom</v>
      </c>
      <c r="C406" t="str">
        <f>VLOOKUP(A406,[1]timesData!$B:$P,3,FALSE)</f>
        <v>301-350</v>
      </c>
      <c r="D406" t="str">
        <f>VLOOKUP(A407,[1]timesData!$B:$P,3,FALSE)</f>
        <v>301-350</v>
      </c>
      <c r="E406">
        <f>VLOOKUP(A407,[1]timesData!$B:$P,4,FALSE)</f>
        <v>76.5</v>
      </c>
      <c r="F406">
        <f>VLOOKUP(A407,[1]timesData!$B:$P,5,FALSE)</f>
        <v>7.7</v>
      </c>
      <c r="G406">
        <f>VLOOKUP(A407,[1]timesData!$B:$P,6,FALSE)</f>
        <v>55.5</v>
      </c>
      <c r="H406">
        <f>VLOOKUP(A407,[1]timesData!$B:$P,7,FALSE)</f>
        <v>27.1</v>
      </c>
      <c r="I406" t="str">
        <f>VLOOKUP(A407,[1]timesData!$B:$P,8,FALSE)</f>
        <v>-</v>
      </c>
      <c r="J406">
        <f>VLOOKUP(A407,[1]timesData!$B:$P,9,FALSE)</f>
        <v>19665</v>
      </c>
      <c r="K406">
        <f>VLOOKUP(A407,[1]timesData!$B:$P,10,FALSE)</f>
        <v>19.399999999999999</v>
      </c>
      <c r="L406">
        <f>VLOOKUP(A407,[1]timesData!$B:$P,11,FALSE)</f>
        <v>0.27</v>
      </c>
      <c r="M406">
        <f>VLOOKUP(A407,[1]timesData!$B:$P,12,FALSE)</f>
        <v>2.2819444444444446</v>
      </c>
      <c r="N406">
        <f>VLOOKUP(A407,[1]timesData!$B:$P,13,FALSE)</f>
        <v>2012</v>
      </c>
      <c r="O406">
        <f>VLOOKUP(A406,[2]cwurData!$B:$P,14,FALSE)</f>
        <v>640</v>
      </c>
      <c r="P406">
        <f>VLOOKUP(A406,[2]cwurData!$B:$N, 3, FALSE)</f>
        <v>48</v>
      </c>
      <c r="Q406">
        <f>VLOOKUP(A406,[2]cwurData!$B:$N, 4, FALSE)</f>
        <v>355</v>
      </c>
      <c r="R406">
        <f>VLOOKUP(A406,[2]cwurData!$B:$N, 5, FALSE)</f>
        <v>478</v>
      </c>
      <c r="S406">
        <f>VLOOKUP(A406,[2]cwurData!$B:$N, 6, FALSE)</f>
        <v>210</v>
      </c>
      <c r="T406">
        <f>VLOOKUP(A406,[2]cwurData!$B:$N, 7, FALSE)</f>
        <v>759</v>
      </c>
      <c r="U406">
        <f>VLOOKUP(A406,[2]cwurData!$B:$N, 8, FALSE)</f>
        <v>697</v>
      </c>
      <c r="V406">
        <f>VLOOKUP(A406,[2]cwurData!$B:$N, 9, FALSE)</f>
        <v>310</v>
      </c>
      <c r="W406">
        <f>VLOOKUP(A406,[2]cwurData!$B:$N, 10, FALSE)</f>
        <v>543</v>
      </c>
      <c r="X406">
        <f>VLOOKUP(A406,[2]cwurData!$B:$N, 11, FALSE)</f>
        <v>637</v>
      </c>
      <c r="Y406">
        <f>VLOOKUP(A406,[2]cwurData!$B:$N, 12, FALSE)</f>
        <v>44.73</v>
      </c>
      <c r="Z406">
        <f>VLOOKUP(A406,[2]cwurData!$B:$N, 13, FALSE)</f>
        <v>2014</v>
      </c>
    </row>
    <row r="407" spans="1:26" x14ac:dyDescent="0.3">
      <c r="A407" t="s">
        <v>333</v>
      </c>
      <c r="B407" t="str">
        <f>IFERROR(VLOOKUP(A407,[1]timesData!$B:$P,2,FALSE),VLOOKUP(A407,[2]cwurData!$B:$P,2,FALSE))</f>
        <v>United Kingdom</v>
      </c>
      <c r="C407" t="str">
        <f>VLOOKUP(A407,[1]timesData!$B:$P,3,FALSE)</f>
        <v>301-350</v>
      </c>
      <c r="D407" t="str">
        <f>VLOOKUP(A408,[1]timesData!$B:$P,3,FALSE)</f>
        <v>301-350</v>
      </c>
      <c r="E407">
        <f>VLOOKUP(A408,[1]timesData!$B:$P,4,FALSE)</f>
        <v>39.4</v>
      </c>
      <c r="F407">
        <f>VLOOKUP(A408,[1]timesData!$B:$P,5,FALSE)</f>
        <v>10.4</v>
      </c>
      <c r="G407">
        <f>VLOOKUP(A408,[1]timesData!$B:$P,6,FALSE)</f>
        <v>87.8</v>
      </c>
      <c r="H407">
        <f>VLOOKUP(A408,[1]timesData!$B:$P,7,FALSE)</f>
        <v>29.8</v>
      </c>
      <c r="I407" t="str">
        <f>VLOOKUP(A408,[1]timesData!$B:$P,8,FALSE)</f>
        <v>-</v>
      </c>
      <c r="J407">
        <f>VLOOKUP(A408,[1]timesData!$B:$P,9,FALSE)</f>
        <v>8788</v>
      </c>
      <c r="K407">
        <f>VLOOKUP(A408,[1]timesData!$B:$P,10,FALSE)</f>
        <v>15.8</v>
      </c>
      <c r="L407">
        <f>VLOOKUP(A408,[1]timesData!$B:$P,11,FALSE)</f>
        <v>0.02</v>
      </c>
      <c r="M407">
        <f>VLOOKUP(A408,[1]timesData!$B:$P,12,FALSE)</f>
        <v>2.5687500000000001</v>
      </c>
      <c r="N407">
        <f>VLOOKUP(A408,[1]timesData!$B:$P,13,FALSE)</f>
        <v>2016</v>
      </c>
      <c r="O407">
        <f>VLOOKUP(A407,[2]cwurData!$B:$P,14,FALSE)</f>
        <v>645</v>
      </c>
      <c r="P407">
        <f>VLOOKUP(A407,[2]cwurData!$B:$N, 3, FALSE)</f>
        <v>49</v>
      </c>
      <c r="Q407">
        <f>VLOOKUP(A407,[2]cwurData!$B:$N, 4, FALSE)</f>
        <v>355</v>
      </c>
      <c r="R407">
        <f>VLOOKUP(A407,[2]cwurData!$B:$N, 5, FALSE)</f>
        <v>478</v>
      </c>
      <c r="S407">
        <f>VLOOKUP(A407,[2]cwurData!$B:$N, 6, FALSE)</f>
        <v>210</v>
      </c>
      <c r="T407">
        <f>VLOOKUP(A407,[2]cwurData!$B:$N, 7, FALSE)</f>
        <v>792</v>
      </c>
      <c r="U407">
        <f>VLOOKUP(A407,[2]cwurData!$B:$N, 8, FALSE)</f>
        <v>390</v>
      </c>
      <c r="V407">
        <f>VLOOKUP(A407,[2]cwurData!$B:$N, 9, FALSE)</f>
        <v>609</v>
      </c>
      <c r="W407">
        <f>VLOOKUP(A407,[2]cwurData!$B:$N, 10, FALSE)</f>
        <v>536</v>
      </c>
      <c r="X407">
        <f>VLOOKUP(A407,[2]cwurData!$B:$N, 11, FALSE)</f>
        <v>637</v>
      </c>
      <c r="Y407">
        <f>VLOOKUP(A407,[2]cwurData!$B:$N, 12, FALSE)</f>
        <v>44.72</v>
      </c>
      <c r="Z407">
        <f>VLOOKUP(A407,[2]cwurData!$B:$N, 13, FALSE)</f>
        <v>2014</v>
      </c>
    </row>
    <row r="408" spans="1:26" x14ac:dyDescent="0.3">
      <c r="A408" t="s">
        <v>506</v>
      </c>
      <c r="B408" t="str">
        <f>IFERROR(VLOOKUP(A408,[1]timesData!$B:$P,2,FALSE),VLOOKUP(A408,[2]cwurData!$B:$P,2,FALSE))</f>
        <v>Sweden</v>
      </c>
      <c r="C408" t="str">
        <f>VLOOKUP(A408,[1]timesData!$B:$P,3,FALSE)</f>
        <v>301-350</v>
      </c>
      <c r="D408" t="str">
        <f>VLOOKUP(A409,[1]timesData!$B:$P,3,FALSE)</f>
        <v>301-350</v>
      </c>
      <c r="E408">
        <f>VLOOKUP(A409,[1]timesData!$B:$P,4,FALSE)</f>
        <v>62.6</v>
      </c>
      <c r="F408">
        <f>VLOOKUP(A409,[1]timesData!$B:$P,5,FALSE)</f>
        <v>18.100000000000001</v>
      </c>
      <c r="G408">
        <f>VLOOKUP(A409,[1]timesData!$B:$P,6,FALSE)</f>
        <v>39.799999999999997</v>
      </c>
      <c r="H408">
        <f>VLOOKUP(A409,[1]timesData!$B:$P,7,FALSE)</f>
        <v>28.1</v>
      </c>
      <c r="I408" t="str">
        <f>VLOOKUP(A409,[1]timesData!$B:$P,8,FALSE)</f>
        <v>-</v>
      </c>
      <c r="J408">
        <f>VLOOKUP(A409,[1]timesData!$B:$P,9,FALSE)</f>
        <v>8397</v>
      </c>
      <c r="K408">
        <f>VLOOKUP(A409,[1]timesData!$B:$P,10,FALSE)</f>
        <v>15.7</v>
      </c>
      <c r="L408">
        <f>VLOOKUP(A409,[1]timesData!$B:$P,11,FALSE)</f>
        <v>0.2</v>
      </c>
      <c r="M408">
        <f>VLOOKUP(A409,[1]timesData!$B:$P,12,FALSE)</f>
        <v>2.3229166666666665</v>
      </c>
      <c r="N408">
        <f>VLOOKUP(A409,[1]timesData!$B:$P,13,FALSE)</f>
        <v>2012</v>
      </c>
      <c r="O408">
        <f>VLOOKUP(A408,[2]cwurData!$B:$P,14,FALSE)</f>
        <v>656</v>
      </c>
      <c r="P408">
        <f>VLOOKUP(A408,[2]cwurData!$B:$N, 3, FALSE)</f>
        <v>11</v>
      </c>
      <c r="Q408">
        <f>VLOOKUP(A408,[2]cwurData!$B:$N, 4, FALSE)</f>
        <v>355</v>
      </c>
      <c r="R408">
        <f>VLOOKUP(A408,[2]cwurData!$B:$N, 5, FALSE)</f>
        <v>478</v>
      </c>
      <c r="S408">
        <f>VLOOKUP(A408,[2]cwurData!$B:$N, 6, FALSE)</f>
        <v>210</v>
      </c>
      <c r="T408">
        <f>VLOOKUP(A408,[2]cwurData!$B:$N, 7, FALSE)</f>
        <v>820</v>
      </c>
      <c r="U408">
        <f>VLOOKUP(A408,[2]cwurData!$B:$N, 8, FALSE)</f>
        <v>771</v>
      </c>
      <c r="V408">
        <f>VLOOKUP(A408,[2]cwurData!$B:$N, 9, FALSE)</f>
        <v>406</v>
      </c>
      <c r="W408">
        <f>VLOOKUP(A408,[2]cwurData!$B:$N, 10, FALSE)</f>
        <v>543</v>
      </c>
      <c r="X408">
        <f>VLOOKUP(A408,[2]cwurData!$B:$N, 11, FALSE)</f>
        <v>737</v>
      </c>
      <c r="Y408">
        <f>VLOOKUP(A408,[2]cwurData!$B:$N, 12, FALSE)</f>
        <v>44.7</v>
      </c>
      <c r="Z408">
        <f>VLOOKUP(A408,[2]cwurData!$B:$N, 13, FALSE)</f>
        <v>2014</v>
      </c>
    </row>
    <row r="409" spans="1:26" x14ac:dyDescent="0.3">
      <c r="A409" t="s">
        <v>317</v>
      </c>
      <c r="B409" t="str">
        <f>IFERROR(VLOOKUP(A409,[1]timesData!$B:$P,2,FALSE),VLOOKUP(A409,[2]cwurData!$B:$P,2,FALSE))</f>
        <v>United Kingdom</v>
      </c>
      <c r="C409" t="str">
        <f>VLOOKUP(A409,[1]timesData!$B:$P,3,FALSE)</f>
        <v>301-350</v>
      </c>
      <c r="D409" t="str">
        <f>VLOOKUP(A410,[1]timesData!$B:$P,3,FALSE)</f>
        <v>301-350</v>
      </c>
      <c r="E409">
        <f>VLOOKUP(A410,[1]timesData!$B:$P,4,FALSE)</f>
        <v>69.5</v>
      </c>
      <c r="F409">
        <f>VLOOKUP(A410,[1]timesData!$B:$P,5,FALSE)</f>
        <v>22.2</v>
      </c>
      <c r="G409">
        <f>VLOOKUP(A410,[1]timesData!$B:$P,6,FALSE)</f>
        <v>42</v>
      </c>
      <c r="H409">
        <f>VLOOKUP(A410,[1]timesData!$B:$P,7,FALSE)</f>
        <v>26.6</v>
      </c>
      <c r="I409" t="str">
        <f>VLOOKUP(A410,[1]timesData!$B:$P,8,FALSE)</f>
        <v>-</v>
      </c>
      <c r="J409">
        <f>VLOOKUP(A410,[1]timesData!$B:$P,9,FALSE)</f>
        <v>7828</v>
      </c>
      <c r="K409">
        <f>VLOOKUP(A410,[1]timesData!$B:$P,10,FALSE)</f>
        <v>15.9</v>
      </c>
      <c r="L409">
        <f>VLOOKUP(A410,[1]timesData!$B:$P,11,FALSE)</f>
        <v>0.22</v>
      </c>
      <c r="M409">
        <f>VLOOKUP(A410,[1]timesData!$B:$P,12,FALSE)</f>
        <v>2.5687500000000001</v>
      </c>
      <c r="N409">
        <f>VLOOKUP(A410,[1]timesData!$B:$P,13,FALSE)</f>
        <v>2012</v>
      </c>
      <c r="O409">
        <f>VLOOKUP(A409,[2]cwurData!$B:$P,14,FALSE)</f>
        <v>663</v>
      </c>
      <c r="P409">
        <f>VLOOKUP(A409,[2]cwurData!$B:$N, 3, FALSE)</f>
        <v>50</v>
      </c>
      <c r="Q409">
        <f>VLOOKUP(A409,[2]cwurData!$B:$N, 4, FALSE)</f>
        <v>355</v>
      </c>
      <c r="R409">
        <f>VLOOKUP(A409,[2]cwurData!$B:$N, 5, FALSE)</f>
        <v>478</v>
      </c>
      <c r="S409">
        <f>VLOOKUP(A409,[2]cwurData!$B:$N, 6, FALSE)</f>
        <v>210</v>
      </c>
      <c r="T409">
        <f>VLOOKUP(A409,[2]cwurData!$B:$N, 7, FALSE)</f>
        <v>635</v>
      </c>
      <c r="U409">
        <f>VLOOKUP(A409,[2]cwurData!$B:$N, 8, FALSE)</f>
        <v>535</v>
      </c>
      <c r="V409">
        <f>VLOOKUP(A409,[2]cwurData!$B:$N, 9, FALSE)</f>
        <v>406</v>
      </c>
      <c r="W409">
        <f>VLOOKUP(A409,[2]cwurData!$B:$N, 10, FALSE)</f>
        <v>569</v>
      </c>
      <c r="X409">
        <f>VLOOKUP(A409,[2]cwurData!$B:$N, 11, FALSE)</f>
        <v>737</v>
      </c>
      <c r="Y409">
        <f>VLOOKUP(A409,[2]cwurData!$B:$N, 12, FALSE)</f>
        <v>44.69</v>
      </c>
      <c r="Z409">
        <f>VLOOKUP(A409,[2]cwurData!$B:$N, 13, FALSE)</f>
        <v>2014</v>
      </c>
    </row>
    <row r="410" spans="1:26" x14ac:dyDescent="0.3">
      <c r="A410" t="s">
        <v>344</v>
      </c>
      <c r="B410" t="str">
        <f>IFERROR(VLOOKUP(A410,[1]timesData!$B:$P,2,FALSE),VLOOKUP(A410,[2]cwurData!$B:$P,2,FALSE))</f>
        <v>United Kingdom</v>
      </c>
      <c r="C410" t="str">
        <f>VLOOKUP(A410,[1]timesData!$B:$P,3,FALSE)</f>
        <v>301-350</v>
      </c>
      <c r="D410" t="str">
        <f>VLOOKUP(A411,[1]timesData!$B:$P,3,FALSE)</f>
        <v>301-350</v>
      </c>
      <c r="E410">
        <f>VLOOKUP(A411,[1]timesData!$B:$P,4,FALSE)</f>
        <v>18.899999999999999</v>
      </c>
      <c r="F410">
        <f>VLOOKUP(A411,[1]timesData!$B:$P,5,FALSE)</f>
        <v>7.8</v>
      </c>
      <c r="G410">
        <f>VLOOKUP(A411,[1]timesData!$B:$P,6,FALSE)</f>
        <v>78.099999999999994</v>
      </c>
      <c r="H410">
        <f>VLOOKUP(A411,[1]timesData!$B:$P,7,FALSE)</f>
        <v>58.7</v>
      </c>
      <c r="I410" t="str">
        <f>VLOOKUP(A411,[1]timesData!$B:$P,8,FALSE)</f>
        <v>-</v>
      </c>
      <c r="J410">
        <f>VLOOKUP(A411,[1]timesData!$B:$P,9,FALSE)</f>
        <v>50260</v>
      </c>
      <c r="K410">
        <f>VLOOKUP(A411,[1]timesData!$B:$P,10,FALSE)</f>
        <v>14.9</v>
      </c>
      <c r="L410">
        <f>VLOOKUP(A411,[1]timesData!$B:$P,11,FALSE)</f>
        <v>0.02</v>
      </c>
      <c r="M410" t="str">
        <f>VLOOKUP(A411,[1]timesData!$B:$P,12,FALSE)</f>
        <v>31 : 69</v>
      </c>
      <c r="N410">
        <f>VLOOKUP(A411,[1]timesData!$B:$P,13,FALSE)</f>
        <v>2014</v>
      </c>
      <c r="O410">
        <f>VLOOKUP(A410,[2]cwurData!$B:$P,14,FALSE)</f>
        <v>735</v>
      </c>
      <c r="P410">
        <f>VLOOKUP(A410,[2]cwurData!$B:$N, 3, FALSE)</f>
        <v>57</v>
      </c>
      <c r="Q410">
        <f>VLOOKUP(A410,[2]cwurData!$B:$N, 4, FALSE)</f>
        <v>355</v>
      </c>
      <c r="R410">
        <f>VLOOKUP(A410,[2]cwurData!$B:$N, 5, FALSE)</f>
        <v>334</v>
      </c>
      <c r="S410">
        <f>VLOOKUP(A410,[2]cwurData!$B:$N, 6, FALSE)</f>
        <v>210</v>
      </c>
      <c r="T410">
        <f>VLOOKUP(A410,[2]cwurData!$B:$N, 7, FALSE)</f>
        <v>804</v>
      </c>
      <c r="U410">
        <f>VLOOKUP(A410,[2]cwurData!$B:$N, 8, FALSE)</f>
        <v>717</v>
      </c>
      <c r="V410">
        <f>VLOOKUP(A410,[2]cwurData!$B:$N, 9, FALSE)</f>
        <v>609</v>
      </c>
      <c r="W410">
        <f>VLOOKUP(A410,[2]cwurData!$B:$N, 10, FALSE)</f>
        <v>716</v>
      </c>
      <c r="X410">
        <f>VLOOKUP(A410,[2]cwurData!$B:$N, 11, FALSE)</f>
        <v>737</v>
      </c>
      <c r="Y410">
        <f>VLOOKUP(A410,[2]cwurData!$B:$N, 12, FALSE)</f>
        <v>44.6</v>
      </c>
      <c r="Z410">
        <f>VLOOKUP(A410,[2]cwurData!$B:$N, 13, FALSE)</f>
        <v>2014</v>
      </c>
    </row>
    <row r="411" spans="1:26" x14ac:dyDescent="0.3">
      <c r="A411" t="s">
        <v>450</v>
      </c>
      <c r="B411" t="str">
        <f>IFERROR(VLOOKUP(A411,[1]timesData!$B:$P,2,FALSE),VLOOKUP(A411,[2]cwurData!$B:$P,2,FALSE))</f>
        <v>China</v>
      </c>
      <c r="C411" t="str">
        <f>VLOOKUP(A411,[1]timesData!$B:$P,3,FALSE)</f>
        <v>301-350</v>
      </c>
      <c r="D411" t="str">
        <f>VLOOKUP(A412,[1]timesData!$B:$P,3,FALSE)</f>
        <v>301-350</v>
      </c>
      <c r="E411">
        <f>VLOOKUP(A412,[1]timesData!$B:$P,4,FALSE)</f>
        <v>50.3</v>
      </c>
      <c r="F411">
        <f>VLOOKUP(A412,[1]timesData!$B:$P,5,FALSE)</f>
        <v>33.799999999999997</v>
      </c>
      <c r="G411">
        <f>VLOOKUP(A412,[1]timesData!$B:$P,6,FALSE)</f>
        <v>51.5</v>
      </c>
      <c r="H411">
        <f>VLOOKUP(A412,[1]timesData!$B:$P,7,FALSE)</f>
        <v>52.8</v>
      </c>
      <c r="I411" t="str">
        <f>VLOOKUP(A412,[1]timesData!$B:$P,8,FALSE)</f>
        <v>-</v>
      </c>
      <c r="J411">
        <f>VLOOKUP(A412,[1]timesData!$B:$P,9,FALSE)</f>
        <v>9163</v>
      </c>
      <c r="K411">
        <f>VLOOKUP(A412,[1]timesData!$B:$P,10,FALSE)</f>
        <v>41.2</v>
      </c>
      <c r="L411">
        <f>VLOOKUP(A412,[1]timesData!$B:$P,11,FALSE)</f>
        <v>0.13</v>
      </c>
      <c r="M411">
        <f>VLOOKUP(A412,[1]timesData!$B:$P,12,FALSE)</f>
        <v>2.3638888888888889</v>
      </c>
      <c r="N411">
        <f>VLOOKUP(A412,[1]timesData!$B:$P,13,FALSE)</f>
        <v>2016</v>
      </c>
      <c r="O411">
        <f>VLOOKUP(A411,[2]cwurData!$B:$P,14,FALSE)</f>
        <v>751</v>
      </c>
      <c r="P411">
        <f>VLOOKUP(A411,[2]cwurData!$B:$N, 3, FALSE)</f>
        <v>40</v>
      </c>
      <c r="Q411">
        <f>VLOOKUP(A411,[2]cwurData!$B:$N, 4, FALSE)</f>
        <v>355</v>
      </c>
      <c r="R411">
        <f>VLOOKUP(A411,[2]cwurData!$B:$N, 5, FALSE)</f>
        <v>478</v>
      </c>
      <c r="S411">
        <f>VLOOKUP(A411,[2]cwurData!$B:$N, 6, FALSE)</f>
        <v>210</v>
      </c>
      <c r="T411">
        <f>VLOOKUP(A411,[2]cwurData!$B:$N, 7, FALSE)</f>
        <v>794</v>
      </c>
      <c r="U411">
        <f>VLOOKUP(A411,[2]cwurData!$B:$N, 8, FALSE)</f>
        <v>920</v>
      </c>
      <c r="V411">
        <f>VLOOKUP(A411,[2]cwurData!$B:$N, 9, FALSE)</f>
        <v>493</v>
      </c>
      <c r="W411">
        <f>VLOOKUP(A411,[2]cwurData!$B:$N, 10, FALSE)</f>
        <v>642</v>
      </c>
      <c r="X411">
        <f>VLOOKUP(A411,[2]cwurData!$B:$N, 11, FALSE)</f>
        <v>737</v>
      </c>
      <c r="Y411">
        <f>VLOOKUP(A411,[2]cwurData!$B:$N, 12, FALSE)</f>
        <v>44.58</v>
      </c>
      <c r="Z411">
        <f>VLOOKUP(A411,[2]cwurData!$B:$N, 13, FALSE)</f>
        <v>2014</v>
      </c>
    </row>
    <row r="412" spans="1:26" x14ac:dyDescent="0.3">
      <c r="A412" t="s">
        <v>502</v>
      </c>
      <c r="B412" t="str">
        <f>IFERROR(VLOOKUP(A412,[1]timesData!$B:$P,2,FALSE),VLOOKUP(A412,[2]cwurData!$B:$P,2,FALSE))</f>
        <v>Germany</v>
      </c>
      <c r="C412" t="str">
        <f>VLOOKUP(A412,[1]timesData!$B:$P,3,FALSE)</f>
        <v>301-350</v>
      </c>
      <c r="D412" t="str">
        <f>VLOOKUP(A413,[1]timesData!$B:$P,3,FALSE)</f>
        <v>301-350</v>
      </c>
      <c r="E412">
        <f>VLOOKUP(A413,[1]timesData!$B:$P,4,FALSE)</f>
        <v>12.7</v>
      </c>
      <c r="F412">
        <f>VLOOKUP(A413,[1]timesData!$B:$P,5,FALSE)</f>
        <v>29.7</v>
      </c>
      <c r="G412">
        <f>VLOOKUP(A413,[1]timesData!$B:$P,6,FALSE)</f>
        <v>19.3</v>
      </c>
      <c r="H412">
        <f>VLOOKUP(A413,[1]timesData!$B:$P,7,FALSE)</f>
        <v>93.1</v>
      </c>
      <c r="I412" t="str">
        <f>VLOOKUP(A413,[1]timesData!$B:$P,8,FALSE)</f>
        <v>-</v>
      </c>
      <c r="J412">
        <f>VLOOKUP(A413,[1]timesData!$B:$P,9,FALSE)</f>
        <v>10977</v>
      </c>
      <c r="K412">
        <f>VLOOKUP(A413,[1]timesData!$B:$P,10,FALSE)</f>
        <v>18.7</v>
      </c>
      <c r="L412">
        <f>VLOOKUP(A413,[1]timesData!$B:$P,11,FALSE)</f>
        <v>0</v>
      </c>
      <c r="M412" t="str">
        <f>VLOOKUP(A413,[1]timesData!$B:$P,12,FALSE)</f>
        <v>27 : 73</v>
      </c>
      <c r="N412">
        <f>VLOOKUP(A413,[1]timesData!$B:$P,13,FALSE)</f>
        <v>2012</v>
      </c>
      <c r="O412">
        <f>VLOOKUP(A412,[2]cwurData!$B:$P,14,FALSE)</f>
        <v>799</v>
      </c>
      <c r="P412">
        <f>VLOOKUP(A412,[2]cwurData!$B:$N, 3, FALSE)</f>
        <v>49</v>
      </c>
      <c r="Q412">
        <f>VLOOKUP(A412,[2]cwurData!$B:$N, 4, FALSE)</f>
        <v>355</v>
      </c>
      <c r="R412">
        <f>VLOOKUP(A412,[2]cwurData!$B:$N, 5, FALSE)</f>
        <v>478</v>
      </c>
      <c r="S412">
        <f>VLOOKUP(A412,[2]cwurData!$B:$N, 6, FALSE)</f>
        <v>210</v>
      </c>
      <c r="T412">
        <f>VLOOKUP(A412,[2]cwurData!$B:$N, 7, FALSE)</f>
        <v>753</v>
      </c>
      <c r="U412">
        <f>VLOOKUP(A412,[2]cwurData!$B:$N, 8, FALSE)</f>
        <v>665</v>
      </c>
      <c r="V412">
        <f>VLOOKUP(A412,[2]cwurData!$B:$N, 9, FALSE)</f>
        <v>609</v>
      </c>
      <c r="W412">
        <f>VLOOKUP(A412,[2]cwurData!$B:$N, 10, FALSE)</f>
        <v>703</v>
      </c>
      <c r="X412">
        <f>VLOOKUP(A412,[2]cwurData!$B:$N, 11, FALSE)</f>
        <v>637</v>
      </c>
      <c r="Y412">
        <f>VLOOKUP(A412,[2]cwurData!$B:$N, 12, FALSE)</f>
        <v>44.53</v>
      </c>
      <c r="Z412">
        <f>VLOOKUP(A412,[2]cwurData!$B:$N, 13, FALSE)</f>
        <v>2014</v>
      </c>
    </row>
    <row r="413" spans="1:26" x14ac:dyDescent="0.3">
      <c r="A413" t="s">
        <v>326</v>
      </c>
      <c r="B413" t="str">
        <f>IFERROR(VLOOKUP(A413,[1]timesData!$B:$P,2,FALSE),VLOOKUP(A413,[2]cwurData!$B:$P,2,FALSE))</f>
        <v>Iran</v>
      </c>
      <c r="C413" t="str">
        <f>VLOOKUP(A413,[1]timesData!$B:$P,3,FALSE)</f>
        <v>301-350</v>
      </c>
      <c r="D413" t="str">
        <f>VLOOKUP(A414,[1]timesData!$B:$P,3,FALSE)</f>
        <v>301-350</v>
      </c>
      <c r="E413">
        <f>VLOOKUP(A414,[1]timesData!$B:$P,4,FALSE)</f>
        <v>83.3</v>
      </c>
      <c r="F413">
        <f>VLOOKUP(A414,[1]timesData!$B:$P,5,FALSE)</f>
        <v>18.899999999999999</v>
      </c>
      <c r="G413">
        <f>VLOOKUP(A414,[1]timesData!$B:$P,6,FALSE)</f>
        <v>49.6</v>
      </c>
      <c r="H413">
        <f>VLOOKUP(A414,[1]timesData!$B:$P,7,FALSE)</f>
        <v>44.2</v>
      </c>
      <c r="I413" t="str">
        <f>VLOOKUP(A414,[1]timesData!$B:$P,8,FALSE)</f>
        <v>-</v>
      </c>
      <c r="J413">
        <f>VLOOKUP(A414,[1]timesData!$B:$P,9,FALSE)</f>
        <v>16606</v>
      </c>
      <c r="K413">
        <f>VLOOKUP(A414,[1]timesData!$B:$P,10,FALSE)</f>
        <v>32.799999999999997</v>
      </c>
      <c r="L413">
        <f>VLOOKUP(A414,[1]timesData!$B:$P,11,FALSE)</f>
        <v>0.43</v>
      </c>
      <c r="M413">
        <f>VLOOKUP(A414,[1]timesData!$B:$P,12,FALSE)</f>
        <v>2.4868055555555557</v>
      </c>
      <c r="N413">
        <f>VLOOKUP(A414,[1]timesData!$B:$P,13,FALSE)</f>
        <v>2013</v>
      </c>
      <c r="O413">
        <f>VLOOKUP(A413,[2]cwurData!$B:$P,14,FALSE)</f>
        <v>833</v>
      </c>
      <c r="P413">
        <f>VLOOKUP(A413,[2]cwurData!$B:$N, 3, FALSE)</f>
        <v>2</v>
      </c>
      <c r="Q413">
        <f>VLOOKUP(A413,[2]cwurData!$B:$N, 4, FALSE)</f>
        <v>355</v>
      </c>
      <c r="R413">
        <f>VLOOKUP(A413,[2]cwurData!$B:$N, 5, FALSE)</f>
        <v>478</v>
      </c>
      <c r="S413">
        <f>VLOOKUP(A413,[2]cwurData!$B:$N, 6, FALSE)</f>
        <v>210</v>
      </c>
      <c r="T413">
        <f>VLOOKUP(A413,[2]cwurData!$B:$N, 7, FALSE)</f>
        <v>588</v>
      </c>
      <c r="U413">
        <f>VLOOKUP(A413,[2]cwurData!$B:$N, 8, FALSE)</f>
        <v>938</v>
      </c>
      <c r="V413">
        <f>VLOOKUP(A413,[2]cwurData!$B:$N, 9, FALSE)</f>
        <v>493</v>
      </c>
      <c r="W413">
        <f>VLOOKUP(A413,[2]cwurData!$B:$N, 10, FALSE)</f>
        <v>783</v>
      </c>
      <c r="X413">
        <f>VLOOKUP(A413,[2]cwurData!$B:$N, 11, FALSE)</f>
        <v>737</v>
      </c>
      <c r="Y413">
        <f>VLOOKUP(A413,[2]cwurData!$B:$N, 12, FALSE)</f>
        <v>44.47</v>
      </c>
      <c r="Z413">
        <f>VLOOKUP(A413,[2]cwurData!$B:$N, 13, FALSE)</f>
        <v>2014</v>
      </c>
    </row>
    <row r="414" spans="1:26" x14ac:dyDescent="0.3">
      <c r="A414" t="s">
        <v>425</v>
      </c>
      <c r="B414" t="str">
        <f>IFERROR(VLOOKUP(A414,[1]timesData!$B:$P,2,FALSE),VLOOKUP(A414,[2]cwurData!$B:$P,2,FALSE))</f>
        <v>Australia</v>
      </c>
      <c r="C414" t="str">
        <f>VLOOKUP(A414,[1]timesData!$B:$P,3,FALSE)</f>
        <v>301-350</v>
      </c>
      <c r="D414" t="str">
        <f>VLOOKUP(A415,[1]timesData!$B:$P,3,FALSE)</f>
        <v>301-350</v>
      </c>
      <c r="E414">
        <f>VLOOKUP(A415,[1]timesData!$B:$P,4,FALSE)</f>
        <v>41.7</v>
      </c>
      <c r="F414">
        <f>VLOOKUP(A415,[1]timesData!$B:$P,5,FALSE)</f>
        <v>23.5</v>
      </c>
      <c r="G414">
        <f>VLOOKUP(A415,[1]timesData!$B:$P,6,FALSE)</f>
        <v>61.3</v>
      </c>
      <c r="H414">
        <f>VLOOKUP(A415,[1]timesData!$B:$P,7,FALSE)</f>
        <v>32.6</v>
      </c>
      <c r="I414" t="str">
        <f>VLOOKUP(A415,[1]timesData!$B:$P,8,FALSE)</f>
        <v>-</v>
      </c>
      <c r="J414">
        <f>VLOOKUP(A415,[1]timesData!$B:$P,9,FALSE)</f>
        <v>10931</v>
      </c>
      <c r="K414">
        <f>VLOOKUP(A415,[1]timesData!$B:$P,10,FALSE)</f>
        <v>24</v>
      </c>
      <c r="L414">
        <f>VLOOKUP(A415,[1]timesData!$B:$P,11,FALSE)</f>
        <v>0.06</v>
      </c>
      <c r="M414">
        <f>VLOOKUP(A415,[1]timesData!$B:$P,12,FALSE)</f>
        <v>2.3229166666666665</v>
      </c>
      <c r="N414">
        <f>VLOOKUP(A415,[1]timesData!$B:$P,13,FALSE)</f>
        <v>2016</v>
      </c>
      <c r="O414">
        <f>VLOOKUP(A414,[2]cwurData!$B:$P,14,FALSE)</f>
        <v>836</v>
      </c>
      <c r="P414">
        <f>VLOOKUP(A414,[2]cwurData!$B:$N, 3, FALSE)</f>
        <v>22</v>
      </c>
      <c r="Q414">
        <f>VLOOKUP(A414,[2]cwurData!$B:$N, 4, FALSE)</f>
        <v>355</v>
      </c>
      <c r="R414">
        <f>VLOOKUP(A414,[2]cwurData!$B:$N, 5, FALSE)</f>
        <v>478</v>
      </c>
      <c r="S414">
        <f>VLOOKUP(A414,[2]cwurData!$B:$N, 6, FALSE)</f>
        <v>210</v>
      </c>
      <c r="T414">
        <f>VLOOKUP(A414,[2]cwurData!$B:$N, 7, FALSE)</f>
        <v>812</v>
      </c>
      <c r="U414">
        <f>VLOOKUP(A414,[2]cwurData!$B:$N, 8, FALSE)</f>
        <v>492</v>
      </c>
      <c r="V414">
        <f>VLOOKUP(A414,[2]cwurData!$B:$N, 9, FALSE)</f>
        <v>800</v>
      </c>
      <c r="W414">
        <f>VLOOKUP(A414,[2]cwurData!$B:$N, 10, FALSE)</f>
        <v>756</v>
      </c>
      <c r="X414">
        <f>VLOOKUP(A414,[2]cwurData!$B:$N, 11, FALSE)</f>
        <v>737</v>
      </c>
      <c r="Y414">
        <f>VLOOKUP(A414,[2]cwurData!$B:$N, 12, FALSE)</f>
        <v>44.46</v>
      </c>
      <c r="Z414">
        <f>VLOOKUP(A414,[2]cwurData!$B:$N, 13, FALSE)</f>
        <v>2014</v>
      </c>
    </row>
    <row r="415" spans="1:26" x14ac:dyDescent="0.3">
      <c r="A415" t="s">
        <v>500</v>
      </c>
      <c r="B415" t="str">
        <f>IFERROR(VLOOKUP(A415,[1]timesData!$B:$P,2,FALSE),VLOOKUP(A415,[2]cwurData!$B:$P,2,FALSE))</f>
        <v>Germany</v>
      </c>
      <c r="C415" t="str">
        <f>VLOOKUP(A415,[1]timesData!$B:$P,3,FALSE)</f>
        <v>301-350</v>
      </c>
      <c r="D415" t="str">
        <f>VLOOKUP(A416,[1]timesData!$B:$P,3,FALSE)</f>
        <v>301-350</v>
      </c>
      <c r="E415">
        <f>VLOOKUP(A416,[1]timesData!$B:$P,4,FALSE)</f>
        <v>87</v>
      </c>
      <c r="F415">
        <f>VLOOKUP(A416,[1]timesData!$B:$P,5,FALSE)</f>
        <v>13.9</v>
      </c>
      <c r="G415">
        <f>VLOOKUP(A416,[1]timesData!$B:$P,6,FALSE)</f>
        <v>47.8</v>
      </c>
      <c r="H415">
        <f>VLOOKUP(A416,[1]timesData!$B:$P,7,FALSE)</f>
        <v>24.5</v>
      </c>
      <c r="I415" t="str">
        <f>VLOOKUP(A416,[1]timesData!$B:$P,8,FALSE)</f>
        <v>-</v>
      </c>
      <c r="J415">
        <f>VLOOKUP(A416,[1]timesData!$B:$P,9,FALSE)</f>
        <v>10159</v>
      </c>
      <c r="K415">
        <f>VLOOKUP(A416,[1]timesData!$B:$P,10,FALSE)</f>
        <v>17</v>
      </c>
      <c r="L415">
        <f>VLOOKUP(A416,[1]timesData!$B:$P,11,FALSE)</f>
        <v>0.25</v>
      </c>
      <c r="M415">
        <f>VLOOKUP(A416,[1]timesData!$B:$P,12,FALSE)</f>
        <v>2.4048611111111109</v>
      </c>
      <c r="N415">
        <f>VLOOKUP(A416,[1]timesData!$B:$P,13,FALSE)</f>
        <v>2012</v>
      </c>
      <c r="O415">
        <f>VLOOKUP(A415,[2]cwurData!$B:$P,14,FALSE)</f>
        <v>861</v>
      </c>
      <c r="P415">
        <f>VLOOKUP(A415,[2]cwurData!$B:$N, 3, FALSE)</f>
        <v>50</v>
      </c>
      <c r="Q415">
        <f>VLOOKUP(A415,[2]cwurData!$B:$N, 4, FALSE)</f>
        <v>355</v>
      </c>
      <c r="R415">
        <f>VLOOKUP(A415,[2]cwurData!$B:$N, 5, FALSE)</f>
        <v>478</v>
      </c>
      <c r="S415">
        <f>VLOOKUP(A415,[2]cwurData!$B:$N, 6, FALSE)</f>
        <v>203</v>
      </c>
      <c r="T415">
        <f>VLOOKUP(A415,[2]cwurData!$B:$N, 7, FALSE)</f>
        <v>741</v>
      </c>
      <c r="U415">
        <f>VLOOKUP(A415,[2]cwurData!$B:$N, 8, FALSE)</f>
        <v>493</v>
      </c>
      <c r="V415">
        <f>VLOOKUP(A415,[2]cwurData!$B:$N, 9, FALSE)</f>
        <v>800</v>
      </c>
      <c r="W415">
        <f>VLOOKUP(A415,[2]cwurData!$B:$N, 10, FALSE)</f>
        <v>800</v>
      </c>
      <c r="X415">
        <f>VLOOKUP(A415,[2]cwurData!$B:$N, 11, FALSE)</f>
        <v>637</v>
      </c>
      <c r="Y415">
        <f>VLOOKUP(A415,[2]cwurData!$B:$N, 12, FALSE)</f>
        <v>44.44</v>
      </c>
      <c r="Z415">
        <f>VLOOKUP(A415,[2]cwurData!$B:$N, 13, FALSE)</f>
        <v>2014</v>
      </c>
    </row>
    <row r="416" spans="1:26" x14ac:dyDescent="0.3">
      <c r="A416" t="s">
        <v>349</v>
      </c>
      <c r="B416" t="str">
        <f>IFERROR(VLOOKUP(A416,[1]timesData!$B:$P,2,FALSE),VLOOKUP(A416,[2]cwurData!$B:$P,2,FALSE))</f>
        <v>New Zealand</v>
      </c>
      <c r="C416" t="str">
        <f>VLOOKUP(A416,[1]timesData!$B:$P,3,FALSE)</f>
        <v>301-350</v>
      </c>
      <c r="D416" t="str">
        <f>VLOOKUP(A417,[1]timesData!$B:$P,3,FALSE)</f>
        <v>301-350</v>
      </c>
      <c r="E416">
        <f>VLOOKUP(A417,[1]timesData!$B:$P,4,FALSE)</f>
        <v>36.200000000000003</v>
      </c>
      <c r="F416">
        <f>VLOOKUP(A417,[1]timesData!$B:$P,5,FALSE)</f>
        <v>19.7</v>
      </c>
      <c r="G416">
        <f>VLOOKUP(A417,[1]timesData!$B:$P,6,FALSE)</f>
        <v>45.7</v>
      </c>
      <c r="H416">
        <f>VLOOKUP(A417,[1]timesData!$B:$P,7,FALSE)</f>
        <v>34.700000000000003</v>
      </c>
      <c r="I416" t="str">
        <f>VLOOKUP(A417,[1]timesData!$B:$P,8,FALSE)</f>
        <v>-</v>
      </c>
      <c r="J416">
        <f>VLOOKUP(A417,[1]timesData!$B:$P,9,FALSE)</f>
        <v>11506</v>
      </c>
      <c r="K416">
        <f>VLOOKUP(A417,[1]timesData!$B:$P,10,FALSE)</f>
        <v>25</v>
      </c>
      <c r="L416">
        <f>VLOOKUP(A417,[1]timesData!$B:$P,11,FALSE)</f>
        <v>7.0000000000000007E-2</v>
      </c>
      <c r="M416">
        <f>VLOOKUP(A417,[1]timesData!$B:$P,12,FALSE)</f>
        <v>2.1180555555555554</v>
      </c>
      <c r="N416">
        <f>VLOOKUP(A417,[1]timesData!$B:$P,13,FALSE)</f>
        <v>2012</v>
      </c>
      <c r="O416">
        <f>VLOOKUP(A416,[2]cwurData!$B:$P,14,FALSE)</f>
        <v>879</v>
      </c>
      <c r="P416">
        <f>VLOOKUP(A416,[2]cwurData!$B:$N, 3, FALSE)</f>
        <v>6</v>
      </c>
      <c r="Q416">
        <f>VLOOKUP(A416,[2]cwurData!$B:$N, 4, FALSE)</f>
        <v>355</v>
      </c>
      <c r="R416">
        <f>VLOOKUP(A416,[2]cwurData!$B:$N, 5, FALSE)</f>
        <v>340</v>
      </c>
      <c r="S416">
        <f>VLOOKUP(A416,[2]cwurData!$B:$N, 6, FALSE)</f>
        <v>210</v>
      </c>
      <c r="T416">
        <f>VLOOKUP(A416,[2]cwurData!$B:$N, 7, FALSE)</f>
        <v>973</v>
      </c>
      <c r="U416">
        <f>VLOOKUP(A416,[2]cwurData!$B:$N, 8, FALSE)</f>
        <v>860</v>
      </c>
      <c r="V416">
        <f>VLOOKUP(A416,[2]cwurData!$B:$N, 9, FALSE)</f>
        <v>493</v>
      </c>
      <c r="W416">
        <f>VLOOKUP(A416,[2]cwurData!$B:$N, 10, FALSE)</f>
        <v>923</v>
      </c>
      <c r="X416">
        <f>VLOOKUP(A416,[2]cwurData!$B:$N, 11, FALSE)</f>
        <v>481</v>
      </c>
      <c r="Y416">
        <f>VLOOKUP(A416,[2]cwurData!$B:$N, 12, FALSE)</f>
        <v>44.42</v>
      </c>
      <c r="Z416">
        <f>VLOOKUP(A416,[2]cwurData!$B:$N, 13, FALSE)</f>
        <v>2014</v>
      </c>
    </row>
    <row r="417" spans="1:26" x14ac:dyDescent="0.3">
      <c r="A417" t="s">
        <v>311</v>
      </c>
      <c r="B417" t="str">
        <f>IFERROR(VLOOKUP(A417,[1]timesData!$B:$P,2,FALSE),VLOOKUP(A417,[2]cwurData!$B:$P,2,FALSE))</f>
        <v>Turkey</v>
      </c>
      <c r="C417" t="str">
        <f>VLOOKUP(A417,[1]timesData!$B:$P,3,FALSE)</f>
        <v>301-350</v>
      </c>
      <c r="D417" t="str">
        <f>VLOOKUP(A418,[1]timesData!$B:$P,3,FALSE)</f>
        <v>301-350</v>
      </c>
      <c r="E417">
        <f>VLOOKUP(A418,[1]timesData!$B:$P,4,FALSE)</f>
        <v>46.7</v>
      </c>
      <c r="F417">
        <f>VLOOKUP(A418,[1]timesData!$B:$P,5,FALSE)</f>
        <v>19.399999999999999</v>
      </c>
      <c r="G417">
        <f>VLOOKUP(A418,[1]timesData!$B:$P,6,FALSE)</f>
        <v>52.6</v>
      </c>
      <c r="H417">
        <f>VLOOKUP(A418,[1]timesData!$B:$P,7,FALSE)</f>
        <v>31.3</v>
      </c>
      <c r="I417" t="str">
        <f>VLOOKUP(A418,[1]timesData!$B:$P,8,FALSE)</f>
        <v>-</v>
      </c>
      <c r="J417">
        <f>VLOOKUP(A418,[1]timesData!$B:$P,9,FALSE)</f>
        <v>5570</v>
      </c>
      <c r="K417">
        <f>VLOOKUP(A418,[1]timesData!$B:$P,10,FALSE)</f>
        <v>25.4</v>
      </c>
      <c r="L417">
        <f>VLOOKUP(A418,[1]timesData!$B:$P,11,FALSE)</f>
        <v>0.15</v>
      </c>
      <c r="M417">
        <f>VLOOKUP(A418,[1]timesData!$B:$P,12,FALSE)</f>
        <v>2.8145833333333332</v>
      </c>
      <c r="N417">
        <f>VLOOKUP(A418,[1]timesData!$B:$P,13,FALSE)</f>
        <v>2012</v>
      </c>
      <c r="O417">
        <f>VLOOKUP(A417,[2]cwurData!$B:$P,14,FALSE)</f>
        <v>903</v>
      </c>
      <c r="P417">
        <f>VLOOKUP(A417,[2]cwurData!$B:$N, 3, FALSE)</f>
        <v>9</v>
      </c>
      <c r="Q417">
        <f>VLOOKUP(A417,[2]cwurData!$B:$N, 4, FALSE)</f>
        <v>355</v>
      </c>
      <c r="R417">
        <f>VLOOKUP(A417,[2]cwurData!$B:$N, 5, FALSE)</f>
        <v>478</v>
      </c>
      <c r="S417">
        <f>VLOOKUP(A417,[2]cwurData!$B:$N, 6, FALSE)</f>
        <v>210</v>
      </c>
      <c r="T417">
        <f>VLOOKUP(A417,[2]cwurData!$B:$N, 7, FALSE)</f>
        <v>817</v>
      </c>
      <c r="U417">
        <f>VLOOKUP(A417,[2]cwurData!$B:$N, 8, FALSE)</f>
        <v>820</v>
      </c>
      <c r="V417">
        <f>VLOOKUP(A417,[2]cwurData!$B:$N, 9, FALSE)</f>
        <v>493</v>
      </c>
      <c r="W417">
        <f>VLOOKUP(A417,[2]cwurData!$B:$N, 10, FALSE)</f>
        <v>849</v>
      </c>
      <c r="X417">
        <f>VLOOKUP(A417,[2]cwurData!$B:$N, 11, FALSE)</f>
        <v>737</v>
      </c>
      <c r="Y417">
        <f>VLOOKUP(A417,[2]cwurData!$B:$N, 12, FALSE)</f>
        <v>44.39</v>
      </c>
      <c r="Z417">
        <f>VLOOKUP(A417,[2]cwurData!$B:$N, 13, FALSE)</f>
        <v>2014</v>
      </c>
    </row>
    <row r="418" spans="1:26" x14ac:dyDescent="0.3">
      <c r="A418" t="s">
        <v>312</v>
      </c>
      <c r="B418" t="str">
        <f>IFERROR(VLOOKUP(A418,[1]timesData!$B:$P,2,FALSE),VLOOKUP(A418,[2]cwurData!$B:$P,2,FALSE))</f>
        <v>Australia</v>
      </c>
      <c r="C418" t="str">
        <f>VLOOKUP(A418,[1]timesData!$B:$P,3,FALSE)</f>
        <v>301-350</v>
      </c>
      <c r="D418" t="str">
        <f>VLOOKUP(A419,[1]timesData!$B:$P,3,FALSE)</f>
        <v>301-350</v>
      </c>
      <c r="E418">
        <f>VLOOKUP(A419,[1]timesData!$B:$P,4,FALSE)</f>
        <v>43.8</v>
      </c>
      <c r="F418">
        <f>VLOOKUP(A419,[1]timesData!$B:$P,5,FALSE)</f>
        <v>17.2</v>
      </c>
      <c r="G418">
        <f>VLOOKUP(A419,[1]timesData!$B:$P,6,FALSE)</f>
        <v>70.5</v>
      </c>
      <c r="H418">
        <f>VLOOKUP(A419,[1]timesData!$B:$P,7,FALSE)</f>
        <v>33.4</v>
      </c>
      <c r="I418" t="str">
        <f>VLOOKUP(A419,[1]timesData!$B:$P,8,FALSE)</f>
        <v>-</v>
      </c>
      <c r="J418">
        <f>VLOOKUP(A419,[1]timesData!$B:$P,9,FALSE)</f>
        <v>7131</v>
      </c>
      <c r="K418">
        <f>VLOOKUP(A419,[1]timesData!$B:$P,10,FALSE)</f>
        <v>7.1</v>
      </c>
      <c r="L418">
        <f>VLOOKUP(A419,[1]timesData!$B:$P,11,FALSE)</f>
        <v>0.13</v>
      </c>
      <c r="M418">
        <f>VLOOKUP(A419,[1]timesData!$B:$P,12,FALSE)</f>
        <v>2.2000000000000002</v>
      </c>
      <c r="N418">
        <f>VLOOKUP(A419,[1]timesData!$B:$P,13,FALSE)</f>
        <v>2015</v>
      </c>
      <c r="O418">
        <f>VLOOKUP(A418,[2]cwurData!$B:$P,14,FALSE)</f>
        <v>910</v>
      </c>
      <c r="P418">
        <f>VLOOKUP(A418,[2]cwurData!$B:$N, 3, FALSE)</f>
        <v>26</v>
      </c>
      <c r="Q418">
        <f>VLOOKUP(A418,[2]cwurData!$B:$N, 4, FALSE)</f>
        <v>355</v>
      </c>
      <c r="R418">
        <f>VLOOKUP(A418,[2]cwurData!$B:$N, 5, FALSE)</f>
        <v>478</v>
      </c>
      <c r="S418">
        <f>VLOOKUP(A418,[2]cwurData!$B:$N, 6, FALSE)</f>
        <v>210</v>
      </c>
      <c r="T418">
        <f>VLOOKUP(A418,[2]cwurData!$B:$N, 7, FALSE)</f>
        <v>911</v>
      </c>
      <c r="U418">
        <f>VLOOKUP(A418,[2]cwurData!$B:$N, 8, FALSE)</f>
        <v>694</v>
      </c>
      <c r="V418">
        <f>VLOOKUP(A418,[2]cwurData!$B:$N, 9, FALSE)</f>
        <v>609</v>
      </c>
      <c r="W418">
        <f>VLOOKUP(A418,[2]cwurData!$B:$N, 10, FALSE)</f>
        <v>849</v>
      </c>
      <c r="X418">
        <f>VLOOKUP(A418,[2]cwurData!$B:$N, 11, FALSE)</f>
        <v>737</v>
      </c>
      <c r="Y418">
        <f>VLOOKUP(A418,[2]cwurData!$B:$N, 12, FALSE)</f>
        <v>44.38</v>
      </c>
      <c r="Z418">
        <f>VLOOKUP(A418,[2]cwurData!$B:$N, 13, FALSE)</f>
        <v>2014</v>
      </c>
    </row>
    <row r="419" spans="1:26" x14ac:dyDescent="0.3">
      <c r="A419" t="s">
        <v>471</v>
      </c>
      <c r="B419" t="str">
        <f>IFERROR(VLOOKUP(A419,[1]timesData!$B:$P,2,FALSE),VLOOKUP(A419,[2]cwurData!$B:$P,2,FALSE))</f>
        <v>Russian Federation</v>
      </c>
      <c r="C419" t="str">
        <f>VLOOKUP(A419,[1]timesData!$B:$P,3,FALSE)</f>
        <v>301-350</v>
      </c>
      <c r="D419" t="str">
        <f>VLOOKUP(A420,[1]timesData!$B:$P,3,FALSE)</f>
        <v>301-350</v>
      </c>
      <c r="E419">
        <f>VLOOKUP(A420,[1]timesData!$B:$P,4,FALSE)</f>
        <v>71</v>
      </c>
      <c r="F419">
        <f>VLOOKUP(A420,[1]timesData!$B:$P,5,FALSE)</f>
        <v>10.3</v>
      </c>
      <c r="G419">
        <f>VLOOKUP(A420,[1]timesData!$B:$P,6,FALSE)</f>
        <v>63.4</v>
      </c>
      <c r="H419">
        <f>VLOOKUP(A420,[1]timesData!$B:$P,7,FALSE)</f>
        <v>40.200000000000003</v>
      </c>
      <c r="I419" t="str">
        <f>VLOOKUP(A420,[1]timesData!$B:$P,8,FALSE)</f>
        <v>-</v>
      </c>
      <c r="J419">
        <f>VLOOKUP(A420,[1]timesData!$B:$P,9,FALSE)</f>
        <v>35889</v>
      </c>
      <c r="K419">
        <f>VLOOKUP(A420,[1]timesData!$B:$P,10,FALSE)</f>
        <v>8.4</v>
      </c>
      <c r="L419">
        <f>VLOOKUP(A420,[1]timesData!$B:$P,11,FALSE)</f>
        <v>0.21</v>
      </c>
      <c r="M419">
        <f>VLOOKUP(A420,[1]timesData!$B:$P,12,FALSE)</f>
        <v>2.4048611111111109</v>
      </c>
      <c r="N419">
        <f>VLOOKUP(A420,[1]timesData!$B:$P,13,FALSE)</f>
        <v>2013</v>
      </c>
      <c r="O419">
        <f>VLOOKUP(A419,[2]cwurData!$B:$P,14,FALSE)</f>
        <v>916</v>
      </c>
      <c r="P419">
        <f>VLOOKUP(A419,[2]cwurData!$B:$N, 3, FALSE)</f>
        <v>3</v>
      </c>
      <c r="Q419">
        <f>VLOOKUP(A419,[2]cwurData!$B:$N, 4, FALSE)</f>
        <v>147</v>
      </c>
      <c r="R419">
        <f>VLOOKUP(A419,[2]cwurData!$B:$N, 5, FALSE)</f>
        <v>478</v>
      </c>
      <c r="S419">
        <f>VLOOKUP(A419,[2]cwurData!$B:$N, 6, FALSE)</f>
        <v>210</v>
      </c>
      <c r="T419">
        <f>VLOOKUP(A419,[2]cwurData!$B:$N, 7, FALSE)</f>
        <v>875</v>
      </c>
      <c r="U419">
        <f>VLOOKUP(A419,[2]cwurData!$B:$N, 8, FALSE)</f>
        <v>910</v>
      </c>
      <c r="V419">
        <f>VLOOKUP(A419,[2]cwurData!$B:$N, 9, FALSE)</f>
        <v>609</v>
      </c>
      <c r="W419">
        <f>VLOOKUP(A419,[2]cwurData!$B:$N, 10, FALSE)</f>
        <v>994</v>
      </c>
      <c r="X419">
        <f>VLOOKUP(A419,[2]cwurData!$B:$N, 11, FALSE)</f>
        <v>737</v>
      </c>
      <c r="Y419">
        <f>VLOOKUP(A419,[2]cwurData!$B:$N, 12, FALSE)</f>
        <v>44.38</v>
      </c>
      <c r="Z419">
        <f>VLOOKUP(A419,[2]cwurData!$B:$N, 13, FALSE)</f>
        <v>2014</v>
      </c>
    </row>
    <row r="420" spans="1:26" x14ac:dyDescent="0.3">
      <c r="A420" t="s">
        <v>423</v>
      </c>
      <c r="B420" t="str">
        <f>IFERROR(VLOOKUP(A420,[1]timesData!$B:$P,2,FALSE),VLOOKUP(A420,[2]cwurData!$B:$P,2,FALSE))</f>
        <v>Saudi Arabia</v>
      </c>
      <c r="C420" t="str">
        <f>VLOOKUP(A420,[1]timesData!$B:$P,3,FALSE)</f>
        <v>301-350</v>
      </c>
      <c r="D420" t="str">
        <f>VLOOKUP(A421,[1]timesData!$B:$P,3,FALSE)</f>
        <v>301-350</v>
      </c>
      <c r="E420">
        <f>VLOOKUP(A421,[1]timesData!$B:$P,4,FALSE)</f>
        <v>30.8</v>
      </c>
      <c r="F420">
        <f>VLOOKUP(A421,[1]timesData!$B:$P,5,FALSE)</f>
        <v>20.3</v>
      </c>
      <c r="G420">
        <f>VLOOKUP(A421,[1]timesData!$B:$P,6,FALSE)</f>
        <v>46.2</v>
      </c>
      <c r="H420">
        <f>VLOOKUP(A421,[1]timesData!$B:$P,7,FALSE)</f>
        <v>29.5</v>
      </c>
      <c r="I420" t="str">
        <f>VLOOKUP(A421,[1]timesData!$B:$P,8,FALSE)</f>
        <v>-</v>
      </c>
      <c r="J420">
        <f>VLOOKUP(A421,[1]timesData!$B:$P,9,FALSE)</f>
        <v>15799</v>
      </c>
      <c r="K420">
        <f>VLOOKUP(A421,[1]timesData!$B:$P,10,FALSE)</f>
        <v>23.3</v>
      </c>
      <c r="L420">
        <f>VLOOKUP(A421,[1]timesData!$B:$P,11,FALSE)</f>
        <v>0.14000000000000001</v>
      </c>
      <c r="M420">
        <f>VLOOKUP(A421,[1]timesData!$B:$P,12,FALSE)</f>
        <v>2.036111111111111</v>
      </c>
      <c r="N420">
        <f>VLOOKUP(A421,[1]timesData!$B:$P,13,FALSE)</f>
        <v>2012</v>
      </c>
      <c r="O420">
        <f>VLOOKUP(A420,[2]cwurData!$B:$P,14,FALSE)</f>
        <v>992</v>
      </c>
      <c r="P420">
        <f>VLOOKUP(A420,[2]cwurData!$B:$N, 3, FALSE)</f>
        <v>4</v>
      </c>
      <c r="Q420">
        <f>VLOOKUP(A420,[2]cwurData!$B:$N, 4, FALSE)</f>
        <v>355</v>
      </c>
      <c r="R420">
        <f>VLOOKUP(A420,[2]cwurData!$B:$N, 5, FALSE)</f>
        <v>470</v>
      </c>
      <c r="S420">
        <f>VLOOKUP(A420,[2]cwurData!$B:$N, 6, FALSE)</f>
        <v>210</v>
      </c>
      <c r="T420">
        <f>VLOOKUP(A420,[2]cwurData!$B:$N, 7, FALSE)</f>
        <v>843</v>
      </c>
      <c r="U420">
        <f>VLOOKUP(A420,[2]cwurData!$B:$N, 8, FALSE)</f>
        <v>688</v>
      </c>
      <c r="V420">
        <f>VLOOKUP(A420,[2]cwurData!$B:$N, 9, FALSE)</f>
        <v>609</v>
      </c>
      <c r="W420">
        <f>VLOOKUP(A420,[2]cwurData!$B:$N, 10, FALSE)</f>
        <v>998</v>
      </c>
      <c r="X420">
        <f>VLOOKUP(A420,[2]cwurData!$B:$N, 11, FALSE)</f>
        <v>637</v>
      </c>
      <c r="Y420">
        <f>VLOOKUP(A420,[2]cwurData!$B:$N, 12, FALSE)</f>
        <v>44.26</v>
      </c>
      <c r="Z420">
        <f>VLOOKUP(A420,[2]cwurData!$B:$N, 13, FALSE)</f>
        <v>2014</v>
      </c>
    </row>
    <row r="421" spans="1:26" x14ac:dyDescent="0.3">
      <c r="A421" t="s">
        <v>310</v>
      </c>
      <c r="B421" t="str">
        <f>IFERROR(VLOOKUP(A421,[1]timesData!$B:$P,2,FALSE),VLOOKUP(A421,[2]cwurData!$B:$P,2,FALSE))</f>
        <v>United States of America</v>
      </c>
      <c r="C421" t="str">
        <f>VLOOKUP(A421,[1]timesData!$B:$P,3,FALSE)</f>
        <v>301-350</v>
      </c>
      <c r="D421" t="str">
        <f>VLOOKUP(A422,[1]timesData!$B:$P,3,FALSE)</f>
        <v>301-350</v>
      </c>
      <c r="E421">
        <f>VLOOKUP(A422,[1]timesData!$B:$P,4,FALSE)</f>
        <v>25.5</v>
      </c>
      <c r="F421">
        <f>VLOOKUP(A422,[1]timesData!$B:$P,5,FALSE)</f>
        <v>12.3</v>
      </c>
      <c r="G421">
        <f>VLOOKUP(A422,[1]timesData!$B:$P,6,FALSE)</f>
        <v>87.5</v>
      </c>
      <c r="H421">
        <f>VLOOKUP(A422,[1]timesData!$B:$P,7,FALSE)</f>
        <v>42.4</v>
      </c>
      <c r="I421" t="str">
        <f>VLOOKUP(A422,[1]timesData!$B:$P,8,FALSE)</f>
        <v>-</v>
      </c>
      <c r="J421">
        <f>VLOOKUP(A422,[1]timesData!$B:$P,9,FALSE)</f>
        <v>23321</v>
      </c>
      <c r="K421">
        <f>VLOOKUP(A422,[1]timesData!$B:$P,10,FALSE)</f>
        <v>12.2</v>
      </c>
      <c r="L421">
        <f>VLOOKUP(A422,[1]timesData!$B:$P,11,FALSE)</f>
        <v>0.06</v>
      </c>
      <c r="M421">
        <f>VLOOKUP(A422,[1]timesData!$B:$P,12,FALSE)</f>
        <v>2.8965277777777776</v>
      </c>
      <c r="N421">
        <f>VLOOKUP(A422,[1]timesData!$B:$P,13,FALSE)</f>
        <v>2016</v>
      </c>
      <c r="O421" t="e">
        <f>VLOOKUP(A421,[2]cwurData!$B:$P,14,FALSE)</f>
        <v>#N/A</v>
      </c>
      <c r="P421" t="e">
        <f>VLOOKUP(A421,[2]cwurData!$B:$N, 3, FALSE)</f>
        <v>#N/A</v>
      </c>
      <c r="Q421" t="e">
        <f>VLOOKUP(A421,[2]cwurData!$B:$N, 4, FALSE)</f>
        <v>#N/A</v>
      </c>
      <c r="R421" t="e">
        <f>VLOOKUP(A421,[2]cwurData!$B:$N, 5, FALSE)</f>
        <v>#N/A</v>
      </c>
      <c r="S421" t="e">
        <f>VLOOKUP(A421,[2]cwurData!$B:$N, 6, FALSE)</f>
        <v>#N/A</v>
      </c>
      <c r="T421" t="e">
        <f>VLOOKUP(A421,[2]cwurData!$B:$N, 7, FALSE)</f>
        <v>#N/A</v>
      </c>
      <c r="U421" t="e">
        <f>VLOOKUP(A421,[2]cwurData!$B:$N, 8, FALSE)</f>
        <v>#N/A</v>
      </c>
      <c r="V421" t="e">
        <f>VLOOKUP(A421,[2]cwurData!$B:$N, 9, FALSE)</f>
        <v>#N/A</v>
      </c>
      <c r="W421" t="e">
        <f>VLOOKUP(A421,[2]cwurData!$B:$N, 10, FALSE)</f>
        <v>#N/A</v>
      </c>
      <c r="X421" t="e">
        <f>VLOOKUP(A421,[2]cwurData!$B:$N, 11, FALSE)</f>
        <v>#N/A</v>
      </c>
      <c r="Y421" t="e">
        <f>VLOOKUP(A421,[2]cwurData!$B:$N, 12, FALSE)</f>
        <v>#N/A</v>
      </c>
      <c r="Z421" t="e">
        <f>VLOOKUP(A421,[2]cwurData!$B:$N, 13, FALSE)</f>
        <v>#N/A</v>
      </c>
    </row>
    <row r="422" spans="1:26" x14ac:dyDescent="0.3">
      <c r="A422" t="s">
        <v>503</v>
      </c>
      <c r="B422" t="str">
        <f>IFERROR(VLOOKUP(A422,[1]timesData!$B:$P,2,FALSE),VLOOKUP(A422,[2]cwurData!$B:$P,2,FALSE))</f>
        <v>Russian Federation</v>
      </c>
      <c r="C422" t="str">
        <f>VLOOKUP(A422,[1]timesData!$B:$P,3,FALSE)</f>
        <v>301-350</v>
      </c>
      <c r="D422" t="str">
        <f>VLOOKUP(A423,[1]timesData!$B:$P,3,FALSE)</f>
        <v>301-350</v>
      </c>
      <c r="E422">
        <f>VLOOKUP(A423,[1]timesData!$B:$P,4,FALSE)</f>
        <v>15.6</v>
      </c>
      <c r="F422">
        <f>VLOOKUP(A423,[1]timesData!$B:$P,5,FALSE)</f>
        <v>37</v>
      </c>
      <c r="G422">
        <f>VLOOKUP(A423,[1]timesData!$B:$P,6,FALSE)</f>
        <v>19.399999999999999</v>
      </c>
      <c r="H422">
        <f>VLOOKUP(A423,[1]timesData!$B:$P,7,FALSE)</f>
        <v>42.9</v>
      </c>
      <c r="I422" t="str">
        <f>VLOOKUP(A423,[1]timesData!$B:$P,8,FALSE)</f>
        <v>-</v>
      </c>
      <c r="J422">
        <f>VLOOKUP(A423,[1]timesData!$B:$P,9,FALSE)</f>
        <v>7446</v>
      </c>
      <c r="K422">
        <f>VLOOKUP(A423,[1]timesData!$B:$P,10,FALSE)</f>
        <v>17.399999999999999</v>
      </c>
      <c r="L422">
        <f>VLOOKUP(A423,[1]timesData!$B:$P,11,FALSE)</f>
        <v>0.11</v>
      </c>
      <c r="M422" t="str">
        <f>VLOOKUP(A423,[1]timesData!$B:$P,12,FALSE)</f>
        <v>34 : 66</v>
      </c>
      <c r="N422">
        <f>VLOOKUP(A423,[1]timesData!$B:$P,13,FALSE)</f>
        <v>2012</v>
      </c>
      <c r="O422" t="e">
        <f>VLOOKUP(A422,[2]cwurData!$B:$P,14,FALSE)</f>
        <v>#N/A</v>
      </c>
      <c r="P422" t="e">
        <f>VLOOKUP(A422,[2]cwurData!$B:$N, 3, FALSE)</f>
        <v>#N/A</v>
      </c>
      <c r="Q422" t="e">
        <f>VLOOKUP(A422,[2]cwurData!$B:$N, 4, FALSE)</f>
        <v>#N/A</v>
      </c>
      <c r="R422" t="e">
        <f>VLOOKUP(A422,[2]cwurData!$B:$N, 5, FALSE)</f>
        <v>#N/A</v>
      </c>
      <c r="S422" t="e">
        <f>VLOOKUP(A422,[2]cwurData!$B:$N, 6, FALSE)</f>
        <v>#N/A</v>
      </c>
      <c r="T422" t="e">
        <f>VLOOKUP(A422,[2]cwurData!$B:$N, 7, FALSE)</f>
        <v>#N/A</v>
      </c>
      <c r="U422" t="e">
        <f>VLOOKUP(A422,[2]cwurData!$B:$N, 8, FALSE)</f>
        <v>#N/A</v>
      </c>
      <c r="V422" t="e">
        <f>VLOOKUP(A422,[2]cwurData!$B:$N, 9, FALSE)</f>
        <v>#N/A</v>
      </c>
      <c r="W422" t="e">
        <f>VLOOKUP(A422,[2]cwurData!$B:$N, 10, FALSE)</f>
        <v>#N/A</v>
      </c>
      <c r="X422" t="e">
        <f>VLOOKUP(A422,[2]cwurData!$B:$N, 11, FALSE)</f>
        <v>#N/A</v>
      </c>
      <c r="Y422" t="e">
        <f>VLOOKUP(A422,[2]cwurData!$B:$N, 12, FALSE)</f>
        <v>#N/A</v>
      </c>
      <c r="Z422" t="e">
        <f>VLOOKUP(A422,[2]cwurData!$B:$N, 13, FALSE)</f>
        <v>#N/A</v>
      </c>
    </row>
    <row r="423" spans="1:26" x14ac:dyDescent="0.3">
      <c r="A423" t="s">
        <v>321</v>
      </c>
      <c r="B423" t="str">
        <f>IFERROR(VLOOKUP(A423,[1]timesData!$B:$P,2,FALSE),VLOOKUP(A423,[2]cwurData!$B:$P,2,FALSE))</f>
        <v>Taiwan</v>
      </c>
      <c r="C423" t="str">
        <f>VLOOKUP(A423,[1]timesData!$B:$P,3,FALSE)</f>
        <v>301-350</v>
      </c>
      <c r="D423" t="str">
        <f>VLOOKUP(A424,[1]timesData!$B:$P,3,FALSE)</f>
        <v>301-350</v>
      </c>
      <c r="E423">
        <f>VLOOKUP(A424,[1]timesData!$B:$P,4,FALSE)</f>
        <v>26.6</v>
      </c>
      <c r="F423">
        <f>VLOOKUP(A424,[1]timesData!$B:$P,5,FALSE)</f>
        <v>32.1</v>
      </c>
      <c r="G423">
        <f>VLOOKUP(A424,[1]timesData!$B:$P,6,FALSE)</f>
        <v>23.9</v>
      </c>
      <c r="H423">
        <f>VLOOKUP(A424,[1]timesData!$B:$P,7,FALSE)</f>
        <v>99.4</v>
      </c>
      <c r="I423" t="str">
        <f>VLOOKUP(A424,[1]timesData!$B:$P,8,FALSE)</f>
        <v>-</v>
      </c>
      <c r="J423">
        <f>VLOOKUP(A424,[1]timesData!$B:$P,9,FALSE)</f>
        <v>24365</v>
      </c>
      <c r="K423">
        <f>VLOOKUP(A424,[1]timesData!$B:$P,10,FALSE)</f>
        <v>20.3</v>
      </c>
      <c r="L423">
        <f>VLOOKUP(A424,[1]timesData!$B:$P,11,FALSE)</f>
        <v>0.09</v>
      </c>
      <c r="M423" t="str">
        <f>VLOOKUP(A424,[1]timesData!$B:$P,12,FALSE)</f>
        <v>39 : 61</v>
      </c>
      <c r="N423">
        <f>VLOOKUP(A424,[1]timesData!$B:$P,13,FALSE)</f>
        <v>2012</v>
      </c>
      <c r="O423" t="e">
        <f>VLOOKUP(A423,[2]cwurData!$B:$P,14,FALSE)</f>
        <v>#N/A</v>
      </c>
      <c r="P423" t="e">
        <f>VLOOKUP(A423,[2]cwurData!$B:$N, 3, FALSE)</f>
        <v>#N/A</v>
      </c>
      <c r="Q423" t="e">
        <f>VLOOKUP(A423,[2]cwurData!$B:$N, 4, FALSE)</f>
        <v>#N/A</v>
      </c>
      <c r="R423" t="e">
        <f>VLOOKUP(A423,[2]cwurData!$B:$N, 5, FALSE)</f>
        <v>#N/A</v>
      </c>
      <c r="S423" t="e">
        <f>VLOOKUP(A423,[2]cwurData!$B:$N, 6, FALSE)</f>
        <v>#N/A</v>
      </c>
      <c r="T423" t="e">
        <f>VLOOKUP(A423,[2]cwurData!$B:$N, 7, FALSE)</f>
        <v>#N/A</v>
      </c>
      <c r="U423" t="e">
        <f>VLOOKUP(A423,[2]cwurData!$B:$N, 8, FALSE)</f>
        <v>#N/A</v>
      </c>
      <c r="V423" t="e">
        <f>VLOOKUP(A423,[2]cwurData!$B:$N, 9, FALSE)</f>
        <v>#N/A</v>
      </c>
      <c r="W423" t="e">
        <f>VLOOKUP(A423,[2]cwurData!$B:$N, 10, FALSE)</f>
        <v>#N/A</v>
      </c>
      <c r="X423" t="e">
        <f>VLOOKUP(A423,[2]cwurData!$B:$N, 11, FALSE)</f>
        <v>#N/A</v>
      </c>
      <c r="Y423" t="e">
        <f>VLOOKUP(A423,[2]cwurData!$B:$N, 12, FALSE)</f>
        <v>#N/A</v>
      </c>
      <c r="Z423" t="e">
        <f>VLOOKUP(A423,[2]cwurData!$B:$N, 13, FALSE)</f>
        <v>#N/A</v>
      </c>
    </row>
    <row r="424" spans="1:26" x14ac:dyDescent="0.3">
      <c r="A424" t="s">
        <v>327</v>
      </c>
      <c r="B424" t="str">
        <f>IFERROR(VLOOKUP(A424,[1]timesData!$B:$P,2,FALSE),VLOOKUP(A424,[2]cwurData!$B:$P,2,FALSE))</f>
        <v>South Korea</v>
      </c>
      <c r="C424" t="str">
        <f>VLOOKUP(A424,[1]timesData!$B:$P,3,FALSE)</f>
        <v>301-350</v>
      </c>
      <c r="D424" t="str">
        <f>VLOOKUP(A425,[1]timesData!$B:$P,3,FALSE)</f>
        <v>301-350</v>
      </c>
      <c r="E424">
        <f>VLOOKUP(A425,[1]timesData!$B:$P,4,FALSE)</f>
        <v>66.7</v>
      </c>
      <c r="F424">
        <f>VLOOKUP(A425,[1]timesData!$B:$P,5,FALSE)</f>
        <v>35.700000000000003</v>
      </c>
      <c r="G424">
        <f>VLOOKUP(A425,[1]timesData!$B:$P,6,FALSE)</f>
        <v>56.3</v>
      </c>
      <c r="H424">
        <f>VLOOKUP(A425,[1]timesData!$B:$P,7,FALSE)</f>
        <v>32.5</v>
      </c>
      <c r="I424" t="str">
        <f>VLOOKUP(A425,[1]timesData!$B:$P,8,FALSE)</f>
        <v>-</v>
      </c>
      <c r="J424">
        <f>VLOOKUP(A425,[1]timesData!$B:$P,9,FALSE)</f>
        <v>19011</v>
      </c>
      <c r="K424">
        <f>VLOOKUP(A425,[1]timesData!$B:$P,10,FALSE)</f>
        <v>43.8</v>
      </c>
      <c r="L424">
        <f>VLOOKUP(A425,[1]timesData!$B:$P,11,FALSE)</f>
        <v>0.19</v>
      </c>
      <c r="M424">
        <f>VLOOKUP(A425,[1]timesData!$B:$P,12,FALSE)</f>
        <v>2.4868055555555557</v>
      </c>
      <c r="N424">
        <f>VLOOKUP(A425,[1]timesData!$B:$P,13,FALSE)</f>
        <v>2016</v>
      </c>
      <c r="O424" t="e">
        <f>VLOOKUP(A424,[2]cwurData!$B:$P,14,FALSE)</f>
        <v>#N/A</v>
      </c>
      <c r="P424" t="e">
        <f>VLOOKUP(A424,[2]cwurData!$B:$N, 3, FALSE)</f>
        <v>#N/A</v>
      </c>
      <c r="Q424" t="e">
        <f>VLOOKUP(A424,[2]cwurData!$B:$N, 4, FALSE)</f>
        <v>#N/A</v>
      </c>
      <c r="R424" t="e">
        <f>VLOOKUP(A424,[2]cwurData!$B:$N, 5, FALSE)</f>
        <v>#N/A</v>
      </c>
      <c r="S424" t="e">
        <f>VLOOKUP(A424,[2]cwurData!$B:$N, 6, FALSE)</f>
        <v>#N/A</v>
      </c>
      <c r="T424" t="e">
        <f>VLOOKUP(A424,[2]cwurData!$B:$N, 7, FALSE)</f>
        <v>#N/A</v>
      </c>
      <c r="U424" t="e">
        <f>VLOOKUP(A424,[2]cwurData!$B:$N, 8, FALSE)</f>
        <v>#N/A</v>
      </c>
      <c r="V424" t="e">
        <f>VLOOKUP(A424,[2]cwurData!$B:$N, 9, FALSE)</f>
        <v>#N/A</v>
      </c>
      <c r="W424" t="e">
        <f>VLOOKUP(A424,[2]cwurData!$B:$N, 10, FALSE)</f>
        <v>#N/A</v>
      </c>
      <c r="X424" t="e">
        <f>VLOOKUP(A424,[2]cwurData!$B:$N, 11, FALSE)</f>
        <v>#N/A</v>
      </c>
      <c r="Y424" t="e">
        <f>VLOOKUP(A424,[2]cwurData!$B:$N, 12, FALSE)</f>
        <v>#N/A</v>
      </c>
      <c r="Z424" t="e">
        <f>VLOOKUP(A424,[2]cwurData!$B:$N, 13, FALSE)</f>
        <v>#N/A</v>
      </c>
    </row>
    <row r="425" spans="1:26" x14ac:dyDescent="0.3">
      <c r="A425" t="s">
        <v>508</v>
      </c>
      <c r="B425" t="str">
        <f>IFERROR(VLOOKUP(A425,[1]timesData!$B:$P,2,FALSE),VLOOKUP(A425,[2]cwurData!$B:$P,2,FALSE))</f>
        <v>France</v>
      </c>
      <c r="C425" t="str">
        <f>VLOOKUP(A425,[1]timesData!$B:$P,3,FALSE)</f>
        <v>301-350</v>
      </c>
      <c r="D425" t="str">
        <f>VLOOKUP(A426,[1]timesData!$B:$P,3,FALSE)</f>
        <v>301-350</v>
      </c>
      <c r="E425">
        <f>VLOOKUP(A426,[1]timesData!$B:$P,4,FALSE)</f>
        <v>45.1</v>
      </c>
      <c r="F425">
        <f>VLOOKUP(A426,[1]timesData!$B:$P,5,FALSE)</f>
        <v>6.5</v>
      </c>
      <c r="G425">
        <f>VLOOKUP(A426,[1]timesData!$B:$P,6,FALSE)</f>
        <v>83</v>
      </c>
      <c r="H425">
        <f>VLOOKUP(A426,[1]timesData!$B:$P,7,FALSE)</f>
        <v>28.6</v>
      </c>
      <c r="I425" t="str">
        <f>VLOOKUP(A426,[1]timesData!$B:$P,8,FALSE)</f>
        <v>-</v>
      </c>
      <c r="J425">
        <f>VLOOKUP(A426,[1]timesData!$B:$P,9,FALSE)</f>
        <v>56060</v>
      </c>
      <c r="K425">
        <f>VLOOKUP(A426,[1]timesData!$B:$P,10,FALSE)</f>
        <v>38.700000000000003</v>
      </c>
      <c r="L425">
        <f>VLOOKUP(A426,[1]timesData!$B:$P,11,FALSE)</f>
        <v>0.01</v>
      </c>
      <c r="M425">
        <f>VLOOKUP(A426,[1]timesData!$B:$P,12,FALSE)</f>
        <v>1.9541666666666666</v>
      </c>
      <c r="N425">
        <f>VLOOKUP(A426,[1]timesData!$B:$P,13,FALSE)</f>
        <v>2015</v>
      </c>
      <c r="O425" t="e">
        <f>VLOOKUP(A425,[2]cwurData!$B:$P,14,FALSE)</f>
        <v>#N/A</v>
      </c>
      <c r="P425" t="e">
        <f>VLOOKUP(A425,[2]cwurData!$B:$N, 3, FALSE)</f>
        <v>#N/A</v>
      </c>
      <c r="Q425" t="e">
        <f>VLOOKUP(A425,[2]cwurData!$B:$N, 4, FALSE)</f>
        <v>#N/A</v>
      </c>
      <c r="R425" t="e">
        <f>VLOOKUP(A425,[2]cwurData!$B:$N, 5, FALSE)</f>
        <v>#N/A</v>
      </c>
      <c r="S425" t="e">
        <f>VLOOKUP(A425,[2]cwurData!$B:$N, 6, FALSE)</f>
        <v>#N/A</v>
      </c>
      <c r="T425" t="e">
        <f>VLOOKUP(A425,[2]cwurData!$B:$N, 7, FALSE)</f>
        <v>#N/A</v>
      </c>
      <c r="U425" t="e">
        <f>VLOOKUP(A425,[2]cwurData!$B:$N, 8, FALSE)</f>
        <v>#N/A</v>
      </c>
      <c r="V425" t="e">
        <f>VLOOKUP(A425,[2]cwurData!$B:$N, 9, FALSE)</f>
        <v>#N/A</v>
      </c>
      <c r="W425" t="e">
        <f>VLOOKUP(A425,[2]cwurData!$B:$N, 10, FALSE)</f>
        <v>#N/A</v>
      </c>
      <c r="X425" t="e">
        <f>VLOOKUP(A425,[2]cwurData!$B:$N, 11, FALSE)</f>
        <v>#N/A</v>
      </c>
      <c r="Y425" t="e">
        <f>VLOOKUP(A425,[2]cwurData!$B:$N, 12, FALSE)</f>
        <v>#N/A</v>
      </c>
      <c r="Z425" t="e">
        <f>VLOOKUP(A425,[2]cwurData!$B:$N, 13, FALSE)</f>
        <v>#N/A</v>
      </c>
    </row>
    <row r="426" spans="1:26" x14ac:dyDescent="0.3">
      <c r="A426" t="s">
        <v>472</v>
      </c>
      <c r="B426" t="str">
        <f>IFERROR(VLOOKUP(A426,[1]timesData!$B:$P,2,FALSE),VLOOKUP(A426,[2]cwurData!$B:$P,2,FALSE))</f>
        <v>Morocco</v>
      </c>
      <c r="C426" t="str">
        <f>VLOOKUP(A426,[1]timesData!$B:$P,3,FALSE)</f>
        <v>301-350</v>
      </c>
      <c r="D426" t="str">
        <f>VLOOKUP(A427,[1]timesData!$B:$P,3,FALSE)</f>
        <v>301-350</v>
      </c>
      <c r="E426">
        <f>VLOOKUP(A427,[1]timesData!$B:$P,4,FALSE)</f>
        <v>20.7</v>
      </c>
      <c r="F426">
        <f>VLOOKUP(A427,[1]timesData!$B:$P,5,FALSE)</f>
        <v>16.100000000000001</v>
      </c>
      <c r="G426">
        <f>VLOOKUP(A427,[1]timesData!$B:$P,6,FALSE)</f>
        <v>31.6</v>
      </c>
      <c r="H426">
        <f>VLOOKUP(A427,[1]timesData!$B:$P,7,FALSE)</f>
        <v>32.299999999999997</v>
      </c>
      <c r="I426" t="str">
        <f>VLOOKUP(A427,[1]timesData!$B:$P,8,FALSE)</f>
        <v>-</v>
      </c>
      <c r="J426">
        <f>VLOOKUP(A427,[1]timesData!$B:$P,9,FALSE)</f>
        <v>0</v>
      </c>
      <c r="K426">
        <f>VLOOKUP(A427,[1]timesData!$B:$P,10,FALSE)</f>
        <v>0</v>
      </c>
      <c r="L426">
        <f>VLOOKUP(A427,[1]timesData!$B:$P,11,FALSE)</f>
        <v>0</v>
      </c>
      <c r="M426">
        <f>VLOOKUP(A427,[1]timesData!$B:$P,12,FALSE)</f>
        <v>0</v>
      </c>
      <c r="N426">
        <f>VLOOKUP(A427,[1]timesData!$B:$P,13,FALSE)</f>
        <v>2012</v>
      </c>
      <c r="O426" t="e">
        <f>VLOOKUP(A426,[2]cwurData!$B:$P,14,FALSE)</f>
        <v>#N/A</v>
      </c>
      <c r="P426" t="e">
        <f>VLOOKUP(A426,[2]cwurData!$B:$N, 3, FALSE)</f>
        <v>#N/A</v>
      </c>
      <c r="Q426" t="e">
        <f>VLOOKUP(A426,[2]cwurData!$B:$N, 4, FALSE)</f>
        <v>#N/A</v>
      </c>
      <c r="R426" t="e">
        <f>VLOOKUP(A426,[2]cwurData!$B:$N, 5, FALSE)</f>
        <v>#N/A</v>
      </c>
      <c r="S426" t="e">
        <f>VLOOKUP(A426,[2]cwurData!$B:$N, 6, FALSE)</f>
        <v>#N/A</v>
      </c>
      <c r="T426" t="e">
        <f>VLOOKUP(A426,[2]cwurData!$B:$N, 7, FALSE)</f>
        <v>#N/A</v>
      </c>
      <c r="U426" t="e">
        <f>VLOOKUP(A426,[2]cwurData!$B:$N, 8, FALSE)</f>
        <v>#N/A</v>
      </c>
      <c r="V426" t="e">
        <f>VLOOKUP(A426,[2]cwurData!$B:$N, 9, FALSE)</f>
        <v>#N/A</v>
      </c>
      <c r="W426" t="e">
        <f>VLOOKUP(A426,[2]cwurData!$B:$N, 10, FALSE)</f>
        <v>#N/A</v>
      </c>
      <c r="X426" t="e">
        <f>VLOOKUP(A426,[2]cwurData!$B:$N, 11, FALSE)</f>
        <v>#N/A</v>
      </c>
      <c r="Y426" t="e">
        <f>VLOOKUP(A426,[2]cwurData!$B:$N, 12, FALSE)</f>
        <v>#N/A</v>
      </c>
      <c r="Z426" t="e">
        <f>VLOOKUP(A426,[2]cwurData!$B:$N, 13, FALSE)</f>
        <v>#N/A</v>
      </c>
    </row>
    <row r="427" spans="1:26" x14ac:dyDescent="0.3">
      <c r="A427" t="s">
        <v>340</v>
      </c>
      <c r="B427" t="str">
        <f>IFERROR(VLOOKUP(A427,[1]timesData!$B:$P,2,FALSE),VLOOKUP(A427,[2]cwurData!$B:$P,2,FALSE))</f>
        <v>United States of America</v>
      </c>
      <c r="C427" t="str">
        <f>VLOOKUP(A427,[1]timesData!$B:$P,3,FALSE)</f>
        <v>301-350</v>
      </c>
      <c r="D427" t="str">
        <f>VLOOKUP(A428,[1]timesData!$B:$P,3,FALSE)</f>
        <v>301-350</v>
      </c>
      <c r="E427">
        <f>VLOOKUP(A428,[1]timesData!$B:$P,4,FALSE)</f>
        <v>15</v>
      </c>
      <c r="F427">
        <f>VLOOKUP(A428,[1]timesData!$B:$P,5,FALSE)</f>
        <v>30.1</v>
      </c>
      <c r="G427">
        <f>VLOOKUP(A428,[1]timesData!$B:$P,6,FALSE)</f>
        <v>36.6</v>
      </c>
      <c r="H427">
        <f>VLOOKUP(A428,[1]timesData!$B:$P,7,FALSE)</f>
        <v>94.4</v>
      </c>
      <c r="I427" t="str">
        <f>VLOOKUP(A428,[1]timesData!$B:$P,8,FALSE)</f>
        <v>-</v>
      </c>
      <c r="J427">
        <f>VLOOKUP(A428,[1]timesData!$B:$P,9,FALSE)</f>
        <v>31424</v>
      </c>
      <c r="K427">
        <f>VLOOKUP(A428,[1]timesData!$B:$P,10,FALSE)</f>
        <v>21.5</v>
      </c>
      <c r="L427">
        <f>VLOOKUP(A428,[1]timesData!$B:$P,11,FALSE)</f>
        <v>0.1</v>
      </c>
      <c r="M427">
        <f>VLOOKUP(A428,[1]timesData!$B:$P,12,FALSE)</f>
        <v>0</v>
      </c>
      <c r="N427">
        <f>VLOOKUP(A428,[1]timesData!$B:$P,13,FALSE)</f>
        <v>2012</v>
      </c>
      <c r="O427" t="e">
        <f>VLOOKUP(A427,[2]cwurData!$B:$P,14,FALSE)</f>
        <v>#N/A</v>
      </c>
      <c r="P427" t="e">
        <f>VLOOKUP(A427,[2]cwurData!$B:$N, 3, FALSE)</f>
        <v>#N/A</v>
      </c>
      <c r="Q427" t="e">
        <f>VLOOKUP(A427,[2]cwurData!$B:$N, 4, FALSE)</f>
        <v>#N/A</v>
      </c>
      <c r="R427" t="e">
        <f>VLOOKUP(A427,[2]cwurData!$B:$N, 5, FALSE)</f>
        <v>#N/A</v>
      </c>
      <c r="S427" t="e">
        <f>VLOOKUP(A427,[2]cwurData!$B:$N, 6, FALSE)</f>
        <v>#N/A</v>
      </c>
      <c r="T427" t="e">
        <f>VLOOKUP(A427,[2]cwurData!$B:$N, 7, FALSE)</f>
        <v>#N/A</v>
      </c>
      <c r="U427" t="e">
        <f>VLOOKUP(A427,[2]cwurData!$B:$N, 8, FALSE)</f>
        <v>#N/A</v>
      </c>
      <c r="V427" t="e">
        <f>VLOOKUP(A427,[2]cwurData!$B:$N, 9, FALSE)</f>
        <v>#N/A</v>
      </c>
      <c r="W427" t="e">
        <f>VLOOKUP(A427,[2]cwurData!$B:$N, 10, FALSE)</f>
        <v>#N/A</v>
      </c>
      <c r="X427" t="e">
        <f>VLOOKUP(A427,[2]cwurData!$B:$N, 11, FALSE)</f>
        <v>#N/A</v>
      </c>
      <c r="Y427" t="e">
        <f>VLOOKUP(A427,[2]cwurData!$B:$N, 12, FALSE)</f>
        <v>#N/A</v>
      </c>
      <c r="Z427" t="e">
        <f>VLOOKUP(A427,[2]cwurData!$B:$N, 13, FALSE)</f>
        <v>#N/A</v>
      </c>
    </row>
    <row r="428" spans="1:26" x14ac:dyDescent="0.3">
      <c r="A428" t="s">
        <v>343</v>
      </c>
      <c r="B428" t="str">
        <f>IFERROR(VLOOKUP(A428,[1]timesData!$B:$P,2,FALSE),VLOOKUP(A428,[2]cwurData!$B:$P,2,FALSE))</f>
        <v>United States of America</v>
      </c>
      <c r="C428" t="str">
        <f>VLOOKUP(A428,[1]timesData!$B:$P,3,FALSE)</f>
        <v>301-350</v>
      </c>
      <c r="D428" t="str">
        <f>VLOOKUP(A429,[1]timesData!$B:$P,3,FALSE)</f>
        <v>301-350</v>
      </c>
      <c r="E428">
        <f>VLOOKUP(A429,[1]timesData!$B:$P,4,FALSE)</f>
        <v>22.3</v>
      </c>
      <c r="F428">
        <f>VLOOKUP(A429,[1]timesData!$B:$P,5,FALSE)</f>
        <v>15.7</v>
      </c>
      <c r="G428">
        <f>VLOOKUP(A429,[1]timesData!$B:$P,6,FALSE)</f>
        <v>85.5</v>
      </c>
      <c r="H428">
        <f>VLOOKUP(A429,[1]timesData!$B:$P,7,FALSE)</f>
        <v>32.1</v>
      </c>
      <c r="I428" t="str">
        <f>VLOOKUP(A429,[1]timesData!$B:$P,8,FALSE)</f>
        <v>-</v>
      </c>
      <c r="J428">
        <f>VLOOKUP(A429,[1]timesData!$B:$P,9,FALSE)</f>
        <v>14991</v>
      </c>
      <c r="K428">
        <f>VLOOKUP(A429,[1]timesData!$B:$P,10,FALSE)</f>
        <v>23.9</v>
      </c>
      <c r="L428">
        <f>VLOOKUP(A429,[1]timesData!$B:$P,11,FALSE)</f>
        <v>0.05</v>
      </c>
      <c r="M428">
        <f>VLOOKUP(A429,[1]timesData!$B:$P,12,FALSE)</f>
        <v>2.0770833333333334</v>
      </c>
      <c r="N428">
        <f>VLOOKUP(A429,[1]timesData!$B:$P,13,FALSE)</f>
        <v>2016</v>
      </c>
      <c r="O428" t="e">
        <f>VLOOKUP(A428,[2]cwurData!$B:$P,14,FALSE)</f>
        <v>#N/A</v>
      </c>
      <c r="P428" t="e">
        <f>VLOOKUP(A428,[2]cwurData!$B:$N, 3, FALSE)</f>
        <v>#N/A</v>
      </c>
      <c r="Q428" t="e">
        <f>VLOOKUP(A428,[2]cwurData!$B:$N, 4, FALSE)</f>
        <v>#N/A</v>
      </c>
      <c r="R428" t="e">
        <f>VLOOKUP(A428,[2]cwurData!$B:$N, 5, FALSE)</f>
        <v>#N/A</v>
      </c>
      <c r="S428" t="e">
        <f>VLOOKUP(A428,[2]cwurData!$B:$N, 6, FALSE)</f>
        <v>#N/A</v>
      </c>
      <c r="T428" t="e">
        <f>VLOOKUP(A428,[2]cwurData!$B:$N, 7, FALSE)</f>
        <v>#N/A</v>
      </c>
      <c r="U428" t="e">
        <f>VLOOKUP(A428,[2]cwurData!$B:$N, 8, FALSE)</f>
        <v>#N/A</v>
      </c>
      <c r="V428" t="e">
        <f>VLOOKUP(A428,[2]cwurData!$B:$N, 9, FALSE)</f>
        <v>#N/A</v>
      </c>
      <c r="W428" t="e">
        <f>VLOOKUP(A428,[2]cwurData!$B:$N, 10, FALSE)</f>
        <v>#N/A</v>
      </c>
      <c r="X428" t="e">
        <f>VLOOKUP(A428,[2]cwurData!$B:$N, 11, FALSE)</f>
        <v>#N/A</v>
      </c>
      <c r="Y428" t="e">
        <f>VLOOKUP(A428,[2]cwurData!$B:$N, 12, FALSE)</f>
        <v>#N/A</v>
      </c>
      <c r="Z428" t="e">
        <f>VLOOKUP(A428,[2]cwurData!$B:$N, 13, FALSE)</f>
        <v>#N/A</v>
      </c>
    </row>
    <row r="429" spans="1:26" x14ac:dyDescent="0.3">
      <c r="A429" t="s">
        <v>509</v>
      </c>
      <c r="B429" t="str">
        <f>IFERROR(VLOOKUP(A429,[1]timesData!$B:$P,2,FALSE),VLOOKUP(A429,[2]cwurData!$B:$P,2,FALSE))</f>
        <v>Czech Republic</v>
      </c>
      <c r="C429" t="str">
        <f>VLOOKUP(A429,[1]timesData!$B:$P,3,FALSE)</f>
        <v>301-350</v>
      </c>
      <c r="D429" t="str">
        <f>VLOOKUP(A430,[1]timesData!$B:$P,3,FALSE)</f>
        <v>301-350</v>
      </c>
      <c r="E429">
        <f>VLOOKUP(A430,[1]timesData!$B:$P,4,FALSE)</f>
        <v>31</v>
      </c>
      <c r="F429">
        <f>VLOOKUP(A430,[1]timesData!$B:$P,5,FALSE)</f>
        <v>24.5</v>
      </c>
      <c r="G429">
        <f>VLOOKUP(A430,[1]timesData!$B:$P,6,FALSE)</f>
        <v>33.5</v>
      </c>
      <c r="H429">
        <f>VLOOKUP(A430,[1]timesData!$B:$P,7,FALSE)</f>
        <v>34.299999999999997</v>
      </c>
      <c r="I429" t="str">
        <f>VLOOKUP(A430,[1]timesData!$B:$P,8,FALSE)</f>
        <v>-</v>
      </c>
      <c r="J429">
        <f>VLOOKUP(A430,[1]timesData!$B:$P,9,FALSE)</f>
        <v>24550</v>
      </c>
      <c r="K429">
        <f>VLOOKUP(A430,[1]timesData!$B:$P,10,FALSE)</f>
        <v>18.3</v>
      </c>
      <c r="L429">
        <f>VLOOKUP(A430,[1]timesData!$B:$P,11,FALSE)</f>
        <v>7.0000000000000007E-2</v>
      </c>
      <c r="M429">
        <f>VLOOKUP(A430,[1]timesData!$B:$P,12,FALSE)</f>
        <v>2.1180555555555554</v>
      </c>
      <c r="N429">
        <f>VLOOKUP(A430,[1]timesData!$B:$P,13,FALSE)</f>
        <v>2012</v>
      </c>
      <c r="O429" t="e">
        <f>VLOOKUP(A429,[2]cwurData!$B:$P,14,FALSE)</f>
        <v>#N/A</v>
      </c>
      <c r="P429" t="e">
        <f>VLOOKUP(A429,[2]cwurData!$B:$N, 3, FALSE)</f>
        <v>#N/A</v>
      </c>
      <c r="Q429" t="e">
        <f>VLOOKUP(A429,[2]cwurData!$B:$N, 4, FALSE)</f>
        <v>#N/A</v>
      </c>
      <c r="R429" t="e">
        <f>VLOOKUP(A429,[2]cwurData!$B:$N, 5, FALSE)</f>
        <v>#N/A</v>
      </c>
      <c r="S429" t="e">
        <f>VLOOKUP(A429,[2]cwurData!$B:$N, 6, FALSE)</f>
        <v>#N/A</v>
      </c>
      <c r="T429" t="e">
        <f>VLOOKUP(A429,[2]cwurData!$B:$N, 7, FALSE)</f>
        <v>#N/A</v>
      </c>
      <c r="U429" t="e">
        <f>VLOOKUP(A429,[2]cwurData!$B:$N, 8, FALSE)</f>
        <v>#N/A</v>
      </c>
      <c r="V429" t="e">
        <f>VLOOKUP(A429,[2]cwurData!$B:$N, 9, FALSE)</f>
        <v>#N/A</v>
      </c>
      <c r="W429" t="e">
        <f>VLOOKUP(A429,[2]cwurData!$B:$N, 10, FALSE)</f>
        <v>#N/A</v>
      </c>
      <c r="X429" t="e">
        <f>VLOOKUP(A429,[2]cwurData!$B:$N, 11, FALSE)</f>
        <v>#N/A</v>
      </c>
      <c r="Y429" t="e">
        <f>VLOOKUP(A429,[2]cwurData!$B:$N, 12, FALSE)</f>
        <v>#N/A</v>
      </c>
      <c r="Z429" t="e">
        <f>VLOOKUP(A429,[2]cwurData!$B:$N, 13, FALSE)</f>
        <v>#N/A</v>
      </c>
    </row>
    <row r="430" spans="1:26" x14ac:dyDescent="0.3">
      <c r="A430" t="s">
        <v>353</v>
      </c>
      <c r="B430" t="str">
        <f>IFERROR(VLOOKUP(A430,[1]timesData!$B:$P,2,FALSE),VLOOKUP(A430,[2]cwurData!$B:$P,2,FALSE))</f>
        <v>United States of America</v>
      </c>
      <c r="C430" t="str">
        <f>VLOOKUP(A430,[1]timesData!$B:$P,3,FALSE)</f>
        <v>301-350</v>
      </c>
      <c r="D430" t="str">
        <f>VLOOKUP(A431,[1]timesData!$B:$P,3,FALSE)</f>
        <v>350-400</v>
      </c>
      <c r="E430">
        <f>VLOOKUP(A431,[1]timesData!$B:$P,4,FALSE)</f>
        <v>27.1</v>
      </c>
      <c r="F430">
        <f>VLOOKUP(A431,[1]timesData!$B:$P,5,FALSE)</f>
        <v>17.3</v>
      </c>
      <c r="G430">
        <f>VLOOKUP(A431,[1]timesData!$B:$P,6,FALSE)</f>
        <v>29.7</v>
      </c>
      <c r="H430">
        <f>VLOOKUP(A431,[1]timesData!$B:$P,7,FALSE)</f>
        <v>27.3</v>
      </c>
      <c r="I430" t="str">
        <f>VLOOKUP(A431,[1]timesData!$B:$P,8,FALSE)</f>
        <v>-</v>
      </c>
      <c r="J430">
        <f>VLOOKUP(A431,[1]timesData!$B:$P,9,FALSE)</f>
        <v>52316</v>
      </c>
      <c r="K430">
        <f>VLOOKUP(A431,[1]timesData!$B:$P,10,FALSE)</f>
        <v>16.899999999999999</v>
      </c>
      <c r="L430">
        <f>VLOOKUP(A431,[1]timesData!$B:$P,11,FALSE)</f>
        <v>0.08</v>
      </c>
      <c r="M430" t="str">
        <f>VLOOKUP(A431,[1]timesData!$B:$P,12,FALSE)</f>
        <v>35 : 65</v>
      </c>
      <c r="N430">
        <f>VLOOKUP(A431,[1]timesData!$B:$P,13,FALSE)</f>
        <v>2012</v>
      </c>
      <c r="O430" t="e">
        <f>VLOOKUP(A430,[2]cwurData!$B:$P,14,FALSE)</f>
        <v>#N/A</v>
      </c>
      <c r="P430" t="e">
        <f>VLOOKUP(A430,[2]cwurData!$B:$N, 3, FALSE)</f>
        <v>#N/A</v>
      </c>
      <c r="Q430" t="e">
        <f>VLOOKUP(A430,[2]cwurData!$B:$N, 4, FALSE)</f>
        <v>#N/A</v>
      </c>
      <c r="R430" t="e">
        <f>VLOOKUP(A430,[2]cwurData!$B:$N, 5, FALSE)</f>
        <v>#N/A</v>
      </c>
      <c r="S430" t="e">
        <f>VLOOKUP(A430,[2]cwurData!$B:$N, 6, FALSE)</f>
        <v>#N/A</v>
      </c>
      <c r="T430" t="e">
        <f>VLOOKUP(A430,[2]cwurData!$B:$N, 7, FALSE)</f>
        <v>#N/A</v>
      </c>
      <c r="U430" t="e">
        <f>VLOOKUP(A430,[2]cwurData!$B:$N, 8, FALSE)</f>
        <v>#N/A</v>
      </c>
      <c r="V430" t="e">
        <f>VLOOKUP(A430,[2]cwurData!$B:$N, 9, FALSE)</f>
        <v>#N/A</v>
      </c>
      <c r="W430" t="e">
        <f>VLOOKUP(A430,[2]cwurData!$B:$N, 10, FALSE)</f>
        <v>#N/A</v>
      </c>
      <c r="X430" t="e">
        <f>VLOOKUP(A430,[2]cwurData!$B:$N, 11, FALSE)</f>
        <v>#N/A</v>
      </c>
      <c r="Y430" t="e">
        <f>VLOOKUP(A430,[2]cwurData!$B:$N, 12, FALSE)</f>
        <v>#N/A</v>
      </c>
      <c r="Z430" t="e">
        <f>VLOOKUP(A430,[2]cwurData!$B:$N, 13, FALSE)</f>
        <v>#N/A</v>
      </c>
    </row>
    <row r="431" spans="1:26" x14ac:dyDescent="0.3">
      <c r="A431" t="s">
        <v>402</v>
      </c>
      <c r="B431" t="str">
        <f>IFERROR(VLOOKUP(A431,[1]timesData!$B:$P,2,FALSE),VLOOKUP(A431,[2]cwurData!$B:$P,2,FALSE))</f>
        <v>Japan</v>
      </c>
      <c r="C431" t="str">
        <f>VLOOKUP(A431,[1]timesData!$B:$P,3,FALSE)</f>
        <v>350-400</v>
      </c>
      <c r="D431" t="str">
        <f>VLOOKUP(A432,[1]timesData!$B:$P,3,FALSE)</f>
        <v>350-400</v>
      </c>
      <c r="E431">
        <f>VLOOKUP(A432,[1]timesData!$B:$P,4,FALSE)</f>
        <v>18.100000000000001</v>
      </c>
      <c r="F431">
        <f>VLOOKUP(A432,[1]timesData!$B:$P,5,FALSE)</f>
        <v>15.5</v>
      </c>
      <c r="G431">
        <f>VLOOKUP(A432,[1]timesData!$B:$P,6,FALSE)</f>
        <v>24.3</v>
      </c>
      <c r="H431">
        <f>VLOOKUP(A432,[1]timesData!$B:$P,7,FALSE)</f>
        <v>33.5</v>
      </c>
      <c r="I431" t="str">
        <f>VLOOKUP(A432,[1]timesData!$B:$P,8,FALSE)</f>
        <v>-</v>
      </c>
      <c r="J431">
        <f>VLOOKUP(A432,[1]timesData!$B:$P,9,FALSE)</f>
        <v>15885</v>
      </c>
      <c r="K431">
        <f>VLOOKUP(A432,[1]timesData!$B:$P,10,FALSE)</f>
        <v>8.4</v>
      </c>
      <c r="L431">
        <f>VLOOKUP(A432,[1]timesData!$B:$P,11,FALSE)</f>
        <v>0.06</v>
      </c>
      <c r="M431" t="str">
        <f>VLOOKUP(A432,[1]timesData!$B:$P,12,FALSE)</f>
        <v>33 : 67</v>
      </c>
      <c r="N431">
        <f>VLOOKUP(A432,[1]timesData!$B:$P,13,FALSE)</f>
        <v>2012</v>
      </c>
      <c r="O431">
        <f>VLOOKUP(A431,[2]cwurData!$B:$P,14,FALSE)</f>
        <v>40</v>
      </c>
      <c r="P431">
        <f>VLOOKUP(A431,[2]cwurData!$B:$N, 3, FALSE)</f>
        <v>4</v>
      </c>
      <c r="Q431">
        <f>VLOOKUP(A431,[2]cwurData!$B:$N, 4, FALSE)</f>
        <v>355</v>
      </c>
      <c r="R431">
        <f>VLOOKUP(A431,[2]cwurData!$B:$N, 5, FALSE)</f>
        <v>7</v>
      </c>
      <c r="S431">
        <f>VLOOKUP(A431,[2]cwurData!$B:$N, 6, FALSE)</f>
        <v>210</v>
      </c>
      <c r="T431">
        <f>VLOOKUP(A431,[2]cwurData!$B:$N, 7, FALSE)</f>
        <v>391</v>
      </c>
      <c r="U431">
        <f>VLOOKUP(A431,[2]cwurData!$B:$N, 8, FALSE)</f>
        <v>384</v>
      </c>
      <c r="V431">
        <f>VLOOKUP(A431,[2]cwurData!$B:$N, 9, FALSE)</f>
        <v>283</v>
      </c>
      <c r="W431">
        <f>VLOOKUP(A431,[2]cwurData!$B:$N, 10, FALSE)</f>
        <v>380</v>
      </c>
      <c r="X431">
        <f>VLOOKUP(A431,[2]cwurData!$B:$N, 11, FALSE)</f>
        <v>204</v>
      </c>
      <c r="Y431">
        <f>VLOOKUP(A431,[2]cwurData!$B:$N, 12, FALSE)</f>
        <v>58.69</v>
      </c>
      <c r="Z431">
        <f>VLOOKUP(A431,[2]cwurData!$B:$N, 13, FALSE)</f>
        <v>2014</v>
      </c>
    </row>
    <row r="432" spans="1:26" x14ac:dyDescent="0.3">
      <c r="A432" t="s">
        <v>366</v>
      </c>
      <c r="B432" t="str">
        <f>IFERROR(VLOOKUP(A432,[1]timesData!$B:$P,2,FALSE),VLOOKUP(A432,[2]cwurData!$B:$P,2,FALSE))</f>
        <v>Japan</v>
      </c>
      <c r="C432" t="str">
        <f>VLOOKUP(A432,[1]timesData!$B:$P,3,FALSE)</f>
        <v>350-400</v>
      </c>
      <c r="D432" t="str">
        <f>VLOOKUP(A433,[1]timesData!$B:$P,3,FALSE)</f>
        <v>350-400</v>
      </c>
      <c r="E432">
        <f>VLOOKUP(A433,[1]timesData!$B:$P,4,FALSE)</f>
        <v>18.8</v>
      </c>
      <c r="F432">
        <f>VLOOKUP(A433,[1]timesData!$B:$P,5,FALSE)</f>
        <v>16.3</v>
      </c>
      <c r="G432">
        <f>VLOOKUP(A433,[1]timesData!$B:$P,6,FALSE)</f>
        <v>20.100000000000001</v>
      </c>
      <c r="H432">
        <f>VLOOKUP(A433,[1]timesData!$B:$P,7,FALSE)</f>
        <v>39.4</v>
      </c>
      <c r="I432" t="str">
        <f>VLOOKUP(A433,[1]timesData!$B:$P,8,FALSE)</f>
        <v>-</v>
      </c>
      <c r="J432">
        <f>VLOOKUP(A433,[1]timesData!$B:$P,9,FALSE)</f>
        <v>14686</v>
      </c>
      <c r="K432">
        <f>VLOOKUP(A433,[1]timesData!$B:$P,10,FALSE)</f>
        <v>8.1999999999999993</v>
      </c>
      <c r="L432">
        <f>VLOOKUP(A433,[1]timesData!$B:$P,11,FALSE)</f>
        <v>0.05</v>
      </c>
      <c r="M432" t="str">
        <f>VLOOKUP(A433,[1]timesData!$B:$P,12,FALSE)</f>
        <v>36 : 64</v>
      </c>
      <c r="N432">
        <f>VLOOKUP(A433,[1]timesData!$B:$P,13,FALSE)</f>
        <v>2012</v>
      </c>
      <c r="O432">
        <f>VLOOKUP(A432,[2]cwurData!$B:$P,14,FALSE)</f>
        <v>153</v>
      </c>
      <c r="P432">
        <f>VLOOKUP(A432,[2]cwurData!$B:$N, 3, FALSE)</f>
        <v>11</v>
      </c>
      <c r="Q432">
        <f>VLOOKUP(A432,[2]cwurData!$B:$N, 4, FALSE)</f>
        <v>22</v>
      </c>
      <c r="R432">
        <f>VLOOKUP(A432,[2]cwurData!$B:$N, 5, FALSE)</f>
        <v>362</v>
      </c>
      <c r="S432">
        <f>VLOOKUP(A432,[2]cwurData!$B:$N, 6, FALSE)</f>
        <v>96</v>
      </c>
      <c r="T432">
        <f>VLOOKUP(A432,[2]cwurData!$B:$N, 7, FALSE)</f>
        <v>349</v>
      </c>
      <c r="U432">
        <f>VLOOKUP(A432,[2]cwurData!$B:$N, 8, FALSE)</f>
        <v>259</v>
      </c>
      <c r="V432">
        <f>VLOOKUP(A432,[2]cwurData!$B:$N, 9, FALSE)</f>
        <v>283</v>
      </c>
      <c r="W432">
        <f>VLOOKUP(A432,[2]cwurData!$B:$N, 10, FALSE)</f>
        <v>318</v>
      </c>
      <c r="X432">
        <f>VLOOKUP(A432,[2]cwurData!$B:$N, 11, FALSE)</f>
        <v>307</v>
      </c>
      <c r="Y432">
        <f>VLOOKUP(A432,[2]cwurData!$B:$N, 12, FALSE)</f>
        <v>49.18</v>
      </c>
      <c r="Z432">
        <f>VLOOKUP(A432,[2]cwurData!$B:$N, 13, FALSE)</f>
        <v>2014</v>
      </c>
    </row>
    <row r="433" spans="1:26" x14ac:dyDescent="0.3">
      <c r="A433" t="s">
        <v>364</v>
      </c>
      <c r="B433" t="str">
        <f>IFERROR(VLOOKUP(A433,[1]timesData!$B:$P,2,FALSE),VLOOKUP(A433,[2]cwurData!$B:$P,2,FALSE))</f>
        <v>Japan</v>
      </c>
      <c r="C433" t="str">
        <f>VLOOKUP(A433,[1]timesData!$B:$P,3,FALSE)</f>
        <v>350-400</v>
      </c>
      <c r="D433" t="str">
        <f>VLOOKUP(A434,[1]timesData!$B:$P,3,FALSE)</f>
        <v>350-400</v>
      </c>
      <c r="E433">
        <f>VLOOKUP(A434,[1]timesData!$B:$P,4,FALSE)</f>
        <v>38.1</v>
      </c>
      <c r="F433">
        <f>VLOOKUP(A434,[1]timesData!$B:$P,5,FALSE)</f>
        <v>19.7</v>
      </c>
      <c r="G433">
        <f>VLOOKUP(A434,[1]timesData!$B:$P,6,FALSE)</f>
        <v>3.1</v>
      </c>
      <c r="H433">
        <f>VLOOKUP(A434,[1]timesData!$B:$P,7,FALSE)</f>
        <v>26</v>
      </c>
      <c r="I433" t="str">
        <f>VLOOKUP(A434,[1]timesData!$B:$P,8,FALSE)</f>
        <v>-</v>
      </c>
      <c r="J433">
        <f>VLOOKUP(A434,[1]timesData!$B:$P,9,FALSE)</f>
        <v>20836</v>
      </c>
      <c r="K433">
        <f>VLOOKUP(A434,[1]timesData!$B:$P,10,FALSE)</f>
        <v>5.2</v>
      </c>
      <c r="L433">
        <f>VLOOKUP(A434,[1]timesData!$B:$P,11,FALSE)</f>
        <v>7.0000000000000007E-2</v>
      </c>
      <c r="M433">
        <f>VLOOKUP(A434,[1]timesData!$B:$P,12,FALSE)</f>
        <v>2.5277777777777777</v>
      </c>
      <c r="N433">
        <f>VLOOKUP(A434,[1]timesData!$B:$P,13,FALSE)</f>
        <v>2012</v>
      </c>
      <c r="O433">
        <f>VLOOKUP(A433,[2]cwurData!$B:$P,14,FALSE)</f>
        <v>279</v>
      </c>
      <c r="P433">
        <f>VLOOKUP(A433,[2]cwurData!$B:$N, 3, FALSE)</f>
        <v>14</v>
      </c>
      <c r="Q433">
        <f>VLOOKUP(A433,[2]cwurData!$B:$N, 4, FALSE)</f>
        <v>355</v>
      </c>
      <c r="R433">
        <f>VLOOKUP(A433,[2]cwurData!$B:$N, 5, FALSE)</f>
        <v>478</v>
      </c>
      <c r="S433">
        <f>VLOOKUP(A433,[2]cwurData!$B:$N, 6, FALSE)</f>
        <v>210</v>
      </c>
      <c r="T433">
        <f>VLOOKUP(A433,[2]cwurData!$B:$N, 7, FALSE)</f>
        <v>294</v>
      </c>
      <c r="U433">
        <f>VLOOKUP(A433,[2]cwurData!$B:$N, 8, FALSE)</f>
        <v>274</v>
      </c>
      <c r="V433">
        <f>VLOOKUP(A433,[2]cwurData!$B:$N, 9, FALSE)</f>
        <v>283</v>
      </c>
      <c r="W433">
        <f>VLOOKUP(A433,[2]cwurData!$B:$N, 10, FALSE)</f>
        <v>266</v>
      </c>
      <c r="X433">
        <f>VLOOKUP(A433,[2]cwurData!$B:$N, 11, FALSE)</f>
        <v>109</v>
      </c>
      <c r="Y433">
        <f>VLOOKUP(A433,[2]cwurData!$B:$N, 12, FALSE)</f>
        <v>46.59</v>
      </c>
      <c r="Z433">
        <f>VLOOKUP(A433,[2]cwurData!$B:$N, 13, FALSE)</f>
        <v>2014</v>
      </c>
    </row>
    <row r="434" spans="1:26" x14ac:dyDescent="0.3">
      <c r="A434" t="s">
        <v>386</v>
      </c>
      <c r="B434" t="str">
        <f>IFERROR(VLOOKUP(A434,[1]timesData!$B:$P,2,FALSE),VLOOKUP(A434,[2]cwurData!$B:$P,2,FALSE))</f>
        <v>Russian Federation</v>
      </c>
      <c r="C434" t="str">
        <f>VLOOKUP(A434,[1]timesData!$B:$P,3,FALSE)</f>
        <v>350-400</v>
      </c>
      <c r="D434" t="str">
        <f>VLOOKUP(A435,[1]timesData!$B:$P,3,FALSE)</f>
        <v>350-400</v>
      </c>
      <c r="E434">
        <f>VLOOKUP(A435,[1]timesData!$B:$P,4,FALSE)</f>
        <v>23.6</v>
      </c>
      <c r="F434">
        <f>VLOOKUP(A435,[1]timesData!$B:$P,5,FALSE)</f>
        <v>13.8</v>
      </c>
      <c r="G434">
        <f>VLOOKUP(A435,[1]timesData!$B:$P,6,FALSE)</f>
        <v>33.9</v>
      </c>
      <c r="H434">
        <f>VLOOKUP(A435,[1]timesData!$B:$P,7,FALSE)</f>
        <v>36</v>
      </c>
      <c r="I434" t="str">
        <f>VLOOKUP(A435,[1]timesData!$B:$P,8,FALSE)</f>
        <v>-</v>
      </c>
      <c r="J434">
        <f>VLOOKUP(A435,[1]timesData!$B:$P,9,FALSE)</f>
        <v>21379</v>
      </c>
      <c r="K434">
        <f>VLOOKUP(A435,[1]timesData!$B:$P,10,FALSE)</f>
        <v>15.1</v>
      </c>
      <c r="L434">
        <f>VLOOKUP(A435,[1]timesData!$B:$P,11,FALSE)</f>
        <v>0.1</v>
      </c>
      <c r="M434">
        <f>VLOOKUP(A435,[1]timesData!$B:$P,12,FALSE)</f>
        <v>2.1180555555555554</v>
      </c>
      <c r="N434">
        <f>VLOOKUP(A435,[1]timesData!$B:$P,13,FALSE)</f>
        <v>2012</v>
      </c>
      <c r="O434">
        <f>VLOOKUP(A434,[2]cwurData!$B:$P,14,FALSE)</f>
        <v>285</v>
      </c>
      <c r="P434">
        <f>VLOOKUP(A434,[2]cwurData!$B:$N, 3, FALSE)</f>
        <v>2</v>
      </c>
      <c r="Q434">
        <f>VLOOKUP(A434,[2]cwurData!$B:$N, 4, FALSE)</f>
        <v>37</v>
      </c>
      <c r="R434">
        <f>VLOOKUP(A434,[2]cwurData!$B:$N, 5, FALSE)</f>
        <v>129</v>
      </c>
      <c r="S434">
        <f>VLOOKUP(A434,[2]cwurData!$B:$N, 6, FALSE)</f>
        <v>210</v>
      </c>
      <c r="T434">
        <f>VLOOKUP(A434,[2]cwurData!$B:$N, 7, FALSE)</f>
        <v>619</v>
      </c>
      <c r="U434">
        <f>VLOOKUP(A434,[2]cwurData!$B:$N, 8, FALSE)</f>
        <v>620</v>
      </c>
      <c r="V434">
        <f>VLOOKUP(A434,[2]cwurData!$B:$N, 9, FALSE)</f>
        <v>609</v>
      </c>
      <c r="W434">
        <f>VLOOKUP(A434,[2]cwurData!$B:$N, 10, FALSE)</f>
        <v>756</v>
      </c>
      <c r="X434">
        <f>VLOOKUP(A434,[2]cwurData!$B:$N, 11, FALSE)</f>
        <v>737</v>
      </c>
      <c r="Y434">
        <f>VLOOKUP(A434,[2]cwurData!$B:$N, 12, FALSE)</f>
        <v>46.49</v>
      </c>
      <c r="Z434">
        <f>VLOOKUP(A434,[2]cwurData!$B:$N, 13, FALSE)</f>
        <v>2014</v>
      </c>
    </row>
    <row r="435" spans="1:26" x14ac:dyDescent="0.3">
      <c r="A435" t="s">
        <v>365</v>
      </c>
      <c r="B435" t="str">
        <f>IFERROR(VLOOKUP(A435,[1]timesData!$B:$P,2,FALSE),VLOOKUP(A435,[2]cwurData!$B:$P,2,FALSE))</f>
        <v>United States of America</v>
      </c>
      <c r="C435" t="str">
        <f>VLOOKUP(A435,[1]timesData!$B:$P,3,FALSE)</f>
        <v>350-400</v>
      </c>
      <c r="D435" t="str">
        <f>VLOOKUP(A436,[1]timesData!$B:$P,3,FALSE)</f>
        <v>350-400</v>
      </c>
      <c r="E435">
        <f>VLOOKUP(A436,[1]timesData!$B:$P,4,FALSE)</f>
        <v>31.4</v>
      </c>
      <c r="F435">
        <f>VLOOKUP(A436,[1]timesData!$B:$P,5,FALSE)</f>
        <v>17.899999999999999</v>
      </c>
      <c r="G435">
        <f>VLOOKUP(A436,[1]timesData!$B:$P,6,FALSE)</f>
        <v>6.6</v>
      </c>
      <c r="H435">
        <f>VLOOKUP(A436,[1]timesData!$B:$P,7,FALSE)</f>
        <v>79.900000000000006</v>
      </c>
      <c r="I435" t="str">
        <f>VLOOKUP(A436,[1]timesData!$B:$P,8,FALSE)</f>
        <v>-</v>
      </c>
      <c r="J435">
        <f>VLOOKUP(A436,[1]timesData!$B:$P,9,FALSE)</f>
        <v>24356</v>
      </c>
      <c r="K435">
        <f>VLOOKUP(A436,[1]timesData!$B:$P,10,FALSE)</f>
        <v>17.399999999999999</v>
      </c>
      <c r="L435">
        <f>VLOOKUP(A436,[1]timesData!$B:$P,11,FALSE)</f>
        <v>0.14000000000000001</v>
      </c>
      <c r="M435">
        <f>VLOOKUP(A436,[1]timesData!$B:$P,12,FALSE)</f>
        <v>0</v>
      </c>
      <c r="N435">
        <f>VLOOKUP(A436,[1]timesData!$B:$P,13,FALSE)</f>
        <v>2012</v>
      </c>
      <c r="O435">
        <f>VLOOKUP(A435,[2]cwurData!$B:$P,14,FALSE)</f>
        <v>319</v>
      </c>
      <c r="P435">
        <f>VLOOKUP(A435,[2]cwurData!$B:$N, 3, FALSE)</f>
        <v>120</v>
      </c>
      <c r="Q435">
        <f>VLOOKUP(A435,[2]cwurData!$B:$N, 4, FALSE)</f>
        <v>116</v>
      </c>
      <c r="R435">
        <f>VLOOKUP(A435,[2]cwurData!$B:$N, 5, FALSE)</f>
        <v>165</v>
      </c>
      <c r="S435">
        <f>VLOOKUP(A435,[2]cwurData!$B:$N, 6, FALSE)</f>
        <v>210</v>
      </c>
      <c r="T435">
        <f>VLOOKUP(A435,[2]cwurData!$B:$N, 7, FALSE)</f>
        <v>348</v>
      </c>
      <c r="U435">
        <f>VLOOKUP(A435,[2]cwurData!$B:$N, 8, FALSE)</f>
        <v>313</v>
      </c>
      <c r="V435">
        <f>VLOOKUP(A435,[2]cwurData!$B:$N, 9, FALSE)</f>
        <v>220</v>
      </c>
      <c r="W435">
        <f>VLOOKUP(A435,[2]cwurData!$B:$N, 10, FALSE)</f>
        <v>346</v>
      </c>
      <c r="X435">
        <f>VLOOKUP(A435,[2]cwurData!$B:$N, 11, FALSE)</f>
        <v>259</v>
      </c>
      <c r="Y435">
        <f>VLOOKUP(A435,[2]cwurData!$B:$N, 12, FALSE)</f>
        <v>46.2</v>
      </c>
      <c r="Z435">
        <f>VLOOKUP(A435,[2]cwurData!$B:$N, 13, FALSE)</f>
        <v>2014</v>
      </c>
    </row>
    <row r="436" spans="1:26" x14ac:dyDescent="0.3">
      <c r="A436" t="s">
        <v>367</v>
      </c>
      <c r="B436" t="str">
        <f>IFERROR(VLOOKUP(A436,[1]timesData!$B:$P,2,FALSE),VLOOKUP(A436,[2]cwurData!$B:$P,2,FALSE))</f>
        <v>South Korea</v>
      </c>
      <c r="C436" t="str">
        <f>VLOOKUP(A436,[1]timesData!$B:$P,3,FALSE)</f>
        <v>350-400</v>
      </c>
      <c r="D436" t="str">
        <f>VLOOKUP(A437,[1]timesData!$B:$P,3,FALSE)</f>
        <v>350-400</v>
      </c>
      <c r="E436">
        <f>VLOOKUP(A437,[1]timesData!$B:$P,4,FALSE)</f>
        <v>30.5</v>
      </c>
      <c r="F436">
        <f>VLOOKUP(A437,[1]timesData!$B:$P,5,FALSE)</f>
        <v>17.399999999999999</v>
      </c>
      <c r="G436">
        <f>VLOOKUP(A437,[1]timesData!$B:$P,6,FALSE)</f>
        <v>35.1</v>
      </c>
      <c r="H436">
        <f>VLOOKUP(A437,[1]timesData!$B:$P,7,FALSE)</f>
        <v>30.6</v>
      </c>
      <c r="I436" t="str">
        <f>VLOOKUP(A437,[1]timesData!$B:$P,8,FALSE)</f>
        <v>-</v>
      </c>
      <c r="J436">
        <f>VLOOKUP(A437,[1]timesData!$B:$P,9,FALSE)</f>
        <v>51560</v>
      </c>
      <c r="K436">
        <f>VLOOKUP(A437,[1]timesData!$B:$P,10,FALSE)</f>
        <v>65.099999999999994</v>
      </c>
      <c r="L436">
        <f>VLOOKUP(A437,[1]timesData!$B:$P,11,FALSE)</f>
        <v>0.02</v>
      </c>
      <c r="M436">
        <f>VLOOKUP(A437,[1]timesData!$B:$P,12,FALSE)</f>
        <v>2.7326388888888888</v>
      </c>
      <c r="N436">
        <f>VLOOKUP(A437,[1]timesData!$B:$P,13,FALSE)</f>
        <v>2012</v>
      </c>
      <c r="O436">
        <f>VLOOKUP(A436,[2]cwurData!$B:$P,14,FALSE)</f>
        <v>380</v>
      </c>
      <c r="P436">
        <f>VLOOKUP(A436,[2]cwurData!$B:$N, 3, FALSE)</f>
        <v>11</v>
      </c>
      <c r="Q436">
        <f>VLOOKUP(A436,[2]cwurData!$B:$N, 4, FALSE)</f>
        <v>239</v>
      </c>
      <c r="R436">
        <f>VLOOKUP(A436,[2]cwurData!$B:$N, 5, FALSE)</f>
        <v>445</v>
      </c>
      <c r="S436">
        <f>VLOOKUP(A436,[2]cwurData!$B:$N, 6, FALSE)</f>
        <v>210</v>
      </c>
      <c r="T436">
        <f>VLOOKUP(A436,[2]cwurData!$B:$N, 7, FALSE)</f>
        <v>398</v>
      </c>
      <c r="U436">
        <f>VLOOKUP(A436,[2]cwurData!$B:$N, 8, FALSE)</f>
        <v>626</v>
      </c>
      <c r="V436">
        <f>VLOOKUP(A436,[2]cwurData!$B:$N, 9, FALSE)</f>
        <v>609</v>
      </c>
      <c r="W436">
        <f>VLOOKUP(A436,[2]cwurData!$B:$N, 10, FALSE)</f>
        <v>569</v>
      </c>
      <c r="X436">
        <f>VLOOKUP(A436,[2]cwurData!$B:$N, 11, FALSE)</f>
        <v>84</v>
      </c>
      <c r="Y436">
        <f>VLOOKUP(A436,[2]cwurData!$B:$N, 12, FALSE)</f>
        <v>45.66</v>
      </c>
      <c r="Z436">
        <f>VLOOKUP(A436,[2]cwurData!$B:$N, 13, FALSE)</f>
        <v>2014</v>
      </c>
    </row>
    <row r="437" spans="1:26" x14ac:dyDescent="0.3">
      <c r="A437" t="s">
        <v>390</v>
      </c>
      <c r="B437" t="str">
        <f>IFERROR(VLOOKUP(A437,[1]timesData!$B:$P,2,FALSE),VLOOKUP(A437,[2]cwurData!$B:$P,2,FALSE))</f>
        <v>Italy</v>
      </c>
      <c r="C437" t="str">
        <f>VLOOKUP(A437,[1]timesData!$B:$P,3,FALSE)</f>
        <v>350-400</v>
      </c>
      <c r="D437" t="str">
        <f>VLOOKUP(A438,[1]timesData!$B:$P,3,FALSE)</f>
        <v>350-400</v>
      </c>
      <c r="E437">
        <f>VLOOKUP(A438,[1]timesData!$B:$P,4,FALSE)</f>
        <v>41.4</v>
      </c>
      <c r="F437">
        <f>VLOOKUP(A438,[1]timesData!$B:$P,5,FALSE)</f>
        <v>21.5</v>
      </c>
      <c r="G437">
        <f>VLOOKUP(A438,[1]timesData!$B:$P,6,FALSE)</f>
        <v>28.9</v>
      </c>
      <c r="H437">
        <f>VLOOKUP(A438,[1]timesData!$B:$P,7,FALSE)</f>
        <v>32.299999999999997</v>
      </c>
      <c r="I437" t="str">
        <f>VLOOKUP(A438,[1]timesData!$B:$P,8,FALSE)</f>
        <v>-</v>
      </c>
      <c r="J437">
        <f>VLOOKUP(A438,[1]timesData!$B:$P,9,FALSE)</f>
        <v>12326</v>
      </c>
      <c r="K437">
        <f>VLOOKUP(A438,[1]timesData!$B:$P,10,FALSE)</f>
        <v>14.6</v>
      </c>
      <c r="L437">
        <f>VLOOKUP(A438,[1]timesData!$B:$P,11,FALSE)</f>
        <v>0.05</v>
      </c>
      <c r="M437">
        <f>VLOOKUP(A438,[1]timesData!$B:$P,12,FALSE)</f>
        <v>2.5687500000000001</v>
      </c>
      <c r="N437">
        <f>VLOOKUP(A438,[1]timesData!$B:$P,13,FALSE)</f>
        <v>2012</v>
      </c>
      <c r="O437">
        <f>VLOOKUP(A437,[2]cwurData!$B:$P,14,FALSE)</f>
        <v>388</v>
      </c>
      <c r="P437">
        <f>VLOOKUP(A437,[2]cwurData!$B:$N, 3, FALSE)</f>
        <v>18</v>
      </c>
      <c r="Q437">
        <f>VLOOKUP(A437,[2]cwurData!$B:$N, 4, FALSE)</f>
        <v>355</v>
      </c>
      <c r="R437">
        <f>VLOOKUP(A437,[2]cwurData!$B:$N, 5, FALSE)</f>
        <v>478</v>
      </c>
      <c r="S437">
        <f>VLOOKUP(A437,[2]cwurData!$B:$N, 6, FALSE)</f>
        <v>210</v>
      </c>
      <c r="T437">
        <f>VLOOKUP(A437,[2]cwurData!$B:$N, 7, FALSE)</f>
        <v>345</v>
      </c>
      <c r="U437">
        <f>VLOOKUP(A437,[2]cwurData!$B:$N, 8, FALSE)</f>
        <v>336</v>
      </c>
      <c r="V437">
        <f>VLOOKUP(A437,[2]cwurData!$B:$N, 9, FALSE)</f>
        <v>493</v>
      </c>
      <c r="W437">
        <f>VLOOKUP(A437,[2]cwurData!$B:$N, 10, FALSE)</f>
        <v>326</v>
      </c>
      <c r="X437">
        <f>VLOOKUP(A437,[2]cwurData!$B:$N, 11, FALSE)</f>
        <v>338</v>
      </c>
      <c r="Y437">
        <f>VLOOKUP(A437,[2]cwurData!$B:$N, 12, FALSE)</f>
        <v>45.6</v>
      </c>
      <c r="Z437">
        <f>VLOOKUP(A437,[2]cwurData!$B:$N, 13, FALSE)</f>
        <v>2014</v>
      </c>
    </row>
    <row r="438" spans="1:26" x14ac:dyDescent="0.3">
      <c r="A438" t="s">
        <v>399</v>
      </c>
      <c r="B438" t="str">
        <f>IFERROR(VLOOKUP(A438,[1]timesData!$B:$P,2,FALSE),VLOOKUP(A438,[2]cwurData!$B:$P,2,FALSE))</f>
        <v>Finland</v>
      </c>
      <c r="C438" t="str">
        <f>VLOOKUP(A438,[1]timesData!$B:$P,3,FALSE)</f>
        <v>350-400</v>
      </c>
      <c r="D438" t="str">
        <f>VLOOKUP(A439,[1]timesData!$B:$P,3,FALSE)</f>
        <v>350-400</v>
      </c>
      <c r="E438">
        <f>VLOOKUP(A439,[1]timesData!$B:$P,4,FALSE)</f>
        <v>42</v>
      </c>
      <c r="F438">
        <f>VLOOKUP(A439,[1]timesData!$B:$P,5,FALSE)</f>
        <v>12.5</v>
      </c>
      <c r="G438">
        <f>VLOOKUP(A439,[1]timesData!$B:$P,6,FALSE)</f>
        <v>23.3</v>
      </c>
      <c r="H438">
        <f>VLOOKUP(A439,[1]timesData!$B:$P,7,FALSE)</f>
        <v>44.6</v>
      </c>
      <c r="I438" t="str">
        <f>VLOOKUP(A439,[1]timesData!$B:$P,8,FALSE)</f>
        <v>-</v>
      </c>
      <c r="J438">
        <f>VLOOKUP(A439,[1]timesData!$B:$P,9,FALSE)</f>
        <v>22893</v>
      </c>
      <c r="K438">
        <f>VLOOKUP(A439,[1]timesData!$B:$P,10,FALSE)</f>
        <v>11.7</v>
      </c>
      <c r="L438">
        <f>VLOOKUP(A439,[1]timesData!$B:$P,11,FALSE)</f>
        <v>0.28000000000000003</v>
      </c>
      <c r="M438">
        <f>VLOOKUP(A439,[1]timesData!$B:$P,12,FALSE)</f>
        <v>0.56111111111111112</v>
      </c>
      <c r="N438">
        <f>VLOOKUP(A439,[1]timesData!$B:$P,13,FALSE)</f>
        <v>2012</v>
      </c>
      <c r="O438">
        <f>VLOOKUP(A438,[2]cwurData!$B:$P,14,FALSE)</f>
        <v>391</v>
      </c>
      <c r="P438">
        <f>VLOOKUP(A438,[2]cwurData!$B:$N, 3, FALSE)</f>
        <v>3</v>
      </c>
      <c r="Q438">
        <f>VLOOKUP(A438,[2]cwurData!$B:$N, 4, FALSE)</f>
        <v>355</v>
      </c>
      <c r="R438">
        <f>VLOOKUP(A438,[2]cwurData!$B:$N, 5, FALSE)</f>
        <v>478</v>
      </c>
      <c r="S438">
        <f>VLOOKUP(A438,[2]cwurData!$B:$N, 6, FALSE)</f>
        <v>210</v>
      </c>
      <c r="T438">
        <f>VLOOKUP(A438,[2]cwurData!$B:$N, 7, FALSE)</f>
        <v>320</v>
      </c>
      <c r="U438">
        <f>VLOOKUP(A438,[2]cwurData!$B:$N, 8, FALSE)</f>
        <v>332</v>
      </c>
      <c r="V438">
        <f>VLOOKUP(A438,[2]cwurData!$B:$N, 9, FALSE)</f>
        <v>609</v>
      </c>
      <c r="W438">
        <f>VLOOKUP(A438,[2]cwurData!$B:$N, 10, FALSE)</f>
        <v>326</v>
      </c>
      <c r="X438">
        <f>VLOOKUP(A438,[2]cwurData!$B:$N, 11, FALSE)</f>
        <v>481</v>
      </c>
      <c r="Y438">
        <f>VLOOKUP(A438,[2]cwurData!$B:$N, 12, FALSE)</f>
        <v>45.58</v>
      </c>
      <c r="Z438">
        <f>VLOOKUP(A438,[2]cwurData!$B:$N, 13, FALSE)</f>
        <v>2014</v>
      </c>
    </row>
    <row r="439" spans="1:26" x14ac:dyDescent="0.3">
      <c r="A439" t="s">
        <v>382</v>
      </c>
      <c r="B439" t="str">
        <f>IFERROR(VLOOKUP(A439,[1]timesData!$B:$P,2,FALSE),VLOOKUP(A439,[2]cwurData!$B:$P,2,FALSE))</f>
        <v>Spain</v>
      </c>
      <c r="C439" t="str">
        <f>VLOOKUP(A439,[1]timesData!$B:$P,3,FALSE)</f>
        <v>350-400</v>
      </c>
      <c r="D439" t="str">
        <f>VLOOKUP(A440,[1]timesData!$B:$P,3,FALSE)</f>
        <v>350-400</v>
      </c>
      <c r="E439">
        <f>VLOOKUP(A440,[1]timesData!$B:$P,4,FALSE)</f>
        <v>21.7</v>
      </c>
      <c r="F439">
        <f>VLOOKUP(A440,[1]timesData!$B:$P,5,FALSE)</f>
        <v>12.9</v>
      </c>
      <c r="G439">
        <f>VLOOKUP(A440,[1]timesData!$B:$P,6,FALSE)</f>
        <v>25.3</v>
      </c>
      <c r="H439">
        <f>VLOOKUP(A440,[1]timesData!$B:$P,7,FALSE)</f>
        <v>66.7</v>
      </c>
      <c r="I439" t="str">
        <f>VLOOKUP(A440,[1]timesData!$B:$P,8,FALSE)</f>
        <v>-</v>
      </c>
      <c r="J439">
        <f>VLOOKUP(A440,[1]timesData!$B:$P,9,FALSE)</f>
        <v>46227</v>
      </c>
      <c r="K439">
        <f>VLOOKUP(A440,[1]timesData!$B:$P,10,FALSE)</f>
        <v>14.4</v>
      </c>
      <c r="L439">
        <f>VLOOKUP(A440,[1]timesData!$B:$P,11,FALSE)</f>
        <v>7.0000000000000007E-2</v>
      </c>
      <c r="M439">
        <f>VLOOKUP(A440,[1]timesData!$B:$P,12,FALSE)</f>
        <v>0</v>
      </c>
      <c r="N439">
        <f>VLOOKUP(A440,[1]timesData!$B:$P,13,FALSE)</f>
        <v>2012</v>
      </c>
      <c r="O439">
        <f>VLOOKUP(A439,[2]cwurData!$B:$P,14,FALSE)</f>
        <v>410</v>
      </c>
      <c r="P439">
        <f>VLOOKUP(A439,[2]cwurData!$B:$N, 3, FALSE)</f>
        <v>9</v>
      </c>
      <c r="Q439">
        <f>VLOOKUP(A439,[2]cwurData!$B:$N, 4, FALSE)</f>
        <v>355</v>
      </c>
      <c r="R439">
        <f>VLOOKUP(A439,[2]cwurData!$B:$N, 5, FALSE)</f>
        <v>451</v>
      </c>
      <c r="S439">
        <f>VLOOKUP(A439,[2]cwurData!$B:$N, 6, FALSE)</f>
        <v>210</v>
      </c>
      <c r="T439">
        <f>VLOOKUP(A439,[2]cwurData!$B:$N, 7, FALSE)</f>
        <v>386</v>
      </c>
      <c r="U439">
        <f>VLOOKUP(A439,[2]cwurData!$B:$N, 8, FALSE)</f>
        <v>583</v>
      </c>
      <c r="V439">
        <f>VLOOKUP(A439,[2]cwurData!$B:$N, 9, FALSE)</f>
        <v>406</v>
      </c>
      <c r="W439">
        <f>VLOOKUP(A439,[2]cwurData!$B:$N, 10, FALSE)</f>
        <v>514</v>
      </c>
      <c r="X439">
        <f>VLOOKUP(A439,[2]cwurData!$B:$N, 11, FALSE)</f>
        <v>109</v>
      </c>
      <c r="Y439">
        <f>VLOOKUP(A439,[2]cwurData!$B:$N, 12, FALSE)</f>
        <v>45.49</v>
      </c>
      <c r="Z439">
        <f>VLOOKUP(A439,[2]cwurData!$B:$N, 13, FALSE)</f>
        <v>2014</v>
      </c>
    </row>
    <row r="440" spans="1:26" x14ac:dyDescent="0.3">
      <c r="A440" t="s">
        <v>403</v>
      </c>
      <c r="B440" t="str">
        <f>IFERROR(VLOOKUP(A440,[1]timesData!$B:$P,2,FALSE),VLOOKUP(A440,[2]cwurData!$B:$P,2,FALSE))</f>
        <v>China</v>
      </c>
      <c r="C440" t="str">
        <f>VLOOKUP(A440,[1]timesData!$B:$P,3,FALSE)</f>
        <v>350-400</v>
      </c>
      <c r="D440" t="str">
        <f>VLOOKUP(A441,[1]timesData!$B:$P,3,FALSE)</f>
        <v>350-400</v>
      </c>
      <c r="E440">
        <f>VLOOKUP(A441,[1]timesData!$B:$P,4,FALSE)</f>
        <v>45.5</v>
      </c>
      <c r="F440">
        <f>VLOOKUP(A441,[1]timesData!$B:$P,5,FALSE)</f>
        <v>16.3</v>
      </c>
      <c r="G440">
        <f>VLOOKUP(A441,[1]timesData!$B:$P,6,FALSE)</f>
        <v>30.1</v>
      </c>
      <c r="H440">
        <f>VLOOKUP(A441,[1]timesData!$B:$P,7,FALSE)</f>
        <v>29.7</v>
      </c>
      <c r="I440" t="str">
        <f>VLOOKUP(A441,[1]timesData!$B:$P,8,FALSE)</f>
        <v>-</v>
      </c>
      <c r="J440">
        <f>VLOOKUP(A441,[1]timesData!$B:$P,9,FALSE)</f>
        <v>25075</v>
      </c>
      <c r="K440">
        <f>VLOOKUP(A441,[1]timesData!$B:$P,10,FALSE)</f>
        <v>15.3</v>
      </c>
      <c r="L440">
        <f>VLOOKUP(A441,[1]timesData!$B:$P,11,FALSE)</f>
        <v>7.0000000000000007E-2</v>
      </c>
      <c r="M440">
        <f>VLOOKUP(A441,[1]timesData!$B:$P,12,FALSE)</f>
        <v>0</v>
      </c>
      <c r="N440">
        <f>VLOOKUP(A441,[1]timesData!$B:$P,13,FALSE)</f>
        <v>2012</v>
      </c>
      <c r="O440">
        <f>VLOOKUP(A440,[2]cwurData!$B:$P,14,FALSE)</f>
        <v>438</v>
      </c>
      <c r="P440">
        <f>VLOOKUP(A440,[2]cwurData!$B:$N, 3, FALSE)</f>
        <v>19</v>
      </c>
      <c r="Q440">
        <f>VLOOKUP(A440,[2]cwurData!$B:$N, 4, FALSE)</f>
        <v>355</v>
      </c>
      <c r="R440">
        <f>VLOOKUP(A440,[2]cwurData!$B:$N, 5, FALSE)</f>
        <v>228</v>
      </c>
      <c r="S440">
        <f>VLOOKUP(A440,[2]cwurData!$B:$N, 6, FALSE)</f>
        <v>210</v>
      </c>
      <c r="T440">
        <f>VLOOKUP(A440,[2]cwurData!$B:$N, 7, FALSE)</f>
        <v>310</v>
      </c>
      <c r="U440">
        <f>VLOOKUP(A440,[2]cwurData!$B:$N, 8, FALSE)</f>
        <v>627</v>
      </c>
      <c r="V440">
        <f>VLOOKUP(A440,[2]cwurData!$B:$N, 9, FALSE)</f>
        <v>609</v>
      </c>
      <c r="W440">
        <f>VLOOKUP(A440,[2]cwurData!$B:$N, 10, FALSE)</f>
        <v>420</v>
      </c>
      <c r="X440">
        <f>VLOOKUP(A440,[2]cwurData!$B:$N, 11, FALSE)</f>
        <v>481</v>
      </c>
      <c r="Y440">
        <f>VLOOKUP(A440,[2]cwurData!$B:$N, 12, FALSE)</f>
        <v>45.39</v>
      </c>
      <c r="Z440">
        <f>VLOOKUP(A440,[2]cwurData!$B:$N, 13, FALSE)</f>
        <v>2014</v>
      </c>
    </row>
    <row r="441" spans="1:26" x14ac:dyDescent="0.3">
      <c r="A441" t="s">
        <v>385</v>
      </c>
      <c r="B441" t="str">
        <f>IFERROR(VLOOKUP(A441,[1]timesData!$B:$P,2,FALSE),VLOOKUP(A441,[2]cwurData!$B:$P,2,FALSE))</f>
        <v>Chile</v>
      </c>
      <c r="C441" t="str">
        <f>VLOOKUP(A441,[1]timesData!$B:$P,3,FALSE)</f>
        <v>350-400</v>
      </c>
      <c r="D441" t="str">
        <f>VLOOKUP(A442,[1]timesData!$B:$P,3,FALSE)</f>
        <v>350-400</v>
      </c>
      <c r="E441">
        <f>VLOOKUP(A442,[1]timesData!$B:$P,4,FALSE)</f>
        <v>63</v>
      </c>
      <c r="F441">
        <f>VLOOKUP(A442,[1]timesData!$B:$P,5,FALSE)</f>
        <v>17.7</v>
      </c>
      <c r="G441">
        <f>VLOOKUP(A442,[1]timesData!$B:$P,6,FALSE)</f>
        <v>19.3</v>
      </c>
      <c r="H441">
        <f>VLOOKUP(A442,[1]timesData!$B:$P,7,FALSE)</f>
        <v>33.1</v>
      </c>
      <c r="I441" t="str">
        <f>VLOOKUP(A442,[1]timesData!$B:$P,8,FALSE)</f>
        <v>-</v>
      </c>
      <c r="J441">
        <f>VLOOKUP(A442,[1]timesData!$B:$P,9,FALSE)</f>
        <v>15705</v>
      </c>
      <c r="K441">
        <f>VLOOKUP(A442,[1]timesData!$B:$P,10,FALSE)</f>
        <v>20.2</v>
      </c>
      <c r="L441">
        <f>VLOOKUP(A442,[1]timesData!$B:$P,11,FALSE)</f>
        <v>0.2</v>
      </c>
      <c r="M441">
        <f>VLOOKUP(A442,[1]timesData!$B:$P,12,FALSE)</f>
        <v>2.1180555555555554</v>
      </c>
      <c r="N441">
        <f>VLOOKUP(A442,[1]timesData!$B:$P,13,FALSE)</f>
        <v>2012</v>
      </c>
      <c r="O441">
        <f>VLOOKUP(A441,[2]cwurData!$B:$P,14,FALSE)</f>
        <v>450</v>
      </c>
      <c r="P441">
        <f>VLOOKUP(A441,[2]cwurData!$B:$N, 3, FALSE)</f>
        <v>1</v>
      </c>
      <c r="Q441">
        <f>VLOOKUP(A441,[2]cwurData!$B:$N, 4, FALSE)</f>
        <v>330</v>
      </c>
      <c r="R441">
        <f>VLOOKUP(A441,[2]cwurData!$B:$N, 5, FALSE)</f>
        <v>263</v>
      </c>
      <c r="S441">
        <f>VLOOKUP(A441,[2]cwurData!$B:$N, 6, FALSE)</f>
        <v>210</v>
      </c>
      <c r="T441">
        <f>VLOOKUP(A441,[2]cwurData!$B:$N, 7, FALSE)</f>
        <v>450</v>
      </c>
      <c r="U441">
        <f>VLOOKUP(A441,[2]cwurData!$B:$N, 8, FALSE)</f>
        <v>310</v>
      </c>
      <c r="V441">
        <f>VLOOKUP(A441,[2]cwurData!$B:$N, 9, FALSE)</f>
        <v>493</v>
      </c>
      <c r="W441">
        <f>VLOOKUP(A441,[2]cwurData!$B:$N, 10, FALSE)</f>
        <v>395</v>
      </c>
      <c r="X441">
        <f>VLOOKUP(A441,[2]cwurData!$B:$N, 11, FALSE)</f>
        <v>426</v>
      </c>
      <c r="Y441">
        <f>VLOOKUP(A441,[2]cwurData!$B:$N, 12, FALSE)</f>
        <v>45.33</v>
      </c>
      <c r="Z441">
        <f>VLOOKUP(A441,[2]cwurData!$B:$N, 13, FALSE)</f>
        <v>2014</v>
      </c>
    </row>
    <row r="442" spans="1:26" x14ac:dyDescent="0.3">
      <c r="A442" t="s">
        <v>397</v>
      </c>
      <c r="B442" t="str">
        <f>IFERROR(VLOOKUP(A442,[1]timesData!$B:$P,2,FALSE),VLOOKUP(A442,[2]cwurData!$B:$P,2,FALSE))</f>
        <v>United Kingdom</v>
      </c>
      <c r="C442" t="str">
        <f>VLOOKUP(A442,[1]timesData!$B:$P,3,FALSE)</f>
        <v>350-400</v>
      </c>
      <c r="D442" t="str">
        <f>VLOOKUP(A443,[1]timesData!$B:$P,3,FALSE)</f>
        <v>350-400</v>
      </c>
      <c r="E442">
        <f>VLOOKUP(A443,[1]timesData!$B:$P,4,FALSE)</f>
        <v>23.6</v>
      </c>
      <c r="F442">
        <f>VLOOKUP(A443,[1]timesData!$B:$P,5,FALSE)</f>
        <v>9.8000000000000007</v>
      </c>
      <c r="G442">
        <f>VLOOKUP(A443,[1]timesData!$B:$P,6,FALSE)</f>
        <v>45.3</v>
      </c>
      <c r="H442">
        <f>VLOOKUP(A443,[1]timesData!$B:$P,7,FALSE)</f>
        <v>36.6</v>
      </c>
      <c r="I442" t="str">
        <f>VLOOKUP(A443,[1]timesData!$B:$P,8,FALSE)</f>
        <v>-</v>
      </c>
      <c r="J442">
        <f>VLOOKUP(A443,[1]timesData!$B:$P,9,FALSE)</f>
        <v>33172</v>
      </c>
      <c r="K442">
        <f>VLOOKUP(A443,[1]timesData!$B:$P,10,FALSE)</f>
        <v>13.6</v>
      </c>
      <c r="L442">
        <f>VLOOKUP(A443,[1]timesData!$B:$P,11,FALSE)</f>
        <v>7.0000000000000007E-2</v>
      </c>
      <c r="M442" t="str">
        <f>VLOOKUP(A443,[1]timesData!$B:$P,12,FALSE)</f>
        <v>36 : 64</v>
      </c>
      <c r="N442">
        <f>VLOOKUP(A443,[1]timesData!$B:$P,13,FALSE)</f>
        <v>2012</v>
      </c>
      <c r="O442">
        <f>VLOOKUP(A442,[2]cwurData!$B:$P,14,FALSE)</f>
        <v>472</v>
      </c>
      <c r="P442">
        <f>VLOOKUP(A442,[2]cwurData!$B:$N, 3, FALSE)</f>
        <v>39</v>
      </c>
      <c r="Q442">
        <f>VLOOKUP(A442,[2]cwurData!$B:$N, 4, FALSE)</f>
        <v>355</v>
      </c>
      <c r="R442">
        <f>VLOOKUP(A442,[2]cwurData!$B:$N, 5, FALSE)</f>
        <v>245</v>
      </c>
      <c r="S442">
        <f>VLOOKUP(A442,[2]cwurData!$B:$N, 6, FALSE)</f>
        <v>210</v>
      </c>
      <c r="T442">
        <f>VLOOKUP(A442,[2]cwurData!$B:$N, 7, FALSE)</f>
        <v>382</v>
      </c>
      <c r="U442">
        <f>VLOOKUP(A442,[2]cwurData!$B:$N, 8, FALSE)</f>
        <v>454</v>
      </c>
      <c r="V442">
        <f>VLOOKUP(A442,[2]cwurData!$B:$N, 9, FALSE)</f>
        <v>406</v>
      </c>
      <c r="W442">
        <f>VLOOKUP(A442,[2]cwurData!$B:$N, 10, FALSE)</f>
        <v>460</v>
      </c>
      <c r="X442">
        <f>VLOOKUP(A442,[2]cwurData!$B:$N, 11, FALSE)</f>
        <v>426</v>
      </c>
      <c r="Y442">
        <f>VLOOKUP(A442,[2]cwurData!$B:$N, 12, FALSE)</f>
        <v>45.22</v>
      </c>
      <c r="Z442">
        <f>VLOOKUP(A442,[2]cwurData!$B:$N, 13, FALSE)</f>
        <v>2014</v>
      </c>
    </row>
    <row r="443" spans="1:26" x14ac:dyDescent="0.3">
      <c r="A443" t="s">
        <v>384</v>
      </c>
      <c r="B443" t="str">
        <f>IFERROR(VLOOKUP(A443,[1]timesData!$B:$P,2,FALSE),VLOOKUP(A443,[2]cwurData!$B:$P,2,FALSE))</f>
        <v>Spain</v>
      </c>
      <c r="C443" t="str">
        <f>VLOOKUP(A443,[1]timesData!$B:$P,3,FALSE)</f>
        <v>350-400</v>
      </c>
      <c r="D443" t="str">
        <f>VLOOKUP(A444,[1]timesData!$B:$P,3,FALSE)</f>
        <v>350-400</v>
      </c>
      <c r="E443">
        <f>VLOOKUP(A444,[1]timesData!$B:$P,4,FALSE)</f>
        <v>21</v>
      </c>
      <c r="F443">
        <f>VLOOKUP(A444,[1]timesData!$B:$P,5,FALSE)</f>
        <v>12.5</v>
      </c>
      <c r="G443">
        <f>VLOOKUP(A444,[1]timesData!$B:$P,6,FALSE)</f>
        <v>21</v>
      </c>
      <c r="H443">
        <f>VLOOKUP(A444,[1]timesData!$B:$P,7,FALSE)</f>
        <v>97.2</v>
      </c>
      <c r="I443" t="str">
        <f>VLOOKUP(A444,[1]timesData!$B:$P,8,FALSE)</f>
        <v>-</v>
      </c>
      <c r="J443">
        <f>VLOOKUP(A444,[1]timesData!$B:$P,9,FALSE)</f>
        <v>31658</v>
      </c>
      <c r="K443">
        <f>VLOOKUP(A444,[1]timesData!$B:$P,10,FALSE)</f>
        <v>10.8</v>
      </c>
      <c r="L443">
        <f>VLOOKUP(A444,[1]timesData!$B:$P,11,FALSE)</f>
        <v>7.0000000000000007E-2</v>
      </c>
      <c r="M443" t="str">
        <f>VLOOKUP(A444,[1]timesData!$B:$P,12,FALSE)</f>
        <v>29 : 71</v>
      </c>
      <c r="N443">
        <f>VLOOKUP(A444,[1]timesData!$B:$P,13,FALSE)</f>
        <v>2012</v>
      </c>
      <c r="O443">
        <f>VLOOKUP(A443,[2]cwurData!$B:$P,14,FALSE)</f>
        <v>474</v>
      </c>
      <c r="P443">
        <f>VLOOKUP(A443,[2]cwurData!$B:$N, 3, FALSE)</f>
        <v>13</v>
      </c>
      <c r="Q443">
        <f>VLOOKUP(A443,[2]cwurData!$B:$N, 4, FALSE)</f>
        <v>355</v>
      </c>
      <c r="R443">
        <f>VLOOKUP(A443,[2]cwurData!$B:$N, 5, FALSE)</f>
        <v>478</v>
      </c>
      <c r="S443">
        <f>VLOOKUP(A443,[2]cwurData!$B:$N, 6, FALSE)</f>
        <v>210</v>
      </c>
      <c r="T443">
        <f>VLOOKUP(A443,[2]cwurData!$B:$N, 7, FALSE)</f>
        <v>361</v>
      </c>
      <c r="U443">
        <f>VLOOKUP(A443,[2]cwurData!$B:$N, 8, FALSE)</f>
        <v>468</v>
      </c>
      <c r="V443">
        <f>VLOOKUP(A443,[2]cwurData!$B:$N, 9, FALSE)</f>
        <v>609</v>
      </c>
      <c r="W443">
        <f>VLOOKUP(A443,[2]cwurData!$B:$N, 10, FALSE)</f>
        <v>430</v>
      </c>
      <c r="X443">
        <f>VLOOKUP(A443,[2]cwurData!$B:$N, 11, FALSE)</f>
        <v>204</v>
      </c>
      <c r="Y443">
        <f>VLOOKUP(A443,[2]cwurData!$B:$N, 12, FALSE)</f>
        <v>45.21</v>
      </c>
      <c r="Z443">
        <f>VLOOKUP(A443,[2]cwurData!$B:$N, 13, FALSE)</f>
        <v>2014</v>
      </c>
    </row>
    <row r="444" spans="1:26" x14ac:dyDescent="0.3">
      <c r="A444" t="s">
        <v>362</v>
      </c>
      <c r="B444" t="str">
        <f>IFERROR(VLOOKUP(A444,[1]timesData!$B:$P,2,FALSE),VLOOKUP(A444,[2]cwurData!$B:$P,2,FALSE))</f>
        <v>China</v>
      </c>
      <c r="C444" t="str">
        <f>VLOOKUP(A444,[1]timesData!$B:$P,3,FALSE)</f>
        <v>350-400</v>
      </c>
      <c r="D444" t="str">
        <f>VLOOKUP(A445,[1]timesData!$B:$P,3,FALSE)</f>
        <v>350-400</v>
      </c>
      <c r="E444">
        <f>VLOOKUP(A445,[1]timesData!$B:$P,4,FALSE)</f>
        <v>21.8</v>
      </c>
      <c r="F444">
        <f>VLOOKUP(A445,[1]timesData!$B:$P,5,FALSE)</f>
        <v>20.9</v>
      </c>
      <c r="G444">
        <f>VLOOKUP(A445,[1]timesData!$B:$P,6,FALSE)</f>
        <v>36.700000000000003</v>
      </c>
      <c r="H444">
        <f>VLOOKUP(A445,[1]timesData!$B:$P,7,FALSE)</f>
        <v>29.8</v>
      </c>
      <c r="I444" t="str">
        <f>VLOOKUP(A445,[1]timesData!$B:$P,8,FALSE)</f>
        <v>-</v>
      </c>
      <c r="J444">
        <f>VLOOKUP(A445,[1]timesData!$B:$P,9,FALSE)</f>
        <v>0</v>
      </c>
      <c r="K444">
        <f>VLOOKUP(A445,[1]timesData!$B:$P,10,FALSE)</f>
        <v>0</v>
      </c>
      <c r="L444">
        <f>VLOOKUP(A445,[1]timesData!$B:$P,11,FALSE)</f>
        <v>0</v>
      </c>
      <c r="M444">
        <f>VLOOKUP(A445,[1]timesData!$B:$P,12,FALSE)</f>
        <v>0</v>
      </c>
      <c r="N444">
        <f>VLOOKUP(A445,[1]timesData!$B:$P,13,FALSE)</f>
        <v>2012</v>
      </c>
      <c r="O444">
        <f>VLOOKUP(A444,[2]cwurData!$B:$P,14,FALSE)</f>
        <v>475</v>
      </c>
      <c r="P444">
        <f>VLOOKUP(A444,[2]cwurData!$B:$N, 3, FALSE)</f>
        <v>22</v>
      </c>
      <c r="Q444">
        <f>VLOOKUP(A444,[2]cwurData!$B:$N, 4, FALSE)</f>
        <v>355</v>
      </c>
      <c r="R444">
        <f>VLOOKUP(A444,[2]cwurData!$B:$N, 5, FALSE)</f>
        <v>289</v>
      </c>
      <c r="S444">
        <f>VLOOKUP(A444,[2]cwurData!$B:$N, 6, FALSE)</f>
        <v>210</v>
      </c>
      <c r="T444">
        <f>VLOOKUP(A444,[2]cwurData!$B:$N, 7, FALSE)</f>
        <v>283</v>
      </c>
      <c r="U444">
        <f>VLOOKUP(A444,[2]cwurData!$B:$N, 8, FALSE)</f>
        <v>875</v>
      </c>
      <c r="V444">
        <f>VLOOKUP(A444,[2]cwurData!$B:$N, 9, FALSE)</f>
        <v>609</v>
      </c>
      <c r="W444">
        <f>VLOOKUP(A444,[2]cwurData!$B:$N, 10, FALSE)</f>
        <v>496</v>
      </c>
      <c r="X444">
        <f>VLOOKUP(A444,[2]cwurData!$B:$N, 11, FALSE)</f>
        <v>338</v>
      </c>
      <c r="Y444">
        <f>VLOOKUP(A444,[2]cwurData!$B:$N, 12, FALSE)</f>
        <v>45.21</v>
      </c>
      <c r="Z444">
        <f>VLOOKUP(A444,[2]cwurData!$B:$N, 13, FALSE)</f>
        <v>2014</v>
      </c>
    </row>
    <row r="445" spans="1:26" x14ac:dyDescent="0.3">
      <c r="A445" t="s">
        <v>400</v>
      </c>
      <c r="B445" t="str">
        <f>IFERROR(VLOOKUP(A445,[1]timesData!$B:$P,2,FALSE),VLOOKUP(A445,[2]cwurData!$B:$P,2,FALSE))</f>
        <v>United States of America</v>
      </c>
      <c r="C445" t="str">
        <f>VLOOKUP(A445,[1]timesData!$B:$P,3,FALSE)</f>
        <v>350-400</v>
      </c>
      <c r="D445" t="str">
        <f>VLOOKUP(A446,[1]timesData!$B:$P,3,FALSE)</f>
        <v>350-400</v>
      </c>
      <c r="E445">
        <f>VLOOKUP(A446,[1]timesData!$B:$P,4,FALSE)</f>
        <v>59.9</v>
      </c>
      <c r="F445">
        <f>VLOOKUP(A446,[1]timesData!$B:$P,5,FALSE)</f>
        <v>19.100000000000001</v>
      </c>
      <c r="G445">
        <f>VLOOKUP(A446,[1]timesData!$B:$P,6,FALSE)</f>
        <v>20.3</v>
      </c>
      <c r="H445">
        <f>VLOOKUP(A446,[1]timesData!$B:$P,7,FALSE)</f>
        <v>36.200000000000003</v>
      </c>
      <c r="I445" t="str">
        <f>VLOOKUP(A446,[1]timesData!$B:$P,8,FALSE)</f>
        <v>-</v>
      </c>
      <c r="J445">
        <f>VLOOKUP(A446,[1]timesData!$B:$P,9,FALSE)</f>
        <v>15655</v>
      </c>
      <c r="K445">
        <f>VLOOKUP(A446,[1]timesData!$B:$P,10,FALSE)</f>
        <v>22.6</v>
      </c>
      <c r="L445">
        <f>VLOOKUP(A446,[1]timesData!$B:$P,11,FALSE)</f>
        <v>0.15</v>
      </c>
      <c r="M445">
        <f>VLOOKUP(A446,[1]timesData!$B:$P,12,FALSE)</f>
        <v>2.6506944444444445</v>
      </c>
      <c r="N445">
        <f>VLOOKUP(A446,[1]timesData!$B:$P,13,FALSE)</f>
        <v>2012</v>
      </c>
      <c r="O445">
        <f>VLOOKUP(A445,[2]cwurData!$B:$P,14,FALSE)</f>
        <v>485</v>
      </c>
      <c r="P445">
        <f>VLOOKUP(A445,[2]cwurData!$B:$N, 3, FALSE)</f>
        <v>157</v>
      </c>
      <c r="Q445">
        <f>VLOOKUP(A445,[2]cwurData!$B:$N, 4, FALSE)</f>
        <v>355</v>
      </c>
      <c r="R445">
        <f>VLOOKUP(A445,[2]cwurData!$B:$N, 5, FALSE)</f>
        <v>224</v>
      </c>
      <c r="S445">
        <f>VLOOKUP(A445,[2]cwurData!$B:$N, 6, FALSE)</f>
        <v>210</v>
      </c>
      <c r="T445">
        <f>VLOOKUP(A445,[2]cwurData!$B:$N, 7, FALSE)</f>
        <v>531</v>
      </c>
      <c r="U445">
        <f>VLOOKUP(A445,[2]cwurData!$B:$N, 8, FALSE)</f>
        <v>327</v>
      </c>
      <c r="V445">
        <f>VLOOKUP(A445,[2]cwurData!$B:$N, 9, FALSE)</f>
        <v>363</v>
      </c>
      <c r="W445">
        <f>VLOOKUP(A445,[2]cwurData!$B:$N, 10, FALSE)</f>
        <v>472</v>
      </c>
      <c r="X445">
        <f>VLOOKUP(A445,[2]cwurData!$B:$N, 11, FALSE)</f>
        <v>426</v>
      </c>
      <c r="Y445">
        <f>VLOOKUP(A445,[2]cwurData!$B:$N, 12, FALSE)</f>
        <v>45.18</v>
      </c>
      <c r="Z445">
        <f>VLOOKUP(A445,[2]cwurData!$B:$N, 13, FALSE)</f>
        <v>2014</v>
      </c>
    </row>
    <row r="446" spans="1:26" x14ac:dyDescent="0.3">
      <c r="A446" t="s">
        <v>359</v>
      </c>
      <c r="B446" t="str">
        <f>IFERROR(VLOOKUP(A446,[1]timesData!$B:$P,2,FALSE),VLOOKUP(A446,[2]cwurData!$B:$P,2,FALSE))</f>
        <v>Australia</v>
      </c>
      <c r="C446" t="str">
        <f>VLOOKUP(A446,[1]timesData!$B:$P,3,FALSE)</f>
        <v>350-400</v>
      </c>
      <c r="D446" t="str">
        <f>VLOOKUP(A447,[1]timesData!$B:$P,3,FALSE)</f>
        <v>350-400</v>
      </c>
      <c r="E446">
        <f>VLOOKUP(A447,[1]timesData!$B:$P,4,FALSE)</f>
        <v>28.5</v>
      </c>
      <c r="F446">
        <f>VLOOKUP(A447,[1]timesData!$B:$P,5,FALSE)</f>
        <v>17</v>
      </c>
      <c r="G446">
        <f>VLOOKUP(A447,[1]timesData!$B:$P,6,FALSE)</f>
        <v>25.5</v>
      </c>
      <c r="H446">
        <f>VLOOKUP(A447,[1]timesData!$B:$P,7,FALSE)</f>
        <v>30.8</v>
      </c>
      <c r="I446" t="str">
        <f>VLOOKUP(A447,[1]timesData!$B:$P,8,FALSE)</f>
        <v>-</v>
      </c>
      <c r="J446">
        <f>VLOOKUP(A447,[1]timesData!$B:$P,9,FALSE)</f>
        <v>19198</v>
      </c>
      <c r="K446">
        <f>VLOOKUP(A447,[1]timesData!$B:$P,10,FALSE)</f>
        <v>17.100000000000001</v>
      </c>
      <c r="L446">
        <f>VLOOKUP(A447,[1]timesData!$B:$P,11,FALSE)</f>
        <v>0.08</v>
      </c>
      <c r="M446">
        <f>VLOOKUP(A447,[1]timesData!$B:$P,12,FALSE)</f>
        <v>1.9541666666666666</v>
      </c>
      <c r="N446">
        <f>VLOOKUP(A447,[1]timesData!$B:$P,13,FALSE)</f>
        <v>2012</v>
      </c>
      <c r="O446">
        <f>VLOOKUP(A446,[2]cwurData!$B:$P,14,FALSE)</f>
        <v>507</v>
      </c>
      <c r="P446">
        <f>VLOOKUP(A446,[2]cwurData!$B:$N, 3, FALSE)</f>
        <v>11</v>
      </c>
      <c r="Q446">
        <f>VLOOKUP(A446,[2]cwurData!$B:$N, 4, FALSE)</f>
        <v>82</v>
      </c>
      <c r="R446">
        <f>VLOOKUP(A446,[2]cwurData!$B:$N, 5, FALSE)</f>
        <v>478</v>
      </c>
      <c r="S446">
        <f>VLOOKUP(A446,[2]cwurData!$B:$N, 6, FALSE)</f>
        <v>210</v>
      </c>
      <c r="T446">
        <f>VLOOKUP(A446,[2]cwurData!$B:$N, 7, FALSE)</f>
        <v>551</v>
      </c>
      <c r="U446">
        <f>VLOOKUP(A446,[2]cwurData!$B:$N, 8, FALSE)</f>
        <v>573</v>
      </c>
      <c r="V446">
        <f>VLOOKUP(A446,[2]cwurData!$B:$N, 9, FALSE)</f>
        <v>609</v>
      </c>
      <c r="W446">
        <f>VLOOKUP(A446,[2]cwurData!$B:$N, 10, FALSE)</f>
        <v>605</v>
      </c>
      <c r="X446">
        <f>VLOOKUP(A446,[2]cwurData!$B:$N, 11, FALSE)</f>
        <v>637</v>
      </c>
      <c r="Y446">
        <f>VLOOKUP(A446,[2]cwurData!$B:$N, 12, FALSE)</f>
        <v>45.1</v>
      </c>
      <c r="Z446">
        <f>VLOOKUP(A446,[2]cwurData!$B:$N, 13, FALSE)</f>
        <v>2014</v>
      </c>
    </row>
    <row r="447" spans="1:26" x14ac:dyDescent="0.3">
      <c r="A447" t="s">
        <v>356</v>
      </c>
      <c r="B447" t="str">
        <f>IFERROR(VLOOKUP(A447,[1]timesData!$B:$P,2,FALSE),VLOOKUP(A447,[2]cwurData!$B:$P,2,FALSE))</f>
        <v>United States of America</v>
      </c>
      <c r="C447" t="str">
        <f>VLOOKUP(A447,[1]timesData!$B:$P,3,FALSE)</f>
        <v>350-400</v>
      </c>
      <c r="D447" t="str">
        <f>VLOOKUP(A448,[1]timesData!$B:$P,3,FALSE)</f>
        <v>350-400</v>
      </c>
      <c r="E447">
        <f>VLOOKUP(A448,[1]timesData!$B:$P,4,FALSE)</f>
        <v>27.9</v>
      </c>
      <c r="F447">
        <f>VLOOKUP(A448,[1]timesData!$B:$P,5,FALSE)</f>
        <v>20.2</v>
      </c>
      <c r="G447">
        <f>VLOOKUP(A448,[1]timesData!$B:$P,6,FALSE)</f>
        <v>34.4</v>
      </c>
      <c r="H447">
        <f>VLOOKUP(A448,[1]timesData!$B:$P,7,FALSE)</f>
        <v>39.1</v>
      </c>
      <c r="I447" t="str">
        <f>VLOOKUP(A448,[1]timesData!$B:$P,8,FALSE)</f>
        <v>-</v>
      </c>
      <c r="J447">
        <f>VLOOKUP(A448,[1]timesData!$B:$P,9,FALSE)</f>
        <v>28534</v>
      </c>
      <c r="K447">
        <f>VLOOKUP(A448,[1]timesData!$B:$P,10,FALSE)</f>
        <v>20.399999999999999</v>
      </c>
      <c r="L447">
        <f>VLOOKUP(A448,[1]timesData!$B:$P,11,FALSE)</f>
        <v>0.05</v>
      </c>
      <c r="M447">
        <f>VLOOKUP(A448,[1]timesData!$B:$P,12,FALSE)</f>
        <v>2.4868055555555557</v>
      </c>
      <c r="N447">
        <f>VLOOKUP(A448,[1]timesData!$B:$P,13,FALSE)</f>
        <v>2012</v>
      </c>
      <c r="O447">
        <f>VLOOKUP(A447,[2]cwurData!$B:$P,14,FALSE)</f>
        <v>510</v>
      </c>
      <c r="P447">
        <f>VLOOKUP(A447,[2]cwurData!$B:$N, 3, FALSE)</f>
        <v>163</v>
      </c>
      <c r="Q447">
        <f>VLOOKUP(A447,[2]cwurData!$B:$N, 4, FALSE)</f>
        <v>355</v>
      </c>
      <c r="R447">
        <f>VLOOKUP(A447,[2]cwurData!$B:$N, 5, FALSE)</f>
        <v>478</v>
      </c>
      <c r="S447">
        <f>VLOOKUP(A447,[2]cwurData!$B:$N, 6, FALSE)</f>
        <v>210</v>
      </c>
      <c r="T447">
        <f>VLOOKUP(A447,[2]cwurData!$B:$N, 7, FALSE)</f>
        <v>424</v>
      </c>
      <c r="U447">
        <f>VLOOKUP(A447,[2]cwurData!$B:$N, 8, FALSE)</f>
        <v>470</v>
      </c>
      <c r="V447">
        <f>VLOOKUP(A447,[2]cwurData!$B:$N, 9, FALSE)</f>
        <v>493</v>
      </c>
      <c r="W447">
        <f>VLOOKUP(A447,[2]cwurData!$B:$N, 10, FALSE)</f>
        <v>402</v>
      </c>
      <c r="X447">
        <f>VLOOKUP(A447,[2]cwurData!$B:$N, 11, FALSE)</f>
        <v>737</v>
      </c>
      <c r="Y447">
        <f>VLOOKUP(A447,[2]cwurData!$B:$N, 12, FALSE)</f>
        <v>45.09</v>
      </c>
      <c r="Z447">
        <f>VLOOKUP(A447,[2]cwurData!$B:$N, 13, FALSE)</f>
        <v>2014</v>
      </c>
    </row>
    <row r="448" spans="1:26" x14ac:dyDescent="0.3">
      <c r="A448" t="s">
        <v>360</v>
      </c>
      <c r="B448" t="str">
        <f>IFERROR(VLOOKUP(A448,[1]timesData!$B:$P,2,FALSE),VLOOKUP(A448,[2]cwurData!$B:$P,2,FALSE))</f>
        <v>United States of America</v>
      </c>
      <c r="C448" t="str">
        <f>VLOOKUP(A448,[1]timesData!$B:$P,3,FALSE)</f>
        <v>350-400</v>
      </c>
      <c r="D448" t="str">
        <f>VLOOKUP(A449,[1]timesData!$B:$P,3,FALSE)</f>
        <v>350-400</v>
      </c>
      <c r="E448">
        <f>VLOOKUP(A449,[1]timesData!$B:$P,4,FALSE)</f>
        <v>28.8</v>
      </c>
      <c r="F448">
        <f>VLOOKUP(A449,[1]timesData!$B:$P,5,FALSE)</f>
        <v>9.3000000000000007</v>
      </c>
      <c r="G448">
        <f>VLOOKUP(A449,[1]timesData!$B:$P,6,FALSE)</f>
        <v>38.4</v>
      </c>
      <c r="H448">
        <f>VLOOKUP(A449,[1]timesData!$B:$P,7,FALSE)</f>
        <v>42.9</v>
      </c>
      <c r="I448" t="str">
        <f>VLOOKUP(A449,[1]timesData!$B:$P,8,FALSE)</f>
        <v>-</v>
      </c>
      <c r="J448">
        <f>VLOOKUP(A449,[1]timesData!$B:$P,9,FALSE)</f>
        <v>31046</v>
      </c>
      <c r="K448">
        <f>VLOOKUP(A449,[1]timesData!$B:$P,10,FALSE)</f>
        <v>11.8</v>
      </c>
      <c r="L448">
        <f>VLOOKUP(A449,[1]timesData!$B:$P,11,FALSE)</f>
        <v>0.05</v>
      </c>
      <c r="M448">
        <f>VLOOKUP(A449,[1]timesData!$B:$P,12,FALSE)</f>
        <v>2.3229166666666665</v>
      </c>
      <c r="N448">
        <f>VLOOKUP(A449,[1]timesData!$B:$P,13,FALSE)</f>
        <v>2012</v>
      </c>
      <c r="O448">
        <f>VLOOKUP(A448,[2]cwurData!$B:$P,14,FALSE)</f>
        <v>512</v>
      </c>
      <c r="P448">
        <f>VLOOKUP(A448,[2]cwurData!$B:$N, 3, FALSE)</f>
        <v>164</v>
      </c>
      <c r="Q448">
        <f>VLOOKUP(A448,[2]cwurData!$B:$N, 4, FALSE)</f>
        <v>355</v>
      </c>
      <c r="R448">
        <f>VLOOKUP(A448,[2]cwurData!$B:$N, 5, FALSE)</f>
        <v>434</v>
      </c>
      <c r="S448">
        <f>VLOOKUP(A448,[2]cwurData!$B:$N, 6, FALSE)</f>
        <v>210</v>
      </c>
      <c r="T448">
        <f>VLOOKUP(A448,[2]cwurData!$B:$N, 7, FALSE)</f>
        <v>465</v>
      </c>
      <c r="U448">
        <f>VLOOKUP(A448,[2]cwurData!$B:$N, 8, FALSE)</f>
        <v>504</v>
      </c>
      <c r="V448">
        <f>VLOOKUP(A448,[2]cwurData!$B:$N, 9, FALSE)</f>
        <v>363</v>
      </c>
      <c r="W448">
        <f>VLOOKUP(A448,[2]cwurData!$B:$N, 10, FALSE)</f>
        <v>437</v>
      </c>
      <c r="X448">
        <f>VLOOKUP(A448,[2]cwurData!$B:$N, 11, FALSE)</f>
        <v>426</v>
      </c>
      <c r="Y448">
        <f>VLOOKUP(A448,[2]cwurData!$B:$N, 12, FALSE)</f>
        <v>45.07</v>
      </c>
      <c r="Z448">
        <f>VLOOKUP(A448,[2]cwurData!$B:$N, 13, FALSE)</f>
        <v>2014</v>
      </c>
    </row>
    <row r="449" spans="1:26" x14ac:dyDescent="0.3">
      <c r="A449" t="s">
        <v>401</v>
      </c>
      <c r="B449" t="str">
        <f>IFERROR(VLOOKUP(A449,[1]timesData!$B:$P,2,FALSE),VLOOKUP(A449,[2]cwurData!$B:$P,2,FALSE))</f>
        <v>Spain</v>
      </c>
      <c r="C449" t="str">
        <f>VLOOKUP(A449,[1]timesData!$B:$P,3,FALSE)</f>
        <v>350-400</v>
      </c>
      <c r="D449" t="str">
        <f>VLOOKUP(A450,[1]timesData!$B:$P,3,FALSE)</f>
        <v>350-400</v>
      </c>
      <c r="E449">
        <f>VLOOKUP(A450,[1]timesData!$B:$P,4,FALSE)</f>
        <v>55.8</v>
      </c>
      <c r="F449">
        <f>VLOOKUP(A450,[1]timesData!$B:$P,5,FALSE)</f>
        <v>11.6</v>
      </c>
      <c r="G449">
        <f>VLOOKUP(A450,[1]timesData!$B:$P,6,FALSE)</f>
        <v>27.4</v>
      </c>
      <c r="H449">
        <f>VLOOKUP(A450,[1]timesData!$B:$P,7,FALSE)</f>
        <v>29.4</v>
      </c>
      <c r="I449" t="str">
        <f>VLOOKUP(A450,[1]timesData!$B:$P,8,FALSE)</f>
        <v>-</v>
      </c>
      <c r="J449">
        <f>VLOOKUP(A450,[1]timesData!$B:$P,9,FALSE)</f>
        <v>22795</v>
      </c>
      <c r="K449">
        <f>VLOOKUP(A450,[1]timesData!$B:$P,10,FALSE)</f>
        <v>19</v>
      </c>
      <c r="L449">
        <f>VLOOKUP(A450,[1]timesData!$B:$P,11,FALSE)</f>
        <v>0.11</v>
      </c>
      <c r="M449">
        <f>VLOOKUP(A450,[1]timesData!$B:$P,12,FALSE)</f>
        <v>2.3229166666666665</v>
      </c>
      <c r="N449">
        <f>VLOOKUP(A450,[1]timesData!$B:$P,13,FALSE)</f>
        <v>2012</v>
      </c>
      <c r="O449">
        <f>VLOOKUP(A449,[2]cwurData!$B:$P,14,FALSE)</f>
        <v>520</v>
      </c>
      <c r="P449">
        <f>VLOOKUP(A449,[2]cwurData!$B:$N, 3, FALSE)</f>
        <v>15</v>
      </c>
      <c r="Q449">
        <f>VLOOKUP(A449,[2]cwurData!$B:$N, 4, FALSE)</f>
        <v>354</v>
      </c>
      <c r="R449">
        <f>VLOOKUP(A449,[2]cwurData!$B:$N, 5, FALSE)</f>
        <v>441</v>
      </c>
      <c r="S449">
        <f>VLOOKUP(A449,[2]cwurData!$B:$N, 6, FALSE)</f>
        <v>210</v>
      </c>
      <c r="T449">
        <f>VLOOKUP(A449,[2]cwurData!$B:$N, 7, FALSE)</f>
        <v>350</v>
      </c>
      <c r="U449">
        <f>VLOOKUP(A449,[2]cwurData!$B:$N, 8, FALSE)</f>
        <v>684</v>
      </c>
      <c r="V449">
        <f>VLOOKUP(A449,[2]cwurData!$B:$N, 9, FALSE)</f>
        <v>493</v>
      </c>
      <c r="W449">
        <f>VLOOKUP(A449,[2]cwurData!$B:$N, 10, FALSE)</f>
        <v>488</v>
      </c>
      <c r="X449">
        <f>VLOOKUP(A449,[2]cwurData!$B:$N, 11, FALSE)</f>
        <v>338</v>
      </c>
      <c r="Y449">
        <f>VLOOKUP(A449,[2]cwurData!$B:$N, 12, FALSE)</f>
        <v>45.04</v>
      </c>
      <c r="Z449">
        <f>VLOOKUP(A449,[2]cwurData!$B:$N, 13, FALSE)</f>
        <v>2014</v>
      </c>
    </row>
    <row r="450" spans="1:26" x14ac:dyDescent="0.3">
      <c r="A450" t="s">
        <v>391</v>
      </c>
      <c r="B450" t="str">
        <f>IFERROR(VLOOKUP(A450,[1]timesData!$B:$P,2,FALSE),VLOOKUP(A450,[2]cwurData!$B:$P,2,FALSE))</f>
        <v>Portugal</v>
      </c>
      <c r="C450" t="str">
        <f>VLOOKUP(A450,[1]timesData!$B:$P,3,FALSE)</f>
        <v>350-400</v>
      </c>
      <c r="D450" t="str">
        <f>VLOOKUP(A451,[1]timesData!$B:$P,3,FALSE)</f>
        <v>350-400</v>
      </c>
      <c r="E450">
        <f>VLOOKUP(A451,[1]timesData!$B:$P,4,FALSE)</f>
        <v>22.5</v>
      </c>
      <c r="F450">
        <f>VLOOKUP(A451,[1]timesData!$B:$P,5,FALSE)</f>
        <v>18.7</v>
      </c>
      <c r="G450">
        <f>VLOOKUP(A451,[1]timesData!$B:$P,6,FALSE)</f>
        <v>10.3</v>
      </c>
      <c r="H450">
        <f>VLOOKUP(A451,[1]timesData!$B:$P,7,FALSE)</f>
        <v>47.3</v>
      </c>
      <c r="I450" t="str">
        <f>VLOOKUP(A451,[1]timesData!$B:$P,8,FALSE)</f>
        <v>-</v>
      </c>
      <c r="J450">
        <f>VLOOKUP(A451,[1]timesData!$B:$P,9,FALSE)</f>
        <v>22386</v>
      </c>
      <c r="K450">
        <f>VLOOKUP(A451,[1]timesData!$B:$P,10,FALSE)</f>
        <v>17.600000000000001</v>
      </c>
      <c r="L450">
        <f>VLOOKUP(A451,[1]timesData!$B:$P,11,FALSE)</f>
        <v>0.04</v>
      </c>
      <c r="M450">
        <f>VLOOKUP(A451,[1]timesData!$B:$P,12,FALSE)</f>
        <v>2.1590277777777778</v>
      </c>
      <c r="N450">
        <f>VLOOKUP(A451,[1]timesData!$B:$P,13,FALSE)</f>
        <v>2012</v>
      </c>
      <c r="O450">
        <f>VLOOKUP(A450,[2]cwurData!$B:$P,14,FALSE)</f>
        <v>545</v>
      </c>
      <c r="P450">
        <f>VLOOKUP(A450,[2]cwurData!$B:$N, 3, FALSE)</f>
        <v>3</v>
      </c>
      <c r="Q450">
        <f>VLOOKUP(A450,[2]cwurData!$B:$N, 4, FALSE)</f>
        <v>348</v>
      </c>
      <c r="R450">
        <f>VLOOKUP(A450,[2]cwurData!$B:$N, 5, FALSE)</f>
        <v>478</v>
      </c>
      <c r="S450">
        <f>VLOOKUP(A450,[2]cwurData!$B:$N, 6, FALSE)</f>
        <v>210</v>
      </c>
      <c r="T450">
        <f>VLOOKUP(A450,[2]cwurData!$B:$N, 7, FALSE)</f>
        <v>420</v>
      </c>
      <c r="U450">
        <f>VLOOKUP(A450,[2]cwurData!$B:$N, 8, FALSE)</f>
        <v>415</v>
      </c>
      <c r="V450">
        <f>VLOOKUP(A450,[2]cwurData!$B:$N, 9, FALSE)</f>
        <v>609</v>
      </c>
      <c r="W450">
        <f>VLOOKUP(A450,[2]cwurData!$B:$N, 10, FALSE)</f>
        <v>452</v>
      </c>
      <c r="X450">
        <f>VLOOKUP(A450,[2]cwurData!$B:$N, 11, FALSE)</f>
        <v>481</v>
      </c>
      <c r="Y450">
        <f>VLOOKUP(A450,[2]cwurData!$B:$N, 12, FALSE)</f>
        <v>44.97</v>
      </c>
      <c r="Z450">
        <f>VLOOKUP(A450,[2]cwurData!$B:$N, 13, FALSE)</f>
        <v>2014</v>
      </c>
    </row>
    <row r="451" spans="1:26" x14ac:dyDescent="0.3">
      <c r="A451" t="s">
        <v>355</v>
      </c>
      <c r="B451" t="str">
        <f>IFERROR(VLOOKUP(A451,[1]timesData!$B:$P,2,FALSE),VLOOKUP(A451,[2]cwurData!$B:$P,2,FALSE))</f>
        <v>United States of America</v>
      </c>
      <c r="C451" t="str">
        <f>VLOOKUP(A451,[1]timesData!$B:$P,3,FALSE)</f>
        <v>350-400</v>
      </c>
      <c r="D451" t="str">
        <f>VLOOKUP(A452,[1]timesData!$B:$P,3,FALSE)</f>
        <v>350-400</v>
      </c>
      <c r="E451">
        <f>VLOOKUP(A452,[1]timesData!$B:$P,4,FALSE)</f>
        <v>45</v>
      </c>
      <c r="F451">
        <f>VLOOKUP(A452,[1]timesData!$B:$P,5,FALSE)</f>
        <v>14.7</v>
      </c>
      <c r="G451">
        <f>VLOOKUP(A452,[1]timesData!$B:$P,6,FALSE)</f>
        <v>20.9</v>
      </c>
      <c r="H451">
        <f>VLOOKUP(A452,[1]timesData!$B:$P,7,FALSE)</f>
        <v>29</v>
      </c>
      <c r="I451" t="str">
        <f>VLOOKUP(A452,[1]timesData!$B:$P,8,FALSE)</f>
        <v>-</v>
      </c>
      <c r="J451">
        <f>VLOOKUP(A452,[1]timesData!$B:$P,9,FALSE)</f>
        <v>27402</v>
      </c>
      <c r="K451">
        <f>VLOOKUP(A452,[1]timesData!$B:$P,10,FALSE)</f>
        <v>7.5</v>
      </c>
      <c r="L451">
        <f>VLOOKUP(A452,[1]timesData!$B:$P,11,FALSE)</f>
        <v>0.03</v>
      </c>
      <c r="M451">
        <f>VLOOKUP(A452,[1]timesData!$B:$P,12,FALSE)</f>
        <v>2.6506944444444445</v>
      </c>
      <c r="N451">
        <f>VLOOKUP(A452,[1]timesData!$B:$P,13,FALSE)</f>
        <v>2012</v>
      </c>
      <c r="O451">
        <f>VLOOKUP(A451,[2]cwurData!$B:$P,14,FALSE)</f>
        <v>548</v>
      </c>
      <c r="P451">
        <f>VLOOKUP(A451,[2]cwurData!$B:$N, 3, FALSE)</f>
        <v>171</v>
      </c>
      <c r="Q451">
        <f>VLOOKUP(A451,[2]cwurData!$B:$N, 4, FALSE)</f>
        <v>355</v>
      </c>
      <c r="R451">
        <f>VLOOKUP(A451,[2]cwurData!$B:$N, 5, FALSE)</f>
        <v>261</v>
      </c>
      <c r="S451">
        <f>VLOOKUP(A451,[2]cwurData!$B:$N, 6, FALSE)</f>
        <v>210</v>
      </c>
      <c r="T451">
        <f>VLOOKUP(A451,[2]cwurData!$B:$N, 7, FALSE)</f>
        <v>463</v>
      </c>
      <c r="U451">
        <f>VLOOKUP(A451,[2]cwurData!$B:$N, 8, FALSE)</f>
        <v>585</v>
      </c>
      <c r="V451">
        <f>VLOOKUP(A451,[2]cwurData!$B:$N, 9, FALSE)</f>
        <v>310</v>
      </c>
      <c r="W451">
        <f>VLOOKUP(A451,[2]cwurData!$B:$N, 10, FALSE)</f>
        <v>585</v>
      </c>
      <c r="X451">
        <f>VLOOKUP(A451,[2]cwurData!$B:$N, 11, FALSE)</f>
        <v>373</v>
      </c>
      <c r="Y451">
        <f>VLOOKUP(A451,[2]cwurData!$B:$N, 12, FALSE)</f>
        <v>44.96</v>
      </c>
      <c r="Z451">
        <f>VLOOKUP(A451,[2]cwurData!$B:$N, 13, FALSE)</f>
        <v>2014</v>
      </c>
    </row>
    <row r="452" spans="1:26" x14ac:dyDescent="0.3">
      <c r="A452" t="s">
        <v>372</v>
      </c>
      <c r="B452" t="str">
        <f>IFERROR(VLOOKUP(A452,[1]timesData!$B:$P,2,FALSE),VLOOKUP(A452,[2]cwurData!$B:$P,2,FALSE))</f>
        <v>Thailand</v>
      </c>
      <c r="C452" t="str">
        <f>VLOOKUP(A452,[1]timesData!$B:$P,3,FALSE)</f>
        <v>350-400</v>
      </c>
      <c r="D452" t="str">
        <f>VLOOKUP(A453,[1]timesData!$B:$P,3,FALSE)</f>
        <v>350-400</v>
      </c>
      <c r="E452">
        <f>VLOOKUP(A453,[1]timesData!$B:$P,4,FALSE)</f>
        <v>42</v>
      </c>
      <c r="F452">
        <f>VLOOKUP(A453,[1]timesData!$B:$P,5,FALSE)</f>
        <v>17.8</v>
      </c>
      <c r="G452">
        <f>VLOOKUP(A453,[1]timesData!$B:$P,6,FALSE)</f>
        <v>34.4</v>
      </c>
      <c r="H452">
        <f>VLOOKUP(A453,[1]timesData!$B:$P,7,FALSE)</f>
        <v>26.3</v>
      </c>
      <c r="I452" t="str">
        <f>VLOOKUP(A453,[1]timesData!$B:$P,8,FALSE)</f>
        <v>-</v>
      </c>
      <c r="J452">
        <f>VLOOKUP(A453,[1]timesData!$B:$P,9,FALSE)</f>
        <v>10269</v>
      </c>
      <c r="K452">
        <f>VLOOKUP(A453,[1]timesData!$B:$P,10,FALSE)</f>
        <v>13</v>
      </c>
      <c r="L452">
        <f>VLOOKUP(A453,[1]timesData!$B:$P,11,FALSE)</f>
        <v>0.03</v>
      </c>
      <c r="M452">
        <f>VLOOKUP(A453,[1]timesData!$B:$P,12,FALSE)</f>
        <v>2.7736111111111112</v>
      </c>
      <c r="N452">
        <f>VLOOKUP(A453,[1]timesData!$B:$P,13,FALSE)</f>
        <v>2012</v>
      </c>
      <c r="O452">
        <f>VLOOKUP(A452,[2]cwurData!$B:$P,14,FALSE)</f>
        <v>550</v>
      </c>
      <c r="P452">
        <f>VLOOKUP(A452,[2]cwurData!$B:$N, 3, FALSE)</f>
        <v>2</v>
      </c>
      <c r="Q452">
        <f>VLOOKUP(A452,[2]cwurData!$B:$N, 4, FALSE)</f>
        <v>355</v>
      </c>
      <c r="R452">
        <f>VLOOKUP(A452,[2]cwurData!$B:$N, 5, FALSE)</f>
        <v>478</v>
      </c>
      <c r="S452">
        <f>VLOOKUP(A452,[2]cwurData!$B:$N, 6, FALSE)</f>
        <v>210</v>
      </c>
      <c r="T452">
        <f>VLOOKUP(A452,[2]cwurData!$B:$N, 7, FALSE)</f>
        <v>479</v>
      </c>
      <c r="U452">
        <f>VLOOKUP(A452,[2]cwurData!$B:$N, 8, FALSE)</f>
        <v>366</v>
      </c>
      <c r="V452">
        <f>VLOOKUP(A452,[2]cwurData!$B:$N, 9, FALSE)</f>
        <v>406</v>
      </c>
      <c r="W452">
        <f>VLOOKUP(A452,[2]cwurData!$B:$N, 10, FALSE)</f>
        <v>442</v>
      </c>
      <c r="X452">
        <f>VLOOKUP(A452,[2]cwurData!$B:$N, 11, FALSE)</f>
        <v>737</v>
      </c>
      <c r="Y452">
        <f>VLOOKUP(A452,[2]cwurData!$B:$N, 12, FALSE)</f>
        <v>44.96</v>
      </c>
      <c r="Z452">
        <f>VLOOKUP(A452,[2]cwurData!$B:$N, 13, FALSE)</f>
        <v>2014</v>
      </c>
    </row>
    <row r="453" spans="1:26" x14ac:dyDescent="0.3">
      <c r="A453" t="s">
        <v>398</v>
      </c>
      <c r="B453" t="str">
        <f>IFERROR(VLOOKUP(A453,[1]timesData!$B:$P,2,FALSE),VLOOKUP(A453,[2]cwurData!$B:$P,2,FALSE))</f>
        <v>Estonia</v>
      </c>
      <c r="C453" t="str">
        <f>VLOOKUP(A453,[1]timesData!$B:$P,3,FALSE)</f>
        <v>350-400</v>
      </c>
      <c r="D453" t="str">
        <f>VLOOKUP(A454,[1]timesData!$B:$P,3,FALSE)</f>
        <v>350-400</v>
      </c>
      <c r="E453">
        <f>VLOOKUP(A454,[1]timesData!$B:$P,4,FALSE)</f>
        <v>22.2</v>
      </c>
      <c r="F453">
        <f>VLOOKUP(A454,[1]timesData!$B:$P,5,FALSE)</f>
        <v>21.4</v>
      </c>
      <c r="G453">
        <f>VLOOKUP(A454,[1]timesData!$B:$P,6,FALSE)</f>
        <v>27.1</v>
      </c>
      <c r="H453">
        <f>VLOOKUP(A454,[1]timesData!$B:$P,7,FALSE)</f>
        <v>78.599999999999994</v>
      </c>
      <c r="I453" t="str">
        <f>VLOOKUP(A454,[1]timesData!$B:$P,8,FALSE)</f>
        <v>-</v>
      </c>
      <c r="J453">
        <f>VLOOKUP(A454,[1]timesData!$B:$P,9,FALSE)</f>
        <v>10915</v>
      </c>
      <c r="K453">
        <f>VLOOKUP(A454,[1]timesData!$B:$P,10,FALSE)</f>
        <v>9.8000000000000007</v>
      </c>
      <c r="L453">
        <f>VLOOKUP(A454,[1]timesData!$B:$P,11,FALSE)</f>
        <v>0.06</v>
      </c>
      <c r="M453" t="str">
        <f>VLOOKUP(A454,[1]timesData!$B:$P,12,FALSE)</f>
        <v>31 : 69</v>
      </c>
      <c r="N453">
        <f>VLOOKUP(A454,[1]timesData!$B:$P,13,FALSE)</f>
        <v>2012</v>
      </c>
      <c r="O453">
        <f>VLOOKUP(A453,[2]cwurData!$B:$P,14,FALSE)</f>
        <v>556</v>
      </c>
      <c r="P453">
        <f>VLOOKUP(A453,[2]cwurData!$B:$N, 3, FALSE)</f>
        <v>1</v>
      </c>
      <c r="Q453">
        <f>VLOOKUP(A453,[2]cwurData!$B:$N, 4, FALSE)</f>
        <v>353</v>
      </c>
      <c r="R453">
        <f>VLOOKUP(A453,[2]cwurData!$B:$N, 5, FALSE)</f>
        <v>478</v>
      </c>
      <c r="S453">
        <f>VLOOKUP(A453,[2]cwurData!$B:$N, 6, FALSE)</f>
        <v>210</v>
      </c>
      <c r="T453">
        <f>VLOOKUP(A453,[2]cwurData!$B:$N, 7, FALSE)</f>
        <v>600</v>
      </c>
      <c r="U453">
        <f>VLOOKUP(A453,[2]cwurData!$B:$N, 8, FALSE)</f>
        <v>388</v>
      </c>
      <c r="V453">
        <f>VLOOKUP(A453,[2]cwurData!$B:$N, 9, FALSE)</f>
        <v>406</v>
      </c>
      <c r="W453">
        <f>VLOOKUP(A453,[2]cwurData!$B:$N, 10, FALSE)</f>
        <v>496</v>
      </c>
      <c r="X453">
        <f>VLOOKUP(A453,[2]cwurData!$B:$N, 11, FALSE)</f>
        <v>259</v>
      </c>
      <c r="Y453">
        <f>VLOOKUP(A453,[2]cwurData!$B:$N, 12, FALSE)</f>
        <v>44.94</v>
      </c>
      <c r="Z453">
        <f>VLOOKUP(A453,[2]cwurData!$B:$N, 13, FALSE)</f>
        <v>2014</v>
      </c>
    </row>
    <row r="454" spans="1:26" x14ac:dyDescent="0.3">
      <c r="A454" t="s">
        <v>375</v>
      </c>
      <c r="B454" t="str">
        <f>IFERROR(VLOOKUP(A454,[1]timesData!$B:$P,2,FALSE),VLOOKUP(A454,[2]cwurData!$B:$P,2,FALSE))</f>
        <v>Taiwan</v>
      </c>
      <c r="C454" t="str">
        <f>VLOOKUP(A454,[1]timesData!$B:$P,3,FALSE)</f>
        <v>350-400</v>
      </c>
      <c r="D454" t="str">
        <f>VLOOKUP(A455,[1]timesData!$B:$P,3,FALSE)</f>
        <v>350-400</v>
      </c>
      <c r="E454">
        <f>VLOOKUP(A455,[1]timesData!$B:$P,4,FALSE)</f>
        <v>32.4</v>
      </c>
      <c r="F454">
        <f>VLOOKUP(A455,[1]timesData!$B:$P,5,FALSE)</f>
        <v>12.1</v>
      </c>
      <c r="G454">
        <f>VLOOKUP(A455,[1]timesData!$B:$P,6,FALSE)</f>
        <v>29.1</v>
      </c>
      <c r="H454">
        <f>VLOOKUP(A455,[1]timesData!$B:$P,7,FALSE)</f>
        <v>67.599999999999994</v>
      </c>
      <c r="I454" t="str">
        <f>VLOOKUP(A455,[1]timesData!$B:$P,8,FALSE)</f>
        <v>-</v>
      </c>
      <c r="J454">
        <f>VLOOKUP(A455,[1]timesData!$B:$P,9,FALSE)</f>
        <v>27709</v>
      </c>
      <c r="K454">
        <f>VLOOKUP(A455,[1]timesData!$B:$P,10,FALSE)</f>
        <v>19.600000000000001</v>
      </c>
      <c r="L454">
        <f>VLOOKUP(A455,[1]timesData!$B:$P,11,FALSE)</f>
        <v>0.16</v>
      </c>
      <c r="M454" t="str">
        <f>VLOOKUP(A455,[1]timesData!$B:$P,12,FALSE)</f>
        <v>29 : 71</v>
      </c>
      <c r="N454">
        <f>VLOOKUP(A455,[1]timesData!$B:$P,13,FALSE)</f>
        <v>2012</v>
      </c>
      <c r="O454">
        <f>VLOOKUP(A454,[2]cwurData!$B:$P,14,FALSE)</f>
        <v>565</v>
      </c>
      <c r="P454">
        <f>VLOOKUP(A454,[2]cwurData!$B:$N, 3, FALSE)</f>
        <v>6</v>
      </c>
      <c r="Q454">
        <f>VLOOKUP(A454,[2]cwurData!$B:$N, 4, FALSE)</f>
        <v>204</v>
      </c>
      <c r="R454">
        <f>VLOOKUP(A454,[2]cwurData!$B:$N, 5, FALSE)</f>
        <v>478</v>
      </c>
      <c r="S454">
        <f>VLOOKUP(A454,[2]cwurData!$B:$N, 6, FALSE)</f>
        <v>210</v>
      </c>
      <c r="T454">
        <f>VLOOKUP(A454,[2]cwurData!$B:$N, 7, FALSE)</f>
        <v>369</v>
      </c>
      <c r="U454">
        <f>VLOOKUP(A454,[2]cwurData!$B:$N, 8, FALSE)</f>
        <v>438</v>
      </c>
      <c r="V454">
        <f>VLOOKUP(A454,[2]cwurData!$B:$N, 9, FALSE)</f>
        <v>609</v>
      </c>
      <c r="W454">
        <f>VLOOKUP(A454,[2]cwurData!$B:$N, 10, FALSE)</f>
        <v>523</v>
      </c>
      <c r="X454">
        <f>VLOOKUP(A454,[2]cwurData!$B:$N, 11, FALSE)</f>
        <v>637</v>
      </c>
      <c r="Y454">
        <f>VLOOKUP(A454,[2]cwurData!$B:$N, 12, FALSE)</f>
        <v>44.92</v>
      </c>
      <c r="Z454">
        <f>VLOOKUP(A454,[2]cwurData!$B:$N, 13, FALSE)</f>
        <v>2014</v>
      </c>
    </row>
    <row r="455" spans="1:26" x14ac:dyDescent="0.3">
      <c r="A455" t="s">
        <v>383</v>
      </c>
      <c r="B455" t="str">
        <f>IFERROR(VLOOKUP(A455,[1]timesData!$B:$P,2,FALSE),VLOOKUP(A455,[2]cwurData!$B:$P,2,FALSE))</f>
        <v>Italy</v>
      </c>
      <c r="C455" t="str">
        <f>VLOOKUP(A455,[1]timesData!$B:$P,3,FALSE)</f>
        <v>350-400</v>
      </c>
      <c r="D455" t="str">
        <f>VLOOKUP(A456,[1]timesData!$B:$P,3,FALSE)</f>
        <v>350-400</v>
      </c>
      <c r="E455">
        <f>VLOOKUP(A456,[1]timesData!$B:$P,4,FALSE)</f>
        <v>72.599999999999994</v>
      </c>
      <c r="F455">
        <f>VLOOKUP(A456,[1]timesData!$B:$P,5,FALSE)</f>
        <v>12.2</v>
      </c>
      <c r="G455">
        <f>VLOOKUP(A456,[1]timesData!$B:$P,6,FALSE)</f>
        <v>31.3</v>
      </c>
      <c r="H455">
        <f>VLOOKUP(A456,[1]timesData!$B:$P,7,FALSE)</f>
        <v>32.700000000000003</v>
      </c>
      <c r="I455" t="str">
        <f>VLOOKUP(A456,[1]timesData!$B:$P,8,FALSE)</f>
        <v>-</v>
      </c>
      <c r="J455">
        <f>VLOOKUP(A456,[1]timesData!$B:$P,9,FALSE)</f>
        <v>14067</v>
      </c>
      <c r="K455">
        <f>VLOOKUP(A456,[1]timesData!$B:$P,10,FALSE)</f>
        <v>26.8</v>
      </c>
      <c r="L455">
        <f>VLOOKUP(A456,[1]timesData!$B:$P,11,FALSE)</f>
        <v>0.14000000000000001</v>
      </c>
      <c r="M455">
        <f>VLOOKUP(A456,[1]timesData!$B:$P,12,FALSE)</f>
        <v>2.3638888888888889</v>
      </c>
      <c r="N455">
        <f>VLOOKUP(A456,[1]timesData!$B:$P,13,FALSE)</f>
        <v>2012</v>
      </c>
      <c r="O455">
        <f>VLOOKUP(A455,[2]cwurData!$B:$P,14,FALSE)</f>
        <v>579</v>
      </c>
      <c r="P455">
        <f>VLOOKUP(A455,[2]cwurData!$B:$N, 3, FALSE)</f>
        <v>31</v>
      </c>
      <c r="Q455">
        <f>VLOOKUP(A455,[2]cwurData!$B:$N, 4, FALSE)</f>
        <v>355</v>
      </c>
      <c r="R455">
        <f>VLOOKUP(A455,[2]cwurData!$B:$N, 5, FALSE)</f>
        <v>478</v>
      </c>
      <c r="S455">
        <f>VLOOKUP(A455,[2]cwurData!$B:$N, 6, FALSE)</f>
        <v>210</v>
      </c>
      <c r="T455">
        <f>VLOOKUP(A455,[2]cwurData!$B:$N, 7, FALSE)</f>
        <v>464</v>
      </c>
      <c r="U455">
        <f>VLOOKUP(A455,[2]cwurData!$B:$N, 8, FALSE)</f>
        <v>773</v>
      </c>
      <c r="V455">
        <f>VLOOKUP(A455,[2]cwurData!$B:$N, 9, FALSE)</f>
        <v>800</v>
      </c>
      <c r="W455">
        <f>VLOOKUP(A455,[2]cwurData!$B:$N, 10, FALSE)</f>
        <v>642</v>
      </c>
      <c r="X455">
        <f>VLOOKUP(A455,[2]cwurData!$B:$N, 11, FALSE)</f>
        <v>181</v>
      </c>
      <c r="Y455">
        <f>VLOOKUP(A455,[2]cwurData!$B:$N, 12, FALSE)</f>
        <v>44.85</v>
      </c>
      <c r="Z455">
        <f>VLOOKUP(A455,[2]cwurData!$B:$N, 13, FALSE)</f>
        <v>2014</v>
      </c>
    </row>
    <row r="456" spans="1:26" x14ac:dyDescent="0.3">
      <c r="A456" t="s">
        <v>377</v>
      </c>
      <c r="B456" t="str">
        <f>IFERROR(VLOOKUP(A456,[1]timesData!$B:$P,2,FALSE),VLOOKUP(A456,[2]cwurData!$B:$P,2,FALSE))</f>
        <v>Republic of Ireland</v>
      </c>
      <c r="C456" t="str">
        <f>VLOOKUP(A456,[1]timesData!$B:$P,3,FALSE)</f>
        <v>350-400</v>
      </c>
      <c r="D456" t="str">
        <f>VLOOKUP(A457,[1]timesData!$B:$P,3,FALSE)</f>
        <v>350-400</v>
      </c>
      <c r="E456">
        <f>VLOOKUP(A457,[1]timesData!$B:$P,4,FALSE)</f>
        <v>18</v>
      </c>
      <c r="F456">
        <f>VLOOKUP(A457,[1]timesData!$B:$P,5,FALSE)</f>
        <v>15.8</v>
      </c>
      <c r="G456">
        <f>VLOOKUP(A457,[1]timesData!$B:$P,6,FALSE)</f>
        <v>21.7</v>
      </c>
      <c r="H456">
        <f>VLOOKUP(A457,[1]timesData!$B:$P,7,FALSE)</f>
        <v>41.5</v>
      </c>
      <c r="I456" t="str">
        <f>VLOOKUP(A457,[1]timesData!$B:$P,8,FALSE)</f>
        <v>-</v>
      </c>
      <c r="J456">
        <f>VLOOKUP(A457,[1]timesData!$B:$P,9,FALSE)</f>
        <v>5865</v>
      </c>
      <c r="K456">
        <f>VLOOKUP(A457,[1]timesData!$B:$P,10,FALSE)</f>
        <v>14.4</v>
      </c>
      <c r="L456">
        <f>VLOOKUP(A457,[1]timesData!$B:$P,11,FALSE)</f>
        <v>0.05</v>
      </c>
      <c r="M456" t="str">
        <f>VLOOKUP(A457,[1]timesData!$B:$P,12,FALSE)</f>
        <v>27 : 73</v>
      </c>
      <c r="N456">
        <f>VLOOKUP(A457,[1]timesData!$B:$P,13,FALSE)</f>
        <v>2012</v>
      </c>
      <c r="O456">
        <f>VLOOKUP(A456,[2]cwurData!$B:$P,14,FALSE)</f>
        <v>600</v>
      </c>
      <c r="P456">
        <f>VLOOKUP(A456,[2]cwurData!$B:$N, 3, FALSE)</f>
        <v>4</v>
      </c>
      <c r="Q456">
        <f>VLOOKUP(A456,[2]cwurData!$B:$N, 4, FALSE)</f>
        <v>355</v>
      </c>
      <c r="R456">
        <f>VLOOKUP(A456,[2]cwurData!$B:$N, 5, FALSE)</f>
        <v>478</v>
      </c>
      <c r="S456">
        <f>VLOOKUP(A456,[2]cwurData!$B:$N, 6, FALSE)</f>
        <v>210</v>
      </c>
      <c r="T456">
        <f>VLOOKUP(A456,[2]cwurData!$B:$N, 7, FALSE)</f>
        <v>593</v>
      </c>
      <c r="U456">
        <f>VLOOKUP(A456,[2]cwurData!$B:$N, 8, FALSE)</f>
        <v>597</v>
      </c>
      <c r="V456">
        <f>VLOOKUP(A456,[2]cwurData!$B:$N, 9, FALSE)</f>
        <v>609</v>
      </c>
      <c r="W456">
        <f>VLOOKUP(A456,[2]cwurData!$B:$N, 10, FALSE)</f>
        <v>531</v>
      </c>
      <c r="X456">
        <f>VLOOKUP(A456,[2]cwurData!$B:$N, 11, FALSE)</f>
        <v>307</v>
      </c>
      <c r="Y456">
        <f>VLOOKUP(A456,[2]cwurData!$B:$N, 12, FALSE)</f>
        <v>44.82</v>
      </c>
      <c r="Z456">
        <f>VLOOKUP(A456,[2]cwurData!$B:$N, 13, FALSE)</f>
        <v>2014</v>
      </c>
    </row>
    <row r="457" spans="1:26" x14ac:dyDescent="0.3">
      <c r="A457" t="s">
        <v>389</v>
      </c>
      <c r="B457" t="str">
        <f>IFERROR(VLOOKUP(A457,[1]timesData!$B:$P,2,FALSE),VLOOKUP(A457,[2]cwurData!$B:$P,2,FALSE))</f>
        <v>Japan</v>
      </c>
      <c r="C457" t="str">
        <f>VLOOKUP(A457,[1]timesData!$B:$P,3,FALSE)</f>
        <v>350-400</v>
      </c>
      <c r="D457" t="str">
        <f>VLOOKUP(A458,[1]timesData!$B:$P,3,FALSE)</f>
        <v>350-400</v>
      </c>
      <c r="E457">
        <f>VLOOKUP(A458,[1]timesData!$B:$P,4,FALSE)</f>
        <v>91.4</v>
      </c>
      <c r="F457">
        <f>VLOOKUP(A458,[1]timesData!$B:$P,5,FALSE)</f>
        <v>12.3</v>
      </c>
      <c r="G457">
        <f>VLOOKUP(A458,[1]timesData!$B:$P,6,FALSE)</f>
        <v>28.7</v>
      </c>
      <c r="H457">
        <f>VLOOKUP(A458,[1]timesData!$B:$P,7,FALSE)</f>
        <v>31.3</v>
      </c>
      <c r="I457" t="str">
        <f>VLOOKUP(A458,[1]timesData!$B:$P,8,FALSE)</f>
        <v>-</v>
      </c>
      <c r="J457">
        <f>VLOOKUP(A458,[1]timesData!$B:$P,9,FALSE)</f>
        <v>30333</v>
      </c>
      <c r="K457">
        <f>VLOOKUP(A458,[1]timesData!$B:$P,10,FALSE)</f>
        <v>17.100000000000001</v>
      </c>
      <c r="L457">
        <f>VLOOKUP(A458,[1]timesData!$B:$P,11,FALSE)</f>
        <v>0.38</v>
      </c>
      <c r="M457">
        <f>VLOOKUP(A458,[1]timesData!$B:$P,12,FALSE)</f>
        <v>2.2409722222222221</v>
      </c>
      <c r="N457">
        <f>VLOOKUP(A458,[1]timesData!$B:$P,13,FALSE)</f>
        <v>2012</v>
      </c>
      <c r="O457">
        <f>VLOOKUP(A457,[2]cwurData!$B:$P,14,FALSE)</f>
        <v>603</v>
      </c>
      <c r="P457">
        <f>VLOOKUP(A457,[2]cwurData!$B:$N, 3, FALSE)</f>
        <v>40</v>
      </c>
      <c r="Q457">
        <f>VLOOKUP(A457,[2]cwurData!$B:$N, 4, FALSE)</f>
        <v>355</v>
      </c>
      <c r="R457">
        <f>VLOOKUP(A457,[2]cwurData!$B:$N, 5, FALSE)</f>
        <v>478</v>
      </c>
      <c r="S457">
        <f>VLOOKUP(A457,[2]cwurData!$B:$N, 6, FALSE)</f>
        <v>210</v>
      </c>
      <c r="T457">
        <f>VLOOKUP(A457,[2]cwurData!$B:$N, 7, FALSE)</f>
        <v>574</v>
      </c>
      <c r="U457">
        <f>VLOOKUP(A457,[2]cwurData!$B:$N, 8, FALSE)</f>
        <v>707</v>
      </c>
      <c r="V457">
        <f>VLOOKUP(A457,[2]cwurData!$B:$N, 9, FALSE)</f>
        <v>609</v>
      </c>
      <c r="W457">
        <f>VLOOKUP(A457,[2]cwurData!$B:$N, 10, FALSE)</f>
        <v>585</v>
      </c>
      <c r="X457">
        <f>VLOOKUP(A457,[2]cwurData!$B:$N, 11, FALSE)</f>
        <v>227</v>
      </c>
      <c r="Y457">
        <f>VLOOKUP(A457,[2]cwurData!$B:$N, 12, FALSE)</f>
        <v>44.81</v>
      </c>
      <c r="Z457">
        <f>VLOOKUP(A457,[2]cwurData!$B:$N, 13, FALSE)</f>
        <v>2014</v>
      </c>
    </row>
    <row r="458" spans="1:26" x14ac:dyDescent="0.3">
      <c r="A458" t="s">
        <v>357</v>
      </c>
      <c r="B458" t="str">
        <f>IFERROR(VLOOKUP(A458,[1]timesData!$B:$P,2,FALSE),VLOOKUP(A458,[2]cwurData!$B:$P,2,FALSE))</f>
        <v>Australia</v>
      </c>
      <c r="C458" t="str">
        <f>VLOOKUP(A458,[1]timesData!$B:$P,3,FALSE)</f>
        <v>350-400</v>
      </c>
      <c r="D458" t="str">
        <f>VLOOKUP(A459,[1]timesData!$B:$P,3,FALSE)</f>
        <v>350-400</v>
      </c>
      <c r="E458">
        <f>VLOOKUP(A459,[1]timesData!$B:$P,4,FALSE)</f>
        <v>56.3</v>
      </c>
      <c r="F458">
        <f>VLOOKUP(A459,[1]timesData!$B:$P,5,FALSE)</f>
        <v>16.8</v>
      </c>
      <c r="G458">
        <f>VLOOKUP(A459,[1]timesData!$B:$P,6,FALSE)</f>
        <v>26.2</v>
      </c>
      <c r="H458">
        <f>VLOOKUP(A459,[1]timesData!$B:$P,7,FALSE)</f>
        <v>27.9</v>
      </c>
      <c r="I458" t="str">
        <f>VLOOKUP(A459,[1]timesData!$B:$P,8,FALSE)</f>
        <v>-</v>
      </c>
      <c r="J458">
        <f>VLOOKUP(A459,[1]timesData!$B:$P,9,FALSE)</f>
        <v>32713</v>
      </c>
      <c r="K458">
        <f>VLOOKUP(A459,[1]timesData!$B:$P,10,FALSE)</f>
        <v>30.4</v>
      </c>
      <c r="L458">
        <f>VLOOKUP(A459,[1]timesData!$B:$P,11,FALSE)</f>
        <v>0.17</v>
      </c>
      <c r="M458">
        <f>VLOOKUP(A459,[1]timesData!$B:$P,12,FALSE)</f>
        <v>2.5277777777777777</v>
      </c>
      <c r="N458">
        <f>VLOOKUP(A459,[1]timesData!$B:$P,13,FALSE)</f>
        <v>2012</v>
      </c>
      <c r="O458">
        <f>VLOOKUP(A458,[2]cwurData!$B:$P,14,FALSE)</f>
        <v>612</v>
      </c>
      <c r="P458">
        <f>VLOOKUP(A458,[2]cwurData!$B:$N, 3, FALSE)</f>
        <v>16</v>
      </c>
      <c r="Q458">
        <f>VLOOKUP(A458,[2]cwurData!$B:$N, 4, FALSE)</f>
        <v>355</v>
      </c>
      <c r="R458">
        <f>VLOOKUP(A458,[2]cwurData!$B:$N, 5, FALSE)</f>
        <v>478</v>
      </c>
      <c r="S458">
        <f>VLOOKUP(A458,[2]cwurData!$B:$N, 6, FALSE)</f>
        <v>210</v>
      </c>
      <c r="T458">
        <f>VLOOKUP(A458,[2]cwurData!$B:$N, 7, FALSE)</f>
        <v>462</v>
      </c>
      <c r="U458">
        <f>VLOOKUP(A458,[2]cwurData!$B:$N, 8, FALSE)</f>
        <v>389</v>
      </c>
      <c r="V458">
        <f>VLOOKUP(A458,[2]cwurData!$B:$N, 9, FALSE)</f>
        <v>406</v>
      </c>
      <c r="W458">
        <f>VLOOKUP(A458,[2]cwurData!$B:$N, 10, FALSE)</f>
        <v>543</v>
      </c>
      <c r="X458">
        <f>VLOOKUP(A458,[2]cwurData!$B:$N, 11, FALSE)</f>
        <v>426</v>
      </c>
      <c r="Y458">
        <f>VLOOKUP(A458,[2]cwurData!$B:$N, 12, FALSE)</f>
        <v>44.79</v>
      </c>
      <c r="Z458">
        <f>VLOOKUP(A458,[2]cwurData!$B:$N, 13, FALSE)</f>
        <v>2014</v>
      </c>
    </row>
    <row r="459" spans="1:26" x14ac:dyDescent="0.3">
      <c r="A459" t="s">
        <v>358</v>
      </c>
      <c r="B459" t="str">
        <f>IFERROR(VLOOKUP(A459,[1]timesData!$B:$P,2,FALSE),VLOOKUP(A459,[2]cwurData!$B:$P,2,FALSE))</f>
        <v>Australia</v>
      </c>
      <c r="C459" t="str">
        <f>VLOOKUP(A459,[1]timesData!$B:$P,3,FALSE)</f>
        <v>350-400</v>
      </c>
      <c r="D459" t="str">
        <f>VLOOKUP(A460,[1]timesData!$B:$P,3,FALSE)</f>
        <v>350-400</v>
      </c>
      <c r="E459">
        <f>VLOOKUP(A460,[1]timesData!$B:$P,4,FALSE)</f>
        <v>79</v>
      </c>
      <c r="F459">
        <f>VLOOKUP(A460,[1]timesData!$B:$P,5,FALSE)</f>
        <v>16.2</v>
      </c>
      <c r="G459">
        <f>VLOOKUP(A460,[1]timesData!$B:$P,6,FALSE)</f>
        <v>20.3</v>
      </c>
      <c r="H459">
        <f>VLOOKUP(A460,[1]timesData!$B:$P,7,FALSE)</f>
        <v>30.7</v>
      </c>
      <c r="I459" t="str">
        <f>VLOOKUP(A460,[1]timesData!$B:$P,8,FALSE)</f>
        <v>-</v>
      </c>
      <c r="J459">
        <f>VLOOKUP(A460,[1]timesData!$B:$P,9,FALSE)</f>
        <v>30251</v>
      </c>
      <c r="K459">
        <f>VLOOKUP(A460,[1]timesData!$B:$P,10,FALSE)</f>
        <v>22</v>
      </c>
      <c r="L459">
        <f>VLOOKUP(A460,[1]timesData!$B:$P,11,FALSE)</f>
        <v>0.21</v>
      </c>
      <c r="M459">
        <f>VLOOKUP(A460,[1]timesData!$B:$P,12,FALSE)</f>
        <v>0</v>
      </c>
      <c r="N459">
        <f>VLOOKUP(A460,[1]timesData!$B:$P,13,FALSE)</f>
        <v>2012</v>
      </c>
      <c r="O459">
        <f>VLOOKUP(A459,[2]cwurData!$B:$P,14,FALSE)</f>
        <v>613</v>
      </c>
      <c r="P459">
        <f>VLOOKUP(A459,[2]cwurData!$B:$N, 3, FALSE)</f>
        <v>17</v>
      </c>
      <c r="Q459">
        <f>VLOOKUP(A459,[2]cwurData!$B:$N, 4, FALSE)</f>
        <v>355</v>
      </c>
      <c r="R459">
        <f>VLOOKUP(A459,[2]cwurData!$B:$N, 5, FALSE)</f>
        <v>459</v>
      </c>
      <c r="S459">
        <f>VLOOKUP(A459,[2]cwurData!$B:$N, 6, FALSE)</f>
        <v>210</v>
      </c>
      <c r="T459">
        <f>VLOOKUP(A459,[2]cwurData!$B:$N, 7, FALSE)</f>
        <v>556</v>
      </c>
      <c r="U459">
        <f>VLOOKUP(A459,[2]cwurData!$B:$N, 8, FALSE)</f>
        <v>678</v>
      </c>
      <c r="V459">
        <f>VLOOKUP(A459,[2]cwurData!$B:$N, 9, FALSE)</f>
        <v>609</v>
      </c>
      <c r="W459">
        <f>VLOOKUP(A459,[2]cwurData!$B:$N, 10, FALSE)</f>
        <v>536</v>
      </c>
      <c r="X459">
        <f>VLOOKUP(A459,[2]cwurData!$B:$N, 11, FALSE)</f>
        <v>637</v>
      </c>
      <c r="Y459">
        <f>VLOOKUP(A459,[2]cwurData!$B:$N, 12, FALSE)</f>
        <v>44.79</v>
      </c>
      <c r="Z459">
        <f>VLOOKUP(A459,[2]cwurData!$B:$N, 13, FALSE)</f>
        <v>2014</v>
      </c>
    </row>
    <row r="460" spans="1:26" x14ac:dyDescent="0.3">
      <c r="A460" t="s">
        <v>361</v>
      </c>
      <c r="B460" t="str">
        <f>IFERROR(VLOOKUP(A460,[1]timesData!$B:$P,2,FALSE),VLOOKUP(A460,[2]cwurData!$B:$P,2,FALSE))</f>
        <v>Australia</v>
      </c>
      <c r="C460" t="str">
        <f>VLOOKUP(A460,[1]timesData!$B:$P,3,FALSE)</f>
        <v>350-400</v>
      </c>
      <c r="D460" t="str">
        <f>VLOOKUP(A461,[1]timesData!$B:$P,3,FALSE)</f>
        <v>350-400</v>
      </c>
      <c r="E460">
        <f>VLOOKUP(A461,[1]timesData!$B:$P,4,FALSE)</f>
        <v>77.8</v>
      </c>
      <c r="F460">
        <f>VLOOKUP(A461,[1]timesData!$B:$P,5,FALSE)</f>
        <v>17.2</v>
      </c>
      <c r="G460">
        <f>VLOOKUP(A461,[1]timesData!$B:$P,6,FALSE)</f>
        <v>24.5</v>
      </c>
      <c r="H460" t="str">
        <f>VLOOKUP(A461,[1]timesData!$B:$P,7,FALSE)</f>
        <v>-</v>
      </c>
      <c r="I460" t="str">
        <f>VLOOKUP(A461,[1]timesData!$B:$P,8,FALSE)</f>
        <v>-</v>
      </c>
      <c r="J460">
        <f>VLOOKUP(A461,[1]timesData!$B:$P,9,FALSE)</f>
        <v>19101</v>
      </c>
      <c r="K460">
        <f>VLOOKUP(A461,[1]timesData!$B:$P,10,FALSE)</f>
        <v>16.8</v>
      </c>
      <c r="L460">
        <f>VLOOKUP(A461,[1]timesData!$B:$P,11,FALSE)</f>
        <v>0.15</v>
      </c>
      <c r="M460">
        <f>VLOOKUP(A461,[1]timesData!$B:$P,12,FALSE)</f>
        <v>2.6097222222222221</v>
      </c>
      <c r="N460">
        <f>VLOOKUP(A461,[1]timesData!$B:$P,13,FALSE)</f>
        <v>2012</v>
      </c>
      <c r="O460">
        <f>VLOOKUP(A460,[2]cwurData!$B:$P,14,FALSE)</f>
        <v>625</v>
      </c>
      <c r="P460">
        <f>VLOOKUP(A460,[2]cwurData!$B:$N, 3, FALSE)</f>
        <v>18</v>
      </c>
      <c r="Q460">
        <f>VLOOKUP(A460,[2]cwurData!$B:$N, 4, FALSE)</f>
        <v>355</v>
      </c>
      <c r="R460">
        <f>VLOOKUP(A460,[2]cwurData!$B:$N, 5, FALSE)</f>
        <v>478</v>
      </c>
      <c r="S460">
        <f>VLOOKUP(A460,[2]cwurData!$B:$N, 6, FALSE)</f>
        <v>210</v>
      </c>
      <c r="T460">
        <f>VLOOKUP(A460,[2]cwurData!$B:$N, 7, FALSE)</f>
        <v>470</v>
      </c>
      <c r="U460">
        <f>VLOOKUP(A460,[2]cwurData!$B:$N, 8, FALSE)</f>
        <v>543</v>
      </c>
      <c r="V460">
        <f>VLOOKUP(A460,[2]cwurData!$B:$N, 9, FALSE)</f>
        <v>493</v>
      </c>
      <c r="W460">
        <f>VLOOKUP(A460,[2]cwurData!$B:$N, 10, FALSE)</f>
        <v>569</v>
      </c>
      <c r="X460">
        <f>VLOOKUP(A460,[2]cwurData!$B:$N, 11, FALSE)</f>
        <v>373</v>
      </c>
      <c r="Y460">
        <f>VLOOKUP(A460,[2]cwurData!$B:$N, 12, FALSE)</f>
        <v>44.76</v>
      </c>
      <c r="Z460">
        <f>VLOOKUP(A460,[2]cwurData!$B:$N, 13, FALSE)</f>
        <v>2014</v>
      </c>
    </row>
    <row r="461" spans="1:26" x14ac:dyDescent="0.3">
      <c r="A461" t="s">
        <v>373</v>
      </c>
      <c r="B461" t="str">
        <f>IFERROR(VLOOKUP(A461,[1]timesData!$B:$P,2,FALSE),VLOOKUP(A461,[2]cwurData!$B:$P,2,FALSE))</f>
        <v>New Zealand</v>
      </c>
      <c r="C461" t="str">
        <f>VLOOKUP(A461,[1]timesData!$B:$P,3,FALSE)</f>
        <v>350-400</v>
      </c>
      <c r="D461" t="str">
        <f>VLOOKUP(A462,[1]timesData!$B:$P,3,FALSE)</f>
        <v>350-400</v>
      </c>
      <c r="E461">
        <f>VLOOKUP(A462,[1]timesData!$B:$P,4,FALSE)</f>
        <v>71.3</v>
      </c>
      <c r="F461">
        <f>VLOOKUP(A462,[1]timesData!$B:$P,5,FALSE)</f>
        <v>19.5</v>
      </c>
      <c r="G461">
        <f>VLOOKUP(A462,[1]timesData!$B:$P,6,FALSE)</f>
        <v>13.6</v>
      </c>
      <c r="H461">
        <f>VLOOKUP(A462,[1]timesData!$B:$P,7,FALSE)</f>
        <v>28.9</v>
      </c>
      <c r="I461" t="str">
        <f>VLOOKUP(A462,[1]timesData!$B:$P,8,FALSE)</f>
        <v>-</v>
      </c>
      <c r="J461">
        <f>VLOOKUP(A462,[1]timesData!$B:$P,9,FALSE)</f>
        <v>22037</v>
      </c>
      <c r="K461">
        <f>VLOOKUP(A462,[1]timesData!$B:$P,10,FALSE)</f>
        <v>29</v>
      </c>
      <c r="L461">
        <f>VLOOKUP(A462,[1]timesData!$B:$P,11,FALSE)</f>
        <v>0.27</v>
      </c>
      <c r="M461">
        <f>VLOOKUP(A462,[1]timesData!$B:$P,12,FALSE)</f>
        <v>2.6506944444444445</v>
      </c>
      <c r="N461">
        <f>VLOOKUP(A462,[1]timesData!$B:$P,13,FALSE)</f>
        <v>2012</v>
      </c>
      <c r="O461">
        <f>VLOOKUP(A461,[2]cwurData!$B:$P,14,FALSE)</f>
        <v>628</v>
      </c>
      <c r="P461">
        <f>VLOOKUP(A461,[2]cwurData!$B:$N, 3, FALSE)</f>
        <v>5</v>
      </c>
      <c r="Q461">
        <f>VLOOKUP(A461,[2]cwurData!$B:$N, 4, FALSE)</f>
        <v>355</v>
      </c>
      <c r="R461">
        <f>VLOOKUP(A461,[2]cwurData!$B:$N, 5, FALSE)</f>
        <v>448</v>
      </c>
      <c r="S461">
        <f>VLOOKUP(A461,[2]cwurData!$B:$N, 6, FALSE)</f>
        <v>210</v>
      </c>
      <c r="T461">
        <f>VLOOKUP(A461,[2]cwurData!$B:$N, 7, FALSE)</f>
        <v>552</v>
      </c>
      <c r="U461">
        <f>VLOOKUP(A461,[2]cwurData!$B:$N, 8, FALSE)</f>
        <v>575</v>
      </c>
      <c r="V461">
        <f>VLOOKUP(A461,[2]cwurData!$B:$N, 9, FALSE)</f>
        <v>609</v>
      </c>
      <c r="W461">
        <f>VLOOKUP(A461,[2]cwurData!$B:$N, 10, FALSE)</f>
        <v>569</v>
      </c>
      <c r="X461">
        <f>VLOOKUP(A461,[2]cwurData!$B:$N, 11, FALSE)</f>
        <v>637</v>
      </c>
      <c r="Y461">
        <f>VLOOKUP(A461,[2]cwurData!$B:$N, 12, FALSE)</f>
        <v>44.75</v>
      </c>
      <c r="Z461">
        <f>VLOOKUP(A461,[2]cwurData!$B:$N, 13, FALSE)</f>
        <v>2014</v>
      </c>
    </row>
    <row r="462" spans="1:26" x14ac:dyDescent="0.3">
      <c r="A462" t="s">
        <v>368</v>
      </c>
      <c r="B462" t="str">
        <f>IFERROR(VLOOKUP(A462,[1]timesData!$B:$P,2,FALSE),VLOOKUP(A462,[2]cwurData!$B:$P,2,FALSE))</f>
        <v>Australia</v>
      </c>
      <c r="C462" t="str">
        <f>VLOOKUP(A462,[1]timesData!$B:$P,3,FALSE)</f>
        <v>350-400</v>
      </c>
      <c r="D462" t="str">
        <f>VLOOKUP(A463,[1]timesData!$B:$P,3,FALSE)</f>
        <v>350-400</v>
      </c>
      <c r="E462">
        <f>VLOOKUP(A463,[1]timesData!$B:$P,4,FALSE)</f>
        <v>27.4</v>
      </c>
      <c r="F462">
        <f>VLOOKUP(A463,[1]timesData!$B:$P,5,FALSE)</f>
        <v>16.2</v>
      </c>
      <c r="G462">
        <f>VLOOKUP(A463,[1]timesData!$B:$P,6,FALSE)</f>
        <v>24</v>
      </c>
      <c r="H462">
        <f>VLOOKUP(A463,[1]timesData!$B:$P,7,FALSE)</f>
        <v>25.5</v>
      </c>
      <c r="I462" t="str">
        <f>VLOOKUP(A463,[1]timesData!$B:$P,8,FALSE)</f>
        <v>-</v>
      </c>
      <c r="J462">
        <f>VLOOKUP(A463,[1]timesData!$B:$P,9,FALSE)</f>
        <v>11641</v>
      </c>
      <c r="K462">
        <f>VLOOKUP(A463,[1]timesData!$B:$P,10,FALSE)</f>
        <v>21.5</v>
      </c>
      <c r="L462">
        <f>VLOOKUP(A463,[1]timesData!$B:$P,11,FALSE)</f>
        <v>0.06</v>
      </c>
      <c r="M462">
        <f>VLOOKUP(A463,[1]timesData!$B:$P,12,FALSE)</f>
        <v>1.9951388888888888</v>
      </c>
      <c r="N462">
        <f>VLOOKUP(A463,[1]timesData!$B:$P,13,FALSE)</f>
        <v>2012</v>
      </c>
      <c r="O462">
        <f>VLOOKUP(A462,[2]cwurData!$B:$P,14,FALSE)</f>
        <v>636</v>
      </c>
      <c r="P462">
        <f>VLOOKUP(A462,[2]cwurData!$B:$N, 3, FALSE)</f>
        <v>19</v>
      </c>
      <c r="Q462">
        <f>VLOOKUP(A462,[2]cwurData!$B:$N, 4, FALSE)</f>
        <v>355</v>
      </c>
      <c r="R462">
        <f>VLOOKUP(A462,[2]cwurData!$B:$N, 5, FALSE)</f>
        <v>439</v>
      </c>
      <c r="S462">
        <f>VLOOKUP(A462,[2]cwurData!$B:$N, 6, FALSE)</f>
        <v>210</v>
      </c>
      <c r="T462">
        <f>VLOOKUP(A462,[2]cwurData!$B:$N, 7, FALSE)</f>
        <v>559</v>
      </c>
      <c r="U462">
        <f>VLOOKUP(A462,[2]cwurData!$B:$N, 8, FALSE)</f>
        <v>446</v>
      </c>
      <c r="V462">
        <f>VLOOKUP(A462,[2]cwurData!$B:$N, 9, FALSE)</f>
        <v>800</v>
      </c>
      <c r="W462">
        <f>VLOOKUP(A462,[2]cwurData!$B:$N, 10, FALSE)</f>
        <v>585</v>
      </c>
      <c r="X462">
        <f>VLOOKUP(A462,[2]cwurData!$B:$N, 11, FALSE)</f>
        <v>737</v>
      </c>
      <c r="Y462">
        <f>VLOOKUP(A462,[2]cwurData!$B:$N, 12, FALSE)</f>
        <v>44.73</v>
      </c>
      <c r="Z462">
        <f>VLOOKUP(A462,[2]cwurData!$B:$N, 13, FALSE)</f>
        <v>2014</v>
      </c>
    </row>
    <row r="463" spans="1:26" x14ac:dyDescent="0.3">
      <c r="A463" t="s">
        <v>392</v>
      </c>
      <c r="B463" t="str">
        <f>IFERROR(VLOOKUP(A463,[1]timesData!$B:$P,2,FALSE),VLOOKUP(A463,[2]cwurData!$B:$P,2,FALSE))</f>
        <v>United States of America</v>
      </c>
      <c r="C463" t="str">
        <f>VLOOKUP(A463,[1]timesData!$B:$P,3,FALSE)</f>
        <v>350-400</v>
      </c>
      <c r="D463" t="str">
        <f>VLOOKUP(A464,[1]timesData!$B:$P,3,FALSE)</f>
        <v>350-400</v>
      </c>
      <c r="E463">
        <f>VLOOKUP(A464,[1]timesData!$B:$P,4,FALSE)</f>
        <v>41.3</v>
      </c>
      <c r="F463">
        <f>VLOOKUP(A464,[1]timesData!$B:$P,5,FALSE)</f>
        <v>14.5</v>
      </c>
      <c r="G463">
        <f>VLOOKUP(A464,[1]timesData!$B:$P,6,FALSE)</f>
        <v>26.4</v>
      </c>
      <c r="H463">
        <f>VLOOKUP(A464,[1]timesData!$B:$P,7,FALSE)</f>
        <v>37.5</v>
      </c>
      <c r="I463" t="str">
        <f>VLOOKUP(A464,[1]timesData!$B:$P,8,FALSE)</f>
        <v>-</v>
      </c>
      <c r="J463">
        <f>VLOOKUP(A464,[1]timesData!$B:$P,9,FALSE)</f>
        <v>10646</v>
      </c>
      <c r="K463">
        <f>VLOOKUP(A464,[1]timesData!$B:$P,10,FALSE)</f>
        <v>26.2</v>
      </c>
      <c r="L463">
        <f>VLOOKUP(A464,[1]timesData!$B:$P,11,FALSE)</f>
        <v>0.17</v>
      </c>
      <c r="M463" t="str">
        <f>VLOOKUP(A464,[1]timesData!$B:$P,12,FALSE)</f>
        <v>25 : 75</v>
      </c>
      <c r="N463">
        <f>VLOOKUP(A464,[1]timesData!$B:$P,13,FALSE)</f>
        <v>2012</v>
      </c>
      <c r="O463">
        <f>VLOOKUP(A463,[2]cwurData!$B:$P,14,FALSE)</f>
        <v>638</v>
      </c>
      <c r="P463">
        <f>VLOOKUP(A463,[2]cwurData!$B:$N, 3, FALSE)</f>
        <v>184</v>
      </c>
      <c r="Q463">
        <f>VLOOKUP(A463,[2]cwurData!$B:$N, 4, FALSE)</f>
        <v>355</v>
      </c>
      <c r="R463">
        <f>VLOOKUP(A463,[2]cwurData!$B:$N, 5, FALSE)</f>
        <v>478</v>
      </c>
      <c r="S463">
        <f>VLOOKUP(A463,[2]cwurData!$B:$N, 6, FALSE)</f>
        <v>210</v>
      </c>
      <c r="T463">
        <f>VLOOKUP(A463,[2]cwurData!$B:$N, 7, FALSE)</f>
        <v>640</v>
      </c>
      <c r="U463">
        <f>VLOOKUP(A463,[2]cwurData!$B:$N, 8, FALSE)</f>
        <v>399</v>
      </c>
      <c r="V463">
        <f>VLOOKUP(A463,[2]cwurData!$B:$N, 9, FALSE)</f>
        <v>406</v>
      </c>
      <c r="W463">
        <f>VLOOKUP(A463,[2]cwurData!$B:$N, 10, FALSE)</f>
        <v>569</v>
      </c>
      <c r="X463">
        <f>VLOOKUP(A463,[2]cwurData!$B:$N, 11, FALSE)</f>
        <v>373</v>
      </c>
      <c r="Y463">
        <f>VLOOKUP(A463,[2]cwurData!$B:$N, 12, FALSE)</f>
        <v>44.73</v>
      </c>
      <c r="Z463">
        <f>VLOOKUP(A463,[2]cwurData!$B:$N, 13, FALSE)</f>
        <v>2014</v>
      </c>
    </row>
    <row r="464" spans="1:26" x14ac:dyDescent="0.3">
      <c r="A464" t="s">
        <v>379</v>
      </c>
      <c r="B464" t="str">
        <f>IFERROR(VLOOKUP(A464,[1]timesData!$B:$P,2,FALSE),VLOOKUP(A464,[2]cwurData!$B:$P,2,FALSE))</f>
        <v>United States of America</v>
      </c>
      <c r="C464" t="str">
        <f>VLOOKUP(A464,[1]timesData!$B:$P,3,FALSE)</f>
        <v>350-400</v>
      </c>
      <c r="D464" t="str">
        <f>VLOOKUP(A465,[1]timesData!$B:$P,3,FALSE)</f>
        <v>350-400</v>
      </c>
      <c r="E464">
        <f>VLOOKUP(A465,[1]timesData!$B:$P,4,FALSE)</f>
        <v>27.3</v>
      </c>
      <c r="F464">
        <f>VLOOKUP(A465,[1]timesData!$B:$P,5,FALSE)</f>
        <v>12.5</v>
      </c>
      <c r="G464">
        <f>VLOOKUP(A465,[1]timesData!$B:$P,6,FALSE)</f>
        <v>46.9</v>
      </c>
      <c r="H464" t="str">
        <f>VLOOKUP(A465,[1]timesData!$B:$P,7,FALSE)</f>
        <v>-</v>
      </c>
      <c r="I464" t="str">
        <f>VLOOKUP(A465,[1]timesData!$B:$P,8,FALSE)</f>
        <v>-</v>
      </c>
      <c r="J464">
        <f>VLOOKUP(A465,[1]timesData!$B:$P,9,FALSE)</f>
        <v>0</v>
      </c>
      <c r="K464">
        <f>VLOOKUP(A465,[1]timesData!$B:$P,10,FALSE)</f>
        <v>0</v>
      </c>
      <c r="L464">
        <f>VLOOKUP(A465,[1]timesData!$B:$P,11,FALSE)</f>
        <v>0</v>
      </c>
      <c r="M464">
        <f>VLOOKUP(A465,[1]timesData!$B:$P,12,FALSE)</f>
        <v>0</v>
      </c>
      <c r="N464">
        <f>VLOOKUP(A465,[1]timesData!$B:$P,13,FALSE)</f>
        <v>2012</v>
      </c>
      <c r="O464">
        <f>VLOOKUP(A464,[2]cwurData!$B:$P,14,FALSE)</f>
        <v>661</v>
      </c>
      <c r="P464">
        <f>VLOOKUP(A464,[2]cwurData!$B:$N, 3, FALSE)</f>
        <v>190</v>
      </c>
      <c r="Q464">
        <f>VLOOKUP(A464,[2]cwurData!$B:$N, 4, FALSE)</f>
        <v>235</v>
      </c>
      <c r="R464">
        <f>VLOOKUP(A464,[2]cwurData!$B:$N, 5, FALSE)</f>
        <v>326</v>
      </c>
      <c r="S464">
        <f>VLOOKUP(A464,[2]cwurData!$B:$N, 6, FALSE)</f>
        <v>210</v>
      </c>
      <c r="T464">
        <f>VLOOKUP(A464,[2]cwurData!$B:$N, 7, FALSE)</f>
        <v>745</v>
      </c>
      <c r="U464">
        <f>VLOOKUP(A464,[2]cwurData!$B:$N, 8, FALSE)</f>
        <v>654</v>
      </c>
      <c r="V464">
        <f>VLOOKUP(A464,[2]cwurData!$B:$N, 9, FALSE)</f>
        <v>800</v>
      </c>
      <c r="W464">
        <f>VLOOKUP(A464,[2]cwurData!$B:$N, 10, FALSE)</f>
        <v>703</v>
      </c>
      <c r="X464">
        <f>VLOOKUP(A464,[2]cwurData!$B:$N, 11, FALSE)</f>
        <v>426</v>
      </c>
      <c r="Y464">
        <f>VLOOKUP(A464,[2]cwurData!$B:$N, 12, FALSE)</f>
        <v>44.69</v>
      </c>
      <c r="Z464">
        <f>VLOOKUP(A464,[2]cwurData!$B:$N, 13, FALSE)</f>
        <v>2014</v>
      </c>
    </row>
    <row r="465" spans="1:26" x14ac:dyDescent="0.3">
      <c r="A465" t="s">
        <v>381</v>
      </c>
      <c r="B465" t="str">
        <f>IFERROR(VLOOKUP(A465,[1]timesData!$B:$P,2,FALSE),VLOOKUP(A465,[2]cwurData!$B:$P,2,FALSE))</f>
        <v>United States of America</v>
      </c>
      <c r="C465" t="str">
        <f>VLOOKUP(A465,[1]timesData!$B:$P,3,FALSE)</f>
        <v>350-400</v>
      </c>
      <c r="D465" t="str">
        <f>VLOOKUP(A466,[1]timesData!$B:$P,3,FALSE)</f>
        <v>350-400</v>
      </c>
      <c r="E465">
        <f>VLOOKUP(A466,[1]timesData!$B:$P,4,FALSE)</f>
        <v>82.5</v>
      </c>
      <c r="F465">
        <f>VLOOKUP(A466,[1]timesData!$B:$P,5,FALSE)</f>
        <v>18.5</v>
      </c>
      <c r="G465">
        <f>VLOOKUP(A466,[1]timesData!$B:$P,6,FALSE)</f>
        <v>19.100000000000001</v>
      </c>
      <c r="H465">
        <f>VLOOKUP(A466,[1]timesData!$B:$P,7,FALSE)</f>
        <v>26.5</v>
      </c>
      <c r="I465" t="str">
        <f>VLOOKUP(A466,[1]timesData!$B:$P,8,FALSE)</f>
        <v>-</v>
      </c>
      <c r="J465">
        <f>VLOOKUP(A466,[1]timesData!$B:$P,9,FALSE)</f>
        <v>17638</v>
      </c>
      <c r="K465">
        <f>VLOOKUP(A466,[1]timesData!$B:$P,10,FALSE)</f>
        <v>14.4</v>
      </c>
      <c r="L465">
        <f>VLOOKUP(A466,[1]timesData!$B:$P,11,FALSE)</f>
        <v>0.27</v>
      </c>
      <c r="M465">
        <f>VLOOKUP(A466,[1]timesData!$B:$P,12,FALSE)</f>
        <v>2.2409722222222221</v>
      </c>
      <c r="N465">
        <f>VLOOKUP(A466,[1]timesData!$B:$P,13,FALSE)</f>
        <v>2012</v>
      </c>
      <c r="O465">
        <f>VLOOKUP(A465,[2]cwurData!$B:$P,14,FALSE)</f>
        <v>675</v>
      </c>
      <c r="P465">
        <f>VLOOKUP(A465,[2]cwurData!$B:$N, 3, FALSE)</f>
        <v>194</v>
      </c>
      <c r="Q465">
        <f>VLOOKUP(A465,[2]cwurData!$B:$N, 4, FALSE)</f>
        <v>355</v>
      </c>
      <c r="R465">
        <f>VLOOKUP(A465,[2]cwurData!$B:$N, 5, FALSE)</f>
        <v>478</v>
      </c>
      <c r="S465">
        <f>VLOOKUP(A465,[2]cwurData!$B:$N, 6, FALSE)</f>
        <v>210</v>
      </c>
      <c r="T465">
        <f>VLOOKUP(A465,[2]cwurData!$B:$N, 7, FALSE)</f>
        <v>717</v>
      </c>
      <c r="U465">
        <f>VLOOKUP(A465,[2]cwurData!$B:$N, 8, FALSE)</f>
        <v>622</v>
      </c>
      <c r="V465">
        <f>VLOOKUP(A465,[2]cwurData!$B:$N, 9, FALSE)</f>
        <v>406</v>
      </c>
      <c r="W465">
        <f>VLOOKUP(A465,[2]cwurData!$B:$N, 10, FALSE)</f>
        <v>596</v>
      </c>
      <c r="X465">
        <f>VLOOKUP(A465,[2]cwurData!$B:$N, 11, FALSE)</f>
        <v>426</v>
      </c>
      <c r="Y465">
        <f>VLOOKUP(A465,[2]cwurData!$B:$N, 12, FALSE)</f>
        <v>44.68</v>
      </c>
      <c r="Z465">
        <f>VLOOKUP(A465,[2]cwurData!$B:$N, 13, FALSE)</f>
        <v>2014</v>
      </c>
    </row>
    <row r="466" spans="1:26" x14ac:dyDescent="0.3">
      <c r="A466" t="s">
        <v>393</v>
      </c>
      <c r="B466" t="str">
        <f>IFERROR(VLOOKUP(A466,[1]timesData!$B:$P,2,FALSE),VLOOKUP(A466,[2]cwurData!$B:$P,2,FALSE))</f>
        <v>United Kingdom</v>
      </c>
      <c r="C466" t="str">
        <f>VLOOKUP(A466,[1]timesData!$B:$P,3,FALSE)</f>
        <v>350-400</v>
      </c>
      <c r="D466" t="str">
        <f>VLOOKUP(A467,[1]timesData!$B:$P,3,FALSE)</f>
        <v>350-400</v>
      </c>
      <c r="E466">
        <f>VLOOKUP(A467,[1]timesData!$B:$P,4,FALSE)</f>
        <v>63.3</v>
      </c>
      <c r="F466">
        <f>VLOOKUP(A467,[1]timesData!$B:$P,5,FALSE)</f>
        <v>18.100000000000001</v>
      </c>
      <c r="G466">
        <f>VLOOKUP(A467,[1]timesData!$B:$P,6,FALSE)</f>
        <v>25.6</v>
      </c>
      <c r="H466">
        <f>VLOOKUP(A467,[1]timesData!$B:$P,7,FALSE)</f>
        <v>28.8</v>
      </c>
      <c r="I466" t="str">
        <f>VLOOKUP(A467,[1]timesData!$B:$P,8,FALSE)</f>
        <v>-</v>
      </c>
      <c r="J466">
        <f>VLOOKUP(A467,[1]timesData!$B:$P,9,FALSE)</f>
        <v>12801</v>
      </c>
      <c r="K466">
        <f>VLOOKUP(A467,[1]timesData!$B:$P,10,FALSE)</f>
        <v>17.100000000000001</v>
      </c>
      <c r="L466">
        <f>VLOOKUP(A467,[1]timesData!$B:$P,11,FALSE)</f>
        <v>0.2</v>
      </c>
      <c r="M466">
        <f>VLOOKUP(A467,[1]timesData!$B:$P,12,FALSE)</f>
        <v>2.0770833333333334</v>
      </c>
      <c r="N466">
        <f>VLOOKUP(A467,[1]timesData!$B:$P,13,FALSE)</f>
        <v>2012</v>
      </c>
      <c r="O466">
        <f>VLOOKUP(A466,[2]cwurData!$B:$P,14,FALSE)</f>
        <v>693</v>
      </c>
      <c r="P466">
        <f>VLOOKUP(A466,[2]cwurData!$B:$N, 3, FALSE)</f>
        <v>51</v>
      </c>
      <c r="Q466">
        <f>VLOOKUP(A466,[2]cwurData!$B:$N, 4, FALSE)</f>
        <v>355</v>
      </c>
      <c r="R466">
        <f>VLOOKUP(A466,[2]cwurData!$B:$N, 5, FALSE)</f>
        <v>375</v>
      </c>
      <c r="S466">
        <f>VLOOKUP(A466,[2]cwurData!$B:$N, 6, FALSE)</f>
        <v>210</v>
      </c>
      <c r="T466">
        <f>VLOOKUP(A466,[2]cwurData!$B:$N, 7, FALSE)</f>
        <v>656</v>
      </c>
      <c r="U466">
        <f>VLOOKUP(A466,[2]cwurData!$B:$N, 8, FALSE)</f>
        <v>458</v>
      </c>
      <c r="V466">
        <f>VLOOKUP(A466,[2]cwurData!$B:$N, 9, FALSE)</f>
        <v>609</v>
      </c>
      <c r="W466">
        <f>VLOOKUP(A466,[2]cwurData!$B:$N, 10, FALSE)</f>
        <v>663</v>
      </c>
      <c r="X466">
        <f>VLOOKUP(A466,[2]cwurData!$B:$N, 11, FALSE)</f>
        <v>737</v>
      </c>
      <c r="Y466">
        <f>VLOOKUP(A466,[2]cwurData!$B:$N, 12, FALSE)</f>
        <v>44.65</v>
      </c>
      <c r="Z466">
        <f>VLOOKUP(A466,[2]cwurData!$B:$N, 13, FALSE)</f>
        <v>2014</v>
      </c>
    </row>
    <row r="467" spans="1:26" x14ac:dyDescent="0.3">
      <c r="A467" t="s">
        <v>387</v>
      </c>
      <c r="B467" t="str">
        <f>IFERROR(VLOOKUP(A467,[1]timesData!$B:$P,2,FALSE),VLOOKUP(A467,[2]cwurData!$B:$P,2,FALSE))</f>
        <v>United Kingdom</v>
      </c>
      <c r="C467" t="str">
        <f>VLOOKUP(A467,[1]timesData!$B:$P,3,FALSE)</f>
        <v>350-400</v>
      </c>
      <c r="D467" t="str">
        <f>VLOOKUP(A468,[1]timesData!$B:$P,3,FALSE)</f>
        <v>350-400</v>
      </c>
      <c r="E467">
        <f>VLOOKUP(A468,[1]timesData!$B:$P,4,FALSE)</f>
        <v>82.6</v>
      </c>
      <c r="F467">
        <f>VLOOKUP(A468,[1]timesData!$B:$P,5,FALSE)</f>
        <v>16.2</v>
      </c>
      <c r="G467">
        <f>VLOOKUP(A468,[1]timesData!$B:$P,6,FALSE)</f>
        <v>18.8</v>
      </c>
      <c r="H467">
        <f>VLOOKUP(A468,[1]timesData!$B:$P,7,FALSE)</f>
        <v>41.1</v>
      </c>
      <c r="I467" t="str">
        <f>VLOOKUP(A468,[1]timesData!$B:$P,8,FALSE)</f>
        <v>-</v>
      </c>
      <c r="J467">
        <f>VLOOKUP(A468,[1]timesData!$B:$P,9,FALSE)</f>
        <v>8773</v>
      </c>
      <c r="K467">
        <f>VLOOKUP(A468,[1]timesData!$B:$P,10,FALSE)</f>
        <v>17.8</v>
      </c>
      <c r="L467">
        <f>VLOOKUP(A468,[1]timesData!$B:$P,11,FALSE)</f>
        <v>0.43</v>
      </c>
      <c r="M467">
        <f>VLOOKUP(A468,[1]timesData!$B:$P,12,FALSE)</f>
        <v>1.7493055555555554</v>
      </c>
      <c r="N467">
        <f>VLOOKUP(A468,[1]timesData!$B:$P,13,FALSE)</f>
        <v>2012</v>
      </c>
      <c r="O467">
        <f>VLOOKUP(A467,[2]cwurData!$B:$P,14,FALSE)</f>
        <v>699</v>
      </c>
      <c r="P467">
        <f>VLOOKUP(A467,[2]cwurData!$B:$N, 3, FALSE)</f>
        <v>52</v>
      </c>
      <c r="Q467">
        <f>VLOOKUP(A467,[2]cwurData!$B:$N, 4, FALSE)</f>
        <v>355</v>
      </c>
      <c r="R467">
        <f>VLOOKUP(A467,[2]cwurData!$B:$N, 5, FALSE)</f>
        <v>355</v>
      </c>
      <c r="S467">
        <f>VLOOKUP(A467,[2]cwurData!$B:$N, 6, FALSE)</f>
        <v>210</v>
      </c>
      <c r="T467">
        <f>VLOOKUP(A467,[2]cwurData!$B:$N, 7, FALSE)</f>
        <v>533</v>
      </c>
      <c r="U467">
        <f>VLOOKUP(A467,[2]cwurData!$B:$N, 8, FALSE)</f>
        <v>544</v>
      </c>
      <c r="V467">
        <f>VLOOKUP(A467,[2]cwurData!$B:$N, 9, FALSE)</f>
        <v>609</v>
      </c>
      <c r="W467">
        <f>VLOOKUP(A467,[2]cwurData!$B:$N, 10, FALSE)</f>
        <v>703</v>
      </c>
      <c r="X467">
        <f>VLOOKUP(A467,[2]cwurData!$B:$N, 11, FALSE)</f>
        <v>552</v>
      </c>
      <c r="Y467">
        <f>VLOOKUP(A467,[2]cwurData!$B:$N, 12, FALSE)</f>
        <v>44.65</v>
      </c>
      <c r="Z467">
        <f>VLOOKUP(A467,[2]cwurData!$B:$N, 13, FALSE)</f>
        <v>2014</v>
      </c>
    </row>
    <row r="468" spans="1:26" x14ac:dyDescent="0.3">
      <c r="A468" t="s">
        <v>363</v>
      </c>
      <c r="B468" t="str">
        <f>IFERROR(VLOOKUP(A468,[1]timesData!$B:$P,2,FALSE),VLOOKUP(A468,[2]cwurData!$B:$P,2,FALSE))</f>
        <v>United Kingdom</v>
      </c>
      <c r="C468" t="str">
        <f>VLOOKUP(A468,[1]timesData!$B:$P,3,FALSE)</f>
        <v>350-400</v>
      </c>
      <c r="D468" t="str">
        <f>VLOOKUP(A469,[1]timesData!$B:$P,3,FALSE)</f>
        <v>350-400</v>
      </c>
      <c r="E468">
        <f>VLOOKUP(A469,[1]timesData!$B:$P,4,FALSE)</f>
        <v>66.7</v>
      </c>
      <c r="F468">
        <f>VLOOKUP(A469,[1]timesData!$B:$P,5,FALSE)</f>
        <v>25.7</v>
      </c>
      <c r="G468">
        <f>VLOOKUP(A469,[1]timesData!$B:$P,6,FALSE)</f>
        <v>9.1999999999999993</v>
      </c>
      <c r="H468">
        <f>VLOOKUP(A469,[1]timesData!$B:$P,7,FALSE)</f>
        <v>39.4</v>
      </c>
      <c r="I468" t="str">
        <f>VLOOKUP(A469,[1]timesData!$B:$P,8,FALSE)</f>
        <v>-</v>
      </c>
      <c r="J468">
        <f>VLOOKUP(A469,[1]timesData!$B:$P,9,FALSE)</f>
        <v>13951</v>
      </c>
      <c r="K468">
        <f>VLOOKUP(A469,[1]timesData!$B:$P,10,FALSE)</f>
        <v>15.9</v>
      </c>
      <c r="L468">
        <f>VLOOKUP(A469,[1]timesData!$B:$P,11,FALSE)</f>
        <v>0.22</v>
      </c>
      <c r="M468" t="str">
        <f>VLOOKUP(A469,[1]timesData!$B:$P,12,FALSE)</f>
        <v>38 : 62</v>
      </c>
      <c r="N468">
        <f>VLOOKUP(A469,[1]timesData!$B:$P,13,FALSE)</f>
        <v>2012</v>
      </c>
      <c r="O468">
        <f>VLOOKUP(A468,[2]cwurData!$B:$P,14,FALSE)</f>
        <v>703</v>
      </c>
      <c r="P468">
        <f>VLOOKUP(A468,[2]cwurData!$B:$N, 3, FALSE)</f>
        <v>53</v>
      </c>
      <c r="Q468">
        <f>VLOOKUP(A468,[2]cwurData!$B:$N, 4, FALSE)</f>
        <v>355</v>
      </c>
      <c r="R468">
        <f>VLOOKUP(A468,[2]cwurData!$B:$N, 5, FALSE)</f>
        <v>381</v>
      </c>
      <c r="S468">
        <f>VLOOKUP(A468,[2]cwurData!$B:$N, 6, FALSE)</f>
        <v>210</v>
      </c>
      <c r="T468">
        <f>VLOOKUP(A468,[2]cwurData!$B:$N, 7, FALSE)</f>
        <v>602</v>
      </c>
      <c r="U468">
        <f>VLOOKUP(A468,[2]cwurData!$B:$N, 8, FALSE)</f>
        <v>601</v>
      </c>
      <c r="V468">
        <f>VLOOKUP(A468,[2]cwurData!$B:$N, 9, FALSE)</f>
        <v>609</v>
      </c>
      <c r="W468">
        <f>VLOOKUP(A468,[2]cwurData!$B:$N, 10, FALSE)</f>
        <v>690</v>
      </c>
      <c r="X468">
        <f>VLOOKUP(A468,[2]cwurData!$B:$N, 11, FALSE)</f>
        <v>552</v>
      </c>
      <c r="Y468">
        <f>VLOOKUP(A468,[2]cwurData!$B:$N, 12, FALSE)</f>
        <v>44.64</v>
      </c>
      <c r="Z468">
        <f>VLOOKUP(A468,[2]cwurData!$B:$N, 13, FALSE)</f>
        <v>2014</v>
      </c>
    </row>
    <row r="469" spans="1:26" x14ac:dyDescent="0.3">
      <c r="A469" t="s">
        <v>371</v>
      </c>
      <c r="B469" t="str">
        <f>IFERROR(VLOOKUP(A469,[1]timesData!$B:$P,2,FALSE),VLOOKUP(A469,[2]cwurData!$B:$P,2,FALSE))</f>
        <v>United Kingdom</v>
      </c>
      <c r="C469" t="str">
        <f>VLOOKUP(A469,[1]timesData!$B:$P,3,FALSE)</f>
        <v>350-400</v>
      </c>
      <c r="D469" t="str">
        <f>VLOOKUP(A470,[1]timesData!$B:$P,3,FALSE)</f>
        <v>350-400</v>
      </c>
      <c r="E469">
        <f>VLOOKUP(A470,[1]timesData!$B:$P,4,FALSE)</f>
        <v>84.5</v>
      </c>
      <c r="F469">
        <f>VLOOKUP(A470,[1]timesData!$B:$P,5,FALSE)</f>
        <v>19.899999999999999</v>
      </c>
      <c r="G469">
        <f>VLOOKUP(A470,[1]timesData!$B:$P,6,FALSE)</f>
        <v>11.7</v>
      </c>
      <c r="H469">
        <f>VLOOKUP(A470,[1]timesData!$B:$P,7,FALSE)</f>
        <v>26.8</v>
      </c>
      <c r="I469" t="str">
        <f>VLOOKUP(A470,[1]timesData!$B:$P,8,FALSE)</f>
        <v>-</v>
      </c>
      <c r="J469">
        <f>VLOOKUP(A470,[1]timesData!$B:$P,9,FALSE)</f>
        <v>0</v>
      </c>
      <c r="K469">
        <f>VLOOKUP(A470,[1]timesData!$B:$P,10,FALSE)</f>
        <v>0</v>
      </c>
      <c r="L469">
        <f>VLOOKUP(A470,[1]timesData!$B:$P,11,FALSE)</f>
        <v>0</v>
      </c>
      <c r="M469">
        <f>VLOOKUP(A470,[1]timesData!$B:$P,12,FALSE)</f>
        <v>0</v>
      </c>
      <c r="N469">
        <f>VLOOKUP(A470,[1]timesData!$B:$P,13,FALSE)</f>
        <v>2012</v>
      </c>
      <c r="O469">
        <f>VLOOKUP(A469,[2]cwurData!$B:$P,14,FALSE)</f>
        <v>705</v>
      </c>
      <c r="P469">
        <f>VLOOKUP(A469,[2]cwurData!$B:$N, 3, FALSE)</f>
        <v>54</v>
      </c>
      <c r="Q469">
        <f>VLOOKUP(A469,[2]cwurData!$B:$N, 4, FALSE)</f>
        <v>355</v>
      </c>
      <c r="R469">
        <f>VLOOKUP(A469,[2]cwurData!$B:$N, 5, FALSE)</f>
        <v>478</v>
      </c>
      <c r="S469">
        <f>VLOOKUP(A469,[2]cwurData!$B:$N, 6, FALSE)</f>
        <v>210</v>
      </c>
      <c r="T469">
        <f>VLOOKUP(A469,[2]cwurData!$B:$N, 7, FALSE)</f>
        <v>497</v>
      </c>
      <c r="U469">
        <f>VLOOKUP(A469,[2]cwurData!$B:$N, 8, FALSE)</f>
        <v>778</v>
      </c>
      <c r="V469">
        <f>VLOOKUP(A469,[2]cwurData!$B:$N, 9, FALSE)</f>
        <v>609</v>
      </c>
      <c r="W469">
        <f>VLOOKUP(A469,[2]cwurData!$B:$N, 10, FALSE)</f>
        <v>628</v>
      </c>
      <c r="X469">
        <f>VLOOKUP(A469,[2]cwurData!$B:$N, 11, FALSE)</f>
        <v>637</v>
      </c>
      <c r="Y469">
        <f>VLOOKUP(A469,[2]cwurData!$B:$N, 12, FALSE)</f>
        <v>44.63</v>
      </c>
      <c r="Z469">
        <f>VLOOKUP(A469,[2]cwurData!$B:$N, 13, FALSE)</f>
        <v>2014</v>
      </c>
    </row>
    <row r="470" spans="1:26" x14ac:dyDescent="0.3">
      <c r="A470" t="s">
        <v>354</v>
      </c>
      <c r="B470" t="str">
        <f>IFERROR(VLOOKUP(A470,[1]timesData!$B:$P,2,FALSE),VLOOKUP(A470,[2]cwurData!$B:$P,2,FALSE))</f>
        <v>United Kingdom</v>
      </c>
      <c r="C470" t="str">
        <f>VLOOKUP(A470,[1]timesData!$B:$P,3,FALSE)</f>
        <v>350-400</v>
      </c>
      <c r="D470" t="str">
        <f>VLOOKUP(A471,[1]timesData!$B:$P,3,FALSE)</f>
        <v>350-400</v>
      </c>
      <c r="E470">
        <f>VLOOKUP(A471,[1]timesData!$B:$P,4,FALSE)</f>
        <v>81.8</v>
      </c>
      <c r="F470">
        <f>VLOOKUP(A471,[1]timesData!$B:$P,5,FALSE)</f>
        <v>18</v>
      </c>
      <c r="G470">
        <f>VLOOKUP(A471,[1]timesData!$B:$P,6,FALSE)</f>
        <v>19.399999999999999</v>
      </c>
      <c r="H470">
        <f>VLOOKUP(A471,[1]timesData!$B:$P,7,FALSE)</f>
        <v>87.7</v>
      </c>
      <c r="I470" t="str">
        <f>VLOOKUP(A471,[1]timesData!$B:$P,8,FALSE)</f>
        <v>-</v>
      </c>
      <c r="J470">
        <f>VLOOKUP(A471,[1]timesData!$B:$P,9,FALSE)</f>
        <v>18971</v>
      </c>
      <c r="K470">
        <f>VLOOKUP(A471,[1]timesData!$B:$P,10,FALSE)</f>
        <v>26.2</v>
      </c>
      <c r="L470">
        <f>VLOOKUP(A471,[1]timesData!$B:$P,11,FALSE)</f>
        <v>0.32</v>
      </c>
      <c r="M470">
        <f>VLOOKUP(A471,[1]timesData!$B:$P,12,FALSE)</f>
        <v>2.4868055555555557</v>
      </c>
      <c r="N470">
        <f>VLOOKUP(A471,[1]timesData!$B:$P,13,FALSE)</f>
        <v>2012</v>
      </c>
      <c r="O470">
        <f>VLOOKUP(A470,[2]cwurData!$B:$P,14,FALSE)</f>
        <v>707</v>
      </c>
      <c r="P470">
        <f>VLOOKUP(A470,[2]cwurData!$B:$N, 3, FALSE)</f>
        <v>55</v>
      </c>
      <c r="Q470">
        <f>VLOOKUP(A470,[2]cwurData!$B:$N, 4, FALSE)</f>
        <v>355</v>
      </c>
      <c r="R470">
        <f>VLOOKUP(A470,[2]cwurData!$B:$N, 5, FALSE)</f>
        <v>331</v>
      </c>
      <c r="S470">
        <f>VLOOKUP(A470,[2]cwurData!$B:$N, 6, FALSE)</f>
        <v>210</v>
      </c>
      <c r="T470">
        <f>VLOOKUP(A470,[2]cwurData!$B:$N, 7, FALSE)</f>
        <v>839</v>
      </c>
      <c r="U470">
        <f>VLOOKUP(A470,[2]cwurData!$B:$N, 8, FALSE)</f>
        <v>879</v>
      </c>
      <c r="V470">
        <f>VLOOKUP(A470,[2]cwurData!$B:$N, 9, FALSE)</f>
        <v>493</v>
      </c>
      <c r="W470">
        <f>VLOOKUP(A470,[2]cwurData!$B:$N, 10, FALSE)</f>
        <v>739</v>
      </c>
      <c r="X470">
        <f>VLOOKUP(A470,[2]cwurData!$B:$N, 11, FALSE)</f>
        <v>338</v>
      </c>
      <c r="Y470">
        <f>VLOOKUP(A470,[2]cwurData!$B:$N, 12, FALSE)</f>
        <v>44.63</v>
      </c>
      <c r="Z470">
        <f>VLOOKUP(A470,[2]cwurData!$B:$N, 13, FALSE)</f>
        <v>2014</v>
      </c>
    </row>
    <row r="471" spans="1:26" x14ac:dyDescent="0.3">
      <c r="A471" t="s">
        <v>396</v>
      </c>
      <c r="B471" t="str">
        <f>IFERROR(VLOOKUP(A471,[1]timesData!$B:$P,2,FALSE),VLOOKUP(A471,[2]cwurData!$B:$P,2,FALSE))</f>
        <v>Australia</v>
      </c>
      <c r="C471" t="str">
        <f>VLOOKUP(A471,[1]timesData!$B:$P,3,FALSE)</f>
        <v>350-400</v>
      </c>
      <c r="D471" t="str">
        <f>VLOOKUP(A472,[1]timesData!$B:$P,3,FALSE)</f>
        <v>350-400</v>
      </c>
      <c r="E471">
        <f>VLOOKUP(A472,[1]timesData!$B:$P,4,FALSE)</f>
        <v>52.6</v>
      </c>
      <c r="F471">
        <f>VLOOKUP(A472,[1]timesData!$B:$P,5,FALSE)</f>
        <v>9.3000000000000007</v>
      </c>
      <c r="G471">
        <f>VLOOKUP(A472,[1]timesData!$B:$P,6,FALSE)</f>
        <v>48.4</v>
      </c>
      <c r="H471">
        <f>VLOOKUP(A472,[1]timesData!$B:$P,7,FALSE)</f>
        <v>26.9</v>
      </c>
      <c r="I471" t="str">
        <f>VLOOKUP(A472,[1]timesData!$B:$P,8,FALSE)</f>
        <v>-</v>
      </c>
      <c r="J471">
        <f>VLOOKUP(A472,[1]timesData!$B:$P,9,FALSE)</f>
        <v>18513</v>
      </c>
      <c r="K471">
        <f>VLOOKUP(A472,[1]timesData!$B:$P,10,FALSE)</f>
        <v>19.8</v>
      </c>
      <c r="L471">
        <f>VLOOKUP(A472,[1]timesData!$B:$P,11,FALSE)</f>
        <v>0.13</v>
      </c>
      <c r="M471">
        <f>VLOOKUP(A472,[1]timesData!$B:$P,12,FALSE)</f>
        <v>2.2000000000000002</v>
      </c>
      <c r="N471">
        <f>VLOOKUP(A472,[1]timesData!$B:$P,13,FALSE)</f>
        <v>2012</v>
      </c>
      <c r="O471">
        <f>VLOOKUP(A471,[2]cwurData!$B:$P,14,FALSE)</f>
        <v>723</v>
      </c>
      <c r="P471">
        <f>VLOOKUP(A471,[2]cwurData!$B:$N, 3, FALSE)</f>
        <v>20</v>
      </c>
      <c r="Q471">
        <f>VLOOKUP(A471,[2]cwurData!$B:$N, 4, FALSE)</f>
        <v>355</v>
      </c>
      <c r="R471">
        <f>VLOOKUP(A471,[2]cwurData!$B:$N, 5, FALSE)</f>
        <v>280</v>
      </c>
      <c r="S471">
        <f>VLOOKUP(A471,[2]cwurData!$B:$N, 6, FALSE)</f>
        <v>210</v>
      </c>
      <c r="T471">
        <f>VLOOKUP(A471,[2]cwurData!$B:$N, 7, FALSE)</f>
        <v>663</v>
      </c>
      <c r="U471">
        <f>VLOOKUP(A471,[2]cwurData!$B:$N, 8, FALSE)</f>
        <v>795</v>
      </c>
      <c r="V471">
        <f>VLOOKUP(A471,[2]cwurData!$B:$N, 9, FALSE)</f>
        <v>800</v>
      </c>
      <c r="W471">
        <f>VLOOKUP(A471,[2]cwurData!$B:$N, 10, FALSE)</f>
        <v>819</v>
      </c>
      <c r="X471">
        <f>VLOOKUP(A471,[2]cwurData!$B:$N, 11, FALSE)</f>
        <v>426</v>
      </c>
      <c r="Y471">
        <f>VLOOKUP(A471,[2]cwurData!$B:$N, 12, FALSE)</f>
        <v>44.62</v>
      </c>
      <c r="Z471">
        <f>VLOOKUP(A471,[2]cwurData!$B:$N, 13, FALSE)</f>
        <v>2014</v>
      </c>
    </row>
    <row r="472" spans="1:26" x14ac:dyDescent="0.3">
      <c r="A472" t="s">
        <v>370</v>
      </c>
      <c r="B472" t="str">
        <f>IFERROR(VLOOKUP(A472,[1]timesData!$B:$P,2,FALSE),VLOOKUP(A472,[2]cwurData!$B:$P,2,FALSE))</f>
        <v>United Kingdom</v>
      </c>
      <c r="C472" t="str">
        <f>VLOOKUP(A472,[1]timesData!$B:$P,3,FALSE)</f>
        <v>350-400</v>
      </c>
      <c r="D472" t="str">
        <f>VLOOKUP(A473,[1]timesData!$B:$P,3,FALSE)</f>
        <v>350-400</v>
      </c>
      <c r="E472">
        <f>VLOOKUP(A473,[1]timesData!$B:$P,4,FALSE)</f>
        <v>64.599999999999994</v>
      </c>
      <c r="F472">
        <f>VLOOKUP(A473,[1]timesData!$B:$P,5,FALSE)</f>
        <v>11.3</v>
      </c>
      <c r="G472">
        <f>VLOOKUP(A473,[1]timesData!$B:$P,6,FALSE)</f>
        <v>35.6</v>
      </c>
      <c r="H472">
        <f>VLOOKUP(A473,[1]timesData!$B:$P,7,FALSE)</f>
        <v>40.299999999999997</v>
      </c>
      <c r="I472" t="str">
        <f>VLOOKUP(A473,[1]timesData!$B:$P,8,FALSE)</f>
        <v>-</v>
      </c>
      <c r="J472">
        <f>VLOOKUP(A473,[1]timesData!$B:$P,9,FALSE)</f>
        <v>20314</v>
      </c>
      <c r="K472">
        <f>VLOOKUP(A473,[1]timesData!$B:$P,10,FALSE)</f>
        <v>36.5</v>
      </c>
      <c r="L472">
        <f>VLOOKUP(A473,[1]timesData!$B:$P,11,FALSE)</f>
        <v>0.33</v>
      </c>
      <c r="M472">
        <f>VLOOKUP(A473,[1]timesData!$B:$P,12,FALSE)</f>
        <v>1.8722222222222222</v>
      </c>
      <c r="N472">
        <f>VLOOKUP(A473,[1]timesData!$B:$P,13,FALSE)</f>
        <v>2012</v>
      </c>
      <c r="O472">
        <f>VLOOKUP(A472,[2]cwurData!$B:$P,14,FALSE)</f>
        <v>724</v>
      </c>
      <c r="P472">
        <f>VLOOKUP(A472,[2]cwurData!$B:$N, 3, FALSE)</f>
        <v>56</v>
      </c>
      <c r="Q472">
        <f>VLOOKUP(A472,[2]cwurData!$B:$N, 4, FALSE)</f>
        <v>355</v>
      </c>
      <c r="R472">
        <f>VLOOKUP(A472,[2]cwurData!$B:$N, 5, FALSE)</f>
        <v>478</v>
      </c>
      <c r="S472">
        <f>VLOOKUP(A472,[2]cwurData!$B:$N, 6, FALSE)</f>
        <v>210</v>
      </c>
      <c r="T472">
        <f>VLOOKUP(A472,[2]cwurData!$B:$N, 7, FALSE)</f>
        <v>744</v>
      </c>
      <c r="U472">
        <f>VLOOKUP(A472,[2]cwurData!$B:$N, 8, FALSE)</f>
        <v>421</v>
      </c>
      <c r="V472">
        <f>VLOOKUP(A472,[2]cwurData!$B:$N, 9, FALSE)</f>
        <v>609</v>
      </c>
      <c r="W472">
        <f>VLOOKUP(A472,[2]cwurData!$B:$N, 10, FALSE)</f>
        <v>618</v>
      </c>
      <c r="X472">
        <f>VLOOKUP(A472,[2]cwurData!$B:$N, 11, FALSE)</f>
        <v>737</v>
      </c>
      <c r="Y472">
        <f>VLOOKUP(A472,[2]cwurData!$B:$N, 12, FALSE)</f>
        <v>44.61</v>
      </c>
      <c r="Z472">
        <f>VLOOKUP(A472,[2]cwurData!$B:$N, 13, FALSE)</f>
        <v>2014</v>
      </c>
    </row>
    <row r="473" spans="1:26" x14ac:dyDescent="0.3">
      <c r="A473" t="s">
        <v>388</v>
      </c>
      <c r="B473" t="str">
        <f>IFERROR(VLOOKUP(A473,[1]timesData!$B:$P,2,FALSE),VLOOKUP(A473,[2]cwurData!$B:$P,2,FALSE))</f>
        <v>Australia</v>
      </c>
      <c r="C473" t="str">
        <f>VLOOKUP(A473,[1]timesData!$B:$P,3,FALSE)</f>
        <v>350-400</v>
      </c>
      <c r="D473" t="str">
        <f>VLOOKUP(A474,[1]timesData!$B:$P,3,FALSE)</f>
        <v>350-400</v>
      </c>
      <c r="E473">
        <f>VLOOKUP(A474,[1]timesData!$B:$P,4,FALSE)</f>
        <v>24.4</v>
      </c>
      <c r="F473">
        <f>VLOOKUP(A474,[1]timesData!$B:$P,5,FALSE)</f>
        <v>19.100000000000001</v>
      </c>
      <c r="G473">
        <f>VLOOKUP(A474,[1]timesData!$B:$P,6,FALSE)</f>
        <v>27.2</v>
      </c>
      <c r="H473">
        <f>VLOOKUP(A474,[1]timesData!$B:$P,7,FALSE)</f>
        <v>73.099999999999994</v>
      </c>
      <c r="I473" t="str">
        <f>VLOOKUP(A474,[1]timesData!$B:$P,8,FALSE)</f>
        <v>-</v>
      </c>
      <c r="J473">
        <f>VLOOKUP(A474,[1]timesData!$B:$P,9,FALSE)</f>
        <v>19959</v>
      </c>
      <c r="K473">
        <f>VLOOKUP(A474,[1]timesData!$B:$P,10,FALSE)</f>
        <v>58.4</v>
      </c>
      <c r="L473">
        <f>VLOOKUP(A474,[1]timesData!$B:$P,11,FALSE)</f>
        <v>0.01</v>
      </c>
      <c r="M473">
        <f>VLOOKUP(A474,[1]timesData!$B:$P,12,FALSE)</f>
        <v>2.6916666666666669</v>
      </c>
      <c r="N473">
        <f>VLOOKUP(A474,[1]timesData!$B:$P,13,FALSE)</f>
        <v>2012</v>
      </c>
      <c r="O473">
        <f>VLOOKUP(A473,[2]cwurData!$B:$P,14,FALSE)</f>
        <v>737</v>
      </c>
      <c r="P473">
        <f>VLOOKUP(A473,[2]cwurData!$B:$N, 3, FALSE)</f>
        <v>21</v>
      </c>
      <c r="Q473">
        <f>VLOOKUP(A473,[2]cwurData!$B:$N, 4, FALSE)</f>
        <v>355</v>
      </c>
      <c r="R473">
        <f>VLOOKUP(A473,[2]cwurData!$B:$N, 5, FALSE)</f>
        <v>478</v>
      </c>
      <c r="S473">
        <f>VLOOKUP(A473,[2]cwurData!$B:$N, 6, FALSE)</f>
        <v>210</v>
      </c>
      <c r="T473">
        <f>VLOOKUP(A473,[2]cwurData!$B:$N, 7, FALSE)</f>
        <v>658</v>
      </c>
      <c r="U473">
        <f>VLOOKUP(A473,[2]cwurData!$B:$N, 8, FALSE)</f>
        <v>447</v>
      </c>
      <c r="V473">
        <f>VLOOKUP(A473,[2]cwurData!$B:$N, 9, FALSE)</f>
        <v>493</v>
      </c>
      <c r="W473">
        <f>VLOOKUP(A473,[2]cwurData!$B:$N, 10, FALSE)</f>
        <v>642</v>
      </c>
      <c r="X473">
        <f>VLOOKUP(A473,[2]cwurData!$B:$N, 11, FALSE)</f>
        <v>737</v>
      </c>
      <c r="Y473">
        <f>VLOOKUP(A473,[2]cwurData!$B:$N, 12, FALSE)</f>
        <v>44.6</v>
      </c>
      <c r="Z473">
        <f>VLOOKUP(A473,[2]cwurData!$B:$N, 13, FALSE)</f>
        <v>2014</v>
      </c>
    </row>
    <row r="474" spans="1:26" x14ac:dyDescent="0.3">
      <c r="A474" t="s">
        <v>395</v>
      </c>
      <c r="B474" t="str">
        <f>IFERROR(VLOOKUP(A474,[1]timesData!$B:$P,2,FALSE),VLOOKUP(A474,[2]cwurData!$B:$P,2,FALSE))</f>
        <v>Italy</v>
      </c>
      <c r="C474" t="str">
        <f>VLOOKUP(A474,[1]timesData!$B:$P,3,FALSE)</f>
        <v>350-400</v>
      </c>
      <c r="D474" t="str">
        <f>VLOOKUP(A475,[1]timesData!$B:$P,3,FALSE)</f>
        <v>350-400</v>
      </c>
      <c r="E474">
        <f>VLOOKUP(A475,[1]timesData!$B:$P,4,FALSE)</f>
        <v>32.299999999999997</v>
      </c>
      <c r="F474">
        <f>VLOOKUP(A475,[1]timesData!$B:$P,5,FALSE)</f>
        <v>13.8</v>
      </c>
      <c r="G474">
        <f>VLOOKUP(A475,[1]timesData!$B:$P,6,FALSE)</f>
        <v>24.8</v>
      </c>
      <c r="H474">
        <f>VLOOKUP(A475,[1]timesData!$B:$P,7,FALSE)</f>
        <v>41.9</v>
      </c>
      <c r="I474" t="str">
        <f>VLOOKUP(A475,[1]timesData!$B:$P,8,FALSE)</f>
        <v>-</v>
      </c>
      <c r="J474">
        <f>VLOOKUP(A475,[1]timesData!$B:$P,9,FALSE)</f>
        <v>0</v>
      </c>
      <c r="K474">
        <f>VLOOKUP(A475,[1]timesData!$B:$P,10,FALSE)</f>
        <v>0</v>
      </c>
      <c r="L474">
        <f>VLOOKUP(A475,[1]timesData!$B:$P,11,FALSE)</f>
        <v>0</v>
      </c>
      <c r="M474">
        <f>VLOOKUP(A475,[1]timesData!$B:$P,12,FALSE)</f>
        <v>0</v>
      </c>
      <c r="N474">
        <f>VLOOKUP(A475,[1]timesData!$B:$P,13,FALSE)</f>
        <v>2012</v>
      </c>
      <c r="O474">
        <f>VLOOKUP(A474,[2]cwurData!$B:$P,14,FALSE)</f>
        <v>785</v>
      </c>
      <c r="P474">
        <f>VLOOKUP(A474,[2]cwurData!$B:$N, 3, FALSE)</f>
        <v>42</v>
      </c>
      <c r="Q474">
        <f>VLOOKUP(A474,[2]cwurData!$B:$N, 4, FALSE)</f>
        <v>355</v>
      </c>
      <c r="R474">
        <f>VLOOKUP(A474,[2]cwurData!$B:$N, 5, FALSE)</f>
        <v>478</v>
      </c>
      <c r="S474">
        <f>VLOOKUP(A474,[2]cwurData!$B:$N, 6, FALSE)</f>
        <v>210</v>
      </c>
      <c r="T474">
        <f>VLOOKUP(A474,[2]cwurData!$B:$N, 7, FALSE)</f>
        <v>662</v>
      </c>
      <c r="U474">
        <f>VLOOKUP(A474,[2]cwurData!$B:$N, 8, FALSE)</f>
        <v>685</v>
      </c>
      <c r="V474">
        <f>VLOOKUP(A474,[2]cwurData!$B:$N, 9, FALSE)</f>
        <v>493</v>
      </c>
      <c r="W474">
        <f>VLOOKUP(A474,[2]cwurData!$B:$N, 10, FALSE)</f>
        <v>703</v>
      </c>
      <c r="X474">
        <f>VLOOKUP(A474,[2]cwurData!$B:$N, 11, FALSE)</f>
        <v>637</v>
      </c>
      <c r="Y474">
        <f>VLOOKUP(A474,[2]cwurData!$B:$N, 12, FALSE)</f>
        <v>44.54</v>
      </c>
      <c r="Z474">
        <f>VLOOKUP(A474,[2]cwurData!$B:$N, 13, FALSE)</f>
        <v>2014</v>
      </c>
    </row>
    <row r="475" spans="1:26" x14ac:dyDescent="0.3">
      <c r="A475" t="s">
        <v>374</v>
      </c>
      <c r="B475" t="str">
        <f>IFERROR(VLOOKUP(A475,[1]timesData!$B:$P,2,FALSE),VLOOKUP(A475,[2]cwurData!$B:$P,2,FALSE))</f>
        <v>United States of America</v>
      </c>
      <c r="C475" t="str">
        <f>VLOOKUP(A475,[1]timesData!$B:$P,3,FALSE)</f>
        <v>350-400</v>
      </c>
      <c r="D475" t="str">
        <f>VLOOKUP(A476,[1]timesData!$B:$P,3,FALSE)</f>
        <v>350-400</v>
      </c>
      <c r="E475">
        <f>VLOOKUP(A476,[1]timesData!$B:$P,4,FALSE)</f>
        <v>74.8</v>
      </c>
      <c r="F475">
        <f>VLOOKUP(A476,[1]timesData!$B:$P,5,FALSE)</f>
        <v>18.600000000000001</v>
      </c>
      <c r="G475">
        <f>VLOOKUP(A476,[1]timesData!$B:$P,6,FALSE)</f>
        <v>22.1</v>
      </c>
      <c r="H475">
        <f>VLOOKUP(A476,[1]timesData!$B:$P,7,FALSE)</f>
        <v>27.1</v>
      </c>
      <c r="I475" t="str">
        <f>VLOOKUP(A476,[1]timesData!$B:$P,8,FALSE)</f>
        <v>-</v>
      </c>
      <c r="J475">
        <f>VLOOKUP(A476,[1]timesData!$B:$P,9,FALSE)</f>
        <v>7653</v>
      </c>
      <c r="K475">
        <f>VLOOKUP(A476,[1]timesData!$B:$P,10,FALSE)</f>
        <v>28</v>
      </c>
      <c r="L475">
        <f>VLOOKUP(A476,[1]timesData!$B:$P,11,FALSE)</f>
        <v>0.11</v>
      </c>
      <c r="M475">
        <f>VLOOKUP(A476,[1]timesData!$B:$P,12,FALSE)</f>
        <v>2.3229166666666665</v>
      </c>
      <c r="N475">
        <f>VLOOKUP(A476,[1]timesData!$B:$P,13,FALSE)</f>
        <v>2012</v>
      </c>
      <c r="O475">
        <f>VLOOKUP(A475,[2]cwurData!$B:$P,14,FALSE)</f>
        <v>796</v>
      </c>
      <c r="P475">
        <f>VLOOKUP(A475,[2]cwurData!$B:$N, 3, FALSE)</f>
        <v>216</v>
      </c>
      <c r="Q475">
        <f>VLOOKUP(A475,[2]cwurData!$B:$N, 4, FALSE)</f>
        <v>323</v>
      </c>
      <c r="R475">
        <f>VLOOKUP(A475,[2]cwurData!$B:$N, 5, FALSE)</f>
        <v>478</v>
      </c>
      <c r="S475">
        <f>VLOOKUP(A475,[2]cwurData!$B:$N, 6, FALSE)</f>
        <v>210</v>
      </c>
      <c r="T475">
        <f>VLOOKUP(A475,[2]cwurData!$B:$N, 7, FALSE)</f>
        <v>779</v>
      </c>
      <c r="U475">
        <f>VLOOKUP(A475,[2]cwurData!$B:$N, 8, FALSE)</f>
        <v>768</v>
      </c>
      <c r="V475">
        <f>VLOOKUP(A475,[2]cwurData!$B:$N, 9, FALSE)</f>
        <v>406</v>
      </c>
      <c r="W475">
        <f>VLOOKUP(A475,[2]cwurData!$B:$N, 10, FALSE)</f>
        <v>724</v>
      </c>
      <c r="X475">
        <f>VLOOKUP(A475,[2]cwurData!$B:$N, 11, FALSE)</f>
        <v>481</v>
      </c>
      <c r="Y475">
        <f>VLOOKUP(A475,[2]cwurData!$B:$N, 12, FALSE)</f>
        <v>44.53</v>
      </c>
      <c r="Z475">
        <f>VLOOKUP(A475,[2]cwurData!$B:$N, 13, FALSE)</f>
        <v>2014</v>
      </c>
    </row>
    <row r="476" spans="1:26" x14ac:dyDescent="0.3">
      <c r="A476" t="s">
        <v>378</v>
      </c>
      <c r="B476" t="str">
        <f>IFERROR(VLOOKUP(A476,[1]timesData!$B:$P,2,FALSE),VLOOKUP(A476,[2]cwurData!$B:$P,2,FALSE))</f>
        <v>Republic of Ireland</v>
      </c>
      <c r="C476" t="str">
        <f>VLOOKUP(A476,[1]timesData!$B:$P,3,FALSE)</f>
        <v>350-400</v>
      </c>
      <c r="D476" t="str">
        <f>VLOOKUP(A477,[1]timesData!$B:$P,3,FALSE)</f>
        <v>350-400</v>
      </c>
      <c r="E476">
        <f>VLOOKUP(A477,[1]timesData!$B:$P,4,FALSE)</f>
        <v>14.3</v>
      </c>
      <c r="F476">
        <f>VLOOKUP(A477,[1]timesData!$B:$P,5,FALSE)</f>
        <v>19.7</v>
      </c>
      <c r="G476">
        <f>VLOOKUP(A477,[1]timesData!$B:$P,6,FALSE)</f>
        <v>31</v>
      </c>
      <c r="H476">
        <f>VLOOKUP(A477,[1]timesData!$B:$P,7,FALSE)</f>
        <v>68</v>
      </c>
      <c r="I476" t="str">
        <f>VLOOKUP(A477,[1]timesData!$B:$P,8,FALSE)</f>
        <v>-</v>
      </c>
      <c r="J476">
        <f>VLOOKUP(A477,[1]timesData!$B:$P,9,FALSE)</f>
        <v>8240</v>
      </c>
      <c r="K476">
        <f>VLOOKUP(A477,[1]timesData!$B:$P,10,FALSE)</f>
        <v>20.9</v>
      </c>
      <c r="L476">
        <f>VLOOKUP(A477,[1]timesData!$B:$P,11,FALSE)</f>
        <v>0.05</v>
      </c>
      <c r="M476" t="str">
        <f>VLOOKUP(A477,[1]timesData!$B:$P,12,FALSE)</f>
        <v>30 : 70</v>
      </c>
      <c r="N476">
        <f>VLOOKUP(A477,[1]timesData!$B:$P,13,FALSE)</f>
        <v>2012</v>
      </c>
      <c r="O476">
        <f>VLOOKUP(A476,[2]cwurData!$B:$P,14,FALSE)</f>
        <v>820</v>
      </c>
      <c r="P476">
        <f>VLOOKUP(A476,[2]cwurData!$B:$N, 3, FALSE)</f>
        <v>7</v>
      </c>
      <c r="Q476">
        <f>VLOOKUP(A476,[2]cwurData!$B:$N, 4, FALSE)</f>
        <v>215</v>
      </c>
      <c r="R476">
        <f>VLOOKUP(A476,[2]cwurData!$B:$N, 5, FALSE)</f>
        <v>478</v>
      </c>
      <c r="S476">
        <f>VLOOKUP(A476,[2]cwurData!$B:$N, 6, FALSE)</f>
        <v>210</v>
      </c>
      <c r="T476">
        <f>VLOOKUP(A476,[2]cwurData!$B:$N, 7, FALSE)</f>
        <v>1000</v>
      </c>
      <c r="U476">
        <f>VLOOKUP(A476,[2]cwurData!$B:$N, 8, FALSE)</f>
        <v>716</v>
      </c>
      <c r="V476">
        <f>VLOOKUP(A476,[2]cwurData!$B:$N, 9, FALSE)</f>
        <v>800</v>
      </c>
      <c r="W476">
        <f>VLOOKUP(A476,[2]cwurData!$B:$N, 10, FALSE)</f>
        <v>800</v>
      </c>
      <c r="X476">
        <f>VLOOKUP(A476,[2]cwurData!$B:$N, 11, FALSE)</f>
        <v>552</v>
      </c>
      <c r="Y476">
        <f>VLOOKUP(A476,[2]cwurData!$B:$N, 12, FALSE)</f>
        <v>44.49</v>
      </c>
      <c r="Z476">
        <f>VLOOKUP(A476,[2]cwurData!$B:$N, 13, FALSE)</f>
        <v>2014</v>
      </c>
    </row>
    <row r="477" spans="1:26" x14ac:dyDescent="0.3">
      <c r="A477" t="s">
        <v>376</v>
      </c>
      <c r="B477" t="str">
        <f>IFERROR(VLOOKUP(A477,[1]timesData!$B:$P,2,FALSE),VLOOKUP(A477,[2]cwurData!$B:$P,2,FALSE))</f>
        <v>Taiwan</v>
      </c>
      <c r="C477" t="str">
        <f>VLOOKUP(A477,[1]timesData!$B:$P,3,FALSE)</f>
        <v>350-400</v>
      </c>
      <c r="D477" t="str">
        <f>VLOOKUP(A478,[1]timesData!$B:$P,3,FALSE)</f>
        <v>350-400</v>
      </c>
      <c r="E477">
        <f>VLOOKUP(A478,[1]timesData!$B:$P,4,FALSE)</f>
        <v>12.8</v>
      </c>
      <c r="F477">
        <f>VLOOKUP(A478,[1]timesData!$B:$P,5,FALSE)</f>
        <v>9.6</v>
      </c>
      <c r="G477">
        <f>VLOOKUP(A478,[1]timesData!$B:$P,6,FALSE)</f>
        <v>58.3</v>
      </c>
      <c r="H477">
        <f>VLOOKUP(A478,[1]timesData!$B:$P,7,FALSE)</f>
        <v>29.2</v>
      </c>
      <c r="I477" t="str">
        <f>VLOOKUP(A478,[1]timesData!$B:$P,8,FALSE)</f>
        <v>-</v>
      </c>
      <c r="J477">
        <f>VLOOKUP(A478,[1]timesData!$B:$P,9,FALSE)</f>
        <v>8663</v>
      </c>
      <c r="K477">
        <f>VLOOKUP(A478,[1]timesData!$B:$P,10,FALSE)</f>
        <v>20.6</v>
      </c>
      <c r="L477">
        <f>VLOOKUP(A478,[1]timesData!$B:$P,11,FALSE)</f>
        <v>0.04</v>
      </c>
      <c r="M477">
        <f>VLOOKUP(A478,[1]timesData!$B:$P,12,FALSE)</f>
        <v>1.83125</v>
      </c>
      <c r="N477">
        <f>VLOOKUP(A478,[1]timesData!$B:$P,13,FALSE)</f>
        <v>2012</v>
      </c>
      <c r="O477">
        <f>VLOOKUP(A477,[2]cwurData!$B:$P,14,FALSE)</f>
        <v>899</v>
      </c>
      <c r="P477">
        <f>VLOOKUP(A477,[2]cwurData!$B:$N, 3, FALSE)</f>
        <v>17</v>
      </c>
      <c r="Q477">
        <f>VLOOKUP(A477,[2]cwurData!$B:$N, 4, FALSE)</f>
        <v>355</v>
      </c>
      <c r="R477">
        <f>VLOOKUP(A477,[2]cwurData!$B:$N, 5, FALSE)</f>
        <v>317</v>
      </c>
      <c r="S477">
        <f>VLOOKUP(A477,[2]cwurData!$B:$N, 6, FALSE)</f>
        <v>210</v>
      </c>
      <c r="T477">
        <f>VLOOKUP(A477,[2]cwurData!$B:$N, 7, FALSE)</f>
        <v>774</v>
      </c>
      <c r="U477">
        <f>VLOOKUP(A477,[2]cwurData!$B:$N, 8, FALSE)</f>
        <v>934</v>
      </c>
      <c r="V477">
        <f>VLOOKUP(A477,[2]cwurData!$B:$N, 9, FALSE)</f>
        <v>800</v>
      </c>
      <c r="W477">
        <f>VLOOKUP(A477,[2]cwurData!$B:$N, 10, FALSE)</f>
        <v>956</v>
      </c>
      <c r="X477">
        <f>VLOOKUP(A477,[2]cwurData!$B:$N, 11, FALSE)</f>
        <v>737</v>
      </c>
      <c r="Y477">
        <f>VLOOKUP(A477,[2]cwurData!$B:$N, 12, FALSE)</f>
        <v>44.39</v>
      </c>
      <c r="Z477">
        <f>VLOOKUP(A477,[2]cwurData!$B:$N, 13, FALSE)</f>
        <v>2014</v>
      </c>
    </row>
    <row r="478" spans="1:26" x14ac:dyDescent="0.3">
      <c r="A478" t="s">
        <v>404</v>
      </c>
      <c r="B478" t="str">
        <f>IFERROR(VLOOKUP(A478,[1]timesData!$B:$P,2,FALSE),VLOOKUP(A478,[2]cwurData!$B:$P,2,FALSE))</f>
        <v>Taiwan</v>
      </c>
      <c r="C478" t="str">
        <f>VLOOKUP(A478,[1]timesData!$B:$P,3,FALSE)</f>
        <v>350-400</v>
      </c>
      <c r="D478" t="str">
        <f>VLOOKUP(A479,[1]timesData!$B:$P,3,FALSE)</f>
        <v>350-400</v>
      </c>
      <c r="E478">
        <f>VLOOKUP(A479,[1]timesData!$B:$P,4,FALSE)</f>
        <v>51.4</v>
      </c>
      <c r="F478">
        <f>VLOOKUP(A479,[1]timesData!$B:$P,5,FALSE)</f>
        <v>15.9</v>
      </c>
      <c r="G478">
        <f>VLOOKUP(A479,[1]timesData!$B:$P,6,FALSE)</f>
        <v>21.7</v>
      </c>
      <c r="H478">
        <f>VLOOKUP(A479,[1]timesData!$B:$P,7,FALSE)</f>
        <v>38.9</v>
      </c>
      <c r="I478" t="str">
        <f>VLOOKUP(A479,[1]timesData!$B:$P,8,FALSE)</f>
        <v>-</v>
      </c>
      <c r="J478">
        <f>VLOOKUP(A479,[1]timesData!$B:$P,9,FALSE)</f>
        <v>22401</v>
      </c>
      <c r="K478">
        <f>VLOOKUP(A479,[1]timesData!$B:$P,10,FALSE)</f>
        <v>62.7</v>
      </c>
      <c r="L478">
        <f>VLOOKUP(A479,[1]timesData!$B:$P,11,FALSE)</f>
        <v>0.12</v>
      </c>
      <c r="M478">
        <f>VLOOKUP(A479,[1]timesData!$B:$P,12,FALSE)</f>
        <v>1.7493055555555554</v>
      </c>
      <c r="N478">
        <f>VLOOKUP(A479,[1]timesData!$B:$P,13,FALSE)</f>
        <v>2012</v>
      </c>
      <c r="O478">
        <f>VLOOKUP(A478,[2]cwurData!$B:$P,14,FALSE)</f>
        <v>952</v>
      </c>
      <c r="P478">
        <f>VLOOKUP(A478,[2]cwurData!$B:$N, 3, FALSE)</f>
        <v>20</v>
      </c>
      <c r="Q478">
        <f>VLOOKUP(A478,[2]cwurData!$B:$N, 4, FALSE)</f>
        <v>355</v>
      </c>
      <c r="R478">
        <f>VLOOKUP(A478,[2]cwurData!$B:$N, 5, FALSE)</f>
        <v>478</v>
      </c>
      <c r="S478">
        <f>VLOOKUP(A478,[2]cwurData!$B:$N, 6, FALSE)</f>
        <v>210</v>
      </c>
      <c r="T478">
        <f>VLOOKUP(A478,[2]cwurData!$B:$N, 7, FALSE)</f>
        <v>894</v>
      </c>
      <c r="U478">
        <f>VLOOKUP(A478,[2]cwurData!$B:$N, 8, FALSE)</f>
        <v>974</v>
      </c>
      <c r="V478">
        <f>VLOOKUP(A478,[2]cwurData!$B:$N, 9, FALSE)</f>
        <v>800</v>
      </c>
      <c r="W478">
        <f>VLOOKUP(A478,[2]cwurData!$B:$N, 10, FALSE)</f>
        <v>917</v>
      </c>
      <c r="X478">
        <f>VLOOKUP(A478,[2]cwurData!$B:$N, 11, FALSE)</f>
        <v>737</v>
      </c>
      <c r="Y478">
        <f>VLOOKUP(A478,[2]cwurData!$B:$N, 12, FALSE)</f>
        <v>44.32</v>
      </c>
      <c r="Z478">
        <f>VLOOKUP(A478,[2]cwurData!$B:$N, 13, FALSE)</f>
        <v>2014</v>
      </c>
    </row>
    <row r="479" spans="1:26" x14ac:dyDescent="0.3">
      <c r="A479" t="s">
        <v>369</v>
      </c>
      <c r="B479" t="str">
        <f>IFERROR(VLOOKUP(A479,[1]timesData!$B:$P,2,FALSE),VLOOKUP(A479,[2]cwurData!$B:$P,2,FALSE))</f>
        <v>Germany</v>
      </c>
      <c r="C479" t="str">
        <f>VLOOKUP(A479,[1]timesData!$B:$P,3,FALSE)</f>
        <v>350-400</v>
      </c>
      <c r="D479" t="str">
        <f>VLOOKUP(A480,[1]timesData!$B:$P,3,FALSE)</f>
        <v>350-400</v>
      </c>
      <c r="E479">
        <f>VLOOKUP(A480,[1]timesData!$B:$P,4,FALSE)</f>
        <v>48.3</v>
      </c>
      <c r="F479">
        <f>VLOOKUP(A480,[1]timesData!$B:$P,5,FALSE)</f>
        <v>10.9</v>
      </c>
      <c r="G479">
        <f>VLOOKUP(A480,[1]timesData!$B:$P,6,FALSE)</f>
        <v>28.3</v>
      </c>
      <c r="H479">
        <f>VLOOKUP(A480,[1]timesData!$B:$P,7,FALSE)</f>
        <v>38.299999999999997</v>
      </c>
      <c r="I479" t="str">
        <f>VLOOKUP(A480,[1]timesData!$B:$P,8,FALSE)</f>
        <v>-</v>
      </c>
      <c r="J479">
        <f>VLOOKUP(A480,[1]timesData!$B:$P,9,FALSE)</f>
        <v>18867</v>
      </c>
      <c r="K479">
        <f>VLOOKUP(A480,[1]timesData!$B:$P,10,FALSE)</f>
        <v>17.899999999999999</v>
      </c>
      <c r="L479">
        <f>VLOOKUP(A480,[1]timesData!$B:$P,11,FALSE)</f>
        <v>7.0000000000000007E-2</v>
      </c>
      <c r="M479">
        <f>VLOOKUP(A480,[1]timesData!$B:$P,12,FALSE)</f>
        <v>2.0770833333333334</v>
      </c>
      <c r="N479">
        <f>VLOOKUP(A480,[1]timesData!$B:$P,13,FALSE)</f>
        <v>2012</v>
      </c>
      <c r="O479" t="e">
        <f>VLOOKUP(A479,[2]cwurData!$B:$P,14,FALSE)</f>
        <v>#N/A</v>
      </c>
      <c r="P479" t="e">
        <f>VLOOKUP(A479,[2]cwurData!$B:$N, 3, FALSE)</f>
        <v>#N/A</v>
      </c>
      <c r="Q479" t="e">
        <f>VLOOKUP(A479,[2]cwurData!$B:$N, 4, FALSE)</f>
        <v>#N/A</v>
      </c>
      <c r="R479" t="e">
        <f>VLOOKUP(A479,[2]cwurData!$B:$N, 5, FALSE)</f>
        <v>#N/A</v>
      </c>
      <c r="S479" t="e">
        <f>VLOOKUP(A479,[2]cwurData!$B:$N, 6, FALSE)</f>
        <v>#N/A</v>
      </c>
      <c r="T479" t="e">
        <f>VLOOKUP(A479,[2]cwurData!$B:$N, 7, FALSE)</f>
        <v>#N/A</v>
      </c>
      <c r="U479" t="e">
        <f>VLOOKUP(A479,[2]cwurData!$B:$N, 8, FALSE)</f>
        <v>#N/A</v>
      </c>
      <c r="V479" t="e">
        <f>VLOOKUP(A479,[2]cwurData!$B:$N, 9, FALSE)</f>
        <v>#N/A</v>
      </c>
      <c r="W479" t="e">
        <f>VLOOKUP(A479,[2]cwurData!$B:$N, 10, FALSE)</f>
        <v>#N/A</v>
      </c>
      <c r="X479" t="e">
        <f>VLOOKUP(A479,[2]cwurData!$B:$N, 11, FALSE)</f>
        <v>#N/A</v>
      </c>
      <c r="Y479" t="e">
        <f>VLOOKUP(A479,[2]cwurData!$B:$N, 12, FALSE)</f>
        <v>#N/A</v>
      </c>
      <c r="Z479" t="e">
        <f>VLOOKUP(A479,[2]cwurData!$B:$N, 13, FALSE)</f>
        <v>#N/A</v>
      </c>
    </row>
    <row r="480" spans="1:26" x14ac:dyDescent="0.3">
      <c r="A480" t="s">
        <v>380</v>
      </c>
      <c r="B480" t="str">
        <f>IFERROR(VLOOKUP(A480,[1]timesData!$B:$P,2,FALSE),VLOOKUP(A480,[2]cwurData!$B:$P,2,FALSE))</f>
        <v>Portugal</v>
      </c>
      <c r="C480" t="str">
        <f>VLOOKUP(A480,[1]timesData!$B:$P,3,FALSE)</f>
        <v>350-400</v>
      </c>
      <c r="D480" t="str">
        <f>VLOOKUP(A481,[1]timesData!$B:$P,3,FALSE)</f>
        <v>350-400</v>
      </c>
      <c r="E480">
        <f>VLOOKUP(A481,[1]timesData!$B:$P,4,FALSE)</f>
        <v>59.9</v>
      </c>
      <c r="F480">
        <f>VLOOKUP(A481,[1]timesData!$B:$P,5,FALSE)</f>
        <v>11.8</v>
      </c>
      <c r="G480">
        <f>VLOOKUP(A481,[1]timesData!$B:$P,6,FALSE)</f>
        <v>39.4</v>
      </c>
      <c r="H480">
        <f>VLOOKUP(A481,[1]timesData!$B:$P,7,FALSE)</f>
        <v>24.2</v>
      </c>
      <c r="I480" t="str">
        <f>VLOOKUP(A481,[1]timesData!$B:$P,8,FALSE)</f>
        <v>-</v>
      </c>
      <c r="J480">
        <f>VLOOKUP(A481,[1]timesData!$B:$P,9,FALSE)</f>
        <v>23026</v>
      </c>
      <c r="K480">
        <f>VLOOKUP(A481,[1]timesData!$B:$P,10,FALSE)</f>
        <v>23.4</v>
      </c>
      <c r="L480">
        <f>VLOOKUP(A481,[1]timesData!$B:$P,11,FALSE)</f>
        <v>0.22</v>
      </c>
      <c r="M480">
        <f>VLOOKUP(A481,[1]timesData!$B:$P,12,FALSE)</f>
        <v>2.5277777777777777</v>
      </c>
      <c r="N480">
        <f>VLOOKUP(A481,[1]timesData!$B:$P,13,FALSE)</f>
        <v>2012</v>
      </c>
      <c r="O480" t="e">
        <f>VLOOKUP(A480,[2]cwurData!$B:$P,14,FALSE)</f>
        <v>#N/A</v>
      </c>
      <c r="P480" t="e">
        <f>VLOOKUP(A480,[2]cwurData!$B:$N, 3, FALSE)</f>
        <v>#N/A</v>
      </c>
      <c r="Q480" t="e">
        <f>VLOOKUP(A480,[2]cwurData!$B:$N, 4, FALSE)</f>
        <v>#N/A</v>
      </c>
      <c r="R480" t="e">
        <f>VLOOKUP(A480,[2]cwurData!$B:$N, 5, FALSE)</f>
        <v>#N/A</v>
      </c>
      <c r="S480" t="e">
        <f>VLOOKUP(A480,[2]cwurData!$B:$N, 6, FALSE)</f>
        <v>#N/A</v>
      </c>
      <c r="T480" t="e">
        <f>VLOOKUP(A480,[2]cwurData!$B:$N, 7, FALSE)</f>
        <v>#N/A</v>
      </c>
      <c r="U480" t="e">
        <f>VLOOKUP(A480,[2]cwurData!$B:$N, 8, FALSE)</f>
        <v>#N/A</v>
      </c>
      <c r="V480" t="e">
        <f>VLOOKUP(A480,[2]cwurData!$B:$N, 9, FALSE)</f>
        <v>#N/A</v>
      </c>
      <c r="W480" t="e">
        <f>VLOOKUP(A480,[2]cwurData!$B:$N, 10, FALSE)</f>
        <v>#N/A</v>
      </c>
      <c r="X480" t="e">
        <f>VLOOKUP(A480,[2]cwurData!$B:$N, 11, FALSE)</f>
        <v>#N/A</v>
      </c>
      <c r="Y480" t="e">
        <f>VLOOKUP(A480,[2]cwurData!$B:$N, 12, FALSE)</f>
        <v>#N/A</v>
      </c>
      <c r="Z480" t="e">
        <f>VLOOKUP(A480,[2]cwurData!$B:$N, 13, FALSE)</f>
        <v>#N/A</v>
      </c>
    </row>
    <row r="481" spans="1:26" x14ac:dyDescent="0.3">
      <c r="A481" t="s">
        <v>394</v>
      </c>
      <c r="B481" t="str">
        <f>IFERROR(VLOOKUP(A481,[1]timesData!$B:$P,2,FALSE),VLOOKUP(A481,[2]cwurData!$B:$P,2,FALSE))</f>
        <v>France</v>
      </c>
      <c r="C481" t="str">
        <f>VLOOKUP(A481,[1]timesData!$B:$P,3,FALSE)</f>
        <v>350-400</v>
      </c>
      <c r="D481" t="str">
        <f>VLOOKUP(A482,[1]timesData!$B:$P,3,FALSE)</f>
        <v>351-400</v>
      </c>
      <c r="E481">
        <f>VLOOKUP(A482,[1]timesData!$B:$P,4,FALSE)</f>
        <v>35.200000000000003</v>
      </c>
      <c r="F481">
        <f>VLOOKUP(A482,[1]timesData!$B:$P,5,FALSE)</f>
        <v>9</v>
      </c>
      <c r="G481">
        <f>VLOOKUP(A482,[1]timesData!$B:$P,6,FALSE)</f>
        <v>67.3</v>
      </c>
      <c r="H481" t="str">
        <f>VLOOKUP(A482,[1]timesData!$B:$P,7,FALSE)</f>
        <v>-</v>
      </c>
      <c r="I481" t="str">
        <f>VLOOKUP(A482,[1]timesData!$B:$P,8,FALSE)</f>
        <v>-</v>
      </c>
      <c r="J481">
        <f>VLOOKUP(A482,[1]timesData!$B:$P,9,FALSE)</f>
        <v>0</v>
      </c>
      <c r="K481">
        <f>VLOOKUP(A482,[1]timesData!$B:$P,10,FALSE)</f>
        <v>0</v>
      </c>
      <c r="L481">
        <f>VLOOKUP(A482,[1]timesData!$B:$P,11,FALSE)</f>
        <v>0</v>
      </c>
      <c r="M481">
        <f>VLOOKUP(A482,[1]timesData!$B:$P,12,FALSE)</f>
        <v>0</v>
      </c>
      <c r="N481">
        <f>VLOOKUP(A482,[1]timesData!$B:$P,13,FALSE)</f>
        <v>2013</v>
      </c>
      <c r="O481" t="e">
        <f>VLOOKUP(A481,[2]cwurData!$B:$P,14,FALSE)</f>
        <v>#N/A</v>
      </c>
      <c r="P481" t="e">
        <f>VLOOKUP(A481,[2]cwurData!$B:$N, 3, FALSE)</f>
        <v>#N/A</v>
      </c>
      <c r="Q481" t="e">
        <f>VLOOKUP(A481,[2]cwurData!$B:$N, 4, FALSE)</f>
        <v>#N/A</v>
      </c>
      <c r="R481" t="e">
        <f>VLOOKUP(A481,[2]cwurData!$B:$N, 5, FALSE)</f>
        <v>#N/A</v>
      </c>
      <c r="S481" t="e">
        <f>VLOOKUP(A481,[2]cwurData!$B:$N, 6, FALSE)</f>
        <v>#N/A</v>
      </c>
      <c r="T481" t="e">
        <f>VLOOKUP(A481,[2]cwurData!$B:$N, 7, FALSE)</f>
        <v>#N/A</v>
      </c>
      <c r="U481" t="e">
        <f>VLOOKUP(A481,[2]cwurData!$B:$N, 8, FALSE)</f>
        <v>#N/A</v>
      </c>
      <c r="V481" t="e">
        <f>VLOOKUP(A481,[2]cwurData!$B:$N, 9, FALSE)</f>
        <v>#N/A</v>
      </c>
      <c r="W481" t="e">
        <f>VLOOKUP(A481,[2]cwurData!$B:$N, 10, FALSE)</f>
        <v>#N/A</v>
      </c>
      <c r="X481" t="e">
        <f>VLOOKUP(A481,[2]cwurData!$B:$N, 11, FALSE)</f>
        <v>#N/A</v>
      </c>
      <c r="Y481" t="e">
        <f>VLOOKUP(A481,[2]cwurData!$B:$N, 12, FALSE)</f>
        <v>#N/A</v>
      </c>
      <c r="Z481" t="e">
        <f>VLOOKUP(A481,[2]cwurData!$B:$N, 13, FALSE)</f>
        <v>#N/A</v>
      </c>
    </row>
    <row r="482" spans="1:26" x14ac:dyDescent="0.3">
      <c r="A482" t="s">
        <v>437</v>
      </c>
      <c r="B482" t="str">
        <f>IFERROR(VLOOKUP(A482,[1]timesData!$B:$P,2,FALSE),VLOOKUP(A482,[2]cwurData!$B:$P,2,FALSE))</f>
        <v>United States of America</v>
      </c>
      <c r="C482" t="str">
        <f>VLOOKUP(A482,[1]timesData!$B:$P,3,FALSE)</f>
        <v>351-400</v>
      </c>
      <c r="D482" t="str">
        <f>VLOOKUP(A483,[1]timesData!$B:$P,3,FALSE)</f>
        <v>351-400</v>
      </c>
      <c r="E482">
        <f>VLOOKUP(A483,[1]timesData!$B:$P,4,FALSE)</f>
        <v>42.9</v>
      </c>
      <c r="F482">
        <f>VLOOKUP(A483,[1]timesData!$B:$P,5,FALSE)</f>
        <v>27.7</v>
      </c>
      <c r="G482">
        <f>VLOOKUP(A483,[1]timesData!$B:$P,6,FALSE)</f>
        <v>26.9</v>
      </c>
      <c r="H482">
        <f>VLOOKUP(A483,[1]timesData!$B:$P,7,FALSE)</f>
        <v>55.3</v>
      </c>
      <c r="I482" t="str">
        <f>VLOOKUP(A483,[1]timesData!$B:$P,8,FALSE)</f>
        <v>-</v>
      </c>
      <c r="J482">
        <f>VLOOKUP(A483,[1]timesData!$B:$P,9,FALSE)</f>
        <v>16729</v>
      </c>
      <c r="K482">
        <f>VLOOKUP(A483,[1]timesData!$B:$P,10,FALSE)</f>
        <v>10.4</v>
      </c>
      <c r="L482">
        <f>VLOOKUP(A483,[1]timesData!$B:$P,11,FALSE)</f>
        <v>0.19</v>
      </c>
      <c r="M482">
        <f>VLOOKUP(A483,[1]timesData!$B:$P,12,FALSE)</f>
        <v>0</v>
      </c>
      <c r="N482">
        <f>VLOOKUP(A483,[1]timesData!$B:$P,13,FALSE)</f>
        <v>2014</v>
      </c>
      <c r="O482">
        <f>VLOOKUP(A482,[2]cwurData!$B:$P,14,FALSE)</f>
        <v>171</v>
      </c>
      <c r="P482">
        <f>VLOOKUP(A482,[2]cwurData!$B:$N, 3, FALSE)</f>
        <v>74</v>
      </c>
      <c r="Q482">
        <f>VLOOKUP(A482,[2]cwurData!$B:$N, 4, FALSE)</f>
        <v>157</v>
      </c>
      <c r="R482">
        <f>VLOOKUP(A482,[2]cwurData!$B:$N, 5, FALSE)</f>
        <v>34</v>
      </c>
      <c r="S482">
        <f>VLOOKUP(A482,[2]cwurData!$B:$N, 6, FALSE)</f>
        <v>210</v>
      </c>
      <c r="T482">
        <f>VLOOKUP(A482,[2]cwurData!$B:$N, 7, FALSE)</f>
        <v>632</v>
      </c>
      <c r="U482">
        <f>VLOOKUP(A482,[2]cwurData!$B:$N, 8, FALSE)</f>
        <v>677</v>
      </c>
      <c r="V482">
        <f>VLOOKUP(A482,[2]cwurData!$B:$N, 9, FALSE)</f>
        <v>406</v>
      </c>
      <c r="W482">
        <f>VLOOKUP(A482,[2]cwurData!$B:$N, 10, FALSE)</f>
        <v>628</v>
      </c>
      <c r="X482">
        <f>VLOOKUP(A482,[2]cwurData!$B:$N, 11, FALSE)</f>
        <v>737</v>
      </c>
      <c r="Y482">
        <f>VLOOKUP(A482,[2]cwurData!$B:$N, 12, FALSE)</f>
        <v>48.69</v>
      </c>
      <c r="Z482">
        <f>VLOOKUP(A482,[2]cwurData!$B:$N, 13, FALSE)</f>
        <v>2014</v>
      </c>
    </row>
    <row r="483" spans="1:26" x14ac:dyDescent="0.3">
      <c r="A483" t="s">
        <v>452</v>
      </c>
      <c r="B483" t="str">
        <f>IFERROR(VLOOKUP(A483,[1]timesData!$B:$P,2,FALSE),VLOOKUP(A483,[2]cwurData!$B:$P,2,FALSE))</f>
        <v>South Korea</v>
      </c>
      <c r="C483" t="str">
        <f>VLOOKUP(A483,[1]timesData!$B:$P,3,FALSE)</f>
        <v>351-400</v>
      </c>
      <c r="D483" t="str">
        <f>VLOOKUP(A484,[1]timesData!$B:$P,3,FALSE)</f>
        <v>351-400</v>
      </c>
      <c r="E483">
        <f>VLOOKUP(A484,[1]timesData!$B:$P,4,FALSE)</f>
        <v>37.299999999999997</v>
      </c>
      <c r="F483">
        <f>VLOOKUP(A484,[1]timesData!$B:$P,5,FALSE)</f>
        <v>13.2</v>
      </c>
      <c r="G483">
        <f>VLOOKUP(A484,[1]timesData!$B:$P,6,FALSE)</f>
        <v>57.7</v>
      </c>
      <c r="H483">
        <f>VLOOKUP(A484,[1]timesData!$B:$P,7,FALSE)</f>
        <v>34.200000000000003</v>
      </c>
      <c r="I483" t="str">
        <f>VLOOKUP(A484,[1]timesData!$B:$P,8,FALSE)</f>
        <v>-</v>
      </c>
      <c r="J483">
        <f>VLOOKUP(A484,[1]timesData!$B:$P,9,FALSE)</f>
        <v>54290</v>
      </c>
      <c r="K483">
        <f>VLOOKUP(A484,[1]timesData!$B:$P,10,FALSE)</f>
        <v>17.2</v>
      </c>
      <c r="L483">
        <f>VLOOKUP(A484,[1]timesData!$B:$P,11,FALSE)</f>
        <v>7.0000000000000007E-2</v>
      </c>
      <c r="M483">
        <f>VLOOKUP(A484,[1]timesData!$B:$P,12,FALSE)</f>
        <v>2.4868055555555557</v>
      </c>
      <c r="N483">
        <f>VLOOKUP(A484,[1]timesData!$B:$P,13,FALSE)</f>
        <v>2014</v>
      </c>
      <c r="O483">
        <f>VLOOKUP(A483,[2]cwurData!$B:$P,14,FALSE)</f>
        <v>174</v>
      </c>
      <c r="P483">
        <f>VLOOKUP(A483,[2]cwurData!$B:$N, 3, FALSE)</f>
        <v>5</v>
      </c>
      <c r="Q483">
        <f>VLOOKUP(A483,[2]cwurData!$B:$N, 4, FALSE)</f>
        <v>355</v>
      </c>
      <c r="R483">
        <f>VLOOKUP(A483,[2]cwurData!$B:$N, 5, FALSE)</f>
        <v>69</v>
      </c>
      <c r="S483">
        <f>VLOOKUP(A483,[2]cwurData!$B:$N, 6, FALSE)</f>
        <v>210</v>
      </c>
      <c r="T483">
        <f>VLOOKUP(A483,[2]cwurData!$B:$N, 7, FALSE)</f>
        <v>292</v>
      </c>
      <c r="U483">
        <f>VLOOKUP(A483,[2]cwurData!$B:$N, 8, FALSE)</f>
        <v>481</v>
      </c>
      <c r="V483">
        <f>VLOOKUP(A483,[2]cwurData!$B:$N, 9, FALSE)</f>
        <v>406</v>
      </c>
      <c r="W483">
        <f>VLOOKUP(A483,[2]cwurData!$B:$N, 10, FALSE)</f>
        <v>415</v>
      </c>
      <c r="X483">
        <f>VLOOKUP(A483,[2]cwurData!$B:$N, 11, FALSE)</f>
        <v>28</v>
      </c>
      <c r="Y483">
        <f>VLOOKUP(A483,[2]cwurData!$B:$N, 12, FALSE)</f>
        <v>48.63</v>
      </c>
      <c r="Z483">
        <f>VLOOKUP(A483,[2]cwurData!$B:$N, 13, FALSE)</f>
        <v>2014</v>
      </c>
    </row>
    <row r="484" spans="1:26" x14ac:dyDescent="0.3">
      <c r="A484" t="s">
        <v>457</v>
      </c>
      <c r="B484" t="str">
        <f>IFERROR(VLOOKUP(A484,[1]timesData!$B:$P,2,FALSE),VLOOKUP(A484,[2]cwurData!$B:$P,2,FALSE))</f>
        <v>Italy</v>
      </c>
      <c r="C484" t="str">
        <f>VLOOKUP(A484,[1]timesData!$B:$P,3,FALSE)</f>
        <v>351-400</v>
      </c>
      <c r="D484" t="str">
        <f>VLOOKUP(A485,[1]timesData!$B:$P,3,FALSE)</f>
        <v>351-400</v>
      </c>
      <c r="E484">
        <f>VLOOKUP(A485,[1]timesData!$B:$P,4,FALSE)</f>
        <v>46.8</v>
      </c>
      <c r="F484">
        <f>VLOOKUP(A485,[1]timesData!$B:$P,5,FALSE)</f>
        <v>22.8</v>
      </c>
      <c r="G484">
        <f>VLOOKUP(A485,[1]timesData!$B:$P,6,FALSE)</f>
        <v>44.8</v>
      </c>
      <c r="H484">
        <f>VLOOKUP(A485,[1]timesData!$B:$P,7,FALSE)</f>
        <v>33.9</v>
      </c>
      <c r="I484" t="str">
        <f>VLOOKUP(A485,[1]timesData!$B:$P,8,FALSE)</f>
        <v>-</v>
      </c>
      <c r="J484">
        <f>VLOOKUP(A485,[1]timesData!$B:$P,9,FALSE)</f>
        <v>47849</v>
      </c>
      <c r="K484">
        <f>VLOOKUP(A485,[1]timesData!$B:$P,10,FALSE)</f>
        <v>17.5</v>
      </c>
      <c r="L484">
        <f>VLOOKUP(A485,[1]timesData!$B:$P,11,FALSE)</f>
        <v>0.09</v>
      </c>
      <c r="M484">
        <f>VLOOKUP(A485,[1]timesData!$B:$P,12,FALSE)</f>
        <v>2.1590277777777778</v>
      </c>
      <c r="N484">
        <f>VLOOKUP(A485,[1]timesData!$B:$P,13,FALSE)</f>
        <v>2015</v>
      </c>
      <c r="O484">
        <f>VLOOKUP(A484,[2]cwurData!$B:$P,14,FALSE)</f>
        <v>266</v>
      </c>
      <c r="P484">
        <f>VLOOKUP(A484,[2]cwurData!$B:$N, 3, FALSE)</f>
        <v>6</v>
      </c>
      <c r="Q484">
        <f>VLOOKUP(A484,[2]cwurData!$B:$N, 4, FALSE)</f>
        <v>316</v>
      </c>
      <c r="R484">
        <f>VLOOKUP(A484,[2]cwurData!$B:$N, 5, FALSE)</f>
        <v>304</v>
      </c>
      <c r="S484">
        <f>VLOOKUP(A484,[2]cwurData!$B:$N, 6, FALSE)</f>
        <v>93</v>
      </c>
      <c r="T484">
        <f>VLOOKUP(A484,[2]cwurData!$B:$N, 7, FALSE)</f>
        <v>211</v>
      </c>
      <c r="U484">
        <f>VLOOKUP(A484,[2]cwurData!$B:$N, 8, FALSE)</f>
        <v>256</v>
      </c>
      <c r="V484">
        <f>VLOOKUP(A484,[2]cwurData!$B:$N, 9, FALSE)</f>
        <v>200</v>
      </c>
      <c r="W484">
        <f>VLOOKUP(A484,[2]cwurData!$B:$N, 10, FALSE)</f>
        <v>261</v>
      </c>
      <c r="X484">
        <f>VLOOKUP(A484,[2]cwurData!$B:$N, 11, FALSE)</f>
        <v>637</v>
      </c>
      <c r="Y484">
        <f>VLOOKUP(A484,[2]cwurData!$B:$N, 12, FALSE)</f>
        <v>46.8</v>
      </c>
      <c r="Z484">
        <f>VLOOKUP(A484,[2]cwurData!$B:$N, 13, FALSE)</f>
        <v>2014</v>
      </c>
    </row>
    <row r="485" spans="1:26" x14ac:dyDescent="0.3">
      <c r="A485" t="s">
        <v>478</v>
      </c>
      <c r="B485" t="str">
        <f>IFERROR(VLOOKUP(A485,[1]timesData!$B:$P,2,FALSE),VLOOKUP(A485,[2]cwurData!$B:$P,2,FALSE))</f>
        <v>Portugal</v>
      </c>
      <c r="C485" t="str">
        <f>VLOOKUP(A485,[1]timesData!$B:$P,3,FALSE)</f>
        <v>351-400</v>
      </c>
      <c r="D485" t="str">
        <f>VLOOKUP(A486,[1]timesData!$B:$P,3,FALSE)</f>
        <v>351-400</v>
      </c>
      <c r="E485">
        <f>VLOOKUP(A486,[1]timesData!$B:$P,4,FALSE)</f>
        <v>50.2</v>
      </c>
      <c r="F485">
        <f>VLOOKUP(A486,[1]timesData!$B:$P,5,FALSE)</f>
        <v>14.7</v>
      </c>
      <c r="G485">
        <f>VLOOKUP(A486,[1]timesData!$B:$P,6,FALSE)</f>
        <v>54.7</v>
      </c>
      <c r="H485">
        <f>VLOOKUP(A486,[1]timesData!$B:$P,7,FALSE)</f>
        <v>41.1</v>
      </c>
      <c r="I485" t="str">
        <f>VLOOKUP(A486,[1]timesData!$B:$P,8,FALSE)</f>
        <v>-</v>
      </c>
      <c r="J485">
        <f>VLOOKUP(A486,[1]timesData!$B:$P,9,FALSE)</f>
        <v>36051</v>
      </c>
      <c r="K485">
        <f>VLOOKUP(A486,[1]timesData!$B:$P,10,FALSE)</f>
        <v>46.6</v>
      </c>
      <c r="L485">
        <f>VLOOKUP(A486,[1]timesData!$B:$P,11,FALSE)</f>
        <v>0.11</v>
      </c>
      <c r="M485">
        <f>VLOOKUP(A486,[1]timesData!$B:$P,12,FALSE)</f>
        <v>2.0770833333333334</v>
      </c>
      <c r="N485">
        <f>VLOOKUP(A486,[1]timesData!$B:$P,13,FALSE)</f>
        <v>2013</v>
      </c>
      <c r="O485">
        <f>VLOOKUP(A485,[2]cwurData!$B:$P,14,FALSE)</f>
        <v>278</v>
      </c>
      <c r="P485">
        <f>VLOOKUP(A485,[2]cwurData!$B:$N, 3, FALSE)</f>
        <v>1</v>
      </c>
      <c r="Q485">
        <f>VLOOKUP(A485,[2]cwurData!$B:$N, 4, FALSE)</f>
        <v>327</v>
      </c>
      <c r="R485">
        <f>VLOOKUP(A485,[2]cwurData!$B:$N, 5, FALSE)</f>
        <v>478</v>
      </c>
      <c r="S485">
        <f>VLOOKUP(A485,[2]cwurData!$B:$N, 6, FALSE)</f>
        <v>147</v>
      </c>
      <c r="T485">
        <f>VLOOKUP(A485,[2]cwurData!$B:$N, 7, FALSE)</f>
        <v>178</v>
      </c>
      <c r="U485">
        <f>VLOOKUP(A485,[2]cwurData!$B:$N, 8, FALSE)</f>
        <v>321</v>
      </c>
      <c r="V485">
        <f>VLOOKUP(A485,[2]cwurData!$B:$N, 9, FALSE)</f>
        <v>220</v>
      </c>
      <c r="W485">
        <f>VLOOKUP(A485,[2]cwurData!$B:$N, 10, FALSE)</f>
        <v>256</v>
      </c>
      <c r="X485">
        <f>VLOOKUP(A485,[2]cwurData!$B:$N, 11, FALSE)</f>
        <v>426</v>
      </c>
      <c r="Y485">
        <f>VLOOKUP(A485,[2]cwurData!$B:$N, 12, FALSE)</f>
        <v>46.59</v>
      </c>
      <c r="Z485">
        <f>VLOOKUP(A485,[2]cwurData!$B:$N, 13, FALSE)</f>
        <v>2014</v>
      </c>
    </row>
    <row r="486" spans="1:26" x14ac:dyDescent="0.3">
      <c r="A486" t="s">
        <v>439</v>
      </c>
      <c r="B486" t="str">
        <f>IFERROR(VLOOKUP(A486,[1]timesData!$B:$P,2,FALSE),VLOOKUP(A486,[2]cwurData!$B:$P,2,FALSE))</f>
        <v>Germany</v>
      </c>
      <c r="C486" t="str">
        <f>VLOOKUP(A486,[1]timesData!$B:$P,3,FALSE)</f>
        <v>351-400</v>
      </c>
      <c r="D486" t="str">
        <f>VLOOKUP(A487,[1]timesData!$B:$P,3,FALSE)</f>
        <v>351-400</v>
      </c>
      <c r="E486">
        <f>VLOOKUP(A487,[1]timesData!$B:$P,4,FALSE)</f>
        <v>15.3</v>
      </c>
      <c r="F486">
        <f>VLOOKUP(A487,[1]timesData!$B:$P,5,FALSE)</f>
        <v>23</v>
      </c>
      <c r="G486">
        <f>VLOOKUP(A487,[1]timesData!$B:$P,6,FALSE)</f>
        <v>38.5</v>
      </c>
      <c r="H486" t="str">
        <f>VLOOKUP(A487,[1]timesData!$B:$P,7,FALSE)</f>
        <v>-</v>
      </c>
      <c r="I486" t="str">
        <f>VLOOKUP(A487,[1]timesData!$B:$P,8,FALSE)</f>
        <v>-</v>
      </c>
      <c r="J486">
        <f>VLOOKUP(A487,[1]timesData!$B:$P,9,FALSE)</f>
        <v>8371</v>
      </c>
      <c r="K486">
        <f>VLOOKUP(A487,[1]timesData!$B:$P,10,FALSE)</f>
        <v>17.3</v>
      </c>
      <c r="L486">
        <f>VLOOKUP(A487,[1]timesData!$B:$P,11,FALSE)</f>
        <v>0.01</v>
      </c>
      <c r="M486">
        <f>VLOOKUP(A487,[1]timesData!$B:$P,12,FALSE)</f>
        <v>0.80694444444444446</v>
      </c>
      <c r="N486">
        <f>VLOOKUP(A487,[1]timesData!$B:$P,13,FALSE)</f>
        <v>2014</v>
      </c>
      <c r="O486">
        <f>VLOOKUP(A486,[2]cwurData!$B:$P,14,FALSE)</f>
        <v>303</v>
      </c>
      <c r="P486">
        <f>VLOOKUP(A486,[2]cwurData!$B:$N, 3, FALSE)</f>
        <v>27</v>
      </c>
      <c r="Q486">
        <f>VLOOKUP(A486,[2]cwurData!$B:$N, 4, FALSE)</f>
        <v>355</v>
      </c>
      <c r="R486">
        <f>VLOOKUP(A486,[2]cwurData!$B:$N, 5, FALSE)</f>
        <v>453</v>
      </c>
      <c r="S486">
        <f>VLOOKUP(A486,[2]cwurData!$B:$N, 6, FALSE)</f>
        <v>210</v>
      </c>
      <c r="T486">
        <f>VLOOKUP(A486,[2]cwurData!$B:$N, 7, FALSE)</f>
        <v>284</v>
      </c>
      <c r="U486">
        <f>VLOOKUP(A486,[2]cwurData!$B:$N, 8, FALSE)</f>
        <v>288</v>
      </c>
      <c r="V486">
        <f>VLOOKUP(A486,[2]cwurData!$B:$N, 9, FALSE)</f>
        <v>406</v>
      </c>
      <c r="W486">
        <f>VLOOKUP(A486,[2]cwurData!$B:$N, 10, FALSE)</f>
        <v>234</v>
      </c>
      <c r="X486">
        <f>VLOOKUP(A486,[2]cwurData!$B:$N, 11, FALSE)</f>
        <v>426</v>
      </c>
      <c r="Y486">
        <f>VLOOKUP(A486,[2]cwurData!$B:$N, 12, FALSE)</f>
        <v>46.31</v>
      </c>
      <c r="Z486">
        <f>VLOOKUP(A486,[2]cwurData!$B:$N, 13, FALSE)</f>
        <v>2014</v>
      </c>
    </row>
    <row r="487" spans="1:26" x14ac:dyDescent="0.3">
      <c r="A487" t="s">
        <v>453</v>
      </c>
      <c r="B487" t="str">
        <f>IFERROR(VLOOKUP(A487,[1]timesData!$B:$P,2,FALSE),VLOOKUP(A487,[2]cwurData!$B:$P,2,FALSE))</f>
        <v>India</v>
      </c>
      <c r="C487" t="str">
        <f>VLOOKUP(A487,[1]timesData!$B:$P,3,FALSE)</f>
        <v>351-400</v>
      </c>
      <c r="D487" t="str">
        <f>VLOOKUP(A488,[1]timesData!$B:$P,3,FALSE)</f>
        <v>351-400</v>
      </c>
      <c r="E487">
        <f>VLOOKUP(A488,[1]timesData!$B:$P,4,FALSE)</f>
        <v>33.200000000000003</v>
      </c>
      <c r="F487">
        <f>VLOOKUP(A488,[1]timesData!$B:$P,5,FALSE)</f>
        <v>31.6</v>
      </c>
      <c r="G487">
        <f>VLOOKUP(A488,[1]timesData!$B:$P,6,FALSE)</f>
        <v>24.6</v>
      </c>
      <c r="H487">
        <f>VLOOKUP(A488,[1]timesData!$B:$P,7,FALSE)</f>
        <v>36</v>
      </c>
      <c r="I487" t="str">
        <f>VLOOKUP(A488,[1]timesData!$B:$P,8,FALSE)</f>
        <v>-</v>
      </c>
      <c r="J487">
        <f>VLOOKUP(A488,[1]timesData!$B:$P,9,FALSE)</f>
        <v>137378</v>
      </c>
      <c r="K487">
        <f>VLOOKUP(A488,[1]timesData!$B:$P,10,FALSE)</f>
        <v>11.6</v>
      </c>
      <c r="L487">
        <f>VLOOKUP(A488,[1]timesData!$B:$P,11,FALSE)</f>
        <v>0.05</v>
      </c>
      <c r="M487">
        <f>VLOOKUP(A488,[1]timesData!$B:$P,12,FALSE)</f>
        <v>2.1590277777777778</v>
      </c>
      <c r="N487">
        <f>VLOOKUP(A488,[1]timesData!$B:$P,13,FALSE)</f>
        <v>2013</v>
      </c>
      <c r="O487">
        <f>VLOOKUP(A487,[2]cwurData!$B:$P,14,FALSE)</f>
        <v>328</v>
      </c>
      <c r="P487">
        <f>VLOOKUP(A487,[2]cwurData!$B:$N, 3, FALSE)</f>
        <v>1</v>
      </c>
      <c r="Q487">
        <f>VLOOKUP(A487,[2]cwurData!$B:$N, 4, FALSE)</f>
        <v>355</v>
      </c>
      <c r="R487">
        <f>VLOOKUP(A487,[2]cwurData!$B:$N, 5, FALSE)</f>
        <v>57</v>
      </c>
      <c r="S487">
        <f>VLOOKUP(A487,[2]cwurData!$B:$N, 6, FALSE)</f>
        <v>210</v>
      </c>
      <c r="T487">
        <f>VLOOKUP(A487,[2]cwurData!$B:$N, 7, FALSE)</f>
        <v>644</v>
      </c>
      <c r="U487">
        <f>VLOOKUP(A487,[2]cwurData!$B:$N, 8, FALSE)</f>
        <v>928</v>
      </c>
      <c r="V487">
        <f>VLOOKUP(A487,[2]cwurData!$B:$N, 9, FALSE)</f>
        <v>800</v>
      </c>
      <c r="W487">
        <f>VLOOKUP(A487,[2]cwurData!$B:$N, 10, FALSE)</f>
        <v>756</v>
      </c>
      <c r="X487">
        <f>VLOOKUP(A487,[2]cwurData!$B:$N, 11, FALSE)</f>
        <v>426</v>
      </c>
      <c r="Y487">
        <f>VLOOKUP(A487,[2]cwurData!$B:$N, 12, FALSE)</f>
        <v>46.1</v>
      </c>
      <c r="Z487">
        <f>VLOOKUP(A487,[2]cwurData!$B:$N, 13, FALSE)</f>
        <v>2014</v>
      </c>
    </row>
    <row r="488" spans="1:26" x14ac:dyDescent="0.3">
      <c r="A488" t="s">
        <v>435</v>
      </c>
      <c r="B488" t="str">
        <f>IFERROR(VLOOKUP(A488,[1]timesData!$B:$P,2,FALSE),VLOOKUP(A488,[2]cwurData!$B:$P,2,FALSE))</f>
        <v>Mexico</v>
      </c>
      <c r="C488" t="str">
        <f>VLOOKUP(A488,[1]timesData!$B:$P,3,FALSE)</f>
        <v>351-400</v>
      </c>
      <c r="D488" t="str">
        <f>VLOOKUP(A489,[1]timesData!$B:$P,3,FALSE)</f>
        <v>351-400</v>
      </c>
      <c r="E488">
        <f>VLOOKUP(A489,[1]timesData!$B:$P,4,FALSE)</f>
        <v>45.7</v>
      </c>
      <c r="F488">
        <f>VLOOKUP(A489,[1]timesData!$B:$P,5,FALSE)</f>
        <v>23.4</v>
      </c>
      <c r="G488">
        <f>VLOOKUP(A489,[1]timesData!$B:$P,6,FALSE)</f>
        <v>33.700000000000003</v>
      </c>
      <c r="H488">
        <f>VLOOKUP(A489,[1]timesData!$B:$P,7,FALSE)</f>
        <v>86.2</v>
      </c>
      <c r="I488" t="str">
        <f>VLOOKUP(A489,[1]timesData!$B:$P,8,FALSE)</f>
        <v>-</v>
      </c>
      <c r="J488">
        <f>VLOOKUP(A489,[1]timesData!$B:$P,9,FALSE)</f>
        <v>11259</v>
      </c>
      <c r="K488">
        <f>VLOOKUP(A489,[1]timesData!$B:$P,10,FALSE)</f>
        <v>10.6</v>
      </c>
      <c r="L488">
        <f>VLOOKUP(A489,[1]timesData!$B:$P,11,FALSE)</f>
        <v>0.16</v>
      </c>
      <c r="M488">
        <f>VLOOKUP(A489,[1]timesData!$B:$P,12,FALSE)</f>
        <v>2.2000000000000002</v>
      </c>
      <c r="N488">
        <f>VLOOKUP(A489,[1]timesData!$B:$P,13,FALSE)</f>
        <v>2014</v>
      </c>
      <c r="O488">
        <f>VLOOKUP(A488,[2]cwurData!$B:$P,14,FALSE)</f>
        <v>337</v>
      </c>
      <c r="P488">
        <f>VLOOKUP(A488,[2]cwurData!$B:$N, 3, FALSE)</f>
        <v>1</v>
      </c>
      <c r="Q488">
        <f>VLOOKUP(A488,[2]cwurData!$B:$N, 4, FALSE)</f>
        <v>299</v>
      </c>
      <c r="R488">
        <f>VLOOKUP(A488,[2]cwurData!$B:$N, 5, FALSE)</f>
        <v>478</v>
      </c>
      <c r="S488">
        <f>VLOOKUP(A488,[2]cwurData!$B:$N, 6, FALSE)</f>
        <v>210</v>
      </c>
      <c r="T488">
        <f>VLOOKUP(A488,[2]cwurData!$B:$N, 7, FALSE)</f>
        <v>181</v>
      </c>
      <c r="U488">
        <f>VLOOKUP(A488,[2]cwurData!$B:$N, 8, FALSE)</f>
        <v>204</v>
      </c>
      <c r="V488">
        <f>VLOOKUP(A488,[2]cwurData!$B:$N, 9, FALSE)</f>
        <v>406</v>
      </c>
      <c r="W488">
        <f>VLOOKUP(A488,[2]cwurData!$B:$N, 10, FALSE)</f>
        <v>326</v>
      </c>
      <c r="X488">
        <f>VLOOKUP(A488,[2]cwurData!$B:$N, 11, FALSE)</f>
        <v>481</v>
      </c>
      <c r="Y488">
        <f>VLOOKUP(A488,[2]cwurData!$B:$N, 12, FALSE)</f>
        <v>45.99</v>
      </c>
      <c r="Z488">
        <f>VLOOKUP(A488,[2]cwurData!$B:$N, 13, FALSE)</f>
        <v>2014</v>
      </c>
    </row>
    <row r="489" spans="1:26" x14ac:dyDescent="0.3">
      <c r="A489" t="s">
        <v>458</v>
      </c>
      <c r="B489" t="str">
        <f>IFERROR(VLOOKUP(A489,[1]timesData!$B:$P,2,FALSE),VLOOKUP(A489,[2]cwurData!$B:$P,2,FALSE))</f>
        <v>Spain</v>
      </c>
      <c r="C489" t="str">
        <f>VLOOKUP(A489,[1]timesData!$B:$P,3,FALSE)</f>
        <v>351-400</v>
      </c>
      <c r="D489" t="str">
        <f>VLOOKUP(A490,[1]timesData!$B:$P,3,FALSE)</f>
        <v>351-400</v>
      </c>
      <c r="E489">
        <f>VLOOKUP(A490,[1]timesData!$B:$P,4,FALSE)</f>
        <v>22.2</v>
      </c>
      <c r="F489">
        <f>VLOOKUP(A490,[1]timesData!$B:$P,5,FALSE)</f>
        <v>23.1</v>
      </c>
      <c r="G489">
        <f>VLOOKUP(A490,[1]timesData!$B:$P,6,FALSE)</f>
        <v>61.1</v>
      </c>
      <c r="H489">
        <f>VLOOKUP(A490,[1]timesData!$B:$P,7,FALSE)</f>
        <v>29.2</v>
      </c>
      <c r="I489" t="str">
        <f>VLOOKUP(A490,[1]timesData!$B:$P,8,FALSE)</f>
        <v>-</v>
      </c>
      <c r="J489">
        <f>VLOOKUP(A490,[1]timesData!$B:$P,9,FALSE)</f>
        <v>27420</v>
      </c>
      <c r="K489">
        <f>VLOOKUP(A490,[1]timesData!$B:$P,10,FALSE)</f>
        <v>31.7</v>
      </c>
      <c r="L489">
        <f>VLOOKUP(A490,[1]timesData!$B:$P,11,FALSE)</f>
        <v>0.05</v>
      </c>
      <c r="M489">
        <f>VLOOKUP(A490,[1]timesData!$B:$P,12,FALSE)</f>
        <v>2.4048611111111109</v>
      </c>
      <c r="N489">
        <f>VLOOKUP(A490,[1]timesData!$B:$P,13,FALSE)</f>
        <v>2014</v>
      </c>
      <c r="O489">
        <f>VLOOKUP(A489,[2]cwurData!$B:$P,14,FALSE)</f>
        <v>347</v>
      </c>
      <c r="P489">
        <f>VLOOKUP(A489,[2]cwurData!$B:$N, 3, FALSE)</f>
        <v>6</v>
      </c>
      <c r="Q489">
        <f>VLOOKUP(A489,[2]cwurData!$B:$N, 4, FALSE)</f>
        <v>355</v>
      </c>
      <c r="R489">
        <f>VLOOKUP(A489,[2]cwurData!$B:$N, 5, FALSE)</f>
        <v>72</v>
      </c>
      <c r="S489">
        <f>VLOOKUP(A489,[2]cwurData!$B:$N, 6, FALSE)</f>
        <v>210</v>
      </c>
      <c r="T489">
        <f>VLOOKUP(A489,[2]cwurData!$B:$N, 7, FALSE)</f>
        <v>582</v>
      </c>
      <c r="U489">
        <f>VLOOKUP(A489,[2]cwurData!$B:$N, 8, FALSE)</f>
        <v>734</v>
      </c>
      <c r="V489">
        <f>VLOOKUP(A489,[2]cwurData!$B:$N, 9, FALSE)</f>
        <v>800</v>
      </c>
      <c r="W489">
        <f>VLOOKUP(A489,[2]cwurData!$B:$N, 10, FALSE)</f>
        <v>523</v>
      </c>
      <c r="X489">
        <f>VLOOKUP(A489,[2]cwurData!$B:$N, 11, FALSE)</f>
        <v>426</v>
      </c>
      <c r="Y489">
        <f>VLOOKUP(A489,[2]cwurData!$B:$N, 12, FALSE)</f>
        <v>45.88</v>
      </c>
      <c r="Z489">
        <f>VLOOKUP(A489,[2]cwurData!$B:$N, 13, FALSE)</f>
        <v>2014</v>
      </c>
    </row>
    <row r="490" spans="1:26" x14ac:dyDescent="0.3">
      <c r="A490" t="s">
        <v>456</v>
      </c>
      <c r="B490" t="str">
        <f>IFERROR(VLOOKUP(A490,[1]timesData!$B:$P,2,FALSE),VLOOKUP(A490,[2]cwurData!$B:$P,2,FALSE))</f>
        <v>United States of America</v>
      </c>
      <c r="C490" t="str">
        <f>VLOOKUP(A490,[1]timesData!$B:$P,3,FALSE)</f>
        <v>351-400</v>
      </c>
      <c r="D490" t="str">
        <f>VLOOKUP(A491,[1]timesData!$B:$P,3,FALSE)</f>
        <v>351-400</v>
      </c>
      <c r="E490">
        <f>VLOOKUP(A491,[1]timesData!$B:$P,4,FALSE)</f>
        <v>36</v>
      </c>
      <c r="F490">
        <f>VLOOKUP(A491,[1]timesData!$B:$P,5,FALSE)</f>
        <v>18</v>
      </c>
      <c r="G490">
        <f>VLOOKUP(A491,[1]timesData!$B:$P,6,FALSE)</f>
        <v>57.6</v>
      </c>
      <c r="H490">
        <f>VLOOKUP(A491,[1]timesData!$B:$P,7,FALSE)</f>
        <v>61.3</v>
      </c>
      <c r="I490" t="str">
        <f>VLOOKUP(A491,[1]timesData!$B:$P,8,FALSE)</f>
        <v>-</v>
      </c>
      <c r="J490">
        <f>VLOOKUP(A491,[1]timesData!$B:$P,9,FALSE)</f>
        <v>17625</v>
      </c>
      <c r="K490">
        <f>VLOOKUP(A491,[1]timesData!$B:$P,10,FALSE)</f>
        <v>14.4</v>
      </c>
      <c r="L490">
        <f>VLOOKUP(A491,[1]timesData!$B:$P,11,FALSE)</f>
        <v>0.06</v>
      </c>
      <c r="M490">
        <f>VLOOKUP(A491,[1]timesData!$B:$P,12,FALSE)</f>
        <v>4.166666666666667</v>
      </c>
      <c r="N490">
        <f>VLOOKUP(A491,[1]timesData!$B:$P,13,FALSE)</f>
        <v>2015</v>
      </c>
      <c r="O490">
        <f>VLOOKUP(A490,[2]cwurData!$B:$P,14,FALSE)</f>
        <v>348</v>
      </c>
      <c r="P490">
        <f>VLOOKUP(A490,[2]cwurData!$B:$N, 3, FALSE)</f>
        <v>127</v>
      </c>
      <c r="Q490">
        <f>VLOOKUP(A490,[2]cwurData!$B:$N, 4, FALSE)</f>
        <v>240</v>
      </c>
      <c r="R490">
        <f>VLOOKUP(A490,[2]cwurData!$B:$N, 5, FALSE)</f>
        <v>187</v>
      </c>
      <c r="S490">
        <f>VLOOKUP(A490,[2]cwurData!$B:$N, 6, FALSE)</f>
        <v>210</v>
      </c>
      <c r="T490">
        <f>VLOOKUP(A490,[2]cwurData!$B:$N, 7, FALSE)</f>
        <v>480</v>
      </c>
      <c r="U490">
        <f>VLOOKUP(A490,[2]cwurData!$B:$N, 8, FALSE)</f>
        <v>290</v>
      </c>
      <c r="V490">
        <f>VLOOKUP(A490,[2]cwurData!$B:$N, 9, FALSE)</f>
        <v>200</v>
      </c>
      <c r="W490">
        <f>VLOOKUP(A490,[2]cwurData!$B:$N, 10, FALSE)</f>
        <v>341</v>
      </c>
      <c r="X490">
        <f>VLOOKUP(A490,[2]cwurData!$B:$N, 11, FALSE)</f>
        <v>481</v>
      </c>
      <c r="Y490">
        <f>VLOOKUP(A490,[2]cwurData!$B:$N, 12, FALSE)</f>
        <v>45.88</v>
      </c>
      <c r="Z490">
        <f>VLOOKUP(A490,[2]cwurData!$B:$N, 13, FALSE)</f>
        <v>2014</v>
      </c>
    </row>
    <row r="491" spans="1:26" x14ac:dyDescent="0.3">
      <c r="A491" t="s">
        <v>475</v>
      </c>
      <c r="B491" t="str">
        <f>IFERROR(VLOOKUP(A491,[1]timesData!$B:$P,2,FALSE),VLOOKUP(A491,[2]cwurData!$B:$P,2,FALSE))</f>
        <v>South Korea</v>
      </c>
      <c r="C491" t="str">
        <f>VLOOKUP(A491,[1]timesData!$B:$P,3,FALSE)</f>
        <v>351-400</v>
      </c>
      <c r="D491" t="str">
        <f>VLOOKUP(A492,[1]timesData!$B:$P,3,FALSE)</f>
        <v>351-400</v>
      </c>
      <c r="E491">
        <f>VLOOKUP(A492,[1]timesData!$B:$P,4,FALSE)</f>
        <v>20.100000000000001</v>
      </c>
      <c r="F491">
        <f>VLOOKUP(A492,[1]timesData!$B:$P,5,FALSE)</f>
        <v>18.8</v>
      </c>
      <c r="G491">
        <f>VLOOKUP(A492,[1]timesData!$B:$P,6,FALSE)</f>
        <v>43.3</v>
      </c>
      <c r="H491" t="str">
        <f>VLOOKUP(A492,[1]timesData!$B:$P,7,FALSE)</f>
        <v>-</v>
      </c>
      <c r="I491" t="str">
        <f>VLOOKUP(A492,[1]timesData!$B:$P,8,FALSE)</f>
        <v>-</v>
      </c>
      <c r="J491">
        <f>VLOOKUP(A492,[1]timesData!$B:$P,9,FALSE)</f>
        <v>33268</v>
      </c>
      <c r="K491">
        <f>VLOOKUP(A492,[1]timesData!$B:$P,10,FALSE)</f>
        <v>13.3</v>
      </c>
      <c r="L491">
        <f>VLOOKUP(A492,[1]timesData!$B:$P,11,FALSE)</f>
        <v>0.05</v>
      </c>
      <c r="M491">
        <f>VLOOKUP(A492,[1]timesData!$B:$P,12,FALSE)</f>
        <v>2.1590277777777778</v>
      </c>
      <c r="N491">
        <f>VLOOKUP(A492,[1]timesData!$B:$P,13,FALSE)</f>
        <v>2013</v>
      </c>
      <c r="O491">
        <f>VLOOKUP(A491,[2]cwurData!$B:$P,14,FALSE)</f>
        <v>374</v>
      </c>
      <c r="P491">
        <f>VLOOKUP(A491,[2]cwurData!$B:$N, 3, FALSE)</f>
        <v>10</v>
      </c>
      <c r="Q491">
        <f>VLOOKUP(A491,[2]cwurData!$B:$N, 4, FALSE)</f>
        <v>355</v>
      </c>
      <c r="R491">
        <f>VLOOKUP(A491,[2]cwurData!$B:$N, 5, FALSE)</f>
        <v>478</v>
      </c>
      <c r="S491">
        <f>VLOOKUP(A491,[2]cwurData!$B:$N, 6, FALSE)</f>
        <v>210</v>
      </c>
      <c r="T491">
        <f>VLOOKUP(A491,[2]cwurData!$B:$N, 7, FALSE)</f>
        <v>474</v>
      </c>
      <c r="U491">
        <f>VLOOKUP(A491,[2]cwurData!$B:$N, 8, FALSE)</f>
        <v>505</v>
      </c>
      <c r="V491">
        <f>VLOOKUP(A491,[2]cwurData!$B:$N, 9, FALSE)</f>
        <v>609</v>
      </c>
      <c r="W491">
        <f>VLOOKUP(A491,[2]cwurData!$B:$N, 10, FALSE)</f>
        <v>452</v>
      </c>
      <c r="X491">
        <f>VLOOKUP(A491,[2]cwurData!$B:$N, 11, FALSE)</f>
        <v>89</v>
      </c>
      <c r="Y491">
        <f>VLOOKUP(A491,[2]cwurData!$B:$N, 12, FALSE)</f>
        <v>45.67</v>
      </c>
      <c r="Z491">
        <f>VLOOKUP(A491,[2]cwurData!$B:$N, 13, FALSE)</f>
        <v>2014</v>
      </c>
    </row>
    <row r="492" spans="1:26" x14ac:dyDescent="0.3">
      <c r="A492" t="s">
        <v>438</v>
      </c>
      <c r="B492" t="str">
        <f>IFERROR(VLOOKUP(A492,[1]timesData!$B:$P,2,FALSE),VLOOKUP(A492,[2]cwurData!$B:$P,2,FALSE))</f>
        <v>United States of America</v>
      </c>
      <c r="C492" t="str">
        <f>VLOOKUP(A492,[1]timesData!$B:$P,3,FALSE)</f>
        <v>351-400</v>
      </c>
      <c r="D492" t="str">
        <f>VLOOKUP(A493,[1]timesData!$B:$P,3,FALSE)</f>
        <v>351-400</v>
      </c>
      <c r="E492">
        <f>VLOOKUP(A493,[1]timesData!$B:$P,4,FALSE)</f>
        <v>72.2</v>
      </c>
      <c r="F492">
        <f>VLOOKUP(A493,[1]timesData!$B:$P,5,FALSE)</f>
        <v>21.1</v>
      </c>
      <c r="G492">
        <f>VLOOKUP(A493,[1]timesData!$B:$P,6,FALSE)</f>
        <v>32.299999999999997</v>
      </c>
      <c r="H492">
        <f>VLOOKUP(A493,[1]timesData!$B:$P,7,FALSE)</f>
        <v>93.9</v>
      </c>
      <c r="I492" t="str">
        <f>VLOOKUP(A493,[1]timesData!$B:$P,8,FALSE)</f>
        <v>-</v>
      </c>
      <c r="J492">
        <f>VLOOKUP(A493,[1]timesData!$B:$P,9,FALSE)</f>
        <v>40666</v>
      </c>
      <c r="K492">
        <f>VLOOKUP(A493,[1]timesData!$B:$P,10,FALSE)</f>
        <v>13.4</v>
      </c>
      <c r="L492">
        <f>VLOOKUP(A493,[1]timesData!$B:$P,11,FALSE)</f>
        <v>7.0000000000000007E-2</v>
      </c>
      <c r="M492">
        <f>VLOOKUP(A493,[1]timesData!$B:$P,12,FALSE)</f>
        <v>0</v>
      </c>
      <c r="N492">
        <f>VLOOKUP(A493,[1]timesData!$B:$P,13,FALSE)</f>
        <v>2014</v>
      </c>
      <c r="O492">
        <f>VLOOKUP(A492,[2]cwurData!$B:$P,14,FALSE)</f>
        <v>390</v>
      </c>
      <c r="P492">
        <f>VLOOKUP(A492,[2]cwurData!$B:$N, 3, FALSE)</f>
        <v>136</v>
      </c>
      <c r="Q492">
        <f>VLOOKUP(A492,[2]cwurData!$B:$N, 4, FALSE)</f>
        <v>262</v>
      </c>
      <c r="R492">
        <f>VLOOKUP(A492,[2]cwurData!$B:$N, 5, FALSE)</f>
        <v>478</v>
      </c>
      <c r="S492">
        <f>VLOOKUP(A492,[2]cwurData!$B:$N, 6, FALSE)</f>
        <v>210</v>
      </c>
      <c r="T492">
        <f>VLOOKUP(A492,[2]cwurData!$B:$N, 7, FALSE)</f>
        <v>341</v>
      </c>
      <c r="U492">
        <f>VLOOKUP(A492,[2]cwurData!$B:$N, 8, FALSE)</f>
        <v>378</v>
      </c>
      <c r="V492">
        <f>VLOOKUP(A492,[2]cwurData!$B:$N, 9, FALSE)</f>
        <v>493</v>
      </c>
      <c r="W492">
        <f>VLOOKUP(A492,[2]cwurData!$B:$N, 10, FALSE)</f>
        <v>355</v>
      </c>
      <c r="X492">
        <f>VLOOKUP(A492,[2]cwurData!$B:$N, 11, FALSE)</f>
        <v>194</v>
      </c>
      <c r="Y492">
        <f>VLOOKUP(A492,[2]cwurData!$B:$N, 12, FALSE)</f>
        <v>45.59</v>
      </c>
      <c r="Z492">
        <f>VLOOKUP(A492,[2]cwurData!$B:$N, 13, FALSE)</f>
        <v>2014</v>
      </c>
    </row>
    <row r="493" spans="1:26" x14ac:dyDescent="0.3">
      <c r="A493" t="s">
        <v>455</v>
      </c>
      <c r="B493" t="str">
        <f>IFERROR(VLOOKUP(A493,[1]timesData!$B:$P,2,FALSE),VLOOKUP(A493,[2]cwurData!$B:$P,2,FALSE))</f>
        <v>Saudi Arabia</v>
      </c>
      <c r="C493" t="str">
        <f>VLOOKUP(A493,[1]timesData!$B:$P,3,FALSE)</f>
        <v>351-400</v>
      </c>
      <c r="D493" t="str">
        <f>VLOOKUP(A494,[1]timesData!$B:$P,3,FALSE)</f>
        <v>351-400</v>
      </c>
      <c r="E493">
        <f>VLOOKUP(A494,[1]timesData!$B:$P,4,FALSE)</f>
        <v>56.9</v>
      </c>
      <c r="F493">
        <f>VLOOKUP(A494,[1]timesData!$B:$P,5,FALSE)</f>
        <v>15.9</v>
      </c>
      <c r="G493">
        <f>VLOOKUP(A494,[1]timesData!$B:$P,6,FALSE)</f>
        <v>62.3</v>
      </c>
      <c r="H493">
        <f>VLOOKUP(A494,[1]timesData!$B:$P,7,FALSE)</f>
        <v>30.9</v>
      </c>
      <c r="I493" t="str">
        <f>VLOOKUP(A494,[1]timesData!$B:$P,8,FALSE)</f>
        <v>-</v>
      </c>
      <c r="J493">
        <f>VLOOKUP(A494,[1]timesData!$B:$P,9,FALSE)</f>
        <v>14056</v>
      </c>
      <c r="K493">
        <f>VLOOKUP(A494,[1]timesData!$B:$P,10,FALSE)</f>
        <v>8.5</v>
      </c>
      <c r="L493">
        <f>VLOOKUP(A494,[1]timesData!$B:$P,11,FALSE)</f>
        <v>0.06</v>
      </c>
      <c r="M493">
        <f>VLOOKUP(A494,[1]timesData!$B:$P,12,FALSE)</f>
        <v>2.0770833333333334</v>
      </c>
      <c r="N493">
        <f>VLOOKUP(A494,[1]timesData!$B:$P,13,FALSE)</f>
        <v>2016</v>
      </c>
      <c r="O493">
        <f>VLOOKUP(A493,[2]cwurData!$B:$P,14,FALSE)</f>
        <v>420</v>
      </c>
      <c r="P493">
        <f>VLOOKUP(A493,[2]cwurData!$B:$N, 3, FALSE)</f>
        <v>1</v>
      </c>
      <c r="Q493">
        <f>VLOOKUP(A493,[2]cwurData!$B:$N, 4, FALSE)</f>
        <v>355</v>
      </c>
      <c r="R493">
        <f>VLOOKUP(A493,[2]cwurData!$B:$N, 5, FALSE)</f>
        <v>133</v>
      </c>
      <c r="S493">
        <f>VLOOKUP(A493,[2]cwurData!$B:$N, 6, FALSE)</f>
        <v>210</v>
      </c>
      <c r="T493">
        <f>VLOOKUP(A493,[2]cwurData!$B:$N, 7, FALSE)</f>
        <v>611</v>
      </c>
      <c r="U493">
        <f>VLOOKUP(A493,[2]cwurData!$B:$N, 8, FALSE)</f>
        <v>537</v>
      </c>
      <c r="V493">
        <f>VLOOKUP(A493,[2]cwurData!$B:$N, 9, FALSE)</f>
        <v>800</v>
      </c>
      <c r="W493">
        <f>VLOOKUP(A493,[2]cwurData!$B:$N, 10, FALSE)</f>
        <v>897</v>
      </c>
      <c r="X493">
        <f>VLOOKUP(A493,[2]cwurData!$B:$N, 11, FALSE)</f>
        <v>115</v>
      </c>
      <c r="Y493">
        <f>VLOOKUP(A493,[2]cwurData!$B:$N, 12, FALSE)</f>
        <v>45.45</v>
      </c>
      <c r="Z493">
        <f>VLOOKUP(A493,[2]cwurData!$B:$N, 13, FALSE)</f>
        <v>2014</v>
      </c>
    </row>
    <row r="494" spans="1:26" x14ac:dyDescent="0.3">
      <c r="A494" t="s">
        <v>514</v>
      </c>
      <c r="B494" t="str">
        <f>IFERROR(VLOOKUP(A494,[1]timesData!$B:$P,2,FALSE),VLOOKUP(A494,[2]cwurData!$B:$P,2,FALSE))</f>
        <v>Finland</v>
      </c>
      <c r="C494" t="str">
        <f>VLOOKUP(A494,[1]timesData!$B:$P,3,FALSE)</f>
        <v>351-400</v>
      </c>
      <c r="D494" t="str">
        <f>VLOOKUP(A495,[1]timesData!$B:$P,3,FALSE)</f>
        <v>351-400</v>
      </c>
      <c r="E494">
        <f>VLOOKUP(A495,[1]timesData!$B:$P,4,FALSE)</f>
        <v>56.2</v>
      </c>
      <c r="F494">
        <f>VLOOKUP(A495,[1]timesData!$B:$P,5,FALSE)</f>
        <v>20.2</v>
      </c>
      <c r="G494">
        <f>VLOOKUP(A495,[1]timesData!$B:$P,6,FALSE)</f>
        <v>40</v>
      </c>
      <c r="H494">
        <f>VLOOKUP(A495,[1]timesData!$B:$P,7,FALSE)</f>
        <v>28.5</v>
      </c>
      <c r="I494" t="str">
        <f>VLOOKUP(A495,[1]timesData!$B:$P,8,FALSE)</f>
        <v>-</v>
      </c>
      <c r="J494">
        <f>VLOOKUP(A495,[1]timesData!$B:$P,9,FALSE)</f>
        <v>30572</v>
      </c>
      <c r="K494">
        <f>VLOOKUP(A495,[1]timesData!$B:$P,10,FALSE)</f>
        <v>24.9</v>
      </c>
      <c r="L494">
        <f>VLOOKUP(A495,[1]timesData!$B:$P,11,FALSE)</f>
        <v>0.06</v>
      </c>
      <c r="M494">
        <f>VLOOKUP(A495,[1]timesData!$B:$P,12,FALSE)</f>
        <v>2.4458333333333333</v>
      </c>
      <c r="N494">
        <f>VLOOKUP(A495,[1]timesData!$B:$P,13,FALSE)</f>
        <v>2013</v>
      </c>
      <c r="O494">
        <f>VLOOKUP(A494,[2]cwurData!$B:$P,14,FALSE)</f>
        <v>425</v>
      </c>
      <c r="P494">
        <f>VLOOKUP(A494,[2]cwurData!$B:$N, 3, FALSE)</f>
        <v>5</v>
      </c>
      <c r="Q494">
        <f>VLOOKUP(A494,[2]cwurData!$B:$N, 4, FALSE)</f>
        <v>253</v>
      </c>
      <c r="R494">
        <f>VLOOKUP(A494,[2]cwurData!$B:$N, 5, FALSE)</f>
        <v>354</v>
      </c>
      <c r="S494">
        <f>VLOOKUP(A494,[2]cwurData!$B:$N, 6, FALSE)</f>
        <v>210</v>
      </c>
      <c r="T494">
        <f>VLOOKUP(A494,[2]cwurData!$B:$N, 7, FALSE)</f>
        <v>426</v>
      </c>
      <c r="U494">
        <f>VLOOKUP(A494,[2]cwurData!$B:$N, 8, FALSE)</f>
        <v>360</v>
      </c>
      <c r="V494">
        <f>VLOOKUP(A494,[2]cwurData!$B:$N, 9, FALSE)</f>
        <v>493</v>
      </c>
      <c r="W494">
        <f>VLOOKUP(A494,[2]cwurData!$B:$N, 10, FALSE)</f>
        <v>361</v>
      </c>
      <c r="X494">
        <f>VLOOKUP(A494,[2]cwurData!$B:$N, 11, FALSE)</f>
        <v>373</v>
      </c>
      <c r="Y494">
        <f>VLOOKUP(A494,[2]cwurData!$B:$N, 12, FALSE)</f>
        <v>45.43</v>
      </c>
      <c r="Z494">
        <f>VLOOKUP(A494,[2]cwurData!$B:$N, 13, FALSE)</f>
        <v>2014</v>
      </c>
    </row>
    <row r="495" spans="1:26" x14ac:dyDescent="0.3">
      <c r="A495" t="s">
        <v>441</v>
      </c>
      <c r="B495" t="str">
        <f>IFERROR(VLOOKUP(A495,[1]timesData!$B:$P,2,FALSE),VLOOKUP(A495,[2]cwurData!$B:$P,2,FALSE))</f>
        <v>South Africa</v>
      </c>
      <c r="C495" t="str">
        <f>VLOOKUP(A495,[1]timesData!$B:$P,3,FALSE)</f>
        <v>351-400</v>
      </c>
      <c r="D495" t="str">
        <f>VLOOKUP(A496,[1]timesData!$B:$P,3,FALSE)</f>
        <v>351-400</v>
      </c>
      <c r="E495">
        <f>VLOOKUP(A496,[1]timesData!$B:$P,4,FALSE)</f>
        <v>17.3</v>
      </c>
      <c r="F495">
        <f>VLOOKUP(A496,[1]timesData!$B:$P,5,FALSE)</f>
        <v>25.2</v>
      </c>
      <c r="G495">
        <f>VLOOKUP(A496,[1]timesData!$B:$P,6,FALSE)</f>
        <v>41.8</v>
      </c>
      <c r="H495">
        <f>VLOOKUP(A496,[1]timesData!$B:$P,7,FALSE)</f>
        <v>42.4</v>
      </c>
      <c r="I495" t="str">
        <f>VLOOKUP(A496,[1]timesData!$B:$P,8,FALSE)</f>
        <v>-</v>
      </c>
      <c r="J495">
        <f>VLOOKUP(A496,[1]timesData!$B:$P,9,FALSE)</f>
        <v>6167</v>
      </c>
      <c r="K495">
        <f>VLOOKUP(A496,[1]timesData!$B:$P,10,FALSE)</f>
        <v>12.2</v>
      </c>
      <c r="L495">
        <f>VLOOKUP(A496,[1]timesData!$B:$P,11,FALSE)</f>
        <v>0</v>
      </c>
      <c r="M495">
        <f>VLOOKUP(A496,[1]timesData!$B:$P,12,FALSE)</f>
        <v>0.6020833333333333</v>
      </c>
      <c r="N495">
        <f>VLOOKUP(A496,[1]timesData!$B:$P,13,FALSE)</f>
        <v>2014</v>
      </c>
      <c r="O495">
        <f>VLOOKUP(A495,[2]cwurData!$B:$P,14,FALSE)</f>
        <v>459</v>
      </c>
      <c r="P495">
        <f>VLOOKUP(A495,[2]cwurData!$B:$N, 3, FALSE)</f>
        <v>4</v>
      </c>
      <c r="Q495">
        <f>VLOOKUP(A495,[2]cwurData!$B:$N, 4, FALSE)</f>
        <v>355</v>
      </c>
      <c r="R495">
        <f>VLOOKUP(A495,[2]cwurData!$B:$N, 5, FALSE)</f>
        <v>142</v>
      </c>
      <c r="S495">
        <f>VLOOKUP(A495,[2]cwurData!$B:$N, 6, FALSE)</f>
        <v>210</v>
      </c>
      <c r="T495">
        <f>VLOOKUP(A495,[2]cwurData!$B:$N, 7, FALSE)</f>
        <v>584</v>
      </c>
      <c r="U495">
        <f>VLOOKUP(A495,[2]cwurData!$B:$N, 8, FALSE)</f>
        <v>436</v>
      </c>
      <c r="V495">
        <f>VLOOKUP(A495,[2]cwurData!$B:$N, 9, FALSE)</f>
        <v>310</v>
      </c>
      <c r="W495">
        <f>VLOOKUP(A495,[2]cwurData!$B:$N, 10, FALSE)</f>
        <v>554</v>
      </c>
      <c r="X495">
        <f>VLOOKUP(A495,[2]cwurData!$B:$N, 11, FALSE)</f>
        <v>737</v>
      </c>
      <c r="Y495">
        <f>VLOOKUP(A495,[2]cwurData!$B:$N, 12, FALSE)</f>
        <v>45.26</v>
      </c>
      <c r="Z495">
        <f>VLOOKUP(A495,[2]cwurData!$B:$N, 13, FALSE)</f>
        <v>2014</v>
      </c>
    </row>
    <row r="496" spans="1:26" x14ac:dyDescent="0.3">
      <c r="A496" t="s">
        <v>454</v>
      </c>
      <c r="B496" t="str">
        <f>IFERROR(VLOOKUP(A496,[1]timesData!$B:$P,2,FALSE),VLOOKUP(A496,[2]cwurData!$B:$P,2,FALSE))</f>
        <v>India</v>
      </c>
      <c r="C496" t="str">
        <f>VLOOKUP(A496,[1]timesData!$B:$P,3,FALSE)</f>
        <v>351-400</v>
      </c>
      <c r="D496" t="str">
        <f>VLOOKUP(A497,[1]timesData!$B:$P,3,FALSE)</f>
        <v>351-400</v>
      </c>
      <c r="E496">
        <f>VLOOKUP(A497,[1]timesData!$B:$P,4,FALSE)</f>
        <v>15.6</v>
      </c>
      <c r="F496">
        <f>VLOOKUP(A497,[1]timesData!$B:$P,5,FALSE)</f>
        <v>13.7</v>
      </c>
      <c r="G496">
        <f>VLOOKUP(A497,[1]timesData!$B:$P,6,FALSE)</f>
        <v>45.8</v>
      </c>
      <c r="H496">
        <f>VLOOKUP(A497,[1]timesData!$B:$P,7,FALSE)</f>
        <v>70.400000000000006</v>
      </c>
      <c r="I496" t="str">
        <f>VLOOKUP(A497,[1]timesData!$B:$P,8,FALSE)</f>
        <v>-</v>
      </c>
      <c r="J496">
        <f>VLOOKUP(A497,[1]timesData!$B:$P,9,FALSE)</f>
        <v>8061</v>
      </c>
      <c r="K496">
        <f>VLOOKUP(A497,[1]timesData!$B:$P,10,FALSE)</f>
        <v>18.7</v>
      </c>
      <c r="L496">
        <f>VLOOKUP(A497,[1]timesData!$B:$P,11,FALSE)</f>
        <v>0.01</v>
      </c>
      <c r="M496">
        <f>VLOOKUP(A497,[1]timesData!$B:$P,12,FALSE)</f>
        <v>0.76597222222222228</v>
      </c>
      <c r="N496">
        <f>VLOOKUP(A497,[1]timesData!$B:$P,13,FALSE)</f>
        <v>2013</v>
      </c>
      <c r="O496">
        <f>VLOOKUP(A496,[2]cwurData!$B:$P,14,FALSE)</f>
        <v>569</v>
      </c>
      <c r="P496">
        <f>VLOOKUP(A496,[2]cwurData!$B:$N, 3, FALSE)</f>
        <v>6</v>
      </c>
      <c r="Q496">
        <f>VLOOKUP(A496,[2]cwurData!$B:$N, 4, FALSE)</f>
        <v>153</v>
      </c>
      <c r="R496">
        <f>VLOOKUP(A496,[2]cwurData!$B:$N, 5, FALSE)</f>
        <v>308</v>
      </c>
      <c r="S496">
        <f>VLOOKUP(A496,[2]cwurData!$B:$N, 6, FALSE)</f>
        <v>210</v>
      </c>
      <c r="T496">
        <f>VLOOKUP(A496,[2]cwurData!$B:$N, 7, FALSE)</f>
        <v>536</v>
      </c>
      <c r="U496">
        <f>VLOOKUP(A496,[2]cwurData!$B:$N, 8, FALSE)</f>
        <v>846</v>
      </c>
      <c r="V496">
        <f>VLOOKUP(A496,[2]cwurData!$B:$N, 9, FALSE)</f>
        <v>609</v>
      </c>
      <c r="W496">
        <f>VLOOKUP(A496,[2]cwurData!$B:$N, 10, FALSE)</f>
        <v>724</v>
      </c>
      <c r="X496">
        <f>VLOOKUP(A496,[2]cwurData!$B:$N, 11, FALSE)</f>
        <v>227</v>
      </c>
      <c r="Y496">
        <f>VLOOKUP(A496,[2]cwurData!$B:$N, 12, FALSE)</f>
        <v>44.91</v>
      </c>
      <c r="Z496">
        <f>VLOOKUP(A496,[2]cwurData!$B:$N, 13, FALSE)</f>
        <v>2014</v>
      </c>
    </row>
    <row r="497" spans="1:26" x14ac:dyDescent="0.3">
      <c r="A497" t="s">
        <v>433</v>
      </c>
      <c r="B497" t="str">
        <f>IFERROR(VLOOKUP(A497,[1]timesData!$B:$P,2,FALSE),VLOOKUP(A497,[2]cwurData!$B:$P,2,FALSE))</f>
        <v>India</v>
      </c>
      <c r="C497" t="str">
        <f>VLOOKUP(A497,[1]timesData!$B:$P,3,FALSE)</f>
        <v>351-400</v>
      </c>
      <c r="D497" t="str">
        <f>VLOOKUP(A498,[1]timesData!$B:$P,3,FALSE)</f>
        <v>351-400</v>
      </c>
      <c r="E497">
        <f>VLOOKUP(A498,[1]timesData!$B:$P,4,FALSE)</f>
        <v>82.6</v>
      </c>
      <c r="F497">
        <f>VLOOKUP(A498,[1]timesData!$B:$P,5,FALSE)</f>
        <v>18.899999999999999</v>
      </c>
      <c r="G497">
        <f>VLOOKUP(A498,[1]timesData!$B:$P,6,FALSE)</f>
        <v>43.5</v>
      </c>
      <c r="H497">
        <f>VLOOKUP(A498,[1]timesData!$B:$P,7,FALSE)</f>
        <v>28.4</v>
      </c>
      <c r="I497" t="str">
        <f>VLOOKUP(A498,[1]timesData!$B:$P,8,FALSE)</f>
        <v>-</v>
      </c>
      <c r="J497">
        <f>VLOOKUP(A498,[1]timesData!$B:$P,9,FALSE)</f>
        <v>2473</v>
      </c>
      <c r="K497">
        <f>VLOOKUP(A498,[1]timesData!$B:$P,10,FALSE)</f>
        <v>15.6</v>
      </c>
      <c r="L497">
        <f>VLOOKUP(A498,[1]timesData!$B:$P,11,FALSE)</f>
        <v>0.63</v>
      </c>
      <c r="M497">
        <f>VLOOKUP(A498,[1]timesData!$B:$P,12,FALSE)</f>
        <v>2.3229166666666665</v>
      </c>
      <c r="N497">
        <f>VLOOKUP(A498,[1]timesData!$B:$P,13,FALSE)</f>
        <v>2015</v>
      </c>
      <c r="O497">
        <f>VLOOKUP(A497,[2]cwurData!$B:$P,14,FALSE)</f>
        <v>611</v>
      </c>
      <c r="P497">
        <f>VLOOKUP(A497,[2]cwurData!$B:$N, 3, FALSE)</f>
        <v>10</v>
      </c>
      <c r="Q497">
        <f>VLOOKUP(A497,[2]cwurData!$B:$N, 4, FALSE)</f>
        <v>355</v>
      </c>
      <c r="R497">
        <f>VLOOKUP(A497,[2]cwurData!$B:$N, 5, FALSE)</f>
        <v>307</v>
      </c>
      <c r="S497">
        <f>VLOOKUP(A497,[2]cwurData!$B:$N, 6, FALSE)</f>
        <v>210</v>
      </c>
      <c r="T497">
        <f>VLOOKUP(A497,[2]cwurData!$B:$N, 7, FALSE)</f>
        <v>845</v>
      </c>
      <c r="U497">
        <f>VLOOKUP(A497,[2]cwurData!$B:$N, 8, FALSE)</f>
        <v>846</v>
      </c>
      <c r="V497">
        <f>VLOOKUP(A497,[2]cwurData!$B:$N, 9, FALSE)</f>
        <v>609</v>
      </c>
      <c r="W497">
        <f>VLOOKUP(A497,[2]cwurData!$B:$N, 10, FALSE)</f>
        <v>554</v>
      </c>
      <c r="X497">
        <f>VLOOKUP(A497,[2]cwurData!$B:$N, 11, FALSE)</f>
        <v>737</v>
      </c>
      <c r="Y497">
        <f>VLOOKUP(A497,[2]cwurData!$B:$N, 12, FALSE)</f>
        <v>44.79</v>
      </c>
      <c r="Z497">
        <f>VLOOKUP(A497,[2]cwurData!$B:$N, 13, FALSE)</f>
        <v>2014</v>
      </c>
    </row>
    <row r="498" spans="1:26" x14ac:dyDescent="0.3">
      <c r="A498" t="s">
        <v>477</v>
      </c>
      <c r="B498" t="str">
        <f>IFERROR(VLOOKUP(A498,[1]timesData!$B:$P,2,FALSE),VLOOKUP(A498,[2]cwurData!$B:$P,2,FALSE))</f>
        <v>Republic of Ireland</v>
      </c>
      <c r="C498" t="str">
        <f>VLOOKUP(A498,[1]timesData!$B:$P,3,FALSE)</f>
        <v>351-400</v>
      </c>
      <c r="D498" t="str">
        <f>VLOOKUP(A499,[1]timesData!$B:$P,3,FALSE)</f>
        <v>351-400</v>
      </c>
      <c r="E498">
        <f>VLOOKUP(A499,[1]timesData!$B:$P,4,FALSE)</f>
        <v>49.7</v>
      </c>
      <c r="F498">
        <f>VLOOKUP(A499,[1]timesData!$B:$P,5,FALSE)</f>
        <v>15.8</v>
      </c>
      <c r="G498">
        <f>VLOOKUP(A499,[1]timesData!$B:$P,6,FALSE)</f>
        <v>44.6</v>
      </c>
      <c r="H498">
        <f>VLOOKUP(A499,[1]timesData!$B:$P,7,FALSE)</f>
        <v>71.2</v>
      </c>
      <c r="I498" t="str">
        <f>VLOOKUP(A499,[1]timesData!$B:$P,8,FALSE)</f>
        <v>-</v>
      </c>
      <c r="J498">
        <f>VLOOKUP(A499,[1]timesData!$B:$P,9,FALSE)</f>
        <v>9703</v>
      </c>
      <c r="K498">
        <f>VLOOKUP(A499,[1]timesData!$B:$P,10,FALSE)</f>
        <v>15.2</v>
      </c>
      <c r="L498">
        <f>VLOOKUP(A499,[1]timesData!$B:$P,11,FALSE)</f>
        <v>0.05</v>
      </c>
      <c r="M498">
        <f>VLOOKUP(A499,[1]timesData!$B:$P,12,FALSE)</f>
        <v>2.6097222222222221</v>
      </c>
      <c r="N498">
        <f>VLOOKUP(A499,[1]timesData!$B:$P,13,FALSE)</f>
        <v>2013</v>
      </c>
      <c r="O498">
        <f>VLOOKUP(A498,[2]cwurData!$B:$P,14,FALSE)</f>
        <v>647</v>
      </c>
      <c r="P498">
        <f>VLOOKUP(A498,[2]cwurData!$B:$N, 3, FALSE)</f>
        <v>5</v>
      </c>
      <c r="Q498">
        <f>VLOOKUP(A498,[2]cwurData!$B:$N, 4, FALSE)</f>
        <v>355</v>
      </c>
      <c r="R498">
        <f>VLOOKUP(A498,[2]cwurData!$B:$N, 5, FALSE)</f>
        <v>478</v>
      </c>
      <c r="S498">
        <f>VLOOKUP(A498,[2]cwurData!$B:$N, 6, FALSE)</f>
        <v>210</v>
      </c>
      <c r="T498">
        <f>VLOOKUP(A498,[2]cwurData!$B:$N, 7, FALSE)</f>
        <v>813</v>
      </c>
      <c r="U498">
        <f>VLOOKUP(A498,[2]cwurData!$B:$N, 8, FALSE)</f>
        <v>724</v>
      </c>
      <c r="V498">
        <f>VLOOKUP(A498,[2]cwurData!$B:$N, 9, FALSE)</f>
        <v>310</v>
      </c>
      <c r="W498">
        <f>VLOOKUP(A498,[2]cwurData!$B:$N, 10, FALSE)</f>
        <v>554</v>
      </c>
      <c r="X498">
        <f>VLOOKUP(A498,[2]cwurData!$B:$N, 11, FALSE)</f>
        <v>552</v>
      </c>
      <c r="Y498">
        <f>VLOOKUP(A498,[2]cwurData!$B:$N, 12, FALSE)</f>
        <v>44.72</v>
      </c>
      <c r="Z498">
        <f>VLOOKUP(A498,[2]cwurData!$B:$N, 13, FALSE)</f>
        <v>2014</v>
      </c>
    </row>
    <row r="499" spans="1:26" x14ac:dyDescent="0.3">
      <c r="A499" t="s">
        <v>440</v>
      </c>
      <c r="B499" t="str">
        <f>IFERROR(VLOOKUP(A499,[1]timesData!$B:$P,2,FALSE),VLOOKUP(A499,[2]cwurData!$B:$P,2,FALSE))</f>
        <v>Finland</v>
      </c>
      <c r="C499" t="str">
        <f>VLOOKUP(A499,[1]timesData!$B:$P,3,FALSE)</f>
        <v>351-400</v>
      </c>
      <c r="D499" t="str">
        <f>VLOOKUP(A500,[1]timesData!$B:$P,3,FALSE)</f>
        <v>351-400</v>
      </c>
      <c r="E499">
        <f>VLOOKUP(A500,[1]timesData!$B:$P,4,FALSE)</f>
        <v>44.1</v>
      </c>
      <c r="F499">
        <f>VLOOKUP(A500,[1]timesData!$B:$P,5,FALSE)</f>
        <v>19.7</v>
      </c>
      <c r="G499">
        <f>VLOOKUP(A500,[1]timesData!$B:$P,6,FALSE)</f>
        <v>51.2</v>
      </c>
      <c r="H499">
        <f>VLOOKUP(A500,[1]timesData!$B:$P,7,FALSE)</f>
        <v>32.200000000000003</v>
      </c>
      <c r="I499" t="str">
        <f>VLOOKUP(A500,[1]timesData!$B:$P,8,FALSE)</f>
        <v>-</v>
      </c>
      <c r="J499">
        <f>VLOOKUP(A500,[1]timesData!$B:$P,9,FALSE)</f>
        <v>19090</v>
      </c>
      <c r="K499">
        <f>VLOOKUP(A500,[1]timesData!$B:$P,10,FALSE)</f>
        <v>18.8</v>
      </c>
      <c r="L499">
        <f>VLOOKUP(A500,[1]timesData!$B:$P,11,FALSE)</f>
        <v>0.09</v>
      </c>
      <c r="M499">
        <f>VLOOKUP(A500,[1]timesData!$B:$P,12,FALSE)</f>
        <v>2.2000000000000002</v>
      </c>
      <c r="N499">
        <f>VLOOKUP(A500,[1]timesData!$B:$P,13,FALSE)</f>
        <v>2013</v>
      </c>
      <c r="O499">
        <f>VLOOKUP(A499,[2]cwurData!$B:$P,14,FALSE)</f>
        <v>664</v>
      </c>
      <c r="P499">
        <f>VLOOKUP(A499,[2]cwurData!$B:$N, 3, FALSE)</f>
        <v>8</v>
      </c>
      <c r="Q499">
        <f>VLOOKUP(A499,[2]cwurData!$B:$N, 4, FALSE)</f>
        <v>355</v>
      </c>
      <c r="R499">
        <f>VLOOKUP(A499,[2]cwurData!$B:$N, 5, FALSE)</f>
        <v>478</v>
      </c>
      <c r="S499">
        <f>VLOOKUP(A499,[2]cwurData!$B:$N, 6, FALSE)</f>
        <v>210</v>
      </c>
      <c r="T499">
        <f>VLOOKUP(A499,[2]cwurData!$B:$N, 7, FALSE)</f>
        <v>471</v>
      </c>
      <c r="U499">
        <f>VLOOKUP(A499,[2]cwurData!$B:$N, 8, FALSE)</f>
        <v>462</v>
      </c>
      <c r="V499">
        <f>VLOOKUP(A499,[2]cwurData!$B:$N, 9, FALSE)</f>
        <v>493</v>
      </c>
      <c r="W499">
        <f>VLOOKUP(A499,[2]cwurData!$B:$N, 10, FALSE)</f>
        <v>596</v>
      </c>
      <c r="X499">
        <f>VLOOKUP(A499,[2]cwurData!$B:$N, 11, FALSE)</f>
        <v>737</v>
      </c>
      <c r="Y499">
        <f>VLOOKUP(A499,[2]cwurData!$B:$N, 12, FALSE)</f>
        <v>44.69</v>
      </c>
      <c r="Z499">
        <f>VLOOKUP(A499,[2]cwurData!$B:$N, 13, FALSE)</f>
        <v>2014</v>
      </c>
    </row>
    <row r="500" spans="1:26" x14ac:dyDescent="0.3">
      <c r="A500" t="s">
        <v>442</v>
      </c>
      <c r="B500" t="str">
        <f>IFERROR(VLOOKUP(A500,[1]timesData!$B:$P,2,FALSE),VLOOKUP(A500,[2]cwurData!$B:$P,2,FALSE))</f>
        <v>Portugal</v>
      </c>
      <c r="C500" t="str">
        <f>VLOOKUP(A500,[1]timesData!$B:$P,3,FALSE)</f>
        <v>351-400</v>
      </c>
      <c r="D500" t="str">
        <f>VLOOKUP(A501,[1]timesData!$B:$P,3,FALSE)</f>
        <v>351-400</v>
      </c>
      <c r="E500">
        <f>VLOOKUP(A501,[1]timesData!$B:$P,4,FALSE)</f>
        <v>26.9</v>
      </c>
      <c r="F500">
        <f>VLOOKUP(A501,[1]timesData!$B:$P,5,FALSE)</f>
        <v>9.5</v>
      </c>
      <c r="G500">
        <f>VLOOKUP(A501,[1]timesData!$B:$P,6,FALSE)</f>
        <v>63.7</v>
      </c>
      <c r="H500">
        <f>VLOOKUP(A501,[1]timesData!$B:$P,7,FALSE)</f>
        <v>36.6</v>
      </c>
      <c r="I500" t="str">
        <f>VLOOKUP(A501,[1]timesData!$B:$P,8,FALSE)</f>
        <v>-</v>
      </c>
      <c r="J500">
        <f>VLOOKUP(A501,[1]timesData!$B:$P,9,FALSE)</f>
        <v>22793</v>
      </c>
      <c r="K500">
        <f>VLOOKUP(A501,[1]timesData!$B:$P,10,FALSE)</f>
        <v>19</v>
      </c>
      <c r="L500">
        <f>VLOOKUP(A501,[1]timesData!$B:$P,11,FALSE)</f>
        <v>0.03</v>
      </c>
      <c r="M500">
        <f>VLOOKUP(A501,[1]timesData!$B:$P,12,FALSE)</f>
        <v>2.1590277777777778</v>
      </c>
      <c r="N500">
        <f>VLOOKUP(A501,[1]timesData!$B:$P,13,FALSE)</f>
        <v>2013</v>
      </c>
      <c r="O500">
        <f>VLOOKUP(A500,[2]cwurData!$B:$P,14,FALSE)</f>
        <v>679</v>
      </c>
      <c r="P500">
        <f>VLOOKUP(A500,[2]cwurData!$B:$N, 3, FALSE)</f>
        <v>6</v>
      </c>
      <c r="Q500">
        <f>VLOOKUP(A500,[2]cwurData!$B:$N, 4, FALSE)</f>
        <v>355</v>
      </c>
      <c r="R500">
        <f>VLOOKUP(A500,[2]cwurData!$B:$N, 5, FALSE)</f>
        <v>478</v>
      </c>
      <c r="S500">
        <f>VLOOKUP(A500,[2]cwurData!$B:$N, 6, FALSE)</f>
        <v>210</v>
      </c>
      <c r="T500">
        <f>VLOOKUP(A500,[2]cwurData!$B:$N, 7, FALSE)</f>
        <v>590</v>
      </c>
      <c r="U500">
        <f>VLOOKUP(A500,[2]cwurData!$B:$N, 8, FALSE)</f>
        <v>641</v>
      </c>
      <c r="V500">
        <f>VLOOKUP(A500,[2]cwurData!$B:$N, 9, FALSE)</f>
        <v>363</v>
      </c>
      <c r="W500">
        <f>VLOOKUP(A500,[2]cwurData!$B:$N, 10, FALSE)</f>
        <v>642</v>
      </c>
      <c r="X500">
        <f>VLOOKUP(A500,[2]cwurData!$B:$N, 11, FALSE)</f>
        <v>338</v>
      </c>
      <c r="Y500">
        <f>VLOOKUP(A500,[2]cwurData!$B:$N, 12, FALSE)</f>
        <v>44.67</v>
      </c>
      <c r="Z500">
        <f>VLOOKUP(A500,[2]cwurData!$B:$N, 13, FALSE)</f>
        <v>2014</v>
      </c>
    </row>
    <row r="501" spans="1:26" x14ac:dyDescent="0.3">
      <c r="A501" t="s">
        <v>445</v>
      </c>
      <c r="B501" t="str">
        <f>IFERROR(VLOOKUP(A501,[1]timesData!$B:$P,2,FALSE),VLOOKUP(A501,[2]cwurData!$B:$P,2,FALSE))</f>
        <v>Spain</v>
      </c>
      <c r="C501" t="str">
        <f>VLOOKUP(A501,[1]timesData!$B:$P,3,FALSE)</f>
        <v>351-400</v>
      </c>
      <c r="D501" t="str">
        <f>VLOOKUP(A502,[1]timesData!$B:$P,3,FALSE)</f>
        <v>351-400</v>
      </c>
      <c r="E501">
        <f>VLOOKUP(A502,[1]timesData!$B:$P,4,FALSE)</f>
        <v>69.3</v>
      </c>
      <c r="F501">
        <f>VLOOKUP(A502,[1]timesData!$B:$P,5,FALSE)</f>
        <v>15.8</v>
      </c>
      <c r="G501">
        <f>VLOOKUP(A502,[1]timesData!$B:$P,6,FALSE)</f>
        <v>52.9</v>
      </c>
      <c r="H501">
        <f>VLOOKUP(A502,[1]timesData!$B:$P,7,FALSE)</f>
        <v>77.2</v>
      </c>
      <c r="I501" t="str">
        <f>VLOOKUP(A502,[1]timesData!$B:$P,8,FALSE)</f>
        <v>-</v>
      </c>
      <c r="J501">
        <f>VLOOKUP(A502,[1]timesData!$B:$P,9,FALSE)</f>
        <v>7542</v>
      </c>
      <c r="K501">
        <f>VLOOKUP(A502,[1]timesData!$B:$P,10,FALSE)</f>
        <v>12.5</v>
      </c>
      <c r="L501">
        <f>VLOOKUP(A502,[1]timesData!$B:$P,11,FALSE)</f>
        <v>0.16</v>
      </c>
      <c r="M501">
        <f>VLOOKUP(A502,[1]timesData!$B:$P,12,FALSE)</f>
        <v>0.97083333333333333</v>
      </c>
      <c r="N501">
        <f>VLOOKUP(A502,[1]timesData!$B:$P,13,FALSE)</f>
        <v>2016</v>
      </c>
      <c r="O501">
        <f>VLOOKUP(A501,[2]cwurData!$B:$P,14,FALSE)</f>
        <v>692</v>
      </c>
      <c r="P501">
        <f>VLOOKUP(A501,[2]cwurData!$B:$N, 3, FALSE)</f>
        <v>22</v>
      </c>
      <c r="Q501">
        <f>VLOOKUP(A501,[2]cwurData!$B:$N, 4, FALSE)</f>
        <v>355</v>
      </c>
      <c r="R501">
        <f>VLOOKUP(A501,[2]cwurData!$B:$N, 5, FALSE)</f>
        <v>478</v>
      </c>
      <c r="S501">
        <f>VLOOKUP(A501,[2]cwurData!$B:$N, 6, FALSE)</f>
        <v>210</v>
      </c>
      <c r="T501">
        <f>VLOOKUP(A501,[2]cwurData!$B:$N, 7, FALSE)</f>
        <v>570</v>
      </c>
      <c r="U501">
        <f>VLOOKUP(A501,[2]cwurData!$B:$N, 8, FALSE)</f>
        <v>786</v>
      </c>
      <c r="V501">
        <f>VLOOKUP(A501,[2]cwurData!$B:$N, 9, FALSE)</f>
        <v>406</v>
      </c>
      <c r="W501">
        <f>VLOOKUP(A501,[2]cwurData!$B:$N, 10, FALSE)</f>
        <v>618</v>
      </c>
      <c r="X501">
        <f>VLOOKUP(A501,[2]cwurData!$B:$N, 11, FALSE)</f>
        <v>481</v>
      </c>
      <c r="Y501">
        <f>VLOOKUP(A501,[2]cwurData!$B:$N, 12, FALSE)</f>
        <v>44.66</v>
      </c>
      <c r="Z501">
        <f>VLOOKUP(A501,[2]cwurData!$B:$N, 13, FALSE)</f>
        <v>2014</v>
      </c>
    </row>
    <row r="502" spans="1:26" x14ac:dyDescent="0.3">
      <c r="A502" t="s">
        <v>512</v>
      </c>
      <c r="B502" t="str">
        <f>IFERROR(VLOOKUP(A502,[1]timesData!$B:$P,2,FALSE),VLOOKUP(A502,[2]cwurData!$B:$P,2,FALSE))</f>
        <v>Austria</v>
      </c>
      <c r="C502" t="str">
        <f>VLOOKUP(A502,[1]timesData!$B:$P,3,FALSE)</f>
        <v>351-400</v>
      </c>
      <c r="D502" t="str">
        <f>VLOOKUP(A503,[1]timesData!$B:$P,3,FALSE)</f>
        <v>351-400</v>
      </c>
      <c r="E502">
        <f>VLOOKUP(A503,[1]timesData!$B:$P,4,FALSE)</f>
        <v>20</v>
      </c>
      <c r="F502">
        <f>VLOOKUP(A503,[1]timesData!$B:$P,5,FALSE)</f>
        <v>27.3</v>
      </c>
      <c r="G502">
        <f>VLOOKUP(A503,[1]timesData!$B:$P,6,FALSE)</f>
        <v>48.9</v>
      </c>
      <c r="H502">
        <f>VLOOKUP(A503,[1]timesData!$B:$P,7,FALSE)</f>
        <v>84.1</v>
      </c>
      <c r="I502" t="str">
        <f>VLOOKUP(A503,[1]timesData!$B:$P,8,FALSE)</f>
        <v>-</v>
      </c>
      <c r="J502">
        <f>VLOOKUP(A503,[1]timesData!$B:$P,9,FALSE)</f>
        <v>10964</v>
      </c>
      <c r="K502">
        <f>VLOOKUP(A503,[1]timesData!$B:$P,10,FALSE)</f>
        <v>26.5</v>
      </c>
      <c r="L502">
        <f>VLOOKUP(A503,[1]timesData!$B:$P,11,FALSE)</f>
        <v>0.01</v>
      </c>
      <c r="M502" t="str">
        <f>VLOOKUP(A503,[1]timesData!$B:$P,12,FALSE)</f>
        <v>39 : 61</v>
      </c>
      <c r="N502">
        <f>VLOOKUP(A503,[1]timesData!$B:$P,13,FALSE)</f>
        <v>2015</v>
      </c>
      <c r="O502">
        <f>VLOOKUP(A502,[2]cwurData!$B:$P,14,FALSE)</f>
        <v>725</v>
      </c>
      <c r="P502">
        <f>VLOOKUP(A502,[2]cwurData!$B:$N, 3, FALSE)</f>
        <v>10</v>
      </c>
      <c r="Q502">
        <f>VLOOKUP(A502,[2]cwurData!$B:$N, 4, FALSE)</f>
        <v>355</v>
      </c>
      <c r="R502">
        <f>VLOOKUP(A502,[2]cwurData!$B:$N, 5, FALSE)</f>
        <v>478</v>
      </c>
      <c r="S502">
        <f>VLOOKUP(A502,[2]cwurData!$B:$N, 6, FALSE)</f>
        <v>210</v>
      </c>
      <c r="T502">
        <f>VLOOKUP(A502,[2]cwurData!$B:$N, 7, FALSE)</f>
        <v>686</v>
      </c>
      <c r="U502">
        <f>VLOOKUP(A502,[2]cwurData!$B:$N, 8, FALSE)</f>
        <v>683</v>
      </c>
      <c r="V502">
        <f>VLOOKUP(A502,[2]cwurData!$B:$N, 9, FALSE)</f>
        <v>493</v>
      </c>
      <c r="W502">
        <f>VLOOKUP(A502,[2]cwurData!$B:$N, 10, FALSE)</f>
        <v>628</v>
      </c>
      <c r="X502">
        <f>VLOOKUP(A502,[2]cwurData!$B:$N, 11, FALSE)</f>
        <v>552</v>
      </c>
      <c r="Y502">
        <f>VLOOKUP(A502,[2]cwurData!$B:$N, 12, FALSE)</f>
        <v>44.61</v>
      </c>
      <c r="Z502">
        <f>VLOOKUP(A502,[2]cwurData!$B:$N, 13, FALSE)</f>
        <v>2014</v>
      </c>
    </row>
    <row r="503" spans="1:26" x14ac:dyDescent="0.3">
      <c r="A503" t="s">
        <v>476</v>
      </c>
      <c r="B503" t="str">
        <f>IFERROR(VLOOKUP(A503,[1]timesData!$B:$P,2,FALSE),VLOOKUP(A503,[2]cwurData!$B:$P,2,FALSE))</f>
        <v>Iran</v>
      </c>
      <c r="C503" t="str">
        <f>VLOOKUP(A503,[1]timesData!$B:$P,3,FALSE)</f>
        <v>351-400</v>
      </c>
      <c r="D503" t="str">
        <f>VLOOKUP(A504,[1]timesData!$B:$P,3,FALSE)</f>
        <v>351-400</v>
      </c>
      <c r="E503">
        <f>VLOOKUP(A504,[1]timesData!$B:$P,4,FALSE)</f>
        <v>74.7</v>
      </c>
      <c r="F503">
        <f>VLOOKUP(A504,[1]timesData!$B:$P,5,FALSE)</f>
        <v>28.5</v>
      </c>
      <c r="G503">
        <f>VLOOKUP(A504,[1]timesData!$B:$P,6,FALSE)</f>
        <v>56.7</v>
      </c>
      <c r="H503">
        <f>VLOOKUP(A504,[1]timesData!$B:$P,7,FALSE)</f>
        <v>30</v>
      </c>
      <c r="I503" t="str">
        <f>VLOOKUP(A504,[1]timesData!$B:$P,8,FALSE)</f>
        <v>-</v>
      </c>
      <c r="J503">
        <f>VLOOKUP(A504,[1]timesData!$B:$P,9,FALSE)</f>
        <v>6880</v>
      </c>
      <c r="K503">
        <f>VLOOKUP(A504,[1]timesData!$B:$P,10,FALSE)</f>
        <v>22.9</v>
      </c>
      <c r="L503">
        <f>VLOOKUP(A504,[1]timesData!$B:$P,11,FALSE)</f>
        <v>0.08</v>
      </c>
      <c r="M503">
        <f>VLOOKUP(A504,[1]timesData!$B:$P,12,FALSE)</f>
        <v>2.8965277777777776</v>
      </c>
      <c r="N503">
        <f>VLOOKUP(A504,[1]timesData!$B:$P,13,FALSE)</f>
        <v>2016</v>
      </c>
      <c r="O503">
        <f>VLOOKUP(A503,[2]cwurData!$B:$P,14,FALSE)</f>
        <v>938</v>
      </c>
      <c r="P503">
        <f>VLOOKUP(A503,[2]cwurData!$B:$N, 3, FALSE)</f>
        <v>4</v>
      </c>
      <c r="Q503">
        <f>VLOOKUP(A503,[2]cwurData!$B:$N, 4, FALSE)</f>
        <v>355</v>
      </c>
      <c r="R503">
        <f>VLOOKUP(A503,[2]cwurData!$B:$N, 5, FALSE)</f>
        <v>478</v>
      </c>
      <c r="S503">
        <f>VLOOKUP(A503,[2]cwurData!$B:$N, 6, FALSE)</f>
        <v>210</v>
      </c>
      <c r="T503">
        <f>VLOOKUP(A503,[2]cwurData!$B:$N, 7, FALSE)</f>
        <v>722</v>
      </c>
      <c r="U503">
        <f>VLOOKUP(A503,[2]cwurData!$B:$N, 8, FALSE)</f>
        <v>904</v>
      </c>
      <c r="V503">
        <f>VLOOKUP(A503,[2]cwurData!$B:$N, 9, FALSE)</f>
        <v>609</v>
      </c>
      <c r="W503">
        <f>VLOOKUP(A503,[2]cwurData!$B:$N, 10, FALSE)</f>
        <v>909</v>
      </c>
      <c r="X503">
        <f>VLOOKUP(A503,[2]cwurData!$B:$N, 11, FALSE)</f>
        <v>737</v>
      </c>
      <c r="Y503">
        <f>VLOOKUP(A503,[2]cwurData!$B:$N, 12, FALSE)</f>
        <v>44.34</v>
      </c>
      <c r="Z503">
        <f>VLOOKUP(A503,[2]cwurData!$B:$N, 13, FALSE)</f>
        <v>2014</v>
      </c>
    </row>
    <row r="504" spans="1:26" x14ac:dyDescent="0.3">
      <c r="A504" t="s">
        <v>510</v>
      </c>
      <c r="B504" t="str">
        <f>IFERROR(VLOOKUP(A504,[1]timesData!$B:$P,2,FALSE),VLOOKUP(A504,[2]cwurData!$B:$P,2,FALSE))</f>
        <v>Cyprus</v>
      </c>
      <c r="C504" t="str">
        <f>VLOOKUP(A504,[1]timesData!$B:$P,3,FALSE)</f>
        <v>351-400</v>
      </c>
      <c r="D504" t="str">
        <f>VLOOKUP(A505,[1]timesData!$B:$P,3,FALSE)</f>
        <v>351-400</v>
      </c>
      <c r="E504">
        <f>VLOOKUP(A505,[1]timesData!$B:$P,4,FALSE)</f>
        <v>34.299999999999997</v>
      </c>
      <c r="F504">
        <f>VLOOKUP(A505,[1]timesData!$B:$P,5,FALSE)</f>
        <v>20.2</v>
      </c>
      <c r="G504">
        <f>VLOOKUP(A505,[1]timesData!$B:$P,6,FALSE)</f>
        <v>63.3</v>
      </c>
      <c r="H504">
        <f>VLOOKUP(A505,[1]timesData!$B:$P,7,FALSE)</f>
        <v>29.1</v>
      </c>
      <c r="I504" t="str">
        <f>VLOOKUP(A505,[1]timesData!$B:$P,8,FALSE)</f>
        <v>-</v>
      </c>
      <c r="J504">
        <f>VLOOKUP(A505,[1]timesData!$B:$P,9,FALSE)</f>
        <v>10243</v>
      </c>
      <c r="K504">
        <f>VLOOKUP(A505,[1]timesData!$B:$P,10,FALSE)</f>
        <v>19</v>
      </c>
      <c r="L504">
        <f>VLOOKUP(A505,[1]timesData!$B:$P,11,FALSE)</f>
        <v>0.03</v>
      </c>
      <c r="M504" t="str">
        <f>VLOOKUP(A505,[1]timesData!$B:$P,12,FALSE)</f>
        <v>36 : 64</v>
      </c>
      <c r="N504">
        <f>VLOOKUP(A505,[1]timesData!$B:$P,13,FALSE)</f>
        <v>2015</v>
      </c>
      <c r="O504">
        <f>VLOOKUP(A504,[2]cwurData!$B:$P,14,FALSE)</f>
        <v>953</v>
      </c>
      <c r="P504">
        <f>VLOOKUP(A504,[2]cwurData!$B:$N, 3, FALSE)</f>
        <v>1</v>
      </c>
      <c r="Q504">
        <f>VLOOKUP(A504,[2]cwurData!$B:$N, 4, FALSE)</f>
        <v>355</v>
      </c>
      <c r="R504">
        <f>VLOOKUP(A504,[2]cwurData!$B:$N, 5, FALSE)</f>
        <v>478</v>
      </c>
      <c r="S504">
        <f>VLOOKUP(A504,[2]cwurData!$B:$N, 6, FALSE)</f>
        <v>210</v>
      </c>
      <c r="T504">
        <f>VLOOKUP(A504,[2]cwurData!$B:$N, 7, FALSE)</f>
        <v>802</v>
      </c>
      <c r="U504">
        <f>VLOOKUP(A504,[2]cwurData!$B:$N, 8, FALSE)</f>
        <v>887</v>
      </c>
      <c r="V504">
        <f>VLOOKUP(A504,[2]cwurData!$B:$N, 9, FALSE)</f>
        <v>609</v>
      </c>
      <c r="W504">
        <f>VLOOKUP(A504,[2]cwurData!$B:$N, 10, FALSE)</f>
        <v>923</v>
      </c>
      <c r="X504">
        <f>VLOOKUP(A504,[2]cwurData!$B:$N, 11, FALSE)</f>
        <v>737</v>
      </c>
      <c r="Y504">
        <f>VLOOKUP(A504,[2]cwurData!$B:$N, 12, FALSE)</f>
        <v>44.32</v>
      </c>
      <c r="Z504">
        <f>VLOOKUP(A504,[2]cwurData!$B:$N, 13, FALSE)</f>
        <v>2014</v>
      </c>
    </row>
    <row r="505" spans="1:26" x14ac:dyDescent="0.3">
      <c r="A505" t="s">
        <v>480</v>
      </c>
      <c r="B505" t="str">
        <f>IFERROR(VLOOKUP(A505,[1]timesData!$B:$P,2,FALSE),VLOOKUP(A505,[2]cwurData!$B:$P,2,FALSE))</f>
        <v>South Korea</v>
      </c>
      <c r="C505" t="str">
        <f>VLOOKUP(A505,[1]timesData!$B:$P,3,FALSE)</f>
        <v>351-400</v>
      </c>
      <c r="D505" t="str">
        <f>VLOOKUP(A506,[1]timesData!$B:$P,3,FALSE)</f>
        <v>351-400</v>
      </c>
      <c r="E505">
        <f>VLOOKUP(A506,[1]timesData!$B:$P,4,FALSE)</f>
        <v>20.5</v>
      </c>
      <c r="F505">
        <f>VLOOKUP(A506,[1]timesData!$B:$P,5,FALSE)</f>
        <v>28.1</v>
      </c>
      <c r="G505">
        <f>VLOOKUP(A506,[1]timesData!$B:$P,6,FALSE)</f>
        <v>46.2</v>
      </c>
      <c r="H505">
        <f>VLOOKUP(A506,[1]timesData!$B:$P,7,FALSE)</f>
        <v>60.8</v>
      </c>
      <c r="I505" t="str">
        <f>VLOOKUP(A506,[1]timesData!$B:$P,8,FALSE)</f>
        <v>-</v>
      </c>
      <c r="J505">
        <f>VLOOKUP(A506,[1]timesData!$B:$P,9,FALSE)</f>
        <v>7983</v>
      </c>
      <c r="K505">
        <f>VLOOKUP(A506,[1]timesData!$B:$P,10,FALSE)</f>
        <v>15.4</v>
      </c>
      <c r="L505">
        <f>VLOOKUP(A506,[1]timesData!$B:$P,11,FALSE)</f>
        <v>0.08</v>
      </c>
      <c r="M505">
        <f>VLOOKUP(A506,[1]timesData!$B:$P,12,FALSE)</f>
        <v>2.2409722222222221</v>
      </c>
      <c r="N505">
        <f>VLOOKUP(A506,[1]timesData!$B:$P,13,FALSE)</f>
        <v>2014</v>
      </c>
      <c r="O505">
        <f>VLOOKUP(A505,[2]cwurData!$B:$P,14,FALSE)</f>
        <v>970</v>
      </c>
      <c r="P505">
        <f>VLOOKUP(A505,[2]cwurData!$B:$N, 3, FALSE)</f>
        <v>34</v>
      </c>
      <c r="Q505">
        <f>VLOOKUP(A505,[2]cwurData!$B:$N, 4, FALSE)</f>
        <v>355</v>
      </c>
      <c r="R505">
        <f>VLOOKUP(A505,[2]cwurData!$B:$N, 5, FALSE)</f>
        <v>478</v>
      </c>
      <c r="S505">
        <f>VLOOKUP(A505,[2]cwurData!$B:$N, 6, FALSE)</f>
        <v>210</v>
      </c>
      <c r="T505">
        <f>VLOOKUP(A505,[2]cwurData!$B:$N, 7, FALSE)</f>
        <v>997</v>
      </c>
      <c r="U505">
        <f>VLOOKUP(A505,[2]cwurData!$B:$N, 8, FALSE)</f>
        <v>938</v>
      </c>
      <c r="V505">
        <f>VLOOKUP(A505,[2]cwurData!$B:$N, 9, FALSE)</f>
        <v>609</v>
      </c>
      <c r="W505">
        <f>VLOOKUP(A505,[2]cwurData!$B:$N, 10, FALSE)</f>
        <v>948</v>
      </c>
      <c r="X505">
        <f>VLOOKUP(A505,[2]cwurData!$B:$N, 11, FALSE)</f>
        <v>552</v>
      </c>
      <c r="Y505">
        <f>VLOOKUP(A505,[2]cwurData!$B:$N, 12, FALSE)</f>
        <v>44.3</v>
      </c>
      <c r="Z505">
        <f>VLOOKUP(A505,[2]cwurData!$B:$N, 13, FALSE)</f>
        <v>2014</v>
      </c>
    </row>
    <row r="506" spans="1:26" x14ac:dyDescent="0.3">
      <c r="A506" t="s">
        <v>451</v>
      </c>
      <c r="B506" t="str">
        <f>IFERROR(VLOOKUP(A506,[1]timesData!$B:$P,2,FALSE),VLOOKUP(A506,[2]cwurData!$B:$P,2,FALSE))</f>
        <v>Taiwan</v>
      </c>
      <c r="C506" t="str">
        <f>VLOOKUP(A506,[1]timesData!$B:$P,3,FALSE)</f>
        <v>351-400</v>
      </c>
      <c r="D506" t="str">
        <f>VLOOKUP(A507,[1]timesData!$B:$P,3,FALSE)</f>
        <v>351-400</v>
      </c>
      <c r="E506">
        <f>VLOOKUP(A507,[1]timesData!$B:$P,4,FALSE)</f>
        <v>43.7</v>
      </c>
      <c r="F506">
        <f>VLOOKUP(A507,[1]timesData!$B:$P,5,FALSE)</f>
        <v>25</v>
      </c>
      <c r="G506">
        <f>VLOOKUP(A507,[1]timesData!$B:$P,6,FALSE)</f>
        <v>59.8</v>
      </c>
      <c r="H506">
        <f>VLOOKUP(A507,[1]timesData!$B:$P,7,FALSE)</f>
        <v>38.799999999999997</v>
      </c>
      <c r="I506" t="str">
        <f>VLOOKUP(A507,[1]timesData!$B:$P,8,FALSE)</f>
        <v>-</v>
      </c>
      <c r="J506">
        <f>VLOOKUP(A507,[1]timesData!$B:$P,9,FALSE)</f>
        <v>11778</v>
      </c>
      <c r="K506">
        <f>VLOOKUP(A507,[1]timesData!$B:$P,10,FALSE)</f>
        <v>16.899999999999999</v>
      </c>
      <c r="L506">
        <f>VLOOKUP(A507,[1]timesData!$B:$P,11,FALSE)</f>
        <v>0.09</v>
      </c>
      <c r="M506" t="str">
        <f>VLOOKUP(A507,[1]timesData!$B:$P,12,FALSE)</f>
        <v>27 : 73</v>
      </c>
      <c r="N506">
        <f>VLOOKUP(A507,[1]timesData!$B:$P,13,FALSE)</f>
        <v>2016</v>
      </c>
      <c r="O506" t="e">
        <f>VLOOKUP(A506,[2]cwurData!$B:$P,14,FALSE)</f>
        <v>#N/A</v>
      </c>
      <c r="P506" t="e">
        <f>VLOOKUP(A506,[2]cwurData!$B:$N, 3, FALSE)</f>
        <v>#N/A</v>
      </c>
      <c r="Q506" t="e">
        <f>VLOOKUP(A506,[2]cwurData!$B:$N, 4, FALSE)</f>
        <v>#N/A</v>
      </c>
      <c r="R506" t="e">
        <f>VLOOKUP(A506,[2]cwurData!$B:$N, 5, FALSE)</f>
        <v>#N/A</v>
      </c>
      <c r="S506" t="e">
        <f>VLOOKUP(A506,[2]cwurData!$B:$N, 6, FALSE)</f>
        <v>#N/A</v>
      </c>
      <c r="T506" t="e">
        <f>VLOOKUP(A506,[2]cwurData!$B:$N, 7, FALSE)</f>
        <v>#N/A</v>
      </c>
      <c r="U506" t="e">
        <f>VLOOKUP(A506,[2]cwurData!$B:$N, 8, FALSE)</f>
        <v>#N/A</v>
      </c>
      <c r="V506" t="e">
        <f>VLOOKUP(A506,[2]cwurData!$B:$N, 9, FALSE)</f>
        <v>#N/A</v>
      </c>
      <c r="W506" t="e">
        <f>VLOOKUP(A506,[2]cwurData!$B:$N, 10, FALSE)</f>
        <v>#N/A</v>
      </c>
      <c r="X506" t="e">
        <f>VLOOKUP(A506,[2]cwurData!$B:$N, 11, FALSE)</f>
        <v>#N/A</v>
      </c>
      <c r="Y506" t="e">
        <f>VLOOKUP(A506,[2]cwurData!$B:$N, 12, FALSE)</f>
        <v>#N/A</v>
      </c>
      <c r="Z506" t="e">
        <f>VLOOKUP(A506,[2]cwurData!$B:$N, 13, FALSE)</f>
        <v>#N/A</v>
      </c>
    </row>
    <row r="507" spans="1:26" x14ac:dyDescent="0.3">
      <c r="A507" t="s">
        <v>513</v>
      </c>
      <c r="B507" t="str">
        <f>IFERROR(VLOOKUP(A507,[1]timesData!$B:$P,2,FALSE),VLOOKUP(A507,[2]cwurData!$B:$P,2,FALSE))</f>
        <v>Portugal</v>
      </c>
      <c r="C507" t="str">
        <f>VLOOKUP(A507,[1]timesData!$B:$P,3,FALSE)</f>
        <v>351-400</v>
      </c>
      <c r="D507" t="str">
        <f>VLOOKUP(A508,[1]timesData!$B:$P,3,FALSE)</f>
        <v>351-400</v>
      </c>
      <c r="E507">
        <f>VLOOKUP(A508,[1]timesData!$B:$P,4,FALSE)</f>
        <v>23.8</v>
      </c>
      <c r="F507">
        <f>VLOOKUP(A508,[1]timesData!$B:$P,5,FALSE)</f>
        <v>10.199999999999999</v>
      </c>
      <c r="G507">
        <f>VLOOKUP(A508,[1]timesData!$B:$P,6,FALSE)</f>
        <v>68.400000000000006</v>
      </c>
      <c r="H507">
        <f>VLOOKUP(A508,[1]timesData!$B:$P,7,FALSE)</f>
        <v>60.2</v>
      </c>
      <c r="I507" t="str">
        <f>VLOOKUP(A508,[1]timesData!$B:$P,8,FALSE)</f>
        <v>-</v>
      </c>
      <c r="J507">
        <f>VLOOKUP(A508,[1]timesData!$B:$P,9,FALSE)</f>
        <v>17791</v>
      </c>
      <c r="K507">
        <f>VLOOKUP(A508,[1]timesData!$B:$P,10,FALSE)</f>
        <v>23.7</v>
      </c>
      <c r="L507">
        <f>VLOOKUP(A508,[1]timesData!$B:$P,11,FALSE)</f>
        <v>0.01</v>
      </c>
      <c r="M507">
        <f>VLOOKUP(A508,[1]timesData!$B:$P,12,FALSE)</f>
        <v>1.7902777777777779</v>
      </c>
      <c r="N507">
        <f>VLOOKUP(A508,[1]timesData!$B:$P,13,FALSE)</f>
        <v>2013</v>
      </c>
      <c r="O507" t="e">
        <f>VLOOKUP(A507,[2]cwurData!$B:$P,14,FALSE)</f>
        <v>#N/A</v>
      </c>
      <c r="P507" t="e">
        <f>VLOOKUP(A507,[2]cwurData!$B:$N, 3, FALSE)</f>
        <v>#N/A</v>
      </c>
      <c r="Q507" t="e">
        <f>VLOOKUP(A507,[2]cwurData!$B:$N, 4, FALSE)</f>
        <v>#N/A</v>
      </c>
      <c r="R507" t="e">
        <f>VLOOKUP(A507,[2]cwurData!$B:$N, 5, FALSE)</f>
        <v>#N/A</v>
      </c>
      <c r="S507" t="e">
        <f>VLOOKUP(A507,[2]cwurData!$B:$N, 6, FALSE)</f>
        <v>#N/A</v>
      </c>
      <c r="T507" t="e">
        <f>VLOOKUP(A507,[2]cwurData!$B:$N, 7, FALSE)</f>
        <v>#N/A</v>
      </c>
      <c r="U507" t="e">
        <f>VLOOKUP(A507,[2]cwurData!$B:$N, 8, FALSE)</f>
        <v>#N/A</v>
      </c>
      <c r="V507" t="e">
        <f>VLOOKUP(A507,[2]cwurData!$B:$N, 9, FALSE)</f>
        <v>#N/A</v>
      </c>
      <c r="W507" t="e">
        <f>VLOOKUP(A507,[2]cwurData!$B:$N, 10, FALSE)</f>
        <v>#N/A</v>
      </c>
      <c r="X507" t="e">
        <f>VLOOKUP(A507,[2]cwurData!$B:$N, 11, FALSE)</f>
        <v>#N/A</v>
      </c>
      <c r="Y507" t="e">
        <f>VLOOKUP(A507,[2]cwurData!$B:$N, 12, FALSE)</f>
        <v>#N/A</v>
      </c>
      <c r="Z507" t="e">
        <f>VLOOKUP(A507,[2]cwurData!$B:$N, 13, FALSE)</f>
        <v>#N/A</v>
      </c>
    </row>
    <row r="508" spans="1:26" x14ac:dyDescent="0.3">
      <c r="A508" t="s">
        <v>434</v>
      </c>
      <c r="B508" t="str">
        <f>IFERROR(VLOOKUP(A508,[1]timesData!$B:$P,2,FALSE),VLOOKUP(A508,[2]cwurData!$B:$P,2,FALSE))</f>
        <v>Thailand</v>
      </c>
      <c r="C508" t="str">
        <f>VLOOKUP(A508,[1]timesData!$B:$P,3,FALSE)</f>
        <v>351-400</v>
      </c>
      <c r="D508" t="str">
        <f>VLOOKUP(A509,[1]timesData!$B:$P,3,FALSE)</f>
        <v>351-400</v>
      </c>
      <c r="E508">
        <f>VLOOKUP(A509,[1]timesData!$B:$P,4,FALSE)</f>
        <v>39.4</v>
      </c>
      <c r="F508">
        <f>VLOOKUP(A509,[1]timesData!$B:$P,5,FALSE)</f>
        <v>9.5</v>
      </c>
      <c r="G508">
        <f>VLOOKUP(A509,[1]timesData!$B:$P,6,FALSE)</f>
        <v>81.7</v>
      </c>
      <c r="H508">
        <f>VLOOKUP(A509,[1]timesData!$B:$P,7,FALSE)</f>
        <v>31.5</v>
      </c>
      <c r="I508" t="str">
        <f>VLOOKUP(A509,[1]timesData!$B:$P,8,FALSE)</f>
        <v>-</v>
      </c>
      <c r="J508">
        <f>VLOOKUP(A509,[1]timesData!$B:$P,9,FALSE)</f>
        <v>26894</v>
      </c>
      <c r="K508">
        <f>VLOOKUP(A509,[1]timesData!$B:$P,10,FALSE)</f>
        <v>38.5</v>
      </c>
      <c r="L508">
        <f>VLOOKUP(A509,[1]timesData!$B:$P,11,FALSE)</f>
        <v>0.08</v>
      </c>
      <c r="M508">
        <f>VLOOKUP(A509,[1]timesData!$B:$P,12,FALSE)</f>
        <v>2.4458333333333333</v>
      </c>
      <c r="N508">
        <f>VLOOKUP(A509,[1]timesData!$B:$P,13,FALSE)</f>
        <v>2016</v>
      </c>
      <c r="O508" t="e">
        <f>VLOOKUP(A508,[2]cwurData!$B:$P,14,FALSE)</f>
        <v>#N/A</v>
      </c>
      <c r="P508" t="e">
        <f>VLOOKUP(A508,[2]cwurData!$B:$N, 3, FALSE)</f>
        <v>#N/A</v>
      </c>
      <c r="Q508" t="e">
        <f>VLOOKUP(A508,[2]cwurData!$B:$N, 4, FALSE)</f>
        <v>#N/A</v>
      </c>
      <c r="R508" t="e">
        <f>VLOOKUP(A508,[2]cwurData!$B:$N, 5, FALSE)</f>
        <v>#N/A</v>
      </c>
      <c r="S508" t="e">
        <f>VLOOKUP(A508,[2]cwurData!$B:$N, 6, FALSE)</f>
        <v>#N/A</v>
      </c>
      <c r="T508" t="e">
        <f>VLOOKUP(A508,[2]cwurData!$B:$N, 7, FALSE)</f>
        <v>#N/A</v>
      </c>
      <c r="U508" t="e">
        <f>VLOOKUP(A508,[2]cwurData!$B:$N, 8, FALSE)</f>
        <v>#N/A</v>
      </c>
      <c r="V508" t="e">
        <f>VLOOKUP(A508,[2]cwurData!$B:$N, 9, FALSE)</f>
        <v>#N/A</v>
      </c>
      <c r="W508" t="e">
        <f>VLOOKUP(A508,[2]cwurData!$B:$N, 10, FALSE)</f>
        <v>#N/A</v>
      </c>
      <c r="X508" t="e">
        <f>VLOOKUP(A508,[2]cwurData!$B:$N, 11, FALSE)</f>
        <v>#N/A</v>
      </c>
      <c r="Y508" t="e">
        <f>VLOOKUP(A508,[2]cwurData!$B:$N, 12, FALSE)</f>
        <v>#N/A</v>
      </c>
      <c r="Z508" t="e">
        <f>VLOOKUP(A508,[2]cwurData!$B:$N, 13, FALSE)</f>
        <v>#N/A</v>
      </c>
    </row>
    <row r="509" spans="1:26" x14ac:dyDescent="0.3">
      <c r="A509" t="s">
        <v>517</v>
      </c>
      <c r="B509" t="str">
        <f>IFERROR(VLOOKUP(A509,[1]timesData!$B:$P,2,FALSE),VLOOKUP(A509,[2]cwurData!$B:$P,2,FALSE))</f>
        <v>France</v>
      </c>
      <c r="C509" t="str">
        <f>VLOOKUP(A509,[1]timesData!$B:$P,3,FALSE)</f>
        <v>351-400</v>
      </c>
      <c r="D509" t="str">
        <f>VLOOKUP(A510,[1]timesData!$B:$P,3,FALSE)</f>
        <v>351-400</v>
      </c>
      <c r="E509">
        <f>VLOOKUP(A510,[1]timesData!$B:$P,4,FALSE)</f>
        <v>47.6</v>
      </c>
      <c r="F509">
        <f>VLOOKUP(A510,[1]timesData!$B:$P,5,FALSE)</f>
        <v>47.6</v>
      </c>
      <c r="G509">
        <f>VLOOKUP(A510,[1]timesData!$B:$P,6,FALSE)</f>
        <v>6.8</v>
      </c>
      <c r="H509">
        <f>VLOOKUP(A510,[1]timesData!$B:$P,7,FALSE)</f>
        <v>28.3</v>
      </c>
      <c r="I509" t="str">
        <f>VLOOKUP(A510,[1]timesData!$B:$P,8,FALSE)</f>
        <v>-</v>
      </c>
      <c r="J509">
        <f>VLOOKUP(A510,[1]timesData!$B:$P,9,FALSE)</f>
        <v>42215</v>
      </c>
      <c r="K509">
        <f>VLOOKUP(A510,[1]timesData!$B:$P,10,FALSE)</f>
        <v>34.299999999999997</v>
      </c>
      <c r="L509">
        <f>VLOOKUP(A510,[1]timesData!$B:$P,11,FALSE)</f>
        <v>0.2</v>
      </c>
      <c r="M509">
        <f>VLOOKUP(A510,[1]timesData!$B:$P,12,FALSE)</f>
        <v>2.4868055555555557</v>
      </c>
      <c r="N509">
        <f>VLOOKUP(A510,[1]timesData!$B:$P,13,FALSE)</f>
        <v>2016</v>
      </c>
      <c r="O509" t="e">
        <f>VLOOKUP(A509,[2]cwurData!$B:$P,14,FALSE)</f>
        <v>#N/A</v>
      </c>
      <c r="P509" t="e">
        <f>VLOOKUP(A509,[2]cwurData!$B:$N, 3, FALSE)</f>
        <v>#N/A</v>
      </c>
      <c r="Q509" t="e">
        <f>VLOOKUP(A509,[2]cwurData!$B:$N, 4, FALSE)</f>
        <v>#N/A</v>
      </c>
      <c r="R509" t="e">
        <f>VLOOKUP(A509,[2]cwurData!$B:$N, 5, FALSE)</f>
        <v>#N/A</v>
      </c>
      <c r="S509" t="e">
        <f>VLOOKUP(A509,[2]cwurData!$B:$N, 6, FALSE)</f>
        <v>#N/A</v>
      </c>
      <c r="T509" t="e">
        <f>VLOOKUP(A509,[2]cwurData!$B:$N, 7, FALSE)</f>
        <v>#N/A</v>
      </c>
      <c r="U509" t="e">
        <f>VLOOKUP(A509,[2]cwurData!$B:$N, 8, FALSE)</f>
        <v>#N/A</v>
      </c>
      <c r="V509" t="e">
        <f>VLOOKUP(A509,[2]cwurData!$B:$N, 9, FALSE)</f>
        <v>#N/A</v>
      </c>
      <c r="W509" t="e">
        <f>VLOOKUP(A509,[2]cwurData!$B:$N, 10, FALSE)</f>
        <v>#N/A</v>
      </c>
      <c r="X509" t="e">
        <f>VLOOKUP(A509,[2]cwurData!$B:$N, 11, FALSE)</f>
        <v>#N/A</v>
      </c>
      <c r="Y509" t="e">
        <f>VLOOKUP(A509,[2]cwurData!$B:$N, 12, FALSE)</f>
        <v>#N/A</v>
      </c>
      <c r="Z509" t="e">
        <f>VLOOKUP(A509,[2]cwurData!$B:$N, 13, FALSE)</f>
        <v>#N/A</v>
      </c>
    </row>
    <row r="510" spans="1:26" x14ac:dyDescent="0.3">
      <c r="A510" t="s">
        <v>515</v>
      </c>
      <c r="B510" t="str">
        <f>IFERROR(VLOOKUP(A510,[1]timesData!$B:$P,2,FALSE),VLOOKUP(A510,[2]cwurData!$B:$P,2,FALSE))</f>
        <v>France</v>
      </c>
      <c r="C510" t="str">
        <f>VLOOKUP(A510,[1]timesData!$B:$P,3,FALSE)</f>
        <v>351-400</v>
      </c>
      <c r="D510" t="str">
        <f>VLOOKUP(A511,[1]timesData!$B:$P,3,FALSE)</f>
        <v>351-400</v>
      </c>
      <c r="E510">
        <f>VLOOKUP(A511,[1]timesData!$B:$P,4,FALSE)</f>
        <v>57.6</v>
      </c>
      <c r="F510">
        <f>VLOOKUP(A511,[1]timesData!$B:$P,5,FALSE)</f>
        <v>12.7</v>
      </c>
      <c r="G510">
        <f>VLOOKUP(A511,[1]timesData!$B:$P,6,FALSE)</f>
        <v>50.6</v>
      </c>
      <c r="H510">
        <f>VLOOKUP(A511,[1]timesData!$B:$P,7,FALSE)</f>
        <v>29.4</v>
      </c>
      <c r="I510" t="str">
        <f>VLOOKUP(A511,[1]timesData!$B:$P,8,FALSE)</f>
        <v>-</v>
      </c>
      <c r="J510">
        <f>VLOOKUP(A511,[1]timesData!$B:$P,9,FALSE)</f>
        <v>9565</v>
      </c>
      <c r="K510">
        <f>VLOOKUP(A511,[1]timesData!$B:$P,10,FALSE)</f>
        <v>15.4</v>
      </c>
      <c r="L510">
        <f>VLOOKUP(A511,[1]timesData!$B:$P,11,FALSE)</f>
        <v>0.28000000000000003</v>
      </c>
      <c r="M510">
        <f>VLOOKUP(A511,[1]timesData!$B:$P,12,FALSE)</f>
        <v>2.2409722222222221</v>
      </c>
      <c r="N510">
        <f>VLOOKUP(A511,[1]timesData!$B:$P,13,FALSE)</f>
        <v>2013</v>
      </c>
      <c r="O510" t="e">
        <f>VLOOKUP(A510,[2]cwurData!$B:$P,14,FALSE)</f>
        <v>#N/A</v>
      </c>
      <c r="P510" t="e">
        <f>VLOOKUP(A510,[2]cwurData!$B:$N, 3, FALSE)</f>
        <v>#N/A</v>
      </c>
      <c r="Q510" t="e">
        <f>VLOOKUP(A510,[2]cwurData!$B:$N, 4, FALSE)</f>
        <v>#N/A</v>
      </c>
      <c r="R510" t="e">
        <f>VLOOKUP(A510,[2]cwurData!$B:$N, 5, FALSE)</f>
        <v>#N/A</v>
      </c>
      <c r="S510" t="e">
        <f>VLOOKUP(A510,[2]cwurData!$B:$N, 6, FALSE)</f>
        <v>#N/A</v>
      </c>
      <c r="T510" t="e">
        <f>VLOOKUP(A510,[2]cwurData!$B:$N, 7, FALSE)</f>
        <v>#N/A</v>
      </c>
      <c r="U510" t="e">
        <f>VLOOKUP(A510,[2]cwurData!$B:$N, 8, FALSE)</f>
        <v>#N/A</v>
      </c>
      <c r="V510" t="e">
        <f>VLOOKUP(A510,[2]cwurData!$B:$N, 9, FALSE)</f>
        <v>#N/A</v>
      </c>
      <c r="W510" t="e">
        <f>VLOOKUP(A510,[2]cwurData!$B:$N, 10, FALSE)</f>
        <v>#N/A</v>
      </c>
      <c r="X510" t="e">
        <f>VLOOKUP(A510,[2]cwurData!$B:$N, 11, FALSE)</f>
        <v>#N/A</v>
      </c>
      <c r="Y510" t="e">
        <f>VLOOKUP(A510,[2]cwurData!$B:$N, 12, FALSE)</f>
        <v>#N/A</v>
      </c>
      <c r="Z510" t="e">
        <f>VLOOKUP(A510,[2]cwurData!$B:$N, 13, FALSE)</f>
        <v>#N/A</v>
      </c>
    </row>
    <row r="511" spans="1:26" x14ac:dyDescent="0.3">
      <c r="A511" t="s">
        <v>436</v>
      </c>
      <c r="B511" t="str">
        <f>IFERROR(VLOOKUP(A511,[1]timesData!$B:$P,2,FALSE),VLOOKUP(A511,[2]cwurData!$B:$P,2,FALSE))</f>
        <v>France</v>
      </c>
      <c r="C511" t="str">
        <f>VLOOKUP(A511,[1]timesData!$B:$P,3,FALSE)</f>
        <v>351-400</v>
      </c>
      <c r="D511" t="str">
        <f>VLOOKUP(A512,[1]timesData!$B:$P,3,FALSE)</f>
        <v>351-400</v>
      </c>
      <c r="E511">
        <f>VLOOKUP(A512,[1]timesData!$B:$P,4,FALSE)</f>
        <v>48</v>
      </c>
      <c r="F511">
        <f>VLOOKUP(A512,[1]timesData!$B:$P,5,FALSE)</f>
        <v>11.8</v>
      </c>
      <c r="G511">
        <f>VLOOKUP(A512,[1]timesData!$B:$P,6,FALSE)</f>
        <v>62.1</v>
      </c>
      <c r="H511">
        <f>VLOOKUP(A512,[1]timesData!$B:$P,7,FALSE)</f>
        <v>37.700000000000003</v>
      </c>
      <c r="I511" t="str">
        <f>VLOOKUP(A512,[1]timesData!$B:$P,8,FALSE)</f>
        <v>-</v>
      </c>
      <c r="J511">
        <f>VLOOKUP(A512,[1]timesData!$B:$P,9,FALSE)</f>
        <v>36353</v>
      </c>
      <c r="K511">
        <f>VLOOKUP(A512,[1]timesData!$B:$P,10,FALSE)</f>
        <v>61.2</v>
      </c>
      <c r="L511">
        <f>VLOOKUP(A512,[1]timesData!$B:$P,11,FALSE)</f>
        <v>0.05</v>
      </c>
      <c r="M511">
        <f>VLOOKUP(A512,[1]timesData!$B:$P,12,FALSE)</f>
        <v>2.4868055555555557</v>
      </c>
      <c r="N511">
        <f>VLOOKUP(A512,[1]timesData!$B:$P,13,FALSE)</f>
        <v>2015</v>
      </c>
      <c r="O511" t="e">
        <f>VLOOKUP(A511,[2]cwurData!$B:$P,14,FALSE)</f>
        <v>#N/A</v>
      </c>
      <c r="P511" t="e">
        <f>VLOOKUP(A511,[2]cwurData!$B:$N, 3, FALSE)</f>
        <v>#N/A</v>
      </c>
      <c r="Q511" t="e">
        <f>VLOOKUP(A511,[2]cwurData!$B:$N, 4, FALSE)</f>
        <v>#N/A</v>
      </c>
      <c r="R511" t="e">
        <f>VLOOKUP(A511,[2]cwurData!$B:$N, 5, FALSE)</f>
        <v>#N/A</v>
      </c>
      <c r="S511" t="e">
        <f>VLOOKUP(A511,[2]cwurData!$B:$N, 6, FALSE)</f>
        <v>#N/A</v>
      </c>
      <c r="T511" t="e">
        <f>VLOOKUP(A511,[2]cwurData!$B:$N, 7, FALSE)</f>
        <v>#N/A</v>
      </c>
      <c r="U511" t="e">
        <f>VLOOKUP(A511,[2]cwurData!$B:$N, 8, FALSE)</f>
        <v>#N/A</v>
      </c>
      <c r="V511" t="e">
        <f>VLOOKUP(A511,[2]cwurData!$B:$N, 9, FALSE)</f>
        <v>#N/A</v>
      </c>
      <c r="W511" t="e">
        <f>VLOOKUP(A511,[2]cwurData!$B:$N, 10, FALSE)</f>
        <v>#N/A</v>
      </c>
      <c r="X511" t="e">
        <f>VLOOKUP(A511,[2]cwurData!$B:$N, 11, FALSE)</f>
        <v>#N/A</v>
      </c>
      <c r="Y511" t="e">
        <f>VLOOKUP(A511,[2]cwurData!$B:$N, 12, FALSE)</f>
        <v>#N/A</v>
      </c>
      <c r="Z511" t="e">
        <f>VLOOKUP(A511,[2]cwurData!$B:$N, 13, FALSE)</f>
        <v>#N/A</v>
      </c>
    </row>
    <row r="512" spans="1:26" x14ac:dyDescent="0.3">
      <c r="A512" t="s">
        <v>479</v>
      </c>
      <c r="B512" t="str">
        <f>IFERROR(VLOOKUP(A512,[1]timesData!$B:$P,2,FALSE),VLOOKUP(A512,[2]cwurData!$B:$P,2,FALSE))</f>
        <v>Italy</v>
      </c>
      <c r="C512" t="str">
        <f>VLOOKUP(A512,[1]timesData!$B:$P,3,FALSE)</f>
        <v>351-400</v>
      </c>
      <c r="D512" t="str">
        <f>VLOOKUP(A513,[1]timesData!$B:$P,3,FALSE)</f>
        <v>351-400</v>
      </c>
      <c r="E512">
        <f>VLOOKUP(A513,[1]timesData!$B:$P,4,FALSE)</f>
        <v>34.299999999999997</v>
      </c>
      <c r="F512">
        <f>VLOOKUP(A513,[1]timesData!$B:$P,5,FALSE)</f>
        <v>13.6</v>
      </c>
      <c r="G512">
        <f>VLOOKUP(A513,[1]timesData!$B:$P,6,FALSE)</f>
        <v>64.2</v>
      </c>
      <c r="H512">
        <f>VLOOKUP(A513,[1]timesData!$B:$P,7,FALSE)</f>
        <v>30.6</v>
      </c>
      <c r="I512" t="str">
        <f>VLOOKUP(A513,[1]timesData!$B:$P,8,FALSE)</f>
        <v>-</v>
      </c>
      <c r="J512">
        <f>VLOOKUP(A513,[1]timesData!$B:$P,9,FALSE)</f>
        <v>12533</v>
      </c>
      <c r="K512">
        <f>VLOOKUP(A513,[1]timesData!$B:$P,10,FALSE)</f>
        <v>12.8</v>
      </c>
      <c r="L512">
        <f>VLOOKUP(A513,[1]timesData!$B:$P,11,FALSE)</f>
        <v>0.09</v>
      </c>
      <c r="M512">
        <f>VLOOKUP(A513,[1]timesData!$B:$P,12,FALSE)</f>
        <v>2.5687500000000001</v>
      </c>
      <c r="N512">
        <f>VLOOKUP(A513,[1]timesData!$B:$P,13,FALSE)</f>
        <v>2014</v>
      </c>
      <c r="O512" t="e">
        <f>VLOOKUP(A512,[2]cwurData!$B:$P,14,FALSE)</f>
        <v>#N/A</v>
      </c>
      <c r="P512" t="e">
        <f>VLOOKUP(A512,[2]cwurData!$B:$N, 3, FALSE)</f>
        <v>#N/A</v>
      </c>
      <c r="Q512" t="e">
        <f>VLOOKUP(A512,[2]cwurData!$B:$N, 4, FALSE)</f>
        <v>#N/A</v>
      </c>
      <c r="R512" t="e">
        <f>VLOOKUP(A512,[2]cwurData!$B:$N, 5, FALSE)</f>
        <v>#N/A</v>
      </c>
      <c r="S512" t="e">
        <f>VLOOKUP(A512,[2]cwurData!$B:$N, 6, FALSE)</f>
        <v>#N/A</v>
      </c>
      <c r="T512" t="e">
        <f>VLOOKUP(A512,[2]cwurData!$B:$N, 7, FALSE)</f>
        <v>#N/A</v>
      </c>
      <c r="U512" t="e">
        <f>VLOOKUP(A512,[2]cwurData!$B:$N, 8, FALSE)</f>
        <v>#N/A</v>
      </c>
      <c r="V512" t="e">
        <f>VLOOKUP(A512,[2]cwurData!$B:$N, 9, FALSE)</f>
        <v>#N/A</v>
      </c>
      <c r="W512" t="e">
        <f>VLOOKUP(A512,[2]cwurData!$B:$N, 10, FALSE)</f>
        <v>#N/A</v>
      </c>
      <c r="X512" t="e">
        <f>VLOOKUP(A512,[2]cwurData!$B:$N, 11, FALSE)</f>
        <v>#N/A</v>
      </c>
      <c r="Y512" t="e">
        <f>VLOOKUP(A512,[2]cwurData!$B:$N, 12, FALSE)</f>
        <v>#N/A</v>
      </c>
      <c r="Z512" t="e">
        <f>VLOOKUP(A512,[2]cwurData!$B:$N, 13, FALSE)</f>
        <v>#N/A</v>
      </c>
    </row>
    <row r="513" spans="1:26" x14ac:dyDescent="0.3">
      <c r="A513" t="s">
        <v>459</v>
      </c>
      <c r="B513" t="str">
        <f>IFERROR(VLOOKUP(A513,[1]timesData!$B:$P,2,FALSE),VLOOKUP(A513,[2]cwurData!$B:$P,2,FALSE))</f>
        <v>Spain</v>
      </c>
      <c r="C513" t="str">
        <f>VLOOKUP(A513,[1]timesData!$B:$P,3,FALSE)</f>
        <v>351-400</v>
      </c>
      <c r="D513" t="str">
        <f>VLOOKUP(A514,[1]timesData!$B:$P,3,FALSE)</f>
        <v>351-400</v>
      </c>
      <c r="E513">
        <f>VLOOKUP(A514,[1]timesData!$B:$P,4,FALSE)</f>
        <v>17.100000000000001</v>
      </c>
      <c r="F513">
        <f>VLOOKUP(A514,[1]timesData!$B:$P,5,FALSE)</f>
        <v>12.1</v>
      </c>
      <c r="G513">
        <f>VLOOKUP(A514,[1]timesData!$B:$P,6,FALSE)</f>
        <v>70.400000000000006</v>
      </c>
      <c r="H513">
        <f>VLOOKUP(A514,[1]timesData!$B:$P,7,FALSE)</f>
        <v>28</v>
      </c>
      <c r="I513" t="str">
        <f>VLOOKUP(A514,[1]timesData!$B:$P,8,FALSE)</f>
        <v>-</v>
      </c>
      <c r="J513">
        <f>VLOOKUP(A514,[1]timesData!$B:$P,9,FALSE)</f>
        <v>8003</v>
      </c>
      <c r="K513">
        <f>VLOOKUP(A514,[1]timesData!$B:$P,10,FALSE)</f>
        <v>17.100000000000001</v>
      </c>
      <c r="L513">
        <f>VLOOKUP(A514,[1]timesData!$B:$P,11,FALSE)</f>
        <v>0.02</v>
      </c>
      <c r="M513">
        <f>VLOOKUP(A514,[1]timesData!$B:$P,12,FALSE)</f>
        <v>2.5687500000000001</v>
      </c>
      <c r="N513">
        <f>VLOOKUP(A514,[1]timesData!$B:$P,13,FALSE)</f>
        <v>2016</v>
      </c>
      <c r="O513" t="e">
        <f>VLOOKUP(A513,[2]cwurData!$B:$P,14,FALSE)</f>
        <v>#N/A</v>
      </c>
      <c r="P513" t="e">
        <f>VLOOKUP(A513,[2]cwurData!$B:$N, 3, FALSE)</f>
        <v>#N/A</v>
      </c>
      <c r="Q513" t="e">
        <f>VLOOKUP(A513,[2]cwurData!$B:$N, 4, FALSE)</f>
        <v>#N/A</v>
      </c>
      <c r="R513" t="e">
        <f>VLOOKUP(A513,[2]cwurData!$B:$N, 5, FALSE)</f>
        <v>#N/A</v>
      </c>
      <c r="S513" t="e">
        <f>VLOOKUP(A513,[2]cwurData!$B:$N, 6, FALSE)</f>
        <v>#N/A</v>
      </c>
      <c r="T513" t="e">
        <f>VLOOKUP(A513,[2]cwurData!$B:$N, 7, FALSE)</f>
        <v>#N/A</v>
      </c>
      <c r="U513" t="e">
        <f>VLOOKUP(A513,[2]cwurData!$B:$N, 8, FALSE)</f>
        <v>#N/A</v>
      </c>
      <c r="V513" t="e">
        <f>VLOOKUP(A513,[2]cwurData!$B:$N, 9, FALSE)</f>
        <v>#N/A</v>
      </c>
      <c r="W513" t="e">
        <f>VLOOKUP(A513,[2]cwurData!$B:$N, 10, FALSE)</f>
        <v>#N/A</v>
      </c>
      <c r="X513" t="e">
        <f>VLOOKUP(A513,[2]cwurData!$B:$N, 11, FALSE)</f>
        <v>#N/A</v>
      </c>
      <c r="Y513" t="e">
        <f>VLOOKUP(A513,[2]cwurData!$B:$N, 12, FALSE)</f>
        <v>#N/A</v>
      </c>
      <c r="Z513" t="e">
        <f>VLOOKUP(A513,[2]cwurData!$B:$N, 13, FALSE)</f>
        <v>#N/A</v>
      </c>
    </row>
    <row r="514" spans="1:26" x14ac:dyDescent="0.3">
      <c r="A514" t="s">
        <v>516</v>
      </c>
      <c r="B514" t="str">
        <f>IFERROR(VLOOKUP(A514,[1]timesData!$B:$P,2,FALSE),VLOOKUP(A514,[2]cwurData!$B:$P,2,FALSE))</f>
        <v>United States of America</v>
      </c>
      <c r="C514" t="str">
        <f>VLOOKUP(A514,[1]timesData!$B:$P,3,FALSE)</f>
        <v>351-400</v>
      </c>
      <c r="D514" t="str">
        <f>VLOOKUP(A515,[1]timesData!$B:$P,3,FALSE)</f>
        <v>351-400</v>
      </c>
      <c r="E514">
        <f>VLOOKUP(A515,[1]timesData!$B:$P,4,FALSE)</f>
        <v>97.6</v>
      </c>
      <c r="F514">
        <f>VLOOKUP(A515,[1]timesData!$B:$P,5,FALSE)</f>
        <v>11.2</v>
      </c>
      <c r="G514">
        <f>VLOOKUP(A515,[1]timesData!$B:$P,6,FALSE)</f>
        <v>53.5</v>
      </c>
      <c r="H514">
        <f>VLOOKUP(A515,[1]timesData!$B:$P,7,FALSE)</f>
        <v>41.8</v>
      </c>
      <c r="I514" t="str">
        <f>VLOOKUP(A515,[1]timesData!$B:$P,8,FALSE)</f>
        <v>-</v>
      </c>
      <c r="J514">
        <f>VLOOKUP(A515,[1]timesData!$B:$P,9,FALSE)</f>
        <v>6848</v>
      </c>
      <c r="K514">
        <f>VLOOKUP(A515,[1]timesData!$B:$P,10,FALSE)</f>
        <v>10.8</v>
      </c>
      <c r="L514">
        <f>VLOOKUP(A515,[1]timesData!$B:$P,11,FALSE)</f>
        <v>0.34</v>
      </c>
      <c r="M514" t="str">
        <f>VLOOKUP(A515,[1]timesData!$B:$P,12,FALSE)</f>
        <v>32 : 68</v>
      </c>
      <c r="N514">
        <f>VLOOKUP(A515,[1]timesData!$B:$P,13,FALSE)</f>
        <v>2016</v>
      </c>
      <c r="O514" t="e">
        <f>VLOOKUP(A514,[2]cwurData!$B:$P,14,FALSE)</f>
        <v>#N/A</v>
      </c>
      <c r="P514" t="e">
        <f>VLOOKUP(A514,[2]cwurData!$B:$N, 3, FALSE)</f>
        <v>#N/A</v>
      </c>
      <c r="Q514" t="e">
        <f>VLOOKUP(A514,[2]cwurData!$B:$N, 4, FALSE)</f>
        <v>#N/A</v>
      </c>
      <c r="R514" t="e">
        <f>VLOOKUP(A514,[2]cwurData!$B:$N, 5, FALSE)</f>
        <v>#N/A</v>
      </c>
      <c r="S514" t="e">
        <f>VLOOKUP(A514,[2]cwurData!$B:$N, 6, FALSE)</f>
        <v>#N/A</v>
      </c>
      <c r="T514" t="e">
        <f>VLOOKUP(A514,[2]cwurData!$B:$N, 7, FALSE)</f>
        <v>#N/A</v>
      </c>
      <c r="U514" t="e">
        <f>VLOOKUP(A514,[2]cwurData!$B:$N, 8, FALSE)</f>
        <v>#N/A</v>
      </c>
      <c r="V514" t="e">
        <f>VLOOKUP(A514,[2]cwurData!$B:$N, 9, FALSE)</f>
        <v>#N/A</v>
      </c>
      <c r="W514" t="e">
        <f>VLOOKUP(A514,[2]cwurData!$B:$N, 10, FALSE)</f>
        <v>#N/A</v>
      </c>
      <c r="X514" t="e">
        <f>VLOOKUP(A514,[2]cwurData!$B:$N, 11, FALSE)</f>
        <v>#N/A</v>
      </c>
      <c r="Y514" t="e">
        <f>VLOOKUP(A514,[2]cwurData!$B:$N, 12, FALSE)</f>
        <v>#N/A</v>
      </c>
      <c r="Z514" t="e">
        <f>VLOOKUP(A514,[2]cwurData!$B:$N, 13, FALSE)</f>
        <v>#N/A</v>
      </c>
    </row>
    <row r="515" spans="1:26" x14ac:dyDescent="0.3">
      <c r="A515" t="s">
        <v>511</v>
      </c>
      <c r="B515" t="str">
        <f>IFERROR(VLOOKUP(A515,[1]timesData!$B:$P,2,FALSE),VLOOKUP(A515,[2]cwurData!$B:$P,2,FALSE))</f>
        <v>Switzerland</v>
      </c>
      <c r="C515" t="str">
        <f>VLOOKUP(A515,[1]timesData!$B:$P,3,FALSE)</f>
        <v>351-400</v>
      </c>
      <c r="D515" t="str">
        <f>VLOOKUP(A516,[1]timesData!$B:$P,3,FALSE)</f>
        <v>351-400</v>
      </c>
      <c r="E515">
        <f>VLOOKUP(A516,[1]timesData!$B:$P,4,FALSE)</f>
        <v>74.7</v>
      </c>
      <c r="F515">
        <f>VLOOKUP(A516,[1]timesData!$B:$P,5,FALSE)</f>
        <v>21.5</v>
      </c>
      <c r="G515">
        <f>VLOOKUP(A516,[1]timesData!$B:$P,6,FALSE)</f>
        <v>34.700000000000003</v>
      </c>
      <c r="H515">
        <f>VLOOKUP(A516,[1]timesData!$B:$P,7,FALSE)</f>
        <v>33.9</v>
      </c>
      <c r="I515" t="str">
        <f>VLOOKUP(A516,[1]timesData!$B:$P,8,FALSE)</f>
        <v>-</v>
      </c>
      <c r="J515">
        <f>VLOOKUP(A516,[1]timesData!$B:$P,9,FALSE)</f>
        <v>24519</v>
      </c>
      <c r="K515">
        <f>VLOOKUP(A516,[1]timesData!$B:$P,10,FALSE)</f>
        <v>44.1</v>
      </c>
      <c r="L515">
        <f>VLOOKUP(A516,[1]timesData!$B:$P,11,FALSE)</f>
        <v>0.31</v>
      </c>
      <c r="M515">
        <f>VLOOKUP(A516,[1]timesData!$B:$P,12,FALSE)</f>
        <v>2.2409722222222221</v>
      </c>
      <c r="N515">
        <f>VLOOKUP(A516,[1]timesData!$B:$P,13,FALSE)</f>
        <v>2013</v>
      </c>
      <c r="O515" t="e">
        <f>VLOOKUP(A515,[2]cwurData!$B:$P,14,FALSE)</f>
        <v>#N/A</v>
      </c>
      <c r="P515" t="e">
        <f>VLOOKUP(A515,[2]cwurData!$B:$N, 3, FALSE)</f>
        <v>#N/A</v>
      </c>
      <c r="Q515" t="e">
        <f>VLOOKUP(A515,[2]cwurData!$B:$N, 4, FALSE)</f>
        <v>#N/A</v>
      </c>
      <c r="R515" t="e">
        <f>VLOOKUP(A515,[2]cwurData!$B:$N, 5, FALSE)</f>
        <v>#N/A</v>
      </c>
      <c r="S515" t="e">
        <f>VLOOKUP(A515,[2]cwurData!$B:$N, 6, FALSE)</f>
        <v>#N/A</v>
      </c>
      <c r="T515" t="e">
        <f>VLOOKUP(A515,[2]cwurData!$B:$N, 7, FALSE)</f>
        <v>#N/A</v>
      </c>
      <c r="U515" t="e">
        <f>VLOOKUP(A515,[2]cwurData!$B:$N, 8, FALSE)</f>
        <v>#N/A</v>
      </c>
      <c r="V515" t="e">
        <f>VLOOKUP(A515,[2]cwurData!$B:$N, 9, FALSE)</f>
        <v>#N/A</v>
      </c>
      <c r="W515" t="e">
        <f>VLOOKUP(A515,[2]cwurData!$B:$N, 10, FALSE)</f>
        <v>#N/A</v>
      </c>
      <c r="X515" t="e">
        <f>VLOOKUP(A515,[2]cwurData!$B:$N, 11, FALSE)</f>
        <v>#N/A</v>
      </c>
      <c r="Y515" t="e">
        <f>VLOOKUP(A515,[2]cwurData!$B:$N, 12, FALSE)</f>
        <v>#N/A</v>
      </c>
      <c r="Z515" t="e">
        <f>VLOOKUP(A515,[2]cwurData!$B:$N, 13, FALSE)</f>
        <v>#N/A</v>
      </c>
    </row>
    <row r="516" spans="1:26" x14ac:dyDescent="0.3">
      <c r="A516" t="s">
        <v>443</v>
      </c>
      <c r="B516" t="str">
        <f>IFERROR(VLOOKUP(A516,[1]timesData!$B:$P,2,FALSE),VLOOKUP(A516,[2]cwurData!$B:$P,2,FALSE))</f>
        <v>Australia</v>
      </c>
      <c r="C516" t="str">
        <f>VLOOKUP(A516,[1]timesData!$B:$P,3,FALSE)</f>
        <v>351-400</v>
      </c>
      <c r="D516" t="str">
        <f>VLOOKUP(A517,[1]timesData!$B:$P,3,FALSE)</f>
        <v>351-400</v>
      </c>
      <c r="E516">
        <f>VLOOKUP(A517,[1]timesData!$B:$P,4,FALSE)</f>
        <v>53</v>
      </c>
      <c r="F516">
        <f>VLOOKUP(A517,[1]timesData!$B:$P,5,FALSE)</f>
        <v>11.4</v>
      </c>
      <c r="G516">
        <f>VLOOKUP(A517,[1]timesData!$B:$P,6,FALSE)</f>
        <v>68.2</v>
      </c>
      <c r="H516">
        <f>VLOOKUP(A517,[1]timesData!$B:$P,7,FALSE)</f>
        <v>28.4</v>
      </c>
      <c r="I516" t="str">
        <f>VLOOKUP(A517,[1]timesData!$B:$P,8,FALSE)</f>
        <v>-</v>
      </c>
      <c r="J516">
        <f>VLOOKUP(A517,[1]timesData!$B:$P,9,FALSE)</f>
        <v>15773</v>
      </c>
      <c r="K516">
        <f>VLOOKUP(A517,[1]timesData!$B:$P,10,FALSE)</f>
        <v>16.899999999999999</v>
      </c>
      <c r="L516">
        <f>VLOOKUP(A517,[1]timesData!$B:$P,11,FALSE)</f>
        <v>0.02</v>
      </c>
      <c r="M516">
        <f>VLOOKUP(A517,[1]timesData!$B:$P,12,FALSE)</f>
        <v>1.8722222222222222</v>
      </c>
      <c r="N516">
        <f>VLOOKUP(A517,[1]timesData!$B:$P,13,FALSE)</f>
        <v>2013</v>
      </c>
      <c r="O516" t="e">
        <f>VLOOKUP(A516,[2]cwurData!$B:$P,14,FALSE)</f>
        <v>#N/A</v>
      </c>
      <c r="P516" t="e">
        <f>VLOOKUP(A516,[2]cwurData!$B:$N, 3, FALSE)</f>
        <v>#N/A</v>
      </c>
      <c r="Q516" t="e">
        <f>VLOOKUP(A516,[2]cwurData!$B:$N, 4, FALSE)</f>
        <v>#N/A</v>
      </c>
      <c r="R516" t="e">
        <f>VLOOKUP(A516,[2]cwurData!$B:$N, 5, FALSE)</f>
        <v>#N/A</v>
      </c>
      <c r="S516" t="e">
        <f>VLOOKUP(A516,[2]cwurData!$B:$N, 6, FALSE)</f>
        <v>#N/A</v>
      </c>
      <c r="T516" t="e">
        <f>VLOOKUP(A516,[2]cwurData!$B:$N, 7, FALSE)</f>
        <v>#N/A</v>
      </c>
      <c r="U516" t="e">
        <f>VLOOKUP(A516,[2]cwurData!$B:$N, 8, FALSE)</f>
        <v>#N/A</v>
      </c>
      <c r="V516" t="e">
        <f>VLOOKUP(A516,[2]cwurData!$B:$N, 9, FALSE)</f>
        <v>#N/A</v>
      </c>
      <c r="W516" t="e">
        <f>VLOOKUP(A516,[2]cwurData!$B:$N, 10, FALSE)</f>
        <v>#N/A</v>
      </c>
      <c r="X516" t="e">
        <f>VLOOKUP(A516,[2]cwurData!$B:$N, 11, FALSE)</f>
        <v>#N/A</v>
      </c>
      <c r="Y516" t="e">
        <f>VLOOKUP(A516,[2]cwurData!$B:$N, 12, FALSE)</f>
        <v>#N/A</v>
      </c>
      <c r="Z516" t="e">
        <f>VLOOKUP(A516,[2]cwurData!$B:$N, 13, FALSE)</f>
        <v>#N/A</v>
      </c>
    </row>
    <row r="517" spans="1:26" x14ac:dyDescent="0.3">
      <c r="A517" t="s">
        <v>444</v>
      </c>
      <c r="B517" t="str">
        <f>IFERROR(VLOOKUP(A517,[1]timesData!$B:$P,2,FALSE),VLOOKUP(A517,[2]cwurData!$B:$P,2,FALSE))</f>
        <v>Colombia</v>
      </c>
      <c r="C517" t="str">
        <f>VLOOKUP(A517,[1]timesData!$B:$P,3,FALSE)</f>
        <v>351-400</v>
      </c>
      <c r="D517" t="str">
        <f>VLOOKUP(A518,[1]timesData!$B:$P,3,FALSE)</f>
        <v>351-400</v>
      </c>
      <c r="E517">
        <f>VLOOKUP(A518,[1]timesData!$B:$P,4,FALSE)</f>
        <v>38.299999999999997</v>
      </c>
      <c r="F517">
        <f>VLOOKUP(A518,[1]timesData!$B:$P,5,FALSE)</f>
        <v>13.1</v>
      </c>
      <c r="G517">
        <f>VLOOKUP(A518,[1]timesData!$B:$P,6,FALSE)</f>
        <v>76.099999999999994</v>
      </c>
      <c r="H517">
        <f>VLOOKUP(A518,[1]timesData!$B:$P,7,FALSE)</f>
        <v>36.6</v>
      </c>
      <c r="I517" t="str">
        <f>VLOOKUP(A518,[1]timesData!$B:$P,8,FALSE)</f>
        <v>-</v>
      </c>
      <c r="J517">
        <f>VLOOKUP(A518,[1]timesData!$B:$P,9,FALSE)</f>
        <v>25250</v>
      </c>
      <c r="K517">
        <f>VLOOKUP(A518,[1]timesData!$B:$P,10,FALSE)</f>
        <v>19.7</v>
      </c>
      <c r="L517">
        <f>VLOOKUP(A518,[1]timesData!$B:$P,11,FALSE)</f>
        <v>7.0000000000000007E-2</v>
      </c>
      <c r="M517">
        <f>VLOOKUP(A518,[1]timesData!$B:$P,12,FALSE)</f>
        <v>2.7326388888888888</v>
      </c>
      <c r="N517">
        <f>VLOOKUP(A518,[1]timesData!$B:$P,13,FALSE)</f>
        <v>2016</v>
      </c>
      <c r="O517" t="e">
        <f>VLOOKUP(A517,[2]cwurData!$B:$P,14,FALSE)</f>
        <v>#N/A</v>
      </c>
      <c r="P517" t="e">
        <f>VLOOKUP(A517,[2]cwurData!$B:$N, 3, FALSE)</f>
        <v>#N/A</v>
      </c>
      <c r="Q517" t="e">
        <f>VLOOKUP(A517,[2]cwurData!$B:$N, 4, FALSE)</f>
        <v>#N/A</v>
      </c>
      <c r="R517" t="e">
        <f>VLOOKUP(A517,[2]cwurData!$B:$N, 5, FALSE)</f>
        <v>#N/A</v>
      </c>
      <c r="S517" t="e">
        <f>VLOOKUP(A517,[2]cwurData!$B:$N, 6, FALSE)</f>
        <v>#N/A</v>
      </c>
      <c r="T517" t="e">
        <f>VLOOKUP(A517,[2]cwurData!$B:$N, 7, FALSE)</f>
        <v>#N/A</v>
      </c>
      <c r="U517" t="e">
        <f>VLOOKUP(A517,[2]cwurData!$B:$N, 8, FALSE)</f>
        <v>#N/A</v>
      </c>
      <c r="V517" t="e">
        <f>VLOOKUP(A517,[2]cwurData!$B:$N, 9, FALSE)</f>
        <v>#N/A</v>
      </c>
      <c r="W517" t="e">
        <f>VLOOKUP(A517,[2]cwurData!$B:$N, 10, FALSE)</f>
        <v>#N/A</v>
      </c>
      <c r="X517" t="e">
        <f>VLOOKUP(A517,[2]cwurData!$B:$N, 11, FALSE)</f>
        <v>#N/A</v>
      </c>
      <c r="Y517" t="e">
        <f>VLOOKUP(A517,[2]cwurData!$B:$N, 12, FALSE)</f>
        <v>#N/A</v>
      </c>
      <c r="Z517" t="e">
        <f>VLOOKUP(A517,[2]cwurData!$B:$N, 13, FALSE)</f>
        <v>#N/A</v>
      </c>
    </row>
    <row r="518" spans="1:26" x14ac:dyDescent="0.3">
      <c r="A518" t="s">
        <v>518</v>
      </c>
      <c r="B518" t="str">
        <f>IFERROR(VLOOKUP(A518,[1]timesData!$B:$P,2,FALSE),VLOOKUP(A518,[2]cwurData!$B:$P,2,FALSE))</f>
        <v>Italy</v>
      </c>
      <c r="C518" t="str">
        <f>VLOOKUP(A518,[1]timesData!$B:$P,3,FALSE)</f>
        <v>351-400</v>
      </c>
      <c r="D518" t="str">
        <f>VLOOKUP(A519,[1]timesData!$B:$P,3,FALSE)</f>
        <v>351-400</v>
      </c>
      <c r="E518">
        <f>VLOOKUP(A519,[1]timesData!$B:$P,4,FALSE)</f>
        <v>50.1</v>
      </c>
      <c r="F518">
        <f>VLOOKUP(A519,[1]timesData!$B:$P,5,FALSE)</f>
        <v>22.4</v>
      </c>
      <c r="G518">
        <f>VLOOKUP(A519,[1]timesData!$B:$P,6,FALSE)</f>
        <v>58.7</v>
      </c>
      <c r="H518">
        <f>VLOOKUP(A519,[1]timesData!$B:$P,7,FALSE)</f>
        <v>30.4</v>
      </c>
      <c r="I518" t="str">
        <f>VLOOKUP(A519,[1]timesData!$B:$P,8,FALSE)</f>
        <v>-</v>
      </c>
      <c r="J518">
        <f>VLOOKUP(A519,[1]timesData!$B:$P,9,FALSE)</f>
        <v>30704</v>
      </c>
      <c r="K518">
        <f>VLOOKUP(A519,[1]timesData!$B:$P,10,FALSE)</f>
        <v>32.200000000000003</v>
      </c>
      <c r="L518">
        <f>VLOOKUP(A519,[1]timesData!$B:$P,11,FALSE)</f>
        <v>0.09</v>
      </c>
      <c r="M518">
        <f>VLOOKUP(A519,[1]timesData!$B:$P,12,FALSE)</f>
        <v>2.3638888888888889</v>
      </c>
      <c r="N518">
        <f>VLOOKUP(A519,[1]timesData!$B:$P,13,FALSE)</f>
        <v>2015</v>
      </c>
      <c r="O518" t="e">
        <f>VLOOKUP(A518,[2]cwurData!$B:$P,14,FALSE)</f>
        <v>#N/A</v>
      </c>
      <c r="P518" t="e">
        <f>VLOOKUP(A518,[2]cwurData!$B:$N, 3, FALSE)</f>
        <v>#N/A</v>
      </c>
      <c r="Q518" t="e">
        <f>VLOOKUP(A518,[2]cwurData!$B:$N, 4, FALSE)</f>
        <v>#N/A</v>
      </c>
      <c r="R518" t="e">
        <f>VLOOKUP(A518,[2]cwurData!$B:$N, 5, FALSE)</f>
        <v>#N/A</v>
      </c>
      <c r="S518" t="e">
        <f>VLOOKUP(A518,[2]cwurData!$B:$N, 6, FALSE)</f>
        <v>#N/A</v>
      </c>
      <c r="T518" t="e">
        <f>VLOOKUP(A518,[2]cwurData!$B:$N, 7, FALSE)</f>
        <v>#N/A</v>
      </c>
      <c r="U518" t="e">
        <f>VLOOKUP(A518,[2]cwurData!$B:$N, 8, FALSE)</f>
        <v>#N/A</v>
      </c>
      <c r="V518" t="e">
        <f>VLOOKUP(A518,[2]cwurData!$B:$N, 9, FALSE)</f>
        <v>#N/A</v>
      </c>
      <c r="W518" t="e">
        <f>VLOOKUP(A518,[2]cwurData!$B:$N, 10, FALSE)</f>
        <v>#N/A</v>
      </c>
      <c r="X518" t="e">
        <f>VLOOKUP(A518,[2]cwurData!$B:$N, 11, FALSE)</f>
        <v>#N/A</v>
      </c>
      <c r="Y518" t="e">
        <f>VLOOKUP(A518,[2]cwurData!$B:$N, 12, FALSE)</f>
        <v>#N/A</v>
      </c>
      <c r="Z518" t="e">
        <f>VLOOKUP(A518,[2]cwurData!$B:$N, 13, FALSE)</f>
        <v>#N/A</v>
      </c>
    </row>
    <row r="519" spans="1:26" x14ac:dyDescent="0.3">
      <c r="A519" t="s">
        <v>481</v>
      </c>
      <c r="B519" t="str">
        <f>IFERROR(VLOOKUP(A519,[1]timesData!$B:$P,2,FALSE),VLOOKUP(A519,[2]cwurData!$B:$P,2,FALSE))</f>
        <v>Australia</v>
      </c>
      <c r="C519" t="str">
        <f>VLOOKUP(A519,[1]timesData!$B:$P,3,FALSE)</f>
        <v>351-400</v>
      </c>
      <c r="D519" t="str">
        <f>VLOOKUP(A520,[1]timesData!$B:$P,3,FALSE)</f>
        <v>401-500</v>
      </c>
      <c r="E519">
        <f>VLOOKUP(A520,[1]timesData!$B:$P,4,FALSE)</f>
        <v>39.1</v>
      </c>
      <c r="F519">
        <f>VLOOKUP(A520,[1]timesData!$B:$P,5,FALSE)</f>
        <v>27.6</v>
      </c>
      <c r="G519">
        <f>VLOOKUP(A520,[1]timesData!$B:$P,6,FALSE)</f>
        <v>31.2</v>
      </c>
      <c r="H519">
        <f>VLOOKUP(A520,[1]timesData!$B:$P,7,FALSE)</f>
        <v>30.9</v>
      </c>
      <c r="I519" t="str">
        <f>VLOOKUP(A520,[1]timesData!$B:$P,8,FALSE)</f>
        <v>-</v>
      </c>
      <c r="J519">
        <f>VLOOKUP(A520,[1]timesData!$B:$P,9,FALSE)</f>
        <v>86519</v>
      </c>
      <c r="K519">
        <f>VLOOKUP(A520,[1]timesData!$B:$P,10,FALSE)</f>
        <v>17.5</v>
      </c>
      <c r="L519">
        <f>VLOOKUP(A520,[1]timesData!$B:$P,11,FALSE)</f>
        <v>0.13</v>
      </c>
      <c r="M519">
        <f>VLOOKUP(A520,[1]timesData!$B:$P,12,FALSE)</f>
        <v>2.6097222222222221</v>
      </c>
      <c r="N519">
        <f>VLOOKUP(A520,[1]timesData!$B:$P,13,FALSE)</f>
        <v>2016</v>
      </c>
      <c r="O519" t="e">
        <f>VLOOKUP(A519,[2]cwurData!$B:$P,14,FALSE)</f>
        <v>#N/A</v>
      </c>
      <c r="P519" t="e">
        <f>VLOOKUP(A519,[2]cwurData!$B:$N, 3, FALSE)</f>
        <v>#N/A</v>
      </c>
      <c r="Q519" t="e">
        <f>VLOOKUP(A519,[2]cwurData!$B:$N, 4, FALSE)</f>
        <v>#N/A</v>
      </c>
      <c r="R519" t="e">
        <f>VLOOKUP(A519,[2]cwurData!$B:$N, 5, FALSE)</f>
        <v>#N/A</v>
      </c>
      <c r="S519" t="e">
        <f>VLOOKUP(A519,[2]cwurData!$B:$N, 6, FALSE)</f>
        <v>#N/A</v>
      </c>
      <c r="T519" t="e">
        <f>VLOOKUP(A519,[2]cwurData!$B:$N, 7, FALSE)</f>
        <v>#N/A</v>
      </c>
      <c r="U519" t="e">
        <f>VLOOKUP(A519,[2]cwurData!$B:$N, 8, FALSE)</f>
        <v>#N/A</v>
      </c>
      <c r="V519" t="e">
        <f>VLOOKUP(A519,[2]cwurData!$B:$N, 9, FALSE)</f>
        <v>#N/A</v>
      </c>
      <c r="W519" t="e">
        <f>VLOOKUP(A519,[2]cwurData!$B:$N, 10, FALSE)</f>
        <v>#N/A</v>
      </c>
      <c r="X519" t="e">
        <f>VLOOKUP(A519,[2]cwurData!$B:$N, 11, FALSE)</f>
        <v>#N/A</v>
      </c>
      <c r="Y519" t="e">
        <f>VLOOKUP(A519,[2]cwurData!$B:$N, 12, FALSE)</f>
        <v>#N/A</v>
      </c>
      <c r="Z519" t="e">
        <f>VLOOKUP(A519,[2]cwurData!$B:$N, 13, FALSE)</f>
        <v>#N/A</v>
      </c>
    </row>
    <row r="520" spans="1:26" x14ac:dyDescent="0.3">
      <c r="A520" t="s">
        <v>527</v>
      </c>
      <c r="B520" t="str">
        <f>IFERROR(VLOOKUP(A520,[1]timesData!$B:$P,2,FALSE),VLOOKUP(A520,[2]cwurData!$B:$P,2,FALSE))</f>
        <v>Spain</v>
      </c>
      <c r="C520" t="str">
        <f>VLOOKUP(A520,[1]timesData!$B:$P,3,FALSE)</f>
        <v>401-500</v>
      </c>
      <c r="D520" t="str">
        <f>VLOOKUP(A521,[1]timesData!$B:$P,3,FALSE)</f>
        <v>401-500</v>
      </c>
      <c r="E520">
        <f>VLOOKUP(A521,[1]timesData!$B:$P,4,FALSE)</f>
        <v>39</v>
      </c>
      <c r="F520">
        <f>VLOOKUP(A521,[1]timesData!$B:$P,5,FALSE)</f>
        <v>16.3</v>
      </c>
      <c r="G520">
        <f>VLOOKUP(A521,[1]timesData!$B:$P,6,FALSE)</f>
        <v>45.8</v>
      </c>
      <c r="H520" t="str">
        <f>VLOOKUP(A521,[1]timesData!$B:$P,7,FALSE)</f>
        <v>-</v>
      </c>
      <c r="I520" t="str">
        <f>VLOOKUP(A521,[1]timesData!$B:$P,8,FALSE)</f>
        <v>-</v>
      </c>
      <c r="J520">
        <f>VLOOKUP(A521,[1]timesData!$B:$P,9,FALSE)</f>
        <v>63052</v>
      </c>
      <c r="K520">
        <f>VLOOKUP(A521,[1]timesData!$B:$P,10,FALSE)</f>
        <v>32.299999999999997</v>
      </c>
      <c r="L520">
        <f>VLOOKUP(A521,[1]timesData!$B:$P,11,FALSE)</f>
        <v>0.09</v>
      </c>
      <c r="M520">
        <f>VLOOKUP(A521,[1]timesData!$B:$P,12,FALSE)</f>
        <v>2.5687500000000001</v>
      </c>
      <c r="N520">
        <f>VLOOKUP(A521,[1]timesData!$B:$P,13,FALSE)</f>
        <v>2016</v>
      </c>
      <c r="O520">
        <f>VLOOKUP(A520,[2]cwurData!$B:$P,14,FALSE)</f>
        <v>198</v>
      </c>
      <c r="P520">
        <f>VLOOKUP(A520,[2]cwurData!$B:$N, 3, FALSE)</f>
        <v>2</v>
      </c>
      <c r="Q520">
        <f>VLOOKUP(A520,[2]cwurData!$B:$N, 4, FALSE)</f>
        <v>86</v>
      </c>
      <c r="R520">
        <f>VLOOKUP(A520,[2]cwurData!$B:$N, 5, FALSE)</f>
        <v>55</v>
      </c>
      <c r="S520">
        <f>VLOOKUP(A520,[2]cwurData!$B:$N, 6, FALSE)</f>
        <v>206</v>
      </c>
      <c r="T520">
        <f>VLOOKUP(A520,[2]cwurData!$B:$N, 7, FALSE)</f>
        <v>213</v>
      </c>
      <c r="U520">
        <f>VLOOKUP(A520,[2]cwurData!$B:$N, 8, FALSE)</f>
        <v>309</v>
      </c>
      <c r="V520">
        <f>VLOOKUP(A520,[2]cwurData!$B:$N, 9, FALSE)</f>
        <v>406</v>
      </c>
      <c r="W520">
        <f>VLOOKUP(A520,[2]cwurData!$B:$N, 10, FALSE)</f>
        <v>339</v>
      </c>
      <c r="X520">
        <f>VLOOKUP(A520,[2]cwurData!$B:$N, 11, FALSE)</f>
        <v>204</v>
      </c>
      <c r="Y520">
        <f>VLOOKUP(A520,[2]cwurData!$B:$N, 12, FALSE)</f>
        <v>47.97</v>
      </c>
      <c r="Z520">
        <f>VLOOKUP(A520,[2]cwurData!$B:$N, 13, FALSE)</f>
        <v>2014</v>
      </c>
    </row>
    <row r="521" spans="1:26" x14ac:dyDescent="0.3">
      <c r="A521" t="s">
        <v>542</v>
      </c>
      <c r="B521" t="str">
        <f>IFERROR(VLOOKUP(A521,[1]timesData!$B:$P,2,FALSE),VLOOKUP(A521,[2]cwurData!$B:$P,2,FALSE))</f>
        <v>Greece</v>
      </c>
      <c r="C521" t="str">
        <f>VLOOKUP(A521,[1]timesData!$B:$P,3,FALSE)</f>
        <v>401-500</v>
      </c>
      <c r="D521" t="str">
        <f>VLOOKUP(A522,[1]timesData!$B:$P,3,FALSE)</f>
        <v>401-500</v>
      </c>
      <c r="E521">
        <f>VLOOKUP(A522,[1]timesData!$B:$P,4,FALSE)</f>
        <v>38.799999999999997</v>
      </c>
      <c r="F521">
        <f>VLOOKUP(A522,[1]timesData!$B:$P,5,FALSE)</f>
        <v>14.2</v>
      </c>
      <c r="G521">
        <f>VLOOKUP(A522,[1]timesData!$B:$P,6,FALSE)</f>
        <v>59.3</v>
      </c>
      <c r="H521">
        <f>VLOOKUP(A522,[1]timesData!$B:$P,7,FALSE)</f>
        <v>42.3</v>
      </c>
      <c r="I521" t="str">
        <f>VLOOKUP(A522,[1]timesData!$B:$P,8,FALSE)</f>
        <v>-</v>
      </c>
      <c r="J521">
        <f>VLOOKUP(A522,[1]timesData!$B:$P,9,FALSE)</f>
        <v>37373</v>
      </c>
      <c r="K521">
        <f>VLOOKUP(A522,[1]timesData!$B:$P,10,FALSE)</f>
        <v>29.5</v>
      </c>
      <c r="L521">
        <f>VLOOKUP(A522,[1]timesData!$B:$P,11,FALSE)</f>
        <v>0.09</v>
      </c>
      <c r="M521">
        <f>VLOOKUP(A522,[1]timesData!$B:$P,12,FALSE)</f>
        <v>2.3638888888888889</v>
      </c>
      <c r="N521">
        <f>VLOOKUP(A522,[1]timesData!$B:$P,13,FALSE)</f>
        <v>2016</v>
      </c>
      <c r="O521">
        <f>VLOOKUP(A521,[2]cwurData!$B:$P,14,FALSE)</f>
        <v>331</v>
      </c>
      <c r="P521">
        <f>VLOOKUP(A521,[2]cwurData!$B:$N, 3, FALSE)</f>
        <v>1</v>
      </c>
      <c r="Q521">
        <f>VLOOKUP(A521,[2]cwurData!$B:$N, 4, FALSE)</f>
        <v>355</v>
      </c>
      <c r="R521">
        <f>VLOOKUP(A521,[2]cwurData!$B:$N, 5, FALSE)</f>
        <v>246</v>
      </c>
      <c r="S521">
        <f>VLOOKUP(A521,[2]cwurData!$B:$N, 6, FALSE)</f>
        <v>210</v>
      </c>
      <c r="T521">
        <f>VLOOKUP(A521,[2]cwurData!$B:$N, 7, FALSE)</f>
        <v>248</v>
      </c>
      <c r="U521">
        <f>VLOOKUP(A521,[2]cwurData!$B:$N, 8, FALSE)</f>
        <v>433</v>
      </c>
      <c r="V521">
        <f>VLOOKUP(A521,[2]cwurData!$B:$N, 9, FALSE)</f>
        <v>310</v>
      </c>
      <c r="W521">
        <f>VLOOKUP(A521,[2]cwurData!$B:$N, 10, FALSE)</f>
        <v>306</v>
      </c>
      <c r="X521">
        <f>VLOOKUP(A521,[2]cwurData!$B:$N, 11, FALSE)</f>
        <v>737</v>
      </c>
      <c r="Y521">
        <f>VLOOKUP(A521,[2]cwurData!$B:$N, 12, FALSE)</f>
        <v>46.06</v>
      </c>
      <c r="Z521">
        <f>VLOOKUP(A521,[2]cwurData!$B:$N, 13, FALSE)</f>
        <v>2014</v>
      </c>
    </row>
    <row r="522" spans="1:26" x14ac:dyDescent="0.3">
      <c r="A522" t="s">
        <v>532</v>
      </c>
      <c r="B522" t="str">
        <f>IFERROR(VLOOKUP(A522,[1]timesData!$B:$P,2,FALSE),VLOOKUP(A522,[2]cwurData!$B:$P,2,FALSE))</f>
        <v>Italy</v>
      </c>
      <c r="C522" t="str">
        <f>VLOOKUP(A522,[1]timesData!$B:$P,3,FALSE)</f>
        <v>401-500</v>
      </c>
      <c r="D522" t="str">
        <f>VLOOKUP(A523,[1]timesData!$B:$P,3,FALSE)</f>
        <v>401-500</v>
      </c>
      <c r="E522">
        <f>VLOOKUP(A523,[1]timesData!$B:$P,4,FALSE)</f>
        <v>25</v>
      </c>
      <c r="F522">
        <f>VLOOKUP(A523,[1]timesData!$B:$P,5,FALSE)</f>
        <v>15.6</v>
      </c>
      <c r="G522">
        <f>VLOOKUP(A523,[1]timesData!$B:$P,6,FALSE)</f>
        <v>47</v>
      </c>
      <c r="H522" t="str">
        <f>VLOOKUP(A523,[1]timesData!$B:$P,7,FALSE)</f>
        <v>-</v>
      </c>
      <c r="I522" t="str">
        <f>VLOOKUP(A523,[1]timesData!$B:$P,8,FALSE)</f>
        <v>-</v>
      </c>
      <c r="J522">
        <f>VLOOKUP(A523,[1]timesData!$B:$P,9,FALSE)</f>
        <v>32921</v>
      </c>
      <c r="K522">
        <f>VLOOKUP(A523,[1]timesData!$B:$P,10,FALSE)</f>
        <v>12.3</v>
      </c>
      <c r="L522">
        <f>VLOOKUP(A523,[1]timesData!$B:$P,11,FALSE)</f>
        <v>0.05</v>
      </c>
      <c r="M522">
        <f>VLOOKUP(A523,[1]timesData!$B:$P,12,FALSE)</f>
        <v>2.2000000000000002</v>
      </c>
      <c r="N522">
        <f>VLOOKUP(A523,[1]timesData!$B:$P,13,FALSE)</f>
        <v>2016</v>
      </c>
      <c r="O522">
        <f>VLOOKUP(A522,[2]cwurData!$B:$P,14,FALSE)</f>
        <v>341</v>
      </c>
      <c r="P522">
        <f>VLOOKUP(A522,[2]cwurData!$B:$N, 3, FALSE)</f>
        <v>11</v>
      </c>
      <c r="Q522">
        <f>VLOOKUP(A522,[2]cwurData!$B:$N, 4, FALSE)</f>
        <v>355</v>
      </c>
      <c r="R522">
        <f>VLOOKUP(A522,[2]cwurData!$B:$N, 5, FALSE)</f>
        <v>478</v>
      </c>
      <c r="S522">
        <f>VLOOKUP(A522,[2]cwurData!$B:$N, 6, FALSE)</f>
        <v>210</v>
      </c>
      <c r="T522">
        <f>VLOOKUP(A522,[2]cwurData!$B:$N, 7, FALSE)</f>
        <v>291</v>
      </c>
      <c r="U522">
        <f>VLOOKUP(A522,[2]cwurData!$B:$N, 8, FALSE)</f>
        <v>429</v>
      </c>
      <c r="V522">
        <f>VLOOKUP(A522,[2]cwurData!$B:$N, 9, FALSE)</f>
        <v>250</v>
      </c>
      <c r="W522">
        <f>VLOOKUP(A522,[2]cwurData!$B:$N, 10, FALSE)</f>
        <v>281</v>
      </c>
      <c r="X522">
        <f>VLOOKUP(A522,[2]cwurData!$B:$N, 11, FALSE)</f>
        <v>373</v>
      </c>
      <c r="Y522">
        <f>VLOOKUP(A522,[2]cwurData!$B:$N, 12, FALSE)</f>
        <v>45.95</v>
      </c>
      <c r="Z522">
        <f>VLOOKUP(A522,[2]cwurData!$B:$N, 13, FALSE)</f>
        <v>2014</v>
      </c>
    </row>
    <row r="523" spans="1:26" x14ac:dyDescent="0.3">
      <c r="A523" t="s">
        <v>563</v>
      </c>
      <c r="B523" t="str">
        <f>IFERROR(VLOOKUP(A523,[1]timesData!$B:$P,2,FALSE),VLOOKUP(A523,[2]cwurData!$B:$P,2,FALSE))</f>
        <v>China</v>
      </c>
      <c r="C523" t="str">
        <f>VLOOKUP(A523,[1]timesData!$B:$P,3,FALSE)</f>
        <v>401-500</v>
      </c>
      <c r="D523" t="str">
        <f>VLOOKUP(A524,[1]timesData!$B:$P,3,FALSE)</f>
        <v>401-500</v>
      </c>
      <c r="E523">
        <f>VLOOKUP(A524,[1]timesData!$B:$P,4,FALSE)</f>
        <v>39</v>
      </c>
      <c r="F523">
        <f>VLOOKUP(A524,[1]timesData!$B:$P,5,FALSE)</f>
        <v>11.3</v>
      </c>
      <c r="G523">
        <f>VLOOKUP(A524,[1]timesData!$B:$P,6,FALSE)</f>
        <v>55.4</v>
      </c>
      <c r="H523">
        <f>VLOOKUP(A524,[1]timesData!$B:$P,7,FALSE)</f>
        <v>38.700000000000003</v>
      </c>
      <c r="I523" t="str">
        <f>VLOOKUP(A524,[1]timesData!$B:$P,8,FALSE)</f>
        <v>-</v>
      </c>
      <c r="J523">
        <f>VLOOKUP(A524,[1]timesData!$B:$P,9,FALSE)</f>
        <v>30304</v>
      </c>
      <c r="K523">
        <f>VLOOKUP(A524,[1]timesData!$B:$P,10,FALSE)</f>
        <v>18.899999999999999</v>
      </c>
      <c r="L523">
        <f>VLOOKUP(A524,[1]timesData!$B:$P,11,FALSE)</f>
        <v>0.1</v>
      </c>
      <c r="M523">
        <f>VLOOKUP(A524,[1]timesData!$B:$P,12,FALSE)</f>
        <v>0</v>
      </c>
      <c r="N523">
        <f>VLOOKUP(A524,[1]timesData!$B:$P,13,FALSE)</f>
        <v>2016</v>
      </c>
      <c r="O523">
        <f>VLOOKUP(A523,[2]cwurData!$B:$P,14,FALSE)</f>
        <v>354</v>
      </c>
      <c r="P523">
        <f>VLOOKUP(A523,[2]cwurData!$B:$N, 3, FALSE)</f>
        <v>11</v>
      </c>
      <c r="Q523">
        <f>VLOOKUP(A523,[2]cwurData!$B:$N, 4, FALSE)</f>
        <v>355</v>
      </c>
      <c r="R523">
        <f>VLOOKUP(A523,[2]cwurData!$B:$N, 5, FALSE)</f>
        <v>100</v>
      </c>
      <c r="S523">
        <f>VLOOKUP(A523,[2]cwurData!$B:$N, 6, FALSE)</f>
        <v>210</v>
      </c>
      <c r="T523">
        <f>VLOOKUP(A523,[2]cwurData!$B:$N, 7, FALSE)</f>
        <v>371</v>
      </c>
      <c r="U523">
        <f>VLOOKUP(A523,[2]cwurData!$B:$N, 8, FALSE)</f>
        <v>507</v>
      </c>
      <c r="V523">
        <f>VLOOKUP(A523,[2]cwurData!$B:$N, 9, FALSE)</f>
        <v>609</v>
      </c>
      <c r="W523">
        <f>VLOOKUP(A523,[2]cwurData!$B:$N, 10, FALSE)</f>
        <v>472</v>
      </c>
      <c r="X523">
        <f>VLOOKUP(A523,[2]cwurData!$B:$N, 11, FALSE)</f>
        <v>307</v>
      </c>
      <c r="Y523">
        <f>VLOOKUP(A523,[2]cwurData!$B:$N, 12, FALSE)</f>
        <v>45.8</v>
      </c>
      <c r="Z523">
        <f>VLOOKUP(A523,[2]cwurData!$B:$N, 13, FALSE)</f>
        <v>2014</v>
      </c>
    </row>
    <row r="524" spans="1:26" x14ac:dyDescent="0.3">
      <c r="A524" t="s">
        <v>525</v>
      </c>
      <c r="B524" t="str">
        <f>IFERROR(VLOOKUP(A524,[1]timesData!$B:$P,2,FALSE),VLOOKUP(A524,[2]cwurData!$B:$P,2,FALSE))</f>
        <v>Italy</v>
      </c>
      <c r="C524" t="str">
        <f>VLOOKUP(A524,[1]timesData!$B:$P,3,FALSE)</f>
        <v>401-500</v>
      </c>
      <c r="D524" t="str">
        <f>VLOOKUP(A525,[1]timesData!$B:$P,3,FALSE)</f>
        <v>401-500</v>
      </c>
      <c r="E524">
        <f>VLOOKUP(A525,[1]timesData!$B:$P,4,FALSE)</f>
        <v>77.400000000000006</v>
      </c>
      <c r="F524">
        <f>VLOOKUP(A525,[1]timesData!$B:$P,5,FALSE)</f>
        <v>23.4</v>
      </c>
      <c r="G524">
        <f>VLOOKUP(A525,[1]timesData!$B:$P,6,FALSE)</f>
        <v>36.4</v>
      </c>
      <c r="H524">
        <f>VLOOKUP(A525,[1]timesData!$B:$P,7,FALSE)</f>
        <v>30.9</v>
      </c>
      <c r="I524" t="str">
        <f>VLOOKUP(A525,[1]timesData!$B:$P,8,FALSE)</f>
        <v>-</v>
      </c>
      <c r="J524">
        <f>VLOOKUP(A525,[1]timesData!$B:$P,9,FALSE)</f>
        <v>31017</v>
      </c>
      <c r="K524">
        <f>VLOOKUP(A525,[1]timesData!$B:$P,10,FALSE)</f>
        <v>30.3</v>
      </c>
      <c r="L524">
        <f>VLOOKUP(A525,[1]timesData!$B:$P,11,FALSE)</f>
        <v>0.27</v>
      </c>
      <c r="M524">
        <f>VLOOKUP(A525,[1]timesData!$B:$P,12,FALSE)</f>
        <v>2.1180555555555554</v>
      </c>
      <c r="N524">
        <f>VLOOKUP(A525,[1]timesData!$B:$P,13,FALSE)</f>
        <v>2016</v>
      </c>
      <c r="O524">
        <f>VLOOKUP(A524,[2]cwurData!$B:$P,14,FALSE)</f>
        <v>414</v>
      </c>
      <c r="P524">
        <f>VLOOKUP(A524,[2]cwurData!$B:$N, 3, FALSE)</f>
        <v>20</v>
      </c>
      <c r="Q524">
        <f>VLOOKUP(A524,[2]cwurData!$B:$N, 4, FALSE)</f>
        <v>355</v>
      </c>
      <c r="R524">
        <f>VLOOKUP(A524,[2]cwurData!$B:$N, 5, FALSE)</f>
        <v>478</v>
      </c>
      <c r="S524">
        <f>VLOOKUP(A524,[2]cwurData!$B:$N, 6, FALSE)</f>
        <v>210</v>
      </c>
      <c r="T524">
        <f>VLOOKUP(A524,[2]cwurData!$B:$N, 7, FALSE)</f>
        <v>422</v>
      </c>
      <c r="U524">
        <f>VLOOKUP(A524,[2]cwurData!$B:$N, 8, FALSE)</f>
        <v>500</v>
      </c>
      <c r="V524">
        <f>VLOOKUP(A524,[2]cwurData!$B:$N, 9, FALSE)</f>
        <v>609</v>
      </c>
      <c r="W524">
        <f>VLOOKUP(A524,[2]cwurData!$B:$N, 10, FALSE)</f>
        <v>326</v>
      </c>
      <c r="X524">
        <f>VLOOKUP(A524,[2]cwurData!$B:$N, 11, FALSE)</f>
        <v>737</v>
      </c>
      <c r="Y524">
        <f>VLOOKUP(A524,[2]cwurData!$B:$N, 12, FALSE)</f>
        <v>45.47</v>
      </c>
      <c r="Z524">
        <f>VLOOKUP(A524,[2]cwurData!$B:$N, 13, FALSE)</f>
        <v>2014</v>
      </c>
    </row>
    <row r="525" spans="1:26" x14ac:dyDescent="0.3">
      <c r="A525" t="s">
        <v>528</v>
      </c>
      <c r="B525" t="str">
        <f>IFERROR(VLOOKUP(A525,[1]timesData!$B:$P,2,FALSE),VLOOKUP(A525,[2]cwurData!$B:$P,2,FALSE))</f>
        <v>Canada</v>
      </c>
      <c r="C525" t="str">
        <f>VLOOKUP(A525,[1]timesData!$B:$P,3,FALSE)</f>
        <v>401-500</v>
      </c>
      <c r="D525" t="str">
        <f>VLOOKUP(A526,[1]timesData!$B:$P,3,FALSE)</f>
        <v>401-500</v>
      </c>
      <c r="E525">
        <f>VLOOKUP(A526,[1]timesData!$B:$P,4,FALSE)</f>
        <v>36.799999999999997</v>
      </c>
      <c r="F525">
        <f>VLOOKUP(A526,[1]timesData!$B:$P,5,FALSE)</f>
        <v>16.600000000000001</v>
      </c>
      <c r="G525">
        <f>VLOOKUP(A526,[1]timesData!$B:$P,6,FALSE)</f>
        <v>56.4</v>
      </c>
      <c r="H525">
        <f>VLOOKUP(A526,[1]timesData!$B:$P,7,FALSE)</f>
        <v>37.1</v>
      </c>
      <c r="I525" t="str">
        <f>VLOOKUP(A526,[1]timesData!$B:$P,8,FALSE)</f>
        <v>-</v>
      </c>
      <c r="J525">
        <f>VLOOKUP(A526,[1]timesData!$B:$P,9,FALSE)</f>
        <v>26937</v>
      </c>
      <c r="K525">
        <f>VLOOKUP(A526,[1]timesData!$B:$P,10,FALSE)</f>
        <v>29.1</v>
      </c>
      <c r="L525">
        <f>VLOOKUP(A526,[1]timesData!$B:$P,11,FALSE)</f>
        <v>7.0000000000000007E-2</v>
      </c>
      <c r="M525">
        <f>VLOOKUP(A526,[1]timesData!$B:$P,12,FALSE)</f>
        <v>2.3638888888888889</v>
      </c>
      <c r="N525">
        <f>VLOOKUP(A526,[1]timesData!$B:$P,13,FALSE)</f>
        <v>2016</v>
      </c>
      <c r="O525">
        <f>VLOOKUP(A525,[2]cwurData!$B:$P,14,FALSE)</f>
        <v>422</v>
      </c>
      <c r="P525">
        <f>VLOOKUP(A525,[2]cwurData!$B:$N, 3, FALSE)</f>
        <v>19</v>
      </c>
      <c r="Q525">
        <f>VLOOKUP(A525,[2]cwurData!$B:$N, 4, FALSE)</f>
        <v>355</v>
      </c>
      <c r="R525">
        <f>VLOOKUP(A525,[2]cwurData!$B:$N, 5, FALSE)</f>
        <v>110</v>
      </c>
      <c r="S525">
        <f>VLOOKUP(A525,[2]cwurData!$B:$N, 6, FALSE)</f>
        <v>210</v>
      </c>
      <c r="T525">
        <f>VLOOKUP(A525,[2]cwurData!$B:$N, 7, FALSE)</f>
        <v>540</v>
      </c>
      <c r="U525">
        <f>VLOOKUP(A525,[2]cwurData!$B:$N, 8, FALSE)</f>
        <v>687</v>
      </c>
      <c r="V525">
        <f>VLOOKUP(A525,[2]cwurData!$B:$N, 9, FALSE)</f>
        <v>493</v>
      </c>
      <c r="W525">
        <f>VLOOKUP(A525,[2]cwurData!$B:$N, 10, FALSE)</f>
        <v>543</v>
      </c>
      <c r="X525">
        <f>VLOOKUP(A525,[2]cwurData!$B:$N, 11, FALSE)</f>
        <v>552</v>
      </c>
      <c r="Y525">
        <f>VLOOKUP(A525,[2]cwurData!$B:$N, 12, FALSE)</f>
        <v>45.44</v>
      </c>
      <c r="Z525">
        <f>VLOOKUP(A525,[2]cwurData!$B:$N, 13, FALSE)</f>
        <v>2014</v>
      </c>
    </row>
    <row r="526" spans="1:26" x14ac:dyDescent="0.3">
      <c r="A526" t="s">
        <v>550</v>
      </c>
      <c r="B526" t="str">
        <f>IFERROR(VLOOKUP(A526,[1]timesData!$B:$P,2,FALSE),VLOOKUP(A526,[2]cwurData!$B:$P,2,FALSE))</f>
        <v>Italy</v>
      </c>
      <c r="C526" t="str">
        <f>VLOOKUP(A526,[1]timesData!$B:$P,3,FALSE)</f>
        <v>401-500</v>
      </c>
      <c r="D526" t="str">
        <f>VLOOKUP(A527,[1]timesData!$B:$P,3,FALSE)</f>
        <v>401-500</v>
      </c>
      <c r="E526">
        <f>VLOOKUP(A527,[1]timesData!$B:$P,4,FALSE)</f>
        <v>39</v>
      </c>
      <c r="F526">
        <f>VLOOKUP(A527,[1]timesData!$B:$P,5,FALSE)</f>
        <v>17.8</v>
      </c>
      <c r="G526">
        <f>VLOOKUP(A527,[1]timesData!$B:$P,6,FALSE)</f>
        <v>45.2</v>
      </c>
      <c r="H526">
        <f>VLOOKUP(A527,[1]timesData!$B:$P,7,FALSE)</f>
        <v>33.200000000000003</v>
      </c>
      <c r="I526" t="str">
        <f>VLOOKUP(A527,[1]timesData!$B:$P,8,FALSE)</f>
        <v>-</v>
      </c>
      <c r="J526">
        <f>VLOOKUP(A527,[1]timesData!$B:$P,9,FALSE)</f>
        <v>18846</v>
      </c>
      <c r="K526">
        <f>VLOOKUP(A527,[1]timesData!$B:$P,10,FALSE)</f>
        <v>23.6</v>
      </c>
      <c r="L526">
        <f>VLOOKUP(A527,[1]timesData!$B:$P,11,FALSE)</f>
        <v>0.05</v>
      </c>
      <c r="M526">
        <f>VLOOKUP(A527,[1]timesData!$B:$P,12,FALSE)</f>
        <v>2.4868055555555557</v>
      </c>
      <c r="N526">
        <f>VLOOKUP(A527,[1]timesData!$B:$P,13,FALSE)</f>
        <v>2016</v>
      </c>
      <c r="O526">
        <f>VLOOKUP(A526,[2]cwurData!$B:$P,14,FALSE)</f>
        <v>455</v>
      </c>
      <c r="P526">
        <f>VLOOKUP(A526,[2]cwurData!$B:$N, 3, FALSE)</f>
        <v>22</v>
      </c>
      <c r="Q526">
        <f>VLOOKUP(A526,[2]cwurData!$B:$N, 4, FALSE)</f>
        <v>355</v>
      </c>
      <c r="R526">
        <f>VLOOKUP(A526,[2]cwurData!$B:$N, 5, FALSE)</f>
        <v>431</v>
      </c>
      <c r="S526">
        <f>VLOOKUP(A526,[2]cwurData!$B:$N, 6, FALSE)</f>
        <v>210</v>
      </c>
      <c r="T526">
        <f>VLOOKUP(A526,[2]cwurData!$B:$N, 7, FALSE)</f>
        <v>421</v>
      </c>
      <c r="U526">
        <f>VLOOKUP(A526,[2]cwurData!$B:$N, 8, FALSE)</f>
        <v>440</v>
      </c>
      <c r="V526">
        <f>VLOOKUP(A526,[2]cwurData!$B:$N, 9, FALSE)</f>
        <v>310</v>
      </c>
      <c r="W526">
        <f>VLOOKUP(A526,[2]cwurData!$B:$N, 10, FALSE)</f>
        <v>372</v>
      </c>
      <c r="X526">
        <f>VLOOKUP(A526,[2]cwurData!$B:$N, 11, FALSE)</f>
        <v>637</v>
      </c>
      <c r="Y526">
        <f>VLOOKUP(A526,[2]cwurData!$B:$N, 12, FALSE)</f>
        <v>45.28</v>
      </c>
      <c r="Z526">
        <f>VLOOKUP(A526,[2]cwurData!$B:$N, 13, FALSE)</f>
        <v>2014</v>
      </c>
    </row>
    <row r="527" spans="1:26" x14ac:dyDescent="0.3">
      <c r="A527" t="s">
        <v>555</v>
      </c>
      <c r="B527" t="str">
        <f>IFERROR(VLOOKUP(A527,[1]timesData!$B:$P,2,FALSE),VLOOKUP(A527,[2]cwurData!$B:$P,2,FALSE))</f>
        <v>Italy</v>
      </c>
      <c r="C527" t="str">
        <f>VLOOKUP(A527,[1]timesData!$B:$P,3,FALSE)</f>
        <v>401-500</v>
      </c>
      <c r="D527" t="str">
        <f>VLOOKUP(A528,[1]timesData!$B:$P,3,FALSE)</f>
        <v>401-500</v>
      </c>
      <c r="E527">
        <f>VLOOKUP(A528,[1]timesData!$B:$P,4,FALSE)</f>
        <v>52.9</v>
      </c>
      <c r="F527">
        <f>VLOOKUP(A528,[1]timesData!$B:$P,5,FALSE)</f>
        <v>22.4</v>
      </c>
      <c r="G527">
        <f>VLOOKUP(A528,[1]timesData!$B:$P,6,FALSE)</f>
        <v>39.700000000000003</v>
      </c>
      <c r="H527">
        <f>VLOOKUP(A528,[1]timesData!$B:$P,7,FALSE)</f>
        <v>62.9</v>
      </c>
      <c r="I527" t="str">
        <f>VLOOKUP(A528,[1]timesData!$B:$P,8,FALSE)</f>
        <v>-</v>
      </c>
      <c r="J527">
        <f>VLOOKUP(A528,[1]timesData!$B:$P,9,FALSE)</f>
        <v>19028</v>
      </c>
      <c r="K527">
        <f>VLOOKUP(A528,[1]timesData!$B:$P,10,FALSE)</f>
        <v>16.3</v>
      </c>
      <c r="L527">
        <f>VLOOKUP(A528,[1]timesData!$B:$P,11,FALSE)</f>
        <v>0.14000000000000001</v>
      </c>
      <c r="M527">
        <f>VLOOKUP(A528,[1]timesData!$B:$P,12,FALSE)</f>
        <v>2.4048611111111109</v>
      </c>
      <c r="N527">
        <f>VLOOKUP(A528,[1]timesData!$B:$P,13,FALSE)</f>
        <v>2016</v>
      </c>
      <c r="O527">
        <f>VLOOKUP(A527,[2]cwurData!$B:$P,14,FALSE)</f>
        <v>456</v>
      </c>
      <c r="P527">
        <f>VLOOKUP(A527,[2]cwurData!$B:$N, 3, FALSE)</f>
        <v>23</v>
      </c>
      <c r="Q527">
        <f>VLOOKUP(A527,[2]cwurData!$B:$N, 4, FALSE)</f>
        <v>355</v>
      </c>
      <c r="R527">
        <f>VLOOKUP(A527,[2]cwurData!$B:$N, 5, FALSE)</f>
        <v>478</v>
      </c>
      <c r="S527">
        <f>VLOOKUP(A527,[2]cwurData!$B:$N, 6, FALSE)</f>
        <v>210</v>
      </c>
      <c r="T527">
        <f>VLOOKUP(A527,[2]cwurData!$B:$N, 7, FALSE)</f>
        <v>407</v>
      </c>
      <c r="U527">
        <f>VLOOKUP(A527,[2]cwurData!$B:$N, 8, FALSE)</f>
        <v>356</v>
      </c>
      <c r="V527">
        <f>VLOOKUP(A527,[2]cwurData!$B:$N, 9, FALSE)</f>
        <v>310</v>
      </c>
      <c r="W527">
        <f>VLOOKUP(A527,[2]cwurData!$B:$N, 10, FALSE)</f>
        <v>366</v>
      </c>
      <c r="X527">
        <f>VLOOKUP(A527,[2]cwurData!$B:$N, 11, FALSE)</f>
        <v>737</v>
      </c>
      <c r="Y527">
        <f>VLOOKUP(A527,[2]cwurData!$B:$N, 12, FALSE)</f>
        <v>45.27</v>
      </c>
      <c r="Z527">
        <f>VLOOKUP(A527,[2]cwurData!$B:$N, 13, FALSE)</f>
        <v>2014</v>
      </c>
    </row>
    <row r="528" spans="1:26" x14ac:dyDescent="0.3">
      <c r="A528" t="s">
        <v>554</v>
      </c>
      <c r="B528" t="str">
        <f>IFERROR(VLOOKUP(A528,[1]timesData!$B:$P,2,FALSE),VLOOKUP(A528,[2]cwurData!$B:$P,2,FALSE))</f>
        <v>Canada</v>
      </c>
      <c r="C528" t="str">
        <f>VLOOKUP(A528,[1]timesData!$B:$P,3,FALSE)</f>
        <v>401-500</v>
      </c>
      <c r="D528" t="str">
        <f>VLOOKUP(A529,[1]timesData!$B:$P,3,FALSE)</f>
        <v>401-500</v>
      </c>
      <c r="E528">
        <f>VLOOKUP(A529,[1]timesData!$B:$P,4,FALSE)</f>
        <v>18.600000000000001</v>
      </c>
      <c r="F528">
        <f>VLOOKUP(A529,[1]timesData!$B:$P,5,FALSE)</f>
        <v>20.5</v>
      </c>
      <c r="G528">
        <f>VLOOKUP(A529,[1]timesData!$B:$P,6,FALSE)</f>
        <v>54</v>
      </c>
      <c r="H528">
        <f>VLOOKUP(A529,[1]timesData!$B:$P,7,FALSE)</f>
        <v>64.7</v>
      </c>
      <c r="I528" t="str">
        <f>VLOOKUP(A529,[1]timesData!$B:$P,8,FALSE)</f>
        <v>-</v>
      </c>
      <c r="J528">
        <f>VLOOKUP(A529,[1]timesData!$B:$P,9,FALSE)</f>
        <v>14037</v>
      </c>
      <c r="K528">
        <f>VLOOKUP(A529,[1]timesData!$B:$P,10,FALSE)</f>
        <v>13.3</v>
      </c>
      <c r="L528">
        <f>VLOOKUP(A529,[1]timesData!$B:$P,11,FALSE)</f>
        <v>0.03</v>
      </c>
      <c r="M528">
        <f>VLOOKUP(A529,[1]timesData!$B:$P,12,FALSE)</f>
        <v>0</v>
      </c>
      <c r="N528">
        <f>VLOOKUP(A529,[1]timesData!$B:$P,13,FALSE)</f>
        <v>2016</v>
      </c>
      <c r="O528">
        <f>VLOOKUP(A528,[2]cwurData!$B:$P,14,FALSE)</f>
        <v>483</v>
      </c>
      <c r="P528">
        <f>VLOOKUP(A528,[2]cwurData!$B:$N, 3, FALSE)</f>
        <v>20</v>
      </c>
      <c r="Q528">
        <f>VLOOKUP(A528,[2]cwurData!$B:$N, 4, FALSE)</f>
        <v>320</v>
      </c>
      <c r="R528">
        <f>VLOOKUP(A528,[2]cwurData!$B:$N, 5, FALSE)</f>
        <v>380</v>
      </c>
      <c r="S528">
        <f>VLOOKUP(A528,[2]cwurData!$B:$N, 6, FALSE)</f>
        <v>210</v>
      </c>
      <c r="T528">
        <f>VLOOKUP(A528,[2]cwurData!$B:$N, 7, FALSE)</f>
        <v>337</v>
      </c>
      <c r="U528">
        <f>VLOOKUP(A528,[2]cwurData!$B:$N, 8, FALSE)</f>
        <v>427</v>
      </c>
      <c r="V528">
        <f>VLOOKUP(A528,[2]cwurData!$B:$N, 9, FALSE)</f>
        <v>310</v>
      </c>
      <c r="W528">
        <f>VLOOKUP(A528,[2]cwurData!$B:$N, 10, FALSE)</f>
        <v>442</v>
      </c>
      <c r="X528">
        <f>VLOOKUP(A528,[2]cwurData!$B:$N, 11, FALSE)</f>
        <v>373</v>
      </c>
      <c r="Y528">
        <f>VLOOKUP(A528,[2]cwurData!$B:$N, 12, FALSE)</f>
        <v>45.18</v>
      </c>
      <c r="Z528">
        <f>VLOOKUP(A528,[2]cwurData!$B:$N, 13, FALSE)</f>
        <v>2014</v>
      </c>
    </row>
    <row r="529" spans="1:26" x14ac:dyDescent="0.3">
      <c r="A529" t="s">
        <v>558</v>
      </c>
      <c r="B529" t="str">
        <f>IFERROR(VLOOKUP(A529,[1]timesData!$B:$P,2,FALSE),VLOOKUP(A529,[2]cwurData!$B:$P,2,FALSE))</f>
        <v>South Korea</v>
      </c>
      <c r="C529" t="str">
        <f>VLOOKUP(A529,[1]timesData!$B:$P,3,FALSE)</f>
        <v>401-500</v>
      </c>
      <c r="D529" t="str">
        <f>VLOOKUP(A530,[1]timesData!$B:$P,3,FALSE)</f>
        <v>401-500</v>
      </c>
      <c r="E529">
        <f>VLOOKUP(A530,[1]timesData!$B:$P,4,FALSE)</f>
        <v>89.6</v>
      </c>
      <c r="F529">
        <f>VLOOKUP(A530,[1]timesData!$B:$P,5,FALSE)</f>
        <v>21.2</v>
      </c>
      <c r="G529">
        <f>VLOOKUP(A530,[1]timesData!$B:$P,6,FALSE)</f>
        <v>43.5</v>
      </c>
      <c r="H529">
        <f>VLOOKUP(A530,[1]timesData!$B:$P,7,FALSE)</f>
        <v>28.9</v>
      </c>
      <c r="I529" t="str">
        <f>VLOOKUP(A530,[1]timesData!$B:$P,8,FALSE)</f>
        <v>-</v>
      </c>
      <c r="J529">
        <f>VLOOKUP(A530,[1]timesData!$B:$P,9,FALSE)</f>
        <v>13053</v>
      </c>
      <c r="K529">
        <f>VLOOKUP(A530,[1]timesData!$B:$P,10,FALSE)</f>
        <v>17.8</v>
      </c>
      <c r="L529">
        <f>VLOOKUP(A530,[1]timesData!$B:$P,11,FALSE)</f>
        <v>0.5</v>
      </c>
      <c r="M529">
        <f>VLOOKUP(A530,[1]timesData!$B:$P,12,FALSE)</f>
        <v>2.3229166666666665</v>
      </c>
      <c r="N529">
        <f>VLOOKUP(A530,[1]timesData!$B:$P,13,FALSE)</f>
        <v>2016</v>
      </c>
      <c r="O529">
        <f>VLOOKUP(A529,[2]cwurData!$B:$P,14,FALSE)</f>
        <v>493</v>
      </c>
      <c r="P529">
        <f>VLOOKUP(A529,[2]cwurData!$B:$N, 3, FALSE)</f>
        <v>18</v>
      </c>
      <c r="Q529">
        <f>VLOOKUP(A529,[2]cwurData!$B:$N, 4, FALSE)</f>
        <v>355</v>
      </c>
      <c r="R529">
        <f>VLOOKUP(A529,[2]cwurData!$B:$N, 5, FALSE)</f>
        <v>247</v>
      </c>
      <c r="S529">
        <f>VLOOKUP(A529,[2]cwurData!$B:$N, 6, FALSE)</f>
        <v>210</v>
      </c>
      <c r="T529">
        <f>VLOOKUP(A529,[2]cwurData!$B:$N, 7, FALSE)</f>
        <v>437</v>
      </c>
      <c r="U529">
        <f>VLOOKUP(A529,[2]cwurData!$B:$N, 8, FALSE)</f>
        <v>662</v>
      </c>
      <c r="V529">
        <f>VLOOKUP(A529,[2]cwurData!$B:$N, 9, FALSE)</f>
        <v>609</v>
      </c>
      <c r="W529">
        <f>VLOOKUP(A529,[2]cwurData!$B:$N, 10, FALSE)</f>
        <v>460</v>
      </c>
      <c r="X529">
        <f>VLOOKUP(A529,[2]cwurData!$B:$N, 11, FALSE)</f>
        <v>637</v>
      </c>
      <c r="Y529">
        <f>VLOOKUP(A529,[2]cwurData!$B:$N, 12, FALSE)</f>
        <v>45.14</v>
      </c>
      <c r="Z529">
        <f>VLOOKUP(A529,[2]cwurData!$B:$N, 13, FALSE)</f>
        <v>2014</v>
      </c>
    </row>
    <row r="530" spans="1:26" x14ac:dyDescent="0.3">
      <c r="A530" t="s">
        <v>526</v>
      </c>
      <c r="B530" t="str">
        <f>IFERROR(VLOOKUP(A530,[1]timesData!$B:$P,2,FALSE),VLOOKUP(A530,[2]cwurData!$B:$P,2,FALSE))</f>
        <v>United Kingdom</v>
      </c>
      <c r="C530" t="str">
        <f>VLOOKUP(A530,[1]timesData!$B:$P,3,FALSE)</f>
        <v>401-500</v>
      </c>
      <c r="D530" t="str">
        <f>VLOOKUP(A531,[1]timesData!$B:$P,3,FALSE)</f>
        <v>401-500</v>
      </c>
      <c r="E530">
        <f>VLOOKUP(A531,[1]timesData!$B:$P,4,FALSE)</f>
        <v>36.6</v>
      </c>
      <c r="F530">
        <f>VLOOKUP(A531,[1]timesData!$B:$P,5,FALSE)</f>
        <v>14.8</v>
      </c>
      <c r="G530">
        <f>VLOOKUP(A531,[1]timesData!$B:$P,6,FALSE)</f>
        <v>72.3</v>
      </c>
      <c r="H530">
        <f>VLOOKUP(A531,[1]timesData!$B:$P,7,FALSE)</f>
        <v>35.799999999999997</v>
      </c>
      <c r="I530" t="str">
        <f>VLOOKUP(A531,[1]timesData!$B:$P,8,FALSE)</f>
        <v>-</v>
      </c>
      <c r="J530">
        <f>VLOOKUP(A531,[1]timesData!$B:$P,9,FALSE)</f>
        <v>14076</v>
      </c>
      <c r="K530">
        <f>VLOOKUP(A531,[1]timesData!$B:$P,10,FALSE)</f>
        <v>25</v>
      </c>
      <c r="L530">
        <f>VLOOKUP(A531,[1]timesData!$B:$P,11,FALSE)</f>
        <v>7.0000000000000007E-2</v>
      </c>
      <c r="M530">
        <f>VLOOKUP(A531,[1]timesData!$B:$P,12,FALSE)</f>
        <v>2.036111111111111</v>
      </c>
      <c r="N530">
        <f>VLOOKUP(A531,[1]timesData!$B:$P,13,FALSE)</f>
        <v>2016</v>
      </c>
      <c r="O530">
        <f>VLOOKUP(A530,[2]cwurData!$B:$P,14,FALSE)</f>
        <v>494</v>
      </c>
      <c r="P530">
        <f>VLOOKUP(A530,[2]cwurData!$B:$N, 3, FALSE)</f>
        <v>40</v>
      </c>
      <c r="Q530">
        <f>VLOOKUP(A530,[2]cwurData!$B:$N, 4, FALSE)</f>
        <v>355</v>
      </c>
      <c r="R530">
        <f>VLOOKUP(A530,[2]cwurData!$B:$N, 5, FALSE)</f>
        <v>103</v>
      </c>
      <c r="S530">
        <f>VLOOKUP(A530,[2]cwurData!$B:$N, 6, FALSE)</f>
        <v>210</v>
      </c>
      <c r="T530">
        <f>VLOOKUP(A530,[2]cwurData!$B:$N, 7, FALSE)</f>
        <v>808</v>
      </c>
      <c r="U530">
        <f>VLOOKUP(A530,[2]cwurData!$B:$N, 8, FALSE)</f>
        <v>868</v>
      </c>
      <c r="V530">
        <f>VLOOKUP(A530,[2]cwurData!$B:$N, 9, FALSE)</f>
        <v>800</v>
      </c>
      <c r="W530">
        <f>VLOOKUP(A530,[2]cwurData!$B:$N, 10, FALSE)</f>
        <v>874</v>
      </c>
      <c r="X530">
        <f>VLOOKUP(A530,[2]cwurData!$B:$N, 11, FALSE)</f>
        <v>637</v>
      </c>
      <c r="Y530">
        <f>VLOOKUP(A530,[2]cwurData!$B:$N, 12, FALSE)</f>
        <v>45.14</v>
      </c>
      <c r="Z530">
        <f>VLOOKUP(A530,[2]cwurData!$B:$N, 13, FALSE)</f>
        <v>2014</v>
      </c>
    </row>
    <row r="531" spans="1:26" x14ac:dyDescent="0.3">
      <c r="A531" t="s">
        <v>521</v>
      </c>
      <c r="B531" t="str">
        <f>IFERROR(VLOOKUP(A531,[1]timesData!$B:$P,2,FALSE),VLOOKUP(A531,[2]cwurData!$B:$P,2,FALSE))</f>
        <v>Italy</v>
      </c>
      <c r="C531" t="str">
        <f>VLOOKUP(A531,[1]timesData!$B:$P,3,FALSE)</f>
        <v>401-500</v>
      </c>
      <c r="D531" t="str">
        <f>VLOOKUP(A532,[1]timesData!$B:$P,3,FALSE)</f>
        <v>401-500</v>
      </c>
      <c r="E531">
        <f>VLOOKUP(A532,[1]timesData!$B:$P,4,FALSE)</f>
        <v>21.7</v>
      </c>
      <c r="F531">
        <f>VLOOKUP(A532,[1]timesData!$B:$P,5,FALSE)</f>
        <v>17.100000000000001</v>
      </c>
      <c r="G531">
        <f>VLOOKUP(A532,[1]timesData!$B:$P,6,FALSE)</f>
        <v>46.4</v>
      </c>
      <c r="H531">
        <f>VLOOKUP(A532,[1]timesData!$B:$P,7,FALSE)</f>
        <v>64.7</v>
      </c>
      <c r="I531" t="str">
        <f>VLOOKUP(A532,[1]timesData!$B:$P,8,FALSE)</f>
        <v>-</v>
      </c>
      <c r="J531">
        <f>VLOOKUP(A532,[1]timesData!$B:$P,9,FALSE)</f>
        <v>27140</v>
      </c>
      <c r="K531">
        <f>VLOOKUP(A532,[1]timesData!$B:$P,10,FALSE)</f>
        <v>15.5</v>
      </c>
      <c r="L531">
        <f>VLOOKUP(A532,[1]timesData!$B:$P,11,FALSE)</f>
        <v>0.05</v>
      </c>
      <c r="M531">
        <f>VLOOKUP(A532,[1]timesData!$B:$P,12,FALSE)</f>
        <v>0</v>
      </c>
      <c r="N531">
        <f>VLOOKUP(A532,[1]timesData!$B:$P,13,FALSE)</f>
        <v>2016</v>
      </c>
      <c r="O531">
        <f>VLOOKUP(A531,[2]cwurData!$B:$P,14,FALSE)</f>
        <v>511</v>
      </c>
      <c r="P531">
        <f>VLOOKUP(A531,[2]cwurData!$B:$N, 3, FALSE)</f>
        <v>25</v>
      </c>
      <c r="Q531">
        <f>VLOOKUP(A531,[2]cwurData!$B:$N, 4, FALSE)</f>
        <v>355</v>
      </c>
      <c r="R531">
        <f>VLOOKUP(A531,[2]cwurData!$B:$N, 5, FALSE)</f>
        <v>478</v>
      </c>
      <c r="S531">
        <f>VLOOKUP(A531,[2]cwurData!$B:$N, 6, FALSE)</f>
        <v>210</v>
      </c>
      <c r="T531">
        <f>VLOOKUP(A531,[2]cwurData!$B:$N, 7, FALSE)</f>
        <v>576</v>
      </c>
      <c r="U531">
        <f>VLOOKUP(A531,[2]cwurData!$B:$N, 8, FALSE)</f>
        <v>604</v>
      </c>
      <c r="V531">
        <f>VLOOKUP(A531,[2]cwurData!$B:$N, 9, FALSE)</f>
        <v>609</v>
      </c>
      <c r="W531">
        <f>VLOOKUP(A531,[2]cwurData!$B:$N, 10, FALSE)</f>
        <v>386</v>
      </c>
      <c r="X531">
        <f>VLOOKUP(A531,[2]cwurData!$B:$N, 11, FALSE)</f>
        <v>737</v>
      </c>
      <c r="Y531">
        <f>VLOOKUP(A531,[2]cwurData!$B:$N, 12, FALSE)</f>
        <v>45.07</v>
      </c>
      <c r="Z531">
        <f>VLOOKUP(A531,[2]cwurData!$B:$N, 13, FALSE)</f>
        <v>2014</v>
      </c>
    </row>
    <row r="532" spans="1:26" x14ac:dyDescent="0.3">
      <c r="A532" t="s">
        <v>530</v>
      </c>
      <c r="B532" t="str">
        <f>IFERROR(VLOOKUP(A532,[1]timesData!$B:$P,2,FALSE),VLOOKUP(A532,[2]cwurData!$B:$P,2,FALSE))</f>
        <v>China</v>
      </c>
      <c r="C532" t="str">
        <f>VLOOKUP(A532,[1]timesData!$B:$P,3,FALSE)</f>
        <v>401-500</v>
      </c>
      <c r="D532" t="str">
        <f>VLOOKUP(A533,[1]timesData!$B:$P,3,FALSE)</f>
        <v>401-500</v>
      </c>
      <c r="E532">
        <f>VLOOKUP(A533,[1]timesData!$B:$P,4,FALSE)</f>
        <v>79.5</v>
      </c>
      <c r="F532">
        <f>VLOOKUP(A533,[1]timesData!$B:$P,5,FALSE)</f>
        <v>16.100000000000001</v>
      </c>
      <c r="G532">
        <f>VLOOKUP(A533,[1]timesData!$B:$P,6,FALSE)</f>
        <v>53.7</v>
      </c>
      <c r="H532">
        <f>VLOOKUP(A533,[1]timesData!$B:$P,7,FALSE)</f>
        <v>28.5</v>
      </c>
      <c r="I532" t="str">
        <f>VLOOKUP(A533,[1]timesData!$B:$P,8,FALSE)</f>
        <v>-</v>
      </c>
      <c r="J532">
        <f>VLOOKUP(A533,[1]timesData!$B:$P,9,FALSE)</f>
        <v>27304</v>
      </c>
      <c r="K532">
        <f>VLOOKUP(A533,[1]timesData!$B:$P,10,FALSE)</f>
        <v>20.3</v>
      </c>
      <c r="L532">
        <f>VLOOKUP(A533,[1]timesData!$B:$P,11,FALSE)</f>
        <v>0.22</v>
      </c>
      <c r="M532">
        <f>VLOOKUP(A533,[1]timesData!$B:$P,12,FALSE)</f>
        <v>2.3638888888888889</v>
      </c>
      <c r="N532">
        <f>VLOOKUP(A533,[1]timesData!$B:$P,13,FALSE)</f>
        <v>2016</v>
      </c>
      <c r="O532">
        <f>VLOOKUP(A532,[2]cwurData!$B:$P,14,FALSE)</f>
        <v>528</v>
      </c>
      <c r="P532">
        <f>VLOOKUP(A532,[2]cwurData!$B:$N, 3, FALSE)</f>
        <v>25</v>
      </c>
      <c r="Q532">
        <f>VLOOKUP(A532,[2]cwurData!$B:$N, 4, FALSE)</f>
        <v>355</v>
      </c>
      <c r="R532">
        <f>VLOOKUP(A532,[2]cwurData!$B:$N, 5, FALSE)</f>
        <v>478</v>
      </c>
      <c r="S532">
        <f>VLOOKUP(A532,[2]cwurData!$B:$N, 6, FALSE)</f>
        <v>210</v>
      </c>
      <c r="T532">
        <f>VLOOKUP(A532,[2]cwurData!$B:$N, 7, FALSE)</f>
        <v>444</v>
      </c>
      <c r="U532">
        <f>VLOOKUP(A532,[2]cwurData!$B:$N, 8, FALSE)</f>
        <v>808</v>
      </c>
      <c r="V532">
        <f>VLOOKUP(A532,[2]cwurData!$B:$N, 9, FALSE)</f>
        <v>609</v>
      </c>
      <c r="W532">
        <f>VLOOKUP(A532,[2]cwurData!$B:$N, 10, FALSE)</f>
        <v>496</v>
      </c>
      <c r="X532">
        <f>VLOOKUP(A532,[2]cwurData!$B:$N, 11, FALSE)</f>
        <v>204</v>
      </c>
      <c r="Y532">
        <f>VLOOKUP(A532,[2]cwurData!$B:$N, 12, FALSE)</f>
        <v>45.01</v>
      </c>
      <c r="Z532">
        <f>VLOOKUP(A532,[2]cwurData!$B:$N, 13, FALSE)</f>
        <v>2014</v>
      </c>
    </row>
    <row r="533" spans="1:26" x14ac:dyDescent="0.3">
      <c r="A533" t="s">
        <v>546</v>
      </c>
      <c r="B533" t="str">
        <f>IFERROR(VLOOKUP(A533,[1]timesData!$B:$P,2,FALSE),VLOOKUP(A533,[2]cwurData!$B:$P,2,FALSE))</f>
        <v>France</v>
      </c>
      <c r="C533" t="str">
        <f>VLOOKUP(A533,[1]timesData!$B:$P,3,FALSE)</f>
        <v>401-500</v>
      </c>
      <c r="D533" t="str">
        <f>VLOOKUP(A534,[1]timesData!$B:$P,3,FALSE)</f>
        <v>401-500</v>
      </c>
      <c r="E533">
        <f>VLOOKUP(A534,[1]timesData!$B:$P,4,FALSE)</f>
        <v>15.8</v>
      </c>
      <c r="F533">
        <f>VLOOKUP(A534,[1]timesData!$B:$P,5,FALSE)</f>
        <v>18.5</v>
      </c>
      <c r="G533">
        <f>VLOOKUP(A534,[1]timesData!$B:$P,6,FALSE)</f>
        <v>33.299999999999997</v>
      </c>
      <c r="H533">
        <f>VLOOKUP(A534,[1]timesData!$B:$P,7,FALSE)</f>
        <v>30.2</v>
      </c>
      <c r="I533" t="str">
        <f>VLOOKUP(A534,[1]timesData!$B:$P,8,FALSE)</f>
        <v>-</v>
      </c>
      <c r="J533">
        <f>VLOOKUP(A534,[1]timesData!$B:$P,9,FALSE)</f>
        <v>4496</v>
      </c>
      <c r="K533">
        <f>VLOOKUP(A534,[1]timesData!$B:$P,10,FALSE)</f>
        <v>5.4</v>
      </c>
      <c r="L533">
        <f>VLOOKUP(A534,[1]timesData!$B:$P,11,FALSE)</f>
        <v>0.02</v>
      </c>
      <c r="M533">
        <f>VLOOKUP(A534,[1]timesData!$B:$P,12,FALSE)</f>
        <v>2.036111111111111</v>
      </c>
      <c r="N533">
        <f>VLOOKUP(A534,[1]timesData!$B:$P,13,FALSE)</f>
        <v>2016</v>
      </c>
      <c r="O533">
        <f>VLOOKUP(A533,[2]cwurData!$B:$P,14,FALSE)</f>
        <v>532</v>
      </c>
      <c r="P533">
        <f>VLOOKUP(A533,[2]cwurData!$B:$N, 3, FALSE)</f>
        <v>23</v>
      </c>
      <c r="Q533">
        <f>VLOOKUP(A533,[2]cwurData!$B:$N, 4, FALSE)</f>
        <v>252</v>
      </c>
      <c r="R533">
        <f>VLOOKUP(A533,[2]cwurData!$B:$N, 5, FALSE)</f>
        <v>478</v>
      </c>
      <c r="S533">
        <f>VLOOKUP(A533,[2]cwurData!$B:$N, 6, FALSE)</f>
        <v>210</v>
      </c>
      <c r="T533">
        <f>VLOOKUP(A533,[2]cwurData!$B:$N, 7, FALSE)</f>
        <v>467</v>
      </c>
      <c r="U533">
        <f>VLOOKUP(A533,[2]cwurData!$B:$N, 8, FALSE)</f>
        <v>265</v>
      </c>
      <c r="V533">
        <f>VLOOKUP(A533,[2]cwurData!$B:$N, 9, FALSE)</f>
        <v>609</v>
      </c>
      <c r="W533">
        <f>VLOOKUP(A533,[2]cwurData!$B:$N, 10, FALSE)</f>
        <v>460</v>
      </c>
      <c r="X533">
        <f>VLOOKUP(A533,[2]cwurData!$B:$N, 11, FALSE)</f>
        <v>373</v>
      </c>
      <c r="Y533">
        <f>VLOOKUP(A533,[2]cwurData!$B:$N, 12, FALSE)</f>
        <v>45.01</v>
      </c>
      <c r="Z533">
        <f>VLOOKUP(A533,[2]cwurData!$B:$N, 13, FALSE)</f>
        <v>2014</v>
      </c>
    </row>
    <row r="534" spans="1:26" x14ac:dyDescent="0.3">
      <c r="A534" t="s">
        <v>544</v>
      </c>
      <c r="B534" t="str">
        <f>IFERROR(VLOOKUP(A534,[1]timesData!$B:$P,2,FALSE),VLOOKUP(A534,[2]cwurData!$B:$P,2,FALSE))</f>
        <v>Taiwan</v>
      </c>
      <c r="C534" t="str">
        <f>VLOOKUP(A534,[1]timesData!$B:$P,3,FALSE)</f>
        <v>401-500</v>
      </c>
      <c r="D534" t="str">
        <f>VLOOKUP(A535,[1]timesData!$B:$P,3,FALSE)</f>
        <v>401-500</v>
      </c>
      <c r="E534">
        <f>VLOOKUP(A535,[1]timesData!$B:$P,4,FALSE)</f>
        <v>54</v>
      </c>
      <c r="F534">
        <f>VLOOKUP(A535,[1]timesData!$B:$P,5,FALSE)</f>
        <v>17.2</v>
      </c>
      <c r="G534">
        <f>VLOOKUP(A535,[1]timesData!$B:$P,6,FALSE)</f>
        <v>45.5</v>
      </c>
      <c r="H534">
        <f>VLOOKUP(A535,[1]timesData!$B:$P,7,FALSE)</f>
        <v>67.5</v>
      </c>
      <c r="I534" t="str">
        <f>VLOOKUP(A535,[1]timesData!$B:$P,8,FALSE)</f>
        <v>-</v>
      </c>
      <c r="J534">
        <f>VLOOKUP(A535,[1]timesData!$B:$P,9,FALSE)</f>
        <v>6147</v>
      </c>
      <c r="K534">
        <f>VLOOKUP(A535,[1]timesData!$B:$P,10,FALSE)</f>
        <v>15.5</v>
      </c>
      <c r="L534">
        <f>VLOOKUP(A535,[1]timesData!$B:$P,11,FALSE)</f>
        <v>0.13</v>
      </c>
      <c r="M534">
        <f>VLOOKUP(A535,[1]timesData!$B:$P,12,FALSE)</f>
        <v>1.0118055555555556</v>
      </c>
      <c r="N534">
        <f>VLOOKUP(A535,[1]timesData!$B:$P,13,FALSE)</f>
        <v>2016</v>
      </c>
      <c r="O534">
        <f>VLOOKUP(A534,[2]cwurData!$B:$P,14,FALSE)</f>
        <v>534</v>
      </c>
      <c r="P534">
        <f>VLOOKUP(A534,[2]cwurData!$B:$N, 3, FALSE)</f>
        <v>5</v>
      </c>
      <c r="Q534">
        <f>VLOOKUP(A534,[2]cwurData!$B:$N, 4, FALSE)</f>
        <v>355</v>
      </c>
      <c r="R534">
        <f>VLOOKUP(A534,[2]cwurData!$B:$N, 5, FALSE)</f>
        <v>478</v>
      </c>
      <c r="S534">
        <f>VLOOKUP(A534,[2]cwurData!$B:$N, 6, FALSE)</f>
        <v>210</v>
      </c>
      <c r="T534">
        <f>VLOOKUP(A534,[2]cwurData!$B:$N, 7, FALSE)</f>
        <v>355</v>
      </c>
      <c r="U534">
        <f>VLOOKUP(A534,[2]cwurData!$B:$N, 8, FALSE)</f>
        <v>502</v>
      </c>
      <c r="V534">
        <f>VLOOKUP(A534,[2]cwurData!$B:$N, 9, FALSE)</f>
        <v>406</v>
      </c>
      <c r="W534">
        <f>VLOOKUP(A534,[2]cwurData!$B:$N, 10, FALSE)</f>
        <v>452</v>
      </c>
      <c r="X534">
        <f>VLOOKUP(A534,[2]cwurData!$B:$N, 11, FALSE)</f>
        <v>737</v>
      </c>
      <c r="Y534">
        <f>VLOOKUP(A534,[2]cwurData!$B:$N, 12, FALSE)</f>
        <v>45.01</v>
      </c>
      <c r="Z534">
        <f>VLOOKUP(A534,[2]cwurData!$B:$N, 13, FALSE)</f>
        <v>2014</v>
      </c>
    </row>
    <row r="535" spans="1:26" x14ac:dyDescent="0.3">
      <c r="A535" t="s">
        <v>557</v>
      </c>
      <c r="B535" t="str">
        <f>IFERROR(VLOOKUP(A535,[1]timesData!$B:$P,2,FALSE),VLOOKUP(A535,[2]cwurData!$B:$P,2,FALSE))</f>
        <v>Finland</v>
      </c>
      <c r="C535" t="str">
        <f>VLOOKUP(A535,[1]timesData!$B:$P,3,FALSE)</f>
        <v>401-500</v>
      </c>
      <c r="D535" t="str">
        <f>VLOOKUP(A536,[1]timesData!$B:$P,3,FALSE)</f>
        <v>401-500</v>
      </c>
      <c r="E535">
        <f>VLOOKUP(A536,[1]timesData!$B:$P,4,FALSE)</f>
        <v>23.6</v>
      </c>
      <c r="F535">
        <f>VLOOKUP(A536,[1]timesData!$B:$P,5,FALSE)</f>
        <v>9.1</v>
      </c>
      <c r="G535">
        <f>VLOOKUP(A536,[1]timesData!$B:$P,6,FALSE)</f>
        <v>77.400000000000006</v>
      </c>
      <c r="H535">
        <f>VLOOKUP(A536,[1]timesData!$B:$P,7,FALSE)</f>
        <v>28</v>
      </c>
      <c r="I535" t="str">
        <f>VLOOKUP(A536,[1]timesData!$B:$P,8,FALSE)</f>
        <v>-</v>
      </c>
      <c r="J535">
        <f>VLOOKUP(A536,[1]timesData!$B:$P,9,FALSE)</f>
        <v>43875</v>
      </c>
      <c r="K535">
        <f>VLOOKUP(A536,[1]timesData!$B:$P,10,FALSE)</f>
        <v>22.4</v>
      </c>
      <c r="L535">
        <f>VLOOKUP(A536,[1]timesData!$B:$P,11,FALSE)</f>
        <v>0.01</v>
      </c>
      <c r="M535">
        <f>VLOOKUP(A536,[1]timesData!$B:$P,12,FALSE)</f>
        <v>2.5277777777777777</v>
      </c>
      <c r="N535">
        <f>VLOOKUP(A536,[1]timesData!$B:$P,13,FALSE)</f>
        <v>2016</v>
      </c>
      <c r="O535">
        <f>VLOOKUP(A535,[2]cwurData!$B:$P,14,FALSE)</f>
        <v>544</v>
      </c>
      <c r="P535">
        <f>VLOOKUP(A535,[2]cwurData!$B:$N, 3, FALSE)</f>
        <v>7</v>
      </c>
      <c r="Q535">
        <f>VLOOKUP(A535,[2]cwurData!$B:$N, 4, FALSE)</f>
        <v>355</v>
      </c>
      <c r="R535">
        <f>VLOOKUP(A535,[2]cwurData!$B:$N, 5, FALSE)</f>
        <v>136</v>
      </c>
      <c r="S535">
        <f>VLOOKUP(A535,[2]cwurData!$B:$N, 6, FALSE)</f>
        <v>210</v>
      </c>
      <c r="T535">
        <f>VLOOKUP(A535,[2]cwurData!$B:$N, 7, FALSE)</f>
        <v>819</v>
      </c>
      <c r="U535">
        <f>VLOOKUP(A535,[2]cwurData!$B:$N, 8, FALSE)</f>
        <v>670</v>
      </c>
      <c r="V535">
        <f>VLOOKUP(A535,[2]cwurData!$B:$N, 9, FALSE)</f>
        <v>800</v>
      </c>
      <c r="W535">
        <f>VLOOKUP(A535,[2]cwurData!$B:$N, 10, FALSE)</f>
        <v>819</v>
      </c>
      <c r="X535">
        <f>VLOOKUP(A535,[2]cwurData!$B:$N, 11, FALSE)</f>
        <v>737</v>
      </c>
      <c r="Y535">
        <f>VLOOKUP(A535,[2]cwurData!$B:$N, 12, FALSE)</f>
        <v>44.97</v>
      </c>
      <c r="Z535">
        <f>VLOOKUP(A535,[2]cwurData!$B:$N, 13, FALSE)</f>
        <v>2014</v>
      </c>
    </row>
    <row r="536" spans="1:26" x14ac:dyDescent="0.3">
      <c r="A536" t="s">
        <v>549</v>
      </c>
      <c r="B536" t="str">
        <f>IFERROR(VLOOKUP(A536,[1]timesData!$B:$P,2,FALSE),VLOOKUP(A536,[2]cwurData!$B:$P,2,FALSE))</f>
        <v>Italy</v>
      </c>
      <c r="C536" t="str">
        <f>VLOOKUP(A536,[1]timesData!$B:$P,3,FALSE)</f>
        <v>401-500</v>
      </c>
      <c r="D536" t="str">
        <f>VLOOKUP(A537,[1]timesData!$B:$P,3,FALSE)</f>
        <v>401-500</v>
      </c>
      <c r="E536">
        <f>VLOOKUP(A537,[1]timesData!$B:$P,4,FALSE)</f>
        <v>35.1</v>
      </c>
      <c r="F536">
        <f>VLOOKUP(A537,[1]timesData!$B:$P,5,FALSE)</f>
        <v>12.2</v>
      </c>
      <c r="G536">
        <f>VLOOKUP(A537,[1]timesData!$B:$P,6,FALSE)</f>
        <v>69.400000000000006</v>
      </c>
      <c r="H536" t="str">
        <f>VLOOKUP(A537,[1]timesData!$B:$P,7,FALSE)</f>
        <v>-</v>
      </c>
      <c r="I536" t="str">
        <f>VLOOKUP(A537,[1]timesData!$B:$P,8,FALSE)</f>
        <v>-</v>
      </c>
      <c r="J536">
        <f>VLOOKUP(A537,[1]timesData!$B:$P,9,FALSE)</f>
        <v>33866</v>
      </c>
      <c r="K536">
        <f>VLOOKUP(A537,[1]timesData!$B:$P,10,FALSE)</f>
        <v>22.2</v>
      </c>
      <c r="L536">
        <f>VLOOKUP(A537,[1]timesData!$B:$P,11,FALSE)</f>
        <v>0.11</v>
      </c>
      <c r="M536">
        <f>VLOOKUP(A537,[1]timesData!$B:$P,12,FALSE)</f>
        <v>2.3638888888888889</v>
      </c>
      <c r="N536">
        <f>VLOOKUP(A537,[1]timesData!$B:$P,13,FALSE)</f>
        <v>2016</v>
      </c>
      <c r="O536">
        <f>VLOOKUP(A536,[2]cwurData!$B:$P,14,FALSE)</f>
        <v>554</v>
      </c>
      <c r="P536">
        <f>VLOOKUP(A536,[2]cwurData!$B:$N, 3, FALSE)</f>
        <v>27</v>
      </c>
      <c r="Q536">
        <f>VLOOKUP(A536,[2]cwurData!$B:$N, 4, FALSE)</f>
        <v>355</v>
      </c>
      <c r="R536">
        <f>VLOOKUP(A536,[2]cwurData!$B:$N, 5, FALSE)</f>
        <v>478</v>
      </c>
      <c r="S536">
        <f>VLOOKUP(A536,[2]cwurData!$B:$N, 6, FALSE)</f>
        <v>210</v>
      </c>
      <c r="T536">
        <f>VLOOKUP(A536,[2]cwurData!$B:$N, 7, FALSE)</f>
        <v>447</v>
      </c>
      <c r="U536">
        <f>VLOOKUP(A536,[2]cwurData!$B:$N, 8, FALSE)</f>
        <v>590</v>
      </c>
      <c r="V536">
        <f>VLOOKUP(A536,[2]cwurData!$B:$N, 9, FALSE)</f>
        <v>800</v>
      </c>
      <c r="W536">
        <f>VLOOKUP(A536,[2]cwurData!$B:$N, 10, FALSE)</f>
        <v>452</v>
      </c>
      <c r="X536">
        <f>VLOOKUP(A536,[2]cwurData!$B:$N, 11, FALSE)</f>
        <v>552</v>
      </c>
      <c r="Y536">
        <f>VLOOKUP(A536,[2]cwurData!$B:$N, 12, FALSE)</f>
        <v>44.94</v>
      </c>
      <c r="Z536">
        <f>VLOOKUP(A536,[2]cwurData!$B:$N, 13, FALSE)</f>
        <v>2014</v>
      </c>
    </row>
    <row r="537" spans="1:26" x14ac:dyDescent="0.3">
      <c r="A537" t="s">
        <v>541</v>
      </c>
      <c r="B537" t="str">
        <f>IFERROR(VLOOKUP(A537,[1]timesData!$B:$P,2,FALSE),VLOOKUP(A537,[2]cwurData!$B:$P,2,FALSE))</f>
        <v>France</v>
      </c>
      <c r="C537" t="str">
        <f>VLOOKUP(A537,[1]timesData!$B:$P,3,FALSE)</f>
        <v>401-500</v>
      </c>
      <c r="D537" t="str">
        <f>VLOOKUP(A538,[1]timesData!$B:$P,3,FALSE)</f>
        <v>401-500</v>
      </c>
      <c r="E537">
        <f>VLOOKUP(A538,[1]timesData!$B:$P,4,FALSE)</f>
        <v>16.100000000000001</v>
      </c>
      <c r="F537">
        <f>VLOOKUP(A538,[1]timesData!$B:$P,5,FALSE)</f>
        <v>20.7</v>
      </c>
      <c r="G537">
        <f>VLOOKUP(A538,[1]timesData!$B:$P,6,FALSE)</f>
        <v>31.4</v>
      </c>
      <c r="H537">
        <f>VLOOKUP(A538,[1]timesData!$B:$P,7,FALSE)</f>
        <v>88.9</v>
      </c>
      <c r="I537" t="str">
        <f>VLOOKUP(A538,[1]timesData!$B:$P,8,FALSE)</f>
        <v>-</v>
      </c>
      <c r="J537">
        <f>VLOOKUP(A538,[1]timesData!$B:$P,9,FALSE)</f>
        <v>8234</v>
      </c>
      <c r="K537">
        <f>VLOOKUP(A538,[1]timesData!$B:$P,10,FALSE)</f>
        <v>15.9</v>
      </c>
      <c r="L537">
        <f>VLOOKUP(A538,[1]timesData!$B:$P,11,FALSE)</f>
        <v>0.01</v>
      </c>
      <c r="M537">
        <f>VLOOKUP(A538,[1]timesData!$B:$P,12,FALSE)</f>
        <v>0.84791666666666665</v>
      </c>
      <c r="N537">
        <f>VLOOKUP(A538,[1]timesData!$B:$P,13,FALSE)</f>
        <v>2016</v>
      </c>
      <c r="O537">
        <f>VLOOKUP(A537,[2]cwurData!$B:$P,14,FALSE)</f>
        <v>562</v>
      </c>
      <c r="P537">
        <f>VLOOKUP(A537,[2]cwurData!$B:$N, 3, FALSE)</f>
        <v>25</v>
      </c>
      <c r="Q537">
        <f>VLOOKUP(A537,[2]cwurData!$B:$N, 4, FALSE)</f>
        <v>355</v>
      </c>
      <c r="R537">
        <f>VLOOKUP(A537,[2]cwurData!$B:$N, 5, FALSE)</f>
        <v>478</v>
      </c>
      <c r="S537">
        <f>VLOOKUP(A537,[2]cwurData!$B:$N, 6, FALSE)</f>
        <v>210</v>
      </c>
      <c r="T537">
        <f>VLOOKUP(A537,[2]cwurData!$B:$N, 7, FALSE)</f>
        <v>492</v>
      </c>
      <c r="U537">
        <f>VLOOKUP(A537,[2]cwurData!$B:$N, 8, FALSE)</f>
        <v>404</v>
      </c>
      <c r="V537">
        <f>VLOOKUP(A537,[2]cwurData!$B:$N, 9, FALSE)</f>
        <v>310</v>
      </c>
      <c r="W537">
        <f>VLOOKUP(A537,[2]cwurData!$B:$N, 10, FALSE)</f>
        <v>482</v>
      </c>
      <c r="X537">
        <f>VLOOKUP(A537,[2]cwurData!$B:$N, 11, FALSE)</f>
        <v>426</v>
      </c>
      <c r="Y537">
        <f>VLOOKUP(A537,[2]cwurData!$B:$N, 12, FALSE)</f>
        <v>44.93</v>
      </c>
      <c r="Z537">
        <f>VLOOKUP(A537,[2]cwurData!$B:$N, 13, FALSE)</f>
        <v>2014</v>
      </c>
    </row>
    <row r="538" spans="1:26" x14ac:dyDescent="0.3">
      <c r="A538" t="s">
        <v>534</v>
      </c>
      <c r="B538" t="str">
        <f>IFERROR(VLOOKUP(A538,[1]timesData!$B:$P,2,FALSE),VLOOKUP(A538,[2]cwurData!$B:$P,2,FALSE))</f>
        <v>India</v>
      </c>
      <c r="C538" t="str">
        <f>VLOOKUP(A538,[1]timesData!$B:$P,3,FALSE)</f>
        <v>401-500</v>
      </c>
      <c r="D538" t="str">
        <f>VLOOKUP(A539,[1]timesData!$B:$P,3,FALSE)</f>
        <v>401-500</v>
      </c>
      <c r="E538">
        <f>VLOOKUP(A539,[1]timesData!$B:$P,4,FALSE)</f>
        <v>36.9</v>
      </c>
      <c r="F538">
        <f>VLOOKUP(A539,[1]timesData!$B:$P,5,FALSE)</f>
        <v>17.7</v>
      </c>
      <c r="G538">
        <f>VLOOKUP(A539,[1]timesData!$B:$P,6,FALSE)</f>
        <v>56.4</v>
      </c>
      <c r="H538">
        <f>VLOOKUP(A539,[1]timesData!$B:$P,7,FALSE)</f>
        <v>32.9</v>
      </c>
      <c r="I538" t="str">
        <f>VLOOKUP(A539,[1]timesData!$B:$P,8,FALSE)</f>
        <v>-</v>
      </c>
      <c r="J538">
        <f>VLOOKUP(A539,[1]timesData!$B:$P,9,FALSE)</f>
        <v>20825</v>
      </c>
      <c r="K538">
        <f>VLOOKUP(A539,[1]timesData!$B:$P,10,FALSE)</f>
        <v>36.299999999999997</v>
      </c>
      <c r="L538">
        <f>VLOOKUP(A539,[1]timesData!$B:$P,11,FALSE)</f>
        <v>0.04</v>
      </c>
      <c r="M538">
        <f>VLOOKUP(A539,[1]timesData!$B:$P,12,FALSE)</f>
        <v>2.4458333333333333</v>
      </c>
      <c r="N538">
        <f>VLOOKUP(A539,[1]timesData!$B:$P,13,FALSE)</f>
        <v>2016</v>
      </c>
      <c r="O538">
        <f>VLOOKUP(A538,[2]cwurData!$B:$P,14,FALSE)</f>
        <v>576</v>
      </c>
      <c r="P538">
        <f>VLOOKUP(A538,[2]cwurData!$B:$N, 3, FALSE)</f>
        <v>8</v>
      </c>
      <c r="Q538">
        <f>VLOOKUP(A538,[2]cwurData!$B:$N, 4, FALSE)</f>
        <v>355</v>
      </c>
      <c r="R538">
        <f>VLOOKUP(A538,[2]cwurData!$B:$N, 5, FALSE)</f>
        <v>206</v>
      </c>
      <c r="S538">
        <f>VLOOKUP(A538,[2]cwurData!$B:$N, 6, FALSE)</f>
        <v>210</v>
      </c>
      <c r="T538">
        <f>VLOOKUP(A538,[2]cwurData!$B:$N, 7, FALSE)</f>
        <v>532</v>
      </c>
      <c r="U538">
        <f>VLOOKUP(A538,[2]cwurData!$B:$N, 8, FALSE)</f>
        <v>928</v>
      </c>
      <c r="V538">
        <f>VLOOKUP(A538,[2]cwurData!$B:$N, 9, FALSE)</f>
        <v>406</v>
      </c>
      <c r="W538">
        <f>VLOOKUP(A538,[2]cwurData!$B:$N, 10, FALSE)</f>
        <v>756</v>
      </c>
      <c r="X538">
        <f>VLOOKUP(A538,[2]cwurData!$B:$N, 11, FALSE)</f>
        <v>280</v>
      </c>
      <c r="Y538">
        <f>VLOOKUP(A538,[2]cwurData!$B:$N, 12, FALSE)</f>
        <v>44.89</v>
      </c>
      <c r="Z538">
        <f>VLOOKUP(A538,[2]cwurData!$B:$N, 13, FALSE)</f>
        <v>2014</v>
      </c>
    </row>
    <row r="539" spans="1:26" x14ac:dyDescent="0.3">
      <c r="A539" t="s">
        <v>535</v>
      </c>
      <c r="B539" t="str">
        <f>IFERROR(VLOOKUP(A539,[1]timesData!$B:$P,2,FALSE),VLOOKUP(A539,[2]cwurData!$B:$P,2,FALSE))</f>
        <v>Greece</v>
      </c>
      <c r="C539" t="str">
        <f>VLOOKUP(A539,[1]timesData!$B:$P,3,FALSE)</f>
        <v>401-500</v>
      </c>
      <c r="D539" t="str">
        <f>VLOOKUP(A540,[1]timesData!$B:$P,3,FALSE)</f>
        <v>401-500</v>
      </c>
      <c r="E539">
        <f>VLOOKUP(A540,[1]timesData!$B:$P,4,FALSE)</f>
        <v>32.6</v>
      </c>
      <c r="F539">
        <f>VLOOKUP(A540,[1]timesData!$B:$P,5,FALSE)</f>
        <v>13.2</v>
      </c>
      <c r="G539">
        <f>VLOOKUP(A540,[1]timesData!$B:$P,6,FALSE)</f>
        <v>56.8</v>
      </c>
      <c r="H539">
        <f>VLOOKUP(A540,[1]timesData!$B:$P,7,FALSE)</f>
        <v>33.6</v>
      </c>
      <c r="I539" t="str">
        <f>VLOOKUP(A540,[1]timesData!$B:$P,8,FALSE)</f>
        <v>-</v>
      </c>
      <c r="J539">
        <f>VLOOKUP(A540,[1]timesData!$B:$P,9,FALSE)</f>
        <v>30638</v>
      </c>
      <c r="K539">
        <f>VLOOKUP(A540,[1]timesData!$B:$P,10,FALSE)</f>
        <v>51</v>
      </c>
      <c r="L539">
        <f>VLOOKUP(A540,[1]timesData!$B:$P,11,FALSE)</f>
        <v>0.01</v>
      </c>
      <c r="M539">
        <f>VLOOKUP(A540,[1]timesData!$B:$P,12,FALSE)</f>
        <v>2.6097222222222221</v>
      </c>
      <c r="N539">
        <f>VLOOKUP(A540,[1]timesData!$B:$P,13,FALSE)</f>
        <v>2016</v>
      </c>
      <c r="O539">
        <f>VLOOKUP(A539,[2]cwurData!$B:$P,14,FALSE)</f>
        <v>582</v>
      </c>
      <c r="P539">
        <f>VLOOKUP(A539,[2]cwurData!$B:$N, 3, FALSE)</f>
        <v>4</v>
      </c>
      <c r="Q539">
        <f>VLOOKUP(A539,[2]cwurData!$B:$N, 4, FALSE)</f>
        <v>355</v>
      </c>
      <c r="R539">
        <f>VLOOKUP(A539,[2]cwurData!$B:$N, 5, FALSE)</f>
        <v>478</v>
      </c>
      <c r="S539">
        <f>VLOOKUP(A539,[2]cwurData!$B:$N, 6, FALSE)</f>
        <v>210</v>
      </c>
      <c r="T539">
        <f>VLOOKUP(A539,[2]cwurData!$B:$N, 7, FALSE)</f>
        <v>569</v>
      </c>
      <c r="U539">
        <f>VLOOKUP(A539,[2]cwurData!$B:$N, 8, FALSE)</f>
        <v>828</v>
      </c>
      <c r="V539">
        <f>VLOOKUP(A539,[2]cwurData!$B:$N, 9, FALSE)</f>
        <v>609</v>
      </c>
      <c r="W539">
        <f>VLOOKUP(A539,[2]cwurData!$B:$N, 10, FALSE)</f>
        <v>482</v>
      </c>
      <c r="X539">
        <f>VLOOKUP(A539,[2]cwurData!$B:$N, 11, FALSE)</f>
        <v>737</v>
      </c>
      <c r="Y539">
        <f>VLOOKUP(A539,[2]cwurData!$B:$N, 12, FALSE)</f>
        <v>44.85</v>
      </c>
      <c r="Z539">
        <f>VLOOKUP(A539,[2]cwurData!$B:$N, 13, FALSE)</f>
        <v>2014</v>
      </c>
    </row>
    <row r="540" spans="1:26" x14ac:dyDescent="0.3">
      <c r="A540" t="s">
        <v>524</v>
      </c>
      <c r="B540" t="str">
        <f>IFERROR(VLOOKUP(A540,[1]timesData!$B:$P,2,FALSE),VLOOKUP(A540,[2]cwurData!$B:$P,2,FALSE))</f>
        <v>Italy</v>
      </c>
      <c r="C540" t="str">
        <f>VLOOKUP(A540,[1]timesData!$B:$P,3,FALSE)</f>
        <v>401-500</v>
      </c>
      <c r="D540" t="str">
        <f>VLOOKUP(A541,[1]timesData!$B:$P,3,FALSE)</f>
        <v>401-500</v>
      </c>
      <c r="E540">
        <f>VLOOKUP(A541,[1]timesData!$B:$P,4,FALSE)</f>
        <v>32.799999999999997</v>
      </c>
      <c r="F540">
        <f>VLOOKUP(A541,[1]timesData!$B:$P,5,FALSE)</f>
        <v>18.100000000000001</v>
      </c>
      <c r="G540">
        <f>VLOOKUP(A541,[1]timesData!$B:$P,6,FALSE)</f>
        <v>49.4</v>
      </c>
      <c r="H540">
        <f>VLOOKUP(A541,[1]timesData!$B:$P,7,FALSE)</f>
        <v>32.700000000000003</v>
      </c>
      <c r="I540" t="str">
        <f>VLOOKUP(A541,[1]timesData!$B:$P,8,FALSE)</f>
        <v>-</v>
      </c>
      <c r="J540">
        <f>VLOOKUP(A541,[1]timesData!$B:$P,9,FALSE)</f>
        <v>32566</v>
      </c>
      <c r="K540">
        <f>VLOOKUP(A541,[1]timesData!$B:$P,10,FALSE)</f>
        <v>25.9</v>
      </c>
      <c r="L540">
        <f>VLOOKUP(A541,[1]timesData!$B:$P,11,FALSE)</f>
        <v>7.0000000000000007E-2</v>
      </c>
      <c r="M540">
        <f>VLOOKUP(A541,[1]timesData!$B:$P,12,FALSE)</f>
        <v>2.3638888888888889</v>
      </c>
      <c r="N540">
        <f>VLOOKUP(A541,[1]timesData!$B:$P,13,FALSE)</f>
        <v>2016</v>
      </c>
      <c r="O540">
        <f>VLOOKUP(A540,[2]cwurData!$B:$P,14,FALSE)</f>
        <v>583</v>
      </c>
      <c r="P540">
        <f>VLOOKUP(A540,[2]cwurData!$B:$N, 3, FALSE)</f>
        <v>32</v>
      </c>
      <c r="Q540">
        <f>VLOOKUP(A540,[2]cwurData!$B:$N, 4, FALSE)</f>
        <v>355</v>
      </c>
      <c r="R540">
        <f>VLOOKUP(A540,[2]cwurData!$B:$N, 5, FALSE)</f>
        <v>478</v>
      </c>
      <c r="S540">
        <f>VLOOKUP(A540,[2]cwurData!$B:$N, 6, FALSE)</f>
        <v>210</v>
      </c>
      <c r="T540">
        <f>VLOOKUP(A540,[2]cwurData!$B:$N, 7, FALSE)</f>
        <v>514</v>
      </c>
      <c r="U540">
        <f>VLOOKUP(A540,[2]cwurData!$B:$N, 8, FALSE)</f>
        <v>536</v>
      </c>
      <c r="V540">
        <f>VLOOKUP(A540,[2]cwurData!$B:$N, 9, FALSE)</f>
        <v>800</v>
      </c>
      <c r="W540">
        <f>VLOOKUP(A540,[2]cwurData!$B:$N, 10, FALSE)</f>
        <v>488</v>
      </c>
      <c r="X540">
        <f>VLOOKUP(A540,[2]cwurData!$B:$N, 11, FALSE)</f>
        <v>552</v>
      </c>
      <c r="Y540">
        <f>VLOOKUP(A540,[2]cwurData!$B:$N, 12, FALSE)</f>
        <v>44.85</v>
      </c>
      <c r="Z540">
        <f>VLOOKUP(A540,[2]cwurData!$B:$N, 13, FALSE)</f>
        <v>2014</v>
      </c>
    </row>
    <row r="541" spans="1:26" x14ac:dyDescent="0.3">
      <c r="A541" t="s">
        <v>531</v>
      </c>
      <c r="B541" t="str">
        <f>IFERROR(VLOOKUP(A541,[1]timesData!$B:$P,2,FALSE),VLOOKUP(A541,[2]cwurData!$B:$P,2,FALSE))</f>
        <v>United States of America</v>
      </c>
      <c r="C541" t="str">
        <f>VLOOKUP(A541,[1]timesData!$B:$P,3,FALSE)</f>
        <v>401-500</v>
      </c>
      <c r="D541" t="str">
        <f>VLOOKUP(A542,[1]timesData!$B:$P,3,FALSE)</f>
        <v>401-500</v>
      </c>
      <c r="E541">
        <f>VLOOKUP(A542,[1]timesData!$B:$P,4,FALSE)</f>
        <v>30.3</v>
      </c>
      <c r="F541">
        <f>VLOOKUP(A542,[1]timesData!$B:$P,5,FALSE)</f>
        <v>11</v>
      </c>
      <c r="G541">
        <f>VLOOKUP(A542,[1]timesData!$B:$P,6,FALSE)</f>
        <v>44.5</v>
      </c>
      <c r="H541" t="str">
        <f>VLOOKUP(A542,[1]timesData!$B:$P,7,FALSE)</f>
        <v>-</v>
      </c>
      <c r="I541" t="str">
        <f>VLOOKUP(A542,[1]timesData!$B:$P,8,FALSE)</f>
        <v>-</v>
      </c>
      <c r="J541">
        <f>VLOOKUP(A542,[1]timesData!$B:$P,9,FALSE)</f>
        <v>10297</v>
      </c>
      <c r="K541">
        <f>VLOOKUP(A542,[1]timesData!$B:$P,10,FALSE)</f>
        <v>6.8</v>
      </c>
      <c r="L541">
        <f>VLOOKUP(A542,[1]timesData!$B:$P,11,FALSE)</f>
        <v>0.05</v>
      </c>
      <c r="M541">
        <f>VLOOKUP(A542,[1]timesData!$B:$P,12,FALSE)</f>
        <v>2.7326388888888888</v>
      </c>
      <c r="N541">
        <f>VLOOKUP(A542,[1]timesData!$B:$P,13,FALSE)</f>
        <v>2016</v>
      </c>
      <c r="O541">
        <f>VLOOKUP(A541,[2]cwurData!$B:$P,14,FALSE)</f>
        <v>642</v>
      </c>
      <c r="P541">
        <f>VLOOKUP(A541,[2]cwurData!$B:$N, 3, FALSE)</f>
        <v>186</v>
      </c>
      <c r="Q541">
        <f>VLOOKUP(A541,[2]cwurData!$B:$N, 4, FALSE)</f>
        <v>355</v>
      </c>
      <c r="R541">
        <f>VLOOKUP(A541,[2]cwurData!$B:$N, 5, FALSE)</f>
        <v>478</v>
      </c>
      <c r="S541">
        <f>VLOOKUP(A541,[2]cwurData!$B:$N, 6, FALSE)</f>
        <v>210</v>
      </c>
      <c r="T541">
        <f>VLOOKUP(A541,[2]cwurData!$B:$N, 7, FALSE)</f>
        <v>502</v>
      </c>
      <c r="U541">
        <f>VLOOKUP(A541,[2]cwurData!$B:$N, 8, FALSE)</f>
        <v>484</v>
      </c>
      <c r="V541">
        <f>VLOOKUP(A541,[2]cwurData!$B:$N, 9, FALSE)</f>
        <v>363</v>
      </c>
      <c r="W541">
        <f>VLOOKUP(A541,[2]cwurData!$B:$N, 10, FALSE)</f>
        <v>569</v>
      </c>
      <c r="X541">
        <f>VLOOKUP(A541,[2]cwurData!$B:$N, 11, FALSE)</f>
        <v>637</v>
      </c>
      <c r="Y541">
        <f>VLOOKUP(A541,[2]cwurData!$B:$N, 12, FALSE)</f>
        <v>44.73</v>
      </c>
      <c r="Z541">
        <f>VLOOKUP(A541,[2]cwurData!$B:$N, 13, FALSE)</f>
        <v>2014</v>
      </c>
    </row>
    <row r="542" spans="1:26" x14ac:dyDescent="0.3">
      <c r="A542" t="s">
        <v>533</v>
      </c>
      <c r="B542" t="str">
        <f>IFERROR(VLOOKUP(A542,[1]timesData!$B:$P,2,FALSE),VLOOKUP(A542,[2]cwurData!$B:$P,2,FALSE))</f>
        <v>United States of America</v>
      </c>
      <c r="C542" t="str">
        <f>VLOOKUP(A542,[1]timesData!$B:$P,3,FALSE)</f>
        <v>401-500</v>
      </c>
      <c r="D542" t="str">
        <f>VLOOKUP(A543,[1]timesData!$B:$P,3,FALSE)</f>
        <v>401-500</v>
      </c>
      <c r="E542">
        <f>VLOOKUP(A543,[1]timesData!$B:$P,4,FALSE)</f>
        <v>27.3</v>
      </c>
      <c r="F542">
        <f>VLOOKUP(A543,[1]timesData!$B:$P,5,FALSE)</f>
        <v>11</v>
      </c>
      <c r="G542">
        <f>VLOOKUP(A543,[1]timesData!$B:$P,6,FALSE)</f>
        <v>80.2</v>
      </c>
      <c r="H542">
        <f>VLOOKUP(A543,[1]timesData!$B:$P,7,FALSE)</f>
        <v>28</v>
      </c>
      <c r="I542" t="str">
        <f>VLOOKUP(A543,[1]timesData!$B:$P,8,FALSE)</f>
        <v>-</v>
      </c>
      <c r="J542">
        <f>VLOOKUP(A543,[1]timesData!$B:$P,9,FALSE)</f>
        <v>16589</v>
      </c>
      <c r="K542">
        <f>VLOOKUP(A543,[1]timesData!$B:$P,10,FALSE)</f>
        <v>23</v>
      </c>
      <c r="L542">
        <f>VLOOKUP(A543,[1]timesData!$B:$P,11,FALSE)</f>
        <v>0.04</v>
      </c>
      <c r="M542">
        <f>VLOOKUP(A543,[1]timesData!$B:$P,12,FALSE)</f>
        <v>1.9131944444444444</v>
      </c>
      <c r="N542">
        <f>VLOOKUP(A543,[1]timesData!$B:$P,13,FALSE)</f>
        <v>2016</v>
      </c>
      <c r="O542">
        <f>VLOOKUP(A542,[2]cwurData!$B:$P,14,FALSE)</f>
        <v>644</v>
      </c>
      <c r="P542">
        <f>VLOOKUP(A542,[2]cwurData!$B:$N, 3, FALSE)</f>
        <v>187</v>
      </c>
      <c r="Q542">
        <f>VLOOKUP(A542,[2]cwurData!$B:$N, 4, FALSE)</f>
        <v>269</v>
      </c>
      <c r="R542">
        <f>VLOOKUP(A542,[2]cwurData!$B:$N, 5, FALSE)</f>
        <v>478</v>
      </c>
      <c r="S542">
        <f>VLOOKUP(A542,[2]cwurData!$B:$N, 6, FALSE)</f>
        <v>210</v>
      </c>
      <c r="T542">
        <f>VLOOKUP(A542,[2]cwurData!$B:$N, 7, FALSE)</f>
        <v>943</v>
      </c>
      <c r="U542">
        <f>VLOOKUP(A542,[2]cwurData!$B:$N, 8, FALSE)</f>
        <v>599</v>
      </c>
      <c r="V542">
        <f>VLOOKUP(A542,[2]cwurData!$B:$N, 9, FALSE)</f>
        <v>406</v>
      </c>
      <c r="W542">
        <f>VLOOKUP(A542,[2]cwurData!$B:$N, 10, FALSE)</f>
        <v>703</v>
      </c>
      <c r="X542">
        <f>VLOOKUP(A542,[2]cwurData!$B:$N, 11, FALSE)</f>
        <v>204</v>
      </c>
      <c r="Y542">
        <f>VLOOKUP(A542,[2]cwurData!$B:$N, 12, FALSE)</f>
        <v>44.72</v>
      </c>
      <c r="Z542">
        <f>VLOOKUP(A542,[2]cwurData!$B:$N, 13, FALSE)</f>
        <v>2014</v>
      </c>
    </row>
    <row r="543" spans="1:26" x14ac:dyDescent="0.3">
      <c r="A543" t="s">
        <v>540</v>
      </c>
      <c r="B543" t="str">
        <f>IFERROR(VLOOKUP(A543,[1]timesData!$B:$P,2,FALSE),VLOOKUP(A543,[2]cwurData!$B:$P,2,FALSE))</f>
        <v>Italy</v>
      </c>
      <c r="C543" t="str">
        <f>VLOOKUP(A543,[1]timesData!$B:$P,3,FALSE)</f>
        <v>401-500</v>
      </c>
      <c r="D543" t="str">
        <f>VLOOKUP(A544,[1]timesData!$B:$P,3,FALSE)</f>
        <v>401-500</v>
      </c>
      <c r="E543">
        <f>VLOOKUP(A544,[1]timesData!$B:$P,4,FALSE)</f>
        <v>91.4</v>
      </c>
      <c r="F543">
        <f>VLOOKUP(A544,[1]timesData!$B:$P,5,FALSE)</f>
        <v>14.7</v>
      </c>
      <c r="G543">
        <f>VLOOKUP(A544,[1]timesData!$B:$P,6,FALSE)</f>
        <v>48.2</v>
      </c>
      <c r="H543" t="str">
        <f>VLOOKUP(A544,[1]timesData!$B:$P,7,FALSE)</f>
        <v>-</v>
      </c>
      <c r="I543" t="str">
        <f>VLOOKUP(A544,[1]timesData!$B:$P,8,FALSE)</f>
        <v>-</v>
      </c>
      <c r="J543">
        <f>VLOOKUP(A544,[1]timesData!$B:$P,9,FALSE)</f>
        <v>4358</v>
      </c>
      <c r="K543">
        <f>VLOOKUP(A544,[1]timesData!$B:$P,10,FALSE)</f>
        <v>8.5</v>
      </c>
      <c r="L543">
        <f>VLOOKUP(A544,[1]timesData!$B:$P,11,FALSE)</f>
        <v>0.22</v>
      </c>
      <c r="M543">
        <f>VLOOKUP(A544,[1]timesData!$B:$P,12,FALSE)</f>
        <v>2.4868055555555557</v>
      </c>
      <c r="N543">
        <f>VLOOKUP(A544,[1]timesData!$B:$P,13,FALSE)</f>
        <v>2016</v>
      </c>
      <c r="O543">
        <f>VLOOKUP(A543,[2]cwurData!$B:$P,14,FALSE)</f>
        <v>701</v>
      </c>
      <c r="P543">
        <f>VLOOKUP(A543,[2]cwurData!$B:$N, 3, FALSE)</f>
        <v>38</v>
      </c>
      <c r="Q543">
        <f>VLOOKUP(A543,[2]cwurData!$B:$N, 4, FALSE)</f>
        <v>355</v>
      </c>
      <c r="R543">
        <f>VLOOKUP(A543,[2]cwurData!$B:$N, 5, FALSE)</f>
        <v>478</v>
      </c>
      <c r="S543">
        <f>VLOOKUP(A543,[2]cwurData!$B:$N, 6, FALSE)</f>
        <v>210</v>
      </c>
      <c r="T543">
        <f>VLOOKUP(A543,[2]cwurData!$B:$N, 7, FALSE)</f>
        <v>666</v>
      </c>
      <c r="U543">
        <f>VLOOKUP(A543,[2]cwurData!$B:$N, 8, FALSE)</f>
        <v>639</v>
      </c>
      <c r="V543">
        <f>VLOOKUP(A543,[2]cwurData!$B:$N, 9, FALSE)</f>
        <v>800</v>
      </c>
      <c r="W543">
        <f>VLOOKUP(A543,[2]cwurData!$B:$N, 10, FALSE)</f>
        <v>596</v>
      </c>
      <c r="X543">
        <f>VLOOKUP(A543,[2]cwurData!$B:$N, 11, FALSE)</f>
        <v>737</v>
      </c>
      <c r="Y543">
        <f>VLOOKUP(A543,[2]cwurData!$B:$N, 12, FALSE)</f>
        <v>44.64</v>
      </c>
      <c r="Z543">
        <f>VLOOKUP(A543,[2]cwurData!$B:$N, 13, FALSE)</f>
        <v>2014</v>
      </c>
    </row>
    <row r="544" spans="1:26" x14ac:dyDescent="0.3">
      <c r="A544" t="s">
        <v>545</v>
      </c>
      <c r="B544" t="str">
        <f>IFERROR(VLOOKUP(A544,[1]timesData!$B:$P,2,FALSE),VLOOKUP(A544,[2]cwurData!$B:$P,2,FALSE))</f>
        <v>Switzerland</v>
      </c>
      <c r="C544" t="str">
        <f>VLOOKUP(A544,[1]timesData!$B:$P,3,FALSE)</f>
        <v>401-500</v>
      </c>
      <c r="D544" t="str">
        <f>VLOOKUP(A545,[1]timesData!$B:$P,3,FALSE)</f>
        <v>401-500</v>
      </c>
      <c r="E544">
        <f>VLOOKUP(A545,[1]timesData!$B:$P,4,FALSE)</f>
        <v>76.7</v>
      </c>
      <c r="F544">
        <f>VLOOKUP(A545,[1]timesData!$B:$P,5,FALSE)</f>
        <v>25.2</v>
      </c>
      <c r="G544">
        <f>VLOOKUP(A545,[1]timesData!$B:$P,6,FALSE)</f>
        <v>36.299999999999997</v>
      </c>
      <c r="H544">
        <f>VLOOKUP(A545,[1]timesData!$B:$P,7,FALSE)</f>
        <v>51.7</v>
      </c>
      <c r="I544" t="str">
        <f>VLOOKUP(A545,[1]timesData!$B:$P,8,FALSE)</f>
        <v>-</v>
      </c>
      <c r="J544">
        <f>VLOOKUP(A545,[1]timesData!$B:$P,9,FALSE)</f>
        <v>8546</v>
      </c>
      <c r="K544">
        <f>VLOOKUP(A545,[1]timesData!$B:$P,10,FALSE)</f>
        <v>22.9</v>
      </c>
      <c r="L544">
        <f>VLOOKUP(A545,[1]timesData!$B:$P,11,FALSE)</f>
        <v>0.17</v>
      </c>
      <c r="M544">
        <f>VLOOKUP(A545,[1]timesData!$B:$P,12,FALSE)</f>
        <v>2.1590277777777778</v>
      </c>
      <c r="N544">
        <f>VLOOKUP(A545,[1]timesData!$B:$P,13,FALSE)</f>
        <v>2016</v>
      </c>
      <c r="O544">
        <f>VLOOKUP(A544,[2]cwurData!$B:$P,14,FALSE)</f>
        <v>754</v>
      </c>
      <c r="P544">
        <f>VLOOKUP(A544,[2]cwurData!$B:$N, 3, FALSE)</f>
        <v>9</v>
      </c>
      <c r="Q544">
        <f>VLOOKUP(A544,[2]cwurData!$B:$N, 4, FALSE)</f>
        <v>340</v>
      </c>
      <c r="R544">
        <f>VLOOKUP(A544,[2]cwurData!$B:$N, 5, FALSE)</f>
        <v>478</v>
      </c>
      <c r="S544">
        <f>VLOOKUP(A544,[2]cwurData!$B:$N, 6, FALSE)</f>
        <v>210</v>
      </c>
      <c r="T544">
        <f>VLOOKUP(A544,[2]cwurData!$B:$N, 7, FALSE)</f>
        <v>831</v>
      </c>
      <c r="U544">
        <f>VLOOKUP(A544,[2]cwurData!$B:$N, 8, FALSE)</f>
        <v>631</v>
      </c>
      <c r="V544">
        <f>VLOOKUP(A544,[2]cwurData!$B:$N, 9, FALSE)</f>
        <v>800</v>
      </c>
      <c r="W544">
        <f>VLOOKUP(A544,[2]cwurData!$B:$N, 10, FALSE)</f>
        <v>642</v>
      </c>
      <c r="X544">
        <f>VLOOKUP(A544,[2]cwurData!$B:$N, 11, FALSE)</f>
        <v>637</v>
      </c>
      <c r="Y544">
        <f>VLOOKUP(A544,[2]cwurData!$B:$N, 12, FALSE)</f>
        <v>44.58</v>
      </c>
      <c r="Z544">
        <f>VLOOKUP(A544,[2]cwurData!$B:$N, 13, FALSE)</f>
        <v>2014</v>
      </c>
    </row>
    <row r="545" spans="1:26" x14ac:dyDescent="0.3">
      <c r="A545" t="s">
        <v>529</v>
      </c>
      <c r="B545" t="str">
        <f>IFERROR(VLOOKUP(A545,[1]timesData!$B:$P,2,FALSE),VLOOKUP(A545,[2]cwurData!$B:$P,2,FALSE))</f>
        <v>Republic of Ireland</v>
      </c>
      <c r="C545" t="str">
        <f>VLOOKUP(A545,[1]timesData!$B:$P,3,FALSE)</f>
        <v>401-500</v>
      </c>
      <c r="D545" t="str">
        <f>VLOOKUP(A546,[1]timesData!$B:$P,3,FALSE)</f>
        <v>401-500</v>
      </c>
      <c r="E545">
        <f>VLOOKUP(A546,[1]timesData!$B:$P,4,FALSE)</f>
        <v>82.1</v>
      </c>
      <c r="F545">
        <f>VLOOKUP(A546,[1]timesData!$B:$P,5,FALSE)</f>
        <v>17.7</v>
      </c>
      <c r="G545">
        <f>VLOOKUP(A546,[1]timesData!$B:$P,6,FALSE)</f>
        <v>44.6</v>
      </c>
      <c r="H545">
        <f>VLOOKUP(A546,[1]timesData!$B:$P,7,FALSE)</f>
        <v>37</v>
      </c>
      <c r="I545" t="str">
        <f>VLOOKUP(A546,[1]timesData!$B:$P,8,FALSE)</f>
        <v>-</v>
      </c>
      <c r="J545">
        <f>VLOOKUP(A546,[1]timesData!$B:$P,9,FALSE)</f>
        <v>29501</v>
      </c>
      <c r="K545">
        <f>VLOOKUP(A546,[1]timesData!$B:$P,10,FALSE)</f>
        <v>18.100000000000001</v>
      </c>
      <c r="L545">
        <f>VLOOKUP(A546,[1]timesData!$B:$P,11,FALSE)</f>
        <v>0.25</v>
      </c>
      <c r="M545">
        <f>VLOOKUP(A546,[1]timesData!$B:$P,12,FALSE)</f>
        <v>1.9951388888888888</v>
      </c>
      <c r="N545">
        <f>VLOOKUP(A546,[1]timesData!$B:$P,13,FALSE)</f>
        <v>2016</v>
      </c>
      <c r="O545">
        <f>VLOOKUP(A545,[2]cwurData!$B:$P,14,FALSE)</f>
        <v>819</v>
      </c>
      <c r="P545">
        <f>VLOOKUP(A545,[2]cwurData!$B:$N, 3, FALSE)</f>
        <v>6</v>
      </c>
      <c r="Q545">
        <f>VLOOKUP(A545,[2]cwurData!$B:$N, 4, FALSE)</f>
        <v>355</v>
      </c>
      <c r="R545">
        <f>VLOOKUP(A545,[2]cwurData!$B:$N, 5, FALSE)</f>
        <v>478</v>
      </c>
      <c r="S545">
        <f>VLOOKUP(A545,[2]cwurData!$B:$N, 6, FALSE)</f>
        <v>210</v>
      </c>
      <c r="T545">
        <f>VLOOKUP(A545,[2]cwurData!$B:$N, 7, FALSE)</f>
        <v>807</v>
      </c>
      <c r="U545">
        <f>VLOOKUP(A545,[2]cwurData!$B:$N, 8, FALSE)</f>
        <v>959</v>
      </c>
      <c r="V545">
        <f>VLOOKUP(A545,[2]cwurData!$B:$N, 9, FALSE)</f>
        <v>493</v>
      </c>
      <c r="W545">
        <f>VLOOKUP(A545,[2]cwurData!$B:$N, 10, FALSE)</f>
        <v>843</v>
      </c>
      <c r="X545">
        <f>VLOOKUP(A545,[2]cwurData!$B:$N, 11, FALSE)</f>
        <v>280</v>
      </c>
      <c r="Y545">
        <f>VLOOKUP(A545,[2]cwurData!$B:$N, 12, FALSE)</f>
        <v>44.49</v>
      </c>
      <c r="Z545">
        <f>VLOOKUP(A545,[2]cwurData!$B:$N, 13, FALSE)</f>
        <v>2014</v>
      </c>
    </row>
    <row r="546" spans="1:26" x14ac:dyDescent="0.3">
      <c r="A546" t="s">
        <v>551</v>
      </c>
      <c r="B546" t="str">
        <f>IFERROR(VLOOKUP(A546,[1]timesData!$B:$P,2,FALSE),VLOOKUP(A546,[2]cwurData!$B:$P,2,FALSE))</f>
        <v>Australia</v>
      </c>
      <c r="C546" t="str">
        <f>VLOOKUP(A546,[1]timesData!$B:$P,3,FALSE)</f>
        <v>401-500</v>
      </c>
      <c r="D546" t="str">
        <f>VLOOKUP(A547,[1]timesData!$B:$P,3,FALSE)</f>
        <v>401-500</v>
      </c>
      <c r="E546">
        <f>VLOOKUP(A547,[1]timesData!$B:$P,4,FALSE)</f>
        <v>58</v>
      </c>
      <c r="F546">
        <f>VLOOKUP(A547,[1]timesData!$B:$P,5,FALSE)</f>
        <v>10.6</v>
      </c>
      <c r="G546">
        <f>VLOOKUP(A547,[1]timesData!$B:$P,6,FALSE)</f>
        <v>70.7</v>
      </c>
      <c r="H546">
        <f>VLOOKUP(A547,[1]timesData!$B:$P,7,FALSE)</f>
        <v>28</v>
      </c>
      <c r="I546" t="str">
        <f>VLOOKUP(A547,[1]timesData!$B:$P,8,FALSE)</f>
        <v>-</v>
      </c>
      <c r="J546">
        <f>VLOOKUP(A547,[1]timesData!$B:$P,9,FALSE)</f>
        <v>37340</v>
      </c>
      <c r="K546">
        <f>VLOOKUP(A547,[1]timesData!$B:$P,10,FALSE)</f>
        <v>29.4</v>
      </c>
      <c r="L546">
        <f>VLOOKUP(A547,[1]timesData!$B:$P,11,FALSE)</f>
        <v>0.09</v>
      </c>
      <c r="M546">
        <f>VLOOKUP(A547,[1]timesData!$B:$P,12,FALSE)</f>
        <v>2.1180555555555554</v>
      </c>
      <c r="N546">
        <f>VLOOKUP(A547,[1]timesData!$B:$P,13,FALSE)</f>
        <v>2016</v>
      </c>
      <c r="O546">
        <f>VLOOKUP(A546,[2]cwurData!$B:$P,14,FALSE)</f>
        <v>859</v>
      </c>
      <c r="P546">
        <f>VLOOKUP(A546,[2]cwurData!$B:$N, 3, FALSE)</f>
        <v>23</v>
      </c>
      <c r="Q546">
        <f>VLOOKUP(A546,[2]cwurData!$B:$N, 4, FALSE)</f>
        <v>355</v>
      </c>
      <c r="R546">
        <f>VLOOKUP(A546,[2]cwurData!$B:$N, 5, FALSE)</f>
        <v>478</v>
      </c>
      <c r="S546">
        <f>VLOOKUP(A546,[2]cwurData!$B:$N, 6, FALSE)</f>
        <v>210</v>
      </c>
      <c r="T546">
        <f>VLOOKUP(A546,[2]cwurData!$B:$N, 7, FALSE)</f>
        <v>690</v>
      </c>
      <c r="U546">
        <f>VLOOKUP(A546,[2]cwurData!$B:$N, 8, FALSE)</f>
        <v>959</v>
      </c>
      <c r="V546">
        <f>VLOOKUP(A546,[2]cwurData!$B:$N, 9, FALSE)</f>
        <v>800</v>
      </c>
      <c r="W546">
        <f>VLOOKUP(A546,[2]cwurData!$B:$N, 10, FALSE)</f>
        <v>800</v>
      </c>
      <c r="X546">
        <f>VLOOKUP(A546,[2]cwurData!$B:$N, 11, FALSE)</f>
        <v>637</v>
      </c>
      <c r="Y546">
        <f>VLOOKUP(A546,[2]cwurData!$B:$N, 12, FALSE)</f>
        <v>44.44</v>
      </c>
      <c r="Z546">
        <f>VLOOKUP(A546,[2]cwurData!$B:$N, 13, FALSE)</f>
        <v>2014</v>
      </c>
    </row>
    <row r="547" spans="1:26" x14ac:dyDescent="0.3">
      <c r="A547" t="s">
        <v>539</v>
      </c>
      <c r="B547" t="str">
        <f>IFERROR(VLOOKUP(A547,[1]timesData!$B:$P,2,FALSE),VLOOKUP(A547,[2]cwurData!$B:$P,2,FALSE))</f>
        <v>Uganda</v>
      </c>
      <c r="C547" t="str">
        <f>VLOOKUP(A547,[1]timesData!$B:$P,3,FALSE)</f>
        <v>401-500</v>
      </c>
      <c r="D547" t="str">
        <f>VLOOKUP(A548,[1]timesData!$B:$P,3,FALSE)</f>
        <v>401-500</v>
      </c>
      <c r="E547">
        <f>VLOOKUP(A548,[1]timesData!$B:$P,4,FALSE)</f>
        <v>12.2</v>
      </c>
      <c r="F547">
        <f>VLOOKUP(A548,[1]timesData!$B:$P,5,FALSE)</f>
        <v>26</v>
      </c>
      <c r="G547">
        <f>VLOOKUP(A548,[1]timesData!$B:$P,6,FALSE)</f>
        <v>42.3</v>
      </c>
      <c r="H547">
        <f>VLOOKUP(A548,[1]timesData!$B:$P,7,FALSE)</f>
        <v>61.2</v>
      </c>
      <c r="I547" t="str">
        <f>VLOOKUP(A548,[1]timesData!$B:$P,8,FALSE)</f>
        <v>-</v>
      </c>
      <c r="J547">
        <f>VLOOKUP(A548,[1]timesData!$B:$P,9,FALSE)</f>
        <v>10311</v>
      </c>
      <c r="K547">
        <f>VLOOKUP(A548,[1]timesData!$B:$P,10,FALSE)</f>
        <v>23.9</v>
      </c>
      <c r="L547">
        <f>VLOOKUP(A548,[1]timesData!$B:$P,11,FALSE)</f>
        <v>0</v>
      </c>
      <c r="M547" t="str">
        <f>VLOOKUP(A548,[1]timesData!$B:$P,12,FALSE)</f>
        <v>24 : 76</v>
      </c>
      <c r="N547">
        <f>VLOOKUP(A548,[1]timesData!$B:$P,13,FALSE)</f>
        <v>2016</v>
      </c>
      <c r="O547">
        <f>VLOOKUP(A547,[2]cwurData!$B:$P,14,FALSE)</f>
        <v>891</v>
      </c>
      <c r="P547">
        <f>VLOOKUP(A547,[2]cwurData!$B:$N, 3, FALSE)</f>
        <v>1</v>
      </c>
      <c r="Q547">
        <f>VLOOKUP(A547,[2]cwurData!$B:$N, 4, FALSE)</f>
        <v>355</v>
      </c>
      <c r="R547">
        <f>VLOOKUP(A547,[2]cwurData!$B:$N, 5, FALSE)</f>
        <v>478</v>
      </c>
      <c r="S547">
        <f>VLOOKUP(A547,[2]cwurData!$B:$N, 6, FALSE)</f>
        <v>210</v>
      </c>
      <c r="T547">
        <f>VLOOKUP(A547,[2]cwurData!$B:$N, 7, FALSE)</f>
        <v>915</v>
      </c>
      <c r="U547">
        <f>VLOOKUP(A547,[2]cwurData!$B:$N, 8, FALSE)</f>
        <v>708</v>
      </c>
      <c r="V547">
        <f>VLOOKUP(A547,[2]cwurData!$B:$N, 9, FALSE)</f>
        <v>609</v>
      </c>
      <c r="W547">
        <f>VLOOKUP(A547,[2]cwurData!$B:$N, 10, FALSE)</f>
        <v>832</v>
      </c>
      <c r="X547">
        <f>VLOOKUP(A547,[2]cwurData!$B:$N, 11, FALSE)</f>
        <v>737</v>
      </c>
      <c r="Y547">
        <f>VLOOKUP(A547,[2]cwurData!$B:$N, 12, FALSE)</f>
        <v>44.4</v>
      </c>
      <c r="Z547">
        <f>VLOOKUP(A547,[2]cwurData!$B:$N, 13, FALSE)</f>
        <v>2014</v>
      </c>
    </row>
    <row r="548" spans="1:26" x14ac:dyDescent="0.3">
      <c r="A548" t="s">
        <v>536</v>
      </c>
      <c r="B548" t="str">
        <f>IFERROR(VLOOKUP(A548,[1]timesData!$B:$P,2,FALSE),VLOOKUP(A548,[2]cwurData!$B:$P,2,FALSE))</f>
        <v>Iran</v>
      </c>
      <c r="C548" t="str">
        <f>VLOOKUP(A548,[1]timesData!$B:$P,3,FALSE)</f>
        <v>401-500</v>
      </c>
      <c r="D548" t="str">
        <f>VLOOKUP(A549,[1]timesData!$B:$P,3,FALSE)</f>
        <v>401-500</v>
      </c>
      <c r="E548">
        <f>VLOOKUP(A549,[1]timesData!$B:$P,4,FALSE)</f>
        <v>28.9</v>
      </c>
      <c r="F548">
        <f>VLOOKUP(A549,[1]timesData!$B:$P,5,FALSE)</f>
        <v>16.5</v>
      </c>
      <c r="G548">
        <f>VLOOKUP(A549,[1]timesData!$B:$P,6,FALSE)</f>
        <v>41.1</v>
      </c>
      <c r="H548">
        <f>VLOOKUP(A549,[1]timesData!$B:$P,7,FALSE)</f>
        <v>35.9</v>
      </c>
      <c r="I548" t="str">
        <f>VLOOKUP(A549,[1]timesData!$B:$P,8,FALSE)</f>
        <v>-</v>
      </c>
      <c r="J548">
        <f>VLOOKUP(A549,[1]timesData!$B:$P,9,FALSE)</f>
        <v>11604</v>
      </c>
      <c r="K548">
        <f>VLOOKUP(A549,[1]timesData!$B:$P,10,FALSE)</f>
        <v>12</v>
      </c>
      <c r="L548">
        <f>VLOOKUP(A549,[1]timesData!$B:$P,11,FALSE)</f>
        <v>0.12</v>
      </c>
      <c r="M548">
        <f>VLOOKUP(A549,[1]timesData!$B:$P,12,FALSE)</f>
        <v>2.5277777777777777</v>
      </c>
      <c r="N548">
        <f>VLOOKUP(A549,[1]timesData!$B:$P,13,FALSE)</f>
        <v>2016</v>
      </c>
      <c r="O548">
        <f>VLOOKUP(A548,[2]cwurData!$B:$P,14,FALSE)</f>
        <v>993</v>
      </c>
      <c r="P548">
        <f>VLOOKUP(A548,[2]cwurData!$B:$N, 3, FALSE)</f>
        <v>8</v>
      </c>
      <c r="Q548">
        <f>VLOOKUP(A548,[2]cwurData!$B:$N, 4, FALSE)</f>
        <v>355</v>
      </c>
      <c r="R548">
        <f>VLOOKUP(A548,[2]cwurData!$B:$N, 5, FALSE)</f>
        <v>478</v>
      </c>
      <c r="S548">
        <f>VLOOKUP(A548,[2]cwurData!$B:$N, 6, FALSE)</f>
        <v>210</v>
      </c>
      <c r="T548">
        <f>VLOOKUP(A548,[2]cwurData!$B:$N, 7, FALSE)</f>
        <v>822</v>
      </c>
      <c r="U548">
        <f>VLOOKUP(A548,[2]cwurData!$B:$N, 8, FALSE)</f>
        <v>987</v>
      </c>
      <c r="V548">
        <f>VLOOKUP(A548,[2]cwurData!$B:$N, 9, FALSE)</f>
        <v>493</v>
      </c>
      <c r="W548">
        <f>VLOOKUP(A548,[2]cwurData!$B:$N, 10, FALSE)</f>
        <v>989</v>
      </c>
      <c r="X548">
        <f>VLOOKUP(A548,[2]cwurData!$B:$N, 11, FALSE)</f>
        <v>737</v>
      </c>
      <c r="Y548">
        <f>VLOOKUP(A548,[2]cwurData!$B:$N, 12, FALSE)</f>
        <v>44.25</v>
      </c>
      <c r="Z548">
        <f>VLOOKUP(A548,[2]cwurData!$B:$N, 13, FALSE)</f>
        <v>2014</v>
      </c>
    </row>
    <row r="549" spans="1:26" x14ac:dyDescent="0.3">
      <c r="A549" t="s">
        <v>519</v>
      </c>
      <c r="B549" t="str">
        <f>IFERROR(VLOOKUP(A549,[1]timesData!$B:$P,2,FALSE),VLOOKUP(A549,[2]cwurData!$B:$P,2,FALSE))</f>
        <v>United States of America</v>
      </c>
      <c r="C549" t="str">
        <f>VLOOKUP(A549,[1]timesData!$B:$P,3,FALSE)</f>
        <v>401-500</v>
      </c>
      <c r="D549" t="str">
        <f>VLOOKUP(A550,[1]timesData!$B:$P,3,FALSE)</f>
        <v>401-500</v>
      </c>
      <c r="E549">
        <f>VLOOKUP(A550,[1]timesData!$B:$P,4,FALSE)</f>
        <v>70.599999999999994</v>
      </c>
      <c r="F549">
        <f>VLOOKUP(A550,[1]timesData!$B:$P,5,FALSE)</f>
        <v>12.6</v>
      </c>
      <c r="G549">
        <f>VLOOKUP(A550,[1]timesData!$B:$P,6,FALSE)</f>
        <v>35.200000000000003</v>
      </c>
      <c r="H549">
        <f>VLOOKUP(A550,[1]timesData!$B:$P,7,FALSE)</f>
        <v>28.8</v>
      </c>
      <c r="I549" t="str">
        <f>VLOOKUP(A550,[1]timesData!$B:$P,8,FALSE)</f>
        <v>-</v>
      </c>
      <c r="J549">
        <f>VLOOKUP(A550,[1]timesData!$B:$P,9,FALSE)</f>
        <v>14907</v>
      </c>
      <c r="K549">
        <f>VLOOKUP(A550,[1]timesData!$B:$P,10,FALSE)</f>
        <v>25.9</v>
      </c>
      <c r="L549">
        <f>VLOOKUP(A550,[1]timesData!$B:$P,11,FALSE)</f>
        <v>0.18</v>
      </c>
      <c r="M549">
        <f>VLOOKUP(A550,[1]timesData!$B:$P,12,FALSE)</f>
        <v>2.2409722222222221</v>
      </c>
      <c r="N549">
        <f>VLOOKUP(A550,[1]timesData!$B:$P,13,FALSE)</f>
        <v>2016</v>
      </c>
      <c r="O549" t="e">
        <f>VLOOKUP(A549,[2]cwurData!$B:$P,14,FALSE)</f>
        <v>#N/A</v>
      </c>
      <c r="P549" t="e">
        <f>VLOOKUP(A549,[2]cwurData!$B:$N, 3, FALSE)</f>
        <v>#N/A</v>
      </c>
      <c r="Q549" t="e">
        <f>VLOOKUP(A549,[2]cwurData!$B:$N, 4, FALSE)</f>
        <v>#N/A</v>
      </c>
      <c r="R549" t="e">
        <f>VLOOKUP(A549,[2]cwurData!$B:$N, 5, FALSE)</f>
        <v>#N/A</v>
      </c>
      <c r="S549" t="e">
        <f>VLOOKUP(A549,[2]cwurData!$B:$N, 6, FALSE)</f>
        <v>#N/A</v>
      </c>
      <c r="T549" t="e">
        <f>VLOOKUP(A549,[2]cwurData!$B:$N, 7, FALSE)</f>
        <v>#N/A</v>
      </c>
      <c r="U549" t="e">
        <f>VLOOKUP(A549,[2]cwurData!$B:$N, 8, FALSE)</f>
        <v>#N/A</v>
      </c>
      <c r="V549" t="e">
        <f>VLOOKUP(A549,[2]cwurData!$B:$N, 9, FALSE)</f>
        <v>#N/A</v>
      </c>
      <c r="W549" t="e">
        <f>VLOOKUP(A549,[2]cwurData!$B:$N, 10, FALSE)</f>
        <v>#N/A</v>
      </c>
      <c r="X549" t="e">
        <f>VLOOKUP(A549,[2]cwurData!$B:$N, 11, FALSE)</f>
        <v>#N/A</v>
      </c>
      <c r="Y549" t="e">
        <f>VLOOKUP(A549,[2]cwurData!$B:$N, 12, FALSE)</f>
        <v>#N/A</v>
      </c>
      <c r="Z549" t="e">
        <f>VLOOKUP(A549,[2]cwurData!$B:$N, 13, FALSE)</f>
        <v>#N/A</v>
      </c>
    </row>
    <row r="550" spans="1:26" x14ac:dyDescent="0.3">
      <c r="A550" t="s">
        <v>520</v>
      </c>
      <c r="B550" t="str">
        <f>IFERROR(VLOOKUP(A550,[1]timesData!$B:$P,2,FALSE),VLOOKUP(A550,[2]cwurData!$B:$P,2,FALSE))</f>
        <v>United Kingdom</v>
      </c>
      <c r="C550" t="str">
        <f>VLOOKUP(A550,[1]timesData!$B:$P,3,FALSE)</f>
        <v>401-500</v>
      </c>
      <c r="D550" t="str">
        <f>VLOOKUP(A551,[1]timesData!$B:$P,3,FALSE)</f>
        <v>401-500</v>
      </c>
      <c r="E550">
        <f>VLOOKUP(A551,[1]timesData!$B:$P,4,FALSE)</f>
        <v>35.799999999999997</v>
      </c>
      <c r="F550">
        <f>VLOOKUP(A551,[1]timesData!$B:$P,5,FALSE)</f>
        <v>14.7</v>
      </c>
      <c r="G550">
        <f>VLOOKUP(A551,[1]timesData!$B:$P,6,FALSE)</f>
        <v>55.8</v>
      </c>
      <c r="H550">
        <f>VLOOKUP(A551,[1]timesData!$B:$P,7,FALSE)</f>
        <v>33.700000000000003</v>
      </c>
      <c r="I550" t="str">
        <f>VLOOKUP(A551,[1]timesData!$B:$P,8,FALSE)</f>
        <v>-</v>
      </c>
      <c r="J550">
        <f>VLOOKUP(A551,[1]timesData!$B:$P,9,FALSE)</f>
        <v>23694</v>
      </c>
      <c r="K550">
        <f>VLOOKUP(A551,[1]timesData!$B:$P,10,FALSE)</f>
        <v>21.3</v>
      </c>
      <c r="L550">
        <f>VLOOKUP(A551,[1]timesData!$B:$P,11,FALSE)</f>
        <v>0.15</v>
      </c>
      <c r="M550" t="str">
        <f>VLOOKUP(A551,[1]timesData!$B:$P,12,FALSE)</f>
        <v>27 : 73</v>
      </c>
      <c r="N550">
        <f>VLOOKUP(A551,[1]timesData!$B:$P,13,FALSE)</f>
        <v>2016</v>
      </c>
      <c r="O550" t="e">
        <f>VLOOKUP(A550,[2]cwurData!$B:$P,14,FALSE)</f>
        <v>#N/A</v>
      </c>
      <c r="P550" t="e">
        <f>VLOOKUP(A550,[2]cwurData!$B:$N, 3, FALSE)</f>
        <v>#N/A</v>
      </c>
      <c r="Q550" t="e">
        <f>VLOOKUP(A550,[2]cwurData!$B:$N, 4, FALSE)</f>
        <v>#N/A</v>
      </c>
      <c r="R550" t="e">
        <f>VLOOKUP(A550,[2]cwurData!$B:$N, 5, FALSE)</f>
        <v>#N/A</v>
      </c>
      <c r="S550" t="e">
        <f>VLOOKUP(A550,[2]cwurData!$B:$N, 6, FALSE)</f>
        <v>#N/A</v>
      </c>
      <c r="T550" t="e">
        <f>VLOOKUP(A550,[2]cwurData!$B:$N, 7, FALSE)</f>
        <v>#N/A</v>
      </c>
      <c r="U550" t="e">
        <f>VLOOKUP(A550,[2]cwurData!$B:$N, 8, FALSE)</f>
        <v>#N/A</v>
      </c>
      <c r="V550" t="e">
        <f>VLOOKUP(A550,[2]cwurData!$B:$N, 9, FALSE)</f>
        <v>#N/A</v>
      </c>
      <c r="W550" t="e">
        <f>VLOOKUP(A550,[2]cwurData!$B:$N, 10, FALSE)</f>
        <v>#N/A</v>
      </c>
      <c r="X550" t="e">
        <f>VLOOKUP(A550,[2]cwurData!$B:$N, 11, FALSE)</f>
        <v>#N/A</v>
      </c>
      <c r="Y550" t="e">
        <f>VLOOKUP(A550,[2]cwurData!$B:$N, 12, FALSE)</f>
        <v>#N/A</v>
      </c>
      <c r="Z550" t="e">
        <f>VLOOKUP(A550,[2]cwurData!$B:$N, 13, FALSE)</f>
        <v>#N/A</v>
      </c>
    </row>
    <row r="551" spans="1:26" x14ac:dyDescent="0.3">
      <c r="A551" t="s">
        <v>522</v>
      </c>
      <c r="B551" t="str">
        <f>IFERROR(VLOOKUP(A551,[1]timesData!$B:$P,2,FALSE),VLOOKUP(A551,[2]cwurData!$B:$P,2,FALSE))</f>
        <v>Czech Republic</v>
      </c>
      <c r="C551" t="str">
        <f>VLOOKUP(A551,[1]timesData!$B:$P,3,FALSE)</f>
        <v>401-500</v>
      </c>
      <c r="D551" t="str">
        <f>VLOOKUP(A552,[1]timesData!$B:$P,3,FALSE)</f>
        <v>401-500</v>
      </c>
      <c r="E551">
        <f>VLOOKUP(A552,[1]timesData!$B:$P,4,FALSE)</f>
        <v>38.1</v>
      </c>
      <c r="F551">
        <f>VLOOKUP(A552,[1]timesData!$B:$P,5,FALSE)</f>
        <v>27.8</v>
      </c>
      <c r="G551">
        <f>VLOOKUP(A552,[1]timesData!$B:$P,6,FALSE)</f>
        <v>48.9</v>
      </c>
      <c r="H551">
        <f>VLOOKUP(A552,[1]timesData!$B:$P,7,FALSE)</f>
        <v>32.299999999999997</v>
      </c>
      <c r="I551" t="str">
        <f>VLOOKUP(A552,[1]timesData!$B:$P,8,FALSE)</f>
        <v>-</v>
      </c>
      <c r="J551">
        <f>VLOOKUP(A552,[1]timesData!$B:$P,9,FALSE)</f>
        <v>19267</v>
      </c>
      <c r="K551">
        <f>VLOOKUP(A552,[1]timesData!$B:$P,10,FALSE)</f>
        <v>38.299999999999997</v>
      </c>
      <c r="L551">
        <f>VLOOKUP(A552,[1]timesData!$B:$P,11,FALSE)</f>
        <v>7.0000000000000007E-2</v>
      </c>
      <c r="M551">
        <f>VLOOKUP(A552,[1]timesData!$B:$P,12,FALSE)</f>
        <v>2.7736111111111112</v>
      </c>
      <c r="N551">
        <f>VLOOKUP(A552,[1]timesData!$B:$P,13,FALSE)</f>
        <v>2016</v>
      </c>
      <c r="O551" t="e">
        <f>VLOOKUP(A551,[2]cwurData!$B:$P,14,FALSE)</f>
        <v>#N/A</v>
      </c>
      <c r="P551" t="e">
        <f>VLOOKUP(A551,[2]cwurData!$B:$N, 3, FALSE)</f>
        <v>#N/A</v>
      </c>
      <c r="Q551" t="e">
        <f>VLOOKUP(A551,[2]cwurData!$B:$N, 4, FALSE)</f>
        <v>#N/A</v>
      </c>
      <c r="R551" t="e">
        <f>VLOOKUP(A551,[2]cwurData!$B:$N, 5, FALSE)</f>
        <v>#N/A</v>
      </c>
      <c r="S551" t="e">
        <f>VLOOKUP(A551,[2]cwurData!$B:$N, 6, FALSE)</f>
        <v>#N/A</v>
      </c>
      <c r="T551" t="e">
        <f>VLOOKUP(A551,[2]cwurData!$B:$N, 7, FALSE)</f>
        <v>#N/A</v>
      </c>
      <c r="U551" t="e">
        <f>VLOOKUP(A551,[2]cwurData!$B:$N, 8, FALSE)</f>
        <v>#N/A</v>
      </c>
      <c r="V551" t="e">
        <f>VLOOKUP(A551,[2]cwurData!$B:$N, 9, FALSE)</f>
        <v>#N/A</v>
      </c>
      <c r="W551" t="e">
        <f>VLOOKUP(A551,[2]cwurData!$B:$N, 10, FALSE)</f>
        <v>#N/A</v>
      </c>
      <c r="X551" t="e">
        <f>VLOOKUP(A551,[2]cwurData!$B:$N, 11, FALSE)</f>
        <v>#N/A</v>
      </c>
      <c r="Y551" t="e">
        <f>VLOOKUP(A551,[2]cwurData!$B:$N, 12, FALSE)</f>
        <v>#N/A</v>
      </c>
      <c r="Z551" t="e">
        <f>VLOOKUP(A551,[2]cwurData!$B:$N, 13, FALSE)</f>
        <v>#N/A</v>
      </c>
    </row>
    <row r="552" spans="1:26" x14ac:dyDescent="0.3">
      <c r="A552" t="s">
        <v>523</v>
      </c>
      <c r="B552" t="str">
        <f>IFERROR(VLOOKUP(A552,[1]timesData!$B:$P,2,FALSE),VLOOKUP(A552,[2]cwurData!$B:$P,2,FALSE))</f>
        <v>Italy</v>
      </c>
      <c r="C552" t="str">
        <f>VLOOKUP(A552,[1]timesData!$B:$P,3,FALSE)</f>
        <v>401-500</v>
      </c>
      <c r="D552" t="str">
        <f>VLOOKUP(A553,[1]timesData!$B:$P,3,FALSE)</f>
        <v>401-500</v>
      </c>
      <c r="E552">
        <f>VLOOKUP(A553,[1]timesData!$B:$P,4,FALSE)</f>
        <v>26.1</v>
      </c>
      <c r="F552">
        <f>VLOOKUP(A553,[1]timesData!$B:$P,5,FALSE)</f>
        <v>27.7</v>
      </c>
      <c r="G552">
        <f>VLOOKUP(A553,[1]timesData!$B:$P,6,FALSE)</f>
        <v>37.799999999999997</v>
      </c>
      <c r="H552" t="str">
        <f>VLOOKUP(A553,[1]timesData!$B:$P,7,FALSE)</f>
        <v>-</v>
      </c>
      <c r="I552" t="str">
        <f>VLOOKUP(A553,[1]timesData!$B:$P,8,FALSE)</f>
        <v>-</v>
      </c>
      <c r="J552">
        <f>VLOOKUP(A553,[1]timesData!$B:$P,9,FALSE)</f>
        <v>28116</v>
      </c>
      <c r="K552">
        <f>VLOOKUP(A553,[1]timesData!$B:$P,10,FALSE)</f>
        <v>20.100000000000001</v>
      </c>
      <c r="L552">
        <f>VLOOKUP(A553,[1]timesData!$B:$P,11,FALSE)</f>
        <v>0.06</v>
      </c>
      <c r="M552">
        <f>VLOOKUP(A553,[1]timesData!$B:$P,12,FALSE)</f>
        <v>2.2000000000000002</v>
      </c>
      <c r="N552">
        <f>VLOOKUP(A553,[1]timesData!$B:$P,13,FALSE)</f>
        <v>2016</v>
      </c>
      <c r="O552" t="e">
        <f>VLOOKUP(A552,[2]cwurData!$B:$P,14,FALSE)</f>
        <v>#N/A</v>
      </c>
      <c r="P552" t="e">
        <f>VLOOKUP(A552,[2]cwurData!$B:$N, 3, FALSE)</f>
        <v>#N/A</v>
      </c>
      <c r="Q552" t="e">
        <f>VLOOKUP(A552,[2]cwurData!$B:$N, 4, FALSE)</f>
        <v>#N/A</v>
      </c>
      <c r="R552" t="e">
        <f>VLOOKUP(A552,[2]cwurData!$B:$N, 5, FALSE)</f>
        <v>#N/A</v>
      </c>
      <c r="S552" t="e">
        <f>VLOOKUP(A552,[2]cwurData!$B:$N, 6, FALSE)</f>
        <v>#N/A</v>
      </c>
      <c r="T552" t="e">
        <f>VLOOKUP(A552,[2]cwurData!$B:$N, 7, FALSE)</f>
        <v>#N/A</v>
      </c>
      <c r="U552" t="e">
        <f>VLOOKUP(A552,[2]cwurData!$B:$N, 8, FALSE)</f>
        <v>#N/A</v>
      </c>
      <c r="V552" t="e">
        <f>VLOOKUP(A552,[2]cwurData!$B:$N, 9, FALSE)</f>
        <v>#N/A</v>
      </c>
      <c r="W552" t="e">
        <f>VLOOKUP(A552,[2]cwurData!$B:$N, 10, FALSE)</f>
        <v>#N/A</v>
      </c>
      <c r="X552" t="e">
        <f>VLOOKUP(A552,[2]cwurData!$B:$N, 11, FALSE)</f>
        <v>#N/A</v>
      </c>
      <c r="Y552" t="e">
        <f>VLOOKUP(A552,[2]cwurData!$B:$N, 12, FALSE)</f>
        <v>#N/A</v>
      </c>
      <c r="Z552" t="e">
        <f>VLOOKUP(A552,[2]cwurData!$B:$N, 13, FALSE)</f>
        <v>#N/A</v>
      </c>
    </row>
    <row r="553" spans="1:26" x14ac:dyDescent="0.3">
      <c r="A553" t="s">
        <v>538</v>
      </c>
      <c r="B553" t="str">
        <f>IFERROR(VLOOKUP(A553,[1]timesData!$B:$P,2,FALSE),VLOOKUP(A553,[2]cwurData!$B:$P,2,FALSE))</f>
        <v>United States of America</v>
      </c>
      <c r="C553" t="str">
        <f>VLOOKUP(A553,[1]timesData!$B:$P,3,FALSE)</f>
        <v>401-500</v>
      </c>
      <c r="D553" t="str">
        <f>VLOOKUP(A554,[1]timesData!$B:$P,3,FALSE)</f>
        <v>401-500</v>
      </c>
      <c r="E553">
        <f>VLOOKUP(A554,[1]timesData!$B:$P,4,FALSE)</f>
        <v>63.6</v>
      </c>
      <c r="F553">
        <f>VLOOKUP(A554,[1]timesData!$B:$P,5,FALSE)</f>
        <v>10.6</v>
      </c>
      <c r="G553">
        <f>VLOOKUP(A554,[1]timesData!$B:$P,6,FALSE)</f>
        <v>41.8</v>
      </c>
      <c r="H553">
        <f>VLOOKUP(A554,[1]timesData!$B:$P,7,FALSE)</f>
        <v>40.299999999999997</v>
      </c>
      <c r="I553" t="str">
        <f>VLOOKUP(A554,[1]timesData!$B:$P,8,FALSE)</f>
        <v>-</v>
      </c>
      <c r="J553">
        <f>VLOOKUP(A554,[1]timesData!$B:$P,9,FALSE)</f>
        <v>6137</v>
      </c>
      <c r="K553">
        <f>VLOOKUP(A554,[1]timesData!$B:$P,10,FALSE)</f>
        <v>8.1999999999999993</v>
      </c>
      <c r="L553">
        <f>VLOOKUP(A554,[1]timesData!$B:$P,11,FALSE)</f>
        <v>0.31</v>
      </c>
      <c r="M553" t="str">
        <f>VLOOKUP(A554,[1]timesData!$B:$P,12,FALSE)</f>
        <v>31 : 69</v>
      </c>
      <c r="N553">
        <f>VLOOKUP(A554,[1]timesData!$B:$P,13,FALSE)</f>
        <v>2016</v>
      </c>
      <c r="O553" t="e">
        <f>VLOOKUP(A553,[2]cwurData!$B:$P,14,FALSE)</f>
        <v>#N/A</v>
      </c>
      <c r="P553" t="e">
        <f>VLOOKUP(A553,[2]cwurData!$B:$N, 3, FALSE)</f>
        <v>#N/A</v>
      </c>
      <c r="Q553" t="e">
        <f>VLOOKUP(A553,[2]cwurData!$B:$N, 4, FALSE)</f>
        <v>#N/A</v>
      </c>
      <c r="R553" t="e">
        <f>VLOOKUP(A553,[2]cwurData!$B:$N, 5, FALSE)</f>
        <v>#N/A</v>
      </c>
      <c r="S553" t="e">
        <f>VLOOKUP(A553,[2]cwurData!$B:$N, 6, FALSE)</f>
        <v>#N/A</v>
      </c>
      <c r="T553" t="e">
        <f>VLOOKUP(A553,[2]cwurData!$B:$N, 7, FALSE)</f>
        <v>#N/A</v>
      </c>
      <c r="U553" t="e">
        <f>VLOOKUP(A553,[2]cwurData!$B:$N, 8, FALSE)</f>
        <v>#N/A</v>
      </c>
      <c r="V553" t="e">
        <f>VLOOKUP(A553,[2]cwurData!$B:$N, 9, FALSE)</f>
        <v>#N/A</v>
      </c>
      <c r="W553" t="e">
        <f>VLOOKUP(A553,[2]cwurData!$B:$N, 10, FALSE)</f>
        <v>#N/A</v>
      </c>
      <c r="X553" t="e">
        <f>VLOOKUP(A553,[2]cwurData!$B:$N, 11, FALSE)</f>
        <v>#N/A</v>
      </c>
      <c r="Y553" t="e">
        <f>VLOOKUP(A553,[2]cwurData!$B:$N, 12, FALSE)</f>
        <v>#N/A</v>
      </c>
      <c r="Z553" t="e">
        <f>VLOOKUP(A553,[2]cwurData!$B:$N, 13, FALSE)</f>
        <v>#N/A</v>
      </c>
    </row>
    <row r="554" spans="1:26" x14ac:dyDescent="0.3">
      <c r="A554" t="s">
        <v>543</v>
      </c>
      <c r="B554" t="str">
        <f>IFERROR(VLOOKUP(A554,[1]timesData!$B:$P,2,FALSE),VLOOKUP(A554,[2]cwurData!$B:$P,2,FALSE))</f>
        <v>France</v>
      </c>
      <c r="C554" t="str">
        <f>VLOOKUP(A554,[1]timesData!$B:$P,3,FALSE)</f>
        <v>401-500</v>
      </c>
      <c r="D554" t="str">
        <f>VLOOKUP(A555,[1]timesData!$B:$P,3,FALSE)</f>
        <v>401-500</v>
      </c>
      <c r="E554">
        <f>VLOOKUP(A555,[1]timesData!$B:$P,4,FALSE)</f>
        <v>68.900000000000006</v>
      </c>
      <c r="F554">
        <f>VLOOKUP(A555,[1]timesData!$B:$P,5,FALSE)</f>
        <v>18.8</v>
      </c>
      <c r="G554">
        <f>VLOOKUP(A555,[1]timesData!$B:$P,6,FALSE)</f>
        <v>42.7</v>
      </c>
      <c r="H554">
        <f>VLOOKUP(A555,[1]timesData!$B:$P,7,FALSE)</f>
        <v>28.4</v>
      </c>
      <c r="I554" t="str">
        <f>VLOOKUP(A555,[1]timesData!$B:$P,8,FALSE)</f>
        <v>-</v>
      </c>
      <c r="J554">
        <f>VLOOKUP(A555,[1]timesData!$B:$P,9,FALSE)</f>
        <v>14238</v>
      </c>
      <c r="K554">
        <f>VLOOKUP(A555,[1]timesData!$B:$P,10,FALSE)</f>
        <v>18.5</v>
      </c>
      <c r="L554">
        <f>VLOOKUP(A555,[1]timesData!$B:$P,11,FALSE)</f>
        <v>0.25</v>
      </c>
      <c r="M554">
        <f>VLOOKUP(A555,[1]timesData!$B:$P,12,FALSE)</f>
        <v>2.4048611111111109</v>
      </c>
      <c r="N554">
        <f>VLOOKUP(A555,[1]timesData!$B:$P,13,FALSE)</f>
        <v>2016</v>
      </c>
      <c r="O554" t="e">
        <f>VLOOKUP(A554,[2]cwurData!$B:$P,14,FALSE)</f>
        <v>#N/A</v>
      </c>
      <c r="P554" t="e">
        <f>VLOOKUP(A554,[2]cwurData!$B:$N, 3, FALSE)</f>
        <v>#N/A</v>
      </c>
      <c r="Q554" t="e">
        <f>VLOOKUP(A554,[2]cwurData!$B:$N, 4, FALSE)</f>
        <v>#N/A</v>
      </c>
      <c r="R554" t="e">
        <f>VLOOKUP(A554,[2]cwurData!$B:$N, 5, FALSE)</f>
        <v>#N/A</v>
      </c>
      <c r="S554" t="e">
        <f>VLOOKUP(A554,[2]cwurData!$B:$N, 6, FALSE)</f>
        <v>#N/A</v>
      </c>
      <c r="T554" t="e">
        <f>VLOOKUP(A554,[2]cwurData!$B:$N, 7, FALSE)</f>
        <v>#N/A</v>
      </c>
      <c r="U554" t="e">
        <f>VLOOKUP(A554,[2]cwurData!$B:$N, 8, FALSE)</f>
        <v>#N/A</v>
      </c>
      <c r="V554" t="e">
        <f>VLOOKUP(A554,[2]cwurData!$B:$N, 9, FALSE)</f>
        <v>#N/A</v>
      </c>
      <c r="W554" t="e">
        <f>VLOOKUP(A554,[2]cwurData!$B:$N, 10, FALSE)</f>
        <v>#N/A</v>
      </c>
      <c r="X554" t="e">
        <f>VLOOKUP(A554,[2]cwurData!$B:$N, 11, FALSE)</f>
        <v>#N/A</v>
      </c>
      <c r="Y554" t="e">
        <f>VLOOKUP(A554,[2]cwurData!$B:$N, 12, FALSE)</f>
        <v>#N/A</v>
      </c>
      <c r="Z554" t="e">
        <f>VLOOKUP(A554,[2]cwurData!$B:$N, 13, FALSE)</f>
        <v>#N/A</v>
      </c>
    </row>
    <row r="555" spans="1:26" x14ac:dyDescent="0.3">
      <c r="A555" t="s">
        <v>548</v>
      </c>
      <c r="B555" t="str">
        <f>IFERROR(VLOOKUP(A555,[1]timesData!$B:$P,2,FALSE),VLOOKUP(A555,[2]cwurData!$B:$P,2,FALSE))</f>
        <v>United Kingdom</v>
      </c>
      <c r="C555" t="str">
        <f>VLOOKUP(A555,[1]timesData!$B:$P,3,FALSE)</f>
        <v>401-500</v>
      </c>
      <c r="D555" t="str">
        <f>VLOOKUP(A556,[1]timesData!$B:$P,3,FALSE)</f>
        <v>401-500</v>
      </c>
      <c r="E555">
        <f>VLOOKUP(A556,[1]timesData!$B:$P,4,FALSE)</f>
        <v>52.7</v>
      </c>
      <c r="F555">
        <f>VLOOKUP(A556,[1]timesData!$B:$P,5,FALSE)</f>
        <v>18.3</v>
      </c>
      <c r="G555">
        <f>VLOOKUP(A556,[1]timesData!$B:$P,6,FALSE)</f>
        <v>53.3</v>
      </c>
      <c r="H555">
        <f>VLOOKUP(A556,[1]timesData!$B:$P,7,FALSE)</f>
        <v>37.700000000000003</v>
      </c>
      <c r="I555" t="str">
        <f>VLOOKUP(A556,[1]timesData!$B:$P,8,FALSE)</f>
        <v>-</v>
      </c>
      <c r="J555">
        <f>VLOOKUP(A556,[1]timesData!$B:$P,9,FALSE)</f>
        <v>9026</v>
      </c>
      <c r="K555">
        <f>VLOOKUP(A556,[1]timesData!$B:$P,10,FALSE)</f>
        <v>32.799999999999997</v>
      </c>
      <c r="L555">
        <f>VLOOKUP(A556,[1]timesData!$B:$P,11,FALSE)</f>
        <v>0.15</v>
      </c>
      <c r="M555">
        <f>VLOOKUP(A556,[1]timesData!$B:$P,12,FALSE)</f>
        <v>2.7736111111111112</v>
      </c>
      <c r="N555">
        <f>VLOOKUP(A556,[1]timesData!$B:$P,13,FALSE)</f>
        <v>2016</v>
      </c>
      <c r="O555" t="e">
        <f>VLOOKUP(A555,[2]cwurData!$B:$P,14,FALSE)</f>
        <v>#N/A</v>
      </c>
      <c r="P555" t="e">
        <f>VLOOKUP(A555,[2]cwurData!$B:$N, 3, FALSE)</f>
        <v>#N/A</v>
      </c>
      <c r="Q555" t="e">
        <f>VLOOKUP(A555,[2]cwurData!$B:$N, 4, FALSE)</f>
        <v>#N/A</v>
      </c>
      <c r="R555" t="e">
        <f>VLOOKUP(A555,[2]cwurData!$B:$N, 5, FALSE)</f>
        <v>#N/A</v>
      </c>
      <c r="S555" t="e">
        <f>VLOOKUP(A555,[2]cwurData!$B:$N, 6, FALSE)</f>
        <v>#N/A</v>
      </c>
      <c r="T555" t="e">
        <f>VLOOKUP(A555,[2]cwurData!$B:$N, 7, FALSE)</f>
        <v>#N/A</v>
      </c>
      <c r="U555" t="e">
        <f>VLOOKUP(A555,[2]cwurData!$B:$N, 8, FALSE)</f>
        <v>#N/A</v>
      </c>
      <c r="V555" t="e">
        <f>VLOOKUP(A555,[2]cwurData!$B:$N, 9, FALSE)</f>
        <v>#N/A</v>
      </c>
      <c r="W555" t="e">
        <f>VLOOKUP(A555,[2]cwurData!$B:$N, 10, FALSE)</f>
        <v>#N/A</v>
      </c>
      <c r="X555" t="e">
        <f>VLOOKUP(A555,[2]cwurData!$B:$N, 11, FALSE)</f>
        <v>#N/A</v>
      </c>
      <c r="Y555" t="e">
        <f>VLOOKUP(A555,[2]cwurData!$B:$N, 12, FALSE)</f>
        <v>#N/A</v>
      </c>
      <c r="Z555" t="e">
        <f>VLOOKUP(A555,[2]cwurData!$B:$N, 13, FALSE)</f>
        <v>#N/A</v>
      </c>
    </row>
    <row r="556" spans="1:26" x14ac:dyDescent="0.3">
      <c r="A556" t="s">
        <v>556</v>
      </c>
      <c r="B556" t="str">
        <f>IFERROR(VLOOKUP(A556,[1]timesData!$B:$P,2,FALSE),VLOOKUP(A556,[2]cwurData!$B:$P,2,FALSE))</f>
        <v>Australia</v>
      </c>
      <c r="C556" t="str">
        <f>VLOOKUP(A556,[1]timesData!$B:$P,3,FALSE)</f>
        <v>401-500</v>
      </c>
      <c r="D556" t="str">
        <f>VLOOKUP(A557,[1]timesData!$B:$P,3,FALSE)</f>
        <v>401-500</v>
      </c>
      <c r="E556">
        <f>VLOOKUP(A557,[1]timesData!$B:$P,4,FALSE)</f>
        <v>51.5</v>
      </c>
      <c r="F556">
        <f>VLOOKUP(A557,[1]timesData!$B:$P,5,FALSE)</f>
        <v>13.8</v>
      </c>
      <c r="G556">
        <f>VLOOKUP(A557,[1]timesData!$B:$P,6,FALSE)</f>
        <v>60.3</v>
      </c>
      <c r="H556">
        <f>VLOOKUP(A557,[1]timesData!$B:$P,7,FALSE)</f>
        <v>28.4</v>
      </c>
      <c r="I556" t="str">
        <f>VLOOKUP(A557,[1]timesData!$B:$P,8,FALSE)</f>
        <v>-</v>
      </c>
      <c r="J556">
        <f>VLOOKUP(A557,[1]timesData!$B:$P,9,FALSE)</f>
        <v>76683</v>
      </c>
      <c r="K556">
        <f>VLOOKUP(A557,[1]timesData!$B:$P,10,FALSE)</f>
        <v>35.9</v>
      </c>
      <c r="L556">
        <f>VLOOKUP(A557,[1]timesData!$B:$P,11,FALSE)</f>
        <v>0.09</v>
      </c>
      <c r="M556">
        <f>VLOOKUP(A557,[1]timesData!$B:$P,12,FALSE)</f>
        <v>2.5687500000000001</v>
      </c>
      <c r="N556">
        <f>VLOOKUP(A557,[1]timesData!$B:$P,13,FALSE)</f>
        <v>2016</v>
      </c>
      <c r="O556" t="e">
        <f>VLOOKUP(A556,[2]cwurData!$B:$P,14,FALSE)</f>
        <v>#N/A</v>
      </c>
      <c r="P556" t="e">
        <f>VLOOKUP(A556,[2]cwurData!$B:$N, 3, FALSE)</f>
        <v>#N/A</v>
      </c>
      <c r="Q556" t="e">
        <f>VLOOKUP(A556,[2]cwurData!$B:$N, 4, FALSE)</f>
        <v>#N/A</v>
      </c>
      <c r="R556" t="e">
        <f>VLOOKUP(A556,[2]cwurData!$B:$N, 5, FALSE)</f>
        <v>#N/A</v>
      </c>
      <c r="S556" t="e">
        <f>VLOOKUP(A556,[2]cwurData!$B:$N, 6, FALSE)</f>
        <v>#N/A</v>
      </c>
      <c r="T556" t="e">
        <f>VLOOKUP(A556,[2]cwurData!$B:$N, 7, FALSE)</f>
        <v>#N/A</v>
      </c>
      <c r="U556" t="e">
        <f>VLOOKUP(A556,[2]cwurData!$B:$N, 8, FALSE)</f>
        <v>#N/A</v>
      </c>
      <c r="V556" t="e">
        <f>VLOOKUP(A556,[2]cwurData!$B:$N, 9, FALSE)</f>
        <v>#N/A</v>
      </c>
      <c r="W556" t="e">
        <f>VLOOKUP(A556,[2]cwurData!$B:$N, 10, FALSE)</f>
        <v>#N/A</v>
      </c>
      <c r="X556" t="e">
        <f>VLOOKUP(A556,[2]cwurData!$B:$N, 11, FALSE)</f>
        <v>#N/A</v>
      </c>
      <c r="Y556" t="e">
        <f>VLOOKUP(A556,[2]cwurData!$B:$N, 12, FALSE)</f>
        <v>#N/A</v>
      </c>
      <c r="Z556" t="e">
        <f>VLOOKUP(A556,[2]cwurData!$B:$N, 13, FALSE)</f>
        <v>#N/A</v>
      </c>
    </row>
    <row r="557" spans="1:26" x14ac:dyDescent="0.3">
      <c r="A557" t="s">
        <v>547</v>
      </c>
      <c r="B557" t="str">
        <f>IFERROR(VLOOKUP(A557,[1]timesData!$B:$P,2,FALSE),VLOOKUP(A557,[2]cwurData!$B:$P,2,FALSE))</f>
        <v>United Kingdom</v>
      </c>
      <c r="C557" t="str">
        <f>VLOOKUP(A557,[1]timesData!$B:$P,3,FALSE)</f>
        <v>401-500</v>
      </c>
      <c r="D557" t="str">
        <f>VLOOKUP(A558,[1]timesData!$B:$P,3,FALSE)</f>
        <v>401-500</v>
      </c>
      <c r="E557">
        <f>VLOOKUP(A558,[1]timesData!$B:$P,4,FALSE)</f>
        <v>79</v>
      </c>
      <c r="F557">
        <f>VLOOKUP(A558,[1]timesData!$B:$P,5,FALSE)</f>
        <v>13.2</v>
      </c>
      <c r="G557">
        <f>VLOOKUP(A558,[1]timesData!$B:$P,6,FALSE)</f>
        <v>44.1</v>
      </c>
      <c r="H557">
        <f>VLOOKUP(A558,[1]timesData!$B:$P,7,FALSE)</f>
        <v>29.2</v>
      </c>
      <c r="I557" t="str">
        <f>VLOOKUP(A558,[1]timesData!$B:$P,8,FALSE)</f>
        <v>-</v>
      </c>
      <c r="J557">
        <f>VLOOKUP(A558,[1]timesData!$B:$P,9,FALSE)</f>
        <v>19622</v>
      </c>
      <c r="K557">
        <f>VLOOKUP(A558,[1]timesData!$B:$P,10,FALSE)</f>
        <v>15.8</v>
      </c>
      <c r="L557">
        <f>VLOOKUP(A558,[1]timesData!$B:$P,11,FALSE)</f>
        <v>0.15</v>
      </c>
      <c r="M557">
        <f>VLOOKUP(A558,[1]timesData!$B:$P,12,FALSE)</f>
        <v>2.3229166666666665</v>
      </c>
      <c r="N557">
        <f>VLOOKUP(A558,[1]timesData!$B:$P,13,FALSE)</f>
        <v>2016</v>
      </c>
      <c r="O557" t="e">
        <f>VLOOKUP(A557,[2]cwurData!$B:$P,14,FALSE)</f>
        <v>#N/A</v>
      </c>
      <c r="P557" t="e">
        <f>VLOOKUP(A557,[2]cwurData!$B:$N, 3, FALSE)</f>
        <v>#N/A</v>
      </c>
      <c r="Q557" t="e">
        <f>VLOOKUP(A557,[2]cwurData!$B:$N, 4, FALSE)</f>
        <v>#N/A</v>
      </c>
      <c r="R557" t="e">
        <f>VLOOKUP(A557,[2]cwurData!$B:$N, 5, FALSE)</f>
        <v>#N/A</v>
      </c>
      <c r="S557" t="e">
        <f>VLOOKUP(A557,[2]cwurData!$B:$N, 6, FALSE)</f>
        <v>#N/A</v>
      </c>
      <c r="T557" t="e">
        <f>VLOOKUP(A557,[2]cwurData!$B:$N, 7, FALSE)</f>
        <v>#N/A</v>
      </c>
      <c r="U557" t="e">
        <f>VLOOKUP(A557,[2]cwurData!$B:$N, 8, FALSE)</f>
        <v>#N/A</v>
      </c>
      <c r="V557" t="e">
        <f>VLOOKUP(A557,[2]cwurData!$B:$N, 9, FALSE)</f>
        <v>#N/A</v>
      </c>
      <c r="W557" t="e">
        <f>VLOOKUP(A557,[2]cwurData!$B:$N, 10, FALSE)</f>
        <v>#N/A</v>
      </c>
      <c r="X557" t="e">
        <f>VLOOKUP(A557,[2]cwurData!$B:$N, 11, FALSE)</f>
        <v>#N/A</v>
      </c>
      <c r="Y557" t="e">
        <f>VLOOKUP(A557,[2]cwurData!$B:$N, 12, FALSE)</f>
        <v>#N/A</v>
      </c>
      <c r="Z557" t="e">
        <f>VLOOKUP(A557,[2]cwurData!$B:$N, 13, FALSE)</f>
        <v>#N/A</v>
      </c>
    </row>
    <row r="558" spans="1:26" x14ac:dyDescent="0.3">
      <c r="A558" t="s">
        <v>559</v>
      </c>
      <c r="B558" t="str">
        <f>IFERROR(VLOOKUP(A558,[1]timesData!$B:$P,2,FALSE),VLOOKUP(A558,[2]cwurData!$B:$P,2,FALSE))</f>
        <v>United Kingdom</v>
      </c>
      <c r="C558" t="str">
        <f>VLOOKUP(A558,[1]timesData!$B:$P,3,FALSE)</f>
        <v>401-500</v>
      </c>
      <c r="D558" t="str">
        <f>VLOOKUP(A559,[1]timesData!$B:$P,3,FALSE)</f>
        <v>401-500</v>
      </c>
      <c r="E558">
        <f>VLOOKUP(A559,[1]timesData!$B:$P,4,FALSE)</f>
        <v>42.9</v>
      </c>
      <c r="F558">
        <f>VLOOKUP(A559,[1]timesData!$B:$P,5,FALSE)</f>
        <v>24.5</v>
      </c>
      <c r="G558">
        <f>VLOOKUP(A559,[1]timesData!$B:$P,6,FALSE)</f>
        <v>41.6</v>
      </c>
      <c r="H558">
        <f>VLOOKUP(A559,[1]timesData!$B:$P,7,FALSE)</f>
        <v>29.2</v>
      </c>
      <c r="I558" t="str">
        <f>VLOOKUP(A559,[1]timesData!$B:$P,8,FALSE)</f>
        <v>-</v>
      </c>
      <c r="J558">
        <f>VLOOKUP(A559,[1]timesData!$B:$P,9,FALSE)</f>
        <v>27046</v>
      </c>
      <c r="K558">
        <f>VLOOKUP(A559,[1]timesData!$B:$P,10,FALSE)</f>
        <v>24.7</v>
      </c>
      <c r="L558">
        <f>VLOOKUP(A559,[1]timesData!$B:$P,11,FALSE)</f>
        <v>0.09</v>
      </c>
      <c r="M558">
        <f>VLOOKUP(A559,[1]timesData!$B:$P,12,FALSE)</f>
        <v>2.5687500000000001</v>
      </c>
      <c r="N558">
        <f>VLOOKUP(A559,[1]timesData!$B:$P,13,FALSE)</f>
        <v>2016</v>
      </c>
      <c r="O558" t="e">
        <f>VLOOKUP(A558,[2]cwurData!$B:$P,14,FALSE)</f>
        <v>#N/A</v>
      </c>
      <c r="P558" t="e">
        <f>VLOOKUP(A558,[2]cwurData!$B:$N, 3, FALSE)</f>
        <v>#N/A</v>
      </c>
      <c r="Q558" t="e">
        <f>VLOOKUP(A558,[2]cwurData!$B:$N, 4, FALSE)</f>
        <v>#N/A</v>
      </c>
      <c r="R558" t="e">
        <f>VLOOKUP(A558,[2]cwurData!$B:$N, 5, FALSE)</f>
        <v>#N/A</v>
      </c>
      <c r="S558" t="e">
        <f>VLOOKUP(A558,[2]cwurData!$B:$N, 6, FALSE)</f>
        <v>#N/A</v>
      </c>
      <c r="T558" t="e">
        <f>VLOOKUP(A558,[2]cwurData!$B:$N, 7, FALSE)</f>
        <v>#N/A</v>
      </c>
      <c r="U558" t="e">
        <f>VLOOKUP(A558,[2]cwurData!$B:$N, 8, FALSE)</f>
        <v>#N/A</v>
      </c>
      <c r="V558" t="e">
        <f>VLOOKUP(A558,[2]cwurData!$B:$N, 9, FALSE)</f>
        <v>#N/A</v>
      </c>
      <c r="W558" t="e">
        <f>VLOOKUP(A558,[2]cwurData!$B:$N, 10, FALSE)</f>
        <v>#N/A</v>
      </c>
      <c r="X558" t="e">
        <f>VLOOKUP(A558,[2]cwurData!$B:$N, 11, FALSE)</f>
        <v>#N/A</v>
      </c>
      <c r="Y558" t="e">
        <f>VLOOKUP(A558,[2]cwurData!$B:$N, 12, FALSE)</f>
        <v>#N/A</v>
      </c>
      <c r="Z558" t="e">
        <f>VLOOKUP(A558,[2]cwurData!$B:$N, 13, FALSE)</f>
        <v>#N/A</v>
      </c>
    </row>
    <row r="559" spans="1:26" x14ac:dyDescent="0.3">
      <c r="A559" t="s">
        <v>560</v>
      </c>
      <c r="B559" t="str">
        <f>IFERROR(VLOOKUP(A559,[1]timesData!$B:$P,2,FALSE),VLOOKUP(A559,[2]cwurData!$B:$P,2,FALSE))</f>
        <v>Canada</v>
      </c>
      <c r="C559" t="str">
        <f>VLOOKUP(A559,[1]timesData!$B:$P,3,FALSE)</f>
        <v>401-500</v>
      </c>
      <c r="D559" t="str">
        <f>VLOOKUP(A560,[1]timesData!$B:$P,3,FALSE)</f>
        <v>401-500</v>
      </c>
      <c r="E559">
        <f>VLOOKUP(A560,[1]timesData!$B:$P,4,FALSE)</f>
        <v>51.7</v>
      </c>
      <c r="F559">
        <f>VLOOKUP(A560,[1]timesData!$B:$P,5,FALSE)</f>
        <v>14.6</v>
      </c>
      <c r="G559">
        <f>VLOOKUP(A560,[1]timesData!$B:$P,6,FALSE)</f>
        <v>44.7</v>
      </c>
      <c r="H559">
        <f>VLOOKUP(A560,[1]timesData!$B:$P,7,FALSE)</f>
        <v>31.1</v>
      </c>
      <c r="I559" t="str">
        <f>VLOOKUP(A560,[1]timesData!$B:$P,8,FALSE)</f>
        <v>-</v>
      </c>
      <c r="J559">
        <f>VLOOKUP(A560,[1]timesData!$B:$P,9,FALSE)</f>
        <v>16270</v>
      </c>
      <c r="K559">
        <f>VLOOKUP(A560,[1]timesData!$B:$P,10,FALSE)</f>
        <v>9</v>
      </c>
      <c r="L559">
        <f>VLOOKUP(A560,[1]timesData!$B:$P,11,FALSE)</f>
        <v>0.13</v>
      </c>
      <c r="M559">
        <f>VLOOKUP(A560,[1]timesData!$B:$P,12,FALSE)</f>
        <v>1.83125</v>
      </c>
      <c r="N559">
        <f>VLOOKUP(A560,[1]timesData!$B:$P,13,FALSE)</f>
        <v>2016</v>
      </c>
      <c r="O559" t="e">
        <f>VLOOKUP(A559,[2]cwurData!$B:$P,14,FALSE)</f>
        <v>#N/A</v>
      </c>
      <c r="P559" t="e">
        <f>VLOOKUP(A559,[2]cwurData!$B:$N, 3, FALSE)</f>
        <v>#N/A</v>
      </c>
      <c r="Q559" t="e">
        <f>VLOOKUP(A559,[2]cwurData!$B:$N, 4, FALSE)</f>
        <v>#N/A</v>
      </c>
      <c r="R559" t="e">
        <f>VLOOKUP(A559,[2]cwurData!$B:$N, 5, FALSE)</f>
        <v>#N/A</v>
      </c>
      <c r="S559" t="e">
        <f>VLOOKUP(A559,[2]cwurData!$B:$N, 6, FALSE)</f>
        <v>#N/A</v>
      </c>
      <c r="T559" t="e">
        <f>VLOOKUP(A559,[2]cwurData!$B:$N, 7, FALSE)</f>
        <v>#N/A</v>
      </c>
      <c r="U559" t="e">
        <f>VLOOKUP(A559,[2]cwurData!$B:$N, 8, FALSE)</f>
        <v>#N/A</v>
      </c>
      <c r="V559" t="e">
        <f>VLOOKUP(A559,[2]cwurData!$B:$N, 9, FALSE)</f>
        <v>#N/A</v>
      </c>
      <c r="W559" t="e">
        <f>VLOOKUP(A559,[2]cwurData!$B:$N, 10, FALSE)</f>
        <v>#N/A</v>
      </c>
      <c r="X559" t="e">
        <f>VLOOKUP(A559,[2]cwurData!$B:$N, 11, FALSE)</f>
        <v>#N/A</v>
      </c>
      <c r="Y559" t="e">
        <f>VLOOKUP(A559,[2]cwurData!$B:$N, 12, FALSE)</f>
        <v>#N/A</v>
      </c>
      <c r="Z559" t="e">
        <f>VLOOKUP(A559,[2]cwurData!$B:$N, 13, FALSE)</f>
        <v>#N/A</v>
      </c>
    </row>
    <row r="560" spans="1:26" x14ac:dyDescent="0.3">
      <c r="A560" t="s">
        <v>561</v>
      </c>
      <c r="B560" t="str">
        <f>IFERROR(VLOOKUP(A560,[1]timesData!$B:$P,2,FALSE),VLOOKUP(A560,[2]cwurData!$B:$P,2,FALSE))</f>
        <v>Malaysia</v>
      </c>
      <c r="C560" t="str">
        <f>VLOOKUP(A560,[1]timesData!$B:$P,3,FALSE)</f>
        <v>401-500</v>
      </c>
      <c r="D560" t="str">
        <f>VLOOKUP(A561,[1]timesData!$B:$P,3,FALSE)</f>
        <v>401-500</v>
      </c>
      <c r="E560">
        <f>VLOOKUP(A561,[1]timesData!$B:$P,4,FALSE)</f>
        <v>44.1</v>
      </c>
      <c r="F560">
        <f>VLOOKUP(A561,[1]timesData!$B:$P,5,FALSE)</f>
        <v>22.6</v>
      </c>
      <c r="G560">
        <f>VLOOKUP(A561,[1]timesData!$B:$P,6,FALSE)</f>
        <v>47.5</v>
      </c>
      <c r="H560">
        <f>VLOOKUP(A561,[1]timesData!$B:$P,7,FALSE)</f>
        <v>80.2</v>
      </c>
      <c r="I560" t="str">
        <f>VLOOKUP(A561,[1]timesData!$B:$P,8,FALSE)</f>
        <v>-</v>
      </c>
      <c r="J560">
        <f>VLOOKUP(A561,[1]timesData!$B:$P,9,FALSE)</f>
        <v>14184</v>
      </c>
      <c r="K560">
        <f>VLOOKUP(A561,[1]timesData!$B:$P,10,FALSE)</f>
        <v>54.4</v>
      </c>
      <c r="L560">
        <f>VLOOKUP(A561,[1]timesData!$B:$P,11,FALSE)</f>
        <v>0.14000000000000001</v>
      </c>
      <c r="M560" t="str">
        <f>VLOOKUP(A561,[1]timesData!$B:$P,12,FALSE)</f>
        <v>36 : 64</v>
      </c>
      <c r="N560">
        <f>VLOOKUP(A561,[1]timesData!$B:$P,13,FALSE)</f>
        <v>2016</v>
      </c>
      <c r="O560" t="e">
        <f>VLOOKUP(A560,[2]cwurData!$B:$P,14,FALSE)</f>
        <v>#N/A</v>
      </c>
      <c r="P560" t="e">
        <f>VLOOKUP(A560,[2]cwurData!$B:$N, 3, FALSE)</f>
        <v>#N/A</v>
      </c>
      <c r="Q560" t="e">
        <f>VLOOKUP(A560,[2]cwurData!$B:$N, 4, FALSE)</f>
        <v>#N/A</v>
      </c>
      <c r="R560" t="e">
        <f>VLOOKUP(A560,[2]cwurData!$B:$N, 5, FALSE)</f>
        <v>#N/A</v>
      </c>
      <c r="S560" t="e">
        <f>VLOOKUP(A560,[2]cwurData!$B:$N, 6, FALSE)</f>
        <v>#N/A</v>
      </c>
      <c r="T560" t="e">
        <f>VLOOKUP(A560,[2]cwurData!$B:$N, 7, FALSE)</f>
        <v>#N/A</v>
      </c>
      <c r="U560" t="e">
        <f>VLOOKUP(A560,[2]cwurData!$B:$N, 8, FALSE)</f>
        <v>#N/A</v>
      </c>
      <c r="V560" t="e">
        <f>VLOOKUP(A560,[2]cwurData!$B:$N, 9, FALSE)</f>
        <v>#N/A</v>
      </c>
      <c r="W560" t="e">
        <f>VLOOKUP(A560,[2]cwurData!$B:$N, 10, FALSE)</f>
        <v>#N/A</v>
      </c>
      <c r="X560" t="e">
        <f>VLOOKUP(A560,[2]cwurData!$B:$N, 11, FALSE)</f>
        <v>#N/A</v>
      </c>
      <c r="Y560" t="e">
        <f>VLOOKUP(A560,[2]cwurData!$B:$N, 12, FALSE)</f>
        <v>#N/A</v>
      </c>
      <c r="Z560" t="e">
        <f>VLOOKUP(A560,[2]cwurData!$B:$N, 13, FALSE)</f>
        <v>#N/A</v>
      </c>
    </row>
    <row r="561" spans="1:26" x14ac:dyDescent="0.3">
      <c r="A561" t="s">
        <v>537</v>
      </c>
      <c r="B561" t="str">
        <f>IFERROR(VLOOKUP(A561,[1]timesData!$B:$P,2,FALSE),VLOOKUP(A561,[2]cwurData!$B:$P,2,FALSE))</f>
        <v>Germany</v>
      </c>
      <c r="C561" t="str">
        <f>VLOOKUP(A561,[1]timesData!$B:$P,3,FALSE)</f>
        <v>401-500</v>
      </c>
      <c r="D561" t="str">
        <f>VLOOKUP(A562,[1]timesData!$B:$P,3,FALSE)</f>
        <v>401-500</v>
      </c>
      <c r="E561">
        <f>VLOOKUP(A562,[1]timesData!$B:$P,4,FALSE)</f>
        <v>36.5</v>
      </c>
      <c r="F561">
        <f>VLOOKUP(A562,[1]timesData!$B:$P,5,FALSE)</f>
        <v>17.2</v>
      </c>
      <c r="G561">
        <f>VLOOKUP(A562,[1]timesData!$B:$P,6,FALSE)</f>
        <v>64.5</v>
      </c>
      <c r="H561">
        <f>VLOOKUP(A562,[1]timesData!$B:$P,7,FALSE)</f>
        <v>34.700000000000003</v>
      </c>
      <c r="I561" t="str">
        <f>VLOOKUP(A562,[1]timesData!$B:$P,8,FALSE)</f>
        <v>-</v>
      </c>
      <c r="J561">
        <f>VLOOKUP(A562,[1]timesData!$B:$P,9,FALSE)</f>
        <v>33504</v>
      </c>
      <c r="K561">
        <f>VLOOKUP(A562,[1]timesData!$B:$P,10,FALSE)</f>
        <v>26.5</v>
      </c>
      <c r="L561">
        <f>VLOOKUP(A562,[1]timesData!$B:$P,11,FALSE)</f>
        <v>0.06</v>
      </c>
      <c r="M561">
        <f>VLOOKUP(A562,[1]timesData!$B:$P,12,FALSE)</f>
        <v>2.2000000000000002</v>
      </c>
      <c r="N561">
        <f>VLOOKUP(A562,[1]timesData!$B:$P,13,FALSE)</f>
        <v>2016</v>
      </c>
      <c r="O561" t="e">
        <f>VLOOKUP(A561,[2]cwurData!$B:$P,14,FALSE)</f>
        <v>#N/A</v>
      </c>
      <c r="P561" t="e">
        <f>VLOOKUP(A561,[2]cwurData!$B:$N, 3, FALSE)</f>
        <v>#N/A</v>
      </c>
      <c r="Q561" t="e">
        <f>VLOOKUP(A561,[2]cwurData!$B:$N, 4, FALSE)</f>
        <v>#N/A</v>
      </c>
      <c r="R561" t="e">
        <f>VLOOKUP(A561,[2]cwurData!$B:$N, 5, FALSE)</f>
        <v>#N/A</v>
      </c>
      <c r="S561" t="e">
        <f>VLOOKUP(A561,[2]cwurData!$B:$N, 6, FALSE)</f>
        <v>#N/A</v>
      </c>
      <c r="T561" t="e">
        <f>VLOOKUP(A561,[2]cwurData!$B:$N, 7, FALSE)</f>
        <v>#N/A</v>
      </c>
      <c r="U561" t="e">
        <f>VLOOKUP(A561,[2]cwurData!$B:$N, 8, FALSE)</f>
        <v>#N/A</v>
      </c>
      <c r="V561" t="e">
        <f>VLOOKUP(A561,[2]cwurData!$B:$N, 9, FALSE)</f>
        <v>#N/A</v>
      </c>
      <c r="W561" t="e">
        <f>VLOOKUP(A561,[2]cwurData!$B:$N, 10, FALSE)</f>
        <v>#N/A</v>
      </c>
      <c r="X561" t="e">
        <f>VLOOKUP(A561,[2]cwurData!$B:$N, 11, FALSE)</f>
        <v>#N/A</v>
      </c>
      <c r="Y561" t="e">
        <f>VLOOKUP(A561,[2]cwurData!$B:$N, 12, FALSE)</f>
        <v>#N/A</v>
      </c>
      <c r="Z561" t="e">
        <f>VLOOKUP(A561,[2]cwurData!$B:$N, 13, FALSE)</f>
        <v>#N/A</v>
      </c>
    </row>
    <row r="562" spans="1:26" x14ac:dyDescent="0.3">
      <c r="A562" t="s">
        <v>552</v>
      </c>
      <c r="B562" t="str">
        <f>IFERROR(VLOOKUP(A562,[1]timesData!$B:$P,2,FALSE),VLOOKUP(A562,[2]cwurData!$B:$P,2,FALSE))</f>
        <v>Italy</v>
      </c>
      <c r="C562" t="str">
        <f>VLOOKUP(A562,[1]timesData!$B:$P,3,FALSE)</f>
        <v>401-500</v>
      </c>
      <c r="D562" t="str">
        <f>VLOOKUP(A563,[1]timesData!$B:$P,3,FALSE)</f>
        <v>401-500</v>
      </c>
      <c r="E562">
        <f>VLOOKUP(A563,[1]timesData!$B:$P,4,FALSE)</f>
        <v>40.1</v>
      </c>
      <c r="F562">
        <f>VLOOKUP(A563,[1]timesData!$B:$P,5,FALSE)</f>
        <v>12.9</v>
      </c>
      <c r="G562">
        <f>VLOOKUP(A563,[1]timesData!$B:$P,6,FALSE)</f>
        <v>43.8</v>
      </c>
      <c r="H562">
        <f>VLOOKUP(A563,[1]timesData!$B:$P,7,FALSE)</f>
        <v>28.6</v>
      </c>
      <c r="I562" t="str">
        <f>VLOOKUP(A563,[1]timesData!$B:$P,8,FALSE)</f>
        <v>-</v>
      </c>
      <c r="J562">
        <f>VLOOKUP(A563,[1]timesData!$B:$P,9,FALSE)</f>
        <v>10788</v>
      </c>
      <c r="K562">
        <f>VLOOKUP(A563,[1]timesData!$B:$P,10,FALSE)</f>
        <v>17</v>
      </c>
      <c r="L562">
        <f>VLOOKUP(A563,[1]timesData!$B:$P,11,FALSE)</f>
        <v>0.17</v>
      </c>
      <c r="M562">
        <f>VLOOKUP(A563,[1]timesData!$B:$P,12,FALSE)</f>
        <v>2.6506944444444445</v>
      </c>
      <c r="N562">
        <f>VLOOKUP(A563,[1]timesData!$B:$P,13,FALSE)</f>
        <v>2016</v>
      </c>
      <c r="O562" t="e">
        <f>VLOOKUP(A562,[2]cwurData!$B:$P,14,FALSE)</f>
        <v>#N/A</v>
      </c>
      <c r="P562" t="e">
        <f>VLOOKUP(A562,[2]cwurData!$B:$N, 3, FALSE)</f>
        <v>#N/A</v>
      </c>
      <c r="Q562" t="e">
        <f>VLOOKUP(A562,[2]cwurData!$B:$N, 4, FALSE)</f>
        <v>#N/A</v>
      </c>
      <c r="R562" t="e">
        <f>VLOOKUP(A562,[2]cwurData!$B:$N, 5, FALSE)</f>
        <v>#N/A</v>
      </c>
      <c r="S562" t="e">
        <f>VLOOKUP(A562,[2]cwurData!$B:$N, 6, FALSE)</f>
        <v>#N/A</v>
      </c>
      <c r="T562" t="e">
        <f>VLOOKUP(A562,[2]cwurData!$B:$N, 7, FALSE)</f>
        <v>#N/A</v>
      </c>
      <c r="U562" t="e">
        <f>VLOOKUP(A562,[2]cwurData!$B:$N, 8, FALSE)</f>
        <v>#N/A</v>
      </c>
      <c r="V562" t="e">
        <f>VLOOKUP(A562,[2]cwurData!$B:$N, 9, FALSE)</f>
        <v>#N/A</v>
      </c>
      <c r="W562" t="e">
        <f>VLOOKUP(A562,[2]cwurData!$B:$N, 10, FALSE)</f>
        <v>#N/A</v>
      </c>
      <c r="X562" t="e">
        <f>VLOOKUP(A562,[2]cwurData!$B:$N, 11, FALSE)</f>
        <v>#N/A</v>
      </c>
      <c r="Y562" t="e">
        <f>VLOOKUP(A562,[2]cwurData!$B:$N, 12, FALSE)</f>
        <v>#N/A</v>
      </c>
      <c r="Z562" t="e">
        <f>VLOOKUP(A562,[2]cwurData!$B:$N, 13, FALSE)</f>
        <v>#N/A</v>
      </c>
    </row>
    <row r="563" spans="1:26" x14ac:dyDescent="0.3">
      <c r="A563" t="s">
        <v>553</v>
      </c>
      <c r="B563" t="str">
        <f>IFERROR(VLOOKUP(A563,[1]timesData!$B:$P,2,FALSE),VLOOKUP(A563,[2]cwurData!$B:$P,2,FALSE))</f>
        <v>United States of America</v>
      </c>
      <c r="C563" t="str">
        <f>VLOOKUP(A563,[1]timesData!$B:$P,3,FALSE)</f>
        <v>401-500</v>
      </c>
      <c r="D563" t="str">
        <f>VLOOKUP(A564,[1]timesData!$B:$P,3,FALSE)</f>
        <v>401-500</v>
      </c>
      <c r="E563">
        <f>VLOOKUP(A564,[1]timesData!$B:$P,4,FALSE)</f>
        <v>35</v>
      </c>
      <c r="F563">
        <f>VLOOKUP(A564,[1]timesData!$B:$P,5,FALSE)</f>
        <v>8.6999999999999993</v>
      </c>
      <c r="G563">
        <f>VLOOKUP(A564,[1]timesData!$B:$P,6,FALSE)</f>
        <v>66.8</v>
      </c>
      <c r="H563">
        <f>VLOOKUP(A564,[1]timesData!$B:$P,7,FALSE)</f>
        <v>31.2</v>
      </c>
      <c r="I563" t="str">
        <f>VLOOKUP(A564,[1]timesData!$B:$P,8,FALSE)</f>
        <v>-</v>
      </c>
      <c r="J563">
        <f>VLOOKUP(A564,[1]timesData!$B:$P,9,FALSE)</f>
        <v>13435</v>
      </c>
      <c r="K563">
        <f>VLOOKUP(A564,[1]timesData!$B:$P,10,FALSE)</f>
        <v>37.4</v>
      </c>
      <c r="L563">
        <f>VLOOKUP(A564,[1]timesData!$B:$P,11,FALSE)</f>
        <v>7.0000000000000007E-2</v>
      </c>
      <c r="M563">
        <f>VLOOKUP(A564,[1]timesData!$B:$P,12,FALSE)</f>
        <v>2.5687500000000001</v>
      </c>
      <c r="N563">
        <f>VLOOKUP(A564,[1]timesData!$B:$P,13,FALSE)</f>
        <v>2016</v>
      </c>
      <c r="O563" t="e">
        <f>VLOOKUP(A563,[2]cwurData!$B:$P,14,FALSE)</f>
        <v>#N/A</v>
      </c>
      <c r="P563" t="e">
        <f>VLOOKUP(A563,[2]cwurData!$B:$N, 3, FALSE)</f>
        <v>#N/A</v>
      </c>
      <c r="Q563" t="e">
        <f>VLOOKUP(A563,[2]cwurData!$B:$N, 4, FALSE)</f>
        <v>#N/A</v>
      </c>
      <c r="R563" t="e">
        <f>VLOOKUP(A563,[2]cwurData!$B:$N, 5, FALSE)</f>
        <v>#N/A</v>
      </c>
      <c r="S563" t="e">
        <f>VLOOKUP(A563,[2]cwurData!$B:$N, 6, FALSE)</f>
        <v>#N/A</v>
      </c>
      <c r="T563" t="e">
        <f>VLOOKUP(A563,[2]cwurData!$B:$N, 7, FALSE)</f>
        <v>#N/A</v>
      </c>
      <c r="U563" t="e">
        <f>VLOOKUP(A563,[2]cwurData!$B:$N, 8, FALSE)</f>
        <v>#N/A</v>
      </c>
      <c r="V563" t="e">
        <f>VLOOKUP(A563,[2]cwurData!$B:$N, 9, FALSE)</f>
        <v>#N/A</v>
      </c>
      <c r="W563" t="e">
        <f>VLOOKUP(A563,[2]cwurData!$B:$N, 10, FALSE)</f>
        <v>#N/A</v>
      </c>
      <c r="X563" t="e">
        <f>VLOOKUP(A563,[2]cwurData!$B:$N, 11, FALSE)</f>
        <v>#N/A</v>
      </c>
      <c r="Y563" t="e">
        <f>VLOOKUP(A563,[2]cwurData!$B:$N, 12, FALSE)</f>
        <v>#N/A</v>
      </c>
      <c r="Z563" t="e">
        <f>VLOOKUP(A563,[2]cwurData!$B:$N, 13, FALSE)</f>
        <v>#N/A</v>
      </c>
    </row>
    <row r="564" spans="1:26" x14ac:dyDescent="0.3">
      <c r="A564" t="s">
        <v>562</v>
      </c>
      <c r="B564" t="str">
        <f>IFERROR(VLOOKUP(A564,[1]timesData!$B:$P,2,FALSE),VLOOKUP(A564,[2]cwurData!$B:$P,2,FALSE))</f>
        <v>Italy</v>
      </c>
      <c r="C564" t="str">
        <f>VLOOKUP(A564,[1]timesData!$B:$P,3,FALSE)</f>
        <v>401-500</v>
      </c>
      <c r="D564" t="str">
        <f>VLOOKUP(A565,[1]timesData!$B:$P,3,FALSE)</f>
        <v>501-600</v>
      </c>
      <c r="E564">
        <f>VLOOKUP(A565,[1]timesData!$B:$P,4,FALSE)</f>
        <v>21.3</v>
      </c>
      <c r="F564">
        <f>VLOOKUP(A565,[1]timesData!$B:$P,5,FALSE)</f>
        <v>13.4</v>
      </c>
      <c r="G564">
        <f>VLOOKUP(A565,[1]timesData!$B:$P,6,FALSE)</f>
        <v>34.4</v>
      </c>
      <c r="H564">
        <f>VLOOKUP(A565,[1]timesData!$B:$P,7,FALSE)</f>
        <v>40.700000000000003</v>
      </c>
      <c r="I564" t="str">
        <f>VLOOKUP(A565,[1]timesData!$B:$P,8,FALSE)</f>
        <v>-</v>
      </c>
      <c r="J564">
        <f>VLOOKUP(A565,[1]timesData!$B:$P,9,FALSE)</f>
        <v>8604</v>
      </c>
      <c r="K564">
        <f>VLOOKUP(A565,[1]timesData!$B:$P,10,FALSE)</f>
        <v>10.1</v>
      </c>
      <c r="L564">
        <f>VLOOKUP(A565,[1]timesData!$B:$P,11,FALSE)</f>
        <v>0.04</v>
      </c>
      <c r="M564" t="str">
        <f>VLOOKUP(A565,[1]timesData!$B:$P,12,FALSE)</f>
        <v>36 : 64</v>
      </c>
      <c r="N564">
        <f>VLOOKUP(A565,[1]timesData!$B:$P,13,FALSE)</f>
        <v>2016</v>
      </c>
      <c r="O564" t="e">
        <f>VLOOKUP(A564,[2]cwurData!$B:$P,14,FALSE)</f>
        <v>#N/A</v>
      </c>
      <c r="P564" t="e">
        <f>VLOOKUP(A564,[2]cwurData!$B:$N, 3, FALSE)</f>
        <v>#N/A</v>
      </c>
      <c r="Q564" t="e">
        <f>VLOOKUP(A564,[2]cwurData!$B:$N, 4, FALSE)</f>
        <v>#N/A</v>
      </c>
      <c r="R564" t="e">
        <f>VLOOKUP(A564,[2]cwurData!$B:$N, 5, FALSE)</f>
        <v>#N/A</v>
      </c>
      <c r="S564" t="e">
        <f>VLOOKUP(A564,[2]cwurData!$B:$N, 6, FALSE)</f>
        <v>#N/A</v>
      </c>
      <c r="T564" t="e">
        <f>VLOOKUP(A564,[2]cwurData!$B:$N, 7, FALSE)</f>
        <v>#N/A</v>
      </c>
      <c r="U564" t="e">
        <f>VLOOKUP(A564,[2]cwurData!$B:$N, 8, FALSE)</f>
        <v>#N/A</v>
      </c>
      <c r="V564" t="e">
        <f>VLOOKUP(A564,[2]cwurData!$B:$N, 9, FALSE)</f>
        <v>#N/A</v>
      </c>
      <c r="W564" t="e">
        <f>VLOOKUP(A564,[2]cwurData!$B:$N, 10, FALSE)</f>
        <v>#N/A</v>
      </c>
      <c r="X564" t="e">
        <f>VLOOKUP(A564,[2]cwurData!$B:$N, 11, FALSE)</f>
        <v>#N/A</v>
      </c>
      <c r="Y564" t="e">
        <f>VLOOKUP(A564,[2]cwurData!$B:$N, 12, FALSE)</f>
        <v>#N/A</v>
      </c>
      <c r="Z564" t="e">
        <f>VLOOKUP(A564,[2]cwurData!$B:$N, 13, FALSE)</f>
        <v>#N/A</v>
      </c>
    </row>
    <row r="565" spans="1:26" x14ac:dyDescent="0.3">
      <c r="A565" t="s">
        <v>605</v>
      </c>
      <c r="B565" t="str">
        <f>IFERROR(VLOOKUP(A565,[1]timesData!$B:$P,2,FALSE),VLOOKUP(A565,[2]cwurData!$B:$P,2,FALSE))</f>
        <v>Japan</v>
      </c>
      <c r="C565" t="str">
        <f>VLOOKUP(A565,[1]timesData!$B:$P,3,FALSE)</f>
        <v>501-600</v>
      </c>
      <c r="D565" t="str">
        <f>VLOOKUP(A566,[1]timesData!$B:$P,3,FALSE)</f>
        <v>501-600</v>
      </c>
      <c r="E565">
        <f>VLOOKUP(A566,[1]timesData!$B:$P,4,FALSE)</f>
        <v>25.1</v>
      </c>
      <c r="F565">
        <f>VLOOKUP(A566,[1]timesData!$B:$P,5,FALSE)</f>
        <v>19.7</v>
      </c>
      <c r="G565">
        <f>VLOOKUP(A566,[1]timesData!$B:$P,6,FALSE)</f>
        <v>18.3</v>
      </c>
      <c r="H565">
        <f>VLOOKUP(A566,[1]timesData!$B:$P,7,FALSE)</f>
        <v>42.9</v>
      </c>
      <c r="I565" t="str">
        <f>VLOOKUP(A566,[1]timesData!$B:$P,8,FALSE)</f>
        <v>-</v>
      </c>
      <c r="J565">
        <f>VLOOKUP(A566,[1]timesData!$B:$P,9,FALSE)</f>
        <v>52878</v>
      </c>
      <c r="K565">
        <f>VLOOKUP(A566,[1]timesData!$B:$P,10,FALSE)</f>
        <v>12.8</v>
      </c>
      <c r="L565">
        <f>VLOOKUP(A566,[1]timesData!$B:$P,11,FALSE)</f>
        <v>0.02</v>
      </c>
      <c r="M565">
        <f>VLOOKUP(A566,[1]timesData!$B:$P,12,FALSE)</f>
        <v>2.2819444444444446</v>
      </c>
      <c r="N565">
        <f>VLOOKUP(A566,[1]timesData!$B:$P,13,FALSE)</f>
        <v>2016</v>
      </c>
      <c r="O565">
        <f>VLOOKUP(A565,[2]cwurData!$B:$P,14,FALSE)</f>
        <v>150</v>
      </c>
      <c r="P565">
        <f>VLOOKUP(A565,[2]cwurData!$B:$N, 3, FALSE)</f>
        <v>10</v>
      </c>
      <c r="Q565">
        <f>VLOOKUP(A565,[2]cwurData!$B:$N, 4, FALSE)</f>
        <v>19</v>
      </c>
      <c r="R565">
        <f>VLOOKUP(A565,[2]cwurData!$B:$N, 5, FALSE)</f>
        <v>320</v>
      </c>
      <c r="S565">
        <f>VLOOKUP(A565,[2]cwurData!$B:$N, 6, FALSE)</f>
        <v>210</v>
      </c>
      <c r="T565">
        <f>VLOOKUP(A565,[2]cwurData!$B:$N, 7, FALSE)</f>
        <v>460</v>
      </c>
      <c r="U565">
        <f>VLOOKUP(A565,[2]cwurData!$B:$N, 8, FALSE)</f>
        <v>520</v>
      </c>
      <c r="V565">
        <f>VLOOKUP(A565,[2]cwurData!$B:$N, 9, FALSE)</f>
        <v>283</v>
      </c>
      <c r="W565">
        <f>VLOOKUP(A565,[2]cwurData!$B:$N, 10, FALSE)</f>
        <v>437</v>
      </c>
      <c r="X565">
        <f>VLOOKUP(A565,[2]cwurData!$B:$N, 11, FALSE)</f>
        <v>373</v>
      </c>
      <c r="Y565">
        <f>VLOOKUP(A565,[2]cwurData!$B:$N, 12, FALSE)</f>
        <v>49.25</v>
      </c>
      <c r="Z565">
        <f>VLOOKUP(A565,[2]cwurData!$B:$N, 13, FALSE)</f>
        <v>2014</v>
      </c>
    </row>
    <row r="566" spans="1:26" x14ac:dyDescent="0.3">
      <c r="A566" t="s">
        <v>583</v>
      </c>
      <c r="B566" t="str">
        <f>IFERROR(VLOOKUP(A566,[1]timesData!$B:$P,2,FALSE),VLOOKUP(A566,[2]cwurData!$B:$P,2,FALSE))</f>
        <v>Brazil</v>
      </c>
      <c r="C566" t="str">
        <f>VLOOKUP(A566,[1]timesData!$B:$P,3,FALSE)</f>
        <v>501-600</v>
      </c>
      <c r="D566" t="str">
        <f>VLOOKUP(A567,[1]timesData!$B:$P,3,FALSE)</f>
        <v>501-600</v>
      </c>
      <c r="E566">
        <f>VLOOKUP(A567,[1]timesData!$B:$P,4,FALSE)</f>
        <v>37.1</v>
      </c>
      <c r="F566">
        <f>VLOOKUP(A567,[1]timesData!$B:$P,5,FALSE)</f>
        <v>14.1</v>
      </c>
      <c r="G566">
        <f>VLOOKUP(A567,[1]timesData!$B:$P,6,FALSE)</f>
        <v>46.9</v>
      </c>
      <c r="H566">
        <f>VLOOKUP(A567,[1]timesData!$B:$P,7,FALSE)</f>
        <v>32.299999999999997</v>
      </c>
      <c r="I566" t="str">
        <f>VLOOKUP(A567,[1]timesData!$B:$P,8,FALSE)</f>
        <v>-</v>
      </c>
      <c r="J566">
        <f>VLOOKUP(A567,[1]timesData!$B:$P,9,FALSE)</f>
        <v>29085</v>
      </c>
      <c r="K566">
        <f>VLOOKUP(A567,[1]timesData!$B:$P,10,FALSE)</f>
        <v>15.3</v>
      </c>
      <c r="L566">
        <f>VLOOKUP(A567,[1]timesData!$B:$P,11,FALSE)</f>
        <v>0.06</v>
      </c>
      <c r="M566">
        <f>VLOOKUP(A567,[1]timesData!$B:$P,12,FALSE)</f>
        <v>2.6506944444444445</v>
      </c>
      <c r="N566">
        <f>VLOOKUP(A567,[1]timesData!$B:$P,13,FALSE)</f>
        <v>2016</v>
      </c>
      <c r="O566">
        <f>VLOOKUP(A566,[2]cwurData!$B:$P,14,FALSE)</f>
        <v>329</v>
      </c>
      <c r="P566">
        <f>VLOOKUP(A566,[2]cwurData!$B:$N, 3, FALSE)</f>
        <v>2</v>
      </c>
      <c r="Q566">
        <f>VLOOKUP(A566,[2]cwurData!$B:$N, 4, FALSE)</f>
        <v>261</v>
      </c>
      <c r="R566">
        <f>VLOOKUP(A566,[2]cwurData!$B:$N, 5, FALSE)</f>
        <v>120</v>
      </c>
      <c r="S566">
        <f>VLOOKUP(A566,[2]cwurData!$B:$N, 6, FALSE)</f>
        <v>210</v>
      </c>
      <c r="T566">
        <f>VLOOKUP(A566,[2]cwurData!$B:$N, 7, FALSE)</f>
        <v>304</v>
      </c>
      <c r="U566">
        <f>VLOOKUP(A566,[2]cwurData!$B:$N, 8, FALSE)</f>
        <v>326</v>
      </c>
      <c r="V566">
        <f>VLOOKUP(A566,[2]cwurData!$B:$N, 9, FALSE)</f>
        <v>493</v>
      </c>
      <c r="W566">
        <f>VLOOKUP(A566,[2]cwurData!$B:$N, 10, FALSE)</f>
        <v>402</v>
      </c>
      <c r="X566">
        <f>VLOOKUP(A566,[2]cwurData!$B:$N, 11, FALSE)</f>
        <v>181</v>
      </c>
      <c r="Y566">
        <f>VLOOKUP(A566,[2]cwurData!$B:$N, 12, FALSE)</f>
        <v>46.08</v>
      </c>
      <c r="Z566">
        <f>VLOOKUP(A566,[2]cwurData!$B:$N, 13, FALSE)</f>
        <v>2014</v>
      </c>
    </row>
    <row r="567" spans="1:26" x14ac:dyDescent="0.3">
      <c r="A567" t="s">
        <v>617</v>
      </c>
      <c r="B567" t="str">
        <f>IFERROR(VLOOKUP(A567,[1]timesData!$B:$P,2,FALSE),VLOOKUP(A567,[2]cwurData!$B:$P,2,FALSE))</f>
        <v>Spain</v>
      </c>
      <c r="C567" t="str">
        <f>VLOOKUP(A567,[1]timesData!$B:$P,3,FALSE)</f>
        <v>501-600</v>
      </c>
      <c r="D567" t="str">
        <f>VLOOKUP(A568,[1]timesData!$B:$P,3,FALSE)</f>
        <v>501-600</v>
      </c>
      <c r="E567">
        <f>VLOOKUP(A568,[1]timesData!$B:$P,4,FALSE)</f>
        <v>52.9</v>
      </c>
      <c r="F567">
        <f>VLOOKUP(A568,[1]timesData!$B:$P,5,FALSE)</f>
        <v>21.3</v>
      </c>
      <c r="G567">
        <f>VLOOKUP(A568,[1]timesData!$B:$P,6,FALSE)</f>
        <v>30.1</v>
      </c>
      <c r="H567">
        <f>VLOOKUP(A568,[1]timesData!$B:$P,7,FALSE)</f>
        <v>28.7</v>
      </c>
      <c r="I567" t="str">
        <f>VLOOKUP(A568,[1]timesData!$B:$P,8,FALSE)</f>
        <v>-</v>
      </c>
      <c r="J567">
        <f>VLOOKUP(A568,[1]timesData!$B:$P,9,FALSE)</f>
        <v>16695</v>
      </c>
      <c r="K567">
        <f>VLOOKUP(A568,[1]timesData!$B:$P,10,FALSE)</f>
        <v>12.6</v>
      </c>
      <c r="L567">
        <f>VLOOKUP(A568,[1]timesData!$B:$P,11,FALSE)</f>
        <v>0.02</v>
      </c>
      <c r="M567">
        <f>VLOOKUP(A568,[1]timesData!$B:$P,12,FALSE)</f>
        <v>2.0770833333333334</v>
      </c>
      <c r="N567">
        <f>VLOOKUP(A568,[1]timesData!$B:$P,13,FALSE)</f>
        <v>2016</v>
      </c>
      <c r="O567">
        <f>VLOOKUP(A567,[2]cwurData!$B:$P,14,FALSE)</f>
        <v>356</v>
      </c>
      <c r="P567">
        <f>VLOOKUP(A567,[2]cwurData!$B:$N, 3, FALSE)</f>
        <v>7</v>
      </c>
      <c r="Q567">
        <f>VLOOKUP(A567,[2]cwurData!$B:$N, 4, FALSE)</f>
        <v>355</v>
      </c>
      <c r="R567">
        <f>VLOOKUP(A567,[2]cwurData!$B:$N, 5, FALSE)</f>
        <v>478</v>
      </c>
      <c r="S567">
        <f>VLOOKUP(A567,[2]cwurData!$B:$N, 6, FALSE)</f>
        <v>210</v>
      </c>
      <c r="T567">
        <f>VLOOKUP(A567,[2]cwurData!$B:$N, 7, FALSE)</f>
        <v>373</v>
      </c>
      <c r="U567">
        <f>VLOOKUP(A567,[2]cwurData!$B:$N, 8, FALSE)</f>
        <v>634</v>
      </c>
      <c r="V567">
        <f>VLOOKUP(A567,[2]cwurData!$B:$N, 9, FALSE)</f>
        <v>406</v>
      </c>
      <c r="W567">
        <f>VLOOKUP(A567,[2]cwurData!$B:$N, 10, FALSE)</f>
        <v>386</v>
      </c>
      <c r="X567">
        <f>VLOOKUP(A567,[2]cwurData!$B:$N, 11, FALSE)</f>
        <v>100</v>
      </c>
      <c r="Y567">
        <f>VLOOKUP(A567,[2]cwurData!$B:$N, 12, FALSE)</f>
        <v>45.79</v>
      </c>
      <c r="Z567">
        <f>VLOOKUP(A567,[2]cwurData!$B:$N, 13, FALSE)</f>
        <v>2014</v>
      </c>
    </row>
    <row r="568" spans="1:26" x14ac:dyDescent="0.3">
      <c r="A568" t="s">
        <v>570</v>
      </c>
      <c r="B568" t="str">
        <f>IFERROR(VLOOKUP(A568,[1]timesData!$B:$P,2,FALSE),VLOOKUP(A568,[2]cwurData!$B:$P,2,FALSE))</f>
        <v>Israel</v>
      </c>
      <c r="C568" t="str">
        <f>VLOOKUP(A568,[1]timesData!$B:$P,3,FALSE)</f>
        <v>501-600</v>
      </c>
      <c r="D568" t="str">
        <f>VLOOKUP(A569,[1]timesData!$B:$P,3,FALSE)</f>
        <v>501-600</v>
      </c>
      <c r="E568">
        <f>VLOOKUP(A569,[1]timesData!$B:$P,4,FALSE)</f>
        <v>37.200000000000003</v>
      </c>
      <c r="F568">
        <f>VLOOKUP(A569,[1]timesData!$B:$P,5,FALSE)</f>
        <v>29.2</v>
      </c>
      <c r="G568">
        <f>VLOOKUP(A569,[1]timesData!$B:$P,6,FALSE)</f>
        <v>13.1</v>
      </c>
      <c r="H568">
        <f>VLOOKUP(A569,[1]timesData!$B:$P,7,FALSE)</f>
        <v>63.5</v>
      </c>
      <c r="I568" t="str">
        <f>VLOOKUP(A569,[1]timesData!$B:$P,8,FALSE)</f>
        <v>-</v>
      </c>
      <c r="J568">
        <f>VLOOKUP(A569,[1]timesData!$B:$P,9,FALSE)</f>
        <v>37394</v>
      </c>
      <c r="K568">
        <f>VLOOKUP(A569,[1]timesData!$B:$P,10,FALSE)</f>
        <v>13.5</v>
      </c>
      <c r="L568">
        <f>VLOOKUP(A569,[1]timesData!$B:$P,11,FALSE)</f>
        <v>0.1</v>
      </c>
      <c r="M568" t="str">
        <f>VLOOKUP(A569,[1]timesData!$B:$P,12,FALSE)</f>
        <v>38 : 62</v>
      </c>
      <c r="N568">
        <f>VLOOKUP(A569,[1]timesData!$B:$P,13,FALSE)</f>
        <v>2016</v>
      </c>
      <c r="O568">
        <f>VLOOKUP(A568,[2]cwurData!$B:$P,14,FALSE)</f>
        <v>362</v>
      </c>
      <c r="P568">
        <f>VLOOKUP(A568,[2]cwurData!$B:$N, 3, FALSE)</f>
        <v>5</v>
      </c>
      <c r="Q568">
        <f>VLOOKUP(A568,[2]cwurData!$B:$N, 4, FALSE)</f>
        <v>355</v>
      </c>
      <c r="R568">
        <f>VLOOKUP(A568,[2]cwurData!$B:$N, 5, FALSE)</f>
        <v>478</v>
      </c>
      <c r="S568">
        <f>VLOOKUP(A568,[2]cwurData!$B:$N, 6, FALSE)</f>
        <v>165</v>
      </c>
      <c r="T568">
        <f>VLOOKUP(A568,[2]cwurData!$B:$N, 7, FALSE)</f>
        <v>280</v>
      </c>
      <c r="U568">
        <f>VLOOKUP(A568,[2]cwurData!$B:$N, 8, FALSE)</f>
        <v>382</v>
      </c>
      <c r="V568">
        <f>VLOOKUP(A568,[2]cwurData!$B:$N, 9, FALSE)</f>
        <v>406</v>
      </c>
      <c r="W568">
        <f>VLOOKUP(A568,[2]cwurData!$B:$N, 10, FALSE)</f>
        <v>386</v>
      </c>
      <c r="X568">
        <f>VLOOKUP(A568,[2]cwurData!$B:$N, 11, FALSE)</f>
        <v>138</v>
      </c>
      <c r="Y568">
        <f>VLOOKUP(A568,[2]cwurData!$B:$N, 12, FALSE)</f>
        <v>45.76</v>
      </c>
      <c r="Z568">
        <f>VLOOKUP(A568,[2]cwurData!$B:$N, 13, FALSE)</f>
        <v>2014</v>
      </c>
    </row>
    <row r="569" spans="1:26" x14ac:dyDescent="0.3">
      <c r="A569" t="s">
        <v>628</v>
      </c>
      <c r="B569" t="str">
        <f>IFERROR(VLOOKUP(A569,[1]timesData!$B:$P,2,FALSE),VLOOKUP(A569,[2]cwurData!$B:$P,2,FALSE))</f>
        <v>China</v>
      </c>
      <c r="C569" t="str">
        <f>VLOOKUP(A569,[1]timesData!$B:$P,3,FALSE)</f>
        <v>501-600</v>
      </c>
      <c r="D569" t="str">
        <f>VLOOKUP(A570,[1]timesData!$B:$P,3,FALSE)</f>
        <v>501-600</v>
      </c>
      <c r="E569">
        <f>VLOOKUP(A570,[1]timesData!$B:$P,4,FALSE)</f>
        <v>32</v>
      </c>
      <c r="F569">
        <f>VLOOKUP(A570,[1]timesData!$B:$P,5,FALSE)</f>
        <v>14.9</v>
      </c>
      <c r="G569">
        <f>VLOOKUP(A570,[1]timesData!$B:$P,6,FALSE)</f>
        <v>32.6</v>
      </c>
      <c r="H569">
        <f>VLOOKUP(A570,[1]timesData!$B:$P,7,FALSE)</f>
        <v>36.700000000000003</v>
      </c>
      <c r="I569" t="str">
        <f>VLOOKUP(A570,[1]timesData!$B:$P,8,FALSE)</f>
        <v>-</v>
      </c>
      <c r="J569">
        <f>VLOOKUP(A570,[1]timesData!$B:$P,9,FALSE)</f>
        <v>64931</v>
      </c>
      <c r="K569">
        <f>VLOOKUP(A570,[1]timesData!$B:$P,10,FALSE)</f>
        <v>17.5</v>
      </c>
      <c r="L569">
        <f>VLOOKUP(A570,[1]timesData!$B:$P,11,FALSE)</f>
        <v>7.0000000000000007E-2</v>
      </c>
      <c r="M569">
        <f>VLOOKUP(A570,[1]timesData!$B:$P,12,FALSE)</f>
        <v>2.3229166666666665</v>
      </c>
      <c r="N569">
        <f>VLOOKUP(A570,[1]timesData!$B:$P,13,FALSE)</f>
        <v>2016</v>
      </c>
      <c r="O569">
        <f>VLOOKUP(A569,[2]cwurData!$B:$P,14,FALSE)</f>
        <v>370</v>
      </c>
      <c r="P569">
        <f>VLOOKUP(A569,[2]cwurData!$B:$N, 3, FALSE)</f>
        <v>12</v>
      </c>
      <c r="Q569">
        <f>VLOOKUP(A569,[2]cwurData!$B:$N, 4, FALSE)</f>
        <v>152</v>
      </c>
      <c r="R569">
        <f>VLOOKUP(A569,[2]cwurData!$B:$N, 5, FALSE)</f>
        <v>102</v>
      </c>
      <c r="S569">
        <f>VLOOKUP(A569,[2]cwurData!$B:$N, 6, FALSE)</f>
        <v>210</v>
      </c>
      <c r="T569">
        <f>VLOOKUP(A569,[2]cwurData!$B:$N, 7, FALSE)</f>
        <v>401</v>
      </c>
      <c r="U569">
        <f>VLOOKUP(A569,[2]cwurData!$B:$N, 8, FALSE)</f>
        <v>547</v>
      </c>
      <c r="V569">
        <f>VLOOKUP(A569,[2]cwurData!$B:$N, 9, FALSE)</f>
        <v>609</v>
      </c>
      <c r="W569">
        <f>VLOOKUP(A569,[2]cwurData!$B:$N, 10, FALSE)</f>
        <v>690</v>
      </c>
      <c r="X569">
        <f>VLOOKUP(A569,[2]cwurData!$B:$N, 11, FALSE)</f>
        <v>204</v>
      </c>
      <c r="Y569">
        <f>VLOOKUP(A569,[2]cwurData!$B:$N, 12, FALSE)</f>
        <v>45.7</v>
      </c>
      <c r="Z569">
        <f>VLOOKUP(A569,[2]cwurData!$B:$N, 13, FALSE)</f>
        <v>2014</v>
      </c>
    </row>
    <row r="570" spans="1:26" x14ac:dyDescent="0.3">
      <c r="A570" t="s">
        <v>619</v>
      </c>
      <c r="B570" t="str">
        <f>IFERROR(VLOOKUP(A570,[1]timesData!$B:$P,2,FALSE),VLOOKUP(A570,[2]cwurData!$B:$P,2,FALSE))</f>
        <v>Spain</v>
      </c>
      <c r="C570" t="str">
        <f>VLOOKUP(A570,[1]timesData!$B:$P,3,FALSE)</f>
        <v>501-600</v>
      </c>
      <c r="D570" t="str">
        <f>VLOOKUP(A571,[1]timesData!$B:$P,3,FALSE)</f>
        <v>501-600</v>
      </c>
      <c r="E570">
        <f>VLOOKUP(A571,[1]timesData!$B:$P,4,FALSE)</f>
        <v>14.7</v>
      </c>
      <c r="F570">
        <f>VLOOKUP(A571,[1]timesData!$B:$P,5,FALSE)</f>
        <v>34.4</v>
      </c>
      <c r="G570">
        <f>VLOOKUP(A571,[1]timesData!$B:$P,6,FALSE)</f>
        <v>12.2</v>
      </c>
      <c r="H570">
        <f>VLOOKUP(A571,[1]timesData!$B:$P,7,FALSE)</f>
        <v>100</v>
      </c>
      <c r="I570" t="str">
        <f>VLOOKUP(A571,[1]timesData!$B:$P,8,FALSE)</f>
        <v>-</v>
      </c>
      <c r="J570">
        <f>VLOOKUP(A571,[1]timesData!$B:$P,9,FALSE)</f>
        <v>29693</v>
      </c>
      <c r="K570">
        <f>VLOOKUP(A571,[1]timesData!$B:$P,10,FALSE)</f>
        <v>12.2</v>
      </c>
      <c r="L570">
        <f>VLOOKUP(A571,[1]timesData!$B:$P,11,FALSE)</f>
        <v>0.01</v>
      </c>
      <c r="M570">
        <f>VLOOKUP(A571,[1]timesData!$B:$P,12,FALSE)</f>
        <v>0</v>
      </c>
      <c r="N570">
        <f>VLOOKUP(A571,[1]timesData!$B:$P,13,FALSE)</f>
        <v>2016</v>
      </c>
      <c r="O570">
        <f>VLOOKUP(A570,[2]cwurData!$B:$P,14,FALSE)</f>
        <v>384</v>
      </c>
      <c r="P570">
        <f>VLOOKUP(A570,[2]cwurData!$B:$N, 3, FALSE)</f>
        <v>8</v>
      </c>
      <c r="Q570">
        <f>VLOOKUP(A570,[2]cwurData!$B:$N, 4, FALSE)</f>
        <v>355</v>
      </c>
      <c r="R570">
        <f>VLOOKUP(A570,[2]cwurData!$B:$N, 5, FALSE)</f>
        <v>478</v>
      </c>
      <c r="S570">
        <f>VLOOKUP(A570,[2]cwurData!$B:$N, 6, FALSE)</f>
        <v>210</v>
      </c>
      <c r="T570">
        <f>VLOOKUP(A570,[2]cwurData!$B:$N, 7, FALSE)</f>
        <v>339</v>
      </c>
      <c r="U570">
        <f>VLOOKUP(A570,[2]cwurData!$B:$N, 8, FALSE)</f>
        <v>556</v>
      </c>
      <c r="V570">
        <f>VLOOKUP(A570,[2]cwurData!$B:$N, 9, FALSE)</f>
        <v>493</v>
      </c>
      <c r="W570">
        <f>VLOOKUP(A570,[2]cwurData!$B:$N, 10, FALSE)</f>
        <v>523</v>
      </c>
      <c r="X570">
        <f>VLOOKUP(A570,[2]cwurData!$B:$N, 11, FALSE)</f>
        <v>89</v>
      </c>
      <c r="Y570">
        <f>VLOOKUP(A570,[2]cwurData!$B:$N, 12, FALSE)</f>
        <v>45.63</v>
      </c>
      <c r="Z570">
        <f>VLOOKUP(A570,[2]cwurData!$B:$N, 13, FALSE)</f>
        <v>2014</v>
      </c>
    </row>
    <row r="571" spans="1:26" x14ac:dyDescent="0.3">
      <c r="A571" t="s">
        <v>626</v>
      </c>
      <c r="B571" t="str">
        <f>IFERROR(VLOOKUP(A571,[1]timesData!$B:$P,2,FALSE),VLOOKUP(A571,[2]cwurData!$B:$P,2,FALSE))</f>
        <v>China</v>
      </c>
      <c r="C571" t="str">
        <f>VLOOKUP(A571,[1]timesData!$B:$P,3,FALSE)</f>
        <v>501-600</v>
      </c>
      <c r="D571" t="str">
        <f>VLOOKUP(A572,[1]timesData!$B:$P,3,FALSE)</f>
        <v>501-600</v>
      </c>
      <c r="E571">
        <f>VLOOKUP(A572,[1]timesData!$B:$P,4,FALSE)</f>
        <v>17.3</v>
      </c>
      <c r="F571">
        <f>VLOOKUP(A572,[1]timesData!$B:$P,5,FALSE)</f>
        <v>22.7</v>
      </c>
      <c r="G571">
        <f>VLOOKUP(A572,[1]timesData!$B:$P,6,FALSE)</f>
        <v>31.6</v>
      </c>
      <c r="H571">
        <f>VLOOKUP(A572,[1]timesData!$B:$P,7,FALSE)</f>
        <v>71.8</v>
      </c>
      <c r="I571" t="str">
        <f>VLOOKUP(A572,[1]timesData!$B:$P,8,FALSE)</f>
        <v>-</v>
      </c>
      <c r="J571">
        <f>VLOOKUP(A572,[1]timesData!$B:$P,9,FALSE)</f>
        <v>57242</v>
      </c>
      <c r="K571">
        <f>VLOOKUP(A572,[1]timesData!$B:$P,10,FALSE)</f>
        <v>17.7</v>
      </c>
      <c r="L571">
        <f>VLOOKUP(A572,[1]timesData!$B:$P,11,FALSE)</f>
        <v>0.04</v>
      </c>
      <c r="M571" t="str">
        <f>VLOOKUP(A572,[1]timesData!$B:$P,12,FALSE)</f>
        <v>34 : 66</v>
      </c>
      <c r="N571">
        <f>VLOOKUP(A572,[1]timesData!$B:$P,13,FALSE)</f>
        <v>2016</v>
      </c>
      <c r="O571">
        <f>VLOOKUP(A571,[2]cwurData!$B:$P,14,FALSE)</f>
        <v>394</v>
      </c>
      <c r="P571">
        <f>VLOOKUP(A571,[2]cwurData!$B:$N, 3, FALSE)</f>
        <v>14</v>
      </c>
      <c r="Q571">
        <f>VLOOKUP(A571,[2]cwurData!$B:$N, 4, FALSE)</f>
        <v>355</v>
      </c>
      <c r="R571">
        <f>VLOOKUP(A571,[2]cwurData!$B:$N, 5, FALSE)</f>
        <v>87</v>
      </c>
      <c r="S571">
        <f>VLOOKUP(A571,[2]cwurData!$B:$N, 6, FALSE)</f>
        <v>210</v>
      </c>
      <c r="T571">
        <f>VLOOKUP(A571,[2]cwurData!$B:$N, 7, FALSE)</f>
        <v>406</v>
      </c>
      <c r="U571">
        <f>VLOOKUP(A571,[2]cwurData!$B:$N, 8, FALSE)</f>
        <v>926</v>
      </c>
      <c r="V571">
        <f>VLOOKUP(A571,[2]cwurData!$B:$N, 9, FALSE)</f>
        <v>800</v>
      </c>
      <c r="W571">
        <f>VLOOKUP(A571,[2]cwurData!$B:$N, 10, FALSE)</f>
        <v>663</v>
      </c>
      <c r="X571">
        <f>VLOOKUP(A571,[2]cwurData!$B:$N, 11, FALSE)</f>
        <v>426</v>
      </c>
      <c r="Y571">
        <f>VLOOKUP(A571,[2]cwurData!$B:$N, 12, FALSE)</f>
        <v>45.57</v>
      </c>
      <c r="Z571">
        <f>VLOOKUP(A571,[2]cwurData!$B:$N, 13, FALSE)</f>
        <v>2014</v>
      </c>
    </row>
    <row r="572" spans="1:26" x14ac:dyDescent="0.3">
      <c r="A572" t="s">
        <v>586</v>
      </c>
      <c r="B572" t="str">
        <f>IFERROR(VLOOKUP(A572,[1]timesData!$B:$P,2,FALSE),VLOOKUP(A572,[2]cwurData!$B:$P,2,FALSE))</f>
        <v>China</v>
      </c>
      <c r="C572" t="str">
        <f>VLOOKUP(A572,[1]timesData!$B:$P,3,FALSE)</f>
        <v>501-600</v>
      </c>
      <c r="D572" t="str">
        <f>VLOOKUP(A573,[1]timesData!$B:$P,3,FALSE)</f>
        <v>501-600</v>
      </c>
      <c r="E572">
        <f>VLOOKUP(A573,[1]timesData!$B:$P,4,FALSE)</f>
        <v>32.9</v>
      </c>
      <c r="F572">
        <f>VLOOKUP(A573,[1]timesData!$B:$P,5,FALSE)</f>
        <v>24.7</v>
      </c>
      <c r="G572">
        <f>VLOOKUP(A573,[1]timesData!$B:$P,6,FALSE)</f>
        <v>20.399999999999999</v>
      </c>
      <c r="H572">
        <f>VLOOKUP(A573,[1]timesData!$B:$P,7,FALSE)</f>
        <v>66.8</v>
      </c>
      <c r="I572" t="str">
        <f>VLOOKUP(A573,[1]timesData!$B:$P,8,FALSE)</f>
        <v>-</v>
      </c>
      <c r="J572">
        <f>VLOOKUP(A573,[1]timesData!$B:$P,9,FALSE)</f>
        <v>24929</v>
      </c>
      <c r="K572">
        <f>VLOOKUP(A573,[1]timesData!$B:$P,10,FALSE)</f>
        <v>19.7</v>
      </c>
      <c r="L572">
        <f>VLOOKUP(A573,[1]timesData!$B:$P,11,FALSE)</f>
        <v>0.12</v>
      </c>
      <c r="M572">
        <f>VLOOKUP(A573,[1]timesData!$B:$P,12,FALSE)</f>
        <v>2.1590277777777778</v>
      </c>
      <c r="N572">
        <f>VLOOKUP(A573,[1]timesData!$B:$P,13,FALSE)</f>
        <v>2016</v>
      </c>
      <c r="O572">
        <f>VLOOKUP(A572,[2]cwurData!$B:$P,14,FALSE)</f>
        <v>408</v>
      </c>
      <c r="P572">
        <f>VLOOKUP(A572,[2]cwurData!$B:$N, 3, FALSE)</f>
        <v>16</v>
      </c>
      <c r="Q572">
        <f>VLOOKUP(A572,[2]cwurData!$B:$N, 4, FALSE)</f>
        <v>355</v>
      </c>
      <c r="R572">
        <f>VLOOKUP(A572,[2]cwurData!$B:$N, 5, FALSE)</f>
        <v>232</v>
      </c>
      <c r="S572">
        <f>VLOOKUP(A572,[2]cwurData!$B:$N, 6, FALSE)</f>
        <v>210</v>
      </c>
      <c r="T572">
        <f>VLOOKUP(A572,[2]cwurData!$B:$N, 7, FALSE)</f>
        <v>259</v>
      </c>
      <c r="U572">
        <f>VLOOKUP(A572,[2]cwurData!$B:$N, 8, FALSE)</f>
        <v>656</v>
      </c>
      <c r="V572">
        <f>VLOOKUP(A572,[2]cwurData!$B:$N, 9, FALSE)</f>
        <v>609</v>
      </c>
      <c r="W572">
        <f>VLOOKUP(A572,[2]cwurData!$B:$N, 10, FALSE)</f>
        <v>504</v>
      </c>
      <c r="X572">
        <f>VLOOKUP(A572,[2]cwurData!$B:$N, 11, FALSE)</f>
        <v>181</v>
      </c>
      <c r="Y572">
        <f>VLOOKUP(A572,[2]cwurData!$B:$N, 12, FALSE)</f>
        <v>45.5</v>
      </c>
      <c r="Z572">
        <f>VLOOKUP(A572,[2]cwurData!$B:$N, 13, FALSE)</f>
        <v>2014</v>
      </c>
    </row>
    <row r="573" spans="1:26" x14ac:dyDescent="0.3">
      <c r="A573" t="s">
        <v>612</v>
      </c>
      <c r="B573" t="str">
        <f>IFERROR(VLOOKUP(A573,[1]timesData!$B:$P,2,FALSE),VLOOKUP(A573,[2]cwurData!$B:$P,2,FALSE))</f>
        <v>South Korea</v>
      </c>
      <c r="C573" t="str">
        <f>VLOOKUP(A573,[1]timesData!$B:$P,3,FALSE)</f>
        <v>501-600</v>
      </c>
      <c r="D573" t="str">
        <f>VLOOKUP(A574,[1]timesData!$B:$P,3,FALSE)</f>
        <v>501-600</v>
      </c>
      <c r="E573">
        <f>VLOOKUP(A574,[1]timesData!$B:$P,4,FALSE)</f>
        <v>44.1</v>
      </c>
      <c r="F573">
        <f>VLOOKUP(A574,[1]timesData!$B:$P,5,FALSE)</f>
        <v>19.600000000000001</v>
      </c>
      <c r="G573">
        <f>VLOOKUP(A574,[1]timesData!$B:$P,6,FALSE)</f>
        <v>30.5</v>
      </c>
      <c r="H573" t="str">
        <f>VLOOKUP(A574,[1]timesData!$B:$P,7,FALSE)</f>
        <v>-</v>
      </c>
      <c r="I573" t="str">
        <f>VLOOKUP(A574,[1]timesData!$B:$P,8,FALSE)</f>
        <v>-</v>
      </c>
      <c r="J573">
        <f>VLOOKUP(A574,[1]timesData!$B:$P,9,FALSE)</f>
        <v>29207</v>
      </c>
      <c r="K573">
        <f>VLOOKUP(A574,[1]timesData!$B:$P,10,FALSE)</f>
        <v>14.2</v>
      </c>
      <c r="L573">
        <f>VLOOKUP(A574,[1]timesData!$B:$P,11,FALSE)</f>
        <v>0.03</v>
      </c>
      <c r="M573">
        <f>VLOOKUP(A574,[1]timesData!$B:$P,12,FALSE)</f>
        <v>1.9951388888888888</v>
      </c>
      <c r="N573">
        <f>VLOOKUP(A574,[1]timesData!$B:$P,13,FALSE)</f>
        <v>2016</v>
      </c>
      <c r="O573">
        <f>VLOOKUP(A573,[2]cwurData!$B:$P,14,FALSE)</f>
        <v>440</v>
      </c>
      <c r="P573">
        <f>VLOOKUP(A573,[2]cwurData!$B:$N, 3, FALSE)</f>
        <v>16</v>
      </c>
      <c r="Q573">
        <f>VLOOKUP(A573,[2]cwurData!$B:$N, 4, FALSE)</f>
        <v>355</v>
      </c>
      <c r="R573">
        <f>VLOOKUP(A573,[2]cwurData!$B:$N, 5, FALSE)</f>
        <v>422</v>
      </c>
      <c r="S573">
        <f>VLOOKUP(A573,[2]cwurData!$B:$N, 6, FALSE)</f>
        <v>210</v>
      </c>
      <c r="T573">
        <f>VLOOKUP(A573,[2]cwurData!$B:$N, 7, FALSE)</f>
        <v>395</v>
      </c>
      <c r="U573">
        <f>VLOOKUP(A573,[2]cwurData!$B:$N, 8, FALSE)</f>
        <v>511</v>
      </c>
      <c r="V573">
        <f>VLOOKUP(A573,[2]cwurData!$B:$N, 9, FALSE)</f>
        <v>363</v>
      </c>
      <c r="W573">
        <f>VLOOKUP(A573,[2]cwurData!$B:$N, 10, FALSE)</f>
        <v>496</v>
      </c>
      <c r="X573">
        <f>VLOOKUP(A573,[2]cwurData!$B:$N, 11, FALSE)</f>
        <v>128</v>
      </c>
      <c r="Y573">
        <f>VLOOKUP(A573,[2]cwurData!$B:$N, 12, FALSE)</f>
        <v>45.38</v>
      </c>
      <c r="Z573">
        <f>VLOOKUP(A573,[2]cwurData!$B:$N, 13, FALSE)</f>
        <v>2014</v>
      </c>
    </row>
    <row r="574" spans="1:26" x14ac:dyDescent="0.3">
      <c r="A574" t="s">
        <v>576</v>
      </c>
      <c r="B574" t="str">
        <f>IFERROR(VLOOKUP(A574,[1]timesData!$B:$P,2,FALSE),VLOOKUP(A574,[2]cwurData!$B:$P,2,FALSE))</f>
        <v>Chile</v>
      </c>
      <c r="C574" t="str">
        <f>VLOOKUP(A574,[1]timesData!$B:$P,3,FALSE)</f>
        <v>501-600</v>
      </c>
      <c r="D574" t="str">
        <f>VLOOKUP(A575,[1]timesData!$B:$P,3,FALSE)</f>
        <v>501-600</v>
      </c>
      <c r="E574">
        <f>VLOOKUP(A575,[1]timesData!$B:$P,4,FALSE)</f>
        <v>36.4</v>
      </c>
      <c r="F574">
        <f>VLOOKUP(A575,[1]timesData!$B:$P,5,FALSE)</f>
        <v>14.7</v>
      </c>
      <c r="G574">
        <f>VLOOKUP(A575,[1]timesData!$B:$P,6,FALSE)</f>
        <v>45.8</v>
      </c>
      <c r="H574">
        <f>VLOOKUP(A575,[1]timesData!$B:$P,7,FALSE)</f>
        <v>29.4</v>
      </c>
      <c r="I574" t="str">
        <f>VLOOKUP(A575,[1]timesData!$B:$P,8,FALSE)</f>
        <v>-</v>
      </c>
      <c r="J574">
        <f>VLOOKUP(A575,[1]timesData!$B:$P,9,FALSE)</f>
        <v>53476</v>
      </c>
      <c r="K574">
        <f>VLOOKUP(A575,[1]timesData!$B:$P,10,FALSE)</f>
        <v>16</v>
      </c>
      <c r="L574">
        <f>VLOOKUP(A575,[1]timesData!$B:$P,11,FALSE)</f>
        <v>0.06</v>
      </c>
      <c r="M574">
        <f>VLOOKUP(A575,[1]timesData!$B:$P,12,FALSE)</f>
        <v>2.3638888888888889</v>
      </c>
      <c r="N574">
        <f>VLOOKUP(A575,[1]timesData!$B:$P,13,FALSE)</f>
        <v>2016</v>
      </c>
      <c r="O574">
        <f>VLOOKUP(A574,[2]cwurData!$B:$P,14,FALSE)</f>
        <v>451</v>
      </c>
      <c r="P574">
        <f>VLOOKUP(A574,[2]cwurData!$B:$N, 3, FALSE)</f>
        <v>2</v>
      </c>
      <c r="Q574">
        <f>VLOOKUP(A574,[2]cwurData!$B:$N, 4, FALSE)</f>
        <v>232</v>
      </c>
      <c r="R574">
        <f>VLOOKUP(A574,[2]cwurData!$B:$N, 5, FALSE)</f>
        <v>278</v>
      </c>
      <c r="S574">
        <f>VLOOKUP(A574,[2]cwurData!$B:$N, 6, FALSE)</f>
        <v>210</v>
      </c>
      <c r="T574">
        <f>VLOOKUP(A574,[2]cwurData!$B:$N, 7, FALSE)</f>
        <v>416</v>
      </c>
      <c r="U574">
        <f>VLOOKUP(A574,[2]cwurData!$B:$N, 8, FALSE)</f>
        <v>375</v>
      </c>
      <c r="V574">
        <f>VLOOKUP(A574,[2]cwurData!$B:$N, 9, FALSE)</f>
        <v>493</v>
      </c>
      <c r="W574">
        <f>VLOOKUP(A574,[2]cwurData!$B:$N, 10, FALSE)</f>
        <v>409</v>
      </c>
      <c r="X574">
        <f>VLOOKUP(A574,[2]cwurData!$B:$N, 11, FALSE)</f>
        <v>552</v>
      </c>
      <c r="Y574">
        <f>VLOOKUP(A574,[2]cwurData!$B:$N, 12, FALSE)</f>
        <v>45.29</v>
      </c>
      <c r="Z574">
        <f>VLOOKUP(A574,[2]cwurData!$B:$N, 13, FALSE)</f>
        <v>2014</v>
      </c>
    </row>
    <row r="575" spans="1:26" x14ac:dyDescent="0.3">
      <c r="A575" t="s">
        <v>584</v>
      </c>
      <c r="B575" t="str">
        <f>IFERROR(VLOOKUP(A575,[1]timesData!$B:$P,2,FALSE),VLOOKUP(A575,[2]cwurData!$B:$P,2,FALSE))</f>
        <v>Spain</v>
      </c>
      <c r="C575" t="str">
        <f>VLOOKUP(A575,[1]timesData!$B:$P,3,FALSE)</f>
        <v>501-600</v>
      </c>
      <c r="D575" t="str">
        <f>VLOOKUP(A576,[1]timesData!$B:$P,3,FALSE)</f>
        <v>501-600</v>
      </c>
      <c r="E575">
        <f>VLOOKUP(A576,[1]timesData!$B:$P,4,FALSE)</f>
        <v>18.399999999999999</v>
      </c>
      <c r="F575">
        <f>VLOOKUP(A576,[1]timesData!$B:$P,5,FALSE)</f>
        <v>14.8</v>
      </c>
      <c r="G575">
        <f>VLOOKUP(A576,[1]timesData!$B:$P,6,FALSE)</f>
        <v>35.5</v>
      </c>
      <c r="H575">
        <f>VLOOKUP(A576,[1]timesData!$B:$P,7,FALSE)</f>
        <v>30.4</v>
      </c>
      <c r="I575" t="str">
        <f>VLOOKUP(A576,[1]timesData!$B:$P,8,FALSE)</f>
        <v>-</v>
      </c>
      <c r="J575">
        <f>VLOOKUP(A576,[1]timesData!$B:$P,9,FALSE)</f>
        <v>10546</v>
      </c>
      <c r="K575">
        <f>VLOOKUP(A576,[1]timesData!$B:$P,10,FALSE)</f>
        <v>10.4</v>
      </c>
      <c r="L575">
        <f>VLOOKUP(A576,[1]timesData!$B:$P,11,FALSE)</f>
        <v>0.05</v>
      </c>
      <c r="M575" t="str">
        <f>VLOOKUP(A576,[1]timesData!$B:$P,12,FALSE)</f>
        <v>36 : 64</v>
      </c>
      <c r="N575">
        <f>VLOOKUP(A576,[1]timesData!$B:$P,13,FALSE)</f>
        <v>2016</v>
      </c>
      <c r="O575">
        <f>VLOOKUP(A575,[2]cwurData!$B:$P,14,FALSE)</f>
        <v>453</v>
      </c>
      <c r="P575">
        <f>VLOOKUP(A575,[2]cwurData!$B:$N, 3, FALSE)</f>
        <v>12</v>
      </c>
      <c r="Q575">
        <f>VLOOKUP(A575,[2]cwurData!$B:$N, 4, FALSE)</f>
        <v>355</v>
      </c>
      <c r="R575">
        <f>VLOOKUP(A575,[2]cwurData!$B:$N, 5, FALSE)</f>
        <v>478</v>
      </c>
      <c r="S575">
        <f>VLOOKUP(A575,[2]cwurData!$B:$N, 6, FALSE)</f>
        <v>210</v>
      </c>
      <c r="T575">
        <f>VLOOKUP(A575,[2]cwurData!$B:$N, 7, FALSE)</f>
        <v>316</v>
      </c>
      <c r="U575">
        <f>VLOOKUP(A575,[2]cwurData!$B:$N, 8, FALSE)</f>
        <v>451</v>
      </c>
      <c r="V575">
        <f>VLOOKUP(A575,[2]cwurData!$B:$N, 9, FALSE)</f>
        <v>310</v>
      </c>
      <c r="W575">
        <f>VLOOKUP(A575,[2]cwurData!$B:$N, 10, FALSE)</f>
        <v>442</v>
      </c>
      <c r="X575">
        <f>VLOOKUP(A575,[2]cwurData!$B:$N, 11, FALSE)</f>
        <v>194</v>
      </c>
      <c r="Y575">
        <f>VLOOKUP(A575,[2]cwurData!$B:$N, 12, FALSE)</f>
        <v>45.29</v>
      </c>
      <c r="Z575">
        <f>VLOOKUP(A575,[2]cwurData!$B:$N, 13, FALSE)</f>
        <v>2014</v>
      </c>
    </row>
    <row r="576" spans="1:26" x14ac:dyDescent="0.3">
      <c r="A576" t="s">
        <v>589</v>
      </c>
      <c r="B576" t="str">
        <f>IFERROR(VLOOKUP(A576,[1]timesData!$B:$P,2,FALSE),VLOOKUP(A576,[2]cwurData!$B:$P,2,FALSE))</f>
        <v>Japan</v>
      </c>
      <c r="C576" t="str">
        <f>VLOOKUP(A576,[1]timesData!$B:$P,3,FALSE)</f>
        <v>501-600</v>
      </c>
      <c r="D576" t="str">
        <f>VLOOKUP(A577,[1]timesData!$B:$P,3,FALSE)</f>
        <v>501-600</v>
      </c>
      <c r="E576">
        <f>VLOOKUP(A577,[1]timesData!$B:$P,4,FALSE)</f>
        <v>30.5</v>
      </c>
      <c r="F576">
        <f>VLOOKUP(A577,[1]timesData!$B:$P,5,FALSE)</f>
        <v>19.2</v>
      </c>
      <c r="G576">
        <f>VLOOKUP(A577,[1]timesData!$B:$P,6,FALSE)</f>
        <v>47.2</v>
      </c>
      <c r="H576">
        <f>VLOOKUP(A577,[1]timesData!$B:$P,7,FALSE)</f>
        <v>34.6</v>
      </c>
      <c r="I576" t="str">
        <f>VLOOKUP(A577,[1]timesData!$B:$P,8,FALSE)</f>
        <v>-</v>
      </c>
      <c r="J576">
        <f>VLOOKUP(A577,[1]timesData!$B:$P,9,FALSE)</f>
        <v>15035</v>
      </c>
      <c r="K576">
        <f>VLOOKUP(A577,[1]timesData!$B:$P,10,FALSE)</f>
        <v>18.8</v>
      </c>
      <c r="L576">
        <f>VLOOKUP(A577,[1]timesData!$B:$P,11,FALSE)</f>
        <v>7.0000000000000007E-2</v>
      </c>
      <c r="M576">
        <f>VLOOKUP(A577,[1]timesData!$B:$P,12,FALSE)</f>
        <v>2.2819444444444446</v>
      </c>
      <c r="N576">
        <f>VLOOKUP(A577,[1]timesData!$B:$P,13,FALSE)</f>
        <v>2016</v>
      </c>
      <c r="O576">
        <f>VLOOKUP(A576,[2]cwurData!$B:$P,14,FALSE)</f>
        <v>454</v>
      </c>
      <c r="P576">
        <f>VLOOKUP(A576,[2]cwurData!$B:$N, 3, FALSE)</f>
        <v>24</v>
      </c>
      <c r="Q576">
        <f>VLOOKUP(A576,[2]cwurData!$B:$N, 4, FALSE)</f>
        <v>355</v>
      </c>
      <c r="R576">
        <f>VLOOKUP(A576,[2]cwurData!$B:$N, 5, FALSE)</f>
        <v>327</v>
      </c>
      <c r="S576">
        <f>VLOOKUP(A576,[2]cwurData!$B:$N, 6, FALSE)</f>
        <v>210</v>
      </c>
      <c r="T576">
        <f>VLOOKUP(A576,[2]cwurData!$B:$N, 7, FALSE)</f>
        <v>455</v>
      </c>
      <c r="U576">
        <f>VLOOKUP(A576,[2]cwurData!$B:$N, 8, FALSE)</f>
        <v>409</v>
      </c>
      <c r="V576">
        <f>VLOOKUP(A576,[2]cwurData!$B:$N, 9, FALSE)</f>
        <v>493</v>
      </c>
      <c r="W576">
        <f>VLOOKUP(A576,[2]cwurData!$B:$N, 10, FALSE)</f>
        <v>375</v>
      </c>
      <c r="X576">
        <f>VLOOKUP(A576,[2]cwurData!$B:$N, 11, FALSE)</f>
        <v>373</v>
      </c>
      <c r="Y576">
        <f>VLOOKUP(A576,[2]cwurData!$B:$N, 12, FALSE)</f>
        <v>45.29</v>
      </c>
      <c r="Z576">
        <f>VLOOKUP(A576,[2]cwurData!$B:$N, 13, FALSE)</f>
        <v>2014</v>
      </c>
    </row>
    <row r="577" spans="1:26" x14ac:dyDescent="0.3">
      <c r="A577" t="s">
        <v>602</v>
      </c>
      <c r="B577" t="str">
        <f>IFERROR(VLOOKUP(A577,[1]timesData!$B:$P,2,FALSE),VLOOKUP(A577,[2]cwurData!$B:$P,2,FALSE))</f>
        <v>United States of America</v>
      </c>
      <c r="C577" t="str">
        <f>VLOOKUP(A577,[1]timesData!$B:$P,3,FALSE)</f>
        <v>501-600</v>
      </c>
      <c r="D577" t="str">
        <f>VLOOKUP(A578,[1]timesData!$B:$P,3,FALSE)</f>
        <v>501-600</v>
      </c>
      <c r="E577">
        <f>VLOOKUP(A578,[1]timesData!$B:$P,4,FALSE)</f>
        <v>53</v>
      </c>
      <c r="F577">
        <f>VLOOKUP(A578,[1]timesData!$B:$P,5,FALSE)</f>
        <v>10.3</v>
      </c>
      <c r="G577">
        <f>VLOOKUP(A578,[1]timesData!$B:$P,6,FALSE)</f>
        <v>44.7</v>
      </c>
      <c r="H577">
        <f>VLOOKUP(A578,[1]timesData!$B:$P,7,FALSE)</f>
        <v>31.7</v>
      </c>
      <c r="I577" t="str">
        <f>VLOOKUP(A578,[1]timesData!$B:$P,8,FALSE)</f>
        <v>-</v>
      </c>
      <c r="J577">
        <f>VLOOKUP(A578,[1]timesData!$B:$P,9,FALSE)</f>
        <v>22186</v>
      </c>
      <c r="K577">
        <f>VLOOKUP(A578,[1]timesData!$B:$P,10,FALSE)</f>
        <v>13.9</v>
      </c>
      <c r="L577">
        <f>VLOOKUP(A578,[1]timesData!$B:$P,11,FALSE)</f>
        <v>0.12</v>
      </c>
      <c r="M577">
        <f>VLOOKUP(A578,[1]timesData!$B:$P,12,FALSE)</f>
        <v>2.1180555555555554</v>
      </c>
      <c r="N577">
        <f>VLOOKUP(A578,[1]timesData!$B:$P,13,FALSE)</f>
        <v>2016</v>
      </c>
      <c r="O577">
        <f>VLOOKUP(A577,[2]cwurData!$B:$P,14,FALSE)</f>
        <v>467</v>
      </c>
      <c r="P577">
        <f>VLOOKUP(A577,[2]cwurData!$B:$N, 3, FALSE)</f>
        <v>150</v>
      </c>
      <c r="Q577">
        <f>VLOOKUP(A577,[2]cwurData!$B:$N, 4, FALSE)</f>
        <v>355</v>
      </c>
      <c r="R577">
        <f>VLOOKUP(A577,[2]cwurData!$B:$N, 5, FALSE)</f>
        <v>369</v>
      </c>
      <c r="S577">
        <f>VLOOKUP(A577,[2]cwurData!$B:$N, 6, FALSE)</f>
        <v>210</v>
      </c>
      <c r="T577">
        <f>VLOOKUP(A577,[2]cwurData!$B:$N, 7, FALSE)</f>
        <v>677</v>
      </c>
      <c r="U577">
        <f>VLOOKUP(A577,[2]cwurData!$B:$N, 8, FALSE)</f>
        <v>630</v>
      </c>
      <c r="V577">
        <f>VLOOKUP(A577,[2]cwurData!$B:$N, 9, FALSE)</f>
        <v>200</v>
      </c>
      <c r="W577">
        <f>VLOOKUP(A577,[2]cwurData!$B:$N, 10, FALSE)</f>
        <v>386</v>
      </c>
      <c r="X577">
        <f>VLOOKUP(A577,[2]cwurData!$B:$N, 11, FALSE)</f>
        <v>737</v>
      </c>
      <c r="Y577">
        <f>VLOOKUP(A577,[2]cwurData!$B:$N, 12, FALSE)</f>
        <v>45.23</v>
      </c>
      <c r="Z577">
        <f>VLOOKUP(A577,[2]cwurData!$B:$N, 13, FALSE)</f>
        <v>2014</v>
      </c>
    </row>
    <row r="578" spans="1:26" x14ac:dyDescent="0.3">
      <c r="A578" t="s">
        <v>615</v>
      </c>
      <c r="B578" t="str">
        <f>IFERROR(VLOOKUP(A578,[1]timesData!$B:$P,2,FALSE),VLOOKUP(A578,[2]cwurData!$B:$P,2,FALSE))</f>
        <v>France</v>
      </c>
      <c r="C578" t="str">
        <f>VLOOKUP(A578,[1]timesData!$B:$P,3,FALSE)</f>
        <v>501-600</v>
      </c>
      <c r="D578" t="str">
        <f>VLOOKUP(A579,[1]timesData!$B:$P,3,FALSE)</f>
        <v>501-600</v>
      </c>
      <c r="E578">
        <f>VLOOKUP(A579,[1]timesData!$B:$P,4,FALSE)</f>
        <v>17.5</v>
      </c>
      <c r="F578">
        <f>VLOOKUP(A579,[1]timesData!$B:$P,5,FALSE)</f>
        <v>22.1</v>
      </c>
      <c r="G578">
        <f>VLOOKUP(A579,[1]timesData!$B:$P,6,FALSE)</f>
        <v>28.1</v>
      </c>
      <c r="H578">
        <f>VLOOKUP(A579,[1]timesData!$B:$P,7,FALSE)</f>
        <v>86.8</v>
      </c>
      <c r="I578" t="str">
        <f>VLOOKUP(A579,[1]timesData!$B:$P,8,FALSE)</f>
        <v>-</v>
      </c>
      <c r="J578">
        <f>VLOOKUP(A579,[1]timesData!$B:$P,9,FALSE)</f>
        <v>41438</v>
      </c>
      <c r="K578">
        <f>VLOOKUP(A579,[1]timesData!$B:$P,10,FALSE)</f>
        <v>17.7</v>
      </c>
      <c r="L578">
        <f>VLOOKUP(A579,[1]timesData!$B:$P,11,FALSE)</f>
        <v>0.03</v>
      </c>
      <c r="M578" t="str">
        <f>VLOOKUP(A579,[1]timesData!$B:$P,12,FALSE)</f>
        <v>33 : 67</v>
      </c>
      <c r="N578">
        <f>VLOOKUP(A579,[1]timesData!$B:$P,13,FALSE)</f>
        <v>2016</v>
      </c>
      <c r="O578">
        <f>VLOOKUP(A578,[2]cwurData!$B:$P,14,FALSE)</f>
        <v>476</v>
      </c>
      <c r="P578">
        <f>VLOOKUP(A578,[2]cwurData!$B:$N, 3, FALSE)</f>
        <v>19</v>
      </c>
      <c r="Q578">
        <f>VLOOKUP(A578,[2]cwurData!$B:$N, 4, FALSE)</f>
        <v>355</v>
      </c>
      <c r="R578">
        <f>VLOOKUP(A578,[2]cwurData!$B:$N, 5, FALSE)</f>
        <v>478</v>
      </c>
      <c r="S578">
        <f>VLOOKUP(A578,[2]cwurData!$B:$N, 6, FALSE)</f>
        <v>210</v>
      </c>
      <c r="T578">
        <f>VLOOKUP(A578,[2]cwurData!$B:$N, 7, FALSE)</f>
        <v>351</v>
      </c>
      <c r="U578">
        <f>VLOOKUP(A578,[2]cwurData!$B:$N, 8, FALSE)</f>
        <v>355</v>
      </c>
      <c r="V578">
        <f>VLOOKUP(A578,[2]cwurData!$B:$N, 9, FALSE)</f>
        <v>609</v>
      </c>
      <c r="W578">
        <f>VLOOKUP(A578,[2]cwurData!$B:$N, 10, FALSE)</f>
        <v>402</v>
      </c>
      <c r="X578">
        <f>VLOOKUP(A578,[2]cwurData!$B:$N, 11, FALSE)</f>
        <v>307</v>
      </c>
      <c r="Y578">
        <f>VLOOKUP(A578,[2]cwurData!$B:$N, 12, FALSE)</f>
        <v>45.2</v>
      </c>
      <c r="Z578">
        <f>VLOOKUP(A578,[2]cwurData!$B:$N, 13, FALSE)</f>
        <v>2014</v>
      </c>
    </row>
    <row r="579" spans="1:26" x14ac:dyDescent="0.3">
      <c r="A579" t="s">
        <v>622</v>
      </c>
      <c r="B579" t="str">
        <f>IFERROR(VLOOKUP(A579,[1]timesData!$B:$P,2,FALSE),VLOOKUP(A579,[2]cwurData!$B:$P,2,FALSE))</f>
        <v>China</v>
      </c>
      <c r="C579" t="str">
        <f>VLOOKUP(A579,[1]timesData!$B:$P,3,FALSE)</f>
        <v>501-600</v>
      </c>
      <c r="D579" t="str">
        <f>VLOOKUP(A580,[1]timesData!$B:$P,3,FALSE)</f>
        <v>501-600</v>
      </c>
      <c r="E579">
        <f>VLOOKUP(A580,[1]timesData!$B:$P,4,FALSE)</f>
        <v>34.9</v>
      </c>
      <c r="F579">
        <f>VLOOKUP(A580,[1]timesData!$B:$P,5,FALSE)</f>
        <v>11.9</v>
      </c>
      <c r="G579">
        <f>VLOOKUP(A580,[1]timesData!$B:$P,6,FALSE)</f>
        <v>43.1</v>
      </c>
      <c r="H579">
        <f>VLOOKUP(A580,[1]timesData!$B:$P,7,FALSE)</f>
        <v>30.3</v>
      </c>
      <c r="I579" t="str">
        <f>VLOOKUP(A580,[1]timesData!$B:$P,8,FALSE)</f>
        <v>-</v>
      </c>
      <c r="J579">
        <f>VLOOKUP(A580,[1]timesData!$B:$P,9,FALSE)</f>
        <v>46373</v>
      </c>
      <c r="K579">
        <f>VLOOKUP(A580,[1]timesData!$B:$P,10,FALSE)</f>
        <v>15.3</v>
      </c>
      <c r="L579">
        <f>VLOOKUP(A580,[1]timesData!$B:$P,11,FALSE)</f>
        <v>0.05</v>
      </c>
      <c r="M579">
        <f>VLOOKUP(A580,[1]timesData!$B:$P,12,FALSE)</f>
        <v>2.2409722222222221</v>
      </c>
      <c r="N579">
        <f>VLOOKUP(A580,[1]timesData!$B:$P,13,FALSE)</f>
        <v>2016</v>
      </c>
      <c r="O579">
        <f>VLOOKUP(A579,[2]cwurData!$B:$P,14,FALSE)</f>
        <v>498</v>
      </c>
      <c r="P579">
        <f>VLOOKUP(A579,[2]cwurData!$B:$N, 3, FALSE)</f>
        <v>23</v>
      </c>
      <c r="Q579">
        <f>VLOOKUP(A579,[2]cwurData!$B:$N, 4, FALSE)</f>
        <v>355</v>
      </c>
      <c r="R579">
        <f>VLOOKUP(A579,[2]cwurData!$B:$N, 5, FALSE)</f>
        <v>292</v>
      </c>
      <c r="S579">
        <f>VLOOKUP(A579,[2]cwurData!$B:$N, 6, FALSE)</f>
        <v>210</v>
      </c>
      <c r="T579">
        <f>VLOOKUP(A579,[2]cwurData!$B:$N, 7, FALSE)</f>
        <v>403</v>
      </c>
      <c r="U579">
        <f>VLOOKUP(A579,[2]cwurData!$B:$N, 8, FALSE)</f>
        <v>650</v>
      </c>
      <c r="V579">
        <f>VLOOKUP(A579,[2]cwurData!$B:$N, 9, FALSE)</f>
        <v>493</v>
      </c>
      <c r="W579">
        <f>VLOOKUP(A579,[2]cwurData!$B:$N, 10, FALSE)</f>
        <v>514</v>
      </c>
      <c r="X579">
        <f>VLOOKUP(A579,[2]cwurData!$B:$N, 11, FALSE)</f>
        <v>227</v>
      </c>
      <c r="Y579">
        <f>VLOOKUP(A579,[2]cwurData!$B:$N, 12, FALSE)</f>
        <v>45.12</v>
      </c>
      <c r="Z579">
        <f>VLOOKUP(A579,[2]cwurData!$B:$N, 13, FALSE)</f>
        <v>2014</v>
      </c>
    </row>
    <row r="580" spans="1:26" x14ac:dyDescent="0.3">
      <c r="A580" t="s">
        <v>568</v>
      </c>
      <c r="B580" t="str">
        <f>IFERROR(VLOOKUP(A580,[1]timesData!$B:$P,2,FALSE),VLOOKUP(A580,[2]cwurData!$B:$P,2,FALSE))</f>
        <v>Spain</v>
      </c>
      <c r="C580" t="str">
        <f>VLOOKUP(A580,[1]timesData!$B:$P,3,FALSE)</f>
        <v>501-600</v>
      </c>
      <c r="D580" t="str">
        <f>VLOOKUP(A581,[1]timesData!$B:$P,3,FALSE)</f>
        <v>501-600</v>
      </c>
      <c r="E580">
        <f>VLOOKUP(A581,[1]timesData!$B:$P,4,FALSE)</f>
        <v>93</v>
      </c>
      <c r="F580">
        <f>VLOOKUP(A581,[1]timesData!$B:$P,5,FALSE)</f>
        <v>11.2</v>
      </c>
      <c r="G580">
        <f>VLOOKUP(A581,[1]timesData!$B:$P,6,FALSE)</f>
        <v>31.9</v>
      </c>
      <c r="H580" t="str">
        <f>VLOOKUP(A581,[1]timesData!$B:$P,7,FALSE)</f>
        <v>-</v>
      </c>
      <c r="I580" t="str">
        <f>VLOOKUP(A581,[1]timesData!$B:$P,8,FALSE)</f>
        <v>-</v>
      </c>
      <c r="J580">
        <f>VLOOKUP(A581,[1]timesData!$B:$P,9,FALSE)</f>
        <v>7695</v>
      </c>
      <c r="K580">
        <f>VLOOKUP(A581,[1]timesData!$B:$P,10,FALSE)</f>
        <v>8.9</v>
      </c>
      <c r="L580">
        <f>VLOOKUP(A581,[1]timesData!$B:$P,11,FALSE)</f>
        <v>0.25</v>
      </c>
      <c r="M580">
        <f>VLOOKUP(A581,[1]timesData!$B:$P,12,FALSE)</f>
        <v>2.1590277777777778</v>
      </c>
      <c r="N580">
        <f>VLOOKUP(A581,[1]timesData!$B:$P,13,FALSE)</f>
        <v>2016</v>
      </c>
      <c r="O580">
        <f>VLOOKUP(A580,[2]cwurData!$B:$P,14,FALSE)</f>
        <v>531</v>
      </c>
      <c r="P580">
        <f>VLOOKUP(A580,[2]cwurData!$B:$N, 3, FALSE)</f>
        <v>16</v>
      </c>
      <c r="Q580">
        <f>VLOOKUP(A580,[2]cwurData!$B:$N, 4, FALSE)</f>
        <v>355</v>
      </c>
      <c r="R580">
        <f>VLOOKUP(A580,[2]cwurData!$B:$N, 5, FALSE)</f>
        <v>478</v>
      </c>
      <c r="S580">
        <f>VLOOKUP(A580,[2]cwurData!$B:$N, 6, FALSE)</f>
        <v>210</v>
      </c>
      <c r="T580">
        <f>VLOOKUP(A580,[2]cwurData!$B:$N, 7, FALSE)</f>
        <v>325</v>
      </c>
      <c r="U580">
        <f>VLOOKUP(A580,[2]cwurData!$B:$N, 8, FALSE)</f>
        <v>418</v>
      </c>
      <c r="V580">
        <f>VLOOKUP(A580,[2]cwurData!$B:$N, 9, FALSE)</f>
        <v>493</v>
      </c>
      <c r="W580">
        <f>VLOOKUP(A580,[2]cwurData!$B:$N, 10, FALSE)</f>
        <v>482</v>
      </c>
      <c r="X580">
        <f>VLOOKUP(A580,[2]cwurData!$B:$N, 11, FALSE)</f>
        <v>426</v>
      </c>
      <c r="Y580">
        <f>VLOOKUP(A580,[2]cwurData!$B:$N, 12, FALSE)</f>
        <v>45.01</v>
      </c>
      <c r="Z580">
        <f>VLOOKUP(A580,[2]cwurData!$B:$N, 13, FALSE)</f>
        <v>2014</v>
      </c>
    </row>
    <row r="581" spans="1:26" x14ac:dyDescent="0.3">
      <c r="A581" t="s">
        <v>564</v>
      </c>
      <c r="B581" t="str">
        <f>IFERROR(VLOOKUP(A581,[1]timesData!$B:$P,2,FALSE),VLOOKUP(A581,[2]cwurData!$B:$P,2,FALSE))</f>
        <v>Lebanon</v>
      </c>
      <c r="C581" t="str">
        <f>VLOOKUP(A581,[1]timesData!$B:$P,3,FALSE)</f>
        <v>501-600</v>
      </c>
      <c r="D581" t="str">
        <f>VLOOKUP(A582,[1]timesData!$B:$P,3,FALSE)</f>
        <v>501-600</v>
      </c>
      <c r="E581">
        <f>VLOOKUP(A582,[1]timesData!$B:$P,4,FALSE)</f>
        <v>25.3</v>
      </c>
      <c r="F581">
        <f>VLOOKUP(A582,[1]timesData!$B:$P,5,FALSE)</f>
        <v>15.9</v>
      </c>
      <c r="G581">
        <f>VLOOKUP(A582,[1]timesData!$B:$P,6,FALSE)</f>
        <v>52.9</v>
      </c>
      <c r="H581">
        <f>VLOOKUP(A582,[1]timesData!$B:$P,7,FALSE)</f>
        <v>29.5</v>
      </c>
      <c r="I581" t="str">
        <f>VLOOKUP(A582,[1]timesData!$B:$P,8,FALSE)</f>
        <v>-</v>
      </c>
      <c r="J581">
        <f>VLOOKUP(A582,[1]timesData!$B:$P,9,FALSE)</f>
        <v>55859</v>
      </c>
      <c r="K581">
        <f>VLOOKUP(A582,[1]timesData!$B:$P,10,FALSE)</f>
        <v>49.7</v>
      </c>
      <c r="L581">
        <f>VLOOKUP(A582,[1]timesData!$B:$P,11,FALSE)</f>
        <v>0.01</v>
      </c>
      <c r="M581">
        <f>VLOOKUP(A582,[1]timesData!$B:$P,12,FALSE)</f>
        <v>2.5687500000000001</v>
      </c>
      <c r="N581">
        <f>VLOOKUP(A582,[1]timesData!$B:$P,13,FALSE)</f>
        <v>2016</v>
      </c>
      <c r="O581">
        <f>VLOOKUP(A581,[2]cwurData!$B:$P,14,FALSE)</f>
        <v>561</v>
      </c>
      <c r="P581">
        <f>VLOOKUP(A581,[2]cwurData!$B:$N, 3, FALSE)</f>
        <v>1</v>
      </c>
      <c r="Q581">
        <f>VLOOKUP(A581,[2]cwurData!$B:$N, 4, FALSE)</f>
        <v>103</v>
      </c>
      <c r="R581">
        <f>VLOOKUP(A581,[2]cwurData!$B:$N, 5, FALSE)</f>
        <v>205</v>
      </c>
      <c r="S581">
        <f>VLOOKUP(A581,[2]cwurData!$B:$N, 6, FALSE)</f>
        <v>210</v>
      </c>
      <c r="T581">
        <f>VLOOKUP(A581,[2]cwurData!$B:$N, 7, FALSE)</f>
        <v>892</v>
      </c>
      <c r="U581">
        <f>VLOOKUP(A581,[2]cwurData!$B:$N, 8, FALSE)</f>
        <v>850</v>
      </c>
      <c r="V581">
        <f>VLOOKUP(A581,[2]cwurData!$B:$N, 9, FALSE)</f>
        <v>800</v>
      </c>
      <c r="W581">
        <f>VLOOKUP(A581,[2]cwurData!$B:$N, 10, FALSE)</f>
        <v>849</v>
      </c>
      <c r="X581">
        <f>VLOOKUP(A581,[2]cwurData!$B:$N, 11, FALSE)</f>
        <v>737</v>
      </c>
      <c r="Y581">
        <f>VLOOKUP(A581,[2]cwurData!$B:$N, 12, FALSE)</f>
        <v>44.93</v>
      </c>
      <c r="Z581">
        <f>VLOOKUP(A581,[2]cwurData!$B:$N, 13, FALSE)</f>
        <v>2014</v>
      </c>
    </row>
    <row r="582" spans="1:26" x14ac:dyDescent="0.3">
      <c r="A582" t="s">
        <v>574</v>
      </c>
      <c r="B582" t="str">
        <f>IFERROR(VLOOKUP(A582,[1]timesData!$B:$P,2,FALSE),VLOOKUP(A582,[2]cwurData!$B:$P,2,FALSE))</f>
        <v>Italy</v>
      </c>
      <c r="C582" t="str">
        <f>VLOOKUP(A582,[1]timesData!$B:$P,3,FALSE)</f>
        <v>501-600</v>
      </c>
      <c r="D582" t="str">
        <f>VLOOKUP(A583,[1]timesData!$B:$P,3,FALSE)</f>
        <v>501-600</v>
      </c>
      <c r="E582">
        <f>VLOOKUP(A583,[1]timesData!$B:$P,4,FALSE)</f>
        <v>36.200000000000003</v>
      </c>
      <c r="F582">
        <f>VLOOKUP(A583,[1]timesData!$B:$P,5,FALSE)</f>
        <v>10.8</v>
      </c>
      <c r="G582">
        <f>VLOOKUP(A583,[1]timesData!$B:$P,6,FALSE)</f>
        <v>41.9</v>
      </c>
      <c r="H582">
        <f>VLOOKUP(A583,[1]timesData!$B:$P,7,FALSE)</f>
        <v>34.1</v>
      </c>
      <c r="I582" t="str">
        <f>VLOOKUP(A583,[1]timesData!$B:$P,8,FALSE)</f>
        <v>-</v>
      </c>
      <c r="J582">
        <f>VLOOKUP(A583,[1]timesData!$B:$P,9,FALSE)</f>
        <v>24210</v>
      </c>
      <c r="K582">
        <f>VLOOKUP(A583,[1]timesData!$B:$P,10,FALSE)</f>
        <v>13.7</v>
      </c>
      <c r="L582">
        <f>VLOOKUP(A583,[1]timesData!$B:$P,11,FALSE)</f>
        <v>0.05</v>
      </c>
      <c r="M582">
        <f>VLOOKUP(A583,[1]timesData!$B:$P,12,FALSE)</f>
        <v>2.2819444444444446</v>
      </c>
      <c r="N582">
        <f>VLOOKUP(A583,[1]timesData!$B:$P,13,FALSE)</f>
        <v>2016</v>
      </c>
      <c r="O582">
        <f>VLOOKUP(A582,[2]cwurData!$B:$P,14,FALSE)</f>
        <v>567</v>
      </c>
      <c r="P582">
        <f>VLOOKUP(A582,[2]cwurData!$B:$N, 3, FALSE)</f>
        <v>28</v>
      </c>
      <c r="Q582">
        <f>VLOOKUP(A582,[2]cwurData!$B:$N, 4, FALSE)</f>
        <v>355</v>
      </c>
      <c r="R582">
        <f>VLOOKUP(A582,[2]cwurData!$B:$N, 5, FALSE)</f>
        <v>478</v>
      </c>
      <c r="S582">
        <f>VLOOKUP(A582,[2]cwurData!$B:$N, 6, FALSE)</f>
        <v>210</v>
      </c>
      <c r="T582">
        <f>VLOOKUP(A582,[2]cwurData!$B:$N, 7, FALSE)</f>
        <v>436</v>
      </c>
      <c r="U582">
        <f>VLOOKUP(A582,[2]cwurData!$B:$N, 8, FALSE)</f>
        <v>750</v>
      </c>
      <c r="V582">
        <f>VLOOKUP(A582,[2]cwurData!$B:$N, 9, FALSE)</f>
        <v>493</v>
      </c>
      <c r="W582">
        <f>VLOOKUP(A582,[2]cwurData!$B:$N, 10, FALSE)</f>
        <v>472</v>
      </c>
      <c r="X582">
        <f>VLOOKUP(A582,[2]cwurData!$B:$N, 11, FALSE)</f>
        <v>737</v>
      </c>
      <c r="Y582">
        <f>VLOOKUP(A582,[2]cwurData!$B:$N, 12, FALSE)</f>
        <v>44.91</v>
      </c>
      <c r="Z582">
        <f>VLOOKUP(A582,[2]cwurData!$B:$N, 13, FALSE)</f>
        <v>2014</v>
      </c>
    </row>
    <row r="583" spans="1:26" x14ac:dyDescent="0.3">
      <c r="A583" t="s">
        <v>607</v>
      </c>
      <c r="B583" t="str">
        <f>IFERROR(VLOOKUP(A583,[1]timesData!$B:$P,2,FALSE),VLOOKUP(A583,[2]cwurData!$B:$P,2,FALSE))</f>
        <v>Spain</v>
      </c>
      <c r="C583" t="str">
        <f>VLOOKUP(A583,[1]timesData!$B:$P,3,FALSE)</f>
        <v>501-600</v>
      </c>
      <c r="D583" t="str">
        <f>VLOOKUP(A584,[1]timesData!$B:$P,3,FALSE)</f>
        <v>501-600</v>
      </c>
      <c r="E583">
        <f>VLOOKUP(A584,[1]timesData!$B:$P,4,FALSE)</f>
        <v>81.7</v>
      </c>
      <c r="F583">
        <f>VLOOKUP(A584,[1]timesData!$B:$P,5,FALSE)</f>
        <v>10.6</v>
      </c>
      <c r="G583">
        <f>VLOOKUP(A584,[1]timesData!$B:$P,6,FALSE)</f>
        <v>41.5</v>
      </c>
      <c r="H583">
        <f>VLOOKUP(A584,[1]timesData!$B:$P,7,FALSE)</f>
        <v>30.7</v>
      </c>
      <c r="I583" t="str">
        <f>VLOOKUP(A584,[1]timesData!$B:$P,8,FALSE)</f>
        <v>-</v>
      </c>
      <c r="J583">
        <f>VLOOKUP(A584,[1]timesData!$B:$P,9,FALSE)</f>
        <v>12920</v>
      </c>
      <c r="K583">
        <f>VLOOKUP(A584,[1]timesData!$B:$P,10,FALSE)</f>
        <v>10.9</v>
      </c>
      <c r="L583">
        <f>VLOOKUP(A584,[1]timesData!$B:$P,11,FALSE)</f>
        <v>0.25</v>
      </c>
      <c r="M583">
        <f>VLOOKUP(A584,[1]timesData!$B:$P,12,FALSE)</f>
        <v>2.6916666666666669</v>
      </c>
      <c r="N583">
        <f>VLOOKUP(A584,[1]timesData!$B:$P,13,FALSE)</f>
        <v>2016</v>
      </c>
      <c r="O583">
        <f>VLOOKUP(A583,[2]cwurData!$B:$P,14,FALSE)</f>
        <v>580</v>
      </c>
      <c r="P583">
        <f>VLOOKUP(A583,[2]cwurData!$B:$N, 3, FALSE)</f>
        <v>17</v>
      </c>
      <c r="Q583">
        <f>VLOOKUP(A583,[2]cwurData!$B:$N, 4, FALSE)</f>
        <v>355</v>
      </c>
      <c r="R583">
        <f>VLOOKUP(A583,[2]cwurData!$B:$N, 5, FALSE)</f>
        <v>478</v>
      </c>
      <c r="S583">
        <f>VLOOKUP(A583,[2]cwurData!$B:$N, 6, FALSE)</f>
        <v>210</v>
      </c>
      <c r="T583">
        <f>VLOOKUP(A583,[2]cwurData!$B:$N, 7, FALSE)</f>
        <v>437</v>
      </c>
      <c r="U583">
        <f>VLOOKUP(A583,[2]cwurData!$B:$N, 8, FALSE)</f>
        <v>465</v>
      </c>
      <c r="V583">
        <f>VLOOKUP(A583,[2]cwurData!$B:$N, 9, FALSE)</f>
        <v>493</v>
      </c>
      <c r="W583">
        <f>VLOOKUP(A583,[2]cwurData!$B:$N, 10, FALSE)</f>
        <v>514</v>
      </c>
      <c r="X583">
        <f>VLOOKUP(A583,[2]cwurData!$B:$N, 11, FALSE)</f>
        <v>426</v>
      </c>
      <c r="Y583">
        <f>VLOOKUP(A583,[2]cwurData!$B:$N, 12, FALSE)</f>
        <v>44.85</v>
      </c>
      <c r="Z583">
        <f>VLOOKUP(A583,[2]cwurData!$B:$N, 13, FALSE)</f>
        <v>2014</v>
      </c>
    </row>
    <row r="584" spans="1:26" x14ac:dyDescent="0.3">
      <c r="A584" t="s">
        <v>618</v>
      </c>
      <c r="B584" t="str">
        <f>IFERROR(VLOOKUP(A584,[1]timesData!$B:$P,2,FALSE),VLOOKUP(A584,[2]cwurData!$B:$P,2,FALSE))</f>
        <v>Hungary</v>
      </c>
      <c r="C584" t="str">
        <f>VLOOKUP(A584,[1]timesData!$B:$P,3,FALSE)</f>
        <v>501-600</v>
      </c>
      <c r="D584" t="str">
        <f>VLOOKUP(A585,[1]timesData!$B:$P,3,FALSE)</f>
        <v>501-600</v>
      </c>
      <c r="E584">
        <f>VLOOKUP(A585,[1]timesData!$B:$P,4,FALSE)</f>
        <v>46</v>
      </c>
      <c r="F584">
        <f>VLOOKUP(A585,[1]timesData!$B:$P,5,FALSE)</f>
        <v>21.2</v>
      </c>
      <c r="G584">
        <f>VLOOKUP(A585,[1]timesData!$B:$P,6,FALSE)</f>
        <v>17.5</v>
      </c>
      <c r="H584">
        <f>VLOOKUP(A585,[1]timesData!$B:$P,7,FALSE)</f>
        <v>52.4</v>
      </c>
      <c r="I584" t="str">
        <f>VLOOKUP(A585,[1]timesData!$B:$P,8,FALSE)</f>
        <v>-</v>
      </c>
      <c r="J584">
        <f>VLOOKUP(A585,[1]timesData!$B:$P,9,FALSE)</f>
        <v>37314</v>
      </c>
      <c r="K584">
        <f>VLOOKUP(A585,[1]timesData!$B:$P,10,FALSE)</f>
        <v>20</v>
      </c>
      <c r="L584">
        <f>VLOOKUP(A585,[1]timesData!$B:$P,11,FALSE)</f>
        <v>0.08</v>
      </c>
      <c r="M584">
        <f>VLOOKUP(A585,[1]timesData!$B:$P,12,FALSE)</f>
        <v>2.4048611111111109</v>
      </c>
      <c r="N584">
        <f>VLOOKUP(A585,[1]timesData!$B:$P,13,FALSE)</f>
        <v>2016</v>
      </c>
      <c r="O584">
        <f>VLOOKUP(A584,[2]cwurData!$B:$P,14,FALSE)</f>
        <v>598</v>
      </c>
      <c r="P584">
        <f>VLOOKUP(A584,[2]cwurData!$B:$N, 3, FALSE)</f>
        <v>2</v>
      </c>
      <c r="Q584">
        <f>VLOOKUP(A584,[2]cwurData!$B:$N, 4, FALSE)</f>
        <v>355</v>
      </c>
      <c r="R584">
        <f>VLOOKUP(A584,[2]cwurData!$B:$N, 5, FALSE)</f>
        <v>478</v>
      </c>
      <c r="S584">
        <f>VLOOKUP(A584,[2]cwurData!$B:$N, 6, FALSE)</f>
        <v>210</v>
      </c>
      <c r="T584">
        <f>VLOOKUP(A584,[2]cwurData!$B:$N, 7, FALSE)</f>
        <v>668</v>
      </c>
      <c r="U584">
        <f>VLOOKUP(A584,[2]cwurData!$B:$N, 8, FALSE)</f>
        <v>517</v>
      </c>
      <c r="V584">
        <f>VLOOKUP(A584,[2]cwurData!$B:$N, 9, FALSE)</f>
        <v>493</v>
      </c>
      <c r="W584">
        <f>VLOOKUP(A584,[2]cwurData!$B:$N, 10, FALSE)</f>
        <v>496</v>
      </c>
      <c r="X584">
        <f>VLOOKUP(A584,[2]cwurData!$B:$N, 11, FALSE)</f>
        <v>552</v>
      </c>
      <c r="Y584">
        <f>VLOOKUP(A584,[2]cwurData!$B:$N, 12, FALSE)</f>
        <v>44.82</v>
      </c>
      <c r="Z584">
        <f>VLOOKUP(A584,[2]cwurData!$B:$N, 13, FALSE)</f>
        <v>2014</v>
      </c>
    </row>
    <row r="585" spans="1:26" x14ac:dyDescent="0.3">
      <c r="A585" t="s">
        <v>611</v>
      </c>
      <c r="B585" t="str">
        <f>IFERROR(VLOOKUP(A585,[1]timesData!$B:$P,2,FALSE),VLOOKUP(A585,[2]cwurData!$B:$P,2,FALSE))</f>
        <v>South Africa</v>
      </c>
      <c r="C585" t="str">
        <f>VLOOKUP(A585,[1]timesData!$B:$P,3,FALSE)</f>
        <v>501-600</v>
      </c>
      <c r="D585" t="str">
        <f>VLOOKUP(A586,[1]timesData!$B:$P,3,FALSE)</f>
        <v>501-600</v>
      </c>
      <c r="E585">
        <f>VLOOKUP(A586,[1]timesData!$B:$P,4,FALSE)</f>
        <v>40.799999999999997</v>
      </c>
      <c r="F585">
        <f>VLOOKUP(A586,[1]timesData!$B:$P,5,FALSE)</f>
        <v>16.899999999999999</v>
      </c>
      <c r="G585">
        <f>VLOOKUP(A586,[1]timesData!$B:$P,6,FALSE)</f>
        <v>25.9</v>
      </c>
      <c r="H585">
        <f>VLOOKUP(A586,[1]timesData!$B:$P,7,FALSE)</f>
        <v>31.6</v>
      </c>
      <c r="I585" t="str">
        <f>VLOOKUP(A586,[1]timesData!$B:$P,8,FALSE)</f>
        <v>-</v>
      </c>
      <c r="J585">
        <f>VLOOKUP(A586,[1]timesData!$B:$P,9,FALSE)</f>
        <v>31035</v>
      </c>
      <c r="K585">
        <f>VLOOKUP(A586,[1]timesData!$B:$P,10,FALSE)</f>
        <v>17.899999999999999</v>
      </c>
      <c r="L585">
        <f>VLOOKUP(A586,[1]timesData!$B:$P,11,FALSE)</f>
        <v>0.12</v>
      </c>
      <c r="M585">
        <f>VLOOKUP(A586,[1]timesData!$B:$P,12,FALSE)</f>
        <v>2.4458333333333333</v>
      </c>
      <c r="N585">
        <f>VLOOKUP(A586,[1]timesData!$B:$P,13,FALSE)</f>
        <v>2016</v>
      </c>
      <c r="O585">
        <f>VLOOKUP(A585,[2]cwurData!$B:$P,14,FALSE)</f>
        <v>609</v>
      </c>
      <c r="P585">
        <f>VLOOKUP(A585,[2]cwurData!$B:$N, 3, FALSE)</f>
        <v>5</v>
      </c>
      <c r="Q585">
        <f>VLOOKUP(A585,[2]cwurData!$B:$N, 4, FALSE)</f>
        <v>355</v>
      </c>
      <c r="R585">
        <f>VLOOKUP(A585,[2]cwurData!$B:$N, 5, FALSE)</f>
        <v>233</v>
      </c>
      <c r="S585">
        <f>VLOOKUP(A585,[2]cwurData!$B:$N, 6, FALSE)</f>
        <v>210</v>
      </c>
      <c r="T585">
        <f>VLOOKUP(A585,[2]cwurData!$B:$N, 7, FALSE)</f>
        <v>597</v>
      </c>
      <c r="U585">
        <f>VLOOKUP(A585,[2]cwurData!$B:$N, 8, FALSE)</f>
        <v>557</v>
      </c>
      <c r="V585">
        <f>VLOOKUP(A585,[2]cwurData!$B:$N, 9, FALSE)</f>
        <v>493</v>
      </c>
      <c r="W585">
        <f>VLOOKUP(A585,[2]cwurData!$B:$N, 10, FALSE)</f>
        <v>716</v>
      </c>
      <c r="X585">
        <f>VLOOKUP(A585,[2]cwurData!$B:$N, 11, FALSE)</f>
        <v>481</v>
      </c>
      <c r="Y585">
        <f>VLOOKUP(A585,[2]cwurData!$B:$N, 12, FALSE)</f>
        <v>44.8</v>
      </c>
      <c r="Z585">
        <f>VLOOKUP(A585,[2]cwurData!$B:$N, 13, FALSE)</f>
        <v>2014</v>
      </c>
    </row>
    <row r="586" spans="1:26" x14ac:dyDescent="0.3">
      <c r="A586" t="s">
        <v>616</v>
      </c>
      <c r="B586" t="str">
        <f>IFERROR(VLOOKUP(A586,[1]timesData!$B:$P,2,FALSE),VLOOKUP(A586,[2]cwurData!$B:$P,2,FALSE))</f>
        <v>Spain</v>
      </c>
      <c r="C586" t="str">
        <f>VLOOKUP(A586,[1]timesData!$B:$P,3,FALSE)</f>
        <v>501-600</v>
      </c>
      <c r="D586" t="str">
        <f>VLOOKUP(A587,[1]timesData!$B:$P,3,FALSE)</f>
        <v>501-600</v>
      </c>
      <c r="E586">
        <f>VLOOKUP(A587,[1]timesData!$B:$P,4,FALSE)</f>
        <v>40.6</v>
      </c>
      <c r="F586">
        <f>VLOOKUP(A587,[1]timesData!$B:$P,5,FALSE)</f>
        <v>18.399999999999999</v>
      </c>
      <c r="G586">
        <f>VLOOKUP(A587,[1]timesData!$B:$P,6,FALSE)</f>
        <v>28.7</v>
      </c>
      <c r="H586">
        <f>VLOOKUP(A587,[1]timesData!$B:$P,7,FALSE)</f>
        <v>52.8</v>
      </c>
      <c r="I586" t="str">
        <f>VLOOKUP(A587,[1]timesData!$B:$P,8,FALSE)</f>
        <v>-</v>
      </c>
      <c r="J586">
        <f>VLOOKUP(A587,[1]timesData!$B:$P,9,FALSE)</f>
        <v>7647</v>
      </c>
      <c r="K586">
        <f>VLOOKUP(A587,[1]timesData!$B:$P,10,FALSE)</f>
        <v>15.5</v>
      </c>
      <c r="L586">
        <f>VLOOKUP(A587,[1]timesData!$B:$P,11,FALSE)</f>
        <v>0.12</v>
      </c>
      <c r="M586">
        <f>VLOOKUP(A587,[1]timesData!$B:$P,12,FALSE)</f>
        <v>1.0118055555555556</v>
      </c>
      <c r="N586">
        <f>VLOOKUP(A587,[1]timesData!$B:$P,13,FALSE)</f>
        <v>2016</v>
      </c>
      <c r="O586">
        <f>VLOOKUP(A586,[2]cwurData!$B:$P,14,FALSE)</f>
        <v>620</v>
      </c>
      <c r="P586">
        <f>VLOOKUP(A586,[2]cwurData!$B:$N, 3, FALSE)</f>
        <v>18</v>
      </c>
      <c r="Q586">
        <f>VLOOKUP(A586,[2]cwurData!$B:$N, 4, FALSE)</f>
        <v>355</v>
      </c>
      <c r="R586">
        <f>VLOOKUP(A586,[2]cwurData!$B:$N, 5, FALSE)</f>
        <v>423</v>
      </c>
      <c r="S586">
        <f>VLOOKUP(A586,[2]cwurData!$B:$N, 6, FALSE)</f>
        <v>210</v>
      </c>
      <c r="T586">
        <f>VLOOKUP(A586,[2]cwurData!$B:$N, 7, FALSE)</f>
        <v>558</v>
      </c>
      <c r="U586">
        <f>VLOOKUP(A586,[2]cwurData!$B:$N, 8, FALSE)</f>
        <v>558</v>
      </c>
      <c r="V586">
        <f>VLOOKUP(A586,[2]cwurData!$B:$N, 9, FALSE)</f>
        <v>363</v>
      </c>
      <c r="W586">
        <f>VLOOKUP(A586,[2]cwurData!$B:$N, 10, FALSE)</f>
        <v>569</v>
      </c>
      <c r="X586">
        <f>VLOOKUP(A586,[2]cwurData!$B:$N, 11, FALSE)</f>
        <v>737</v>
      </c>
      <c r="Y586">
        <f>VLOOKUP(A586,[2]cwurData!$B:$N, 12, FALSE)</f>
        <v>44.77</v>
      </c>
      <c r="Z586">
        <f>VLOOKUP(A586,[2]cwurData!$B:$N, 13, FALSE)</f>
        <v>2014</v>
      </c>
    </row>
    <row r="587" spans="1:26" x14ac:dyDescent="0.3">
      <c r="A587" t="s">
        <v>597</v>
      </c>
      <c r="B587" t="str">
        <f>IFERROR(VLOOKUP(A587,[1]timesData!$B:$P,2,FALSE),VLOOKUP(A587,[2]cwurData!$B:$P,2,FALSE))</f>
        <v>United States of America</v>
      </c>
      <c r="C587" t="str">
        <f>VLOOKUP(A587,[1]timesData!$B:$P,3,FALSE)</f>
        <v>501-600</v>
      </c>
      <c r="D587" t="str">
        <f>VLOOKUP(A588,[1]timesData!$B:$P,3,FALSE)</f>
        <v>501-600</v>
      </c>
      <c r="E587">
        <f>VLOOKUP(A588,[1]timesData!$B:$P,4,FALSE)</f>
        <v>44.7</v>
      </c>
      <c r="F587">
        <f>VLOOKUP(A588,[1]timesData!$B:$P,5,FALSE)</f>
        <v>10</v>
      </c>
      <c r="G587">
        <f>VLOOKUP(A588,[1]timesData!$B:$P,6,FALSE)</f>
        <v>44.8</v>
      </c>
      <c r="H587">
        <f>VLOOKUP(A588,[1]timesData!$B:$P,7,FALSE)</f>
        <v>28.5</v>
      </c>
      <c r="I587" t="str">
        <f>VLOOKUP(A588,[1]timesData!$B:$P,8,FALSE)</f>
        <v>-</v>
      </c>
      <c r="J587">
        <f>VLOOKUP(A588,[1]timesData!$B:$P,9,FALSE)</f>
        <v>22422</v>
      </c>
      <c r="K587">
        <f>VLOOKUP(A588,[1]timesData!$B:$P,10,FALSE)</f>
        <v>14.9</v>
      </c>
      <c r="L587">
        <f>VLOOKUP(A588,[1]timesData!$B:$P,11,FALSE)</f>
        <v>0.05</v>
      </c>
      <c r="M587">
        <f>VLOOKUP(A588,[1]timesData!$B:$P,12,FALSE)</f>
        <v>2.4458333333333333</v>
      </c>
      <c r="N587">
        <f>VLOOKUP(A588,[1]timesData!$B:$P,13,FALSE)</f>
        <v>2016</v>
      </c>
      <c r="O587">
        <f>VLOOKUP(A587,[2]cwurData!$B:$P,14,FALSE)</f>
        <v>637</v>
      </c>
      <c r="P587">
        <f>VLOOKUP(A587,[2]cwurData!$B:$N, 3, FALSE)</f>
        <v>183</v>
      </c>
      <c r="Q587">
        <f>VLOOKUP(A587,[2]cwurData!$B:$N, 4, FALSE)</f>
        <v>355</v>
      </c>
      <c r="R587">
        <f>VLOOKUP(A587,[2]cwurData!$B:$N, 5, FALSE)</f>
        <v>204</v>
      </c>
      <c r="S587">
        <f>VLOOKUP(A587,[2]cwurData!$B:$N, 6, FALSE)</f>
        <v>210</v>
      </c>
      <c r="T587">
        <f>VLOOKUP(A587,[2]cwurData!$B:$N, 7, FALSE)</f>
        <v>696</v>
      </c>
      <c r="U587">
        <f>VLOOKUP(A587,[2]cwurData!$B:$N, 8, FALSE)</f>
        <v>866</v>
      </c>
      <c r="V587">
        <f>VLOOKUP(A587,[2]cwurData!$B:$N, 9, FALSE)</f>
        <v>493</v>
      </c>
      <c r="W587">
        <f>VLOOKUP(A587,[2]cwurData!$B:$N, 10, FALSE)</f>
        <v>819</v>
      </c>
      <c r="X587">
        <f>VLOOKUP(A587,[2]cwurData!$B:$N, 11, FALSE)</f>
        <v>737</v>
      </c>
      <c r="Y587">
        <f>VLOOKUP(A587,[2]cwurData!$B:$N, 12, FALSE)</f>
        <v>44.73</v>
      </c>
      <c r="Z587">
        <f>VLOOKUP(A587,[2]cwurData!$B:$N, 13, FALSE)</f>
        <v>2014</v>
      </c>
    </row>
    <row r="588" spans="1:26" x14ac:dyDescent="0.3">
      <c r="A588" t="s">
        <v>591</v>
      </c>
      <c r="B588" t="str">
        <f>IFERROR(VLOOKUP(A588,[1]timesData!$B:$P,2,FALSE),VLOOKUP(A588,[2]cwurData!$B:$P,2,FALSE))</f>
        <v>Spain</v>
      </c>
      <c r="C588" t="str">
        <f>VLOOKUP(A588,[1]timesData!$B:$P,3,FALSE)</f>
        <v>501-600</v>
      </c>
      <c r="D588" t="str">
        <f>VLOOKUP(A589,[1]timesData!$B:$P,3,FALSE)</f>
        <v>501-600</v>
      </c>
      <c r="E588">
        <f>VLOOKUP(A589,[1]timesData!$B:$P,4,FALSE)</f>
        <v>31.3</v>
      </c>
      <c r="F588">
        <f>VLOOKUP(A589,[1]timesData!$B:$P,5,FALSE)</f>
        <v>15</v>
      </c>
      <c r="G588">
        <f>VLOOKUP(A589,[1]timesData!$B:$P,6,FALSE)</f>
        <v>36.200000000000003</v>
      </c>
      <c r="H588">
        <f>VLOOKUP(A589,[1]timesData!$B:$P,7,FALSE)</f>
        <v>40.299999999999997</v>
      </c>
      <c r="I588" t="str">
        <f>VLOOKUP(A589,[1]timesData!$B:$P,8,FALSE)</f>
        <v>-</v>
      </c>
      <c r="J588">
        <f>VLOOKUP(A589,[1]timesData!$B:$P,9,FALSE)</f>
        <v>14780</v>
      </c>
      <c r="K588">
        <f>VLOOKUP(A589,[1]timesData!$B:$P,10,FALSE)</f>
        <v>26.9</v>
      </c>
      <c r="L588">
        <f>VLOOKUP(A589,[1]timesData!$B:$P,11,FALSE)</f>
        <v>7.0000000000000007E-2</v>
      </c>
      <c r="M588" t="str">
        <f>VLOOKUP(A589,[1]timesData!$B:$P,12,FALSE)</f>
        <v>36 : 64</v>
      </c>
      <c r="N588">
        <f>VLOOKUP(A589,[1]timesData!$B:$P,13,FALSE)</f>
        <v>2016</v>
      </c>
      <c r="O588">
        <f>VLOOKUP(A588,[2]cwurData!$B:$P,14,FALSE)</f>
        <v>641</v>
      </c>
      <c r="P588">
        <f>VLOOKUP(A588,[2]cwurData!$B:$N, 3, FALSE)</f>
        <v>19</v>
      </c>
      <c r="Q588">
        <f>VLOOKUP(A588,[2]cwurData!$B:$N, 4, FALSE)</f>
        <v>355</v>
      </c>
      <c r="R588">
        <f>VLOOKUP(A588,[2]cwurData!$B:$N, 5, FALSE)</f>
        <v>478</v>
      </c>
      <c r="S588">
        <f>VLOOKUP(A588,[2]cwurData!$B:$N, 6, FALSE)</f>
        <v>210</v>
      </c>
      <c r="T588">
        <f>VLOOKUP(A588,[2]cwurData!$B:$N, 7, FALSE)</f>
        <v>521</v>
      </c>
      <c r="U588">
        <f>VLOOKUP(A588,[2]cwurData!$B:$N, 8, FALSE)</f>
        <v>358</v>
      </c>
      <c r="V588">
        <f>VLOOKUP(A588,[2]cwurData!$B:$N, 9, FALSE)</f>
        <v>800</v>
      </c>
      <c r="W588">
        <f>VLOOKUP(A588,[2]cwurData!$B:$N, 10, FALSE)</f>
        <v>554</v>
      </c>
      <c r="X588">
        <f>VLOOKUP(A588,[2]cwurData!$B:$N, 11, FALSE)</f>
        <v>552</v>
      </c>
      <c r="Y588">
        <f>VLOOKUP(A588,[2]cwurData!$B:$N, 12, FALSE)</f>
        <v>44.73</v>
      </c>
      <c r="Z588">
        <f>VLOOKUP(A588,[2]cwurData!$B:$N, 13, FALSE)</f>
        <v>2014</v>
      </c>
    </row>
    <row r="589" spans="1:26" x14ac:dyDescent="0.3">
      <c r="A589" t="s">
        <v>601</v>
      </c>
      <c r="B589" t="str">
        <f>IFERROR(VLOOKUP(A589,[1]timesData!$B:$P,2,FALSE),VLOOKUP(A589,[2]cwurData!$B:$P,2,FALSE))</f>
        <v>Greece</v>
      </c>
      <c r="C589" t="str">
        <f>VLOOKUP(A589,[1]timesData!$B:$P,3,FALSE)</f>
        <v>501-600</v>
      </c>
      <c r="D589" t="str">
        <f>VLOOKUP(A590,[1]timesData!$B:$P,3,FALSE)</f>
        <v>501-600</v>
      </c>
      <c r="E589">
        <f>VLOOKUP(A590,[1]timesData!$B:$P,4,FALSE)</f>
        <v>50.9</v>
      </c>
      <c r="F589">
        <f>VLOOKUP(A590,[1]timesData!$B:$P,5,FALSE)</f>
        <v>8.8000000000000007</v>
      </c>
      <c r="G589">
        <f>VLOOKUP(A590,[1]timesData!$B:$P,6,FALSE)</f>
        <v>46.3</v>
      </c>
      <c r="H589" t="str">
        <f>VLOOKUP(A590,[1]timesData!$B:$P,7,FALSE)</f>
        <v>-</v>
      </c>
      <c r="I589" t="str">
        <f>VLOOKUP(A590,[1]timesData!$B:$P,8,FALSE)</f>
        <v>-</v>
      </c>
      <c r="J589">
        <f>VLOOKUP(A590,[1]timesData!$B:$P,9,FALSE)</f>
        <v>26612</v>
      </c>
      <c r="K589">
        <f>VLOOKUP(A590,[1]timesData!$B:$P,10,FALSE)</f>
        <v>20.8</v>
      </c>
      <c r="L589">
        <f>VLOOKUP(A590,[1]timesData!$B:$P,11,FALSE)</f>
        <v>0.11</v>
      </c>
      <c r="M589">
        <f>VLOOKUP(A590,[1]timesData!$B:$P,12,FALSE)</f>
        <v>2.2819444444444446</v>
      </c>
      <c r="N589">
        <f>VLOOKUP(A590,[1]timesData!$B:$P,13,FALSE)</f>
        <v>2016</v>
      </c>
      <c r="O589">
        <f>VLOOKUP(A589,[2]cwurData!$B:$P,14,FALSE)</f>
        <v>648</v>
      </c>
      <c r="P589">
        <f>VLOOKUP(A589,[2]cwurData!$B:$N, 3, FALSE)</f>
        <v>6</v>
      </c>
      <c r="Q589">
        <f>VLOOKUP(A589,[2]cwurData!$B:$N, 4, FALSE)</f>
        <v>167</v>
      </c>
      <c r="R589">
        <f>VLOOKUP(A589,[2]cwurData!$B:$N, 5, FALSE)</f>
        <v>478</v>
      </c>
      <c r="S589">
        <f>VLOOKUP(A589,[2]cwurData!$B:$N, 6, FALSE)</f>
        <v>210</v>
      </c>
      <c r="T589">
        <f>VLOOKUP(A589,[2]cwurData!$B:$N, 7, FALSE)</f>
        <v>498</v>
      </c>
      <c r="U589">
        <f>VLOOKUP(A589,[2]cwurData!$B:$N, 8, FALSE)</f>
        <v>938</v>
      </c>
      <c r="V589">
        <f>VLOOKUP(A589,[2]cwurData!$B:$N, 9, FALSE)</f>
        <v>493</v>
      </c>
      <c r="W589">
        <f>VLOOKUP(A589,[2]cwurData!$B:$N, 10, FALSE)</f>
        <v>663</v>
      </c>
      <c r="X589">
        <f>VLOOKUP(A589,[2]cwurData!$B:$N, 11, FALSE)</f>
        <v>737</v>
      </c>
      <c r="Y589">
        <f>VLOOKUP(A589,[2]cwurData!$B:$N, 12, FALSE)</f>
        <v>44.72</v>
      </c>
      <c r="Z589">
        <f>VLOOKUP(A589,[2]cwurData!$B:$N, 13, FALSE)</f>
        <v>2014</v>
      </c>
    </row>
    <row r="590" spans="1:26" x14ac:dyDescent="0.3">
      <c r="A590" t="s">
        <v>572</v>
      </c>
      <c r="B590" t="str">
        <f>IFERROR(VLOOKUP(A590,[1]timesData!$B:$P,2,FALSE),VLOOKUP(A590,[2]cwurData!$B:$P,2,FALSE))</f>
        <v>France</v>
      </c>
      <c r="C590" t="str">
        <f>VLOOKUP(A590,[1]timesData!$B:$P,3,FALSE)</f>
        <v>501-600</v>
      </c>
      <c r="D590" t="str">
        <f>VLOOKUP(A591,[1]timesData!$B:$P,3,FALSE)</f>
        <v>501-600</v>
      </c>
      <c r="E590">
        <f>VLOOKUP(A591,[1]timesData!$B:$P,4,FALSE)</f>
        <v>53.3</v>
      </c>
      <c r="F590">
        <f>VLOOKUP(A591,[1]timesData!$B:$P,5,FALSE)</f>
        <v>15.8</v>
      </c>
      <c r="G590">
        <f>VLOOKUP(A591,[1]timesData!$B:$P,6,FALSE)</f>
        <v>35.6</v>
      </c>
      <c r="H590">
        <f>VLOOKUP(A591,[1]timesData!$B:$P,7,FALSE)</f>
        <v>48.3</v>
      </c>
      <c r="I590" t="str">
        <f>VLOOKUP(A591,[1]timesData!$B:$P,8,FALSE)</f>
        <v>-</v>
      </c>
      <c r="J590">
        <f>VLOOKUP(A591,[1]timesData!$B:$P,9,FALSE)</f>
        <v>15464</v>
      </c>
      <c r="K590">
        <f>VLOOKUP(A591,[1]timesData!$B:$P,10,FALSE)</f>
        <v>14.6</v>
      </c>
      <c r="L590">
        <f>VLOOKUP(A591,[1]timesData!$B:$P,11,FALSE)</f>
        <v>0.1</v>
      </c>
      <c r="M590">
        <f>VLOOKUP(A591,[1]timesData!$B:$P,12,FALSE)</f>
        <v>2.4868055555555557</v>
      </c>
      <c r="N590">
        <f>VLOOKUP(A591,[1]timesData!$B:$P,13,FALSE)</f>
        <v>2016</v>
      </c>
      <c r="O590">
        <f>VLOOKUP(A590,[2]cwurData!$B:$P,14,FALSE)</f>
        <v>651</v>
      </c>
      <c r="P590">
        <f>VLOOKUP(A590,[2]cwurData!$B:$N, 3, FALSE)</f>
        <v>30</v>
      </c>
      <c r="Q590">
        <f>VLOOKUP(A590,[2]cwurData!$B:$N, 4, FALSE)</f>
        <v>214</v>
      </c>
      <c r="R590">
        <f>VLOOKUP(A590,[2]cwurData!$B:$N, 5, FALSE)</f>
        <v>478</v>
      </c>
      <c r="S590">
        <f>VLOOKUP(A590,[2]cwurData!$B:$N, 6, FALSE)</f>
        <v>210</v>
      </c>
      <c r="T590">
        <f>VLOOKUP(A590,[2]cwurData!$B:$N, 7, FALSE)</f>
        <v>524</v>
      </c>
      <c r="U590">
        <f>VLOOKUP(A590,[2]cwurData!$B:$N, 8, FALSE)</f>
        <v>541</v>
      </c>
      <c r="V590">
        <f>VLOOKUP(A590,[2]cwurData!$B:$N, 9, FALSE)</f>
        <v>800</v>
      </c>
      <c r="W590">
        <f>VLOOKUP(A590,[2]cwurData!$B:$N, 10, FALSE)</f>
        <v>605</v>
      </c>
      <c r="X590">
        <f>VLOOKUP(A590,[2]cwurData!$B:$N, 11, FALSE)</f>
        <v>737</v>
      </c>
      <c r="Y590">
        <f>VLOOKUP(A590,[2]cwurData!$B:$N, 12, FALSE)</f>
        <v>44.71</v>
      </c>
      <c r="Z590">
        <f>VLOOKUP(A590,[2]cwurData!$B:$N, 13, FALSE)</f>
        <v>2014</v>
      </c>
    </row>
    <row r="591" spans="1:26" x14ac:dyDescent="0.3">
      <c r="A591" t="s">
        <v>596</v>
      </c>
      <c r="B591" t="str">
        <f>IFERROR(VLOOKUP(A591,[1]timesData!$B:$P,2,FALSE),VLOOKUP(A591,[2]cwurData!$B:$P,2,FALSE))</f>
        <v>Canada</v>
      </c>
      <c r="C591" t="str">
        <f>VLOOKUP(A591,[1]timesData!$B:$P,3,FALSE)</f>
        <v>501-600</v>
      </c>
      <c r="D591" t="str">
        <f>VLOOKUP(A592,[1]timesData!$B:$P,3,FALSE)</f>
        <v>501-600</v>
      </c>
      <c r="E591">
        <f>VLOOKUP(A592,[1]timesData!$B:$P,4,FALSE)</f>
        <v>31.6</v>
      </c>
      <c r="F591">
        <f>VLOOKUP(A592,[1]timesData!$B:$P,5,FALSE)</f>
        <v>14.4</v>
      </c>
      <c r="G591">
        <f>VLOOKUP(A592,[1]timesData!$B:$P,6,FALSE)</f>
        <v>43.3</v>
      </c>
      <c r="H591">
        <f>VLOOKUP(A592,[1]timesData!$B:$P,7,FALSE)</f>
        <v>44.6</v>
      </c>
      <c r="I591" t="str">
        <f>VLOOKUP(A592,[1]timesData!$B:$P,8,FALSE)</f>
        <v>-</v>
      </c>
      <c r="J591">
        <f>VLOOKUP(A592,[1]timesData!$B:$P,9,FALSE)</f>
        <v>20398</v>
      </c>
      <c r="K591">
        <f>VLOOKUP(A592,[1]timesData!$B:$P,10,FALSE)</f>
        <v>22.2</v>
      </c>
      <c r="L591">
        <f>VLOOKUP(A592,[1]timesData!$B:$P,11,FALSE)</f>
        <v>0.08</v>
      </c>
      <c r="M591">
        <f>VLOOKUP(A592,[1]timesData!$B:$P,12,FALSE)</f>
        <v>2.2819444444444446</v>
      </c>
      <c r="N591">
        <f>VLOOKUP(A592,[1]timesData!$B:$P,13,FALSE)</f>
        <v>2016</v>
      </c>
      <c r="O591">
        <f>VLOOKUP(A591,[2]cwurData!$B:$P,14,FALSE)</f>
        <v>657</v>
      </c>
      <c r="P591">
        <f>VLOOKUP(A591,[2]cwurData!$B:$N, 3, FALSE)</f>
        <v>24</v>
      </c>
      <c r="Q591">
        <f>VLOOKUP(A591,[2]cwurData!$B:$N, 4, FALSE)</f>
        <v>355</v>
      </c>
      <c r="R591">
        <f>VLOOKUP(A591,[2]cwurData!$B:$N, 5, FALSE)</f>
        <v>478</v>
      </c>
      <c r="S591">
        <f>VLOOKUP(A591,[2]cwurData!$B:$N, 6, FALSE)</f>
        <v>210</v>
      </c>
      <c r="T591">
        <f>VLOOKUP(A591,[2]cwurData!$B:$N, 7, FALSE)</f>
        <v>563</v>
      </c>
      <c r="U591">
        <f>VLOOKUP(A591,[2]cwurData!$B:$N, 8, FALSE)</f>
        <v>596</v>
      </c>
      <c r="V591">
        <f>VLOOKUP(A591,[2]cwurData!$B:$N, 9, FALSE)</f>
        <v>800</v>
      </c>
      <c r="W591">
        <f>VLOOKUP(A591,[2]cwurData!$B:$N, 10, FALSE)</f>
        <v>554</v>
      </c>
      <c r="X591">
        <f>VLOOKUP(A591,[2]cwurData!$B:$N, 11, FALSE)</f>
        <v>737</v>
      </c>
      <c r="Y591">
        <f>VLOOKUP(A591,[2]cwurData!$B:$N, 12, FALSE)</f>
        <v>44.7</v>
      </c>
      <c r="Z591">
        <f>VLOOKUP(A591,[2]cwurData!$B:$N, 13, FALSE)</f>
        <v>2014</v>
      </c>
    </row>
    <row r="592" spans="1:26" x14ac:dyDescent="0.3">
      <c r="A592" t="s">
        <v>610</v>
      </c>
      <c r="B592" t="str">
        <f>IFERROR(VLOOKUP(A592,[1]timesData!$B:$P,2,FALSE),VLOOKUP(A592,[2]cwurData!$B:$P,2,FALSE))</f>
        <v>United States of America</v>
      </c>
      <c r="C592" t="str">
        <f>VLOOKUP(A592,[1]timesData!$B:$P,3,FALSE)</f>
        <v>501-600</v>
      </c>
      <c r="D592" t="str">
        <f>VLOOKUP(A593,[1]timesData!$B:$P,3,FALSE)</f>
        <v>501-600</v>
      </c>
      <c r="E592">
        <f>VLOOKUP(A593,[1]timesData!$B:$P,4,FALSE)</f>
        <v>30.6</v>
      </c>
      <c r="F592">
        <f>VLOOKUP(A593,[1]timesData!$B:$P,5,FALSE)</f>
        <v>14.7</v>
      </c>
      <c r="G592">
        <f>VLOOKUP(A593,[1]timesData!$B:$P,6,FALSE)</f>
        <v>43.3</v>
      </c>
      <c r="H592">
        <f>VLOOKUP(A593,[1]timesData!$B:$P,7,FALSE)</f>
        <v>42</v>
      </c>
      <c r="I592" t="str">
        <f>VLOOKUP(A593,[1]timesData!$B:$P,8,FALSE)</f>
        <v>-</v>
      </c>
      <c r="J592">
        <f>VLOOKUP(A593,[1]timesData!$B:$P,9,FALSE)</f>
        <v>29623</v>
      </c>
      <c r="K592">
        <f>VLOOKUP(A593,[1]timesData!$B:$P,10,FALSE)</f>
        <v>14</v>
      </c>
      <c r="L592">
        <f>VLOOKUP(A593,[1]timesData!$B:$P,11,FALSE)</f>
        <v>0.11</v>
      </c>
      <c r="M592">
        <f>VLOOKUP(A593,[1]timesData!$B:$P,12,FALSE)</f>
        <v>2.6506944444444445</v>
      </c>
      <c r="N592">
        <f>VLOOKUP(A593,[1]timesData!$B:$P,13,FALSE)</f>
        <v>2016</v>
      </c>
      <c r="O592">
        <f>VLOOKUP(A592,[2]cwurData!$B:$P,14,FALSE)</f>
        <v>670</v>
      </c>
      <c r="P592">
        <f>VLOOKUP(A592,[2]cwurData!$B:$N, 3, FALSE)</f>
        <v>192</v>
      </c>
      <c r="Q592">
        <f>VLOOKUP(A592,[2]cwurData!$B:$N, 4, FALSE)</f>
        <v>355</v>
      </c>
      <c r="R592">
        <f>VLOOKUP(A592,[2]cwurData!$B:$N, 5, FALSE)</f>
        <v>272</v>
      </c>
      <c r="S592">
        <f>VLOOKUP(A592,[2]cwurData!$B:$N, 6, FALSE)</f>
        <v>210</v>
      </c>
      <c r="T592">
        <f>VLOOKUP(A592,[2]cwurData!$B:$N, 7, FALSE)</f>
        <v>784</v>
      </c>
      <c r="U592">
        <f>VLOOKUP(A592,[2]cwurData!$B:$N, 8, FALSE)</f>
        <v>540</v>
      </c>
      <c r="V592">
        <f>VLOOKUP(A592,[2]cwurData!$B:$N, 9, FALSE)</f>
        <v>800</v>
      </c>
      <c r="W592">
        <f>VLOOKUP(A592,[2]cwurData!$B:$N, 10, FALSE)</f>
        <v>739</v>
      </c>
      <c r="X592">
        <f>VLOOKUP(A592,[2]cwurData!$B:$N, 11, FALSE)</f>
        <v>481</v>
      </c>
      <c r="Y592">
        <f>VLOOKUP(A592,[2]cwurData!$B:$N, 12, FALSE)</f>
        <v>44.68</v>
      </c>
      <c r="Z592">
        <f>VLOOKUP(A592,[2]cwurData!$B:$N, 13, FALSE)</f>
        <v>2014</v>
      </c>
    </row>
    <row r="593" spans="1:26" x14ac:dyDescent="0.3">
      <c r="A593" t="s">
        <v>581</v>
      </c>
      <c r="B593" t="str">
        <f>IFERROR(VLOOKUP(A593,[1]timesData!$B:$P,2,FALSE),VLOOKUP(A593,[2]cwurData!$B:$P,2,FALSE))</f>
        <v>China</v>
      </c>
      <c r="C593" t="str">
        <f>VLOOKUP(A593,[1]timesData!$B:$P,3,FALSE)</f>
        <v>501-600</v>
      </c>
      <c r="D593" t="str">
        <f>VLOOKUP(A594,[1]timesData!$B:$P,3,FALSE)</f>
        <v>501-600</v>
      </c>
      <c r="E593">
        <f>VLOOKUP(A594,[1]timesData!$B:$P,4,FALSE)</f>
        <v>50.3</v>
      </c>
      <c r="F593">
        <f>VLOOKUP(A594,[1]timesData!$B:$P,5,FALSE)</f>
        <v>10.1</v>
      </c>
      <c r="G593">
        <f>VLOOKUP(A594,[1]timesData!$B:$P,6,FALSE)</f>
        <v>50.9</v>
      </c>
      <c r="H593">
        <f>VLOOKUP(A594,[1]timesData!$B:$P,7,FALSE)</f>
        <v>33.4</v>
      </c>
      <c r="I593" t="str">
        <f>VLOOKUP(A594,[1]timesData!$B:$P,8,FALSE)</f>
        <v>-</v>
      </c>
      <c r="J593">
        <f>VLOOKUP(A594,[1]timesData!$B:$P,9,FALSE)</f>
        <v>29396</v>
      </c>
      <c r="K593">
        <f>VLOOKUP(A594,[1]timesData!$B:$P,10,FALSE)</f>
        <v>10.5</v>
      </c>
      <c r="L593">
        <f>VLOOKUP(A594,[1]timesData!$B:$P,11,FALSE)</f>
        <v>0.1</v>
      </c>
      <c r="M593">
        <f>VLOOKUP(A594,[1]timesData!$B:$P,12,FALSE)</f>
        <v>2.5277777777777777</v>
      </c>
      <c r="N593">
        <f>VLOOKUP(A594,[1]timesData!$B:$P,13,FALSE)</f>
        <v>2016</v>
      </c>
      <c r="O593">
        <f>VLOOKUP(A593,[2]cwurData!$B:$P,14,FALSE)</f>
        <v>672</v>
      </c>
      <c r="P593">
        <f>VLOOKUP(A593,[2]cwurData!$B:$N, 3, FALSE)</f>
        <v>32</v>
      </c>
      <c r="Q593">
        <f>VLOOKUP(A593,[2]cwurData!$B:$N, 4, FALSE)</f>
        <v>355</v>
      </c>
      <c r="R593">
        <f>VLOOKUP(A593,[2]cwurData!$B:$N, 5, FALSE)</f>
        <v>431</v>
      </c>
      <c r="S593">
        <f>VLOOKUP(A593,[2]cwurData!$B:$N, 6, FALSE)</f>
        <v>210</v>
      </c>
      <c r="T593">
        <f>VLOOKUP(A593,[2]cwurData!$B:$N, 7, FALSE)</f>
        <v>477</v>
      </c>
      <c r="U593">
        <f>VLOOKUP(A593,[2]cwurData!$B:$N, 8, FALSE)</f>
        <v>614</v>
      </c>
      <c r="V593">
        <f>VLOOKUP(A593,[2]cwurData!$B:$N, 9, FALSE)</f>
        <v>800</v>
      </c>
      <c r="W593">
        <f>VLOOKUP(A593,[2]cwurData!$B:$N, 10, FALSE)</f>
        <v>663</v>
      </c>
      <c r="X593">
        <f>VLOOKUP(A593,[2]cwurData!$B:$N, 11, FALSE)</f>
        <v>481</v>
      </c>
      <c r="Y593">
        <f>VLOOKUP(A593,[2]cwurData!$B:$N, 12, FALSE)</f>
        <v>44.68</v>
      </c>
      <c r="Z593">
        <f>VLOOKUP(A593,[2]cwurData!$B:$N, 13, FALSE)</f>
        <v>2014</v>
      </c>
    </row>
    <row r="594" spans="1:26" x14ac:dyDescent="0.3">
      <c r="A594" t="s">
        <v>625</v>
      </c>
      <c r="B594" t="str">
        <f>IFERROR(VLOOKUP(A594,[1]timesData!$B:$P,2,FALSE),VLOOKUP(A594,[2]cwurData!$B:$P,2,FALSE))</f>
        <v>United States of America</v>
      </c>
      <c r="C594" t="str">
        <f>VLOOKUP(A594,[1]timesData!$B:$P,3,FALSE)</f>
        <v>501-600</v>
      </c>
      <c r="D594" t="str">
        <f>VLOOKUP(A595,[1]timesData!$B:$P,3,FALSE)</f>
        <v>501-600</v>
      </c>
      <c r="E594">
        <f>VLOOKUP(A595,[1]timesData!$B:$P,4,FALSE)</f>
        <v>37.700000000000003</v>
      </c>
      <c r="F594">
        <f>VLOOKUP(A595,[1]timesData!$B:$P,5,FALSE)</f>
        <v>13.4</v>
      </c>
      <c r="G594">
        <f>VLOOKUP(A595,[1]timesData!$B:$P,6,FALSE)</f>
        <v>29.9</v>
      </c>
      <c r="H594">
        <f>VLOOKUP(A595,[1]timesData!$B:$P,7,FALSE)</f>
        <v>32.9</v>
      </c>
      <c r="I594" t="str">
        <f>VLOOKUP(A595,[1]timesData!$B:$P,8,FALSE)</f>
        <v>-</v>
      </c>
      <c r="J594">
        <f>VLOOKUP(A595,[1]timesData!$B:$P,9,FALSE)</f>
        <v>19465</v>
      </c>
      <c r="K594">
        <f>VLOOKUP(A595,[1]timesData!$B:$P,10,FALSE)</f>
        <v>17.5</v>
      </c>
      <c r="L594">
        <f>VLOOKUP(A595,[1]timesData!$B:$P,11,FALSE)</f>
        <v>0.09</v>
      </c>
      <c r="M594">
        <f>VLOOKUP(A595,[1]timesData!$B:$P,12,FALSE)</f>
        <v>2.1180555555555554</v>
      </c>
      <c r="N594">
        <f>VLOOKUP(A595,[1]timesData!$B:$P,13,FALSE)</f>
        <v>2016</v>
      </c>
      <c r="O594">
        <f>VLOOKUP(A594,[2]cwurData!$B:$P,14,FALSE)</f>
        <v>681</v>
      </c>
      <c r="P594">
        <f>VLOOKUP(A594,[2]cwurData!$B:$N, 3, FALSE)</f>
        <v>196</v>
      </c>
      <c r="Q594">
        <f>VLOOKUP(A594,[2]cwurData!$B:$N, 4, FALSE)</f>
        <v>355</v>
      </c>
      <c r="R594">
        <f>VLOOKUP(A594,[2]cwurData!$B:$N, 5, FALSE)</f>
        <v>478</v>
      </c>
      <c r="S594">
        <f>VLOOKUP(A594,[2]cwurData!$B:$N, 6, FALSE)</f>
        <v>210</v>
      </c>
      <c r="T594">
        <f>VLOOKUP(A594,[2]cwurData!$B:$N, 7, FALSE)</f>
        <v>494</v>
      </c>
      <c r="U594">
        <f>VLOOKUP(A594,[2]cwurData!$B:$N, 8, FALSE)</f>
        <v>514</v>
      </c>
      <c r="V594">
        <f>VLOOKUP(A594,[2]cwurData!$B:$N, 9, FALSE)</f>
        <v>493</v>
      </c>
      <c r="W594">
        <f>VLOOKUP(A594,[2]cwurData!$B:$N, 10, FALSE)</f>
        <v>605</v>
      </c>
      <c r="X594">
        <f>VLOOKUP(A594,[2]cwurData!$B:$N, 11, FALSE)</f>
        <v>637</v>
      </c>
      <c r="Y594">
        <f>VLOOKUP(A594,[2]cwurData!$B:$N, 12, FALSE)</f>
        <v>44.67</v>
      </c>
      <c r="Z594">
        <f>VLOOKUP(A594,[2]cwurData!$B:$N, 13, FALSE)</f>
        <v>2014</v>
      </c>
    </row>
    <row r="595" spans="1:26" x14ac:dyDescent="0.3">
      <c r="A595" t="s">
        <v>627</v>
      </c>
      <c r="B595" t="str">
        <f>IFERROR(VLOOKUP(A595,[1]timesData!$B:$P,2,FALSE),VLOOKUP(A595,[2]cwurData!$B:$P,2,FALSE))</f>
        <v>United States of America</v>
      </c>
      <c r="C595" t="str">
        <f>VLOOKUP(A595,[1]timesData!$B:$P,3,FALSE)</f>
        <v>501-600</v>
      </c>
      <c r="D595" t="str">
        <f>VLOOKUP(A596,[1]timesData!$B:$P,3,FALSE)</f>
        <v>501-600</v>
      </c>
      <c r="E595">
        <f>VLOOKUP(A596,[1]timesData!$B:$P,4,FALSE)</f>
        <v>34.700000000000003</v>
      </c>
      <c r="F595">
        <f>VLOOKUP(A596,[1]timesData!$B:$P,5,FALSE)</f>
        <v>29.5</v>
      </c>
      <c r="G595">
        <f>VLOOKUP(A596,[1]timesData!$B:$P,6,FALSE)</f>
        <v>26.2</v>
      </c>
      <c r="H595">
        <f>VLOOKUP(A596,[1]timesData!$B:$P,7,FALSE)</f>
        <v>30.3</v>
      </c>
      <c r="I595" t="str">
        <f>VLOOKUP(A596,[1]timesData!$B:$P,8,FALSE)</f>
        <v>-</v>
      </c>
      <c r="J595">
        <f>VLOOKUP(A596,[1]timesData!$B:$P,9,FALSE)</f>
        <v>17758</v>
      </c>
      <c r="K595">
        <f>VLOOKUP(A596,[1]timesData!$B:$P,10,FALSE)</f>
        <v>30.8</v>
      </c>
      <c r="L595">
        <f>VLOOKUP(A596,[1]timesData!$B:$P,11,FALSE)</f>
        <v>0.01</v>
      </c>
      <c r="M595">
        <f>VLOOKUP(A596,[1]timesData!$B:$P,12,FALSE)</f>
        <v>2.7326388888888888</v>
      </c>
      <c r="N595">
        <f>VLOOKUP(A596,[1]timesData!$B:$P,13,FALSE)</f>
        <v>2016</v>
      </c>
      <c r="O595">
        <f>VLOOKUP(A595,[2]cwurData!$B:$P,14,FALSE)</f>
        <v>691</v>
      </c>
      <c r="P595">
        <f>VLOOKUP(A595,[2]cwurData!$B:$N, 3, FALSE)</f>
        <v>198</v>
      </c>
      <c r="Q595">
        <f>VLOOKUP(A595,[2]cwurData!$B:$N, 4, FALSE)</f>
        <v>355</v>
      </c>
      <c r="R595">
        <f>VLOOKUP(A595,[2]cwurData!$B:$N, 5, FALSE)</f>
        <v>478</v>
      </c>
      <c r="S595">
        <f>VLOOKUP(A595,[2]cwurData!$B:$N, 6, FALSE)</f>
        <v>210</v>
      </c>
      <c r="T595">
        <f>VLOOKUP(A595,[2]cwurData!$B:$N, 7, FALSE)</f>
        <v>625</v>
      </c>
      <c r="U595">
        <f>VLOOKUP(A595,[2]cwurData!$B:$N, 8, FALSE)</f>
        <v>553</v>
      </c>
      <c r="V595">
        <f>VLOOKUP(A595,[2]cwurData!$B:$N, 9, FALSE)</f>
        <v>800</v>
      </c>
      <c r="W595">
        <f>VLOOKUP(A595,[2]cwurData!$B:$N, 10, FALSE)</f>
        <v>618</v>
      </c>
      <c r="X595">
        <f>VLOOKUP(A595,[2]cwurData!$B:$N, 11, FALSE)</f>
        <v>373</v>
      </c>
      <c r="Y595">
        <f>VLOOKUP(A595,[2]cwurData!$B:$N, 12, FALSE)</f>
        <v>44.66</v>
      </c>
      <c r="Z595">
        <f>VLOOKUP(A595,[2]cwurData!$B:$N, 13, FALSE)</f>
        <v>2014</v>
      </c>
    </row>
    <row r="596" spans="1:26" x14ac:dyDescent="0.3">
      <c r="A596" t="s">
        <v>585</v>
      </c>
      <c r="B596" t="str">
        <f>IFERROR(VLOOKUP(A596,[1]timesData!$B:$P,2,FALSE),VLOOKUP(A596,[2]cwurData!$B:$P,2,FALSE))</f>
        <v>Israel</v>
      </c>
      <c r="C596" t="str">
        <f>VLOOKUP(A596,[1]timesData!$B:$P,3,FALSE)</f>
        <v>501-600</v>
      </c>
      <c r="D596" t="str">
        <f>VLOOKUP(A597,[1]timesData!$B:$P,3,FALSE)</f>
        <v>501-600</v>
      </c>
      <c r="E596">
        <f>VLOOKUP(A597,[1]timesData!$B:$P,4,FALSE)</f>
        <v>17.600000000000001</v>
      </c>
      <c r="F596">
        <f>VLOOKUP(A597,[1]timesData!$B:$P,5,FALSE)</f>
        <v>24.9</v>
      </c>
      <c r="G596">
        <f>VLOOKUP(A597,[1]timesData!$B:$P,6,FALSE)</f>
        <v>22.6</v>
      </c>
      <c r="H596">
        <f>VLOOKUP(A597,[1]timesData!$B:$P,7,FALSE)</f>
        <v>52.3</v>
      </c>
      <c r="I596" t="str">
        <f>VLOOKUP(A597,[1]timesData!$B:$P,8,FALSE)</f>
        <v>-</v>
      </c>
      <c r="J596">
        <f>VLOOKUP(A597,[1]timesData!$B:$P,9,FALSE)</f>
        <v>19342</v>
      </c>
      <c r="K596">
        <f>VLOOKUP(A597,[1]timesData!$B:$P,10,FALSE)</f>
        <v>12</v>
      </c>
      <c r="L596">
        <f>VLOOKUP(A597,[1]timesData!$B:$P,11,FALSE)</f>
        <v>0.01</v>
      </c>
      <c r="M596">
        <f>VLOOKUP(A597,[1]timesData!$B:$P,12,FALSE)</f>
        <v>2.4048611111111109</v>
      </c>
      <c r="N596">
        <f>VLOOKUP(A597,[1]timesData!$B:$P,13,FALSE)</f>
        <v>2016</v>
      </c>
      <c r="O596">
        <f>VLOOKUP(A596,[2]cwurData!$B:$P,14,FALSE)</f>
        <v>697</v>
      </c>
      <c r="P596">
        <f>VLOOKUP(A596,[2]cwurData!$B:$N, 3, FALSE)</f>
        <v>7</v>
      </c>
      <c r="Q596">
        <f>VLOOKUP(A596,[2]cwurData!$B:$N, 4, FALSE)</f>
        <v>355</v>
      </c>
      <c r="R596">
        <f>VLOOKUP(A596,[2]cwurData!$B:$N, 5, FALSE)</f>
        <v>363</v>
      </c>
      <c r="S596">
        <f>VLOOKUP(A596,[2]cwurData!$B:$N, 6, FALSE)</f>
        <v>210</v>
      </c>
      <c r="T596">
        <f>VLOOKUP(A596,[2]cwurData!$B:$N, 7, FALSE)</f>
        <v>587</v>
      </c>
      <c r="U596">
        <f>VLOOKUP(A596,[2]cwurData!$B:$N, 8, FALSE)</f>
        <v>448</v>
      </c>
      <c r="V596">
        <f>VLOOKUP(A596,[2]cwurData!$B:$N, 9, FALSE)</f>
        <v>609</v>
      </c>
      <c r="W596">
        <f>VLOOKUP(A596,[2]cwurData!$B:$N, 10, FALSE)</f>
        <v>690</v>
      </c>
      <c r="X596">
        <f>VLOOKUP(A596,[2]cwurData!$B:$N, 11, FALSE)</f>
        <v>552</v>
      </c>
      <c r="Y596">
        <f>VLOOKUP(A596,[2]cwurData!$B:$N, 12, FALSE)</f>
        <v>44.65</v>
      </c>
      <c r="Z596">
        <f>VLOOKUP(A596,[2]cwurData!$B:$N, 13, FALSE)</f>
        <v>2014</v>
      </c>
    </row>
    <row r="597" spans="1:26" x14ac:dyDescent="0.3">
      <c r="A597" t="s">
        <v>577</v>
      </c>
      <c r="B597" t="str">
        <f>IFERROR(VLOOKUP(A597,[1]timesData!$B:$P,2,FALSE),VLOOKUP(A597,[2]cwurData!$B:$P,2,FALSE))</f>
        <v>China</v>
      </c>
      <c r="C597" t="str">
        <f>VLOOKUP(A597,[1]timesData!$B:$P,3,FALSE)</f>
        <v>501-600</v>
      </c>
      <c r="D597" t="str">
        <f>VLOOKUP(A598,[1]timesData!$B:$P,3,FALSE)</f>
        <v>501-600</v>
      </c>
      <c r="E597">
        <f>VLOOKUP(A598,[1]timesData!$B:$P,4,FALSE)</f>
        <v>48.9</v>
      </c>
      <c r="F597">
        <f>VLOOKUP(A598,[1]timesData!$B:$P,5,FALSE)</f>
        <v>22.9</v>
      </c>
      <c r="G597">
        <f>VLOOKUP(A598,[1]timesData!$B:$P,6,FALSE)</f>
        <v>27.8</v>
      </c>
      <c r="H597">
        <f>VLOOKUP(A598,[1]timesData!$B:$P,7,FALSE)</f>
        <v>28.5</v>
      </c>
      <c r="I597" t="str">
        <f>VLOOKUP(A598,[1]timesData!$B:$P,8,FALSE)</f>
        <v>-</v>
      </c>
      <c r="J597">
        <f>VLOOKUP(A598,[1]timesData!$B:$P,9,FALSE)</f>
        <v>40898</v>
      </c>
      <c r="K597">
        <f>VLOOKUP(A598,[1]timesData!$B:$P,10,FALSE)</f>
        <v>26.6</v>
      </c>
      <c r="L597">
        <f>VLOOKUP(A598,[1]timesData!$B:$P,11,FALSE)</f>
        <v>0.17</v>
      </c>
      <c r="M597">
        <f>VLOOKUP(A598,[1]timesData!$B:$P,12,FALSE)</f>
        <v>2.6097222222222221</v>
      </c>
      <c r="N597">
        <f>VLOOKUP(A598,[1]timesData!$B:$P,13,FALSE)</f>
        <v>2016</v>
      </c>
      <c r="O597">
        <f>VLOOKUP(A597,[2]cwurData!$B:$P,14,FALSE)</f>
        <v>700</v>
      </c>
      <c r="P597">
        <f>VLOOKUP(A597,[2]cwurData!$B:$N, 3, FALSE)</f>
        <v>34</v>
      </c>
      <c r="Q597">
        <f>VLOOKUP(A597,[2]cwurData!$B:$N, 4, FALSE)</f>
        <v>355</v>
      </c>
      <c r="R597">
        <f>VLOOKUP(A597,[2]cwurData!$B:$N, 5, FALSE)</f>
        <v>478</v>
      </c>
      <c r="S597">
        <f>VLOOKUP(A597,[2]cwurData!$B:$N, 6, FALSE)</f>
        <v>210</v>
      </c>
      <c r="T597">
        <f>VLOOKUP(A597,[2]cwurData!$B:$N, 7, FALSE)</f>
        <v>432</v>
      </c>
      <c r="U597">
        <f>VLOOKUP(A597,[2]cwurData!$B:$N, 8, FALSE)</f>
        <v>381</v>
      </c>
      <c r="V597">
        <f>VLOOKUP(A597,[2]cwurData!$B:$N, 9, FALSE)</f>
        <v>609</v>
      </c>
      <c r="W597">
        <f>VLOOKUP(A597,[2]cwurData!$B:$N, 10, FALSE)</f>
        <v>663</v>
      </c>
      <c r="X597">
        <f>VLOOKUP(A597,[2]cwurData!$B:$N, 11, FALSE)</f>
        <v>552</v>
      </c>
      <c r="Y597">
        <f>VLOOKUP(A597,[2]cwurData!$B:$N, 12, FALSE)</f>
        <v>44.64</v>
      </c>
      <c r="Z597">
        <f>VLOOKUP(A597,[2]cwurData!$B:$N, 13, FALSE)</f>
        <v>2014</v>
      </c>
    </row>
    <row r="598" spans="1:26" x14ac:dyDescent="0.3">
      <c r="A598" t="s">
        <v>595</v>
      </c>
      <c r="B598" t="str">
        <f>IFERROR(VLOOKUP(A598,[1]timesData!$B:$P,2,FALSE),VLOOKUP(A598,[2]cwurData!$B:$P,2,FALSE))</f>
        <v>Czech Republic</v>
      </c>
      <c r="C598" t="str">
        <f>VLOOKUP(A598,[1]timesData!$B:$P,3,FALSE)</f>
        <v>501-600</v>
      </c>
      <c r="D598" t="str">
        <f>VLOOKUP(A599,[1]timesData!$B:$P,3,FALSE)</f>
        <v>501-600</v>
      </c>
      <c r="E598">
        <f>VLOOKUP(A599,[1]timesData!$B:$P,4,FALSE)</f>
        <v>25</v>
      </c>
      <c r="F598">
        <f>VLOOKUP(A599,[1]timesData!$B:$P,5,FALSE)</f>
        <v>9.3000000000000007</v>
      </c>
      <c r="G598">
        <f>VLOOKUP(A599,[1]timesData!$B:$P,6,FALSE)</f>
        <v>46.5</v>
      </c>
      <c r="H598">
        <f>VLOOKUP(A599,[1]timesData!$B:$P,7,FALSE)</f>
        <v>28.2</v>
      </c>
      <c r="I598" t="str">
        <f>VLOOKUP(A599,[1]timesData!$B:$P,8,FALSE)</f>
        <v>-</v>
      </c>
      <c r="J598">
        <f>VLOOKUP(A599,[1]timesData!$B:$P,9,FALSE)</f>
        <v>22751</v>
      </c>
      <c r="K598">
        <f>VLOOKUP(A599,[1]timesData!$B:$P,10,FALSE)</f>
        <v>12</v>
      </c>
      <c r="L598">
        <f>VLOOKUP(A599,[1]timesData!$B:$P,11,FALSE)</f>
        <v>0</v>
      </c>
      <c r="M598" t="str">
        <f>VLOOKUP(A599,[1]timesData!$B:$P,12,FALSE)</f>
        <v>-</v>
      </c>
      <c r="N598">
        <f>VLOOKUP(A599,[1]timesData!$B:$P,13,FALSE)</f>
        <v>2016</v>
      </c>
      <c r="O598">
        <f>VLOOKUP(A598,[2]cwurData!$B:$P,14,FALSE)</f>
        <v>742</v>
      </c>
      <c r="P598">
        <f>VLOOKUP(A598,[2]cwurData!$B:$N, 3, FALSE)</f>
        <v>2</v>
      </c>
      <c r="Q598">
        <f>VLOOKUP(A598,[2]cwurData!$B:$N, 4, FALSE)</f>
        <v>355</v>
      </c>
      <c r="R598">
        <f>VLOOKUP(A598,[2]cwurData!$B:$N, 5, FALSE)</f>
        <v>478</v>
      </c>
      <c r="S598">
        <f>VLOOKUP(A598,[2]cwurData!$B:$N, 6, FALSE)</f>
        <v>210</v>
      </c>
      <c r="T598">
        <f>VLOOKUP(A598,[2]cwurData!$B:$N, 7, FALSE)</f>
        <v>667</v>
      </c>
      <c r="U598">
        <f>VLOOKUP(A598,[2]cwurData!$B:$N, 8, FALSE)</f>
        <v>567</v>
      </c>
      <c r="V598">
        <f>VLOOKUP(A598,[2]cwurData!$B:$N, 9, FALSE)</f>
        <v>800</v>
      </c>
      <c r="W598">
        <f>VLOOKUP(A598,[2]cwurData!$B:$N, 10, FALSE)</f>
        <v>642</v>
      </c>
      <c r="X598">
        <f>VLOOKUP(A598,[2]cwurData!$B:$N, 11, FALSE)</f>
        <v>737</v>
      </c>
      <c r="Y598">
        <f>VLOOKUP(A598,[2]cwurData!$B:$N, 12, FALSE)</f>
        <v>44.59</v>
      </c>
      <c r="Z598">
        <f>VLOOKUP(A598,[2]cwurData!$B:$N, 13, FALSE)</f>
        <v>2014</v>
      </c>
    </row>
    <row r="599" spans="1:26" x14ac:dyDescent="0.3">
      <c r="A599" t="s">
        <v>579</v>
      </c>
      <c r="B599" t="str">
        <f>IFERROR(VLOOKUP(A599,[1]timesData!$B:$P,2,FALSE),VLOOKUP(A599,[2]cwurData!$B:$P,2,FALSE))</f>
        <v>Czech Republic</v>
      </c>
      <c r="C599" t="str">
        <f>VLOOKUP(A599,[1]timesData!$B:$P,3,FALSE)</f>
        <v>501-600</v>
      </c>
      <c r="D599" t="str">
        <f>VLOOKUP(A600,[1]timesData!$B:$P,3,FALSE)</f>
        <v>501-600</v>
      </c>
      <c r="E599">
        <f>VLOOKUP(A600,[1]timesData!$B:$P,4,FALSE)</f>
        <v>66.599999999999994</v>
      </c>
      <c r="F599">
        <f>VLOOKUP(A600,[1]timesData!$B:$P,5,FALSE)</f>
        <v>2.9</v>
      </c>
      <c r="G599">
        <f>VLOOKUP(A600,[1]timesData!$B:$P,6,FALSE)</f>
        <v>46.9</v>
      </c>
      <c r="H599" t="str">
        <f>VLOOKUP(A600,[1]timesData!$B:$P,7,FALSE)</f>
        <v>-</v>
      </c>
      <c r="I599" t="str">
        <f>VLOOKUP(A600,[1]timesData!$B:$P,8,FALSE)</f>
        <v>-</v>
      </c>
      <c r="J599">
        <f>VLOOKUP(A600,[1]timesData!$B:$P,9,FALSE)</f>
        <v>15619</v>
      </c>
      <c r="K599">
        <f>VLOOKUP(A600,[1]timesData!$B:$P,10,FALSE)</f>
        <v>7.1</v>
      </c>
      <c r="L599">
        <f>VLOOKUP(A600,[1]timesData!$B:$P,11,FALSE)</f>
        <v>0.17</v>
      </c>
      <c r="M599">
        <f>VLOOKUP(A600,[1]timesData!$B:$P,12,FALSE)</f>
        <v>2.3229166666666665</v>
      </c>
      <c r="N599">
        <f>VLOOKUP(A600,[1]timesData!$B:$P,13,FALSE)</f>
        <v>2016</v>
      </c>
      <c r="O599">
        <f>VLOOKUP(A599,[2]cwurData!$B:$P,14,FALSE)</f>
        <v>771</v>
      </c>
      <c r="P599">
        <f>VLOOKUP(A599,[2]cwurData!$B:$N, 3, FALSE)</f>
        <v>3</v>
      </c>
      <c r="Q599">
        <f>VLOOKUP(A599,[2]cwurData!$B:$N, 4, FALSE)</f>
        <v>336</v>
      </c>
      <c r="R599">
        <f>VLOOKUP(A599,[2]cwurData!$B:$N, 5, FALSE)</f>
        <v>478</v>
      </c>
      <c r="S599">
        <f>VLOOKUP(A599,[2]cwurData!$B:$N, 6, FALSE)</f>
        <v>210</v>
      </c>
      <c r="T599">
        <f>VLOOKUP(A599,[2]cwurData!$B:$N, 7, FALSE)</f>
        <v>698</v>
      </c>
      <c r="U599">
        <f>VLOOKUP(A599,[2]cwurData!$B:$N, 8, FALSE)</f>
        <v>793</v>
      </c>
      <c r="V599">
        <f>VLOOKUP(A599,[2]cwurData!$B:$N, 9, FALSE)</f>
        <v>406</v>
      </c>
      <c r="W599">
        <f>VLOOKUP(A599,[2]cwurData!$B:$N, 10, FALSE)</f>
        <v>690</v>
      </c>
      <c r="X599">
        <f>VLOOKUP(A599,[2]cwurData!$B:$N, 11, FALSE)</f>
        <v>737</v>
      </c>
      <c r="Y599">
        <f>VLOOKUP(A599,[2]cwurData!$B:$N, 12, FALSE)</f>
        <v>44.56</v>
      </c>
      <c r="Z599">
        <f>VLOOKUP(A599,[2]cwurData!$B:$N, 13, FALSE)</f>
        <v>2014</v>
      </c>
    </row>
    <row r="600" spans="1:26" x14ac:dyDescent="0.3">
      <c r="A600" t="s">
        <v>571</v>
      </c>
      <c r="B600" t="str">
        <f>IFERROR(VLOOKUP(A600,[1]timesData!$B:$P,2,FALSE),VLOOKUP(A600,[2]cwurData!$B:$P,2,FALSE))</f>
        <v>France</v>
      </c>
      <c r="C600" t="str">
        <f>VLOOKUP(A600,[1]timesData!$B:$P,3,FALSE)</f>
        <v>501-600</v>
      </c>
      <c r="D600" t="str">
        <f>VLOOKUP(A601,[1]timesData!$B:$P,3,FALSE)</f>
        <v>501-600</v>
      </c>
      <c r="E600">
        <f>VLOOKUP(A601,[1]timesData!$B:$P,4,FALSE)</f>
        <v>84.5</v>
      </c>
      <c r="F600">
        <f>VLOOKUP(A601,[1]timesData!$B:$P,5,FALSE)</f>
        <v>16.100000000000001</v>
      </c>
      <c r="G600">
        <f>VLOOKUP(A601,[1]timesData!$B:$P,6,FALSE)</f>
        <v>24.4</v>
      </c>
      <c r="H600">
        <f>VLOOKUP(A601,[1]timesData!$B:$P,7,FALSE)</f>
        <v>81.2</v>
      </c>
      <c r="I600" t="str">
        <f>VLOOKUP(A601,[1]timesData!$B:$P,8,FALSE)</f>
        <v>-</v>
      </c>
      <c r="J600">
        <f>VLOOKUP(A601,[1]timesData!$B:$P,9,FALSE)</f>
        <v>6898</v>
      </c>
      <c r="K600">
        <f>VLOOKUP(A601,[1]timesData!$B:$P,10,FALSE)</f>
        <v>7.1</v>
      </c>
      <c r="L600">
        <f>VLOOKUP(A601,[1]timesData!$B:$P,11,FALSE)</f>
        <v>0.2</v>
      </c>
      <c r="M600" t="str">
        <f>VLOOKUP(A601,[1]timesData!$B:$P,12,FALSE)</f>
        <v>-</v>
      </c>
      <c r="N600">
        <f>VLOOKUP(A601,[1]timesData!$B:$P,13,FALSE)</f>
        <v>2016</v>
      </c>
      <c r="O600">
        <f>VLOOKUP(A600,[2]cwurData!$B:$P,14,FALSE)</f>
        <v>789</v>
      </c>
      <c r="P600">
        <f>VLOOKUP(A600,[2]cwurData!$B:$N, 3, FALSE)</f>
        <v>39</v>
      </c>
      <c r="Q600">
        <f>VLOOKUP(A600,[2]cwurData!$B:$N, 4, FALSE)</f>
        <v>355</v>
      </c>
      <c r="R600">
        <f>VLOOKUP(A600,[2]cwurData!$B:$N, 5, FALSE)</f>
        <v>478</v>
      </c>
      <c r="S600">
        <f>VLOOKUP(A600,[2]cwurData!$B:$N, 6, FALSE)</f>
        <v>210</v>
      </c>
      <c r="T600">
        <f>VLOOKUP(A600,[2]cwurData!$B:$N, 7, FALSE)</f>
        <v>735</v>
      </c>
      <c r="U600">
        <f>VLOOKUP(A600,[2]cwurData!$B:$N, 8, FALSE)</f>
        <v>689</v>
      </c>
      <c r="V600">
        <f>VLOOKUP(A600,[2]cwurData!$B:$N, 9, FALSE)</f>
        <v>406</v>
      </c>
      <c r="W600">
        <f>VLOOKUP(A600,[2]cwurData!$B:$N, 10, FALSE)</f>
        <v>716</v>
      </c>
      <c r="X600">
        <f>VLOOKUP(A600,[2]cwurData!$B:$N, 11, FALSE)</f>
        <v>481</v>
      </c>
      <c r="Y600">
        <f>VLOOKUP(A600,[2]cwurData!$B:$N, 12, FALSE)</f>
        <v>44.54</v>
      </c>
      <c r="Z600">
        <f>VLOOKUP(A600,[2]cwurData!$B:$N, 13, FALSE)</f>
        <v>2014</v>
      </c>
    </row>
    <row r="601" spans="1:26" x14ac:dyDescent="0.3">
      <c r="A601" t="s">
        <v>590</v>
      </c>
      <c r="B601" t="str">
        <f>IFERROR(VLOOKUP(A601,[1]timesData!$B:$P,2,FALSE),VLOOKUP(A601,[2]cwurData!$B:$P,2,FALSE))</f>
        <v>Saudi Arabia</v>
      </c>
      <c r="C601" t="str">
        <f>VLOOKUP(A601,[1]timesData!$B:$P,3,FALSE)</f>
        <v>501-600</v>
      </c>
      <c r="D601" t="str">
        <f>VLOOKUP(A602,[1]timesData!$B:$P,3,FALSE)</f>
        <v>501-600</v>
      </c>
      <c r="E601">
        <f>VLOOKUP(A602,[1]timesData!$B:$P,4,FALSE)</f>
        <v>57.8</v>
      </c>
      <c r="F601">
        <f>VLOOKUP(A602,[1]timesData!$B:$P,5,FALSE)</f>
        <v>10.6</v>
      </c>
      <c r="G601">
        <f>VLOOKUP(A602,[1]timesData!$B:$P,6,FALSE)</f>
        <v>30.8</v>
      </c>
      <c r="H601">
        <f>VLOOKUP(A602,[1]timesData!$B:$P,7,FALSE)</f>
        <v>28.3</v>
      </c>
      <c r="I601" t="str">
        <f>VLOOKUP(A602,[1]timesData!$B:$P,8,FALSE)</f>
        <v>-</v>
      </c>
      <c r="J601">
        <f>VLOOKUP(A602,[1]timesData!$B:$P,9,FALSE)</f>
        <v>28037</v>
      </c>
      <c r="K601">
        <f>VLOOKUP(A602,[1]timesData!$B:$P,10,FALSE)</f>
        <v>18.2</v>
      </c>
      <c r="L601">
        <f>VLOOKUP(A602,[1]timesData!$B:$P,11,FALSE)</f>
        <v>0.14000000000000001</v>
      </c>
      <c r="M601">
        <f>VLOOKUP(A602,[1]timesData!$B:$P,12,FALSE)</f>
        <v>2.4048611111111109</v>
      </c>
      <c r="N601">
        <f>VLOOKUP(A602,[1]timesData!$B:$P,13,FALSE)</f>
        <v>2016</v>
      </c>
      <c r="O601">
        <f>VLOOKUP(A601,[2]cwurData!$B:$P,14,FALSE)</f>
        <v>807</v>
      </c>
      <c r="P601">
        <f>VLOOKUP(A601,[2]cwurData!$B:$N, 3, FALSE)</f>
        <v>3</v>
      </c>
      <c r="Q601">
        <f>VLOOKUP(A601,[2]cwurData!$B:$N, 4, FALSE)</f>
        <v>355</v>
      </c>
      <c r="R601">
        <f>VLOOKUP(A601,[2]cwurData!$B:$N, 5, FALSE)</f>
        <v>230</v>
      </c>
      <c r="S601">
        <f>VLOOKUP(A601,[2]cwurData!$B:$N, 6, FALSE)</f>
        <v>210</v>
      </c>
      <c r="T601">
        <f>VLOOKUP(A601,[2]cwurData!$B:$N, 7, FALSE)</f>
        <v>954</v>
      </c>
      <c r="U601">
        <f>VLOOKUP(A601,[2]cwurData!$B:$N, 8, FALSE)</f>
        <v>938</v>
      </c>
      <c r="V601">
        <f>VLOOKUP(A601,[2]cwurData!$B:$N, 9, FALSE)</f>
        <v>800</v>
      </c>
      <c r="W601">
        <f>VLOOKUP(A601,[2]cwurData!$B:$N, 10, FALSE)</f>
        <v>970</v>
      </c>
      <c r="X601">
        <f>VLOOKUP(A601,[2]cwurData!$B:$N, 11, FALSE)</f>
        <v>737</v>
      </c>
      <c r="Y601">
        <f>VLOOKUP(A601,[2]cwurData!$B:$N, 12, FALSE)</f>
        <v>44.52</v>
      </c>
      <c r="Z601">
        <f>VLOOKUP(A601,[2]cwurData!$B:$N, 13, FALSE)</f>
        <v>2014</v>
      </c>
    </row>
    <row r="602" spans="1:26" x14ac:dyDescent="0.3">
      <c r="A602" t="s">
        <v>593</v>
      </c>
      <c r="B602" t="str">
        <f>IFERROR(VLOOKUP(A602,[1]timesData!$B:$P,2,FALSE),VLOOKUP(A602,[2]cwurData!$B:$P,2,FALSE))</f>
        <v>United Kingdom</v>
      </c>
      <c r="C602" t="str">
        <f>VLOOKUP(A602,[1]timesData!$B:$P,3,FALSE)</f>
        <v>501-600</v>
      </c>
      <c r="D602" t="str">
        <f>VLOOKUP(A603,[1]timesData!$B:$P,3,FALSE)</f>
        <v>501-600</v>
      </c>
      <c r="E602">
        <f>VLOOKUP(A603,[1]timesData!$B:$P,4,FALSE)</f>
        <v>47.7</v>
      </c>
      <c r="F602">
        <f>VLOOKUP(A603,[1]timesData!$B:$P,5,FALSE)</f>
        <v>15.8</v>
      </c>
      <c r="G602">
        <f>VLOOKUP(A603,[1]timesData!$B:$P,6,FALSE)</f>
        <v>34.200000000000003</v>
      </c>
      <c r="H602">
        <f>VLOOKUP(A603,[1]timesData!$B:$P,7,FALSE)</f>
        <v>34.4</v>
      </c>
      <c r="I602" t="str">
        <f>VLOOKUP(A603,[1]timesData!$B:$P,8,FALSE)</f>
        <v>-</v>
      </c>
      <c r="J602">
        <f>VLOOKUP(A603,[1]timesData!$B:$P,9,FALSE)</f>
        <v>11550</v>
      </c>
      <c r="K602">
        <f>VLOOKUP(A603,[1]timesData!$B:$P,10,FALSE)</f>
        <v>22.8</v>
      </c>
      <c r="L602">
        <f>VLOOKUP(A603,[1]timesData!$B:$P,11,FALSE)</f>
        <v>0.12</v>
      </c>
      <c r="M602">
        <f>VLOOKUP(A603,[1]timesData!$B:$P,12,FALSE)</f>
        <v>2.5687500000000001</v>
      </c>
      <c r="N602">
        <f>VLOOKUP(A603,[1]timesData!$B:$P,13,FALSE)</f>
        <v>2016</v>
      </c>
      <c r="O602">
        <f>VLOOKUP(A602,[2]cwurData!$B:$P,14,FALSE)</f>
        <v>817</v>
      </c>
      <c r="P602">
        <f>VLOOKUP(A602,[2]cwurData!$B:$N, 3, FALSE)</f>
        <v>61</v>
      </c>
      <c r="Q602">
        <f>VLOOKUP(A602,[2]cwurData!$B:$N, 4, FALSE)</f>
        <v>355</v>
      </c>
      <c r="R602">
        <f>VLOOKUP(A602,[2]cwurData!$B:$N, 5, FALSE)</f>
        <v>442</v>
      </c>
      <c r="S602">
        <f>VLOOKUP(A602,[2]cwurData!$B:$N, 6, FALSE)</f>
        <v>210</v>
      </c>
      <c r="T602">
        <f>VLOOKUP(A602,[2]cwurData!$B:$N, 7, FALSE)</f>
        <v>919</v>
      </c>
      <c r="U602">
        <f>VLOOKUP(A602,[2]cwurData!$B:$N, 8, FALSE)</f>
        <v>679</v>
      </c>
      <c r="V602">
        <f>VLOOKUP(A602,[2]cwurData!$B:$N, 9, FALSE)</f>
        <v>800</v>
      </c>
      <c r="W602">
        <f>VLOOKUP(A602,[2]cwurData!$B:$N, 10, FALSE)</f>
        <v>800</v>
      </c>
      <c r="X602">
        <f>VLOOKUP(A602,[2]cwurData!$B:$N, 11, FALSE)</f>
        <v>481</v>
      </c>
      <c r="Y602">
        <f>VLOOKUP(A602,[2]cwurData!$B:$N, 12, FALSE)</f>
        <v>44.5</v>
      </c>
      <c r="Z602">
        <f>VLOOKUP(A602,[2]cwurData!$B:$N, 13, FALSE)</f>
        <v>2014</v>
      </c>
    </row>
    <row r="603" spans="1:26" x14ac:dyDescent="0.3">
      <c r="A603" t="s">
        <v>614</v>
      </c>
      <c r="B603" t="str">
        <f>IFERROR(VLOOKUP(A603,[1]timesData!$B:$P,2,FALSE),VLOOKUP(A603,[2]cwurData!$B:$P,2,FALSE))</f>
        <v>Canada</v>
      </c>
      <c r="C603" t="str">
        <f>VLOOKUP(A603,[1]timesData!$B:$P,3,FALSE)</f>
        <v>501-600</v>
      </c>
      <c r="D603" t="str">
        <f>VLOOKUP(A604,[1]timesData!$B:$P,3,FALSE)</f>
        <v>501-600</v>
      </c>
      <c r="E603">
        <f>VLOOKUP(A604,[1]timesData!$B:$P,4,FALSE)</f>
        <v>43.7</v>
      </c>
      <c r="F603">
        <f>VLOOKUP(A604,[1]timesData!$B:$P,5,FALSE)</f>
        <v>27.6</v>
      </c>
      <c r="G603">
        <f>VLOOKUP(A604,[1]timesData!$B:$P,6,FALSE)</f>
        <v>17.399999999999999</v>
      </c>
      <c r="H603">
        <f>VLOOKUP(A604,[1]timesData!$B:$P,7,FALSE)</f>
        <v>61.3</v>
      </c>
      <c r="I603" t="str">
        <f>VLOOKUP(A604,[1]timesData!$B:$P,8,FALSE)</f>
        <v>-</v>
      </c>
      <c r="J603">
        <f>VLOOKUP(A604,[1]timesData!$B:$P,9,FALSE)</f>
        <v>13015</v>
      </c>
      <c r="K603">
        <f>VLOOKUP(A604,[1]timesData!$B:$P,10,FALSE)</f>
        <v>17.399999999999999</v>
      </c>
      <c r="L603">
        <f>VLOOKUP(A604,[1]timesData!$B:$P,11,FALSE)</f>
        <v>0.17</v>
      </c>
      <c r="M603">
        <f>VLOOKUP(A604,[1]timesData!$B:$P,12,FALSE)</f>
        <v>1.9131944444444444</v>
      </c>
      <c r="N603">
        <f>VLOOKUP(A604,[1]timesData!$B:$P,13,FALSE)</f>
        <v>2016</v>
      </c>
      <c r="O603">
        <f>VLOOKUP(A603,[2]cwurData!$B:$P,14,FALSE)</f>
        <v>827</v>
      </c>
      <c r="P603">
        <f>VLOOKUP(A603,[2]cwurData!$B:$N, 3, FALSE)</f>
        <v>28</v>
      </c>
      <c r="Q603">
        <f>VLOOKUP(A603,[2]cwurData!$B:$N, 4, FALSE)</f>
        <v>355</v>
      </c>
      <c r="R603">
        <f>VLOOKUP(A603,[2]cwurData!$B:$N, 5, FALSE)</f>
        <v>478</v>
      </c>
      <c r="S603">
        <f>VLOOKUP(A603,[2]cwurData!$B:$N, 6, FALSE)</f>
        <v>210</v>
      </c>
      <c r="T603">
        <f>VLOOKUP(A603,[2]cwurData!$B:$N, 7, FALSE)</f>
        <v>889</v>
      </c>
      <c r="U603">
        <f>VLOOKUP(A603,[2]cwurData!$B:$N, 8, FALSE)</f>
        <v>740</v>
      </c>
      <c r="V603">
        <f>VLOOKUP(A603,[2]cwurData!$B:$N, 9, FALSE)</f>
        <v>609</v>
      </c>
      <c r="W603">
        <f>VLOOKUP(A603,[2]cwurData!$B:$N, 10, FALSE)</f>
        <v>800</v>
      </c>
      <c r="X603">
        <f>VLOOKUP(A603,[2]cwurData!$B:$N, 11, FALSE)</f>
        <v>338</v>
      </c>
      <c r="Y603">
        <f>VLOOKUP(A603,[2]cwurData!$B:$N, 12, FALSE)</f>
        <v>44.48</v>
      </c>
      <c r="Z603">
        <f>VLOOKUP(A603,[2]cwurData!$B:$N, 13, FALSE)</f>
        <v>2014</v>
      </c>
    </row>
    <row r="604" spans="1:26" x14ac:dyDescent="0.3">
      <c r="A604" t="s">
        <v>578</v>
      </c>
      <c r="B604" t="str">
        <f>IFERROR(VLOOKUP(A604,[1]timesData!$B:$P,2,FALSE),VLOOKUP(A604,[2]cwurData!$B:$P,2,FALSE))</f>
        <v>South Korea</v>
      </c>
      <c r="C604" t="str">
        <f>VLOOKUP(A604,[1]timesData!$B:$P,3,FALSE)</f>
        <v>501-600</v>
      </c>
      <c r="D604" t="str">
        <f>VLOOKUP(A605,[1]timesData!$B:$P,3,FALSE)</f>
        <v>501-600</v>
      </c>
      <c r="E604">
        <f>VLOOKUP(A605,[1]timesData!$B:$P,4,FALSE)</f>
        <v>33.6</v>
      </c>
      <c r="F604">
        <f>VLOOKUP(A605,[1]timesData!$B:$P,5,FALSE)</f>
        <v>11.5</v>
      </c>
      <c r="G604">
        <f>VLOOKUP(A605,[1]timesData!$B:$P,6,FALSE)</f>
        <v>42.1</v>
      </c>
      <c r="H604">
        <f>VLOOKUP(A605,[1]timesData!$B:$P,7,FALSE)</f>
        <v>38.700000000000003</v>
      </c>
      <c r="I604" t="str">
        <f>VLOOKUP(A605,[1]timesData!$B:$P,8,FALSE)</f>
        <v>-</v>
      </c>
      <c r="J604">
        <f>VLOOKUP(A605,[1]timesData!$B:$P,9,FALSE)</f>
        <v>14531</v>
      </c>
      <c r="K604">
        <f>VLOOKUP(A605,[1]timesData!$B:$P,10,FALSE)</f>
        <v>17.3</v>
      </c>
      <c r="L604">
        <f>VLOOKUP(A605,[1]timesData!$B:$P,11,FALSE)</f>
        <v>0.04</v>
      </c>
      <c r="M604">
        <f>VLOOKUP(A605,[1]timesData!$B:$P,12,FALSE)</f>
        <v>0</v>
      </c>
      <c r="N604">
        <f>VLOOKUP(A605,[1]timesData!$B:$P,13,FALSE)</f>
        <v>2016</v>
      </c>
      <c r="O604">
        <f>VLOOKUP(A604,[2]cwurData!$B:$P,14,FALSE)</f>
        <v>834</v>
      </c>
      <c r="P604">
        <f>VLOOKUP(A604,[2]cwurData!$B:$N, 3, FALSE)</f>
        <v>30</v>
      </c>
      <c r="Q604">
        <f>VLOOKUP(A604,[2]cwurData!$B:$N, 4, FALSE)</f>
        <v>355</v>
      </c>
      <c r="R604">
        <f>VLOOKUP(A604,[2]cwurData!$B:$N, 5, FALSE)</f>
        <v>478</v>
      </c>
      <c r="S604">
        <f>VLOOKUP(A604,[2]cwurData!$B:$N, 6, FALSE)</f>
        <v>210</v>
      </c>
      <c r="T604">
        <f>VLOOKUP(A604,[2]cwurData!$B:$N, 7, FALSE)</f>
        <v>676</v>
      </c>
      <c r="U604">
        <f>VLOOKUP(A604,[2]cwurData!$B:$N, 8, FALSE)</f>
        <v>775</v>
      </c>
      <c r="V604">
        <f>VLOOKUP(A604,[2]cwurData!$B:$N, 9, FALSE)</f>
        <v>609</v>
      </c>
      <c r="W604">
        <f>VLOOKUP(A604,[2]cwurData!$B:$N, 10, FALSE)</f>
        <v>874</v>
      </c>
      <c r="X604">
        <f>VLOOKUP(A604,[2]cwurData!$B:$N, 11, FALSE)</f>
        <v>280</v>
      </c>
      <c r="Y604">
        <f>VLOOKUP(A604,[2]cwurData!$B:$N, 12, FALSE)</f>
        <v>44.47</v>
      </c>
      <c r="Z604">
        <f>VLOOKUP(A604,[2]cwurData!$B:$N, 13, FALSE)</f>
        <v>2014</v>
      </c>
    </row>
    <row r="605" spans="1:26" x14ac:dyDescent="0.3">
      <c r="A605" t="s">
        <v>594</v>
      </c>
      <c r="B605" t="str">
        <f>IFERROR(VLOOKUP(A605,[1]timesData!$B:$P,2,FALSE),VLOOKUP(A605,[2]cwurData!$B:$P,2,FALSE))</f>
        <v>Slovenia</v>
      </c>
      <c r="C605" t="str">
        <f>VLOOKUP(A605,[1]timesData!$B:$P,3,FALSE)</f>
        <v>501-600</v>
      </c>
      <c r="D605" t="str">
        <f>VLOOKUP(A606,[1]timesData!$B:$P,3,FALSE)</f>
        <v>501-600</v>
      </c>
      <c r="E605">
        <f>VLOOKUP(A606,[1]timesData!$B:$P,4,FALSE)</f>
        <v>14.1</v>
      </c>
      <c r="F605">
        <f>VLOOKUP(A606,[1]timesData!$B:$P,5,FALSE)</f>
        <v>20</v>
      </c>
      <c r="G605">
        <f>VLOOKUP(A606,[1]timesData!$B:$P,6,FALSE)</f>
        <v>9.3000000000000007</v>
      </c>
      <c r="H605">
        <f>VLOOKUP(A606,[1]timesData!$B:$P,7,FALSE)</f>
        <v>30</v>
      </c>
      <c r="I605" t="str">
        <f>VLOOKUP(A606,[1]timesData!$B:$P,8,FALSE)</f>
        <v>-</v>
      </c>
      <c r="J605">
        <f>VLOOKUP(A606,[1]timesData!$B:$P,9,FALSE)</f>
        <v>13912</v>
      </c>
      <c r="K605">
        <f>VLOOKUP(A606,[1]timesData!$B:$P,10,FALSE)</f>
        <v>9</v>
      </c>
      <c r="L605">
        <f>VLOOKUP(A606,[1]timesData!$B:$P,11,FALSE)</f>
        <v>0.01</v>
      </c>
      <c r="M605">
        <f>VLOOKUP(A606,[1]timesData!$B:$P,12,FALSE)</f>
        <v>2.6097222222222221</v>
      </c>
      <c r="N605">
        <f>VLOOKUP(A606,[1]timesData!$B:$P,13,FALSE)</f>
        <v>2016</v>
      </c>
      <c r="O605">
        <f>VLOOKUP(A605,[2]cwurData!$B:$P,14,FALSE)</f>
        <v>839</v>
      </c>
      <c r="P605">
        <f>VLOOKUP(A605,[2]cwurData!$B:$N, 3, FALSE)</f>
        <v>2</v>
      </c>
      <c r="Q605">
        <f>VLOOKUP(A605,[2]cwurData!$B:$N, 4, FALSE)</f>
        <v>355</v>
      </c>
      <c r="R605">
        <f>VLOOKUP(A605,[2]cwurData!$B:$N, 5, FALSE)</f>
        <v>478</v>
      </c>
      <c r="S605">
        <f>VLOOKUP(A605,[2]cwurData!$B:$N, 6, FALSE)</f>
        <v>210</v>
      </c>
      <c r="T605">
        <f>VLOOKUP(A605,[2]cwurData!$B:$N, 7, FALSE)</f>
        <v>866</v>
      </c>
      <c r="U605">
        <f>VLOOKUP(A605,[2]cwurData!$B:$N, 8, FALSE)</f>
        <v>810</v>
      </c>
      <c r="V605">
        <f>VLOOKUP(A605,[2]cwurData!$B:$N, 9, FALSE)</f>
        <v>609</v>
      </c>
      <c r="W605">
        <f>VLOOKUP(A605,[2]cwurData!$B:$N, 10, FALSE)</f>
        <v>769</v>
      </c>
      <c r="X605">
        <f>VLOOKUP(A605,[2]cwurData!$B:$N, 11, FALSE)</f>
        <v>552</v>
      </c>
      <c r="Y605">
        <f>VLOOKUP(A605,[2]cwurData!$B:$N, 12, FALSE)</f>
        <v>44.46</v>
      </c>
      <c r="Z605">
        <f>VLOOKUP(A605,[2]cwurData!$B:$N, 13, FALSE)</f>
        <v>2014</v>
      </c>
    </row>
    <row r="606" spans="1:26" x14ac:dyDescent="0.3">
      <c r="A606" t="s">
        <v>624</v>
      </c>
      <c r="B606" t="str">
        <f>IFERROR(VLOOKUP(A606,[1]timesData!$B:$P,2,FALSE),VLOOKUP(A606,[2]cwurData!$B:$P,2,FALSE))</f>
        <v>Iran</v>
      </c>
      <c r="C606" t="str">
        <f>VLOOKUP(A606,[1]timesData!$B:$P,3,FALSE)</f>
        <v>501-600</v>
      </c>
      <c r="D606" t="str">
        <f>VLOOKUP(A607,[1]timesData!$B:$P,3,FALSE)</f>
        <v>501-600</v>
      </c>
      <c r="E606">
        <f>VLOOKUP(A607,[1]timesData!$B:$P,4,FALSE)</f>
        <v>38.1</v>
      </c>
      <c r="F606">
        <f>VLOOKUP(A607,[1]timesData!$B:$P,5,FALSE)</f>
        <v>31.3</v>
      </c>
      <c r="G606">
        <f>VLOOKUP(A607,[1]timesData!$B:$P,6,FALSE)</f>
        <v>16.2</v>
      </c>
      <c r="H606">
        <f>VLOOKUP(A607,[1]timesData!$B:$P,7,FALSE)</f>
        <v>81.900000000000006</v>
      </c>
      <c r="I606" t="str">
        <f>VLOOKUP(A607,[1]timesData!$B:$P,8,FALSE)</f>
        <v>-</v>
      </c>
      <c r="J606">
        <f>VLOOKUP(A607,[1]timesData!$B:$P,9,FALSE)</f>
        <v>11072</v>
      </c>
      <c r="K606">
        <f>VLOOKUP(A607,[1]timesData!$B:$P,10,FALSE)</f>
        <v>13</v>
      </c>
      <c r="L606">
        <f>VLOOKUP(A607,[1]timesData!$B:$P,11,FALSE)</f>
        <v>0.19</v>
      </c>
      <c r="M606">
        <f>VLOOKUP(A607,[1]timesData!$B:$P,12,FALSE)</f>
        <v>2.4048611111111109</v>
      </c>
      <c r="N606">
        <f>VLOOKUP(A607,[1]timesData!$B:$P,13,FALSE)</f>
        <v>2016</v>
      </c>
      <c r="O606">
        <f>VLOOKUP(A606,[2]cwurData!$B:$P,14,FALSE)</f>
        <v>849</v>
      </c>
      <c r="P606">
        <f>VLOOKUP(A606,[2]cwurData!$B:$N, 3, FALSE)</f>
        <v>3</v>
      </c>
      <c r="Q606">
        <f>VLOOKUP(A606,[2]cwurData!$B:$N, 4, FALSE)</f>
        <v>355</v>
      </c>
      <c r="R606">
        <f>VLOOKUP(A606,[2]cwurData!$B:$N, 5, FALSE)</f>
        <v>478</v>
      </c>
      <c r="S606">
        <f>VLOOKUP(A606,[2]cwurData!$B:$N, 6, FALSE)</f>
        <v>210</v>
      </c>
      <c r="T606">
        <f>VLOOKUP(A606,[2]cwurData!$B:$N, 7, FALSE)</f>
        <v>603</v>
      </c>
      <c r="U606">
        <f>VLOOKUP(A606,[2]cwurData!$B:$N, 8, FALSE)</f>
        <v>903</v>
      </c>
      <c r="V606">
        <f>VLOOKUP(A606,[2]cwurData!$B:$N, 9, FALSE)</f>
        <v>800</v>
      </c>
      <c r="W606">
        <f>VLOOKUP(A606,[2]cwurData!$B:$N, 10, FALSE)</f>
        <v>800</v>
      </c>
      <c r="X606">
        <f>VLOOKUP(A606,[2]cwurData!$B:$N, 11, FALSE)</f>
        <v>737</v>
      </c>
      <c r="Y606">
        <f>VLOOKUP(A606,[2]cwurData!$B:$N, 12, FALSE)</f>
        <v>44.45</v>
      </c>
      <c r="Z606">
        <f>VLOOKUP(A606,[2]cwurData!$B:$N, 13, FALSE)</f>
        <v>2014</v>
      </c>
    </row>
    <row r="607" spans="1:26" x14ac:dyDescent="0.3">
      <c r="A607" t="s">
        <v>600</v>
      </c>
      <c r="B607" t="str">
        <f>IFERROR(VLOOKUP(A607,[1]timesData!$B:$P,2,FALSE),VLOOKUP(A607,[2]cwurData!$B:$P,2,FALSE))</f>
        <v>Taiwan</v>
      </c>
      <c r="C607" t="str">
        <f>VLOOKUP(A607,[1]timesData!$B:$P,3,FALSE)</f>
        <v>501-600</v>
      </c>
      <c r="D607" t="str">
        <f>VLOOKUP(A608,[1]timesData!$B:$P,3,FALSE)</f>
        <v>501-600</v>
      </c>
      <c r="E607">
        <f>VLOOKUP(A608,[1]timesData!$B:$P,4,FALSE)</f>
        <v>17.399999999999999</v>
      </c>
      <c r="F607">
        <f>VLOOKUP(A608,[1]timesData!$B:$P,5,FALSE)</f>
        <v>15.3</v>
      </c>
      <c r="G607">
        <f>VLOOKUP(A608,[1]timesData!$B:$P,6,FALSE)</f>
        <v>43.1</v>
      </c>
      <c r="H607">
        <f>VLOOKUP(A608,[1]timesData!$B:$P,7,FALSE)</f>
        <v>28.9</v>
      </c>
      <c r="I607" t="str">
        <f>VLOOKUP(A608,[1]timesData!$B:$P,8,FALSE)</f>
        <v>-</v>
      </c>
      <c r="J607">
        <f>VLOOKUP(A608,[1]timesData!$B:$P,9,FALSE)</f>
        <v>16446</v>
      </c>
      <c r="K607">
        <f>VLOOKUP(A608,[1]timesData!$B:$P,10,FALSE)</f>
        <v>19.2</v>
      </c>
      <c r="L607">
        <f>VLOOKUP(A608,[1]timesData!$B:$P,11,FALSE)</f>
        <v>0.02</v>
      </c>
      <c r="M607">
        <f>VLOOKUP(A608,[1]timesData!$B:$P,12,FALSE)</f>
        <v>2.7736111111111112</v>
      </c>
      <c r="N607">
        <f>VLOOKUP(A608,[1]timesData!$B:$P,13,FALSE)</f>
        <v>2016</v>
      </c>
      <c r="O607">
        <f>VLOOKUP(A607,[2]cwurData!$B:$P,14,FALSE)</f>
        <v>857</v>
      </c>
      <c r="P607">
        <f>VLOOKUP(A607,[2]cwurData!$B:$N, 3, FALSE)</f>
        <v>15</v>
      </c>
      <c r="Q607">
        <f>VLOOKUP(A607,[2]cwurData!$B:$N, 4, FALSE)</f>
        <v>355</v>
      </c>
      <c r="R607">
        <f>VLOOKUP(A607,[2]cwurData!$B:$N, 5, FALSE)</f>
        <v>345</v>
      </c>
      <c r="S607">
        <f>VLOOKUP(A607,[2]cwurData!$B:$N, 6, FALSE)</f>
        <v>210</v>
      </c>
      <c r="T607">
        <f>VLOOKUP(A607,[2]cwurData!$B:$N, 7, FALSE)</f>
        <v>721</v>
      </c>
      <c r="U607">
        <f>VLOOKUP(A607,[2]cwurData!$B:$N, 8, FALSE)</f>
        <v>890</v>
      </c>
      <c r="V607">
        <f>VLOOKUP(A607,[2]cwurData!$B:$N, 9, FALSE)</f>
        <v>493</v>
      </c>
      <c r="W607">
        <f>VLOOKUP(A607,[2]cwurData!$B:$N, 10, FALSE)</f>
        <v>897</v>
      </c>
      <c r="X607">
        <f>VLOOKUP(A607,[2]cwurData!$B:$N, 11, FALSE)</f>
        <v>737</v>
      </c>
      <c r="Y607">
        <f>VLOOKUP(A607,[2]cwurData!$B:$N, 12, FALSE)</f>
        <v>44.44</v>
      </c>
      <c r="Z607">
        <f>VLOOKUP(A607,[2]cwurData!$B:$N, 13, FALSE)</f>
        <v>2014</v>
      </c>
    </row>
    <row r="608" spans="1:26" x14ac:dyDescent="0.3">
      <c r="A608" t="s">
        <v>603</v>
      </c>
      <c r="B608" t="str">
        <f>IFERROR(VLOOKUP(A608,[1]timesData!$B:$P,2,FALSE),VLOOKUP(A608,[2]cwurData!$B:$P,2,FALSE))</f>
        <v>United States of America</v>
      </c>
      <c r="C608" t="str">
        <f>VLOOKUP(A608,[1]timesData!$B:$P,3,FALSE)</f>
        <v>501-600</v>
      </c>
      <c r="D608" t="str">
        <f>VLOOKUP(A609,[1]timesData!$B:$P,3,FALSE)</f>
        <v>501-600</v>
      </c>
      <c r="E608">
        <f>VLOOKUP(A609,[1]timesData!$B:$P,4,FALSE)</f>
        <v>7.7</v>
      </c>
      <c r="F608">
        <f>VLOOKUP(A609,[1]timesData!$B:$P,5,FALSE)</f>
        <v>22.2</v>
      </c>
      <c r="G608">
        <f>VLOOKUP(A609,[1]timesData!$B:$P,6,FALSE)</f>
        <v>31.8</v>
      </c>
      <c r="H608">
        <f>VLOOKUP(A609,[1]timesData!$B:$P,7,FALSE)</f>
        <v>33.799999999999997</v>
      </c>
      <c r="I608" t="str">
        <f>VLOOKUP(A609,[1]timesData!$B:$P,8,FALSE)</f>
        <v>-</v>
      </c>
      <c r="J608">
        <f>VLOOKUP(A609,[1]timesData!$B:$P,9,FALSE)</f>
        <v>10697</v>
      </c>
      <c r="K608">
        <f>VLOOKUP(A609,[1]timesData!$B:$P,10,FALSE)</f>
        <v>16.100000000000001</v>
      </c>
      <c r="L608">
        <f>VLOOKUP(A609,[1]timesData!$B:$P,11,FALSE)</f>
        <v>0</v>
      </c>
      <c r="M608" t="str">
        <f>VLOOKUP(A609,[1]timesData!$B:$P,12,FALSE)</f>
        <v>30 : 70</v>
      </c>
      <c r="N608">
        <f>VLOOKUP(A609,[1]timesData!$B:$P,13,FALSE)</f>
        <v>2016</v>
      </c>
      <c r="O608">
        <f>VLOOKUP(A608,[2]cwurData!$B:$P,14,FALSE)</f>
        <v>867</v>
      </c>
      <c r="P608">
        <f>VLOOKUP(A608,[2]cwurData!$B:$N, 3, FALSE)</f>
        <v>224</v>
      </c>
      <c r="Q608">
        <f>VLOOKUP(A608,[2]cwurData!$B:$N, 4, FALSE)</f>
        <v>355</v>
      </c>
      <c r="R608">
        <f>VLOOKUP(A608,[2]cwurData!$B:$N, 5, FALSE)</f>
        <v>478</v>
      </c>
      <c r="S608">
        <f>VLOOKUP(A608,[2]cwurData!$B:$N, 6, FALSE)</f>
        <v>210</v>
      </c>
      <c r="T608">
        <f>VLOOKUP(A608,[2]cwurData!$B:$N, 7, FALSE)</f>
        <v>936</v>
      </c>
      <c r="U608">
        <f>VLOOKUP(A608,[2]cwurData!$B:$N, 8, FALSE)</f>
        <v>849</v>
      </c>
      <c r="V608">
        <f>VLOOKUP(A608,[2]cwurData!$B:$N, 9, FALSE)</f>
        <v>609</v>
      </c>
      <c r="W608">
        <f>VLOOKUP(A608,[2]cwurData!$B:$N, 10, FALSE)</f>
        <v>800</v>
      </c>
      <c r="X608">
        <f>VLOOKUP(A608,[2]cwurData!$B:$N, 11, FALSE)</f>
        <v>552</v>
      </c>
      <c r="Y608">
        <f>VLOOKUP(A608,[2]cwurData!$B:$N, 12, FALSE)</f>
        <v>44.43</v>
      </c>
      <c r="Z608">
        <f>VLOOKUP(A608,[2]cwurData!$B:$N, 13, FALSE)</f>
        <v>2014</v>
      </c>
    </row>
    <row r="609" spans="1:26" x14ac:dyDescent="0.3">
      <c r="A609" t="s">
        <v>588</v>
      </c>
      <c r="B609" t="str">
        <f>IFERROR(VLOOKUP(A609,[1]timesData!$B:$P,2,FALSE),VLOOKUP(A609,[2]cwurData!$B:$P,2,FALSE))</f>
        <v>India</v>
      </c>
      <c r="C609" t="str">
        <f>VLOOKUP(A609,[1]timesData!$B:$P,3,FALSE)</f>
        <v>501-600</v>
      </c>
      <c r="D609" t="str">
        <f>VLOOKUP(A610,[1]timesData!$B:$P,3,FALSE)</f>
        <v>501-600</v>
      </c>
      <c r="E609">
        <f>VLOOKUP(A610,[1]timesData!$B:$P,4,FALSE)</f>
        <v>95</v>
      </c>
      <c r="F609">
        <f>VLOOKUP(A610,[1]timesData!$B:$P,5,FALSE)</f>
        <v>14.8</v>
      </c>
      <c r="G609">
        <f>VLOOKUP(A610,[1]timesData!$B:$P,6,FALSE)</f>
        <v>21.7</v>
      </c>
      <c r="H609">
        <f>VLOOKUP(A610,[1]timesData!$B:$P,7,FALSE)</f>
        <v>30.1</v>
      </c>
      <c r="I609" t="str">
        <f>VLOOKUP(A610,[1]timesData!$B:$P,8,FALSE)</f>
        <v>-</v>
      </c>
      <c r="J609">
        <f>VLOOKUP(A610,[1]timesData!$B:$P,9,FALSE)</f>
        <v>9221</v>
      </c>
      <c r="K609">
        <f>VLOOKUP(A610,[1]timesData!$B:$P,10,FALSE)</f>
        <v>12.5</v>
      </c>
      <c r="L609">
        <f>VLOOKUP(A610,[1]timesData!$B:$P,11,FALSE)</f>
        <v>0.26</v>
      </c>
      <c r="M609">
        <f>VLOOKUP(A610,[1]timesData!$B:$P,12,FALSE)</f>
        <v>3.1833333333333331</v>
      </c>
      <c r="N609">
        <f>VLOOKUP(A610,[1]timesData!$B:$P,13,FALSE)</f>
        <v>2016</v>
      </c>
      <c r="O609">
        <f>VLOOKUP(A609,[2]cwurData!$B:$P,14,FALSE)</f>
        <v>904</v>
      </c>
      <c r="P609">
        <f>VLOOKUP(A609,[2]cwurData!$B:$N, 3, FALSE)</f>
        <v>14</v>
      </c>
      <c r="Q609">
        <f>VLOOKUP(A609,[2]cwurData!$B:$N, 4, FALSE)</f>
        <v>355</v>
      </c>
      <c r="R609">
        <f>VLOOKUP(A609,[2]cwurData!$B:$N, 5, FALSE)</f>
        <v>478</v>
      </c>
      <c r="S609">
        <f>VLOOKUP(A609,[2]cwurData!$B:$N, 6, FALSE)</f>
        <v>210</v>
      </c>
      <c r="T609">
        <f>VLOOKUP(A609,[2]cwurData!$B:$N, 7, FALSE)</f>
        <v>871</v>
      </c>
      <c r="U609">
        <f>VLOOKUP(A609,[2]cwurData!$B:$N, 8, FALSE)</f>
        <v>987</v>
      </c>
      <c r="V609">
        <f>VLOOKUP(A609,[2]cwurData!$B:$N, 9, FALSE)</f>
        <v>493</v>
      </c>
      <c r="W609">
        <f>VLOOKUP(A609,[2]cwurData!$B:$N, 10, FALSE)</f>
        <v>849</v>
      </c>
      <c r="X609">
        <f>VLOOKUP(A609,[2]cwurData!$B:$N, 11, FALSE)</f>
        <v>737</v>
      </c>
      <c r="Y609">
        <f>VLOOKUP(A609,[2]cwurData!$B:$N, 12, FALSE)</f>
        <v>44.39</v>
      </c>
      <c r="Z609">
        <f>VLOOKUP(A609,[2]cwurData!$B:$N, 13, FALSE)</f>
        <v>2014</v>
      </c>
    </row>
    <row r="610" spans="1:26" x14ac:dyDescent="0.3">
      <c r="A610" t="s">
        <v>630</v>
      </c>
      <c r="B610" t="str">
        <f>IFERROR(VLOOKUP(A610,[1]timesData!$B:$P,2,FALSE),VLOOKUP(A610,[2]cwurData!$B:$P,2,FALSE))</f>
        <v>United Arab Emirates</v>
      </c>
      <c r="C610" t="str">
        <f>VLOOKUP(A610,[1]timesData!$B:$P,3,FALSE)</f>
        <v>501-600</v>
      </c>
      <c r="D610" t="str">
        <f>VLOOKUP(A611,[1]timesData!$B:$P,3,FALSE)</f>
        <v>501-600</v>
      </c>
      <c r="E610">
        <f>VLOOKUP(A611,[1]timesData!$B:$P,4,FALSE)</f>
        <v>76.5</v>
      </c>
      <c r="F610">
        <f>VLOOKUP(A611,[1]timesData!$B:$P,5,FALSE)</f>
        <v>16.3</v>
      </c>
      <c r="G610">
        <f>VLOOKUP(A611,[1]timesData!$B:$P,6,FALSE)</f>
        <v>36.6</v>
      </c>
      <c r="H610">
        <f>VLOOKUP(A611,[1]timesData!$B:$P,7,FALSE)</f>
        <v>34</v>
      </c>
      <c r="I610" t="str">
        <f>VLOOKUP(A611,[1]timesData!$B:$P,8,FALSE)</f>
        <v>-</v>
      </c>
      <c r="J610">
        <f>VLOOKUP(A611,[1]timesData!$B:$P,9,FALSE)</f>
        <v>12212</v>
      </c>
      <c r="K610">
        <f>VLOOKUP(A611,[1]timesData!$B:$P,10,FALSE)</f>
        <v>19.8</v>
      </c>
      <c r="L610">
        <f>VLOOKUP(A611,[1]timesData!$B:$P,11,FALSE)</f>
        <v>0.13</v>
      </c>
      <c r="M610">
        <f>VLOOKUP(A611,[1]timesData!$B:$P,12,FALSE)</f>
        <v>1.9541666666666666</v>
      </c>
      <c r="N610">
        <f>VLOOKUP(A611,[1]timesData!$B:$P,13,FALSE)</f>
        <v>2016</v>
      </c>
      <c r="O610">
        <f>VLOOKUP(A610,[2]cwurData!$B:$P,14,FALSE)</f>
        <v>924</v>
      </c>
      <c r="P610">
        <f>VLOOKUP(A610,[2]cwurData!$B:$N, 3, FALSE)</f>
        <v>1</v>
      </c>
      <c r="Q610">
        <f>VLOOKUP(A610,[2]cwurData!$B:$N, 4, FALSE)</f>
        <v>355</v>
      </c>
      <c r="R610">
        <f>VLOOKUP(A610,[2]cwurData!$B:$N, 5, FALSE)</f>
        <v>478</v>
      </c>
      <c r="S610">
        <f>VLOOKUP(A610,[2]cwurData!$B:$N, 6, FALSE)</f>
        <v>210</v>
      </c>
      <c r="T610">
        <f>VLOOKUP(A610,[2]cwurData!$B:$N, 7, FALSE)</f>
        <v>983</v>
      </c>
      <c r="U610">
        <f>VLOOKUP(A610,[2]cwurData!$B:$N, 8, FALSE)</f>
        <v>821</v>
      </c>
      <c r="V610">
        <f>VLOOKUP(A610,[2]cwurData!$B:$N, 9, FALSE)</f>
        <v>800</v>
      </c>
      <c r="W610">
        <f>VLOOKUP(A610,[2]cwurData!$B:$N, 10, FALSE)</f>
        <v>897</v>
      </c>
      <c r="X610">
        <f>VLOOKUP(A610,[2]cwurData!$B:$N, 11, FALSE)</f>
        <v>426</v>
      </c>
      <c r="Y610">
        <f>VLOOKUP(A610,[2]cwurData!$B:$N, 12, FALSE)</f>
        <v>44.36</v>
      </c>
      <c r="Z610">
        <f>VLOOKUP(A610,[2]cwurData!$B:$N, 13, FALSE)</f>
        <v>2014</v>
      </c>
    </row>
    <row r="611" spans="1:26" x14ac:dyDescent="0.3">
      <c r="A611" t="s">
        <v>592</v>
      </c>
      <c r="B611" t="str">
        <f>IFERROR(VLOOKUP(A611,[1]timesData!$B:$P,2,FALSE),VLOOKUP(A611,[2]cwurData!$B:$P,2,FALSE))</f>
        <v>Republic of Ireland</v>
      </c>
      <c r="C611" t="str">
        <f>VLOOKUP(A611,[1]timesData!$B:$P,3,FALSE)</f>
        <v>501-600</v>
      </c>
      <c r="D611" t="str">
        <f>VLOOKUP(A612,[1]timesData!$B:$P,3,FALSE)</f>
        <v>501-600</v>
      </c>
      <c r="E611">
        <f>VLOOKUP(A612,[1]timesData!$B:$P,4,FALSE)</f>
        <v>7.7</v>
      </c>
      <c r="F611">
        <f>VLOOKUP(A612,[1]timesData!$B:$P,5,FALSE)</f>
        <v>25.7</v>
      </c>
      <c r="G611">
        <f>VLOOKUP(A612,[1]timesData!$B:$P,6,FALSE)</f>
        <v>34.799999999999997</v>
      </c>
      <c r="H611">
        <f>VLOOKUP(A612,[1]timesData!$B:$P,7,FALSE)</f>
        <v>55.7</v>
      </c>
      <c r="I611" t="str">
        <f>VLOOKUP(A612,[1]timesData!$B:$P,8,FALSE)</f>
        <v>-</v>
      </c>
      <c r="J611">
        <f>VLOOKUP(A612,[1]timesData!$B:$P,9,FALSE)</f>
        <v>14080</v>
      </c>
      <c r="K611">
        <f>VLOOKUP(A612,[1]timesData!$B:$P,10,FALSE)</f>
        <v>25.6</v>
      </c>
      <c r="L611">
        <f>VLOOKUP(A612,[1]timesData!$B:$P,11,FALSE)</f>
        <v>0.01</v>
      </c>
      <c r="M611" t="str">
        <f>VLOOKUP(A612,[1]timesData!$B:$P,12,FALSE)</f>
        <v>34 : 66</v>
      </c>
      <c r="N611">
        <f>VLOOKUP(A612,[1]timesData!$B:$P,13,FALSE)</f>
        <v>2016</v>
      </c>
      <c r="O611">
        <f>VLOOKUP(A611,[2]cwurData!$B:$P,14,FALSE)</f>
        <v>944</v>
      </c>
      <c r="P611">
        <f>VLOOKUP(A611,[2]cwurData!$B:$N, 3, FALSE)</f>
        <v>8</v>
      </c>
      <c r="Q611">
        <f>VLOOKUP(A611,[2]cwurData!$B:$N, 4, FALSE)</f>
        <v>355</v>
      </c>
      <c r="R611">
        <f>VLOOKUP(A611,[2]cwurData!$B:$N, 5, FALSE)</f>
        <v>478</v>
      </c>
      <c r="S611">
        <f>VLOOKUP(A611,[2]cwurData!$B:$N, 6, FALSE)</f>
        <v>210</v>
      </c>
      <c r="T611">
        <f>VLOOKUP(A611,[2]cwurData!$B:$N, 7, FALSE)</f>
        <v>897</v>
      </c>
      <c r="U611">
        <f>VLOOKUP(A611,[2]cwurData!$B:$N, 8, FALSE)</f>
        <v>868</v>
      </c>
      <c r="V611">
        <f>VLOOKUP(A611,[2]cwurData!$B:$N, 9, FALSE)</f>
        <v>800</v>
      </c>
      <c r="W611">
        <f>VLOOKUP(A611,[2]cwurData!$B:$N, 10, FALSE)</f>
        <v>948</v>
      </c>
      <c r="X611">
        <f>VLOOKUP(A611,[2]cwurData!$B:$N, 11, FALSE)</f>
        <v>373</v>
      </c>
      <c r="Y611">
        <f>VLOOKUP(A611,[2]cwurData!$B:$N, 12, FALSE)</f>
        <v>44.33</v>
      </c>
      <c r="Z611">
        <f>VLOOKUP(A611,[2]cwurData!$B:$N, 13, FALSE)</f>
        <v>2014</v>
      </c>
    </row>
    <row r="612" spans="1:26" x14ac:dyDescent="0.3">
      <c r="A612" t="s">
        <v>565</v>
      </c>
      <c r="B612" t="str">
        <f>IFERROR(VLOOKUP(A612,[1]timesData!$B:$P,2,FALSE),VLOOKUP(A612,[2]cwurData!$B:$P,2,FALSE))</f>
        <v>Iran</v>
      </c>
      <c r="C612" t="str">
        <f>VLOOKUP(A612,[1]timesData!$B:$P,3,FALSE)</f>
        <v>501-600</v>
      </c>
      <c r="D612" t="str">
        <f>VLOOKUP(A613,[1]timesData!$B:$P,3,FALSE)</f>
        <v>501-600</v>
      </c>
      <c r="E612">
        <f>VLOOKUP(A613,[1]timesData!$B:$P,4,FALSE)</f>
        <v>35.4</v>
      </c>
      <c r="F612">
        <f>VLOOKUP(A613,[1]timesData!$B:$P,5,FALSE)</f>
        <v>12.5</v>
      </c>
      <c r="G612">
        <f>VLOOKUP(A613,[1]timesData!$B:$P,6,FALSE)</f>
        <v>32.1</v>
      </c>
      <c r="H612">
        <f>VLOOKUP(A613,[1]timesData!$B:$P,7,FALSE)</f>
        <v>28.6</v>
      </c>
      <c r="I612" t="str">
        <f>VLOOKUP(A613,[1]timesData!$B:$P,8,FALSE)</f>
        <v>-</v>
      </c>
      <c r="J612">
        <f>VLOOKUP(A613,[1]timesData!$B:$P,9,FALSE)</f>
        <v>37915</v>
      </c>
      <c r="K612">
        <f>VLOOKUP(A613,[1]timesData!$B:$P,10,FALSE)</f>
        <v>23.5</v>
      </c>
      <c r="L612">
        <f>VLOOKUP(A613,[1]timesData!$B:$P,11,FALSE)</f>
        <v>0.02</v>
      </c>
      <c r="M612">
        <f>VLOOKUP(A613,[1]timesData!$B:$P,12,FALSE)</f>
        <v>2.8145833333333332</v>
      </c>
      <c r="N612">
        <f>VLOOKUP(A613,[1]timesData!$B:$P,13,FALSE)</f>
        <v>2016</v>
      </c>
      <c r="O612">
        <f>VLOOKUP(A612,[2]cwurData!$B:$P,14,FALSE)</f>
        <v>959</v>
      </c>
      <c r="P612">
        <f>VLOOKUP(A612,[2]cwurData!$B:$N, 3, FALSE)</f>
        <v>6</v>
      </c>
      <c r="Q612">
        <f>VLOOKUP(A612,[2]cwurData!$B:$N, 4, FALSE)</f>
        <v>355</v>
      </c>
      <c r="R612">
        <f>VLOOKUP(A612,[2]cwurData!$B:$N, 5, FALSE)</f>
        <v>478</v>
      </c>
      <c r="S612">
        <f>VLOOKUP(A612,[2]cwurData!$B:$N, 6, FALSE)</f>
        <v>210</v>
      </c>
      <c r="T612">
        <f>VLOOKUP(A612,[2]cwurData!$B:$N, 7, FALSE)</f>
        <v>769</v>
      </c>
      <c r="U612">
        <f>VLOOKUP(A612,[2]cwurData!$B:$N, 8, FALSE)</f>
        <v>952</v>
      </c>
      <c r="V612">
        <f>VLOOKUP(A612,[2]cwurData!$B:$N, 9, FALSE)</f>
        <v>609</v>
      </c>
      <c r="W612">
        <f>VLOOKUP(A612,[2]cwurData!$B:$N, 10, FALSE)</f>
        <v>937</v>
      </c>
      <c r="X612">
        <f>VLOOKUP(A612,[2]cwurData!$B:$N, 11, FALSE)</f>
        <v>737</v>
      </c>
      <c r="Y612">
        <f>VLOOKUP(A612,[2]cwurData!$B:$N, 12, FALSE)</f>
        <v>44.31</v>
      </c>
      <c r="Z612">
        <f>VLOOKUP(A612,[2]cwurData!$B:$N, 13, FALSE)</f>
        <v>2014</v>
      </c>
    </row>
    <row r="613" spans="1:26" x14ac:dyDescent="0.3">
      <c r="A613" t="s">
        <v>567</v>
      </c>
      <c r="B613" t="str">
        <f>IFERROR(VLOOKUP(A613,[1]timesData!$B:$P,2,FALSE),VLOOKUP(A613,[2]cwurData!$B:$P,2,FALSE))</f>
        <v>Romania</v>
      </c>
      <c r="C613" t="str">
        <f>VLOOKUP(A613,[1]timesData!$B:$P,3,FALSE)</f>
        <v>501-600</v>
      </c>
      <c r="D613" t="str">
        <f>VLOOKUP(A614,[1]timesData!$B:$P,3,FALSE)</f>
        <v>501-600</v>
      </c>
      <c r="E613">
        <f>VLOOKUP(A614,[1]timesData!$B:$P,4,FALSE)</f>
        <v>15.6</v>
      </c>
      <c r="F613">
        <f>VLOOKUP(A614,[1]timesData!$B:$P,5,FALSE)</f>
        <v>23.7</v>
      </c>
      <c r="G613">
        <f>VLOOKUP(A614,[1]timesData!$B:$P,6,FALSE)</f>
        <v>3.1</v>
      </c>
      <c r="H613">
        <f>VLOOKUP(A614,[1]timesData!$B:$P,7,FALSE)</f>
        <v>68.099999999999994</v>
      </c>
      <c r="I613" t="str">
        <f>VLOOKUP(A614,[1]timesData!$B:$P,8,FALSE)</f>
        <v>-</v>
      </c>
      <c r="J613">
        <f>VLOOKUP(A614,[1]timesData!$B:$P,9,FALSE)</f>
        <v>18808</v>
      </c>
      <c r="K613">
        <f>VLOOKUP(A614,[1]timesData!$B:$P,10,FALSE)</f>
        <v>4</v>
      </c>
      <c r="L613">
        <f>VLOOKUP(A614,[1]timesData!$B:$P,11,FALSE)</f>
        <v>0.04</v>
      </c>
      <c r="M613">
        <f>VLOOKUP(A614,[1]timesData!$B:$P,12,FALSE)</f>
        <v>1.0118055555555556</v>
      </c>
      <c r="N613">
        <f>VLOOKUP(A614,[1]timesData!$B:$P,13,FALSE)</f>
        <v>2016</v>
      </c>
      <c r="O613" t="e">
        <f>VLOOKUP(A613,[2]cwurData!$B:$P,14,FALSE)</f>
        <v>#N/A</v>
      </c>
      <c r="P613" t="e">
        <f>VLOOKUP(A613,[2]cwurData!$B:$N, 3, FALSE)</f>
        <v>#N/A</v>
      </c>
      <c r="Q613" t="e">
        <f>VLOOKUP(A613,[2]cwurData!$B:$N, 4, FALSE)</f>
        <v>#N/A</v>
      </c>
      <c r="R613" t="e">
        <f>VLOOKUP(A613,[2]cwurData!$B:$N, 5, FALSE)</f>
        <v>#N/A</v>
      </c>
      <c r="S613" t="e">
        <f>VLOOKUP(A613,[2]cwurData!$B:$N, 6, FALSE)</f>
        <v>#N/A</v>
      </c>
      <c r="T613" t="e">
        <f>VLOOKUP(A613,[2]cwurData!$B:$N, 7, FALSE)</f>
        <v>#N/A</v>
      </c>
      <c r="U613" t="e">
        <f>VLOOKUP(A613,[2]cwurData!$B:$N, 8, FALSE)</f>
        <v>#N/A</v>
      </c>
      <c r="V613" t="e">
        <f>VLOOKUP(A613,[2]cwurData!$B:$N, 9, FALSE)</f>
        <v>#N/A</v>
      </c>
      <c r="W613" t="e">
        <f>VLOOKUP(A613,[2]cwurData!$B:$N, 10, FALSE)</f>
        <v>#N/A</v>
      </c>
      <c r="X613" t="e">
        <f>VLOOKUP(A613,[2]cwurData!$B:$N, 11, FALSE)</f>
        <v>#N/A</v>
      </c>
      <c r="Y613" t="e">
        <f>VLOOKUP(A613,[2]cwurData!$B:$N, 12, FALSE)</f>
        <v>#N/A</v>
      </c>
      <c r="Z613" t="e">
        <f>VLOOKUP(A613,[2]cwurData!$B:$N, 13, FALSE)</f>
        <v>#N/A</v>
      </c>
    </row>
    <row r="614" spans="1:26" x14ac:dyDescent="0.3">
      <c r="A614" t="s">
        <v>569</v>
      </c>
      <c r="B614" t="str">
        <f>IFERROR(VLOOKUP(A614,[1]timesData!$B:$P,2,FALSE),VLOOKUP(A614,[2]cwurData!$B:$P,2,FALSE))</f>
        <v>Russian Federation</v>
      </c>
      <c r="C614" t="str">
        <f>VLOOKUP(A614,[1]timesData!$B:$P,3,FALSE)</f>
        <v>501-600</v>
      </c>
      <c r="D614" t="str">
        <f>VLOOKUP(A615,[1]timesData!$B:$P,3,FALSE)</f>
        <v>501-600</v>
      </c>
      <c r="E614">
        <f>VLOOKUP(A615,[1]timesData!$B:$P,4,FALSE)</f>
        <v>50.8</v>
      </c>
      <c r="F614">
        <f>VLOOKUP(A615,[1]timesData!$B:$P,5,FALSE)</f>
        <v>11.4</v>
      </c>
      <c r="G614">
        <f>VLOOKUP(A615,[1]timesData!$B:$P,6,FALSE)</f>
        <v>43.7</v>
      </c>
      <c r="H614">
        <f>VLOOKUP(A615,[1]timesData!$B:$P,7,FALSE)</f>
        <v>32.5</v>
      </c>
      <c r="I614" t="str">
        <f>VLOOKUP(A615,[1]timesData!$B:$P,8,FALSE)</f>
        <v>-</v>
      </c>
      <c r="J614">
        <f>VLOOKUP(A615,[1]timesData!$B:$P,9,FALSE)</f>
        <v>11452</v>
      </c>
      <c r="K614">
        <f>VLOOKUP(A615,[1]timesData!$B:$P,10,FALSE)</f>
        <v>29.6</v>
      </c>
      <c r="L614">
        <f>VLOOKUP(A615,[1]timesData!$B:$P,11,FALSE)</f>
        <v>0.27</v>
      </c>
      <c r="M614">
        <f>VLOOKUP(A615,[1]timesData!$B:$P,12,FALSE)</f>
        <v>2.4868055555555557</v>
      </c>
      <c r="N614">
        <f>VLOOKUP(A615,[1]timesData!$B:$P,13,FALSE)</f>
        <v>2016</v>
      </c>
      <c r="O614" t="e">
        <f>VLOOKUP(A614,[2]cwurData!$B:$P,14,FALSE)</f>
        <v>#N/A</v>
      </c>
      <c r="P614" t="e">
        <f>VLOOKUP(A614,[2]cwurData!$B:$N, 3, FALSE)</f>
        <v>#N/A</v>
      </c>
      <c r="Q614" t="e">
        <f>VLOOKUP(A614,[2]cwurData!$B:$N, 4, FALSE)</f>
        <v>#N/A</v>
      </c>
      <c r="R614" t="e">
        <f>VLOOKUP(A614,[2]cwurData!$B:$N, 5, FALSE)</f>
        <v>#N/A</v>
      </c>
      <c r="S614" t="e">
        <f>VLOOKUP(A614,[2]cwurData!$B:$N, 6, FALSE)</f>
        <v>#N/A</v>
      </c>
      <c r="T614" t="e">
        <f>VLOOKUP(A614,[2]cwurData!$B:$N, 7, FALSE)</f>
        <v>#N/A</v>
      </c>
      <c r="U614" t="e">
        <f>VLOOKUP(A614,[2]cwurData!$B:$N, 8, FALSE)</f>
        <v>#N/A</v>
      </c>
      <c r="V614" t="e">
        <f>VLOOKUP(A614,[2]cwurData!$B:$N, 9, FALSE)</f>
        <v>#N/A</v>
      </c>
      <c r="W614" t="e">
        <f>VLOOKUP(A614,[2]cwurData!$B:$N, 10, FALSE)</f>
        <v>#N/A</v>
      </c>
      <c r="X614" t="e">
        <f>VLOOKUP(A614,[2]cwurData!$B:$N, 11, FALSE)</f>
        <v>#N/A</v>
      </c>
      <c r="Y614" t="e">
        <f>VLOOKUP(A614,[2]cwurData!$B:$N, 12, FALSE)</f>
        <v>#N/A</v>
      </c>
      <c r="Z614" t="e">
        <f>VLOOKUP(A614,[2]cwurData!$B:$N, 13, FALSE)</f>
        <v>#N/A</v>
      </c>
    </row>
    <row r="615" spans="1:26" x14ac:dyDescent="0.3">
      <c r="A615" t="s">
        <v>575</v>
      </c>
      <c r="B615" t="str">
        <f>IFERROR(VLOOKUP(A615,[1]timesData!$B:$P,2,FALSE),VLOOKUP(A615,[2]cwurData!$B:$P,2,FALSE))</f>
        <v>Australia</v>
      </c>
      <c r="C615" t="str">
        <f>VLOOKUP(A615,[1]timesData!$B:$P,3,FALSE)</f>
        <v>501-600</v>
      </c>
      <c r="D615" t="str">
        <f>VLOOKUP(A616,[1]timesData!$B:$P,3,FALSE)</f>
        <v>501-600</v>
      </c>
      <c r="E615">
        <f>VLOOKUP(A616,[1]timesData!$B:$P,4,FALSE)</f>
        <v>58.4</v>
      </c>
      <c r="F615">
        <f>VLOOKUP(A616,[1]timesData!$B:$P,5,FALSE)</f>
        <v>10.1</v>
      </c>
      <c r="G615">
        <f>VLOOKUP(A616,[1]timesData!$B:$P,6,FALSE)</f>
        <v>40.1</v>
      </c>
      <c r="H615">
        <f>VLOOKUP(A616,[1]timesData!$B:$P,7,FALSE)</f>
        <v>28.5</v>
      </c>
      <c r="I615" t="str">
        <f>VLOOKUP(A616,[1]timesData!$B:$P,8,FALSE)</f>
        <v>-</v>
      </c>
      <c r="J615">
        <f>VLOOKUP(A616,[1]timesData!$B:$P,9,FALSE)</f>
        <v>16812</v>
      </c>
      <c r="K615">
        <f>VLOOKUP(A616,[1]timesData!$B:$P,10,FALSE)</f>
        <v>19.100000000000001</v>
      </c>
      <c r="L615">
        <f>VLOOKUP(A616,[1]timesData!$B:$P,11,FALSE)</f>
        <v>0.21</v>
      </c>
      <c r="M615">
        <f>VLOOKUP(A616,[1]timesData!$B:$P,12,FALSE)</f>
        <v>2.4048611111111109</v>
      </c>
      <c r="N615">
        <f>VLOOKUP(A616,[1]timesData!$B:$P,13,FALSE)</f>
        <v>2016</v>
      </c>
      <c r="O615" t="e">
        <f>VLOOKUP(A615,[2]cwurData!$B:$P,14,FALSE)</f>
        <v>#N/A</v>
      </c>
      <c r="P615" t="e">
        <f>VLOOKUP(A615,[2]cwurData!$B:$N, 3, FALSE)</f>
        <v>#N/A</v>
      </c>
      <c r="Q615" t="e">
        <f>VLOOKUP(A615,[2]cwurData!$B:$N, 4, FALSE)</f>
        <v>#N/A</v>
      </c>
      <c r="R615" t="e">
        <f>VLOOKUP(A615,[2]cwurData!$B:$N, 5, FALSE)</f>
        <v>#N/A</v>
      </c>
      <c r="S615" t="e">
        <f>VLOOKUP(A615,[2]cwurData!$B:$N, 6, FALSE)</f>
        <v>#N/A</v>
      </c>
      <c r="T615" t="e">
        <f>VLOOKUP(A615,[2]cwurData!$B:$N, 7, FALSE)</f>
        <v>#N/A</v>
      </c>
      <c r="U615" t="e">
        <f>VLOOKUP(A615,[2]cwurData!$B:$N, 8, FALSE)</f>
        <v>#N/A</v>
      </c>
      <c r="V615" t="e">
        <f>VLOOKUP(A615,[2]cwurData!$B:$N, 9, FALSE)</f>
        <v>#N/A</v>
      </c>
      <c r="W615" t="e">
        <f>VLOOKUP(A615,[2]cwurData!$B:$N, 10, FALSE)</f>
        <v>#N/A</v>
      </c>
      <c r="X615" t="e">
        <f>VLOOKUP(A615,[2]cwurData!$B:$N, 11, FALSE)</f>
        <v>#N/A</v>
      </c>
      <c r="Y615" t="e">
        <f>VLOOKUP(A615,[2]cwurData!$B:$N, 12, FALSE)</f>
        <v>#N/A</v>
      </c>
      <c r="Z615" t="e">
        <f>VLOOKUP(A615,[2]cwurData!$B:$N, 13, FALSE)</f>
        <v>#N/A</v>
      </c>
    </row>
    <row r="616" spans="1:26" x14ac:dyDescent="0.3">
      <c r="A616" t="s">
        <v>580</v>
      </c>
      <c r="B616" t="str">
        <f>IFERROR(VLOOKUP(A616,[1]timesData!$B:$P,2,FALSE),VLOOKUP(A616,[2]cwurData!$B:$P,2,FALSE))</f>
        <v>United Kingdom</v>
      </c>
      <c r="C616" t="str">
        <f>VLOOKUP(A616,[1]timesData!$B:$P,3,FALSE)</f>
        <v>501-600</v>
      </c>
      <c r="D616" t="str">
        <f>VLOOKUP(A617,[1]timesData!$B:$P,3,FALSE)</f>
        <v>501-600</v>
      </c>
      <c r="E616">
        <f>VLOOKUP(A617,[1]timesData!$B:$P,4,FALSE)</f>
        <v>68.7</v>
      </c>
      <c r="F616">
        <f>VLOOKUP(A617,[1]timesData!$B:$P,5,FALSE)</f>
        <v>16.100000000000001</v>
      </c>
      <c r="G616">
        <f>VLOOKUP(A617,[1]timesData!$B:$P,6,FALSE)</f>
        <v>35</v>
      </c>
      <c r="H616">
        <f>VLOOKUP(A617,[1]timesData!$B:$P,7,FALSE)</f>
        <v>34.5</v>
      </c>
      <c r="I616" t="str">
        <f>VLOOKUP(A617,[1]timesData!$B:$P,8,FALSE)</f>
        <v>-</v>
      </c>
      <c r="J616">
        <f>VLOOKUP(A617,[1]timesData!$B:$P,9,FALSE)</f>
        <v>27491</v>
      </c>
      <c r="K616">
        <f>VLOOKUP(A617,[1]timesData!$B:$P,10,FALSE)</f>
        <v>16.100000000000001</v>
      </c>
      <c r="L616">
        <f>VLOOKUP(A617,[1]timesData!$B:$P,11,FALSE)</f>
        <v>0.16</v>
      </c>
      <c r="M616">
        <f>VLOOKUP(A617,[1]timesData!$B:$P,12,FALSE)</f>
        <v>2.5687500000000001</v>
      </c>
      <c r="N616">
        <f>VLOOKUP(A617,[1]timesData!$B:$P,13,FALSE)</f>
        <v>2016</v>
      </c>
      <c r="O616" t="e">
        <f>VLOOKUP(A616,[2]cwurData!$B:$P,14,FALSE)</f>
        <v>#N/A</v>
      </c>
      <c r="P616" t="e">
        <f>VLOOKUP(A616,[2]cwurData!$B:$N, 3, FALSE)</f>
        <v>#N/A</v>
      </c>
      <c r="Q616" t="e">
        <f>VLOOKUP(A616,[2]cwurData!$B:$N, 4, FALSE)</f>
        <v>#N/A</v>
      </c>
      <c r="R616" t="e">
        <f>VLOOKUP(A616,[2]cwurData!$B:$N, 5, FALSE)</f>
        <v>#N/A</v>
      </c>
      <c r="S616" t="e">
        <f>VLOOKUP(A616,[2]cwurData!$B:$N, 6, FALSE)</f>
        <v>#N/A</v>
      </c>
      <c r="T616" t="e">
        <f>VLOOKUP(A616,[2]cwurData!$B:$N, 7, FALSE)</f>
        <v>#N/A</v>
      </c>
      <c r="U616" t="e">
        <f>VLOOKUP(A616,[2]cwurData!$B:$N, 8, FALSE)</f>
        <v>#N/A</v>
      </c>
      <c r="V616" t="e">
        <f>VLOOKUP(A616,[2]cwurData!$B:$N, 9, FALSE)</f>
        <v>#N/A</v>
      </c>
      <c r="W616" t="e">
        <f>VLOOKUP(A616,[2]cwurData!$B:$N, 10, FALSE)</f>
        <v>#N/A</v>
      </c>
      <c r="X616" t="e">
        <f>VLOOKUP(A616,[2]cwurData!$B:$N, 11, FALSE)</f>
        <v>#N/A</v>
      </c>
      <c r="Y616" t="e">
        <f>VLOOKUP(A616,[2]cwurData!$B:$N, 12, FALSE)</f>
        <v>#N/A</v>
      </c>
      <c r="Z616" t="e">
        <f>VLOOKUP(A616,[2]cwurData!$B:$N, 13, FALSE)</f>
        <v>#N/A</v>
      </c>
    </row>
    <row r="617" spans="1:26" x14ac:dyDescent="0.3">
      <c r="A617" t="s">
        <v>582</v>
      </c>
      <c r="B617" t="str">
        <f>IFERROR(VLOOKUP(A617,[1]timesData!$B:$P,2,FALSE),VLOOKUP(A617,[2]cwurData!$B:$P,2,FALSE))</f>
        <v>Australia</v>
      </c>
      <c r="C617" t="str">
        <f>VLOOKUP(A617,[1]timesData!$B:$P,3,FALSE)</f>
        <v>501-600</v>
      </c>
      <c r="D617" t="str">
        <f>VLOOKUP(A618,[1]timesData!$B:$P,3,FALSE)</f>
        <v>501-600</v>
      </c>
      <c r="E617">
        <f>VLOOKUP(A618,[1]timesData!$B:$P,4,FALSE)</f>
        <v>12.9</v>
      </c>
      <c r="F617">
        <f>VLOOKUP(A618,[1]timesData!$B:$P,5,FALSE)</f>
        <v>20.7</v>
      </c>
      <c r="G617">
        <f>VLOOKUP(A618,[1]timesData!$B:$P,6,FALSE)</f>
        <v>42.6</v>
      </c>
      <c r="H617">
        <f>VLOOKUP(A618,[1]timesData!$B:$P,7,FALSE)</f>
        <v>32.299999999999997</v>
      </c>
      <c r="I617" t="str">
        <f>VLOOKUP(A618,[1]timesData!$B:$P,8,FALSE)</f>
        <v>-</v>
      </c>
      <c r="J617">
        <f>VLOOKUP(A618,[1]timesData!$B:$P,9,FALSE)</f>
        <v>4710</v>
      </c>
      <c r="K617">
        <f>VLOOKUP(A618,[1]timesData!$B:$P,10,FALSE)</f>
        <v>14.2</v>
      </c>
      <c r="L617">
        <f>VLOOKUP(A618,[1]timesData!$B:$P,11,FALSE)</f>
        <v>0.01</v>
      </c>
      <c r="M617">
        <f>VLOOKUP(A618,[1]timesData!$B:$P,12,FALSE)</f>
        <v>0.6430555555555556</v>
      </c>
      <c r="N617">
        <f>VLOOKUP(A618,[1]timesData!$B:$P,13,FALSE)</f>
        <v>2016</v>
      </c>
      <c r="O617" t="e">
        <f>VLOOKUP(A617,[2]cwurData!$B:$P,14,FALSE)</f>
        <v>#N/A</v>
      </c>
      <c r="P617" t="e">
        <f>VLOOKUP(A617,[2]cwurData!$B:$N, 3, FALSE)</f>
        <v>#N/A</v>
      </c>
      <c r="Q617" t="e">
        <f>VLOOKUP(A617,[2]cwurData!$B:$N, 4, FALSE)</f>
        <v>#N/A</v>
      </c>
      <c r="R617" t="e">
        <f>VLOOKUP(A617,[2]cwurData!$B:$N, 5, FALSE)</f>
        <v>#N/A</v>
      </c>
      <c r="S617" t="e">
        <f>VLOOKUP(A617,[2]cwurData!$B:$N, 6, FALSE)</f>
        <v>#N/A</v>
      </c>
      <c r="T617" t="e">
        <f>VLOOKUP(A617,[2]cwurData!$B:$N, 7, FALSE)</f>
        <v>#N/A</v>
      </c>
      <c r="U617" t="e">
        <f>VLOOKUP(A617,[2]cwurData!$B:$N, 8, FALSE)</f>
        <v>#N/A</v>
      </c>
      <c r="V617" t="e">
        <f>VLOOKUP(A617,[2]cwurData!$B:$N, 9, FALSE)</f>
        <v>#N/A</v>
      </c>
      <c r="W617" t="e">
        <f>VLOOKUP(A617,[2]cwurData!$B:$N, 10, FALSE)</f>
        <v>#N/A</v>
      </c>
      <c r="X617" t="e">
        <f>VLOOKUP(A617,[2]cwurData!$B:$N, 11, FALSE)</f>
        <v>#N/A</v>
      </c>
      <c r="Y617" t="e">
        <f>VLOOKUP(A617,[2]cwurData!$B:$N, 12, FALSE)</f>
        <v>#N/A</v>
      </c>
      <c r="Z617" t="e">
        <f>VLOOKUP(A617,[2]cwurData!$B:$N, 13, FALSE)</f>
        <v>#N/A</v>
      </c>
    </row>
    <row r="618" spans="1:26" x14ac:dyDescent="0.3">
      <c r="A618" t="s">
        <v>587</v>
      </c>
      <c r="B618" t="str">
        <f>IFERROR(VLOOKUP(A618,[1]timesData!$B:$P,2,FALSE),VLOOKUP(A618,[2]cwurData!$B:$P,2,FALSE))</f>
        <v>India</v>
      </c>
      <c r="C618" t="str">
        <f>VLOOKUP(A618,[1]timesData!$B:$P,3,FALSE)</f>
        <v>501-600</v>
      </c>
      <c r="D618" t="str">
        <f>VLOOKUP(A619,[1]timesData!$B:$P,3,FALSE)</f>
        <v>501-600</v>
      </c>
      <c r="E618">
        <f>VLOOKUP(A619,[1]timesData!$B:$P,4,FALSE)</f>
        <v>23.5</v>
      </c>
      <c r="F618">
        <f>VLOOKUP(A619,[1]timesData!$B:$P,5,FALSE)</f>
        <v>21.8</v>
      </c>
      <c r="G618">
        <f>VLOOKUP(A619,[1]timesData!$B:$P,6,FALSE)</f>
        <v>48</v>
      </c>
      <c r="H618">
        <f>VLOOKUP(A619,[1]timesData!$B:$P,7,FALSE)</f>
        <v>43</v>
      </c>
      <c r="I618" t="str">
        <f>VLOOKUP(A619,[1]timesData!$B:$P,8,FALSE)</f>
        <v>-</v>
      </c>
      <c r="J618">
        <f>VLOOKUP(A619,[1]timesData!$B:$P,9,FALSE)</f>
        <v>12331</v>
      </c>
      <c r="K618">
        <f>VLOOKUP(A619,[1]timesData!$B:$P,10,FALSE)</f>
        <v>17.8</v>
      </c>
      <c r="L618">
        <f>VLOOKUP(A619,[1]timesData!$B:$P,11,FALSE)</f>
        <v>0.04</v>
      </c>
      <c r="M618">
        <f>VLOOKUP(A619,[1]timesData!$B:$P,12,FALSE)</f>
        <v>1.9541666666666666</v>
      </c>
      <c r="N618">
        <f>VLOOKUP(A619,[1]timesData!$B:$P,13,FALSE)</f>
        <v>2016</v>
      </c>
      <c r="O618" t="e">
        <f>VLOOKUP(A618,[2]cwurData!$B:$P,14,FALSE)</f>
        <v>#N/A</v>
      </c>
      <c r="P618" t="e">
        <f>VLOOKUP(A618,[2]cwurData!$B:$N, 3, FALSE)</f>
        <v>#N/A</v>
      </c>
      <c r="Q618" t="e">
        <f>VLOOKUP(A618,[2]cwurData!$B:$N, 4, FALSE)</f>
        <v>#N/A</v>
      </c>
      <c r="R618" t="e">
        <f>VLOOKUP(A618,[2]cwurData!$B:$N, 5, FALSE)</f>
        <v>#N/A</v>
      </c>
      <c r="S618" t="e">
        <f>VLOOKUP(A618,[2]cwurData!$B:$N, 6, FALSE)</f>
        <v>#N/A</v>
      </c>
      <c r="T618" t="e">
        <f>VLOOKUP(A618,[2]cwurData!$B:$N, 7, FALSE)</f>
        <v>#N/A</v>
      </c>
      <c r="U618" t="e">
        <f>VLOOKUP(A618,[2]cwurData!$B:$N, 8, FALSE)</f>
        <v>#N/A</v>
      </c>
      <c r="V618" t="e">
        <f>VLOOKUP(A618,[2]cwurData!$B:$N, 9, FALSE)</f>
        <v>#N/A</v>
      </c>
      <c r="W618" t="e">
        <f>VLOOKUP(A618,[2]cwurData!$B:$N, 10, FALSE)</f>
        <v>#N/A</v>
      </c>
      <c r="X618" t="e">
        <f>VLOOKUP(A618,[2]cwurData!$B:$N, 11, FALSE)</f>
        <v>#N/A</v>
      </c>
      <c r="Y618" t="e">
        <f>VLOOKUP(A618,[2]cwurData!$B:$N, 12, FALSE)</f>
        <v>#N/A</v>
      </c>
      <c r="Z618" t="e">
        <f>VLOOKUP(A618,[2]cwurData!$B:$N, 13, FALSE)</f>
        <v>#N/A</v>
      </c>
    </row>
    <row r="619" spans="1:26" x14ac:dyDescent="0.3">
      <c r="A619" t="s">
        <v>598</v>
      </c>
      <c r="B619" t="str">
        <f>IFERROR(VLOOKUP(A619,[1]timesData!$B:$P,2,FALSE),VLOOKUP(A619,[2]cwurData!$B:$P,2,FALSE))</f>
        <v>United States of America</v>
      </c>
      <c r="C619" t="str">
        <f>VLOOKUP(A619,[1]timesData!$B:$P,3,FALSE)</f>
        <v>501-600</v>
      </c>
      <c r="D619" t="str">
        <f>VLOOKUP(A620,[1]timesData!$B:$P,3,FALSE)</f>
        <v>501-600</v>
      </c>
      <c r="E619">
        <f>VLOOKUP(A620,[1]timesData!$B:$P,4,FALSE)</f>
        <v>59.6</v>
      </c>
      <c r="F619">
        <f>VLOOKUP(A620,[1]timesData!$B:$P,5,FALSE)</f>
        <v>12.7</v>
      </c>
      <c r="G619">
        <f>VLOOKUP(A620,[1]timesData!$B:$P,6,FALSE)</f>
        <v>23.4</v>
      </c>
      <c r="H619">
        <f>VLOOKUP(A620,[1]timesData!$B:$P,7,FALSE)</f>
        <v>75.8</v>
      </c>
      <c r="I619" t="str">
        <f>VLOOKUP(A620,[1]timesData!$B:$P,8,FALSE)</f>
        <v>-</v>
      </c>
      <c r="J619">
        <f>VLOOKUP(A620,[1]timesData!$B:$P,9,FALSE)</f>
        <v>14353</v>
      </c>
      <c r="K619">
        <f>VLOOKUP(A620,[1]timesData!$B:$P,10,FALSE)</f>
        <v>20.5</v>
      </c>
      <c r="L619">
        <f>VLOOKUP(A620,[1]timesData!$B:$P,11,FALSE)</f>
        <v>0.12</v>
      </c>
      <c r="M619" t="str">
        <f>VLOOKUP(A620,[1]timesData!$B:$P,12,FALSE)</f>
        <v>40 : 60</v>
      </c>
      <c r="N619">
        <f>VLOOKUP(A620,[1]timesData!$B:$P,13,FALSE)</f>
        <v>2016</v>
      </c>
      <c r="O619" t="e">
        <f>VLOOKUP(A619,[2]cwurData!$B:$P,14,FALSE)</f>
        <v>#N/A</v>
      </c>
      <c r="P619" t="e">
        <f>VLOOKUP(A619,[2]cwurData!$B:$N, 3, FALSE)</f>
        <v>#N/A</v>
      </c>
      <c r="Q619" t="e">
        <f>VLOOKUP(A619,[2]cwurData!$B:$N, 4, FALSE)</f>
        <v>#N/A</v>
      </c>
      <c r="R619" t="e">
        <f>VLOOKUP(A619,[2]cwurData!$B:$N, 5, FALSE)</f>
        <v>#N/A</v>
      </c>
      <c r="S619" t="e">
        <f>VLOOKUP(A619,[2]cwurData!$B:$N, 6, FALSE)</f>
        <v>#N/A</v>
      </c>
      <c r="T619" t="e">
        <f>VLOOKUP(A619,[2]cwurData!$B:$N, 7, FALSE)</f>
        <v>#N/A</v>
      </c>
      <c r="U619" t="e">
        <f>VLOOKUP(A619,[2]cwurData!$B:$N, 8, FALSE)</f>
        <v>#N/A</v>
      </c>
      <c r="V619" t="e">
        <f>VLOOKUP(A619,[2]cwurData!$B:$N, 9, FALSE)</f>
        <v>#N/A</v>
      </c>
      <c r="W619" t="e">
        <f>VLOOKUP(A619,[2]cwurData!$B:$N, 10, FALSE)</f>
        <v>#N/A</v>
      </c>
      <c r="X619" t="e">
        <f>VLOOKUP(A619,[2]cwurData!$B:$N, 11, FALSE)</f>
        <v>#N/A</v>
      </c>
      <c r="Y619" t="e">
        <f>VLOOKUP(A619,[2]cwurData!$B:$N, 12, FALSE)</f>
        <v>#N/A</v>
      </c>
      <c r="Z619" t="e">
        <f>VLOOKUP(A619,[2]cwurData!$B:$N, 13, FALSE)</f>
        <v>#N/A</v>
      </c>
    </row>
    <row r="620" spans="1:26" x14ac:dyDescent="0.3">
      <c r="A620" t="s">
        <v>599</v>
      </c>
      <c r="B620" t="str">
        <f>IFERROR(VLOOKUP(A620,[1]timesData!$B:$P,2,FALSE),VLOOKUP(A620,[2]cwurData!$B:$P,2,FALSE))</f>
        <v>Mexico</v>
      </c>
      <c r="C620" t="str">
        <f>VLOOKUP(A620,[1]timesData!$B:$P,3,FALSE)</f>
        <v>501-600</v>
      </c>
      <c r="D620" t="str">
        <f>VLOOKUP(A621,[1]timesData!$B:$P,3,FALSE)</f>
        <v>501-600</v>
      </c>
      <c r="E620">
        <f>VLOOKUP(A621,[1]timesData!$B:$P,4,FALSE)</f>
        <v>25.6</v>
      </c>
      <c r="F620">
        <f>VLOOKUP(A621,[1]timesData!$B:$P,5,FALSE)</f>
        <v>22.7</v>
      </c>
      <c r="G620">
        <f>VLOOKUP(A621,[1]timesData!$B:$P,6,FALSE)</f>
        <v>33.1</v>
      </c>
      <c r="H620">
        <f>VLOOKUP(A621,[1]timesData!$B:$P,7,FALSE)</f>
        <v>33.700000000000003</v>
      </c>
      <c r="I620" t="str">
        <f>VLOOKUP(A621,[1]timesData!$B:$P,8,FALSE)</f>
        <v>-</v>
      </c>
      <c r="J620">
        <f>VLOOKUP(A621,[1]timesData!$B:$P,9,FALSE)</f>
        <v>21270</v>
      </c>
      <c r="K620">
        <f>VLOOKUP(A621,[1]timesData!$B:$P,10,FALSE)</f>
        <v>21.4</v>
      </c>
      <c r="L620">
        <f>VLOOKUP(A621,[1]timesData!$B:$P,11,FALSE)</f>
        <v>7.0000000000000007E-2</v>
      </c>
      <c r="M620">
        <f>VLOOKUP(A621,[1]timesData!$B:$P,12,FALSE)</f>
        <v>2.0770833333333334</v>
      </c>
      <c r="N620">
        <f>VLOOKUP(A621,[1]timesData!$B:$P,13,FALSE)</f>
        <v>2016</v>
      </c>
      <c r="O620" t="e">
        <f>VLOOKUP(A620,[2]cwurData!$B:$P,14,FALSE)</f>
        <v>#N/A</v>
      </c>
      <c r="P620" t="e">
        <f>VLOOKUP(A620,[2]cwurData!$B:$N, 3, FALSE)</f>
        <v>#N/A</v>
      </c>
      <c r="Q620" t="e">
        <f>VLOOKUP(A620,[2]cwurData!$B:$N, 4, FALSE)</f>
        <v>#N/A</v>
      </c>
      <c r="R620" t="e">
        <f>VLOOKUP(A620,[2]cwurData!$B:$N, 5, FALSE)</f>
        <v>#N/A</v>
      </c>
      <c r="S620" t="e">
        <f>VLOOKUP(A620,[2]cwurData!$B:$N, 6, FALSE)</f>
        <v>#N/A</v>
      </c>
      <c r="T620" t="e">
        <f>VLOOKUP(A620,[2]cwurData!$B:$N, 7, FALSE)</f>
        <v>#N/A</v>
      </c>
      <c r="U620" t="e">
        <f>VLOOKUP(A620,[2]cwurData!$B:$N, 8, FALSE)</f>
        <v>#N/A</v>
      </c>
      <c r="V620" t="e">
        <f>VLOOKUP(A620,[2]cwurData!$B:$N, 9, FALSE)</f>
        <v>#N/A</v>
      </c>
      <c r="W620" t="e">
        <f>VLOOKUP(A620,[2]cwurData!$B:$N, 10, FALSE)</f>
        <v>#N/A</v>
      </c>
      <c r="X620" t="e">
        <f>VLOOKUP(A620,[2]cwurData!$B:$N, 11, FALSE)</f>
        <v>#N/A</v>
      </c>
      <c r="Y620" t="e">
        <f>VLOOKUP(A620,[2]cwurData!$B:$N, 12, FALSE)</f>
        <v>#N/A</v>
      </c>
      <c r="Z620" t="e">
        <f>VLOOKUP(A620,[2]cwurData!$B:$N, 13, FALSE)</f>
        <v>#N/A</v>
      </c>
    </row>
    <row r="621" spans="1:26" x14ac:dyDescent="0.3">
      <c r="A621" t="s">
        <v>604</v>
      </c>
      <c r="B621" t="str">
        <f>IFERROR(VLOOKUP(A621,[1]timesData!$B:$P,2,FALSE),VLOOKUP(A621,[2]cwurData!$B:$P,2,FALSE))</f>
        <v>United States of America</v>
      </c>
      <c r="C621" t="str">
        <f>VLOOKUP(A621,[1]timesData!$B:$P,3,FALSE)</f>
        <v>501-600</v>
      </c>
      <c r="D621" t="str">
        <f>VLOOKUP(A622,[1]timesData!$B:$P,3,FALSE)</f>
        <v>501-600</v>
      </c>
      <c r="E621">
        <f>VLOOKUP(A622,[1]timesData!$B:$P,4,FALSE)</f>
        <v>43.9</v>
      </c>
      <c r="F621">
        <f>VLOOKUP(A622,[1]timesData!$B:$P,5,FALSE)</f>
        <v>14.4</v>
      </c>
      <c r="G621">
        <f>VLOOKUP(A622,[1]timesData!$B:$P,6,FALSE)</f>
        <v>39.700000000000003</v>
      </c>
      <c r="H621">
        <f>VLOOKUP(A622,[1]timesData!$B:$P,7,FALSE)</f>
        <v>37.700000000000003</v>
      </c>
      <c r="I621" t="str">
        <f>VLOOKUP(A622,[1]timesData!$B:$P,8,FALSE)</f>
        <v>-</v>
      </c>
      <c r="J621">
        <f>VLOOKUP(A622,[1]timesData!$B:$P,9,FALSE)</f>
        <v>14104</v>
      </c>
      <c r="K621">
        <f>VLOOKUP(A622,[1]timesData!$B:$P,10,FALSE)</f>
        <v>13.1</v>
      </c>
      <c r="L621">
        <f>VLOOKUP(A622,[1]timesData!$B:$P,11,FALSE)</f>
        <v>0.13</v>
      </c>
      <c r="M621">
        <f>VLOOKUP(A622,[1]timesData!$B:$P,12,FALSE)</f>
        <v>1.7902777777777779</v>
      </c>
      <c r="N621">
        <f>VLOOKUP(A622,[1]timesData!$B:$P,13,FALSE)</f>
        <v>2016</v>
      </c>
      <c r="O621" t="e">
        <f>VLOOKUP(A621,[2]cwurData!$B:$P,14,FALSE)</f>
        <v>#N/A</v>
      </c>
      <c r="P621" t="e">
        <f>VLOOKUP(A621,[2]cwurData!$B:$N, 3, FALSE)</f>
        <v>#N/A</v>
      </c>
      <c r="Q621" t="e">
        <f>VLOOKUP(A621,[2]cwurData!$B:$N, 4, FALSE)</f>
        <v>#N/A</v>
      </c>
      <c r="R621" t="e">
        <f>VLOOKUP(A621,[2]cwurData!$B:$N, 5, FALSE)</f>
        <v>#N/A</v>
      </c>
      <c r="S621" t="e">
        <f>VLOOKUP(A621,[2]cwurData!$B:$N, 6, FALSE)</f>
        <v>#N/A</v>
      </c>
      <c r="T621" t="e">
        <f>VLOOKUP(A621,[2]cwurData!$B:$N, 7, FALSE)</f>
        <v>#N/A</v>
      </c>
      <c r="U621" t="e">
        <f>VLOOKUP(A621,[2]cwurData!$B:$N, 8, FALSE)</f>
        <v>#N/A</v>
      </c>
      <c r="V621" t="e">
        <f>VLOOKUP(A621,[2]cwurData!$B:$N, 9, FALSE)</f>
        <v>#N/A</v>
      </c>
      <c r="W621" t="e">
        <f>VLOOKUP(A621,[2]cwurData!$B:$N, 10, FALSE)</f>
        <v>#N/A</v>
      </c>
      <c r="X621" t="e">
        <f>VLOOKUP(A621,[2]cwurData!$B:$N, 11, FALSE)</f>
        <v>#N/A</v>
      </c>
      <c r="Y621" t="e">
        <f>VLOOKUP(A621,[2]cwurData!$B:$N, 12, FALSE)</f>
        <v>#N/A</v>
      </c>
      <c r="Z621" t="e">
        <f>VLOOKUP(A621,[2]cwurData!$B:$N, 13, FALSE)</f>
        <v>#N/A</v>
      </c>
    </row>
    <row r="622" spans="1:26" x14ac:dyDescent="0.3">
      <c r="A622" t="s">
        <v>606</v>
      </c>
      <c r="B622" t="str">
        <f>IFERROR(VLOOKUP(A622,[1]timesData!$B:$P,2,FALSE),VLOOKUP(A622,[2]cwurData!$B:$P,2,FALSE))</f>
        <v>Germany</v>
      </c>
      <c r="C622" t="str">
        <f>VLOOKUP(A622,[1]timesData!$B:$P,3,FALSE)</f>
        <v>501-600</v>
      </c>
      <c r="D622" t="str">
        <f>VLOOKUP(A623,[1]timesData!$B:$P,3,FALSE)</f>
        <v>501-600</v>
      </c>
      <c r="E622">
        <f>VLOOKUP(A623,[1]timesData!$B:$P,4,FALSE)</f>
        <v>48.8</v>
      </c>
      <c r="F622">
        <f>VLOOKUP(A623,[1]timesData!$B:$P,5,FALSE)</f>
        <v>11.8</v>
      </c>
      <c r="G622">
        <f>VLOOKUP(A623,[1]timesData!$B:$P,6,FALSE)</f>
        <v>42.9</v>
      </c>
      <c r="H622">
        <f>VLOOKUP(A623,[1]timesData!$B:$P,7,FALSE)</f>
        <v>28.7</v>
      </c>
      <c r="I622" t="str">
        <f>VLOOKUP(A623,[1]timesData!$B:$P,8,FALSE)</f>
        <v>-</v>
      </c>
      <c r="J622">
        <f>VLOOKUP(A623,[1]timesData!$B:$P,9,FALSE)</f>
        <v>18540</v>
      </c>
      <c r="K622">
        <f>VLOOKUP(A623,[1]timesData!$B:$P,10,FALSE)</f>
        <v>11.4</v>
      </c>
      <c r="L622">
        <f>VLOOKUP(A623,[1]timesData!$B:$P,11,FALSE)</f>
        <v>0.09</v>
      </c>
      <c r="M622">
        <f>VLOOKUP(A623,[1]timesData!$B:$P,12,FALSE)</f>
        <v>2.9375</v>
      </c>
      <c r="N622">
        <f>VLOOKUP(A623,[1]timesData!$B:$P,13,FALSE)</f>
        <v>2016</v>
      </c>
      <c r="O622" t="e">
        <f>VLOOKUP(A622,[2]cwurData!$B:$P,14,FALSE)</f>
        <v>#N/A</v>
      </c>
      <c r="P622" t="e">
        <f>VLOOKUP(A622,[2]cwurData!$B:$N, 3, FALSE)</f>
        <v>#N/A</v>
      </c>
      <c r="Q622" t="e">
        <f>VLOOKUP(A622,[2]cwurData!$B:$N, 4, FALSE)</f>
        <v>#N/A</v>
      </c>
      <c r="R622" t="e">
        <f>VLOOKUP(A622,[2]cwurData!$B:$N, 5, FALSE)</f>
        <v>#N/A</v>
      </c>
      <c r="S622" t="e">
        <f>VLOOKUP(A622,[2]cwurData!$B:$N, 6, FALSE)</f>
        <v>#N/A</v>
      </c>
      <c r="T622" t="e">
        <f>VLOOKUP(A622,[2]cwurData!$B:$N, 7, FALSE)</f>
        <v>#N/A</v>
      </c>
      <c r="U622" t="e">
        <f>VLOOKUP(A622,[2]cwurData!$B:$N, 8, FALSE)</f>
        <v>#N/A</v>
      </c>
      <c r="V622" t="e">
        <f>VLOOKUP(A622,[2]cwurData!$B:$N, 9, FALSE)</f>
        <v>#N/A</v>
      </c>
      <c r="W622" t="e">
        <f>VLOOKUP(A622,[2]cwurData!$B:$N, 10, FALSE)</f>
        <v>#N/A</v>
      </c>
      <c r="X622" t="e">
        <f>VLOOKUP(A622,[2]cwurData!$B:$N, 11, FALSE)</f>
        <v>#N/A</v>
      </c>
      <c r="Y622" t="e">
        <f>VLOOKUP(A622,[2]cwurData!$B:$N, 12, FALSE)</f>
        <v>#N/A</v>
      </c>
      <c r="Z622" t="e">
        <f>VLOOKUP(A622,[2]cwurData!$B:$N, 13, FALSE)</f>
        <v>#N/A</v>
      </c>
    </row>
    <row r="623" spans="1:26" x14ac:dyDescent="0.3">
      <c r="A623" t="s">
        <v>608</v>
      </c>
      <c r="B623" t="str">
        <f>IFERROR(VLOOKUP(A623,[1]timesData!$B:$P,2,FALSE),VLOOKUP(A623,[2]cwurData!$B:$P,2,FALSE))</f>
        <v>Czech Republic</v>
      </c>
      <c r="C623" t="str">
        <f>VLOOKUP(A623,[1]timesData!$B:$P,3,FALSE)</f>
        <v>501-600</v>
      </c>
      <c r="D623" t="str">
        <f>VLOOKUP(A624,[1]timesData!$B:$P,3,FALSE)</f>
        <v>501-600</v>
      </c>
      <c r="E623">
        <f>VLOOKUP(A624,[1]timesData!$B:$P,4,FALSE)</f>
        <v>31.3</v>
      </c>
      <c r="F623">
        <f>VLOOKUP(A624,[1]timesData!$B:$P,5,FALSE)</f>
        <v>24.1</v>
      </c>
      <c r="G623">
        <f>VLOOKUP(A624,[1]timesData!$B:$P,6,FALSE)</f>
        <v>23.1</v>
      </c>
      <c r="H623">
        <f>VLOOKUP(A624,[1]timesData!$B:$P,7,FALSE)</f>
        <v>100</v>
      </c>
      <c r="I623" t="str">
        <f>VLOOKUP(A624,[1]timesData!$B:$P,8,FALSE)</f>
        <v>-</v>
      </c>
      <c r="J623">
        <f>VLOOKUP(A624,[1]timesData!$B:$P,9,FALSE)</f>
        <v>14300</v>
      </c>
      <c r="K623">
        <f>VLOOKUP(A624,[1]timesData!$B:$P,10,FALSE)</f>
        <v>21.2</v>
      </c>
      <c r="L623">
        <f>VLOOKUP(A624,[1]timesData!$B:$P,11,FALSE)</f>
        <v>0.03</v>
      </c>
      <c r="M623">
        <f>VLOOKUP(A624,[1]timesData!$B:$P,12,FALSE)</f>
        <v>2.0770833333333334</v>
      </c>
      <c r="N623">
        <f>VLOOKUP(A624,[1]timesData!$B:$P,13,FALSE)</f>
        <v>2016</v>
      </c>
      <c r="O623" t="e">
        <f>VLOOKUP(A623,[2]cwurData!$B:$P,14,FALSE)</f>
        <v>#N/A</v>
      </c>
      <c r="P623" t="e">
        <f>VLOOKUP(A623,[2]cwurData!$B:$N, 3, FALSE)</f>
        <v>#N/A</v>
      </c>
      <c r="Q623" t="e">
        <f>VLOOKUP(A623,[2]cwurData!$B:$N, 4, FALSE)</f>
        <v>#N/A</v>
      </c>
      <c r="R623" t="e">
        <f>VLOOKUP(A623,[2]cwurData!$B:$N, 5, FALSE)</f>
        <v>#N/A</v>
      </c>
      <c r="S623" t="e">
        <f>VLOOKUP(A623,[2]cwurData!$B:$N, 6, FALSE)</f>
        <v>#N/A</v>
      </c>
      <c r="T623" t="e">
        <f>VLOOKUP(A623,[2]cwurData!$B:$N, 7, FALSE)</f>
        <v>#N/A</v>
      </c>
      <c r="U623" t="e">
        <f>VLOOKUP(A623,[2]cwurData!$B:$N, 8, FALSE)</f>
        <v>#N/A</v>
      </c>
      <c r="V623" t="e">
        <f>VLOOKUP(A623,[2]cwurData!$B:$N, 9, FALSE)</f>
        <v>#N/A</v>
      </c>
      <c r="W623" t="e">
        <f>VLOOKUP(A623,[2]cwurData!$B:$N, 10, FALSE)</f>
        <v>#N/A</v>
      </c>
      <c r="X623" t="e">
        <f>VLOOKUP(A623,[2]cwurData!$B:$N, 11, FALSE)</f>
        <v>#N/A</v>
      </c>
      <c r="Y623" t="e">
        <f>VLOOKUP(A623,[2]cwurData!$B:$N, 12, FALSE)</f>
        <v>#N/A</v>
      </c>
      <c r="Z623" t="e">
        <f>VLOOKUP(A623,[2]cwurData!$B:$N, 13, FALSE)</f>
        <v>#N/A</v>
      </c>
    </row>
    <row r="624" spans="1:26" x14ac:dyDescent="0.3">
      <c r="A624" t="s">
        <v>609</v>
      </c>
      <c r="B624" t="str">
        <f>IFERROR(VLOOKUP(A624,[1]timesData!$B:$P,2,FALSE),VLOOKUP(A624,[2]cwurData!$B:$P,2,FALSE))</f>
        <v>Brazil</v>
      </c>
      <c r="C624" t="str">
        <f>VLOOKUP(A624,[1]timesData!$B:$P,3,FALSE)</f>
        <v>501-600</v>
      </c>
      <c r="D624" t="str">
        <f>VLOOKUP(A625,[1]timesData!$B:$P,3,FALSE)</f>
        <v>501-600</v>
      </c>
      <c r="E624">
        <f>VLOOKUP(A625,[1]timesData!$B:$P,4,FALSE)</f>
        <v>35.4</v>
      </c>
      <c r="F624">
        <f>VLOOKUP(A625,[1]timesData!$B:$P,5,FALSE)</f>
        <v>9.9</v>
      </c>
      <c r="G624">
        <f>VLOOKUP(A625,[1]timesData!$B:$P,6,FALSE)</f>
        <v>45.6</v>
      </c>
      <c r="H624" t="str">
        <f>VLOOKUP(A625,[1]timesData!$B:$P,7,FALSE)</f>
        <v>-</v>
      </c>
      <c r="I624" t="str">
        <f>VLOOKUP(A625,[1]timesData!$B:$P,8,FALSE)</f>
        <v>-</v>
      </c>
      <c r="J624">
        <f>VLOOKUP(A625,[1]timesData!$B:$P,9,FALSE)</f>
        <v>12688</v>
      </c>
      <c r="K624">
        <f>VLOOKUP(A625,[1]timesData!$B:$P,10,FALSE)</f>
        <v>25.7</v>
      </c>
      <c r="L624">
        <f>VLOOKUP(A625,[1]timesData!$B:$P,11,FALSE)</f>
        <v>0</v>
      </c>
      <c r="M624">
        <f>VLOOKUP(A625,[1]timesData!$B:$P,12,FALSE)</f>
        <v>2.2409722222222221</v>
      </c>
      <c r="N624">
        <f>VLOOKUP(A625,[1]timesData!$B:$P,13,FALSE)</f>
        <v>2016</v>
      </c>
      <c r="O624" t="e">
        <f>VLOOKUP(A624,[2]cwurData!$B:$P,14,FALSE)</f>
        <v>#N/A</v>
      </c>
      <c r="P624" t="e">
        <f>VLOOKUP(A624,[2]cwurData!$B:$N, 3, FALSE)</f>
        <v>#N/A</v>
      </c>
      <c r="Q624" t="e">
        <f>VLOOKUP(A624,[2]cwurData!$B:$N, 4, FALSE)</f>
        <v>#N/A</v>
      </c>
      <c r="R624" t="e">
        <f>VLOOKUP(A624,[2]cwurData!$B:$N, 5, FALSE)</f>
        <v>#N/A</v>
      </c>
      <c r="S624" t="e">
        <f>VLOOKUP(A624,[2]cwurData!$B:$N, 6, FALSE)</f>
        <v>#N/A</v>
      </c>
      <c r="T624" t="e">
        <f>VLOOKUP(A624,[2]cwurData!$B:$N, 7, FALSE)</f>
        <v>#N/A</v>
      </c>
      <c r="U624" t="e">
        <f>VLOOKUP(A624,[2]cwurData!$B:$N, 8, FALSE)</f>
        <v>#N/A</v>
      </c>
      <c r="V624" t="e">
        <f>VLOOKUP(A624,[2]cwurData!$B:$N, 9, FALSE)</f>
        <v>#N/A</v>
      </c>
      <c r="W624" t="e">
        <f>VLOOKUP(A624,[2]cwurData!$B:$N, 10, FALSE)</f>
        <v>#N/A</v>
      </c>
      <c r="X624" t="e">
        <f>VLOOKUP(A624,[2]cwurData!$B:$N, 11, FALSE)</f>
        <v>#N/A</v>
      </c>
      <c r="Y624" t="e">
        <f>VLOOKUP(A624,[2]cwurData!$B:$N, 12, FALSE)</f>
        <v>#N/A</v>
      </c>
      <c r="Z624" t="e">
        <f>VLOOKUP(A624,[2]cwurData!$B:$N, 13, FALSE)</f>
        <v>#N/A</v>
      </c>
    </row>
    <row r="625" spans="1:26" x14ac:dyDescent="0.3">
      <c r="A625" t="s">
        <v>613</v>
      </c>
      <c r="B625" t="str">
        <f>IFERROR(VLOOKUP(A625,[1]timesData!$B:$P,2,FALSE),VLOOKUP(A625,[2]cwurData!$B:$P,2,FALSE))</f>
        <v>Pakistan</v>
      </c>
      <c r="C625" t="str">
        <f>VLOOKUP(A625,[1]timesData!$B:$P,3,FALSE)</f>
        <v>501-600</v>
      </c>
      <c r="D625" t="str">
        <f>VLOOKUP(A626,[1]timesData!$B:$P,3,FALSE)</f>
        <v>501-600</v>
      </c>
      <c r="E625">
        <f>VLOOKUP(A626,[1]timesData!$B:$P,4,FALSE)</f>
        <v>16</v>
      </c>
      <c r="F625">
        <f>VLOOKUP(A626,[1]timesData!$B:$P,5,FALSE)</f>
        <v>13.7</v>
      </c>
      <c r="G625">
        <f>VLOOKUP(A626,[1]timesData!$B:$P,6,FALSE)</f>
        <v>45.8</v>
      </c>
      <c r="H625">
        <f>VLOOKUP(A626,[1]timesData!$B:$P,7,FALSE)</f>
        <v>75.3</v>
      </c>
      <c r="I625" t="str">
        <f>VLOOKUP(A626,[1]timesData!$B:$P,8,FALSE)</f>
        <v>-</v>
      </c>
      <c r="J625">
        <f>VLOOKUP(A626,[1]timesData!$B:$P,9,FALSE)</f>
        <v>36465</v>
      </c>
      <c r="K625">
        <f>VLOOKUP(A626,[1]timesData!$B:$P,10,FALSE)</f>
        <v>12.9</v>
      </c>
      <c r="L625">
        <f>VLOOKUP(A626,[1]timesData!$B:$P,11,FALSE)</f>
        <v>0.02</v>
      </c>
      <c r="M625">
        <f>VLOOKUP(A626,[1]timesData!$B:$P,12,FALSE)</f>
        <v>3.2652777777777779</v>
      </c>
      <c r="N625">
        <f>VLOOKUP(A626,[1]timesData!$B:$P,13,FALSE)</f>
        <v>2016</v>
      </c>
      <c r="O625" t="e">
        <f>VLOOKUP(A625,[2]cwurData!$B:$P,14,FALSE)</f>
        <v>#N/A</v>
      </c>
      <c r="P625" t="e">
        <f>VLOOKUP(A625,[2]cwurData!$B:$N, 3, FALSE)</f>
        <v>#N/A</v>
      </c>
      <c r="Q625" t="e">
        <f>VLOOKUP(A625,[2]cwurData!$B:$N, 4, FALSE)</f>
        <v>#N/A</v>
      </c>
      <c r="R625" t="e">
        <f>VLOOKUP(A625,[2]cwurData!$B:$N, 5, FALSE)</f>
        <v>#N/A</v>
      </c>
      <c r="S625" t="e">
        <f>VLOOKUP(A625,[2]cwurData!$B:$N, 6, FALSE)</f>
        <v>#N/A</v>
      </c>
      <c r="T625" t="e">
        <f>VLOOKUP(A625,[2]cwurData!$B:$N, 7, FALSE)</f>
        <v>#N/A</v>
      </c>
      <c r="U625" t="e">
        <f>VLOOKUP(A625,[2]cwurData!$B:$N, 8, FALSE)</f>
        <v>#N/A</v>
      </c>
      <c r="V625" t="e">
        <f>VLOOKUP(A625,[2]cwurData!$B:$N, 9, FALSE)</f>
        <v>#N/A</v>
      </c>
      <c r="W625" t="e">
        <f>VLOOKUP(A625,[2]cwurData!$B:$N, 10, FALSE)</f>
        <v>#N/A</v>
      </c>
      <c r="X625" t="e">
        <f>VLOOKUP(A625,[2]cwurData!$B:$N, 11, FALSE)</f>
        <v>#N/A</v>
      </c>
      <c r="Y625" t="e">
        <f>VLOOKUP(A625,[2]cwurData!$B:$N, 12, FALSE)</f>
        <v>#N/A</v>
      </c>
      <c r="Z625" t="e">
        <f>VLOOKUP(A625,[2]cwurData!$B:$N, 13, FALSE)</f>
        <v>#N/A</v>
      </c>
    </row>
    <row r="626" spans="1:26" x14ac:dyDescent="0.3">
      <c r="A626" t="s">
        <v>621</v>
      </c>
      <c r="B626" t="str">
        <f>IFERROR(VLOOKUP(A626,[1]timesData!$B:$P,2,FALSE),VLOOKUP(A626,[2]cwurData!$B:$P,2,FALSE))</f>
        <v>China</v>
      </c>
      <c r="C626" t="str">
        <f>VLOOKUP(A626,[1]timesData!$B:$P,3,FALSE)</f>
        <v>501-600</v>
      </c>
      <c r="D626" t="str">
        <f>VLOOKUP(A627,[1]timesData!$B:$P,3,FALSE)</f>
        <v>501-600</v>
      </c>
      <c r="E626">
        <f>VLOOKUP(A627,[1]timesData!$B:$P,4,FALSE)</f>
        <v>37.9</v>
      </c>
      <c r="F626">
        <f>VLOOKUP(A627,[1]timesData!$B:$P,5,FALSE)</f>
        <v>15</v>
      </c>
      <c r="G626">
        <f>VLOOKUP(A627,[1]timesData!$B:$P,6,FALSE)</f>
        <v>38.700000000000003</v>
      </c>
      <c r="H626">
        <f>VLOOKUP(A627,[1]timesData!$B:$P,7,FALSE)</f>
        <v>44.8</v>
      </c>
      <c r="I626" t="str">
        <f>VLOOKUP(A627,[1]timesData!$B:$P,8,FALSE)</f>
        <v>-</v>
      </c>
      <c r="J626">
        <f>VLOOKUP(A627,[1]timesData!$B:$P,9,FALSE)</f>
        <v>14061</v>
      </c>
      <c r="K626">
        <f>VLOOKUP(A627,[1]timesData!$B:$P,10,FALSE)</f>
        <v>28.6</v>
      </c>
      <c r="L626">
        <f>VLOOKUP(A627,[1]timesData!$B:$P,11,FALSE)</f>
        <v>0.05</v>
      </c>
      <c r="M626">
        <f>VLOOKUP(A627,[1]timesData!$B:$P,12,FALSE)</f>
        <v>1.8722222222222222</v>
      </c>
      <c r="N626">
        <f>VLOOKUP(A627,[1]timesData!$B:$P,13,FALSE)</f>
        <v>2016</v>
      </c>
      <c r="O626" t="e">
        <f>VLOOKUP(A626,[2]cwurData!$B:$P,14,FALSE)</f>
        <v>#N/A</v>
      </c>
      <c r="P626" t="e">
        <f>VLOOKUP(A626,[2]cwurData!$B:$N, 3, FALSE)</f>
        <v>#N/A</v>
      </c>
      <c r="Q626" t="e">
        <f>VLOOKUP(A626,[2]cwurData!$B:$N, 4, FALSE)</f>
        <v>#N/A</v>
      </c>
      <c r="R626" t="e">
        <f>VLOOKUP(A626,[2]cwurData!$B:$N, 5, FALSE)</f>
        <v>#N/A</v>
      </c>
      <c r="S626" t="e">
        <f>VLOOKUP(A626,[2]cwurData!$B:$N, 6, FALSE)</f>
        <v>#N/A</v>
      </c>
      <c r="T626" t="e">
        <f>VLOOKUP(A626,[2]cwurData!$B:$N, 7, FALSE)</f>
        <v>#N/A</v>
      </c>
      <c r="U626" t="e">
        <f>VLOOKUP(A626,[2]cwurData!$B:$N, 8, FALSE)</f>
        <v>#N/A</v>
      </c>
      <c r="V626" t="e">
        <f>VLOOKUP(A626,[2]cwurData!$B:$N, 9, FALSE)</f>
        <v>#N/A</v>
      </c>
      <c r="W626" t="e">
        <f>VLOOKUP(A626,[2]cwurData!$B:$N, 10, FALSE)</f>
        <v>#N/A</v>
      </c>
      <c r="X626" t="e">
        <f>VLOOKUP(A626,[2]cwurData!$B:$N, 11, FALSE)</f>
        <v>#N/A</v>
      </c>
      <c r="Y626" t="e">
        <f>VLOOKUP(A626,[2]cwurData!$B:$N, 12, FALSE)</f>
        <v>#N/A</v>
      </c>
      <c r="Z626" t="e">
        <f>VLOOKUP(A626,[2]cwurData!$B:$N, 13, FALSE)</f>
        <v>#N/A</v>
      </c>
    </row>
    <row r="627" spans="1:26" x14ac:dyDescent="0.3">
      <c r="A627" t="s">
        <v>623</v>
      </c>
      <c r="B627" t="str">
        <f>IFERROR(VLOOKUP(A627,[1]timesData!$B:$P,2,FALSE),VLOOKUP(A627,[2]cwurData!$B:$P,2,FALSE))</f>
        <v>Estonia</v>
      </c>
      <c r="C627" t="str">
        <f>VLOOKUP(A627,[1]timesData!$B:$P,3,FALSE)</f>
        <v>501-600</v>
      </c>
      <c r="D627" t="str">
        <f>VLOOKUP(A628,[1]timesData!$B:$P,3,FALSE)</f>
        <v>501-600</v>
      </c>
      <c r="E627">
        <f>VLOOKUP(A628,[1]timesData!$B:$P,4,FALSE)</f>
        <v>39.799999999999997</v>
      </c>
      <c r="F627">
        <f>VLOOKUP(A628,[1]timesData!$B:$P,5,FALSE)</f>
        <v>9.5</v>
      </c>
      <c r="G627">
        <f>VLOOKUP(A628,[1]timesData!$B:$P,6,FALSE)</f>
        <v>41.3</v>
      </c>
      <c r="H627">
        <f>VLOOKUP(A628,[1]timesData!$B:$P,7,FALSE)</f>
        <v>29.6</v>
      </c>
      <c r="I627" t="str">
        <f>VLOOKUP(A628,[1]timesData!$B:$P,8,FALSE)</f>
        <v>-</v>
      </c>
      <c r="J627">
        <f>VLOOKUP(A628,[1]timesData!$B:$P,9,FALSE)</f>
        <v>13438</v>
      </c>
      <c r="K627">
        <f>VLOOKUP(A628,[1]timesData!$B:$P,10,FALSE)</f>
        <v>5.4</v>
      </c>
      <c r="L627">
        <f>VLOOKUP(A628,[1]timesData!$B:$P,11,FALSE)</f>
        <v>0.05</v>
      </c>
      <c r="M627">
        <f>VLOOKUP(A628,[1]timesData!$B:$P,12,FALSE)</f>
        <v>2.2819444444444446</v>
      </c>
      <c r="N627">
        <f>VLOOKUP(A628,[1]timesData!$B:$P,13,FALSE)</f>
        <v>2016</v>
      </c>
      <c r="O627" t="e">
        <f>VLOOKUP(A627,[2]cwurData!$B:$P,14,FALSE)</f>
        <v>#N/A</v>
      </c>
      <c r="P627" t="e">
        <f>VLOOKUP(A627,[2]cwurData!$B:$N, 3, FALSE)</f>
        <v>#N/A</v>
      </c>
      <c r="Q627" t="e">
        <f>VLOOKUP(A627,[2]cwurData!$B:$N, 4, FALSE)</f>
        <v>#N/A</v>
      </c>
      <c r="R627" t="e">
        <f>VLOOKUP(A627,[2]cwurData!$B:$N, 5, FALSE)</f>
        <v>#N/A</v>
      </c>
      <c r="S627" t="e">
        <f>VLOOKUP(A627,[2]cwurData!$B:$N, 6, FALSE)</f>
        <v>#N/A</v>
      </c>
      <c r="T627" t="e">
        <f>VLOOKUP(A627,[2]cwurData!$B:$N, 7, FALSE)</f>
        <v>#N/A</v>
      </c>
      <c r="U627" t="e">
        <f>VLOOKUP(A627,[2]cwurData!$B:$N, 8, FALSE)</f>
        <v>#N/A</v>
      </c>
      <c r="V627" t="e">
        <f>VLOOKUP(A627,[2]cwurData!$B:$N, 9, FALSE)</f>
        <v>#N/A</v>
      </c>
      <c r="W627" t="e">
        <f>VLOOKUP(A627,[2]cwurData!$B:$N, 10, FALSE)</f>
        <v>#N/A</v>
      </c>
      <c r="X627" t="e">
        <f>VLOOKUP(A627,[2]cwurData!$B:$N, 11, FALSE)</f>
        <v>#N/A</v>
      </c>
      <c r="Y627" t="e">
        <f>VLOOKUP(A627,[2]cwurData!$B:$N, 12, FALSE)</f>
        <v>#N/A</v>
      </c>
      <c r="Z627" t="e">
        <f>VLOOKUP(A627,[2]cwurData!$B:$N, 13, FALSE)</f>
        <v>#N/A</v>
      </c>
    </row>
    <row r="628" spans="1:26" x14ac:dyDescent="0.3">
      <c r="A628" t="s">
        <v>620</v>
      </c>
      <c r="B628" t="str">
        <f>IFERROR(VLOOKUP(A628,[1]timesData!$B:$P,2,FALSE),VLOOKUP(A628,[2]cwurData!$B:$P,2,FALSE))</f>
        <v>Canada</v>
      </c>
      <c r="C628" t="str">
        <f>VLOOKUP(A628,[1]timesData!$B:$P,3,FALSE)</f>
        <v>501-600</v>
      </c>
      <c r="D628" t="str">
        <f>VLOOKUP(A629,[1]timesData!$B:$P,3,FALSE)</f>
        <v>501-600</v>
      </c>
      <c r="E628">
        <f>VLOOKUP(A629,[1]timesData!$B:$P,4,FALSE)</f>
        <v>25.9</v>
      </c>
      <c r="F628">
        <f>VLOOKUP(A629,[1]timesData!$B:$P,5,FALSE)</f>
        <v>17.399999999999999</v>
      </c>
      <c r="G628">
        <f>VLOOKUP(A629,[1]timesData!$B:$P,6,FALSE)</f>
        <v>30.3</v>
      </c>
      <c r="H628">
        <f>VLOOKUP(A629,[1]timesData!$B:$P,7,FALSE)</f>
        <v>36.9</v>
      </c>
      <c r="I628" t="str">
        <f>VLOOKUP(A629,[1]timesData!$B:$P,8,FALSE)</f>
        <v>-</v>
      </c>
      <c r="J628">
        <f>VLOOKUP(A629,[1]timesData!$B:$P,9,FALSE)</f>
        <v>22819</v>
      </c>
      <c r="K628">
        <f>VLOOKUP(A629,[1]timesData!$B:$P,10,FALSE)</f>
        <v>21.2</v>
      </c>
      <c r="L628">
        <f>VLOOKUP(A629,[1]timesData!$B:$P,11,FALSE)</f>
        <v>0.05</v>
      </c>
      <c r="M628">
        <f>VLOOKUP(A629,[1]timesData!$B:$P,12,FALSE)</f>
        <v>2.1180555555555554</v>
      </c>
      <c r="N628">
        <f>VLOOKUP(A629,[1]timesData!$B:$P,13,FALSE)</f>
        <v>2016</v>
      </c>
      <c r="O628" t="e">
        <f>VLOOKUP(A628,[2]cwurData!$B:$P,14,FALSE)</f>
        <v>#N/A</v>
      </c>
      <c r="P628" t="e">
        <f>VLOOKUP(A628,[2]cwurData!$B:$N, 3, FALSE)</f>
        <v>#N/A</v>
      </c>
      <c r="Q628" t="e">
        <f>VLOOKUP(A628,[2]cwurData!$B:$N, 4, FALSE)</f>
        <v>#N/A</v>
      </c>
      <c r="R628" t="e">
        <f>VLOOKUP(A628,[2]cwurData!$B:$N, 5, FALSE)</f>
        <v>#N/A</v>
      </c>
      <c r="S628" t="e">
        <f>VLOOKUP(A628,[2]cwurData!$B:$N, 6, FALSE)</f>
        <v>#N/A</v>
      </c>
      <c r="T628" t="e">
        <f>VLOOKUP(A628,[2]cwurData!$B:$N, 7, FALSE)</f>
        <v>#N/A</v>
      </c>
      <c r="U628" t="e">
        <f>VLOOKUP(A628,[2]cwurData!$B:$N, 8, FALSE)</f>
        <v>#N/A</v>
      </c>
      <c r="V628" t="e">
        <f>VLOOKUP(A628,[2]cwurData!$B:$N, 9, FALSE)</f>
        <v>#N/A</v>
      </c>
      <c r="W628" t="e">
        <f>VLOOKUP(A628,[2]cwurData!$B:$N, 10, FALSE)</f>
        <v>#N/A</v>
      </c>
      <c r="X628" t="e">
        <f>VLOOKUP(A628,[2]cwurData!$B:$N, 11, FALSE)</f>
        <v>#N/A</v>
      </c>
      <c r="Y628" t="e">
        <f>VLOOKUP(A628,[2]cwurData!$B:$N, 12, FALSE)</f>
        <v>#N/A</v>
      </c>
      <c r="Z628" t="e">
        <f>VLOOKUP(A628,[2]cwurData!$B:$N, 13, FALSE)</f>
        <v>#N/A</v>
      </c>
    </row>
    <row r="629" spans="1:26" x14ac:dyDescent="0.3">
      <c r="A629" t="s">
        <v>566</v>
      </c>
      <c r="B629" t="str">
        <f>IFERROR(VLOOKUP(A629,[1]timesData!$B:$P,2,FALSE),VLOOKUP(A629,[2]cwurData!$B:$P,2,FALSE))</f>
        <v>United States of America</v>
      </c>
      <c r="C629" t="str">
        <f>VLOOKUP(A629,[1]timesData!$B:$P,3,FALSE)</f>
        <v>501-600</v>
      </c>
      <c r="D629" t="str">
        <f>VLOOKUP(A630,[1]timesData!$B:$P,3,FALSE)</f>
        <v>501-600</v>
      </c>
      <c r="E629">
        <f>VLOOKUP(A630,[1]timesData!$B:$P,4,FALSE)</f>
        <v>54.6</v>
      </c>
      <c r="F629">
        <f>VLOOKUP(A630,[1]timesData!$B:$P,5,FALSE)</f>
        <v>19.3</v>
      </c>
      <c r="G629">
        <f>VLOOKUP(A630,[1]timesData!$B:$P,6,FALSE)</f>
        <v>29.8</v>
      </c>
      <c r="H629">
        <f>VLOOKUP(A630,[1]timesData!$B:$P,7,FALSE)</f>
        <v>36.200000000000003</v>
      </c>
      <c r="I629" t="str">
        <f>VLOOKUP(A630,[1]timesData!$B:$P,8,FALSE)</f>
        <v>-</v>
      </c>
      <c r="J629">
        <f>VLOOKUP(A630,[1]timesData!$B:$P,9,FALSE)</f>
        <v>11221</v>
      </c>
      <c r="K629">
        <f>VLOOKUP(A630,[1]timesData!$B:$P,10,FALSE)</f>
        <v>28.6</v>
      </c>
      <c r="L629">
        <f>VLOOKUP(A630,[1]timesData!$B:$P,11,FALSE)</f>
        <v>0.24</v>
      </c>
      <c r="M629">
        <f>VLOOKUP(A630,[1]timesData!$B:$P,12,FALSE)</f>
        <v>2.2819444444444446</v>
      </c>
      <c r="N629">
        <f>VLOOKUP(A630,[1]timesData!$B:$P,13,FALSE)</f>
        <v>2016</v>
      </c>
      <c r="O629" t="e">
        <f>VLOOKUP(A629,[2]cwurData!$B:$P,14,FALSE)</f>
        <v>#N/A</v>
      </c>
      <c r="P629" t="e">
        <f>VLOOKUP(A629,[2]cwurData!$B:$N, 3, FALSE)</f>
        <v>#N/A</v>
      </c>
      <c r="Q629" t="e">
        <f>VLOOKUP(A629,[2]cwurData!$B:$N, 4, FALSE)</f>
        <v>#N/A</v>
      </c>
      <c r="R629" t="e">
        <f>VLOOKUP(A629,[2]cwurData!$B:$N, 5, FALSE)</f>
        <v>#N/A</v>
      </c>
      <c r="S629" t="e">
        <f>VLOOKUP(A629,[2]cwurData!$B:$N, 6, FALSE)</f>
        <v>#N/A</v>
      </c>
      <c r="T629" t="e">
        <f>VLOOKUP(A629,[2]cwurData!$B:$N, 7, FALSE)</f>
        <v>#N/A</v>
      </c>
      <c r="U629" t="e">
        <f>VLOOKUP(A629,[2]cwurData!$B:$N, 8, FALSE)</f>
        <v>#N/A</v>
      </c>
      <c r="V629" t="e">
        <f>VLOOKUP(A629,[2]cwurData!$B:$N, 9, FALSE)</f>
        <v>#N/A</v>
      </c>
      <c r="W629" t="e">
        <f>VLOOKUP(A629,[2]cwurData!$B:$N, 10, FALSE)</f>
        <v>#N/A</v>
      </c>
      <c r="X629" t="e">
        <f>VLOOKUP(A629,[2]cwurData!$B:$N, 11, FALSE)</f>
        <v>#N/A</v>
      </c>
      <c r="Y629" t="e">
        <f>VLOOKUP(A629,[2]cwurData!$B:$N, 12, FALSE)</f>
        <v>#N/A</v>
      </c>
      <c r="Z629" t="e">
        <f>VLOOKUP(A629,[2]cwurData!$B:$N, 13, FALSE)</f>
        <v>#N/A</v>
      </c>
    </row>
    <row r="630" spans="1:26" x14ac:dyDescent="0.3">
      <c r="A630" t="s">
        <v>573</v>
      </c>
      <c r="B630" t="str">
        <f>IFERROR(VLOOKUP(A630,[1]timesData!$B:$P,2,FALSE),VLOOKUP(A630,[2]cwurData!$B:$P,2,FALSE))</f>
        <v>Australia</v>
      </c>
      <c r="C630" t="str">
        <f>VLOOKUP(A630,[1]timesData!$B:$P,3,FALSE)</f>
        <v>501-600</v>
      </c>
      <c r="D630" t="str">
        <f>VLOOKUP(A631,[1]timesData!$B:$P,3,FALSE)</f>
        <v>501-600</v>
      </c>
      <c r="E630">
        <f>VLOOKUP(A631,[1]timesData!$B:$P,4,FALSE)</f>
        <v>43.8</v>
      </c>
      <c r="F630">
        <f>VLOOKUP(A631,[1]timesData!$B:$P,5,FALSE)</f>
        <v>12.9</v>
      </c>
      <c r="G630">
        <f>VLOOKUP(A631,[1]timesData!$B:$P,6,FALSE)</f>
        <v>24.6</v>
      </c>
      <c r="H630">
        <f>VLOOKUP(A631,[1]timesData!$B:$P,7,FALSE)</f>
        <v>71.7</v>
      </c>
      <c r="I630" t="str">
        <f>VLOOKUP(A631,[1]timesData!$B:$P,8,FALSE)</f>
        <v>-</v>
      </c>
      <c r="J630">
        <f>VLOOKUP(A631,[1]timesData!$B:$P,9,FALSE)</f>
        <v>4597</v>
      </c>
      <c r="K630">
        <f>VLOOKUP(A631,[1]timesData!$B:$P,10,FALSE)</f>
        <v>12.5</v>
      </c>
      <c r="L630">
        <f>VLOOKUP(A631,[1]timesData!$B:$P,11,FALSE)</f>
        <v>0.25</v>
      </c>
      <c r="M630">
        <f>VLOOKUP(A631,[1]timesData!$B:$P,12,FALSE)</f>
        <v>1.83125</v>
      </c>
      <c r="N630">
        <f>VLOOKUP(A631,[1]timesData!$B:$P,13,FALSE)</f>
        <v>2016</v>
      </c>
      <c r="O630" t="e">
        <f>VLOOKUP(A630,[2]cwurData!$B:$P,14,FALSE)</f>
        <v>#N/A</v>
      </c>
      <c r="P630" t="e">
        <f>VLOOKUP(A630,[2]cwurData!$B:$N, 3, FALSE)</f>
        <v>#N/A</v>
      </c>
      <c r="Q630" t="e">
        <f>VLOOKUP(A630,[2]cwurData!$B:$N, 4, FALSE)</f>
        <v>#N/A</v>
      </c>
      <c r="R630" t="e">
        <f>VLOOKUP(A630,[2]cwurData!$B:$N, 5, FALSE)</f>
        <v>#N/A</v>
      </c>
      <c r="S630" t="e">
        <f>VLOOKUP(A630,[2]cwurData!$B:$N, 6, FALSE)</f>
        <v>#N/A</v>
      </c>
      <c r="T630" t="e">
        <f>VLOOKUP(A630,[2]cwurData!$B:$N, 7, FALSE)</f>
        <v>#N/A</v>
      </c>
      <c r="U630" t="e">
        <f>VLOOKUP(A630,[2]cwurData!$B:$N, 8, FALSE)</f>
        <v>#N/A</v>
      </c>
      <c r="V630" t="e">
        <f>VLOOKUP(A630,[2]cwurData!$B:$N, 9, FALSE)</f>
        <v>#N/A</v>
      </c>
      <c r="W630" t="e">
        <f>VLOOKUP(A630,[2]cwurData!$B:$N, 10, FALSE)</f>
        <v>#N/A</v>
      </c>
      <c r="X630" t="e">
        <f>VLOOKUP(A630,[2]cwurData!$B:$N, 11, FALSE)</f>
        <v>#N/A</v>
      </c>
      <c r="Y630" t="e">
        <f>VLOOKUP(A630,[2]cwurData!$B:$N, 12, FALSE)</f>
        <v>#N/A</v>
      </c>
      <c r="Z630" t="e">
        <f>VLOOKUP(A630,[2]cwurData!$B:$N, 13, FALSE)</f>
        <v>#N/A</v>
      </c>
    </row>
    <row r="631" spans="1:26" x14ac:dyDescent="0.3">
      <c r="A631" t="s">
        <v>629</v>
      </c>
      <c r="B631" t="str">
        <f>IFERROR(VLOOKUP(A631,[1]timesData!$B:$P,2,FALSE),VLOOKUP(A631,[2]cwurData!$B:$P,2,FALSE))</f>
        <v>United States of America</v>
      </c>
      <c r="C631" t="str">
        <f>VLOOKUP(A631,[1]timesData!$B:$P,3,FALSE)</f>
        <v>501-600</v>
      </c>
      <c r="D631" t="str">
        <f>VLOOKUP(A632,[1]timesData!$B:$P,3,FALSE)</f>
        <v>501-600</v>
      </c>
      <c r="E631">
        <f>VLOOKUP(A632,[1]timesData!$B:$P,4,FALSE)</f>
        <v>26</v>
      </c>
      <c r="F631">
        <f>VLOOKUP(A632,[1]timesData!$B:$P,5,FALSE)</f>
        <v>13.8</v>
      </c>
      <c r="G631">
        <f>VLOOKUP(A632,[1]timesData!$B:$P,6,FALSE)</f>
        <v>45.5</v>
      </c>
      <c r="H631">
        <f>VLOOKUP(A632,[1]timesData!$B:$P,7,FALSE)</f>
        <v>29</v>
      </c>
      <c r="I631" t="str">
        <f>VLOOKUP(A632,[1]timesData!$B:$P,8,FALSE)</f>
        <v>-</v>
      </c>
      <c r="J631">
        <f>VLOOKUP(A632,[1]timesData!$B:$P,9,FALSE)</f>
        <v>22542</v>
      </c>
      <c r="K631">
        <f>VLOOKUP(A632,[1]timesData!$B:$P,10,FALSE)</f>
        <v>18.399999999999999</v>
      </c>
      <c r="L631">
        <f>VLOOKUP(A632,[1]timesData!$B:$P,11,FALSE)</f>
        <v>0.05</v>
      </c>
      <c r="M631">
        <f>VLOOKUP(A632,[1]timesData!$B:$P,12,FALSE)</f>
        <v>2.2000000000000002</v>
      </c>
      <c r="N631">
        <f>VLOOKUP(A632,[1]timesData!$B:$P,13,FALSE)</f>
        <v>2016</v>
      </c>
      <c r="O631" t="e">
        <f>VLOOKUP(A631,[2]cwurData!$B:$P,14,FALSE)</f>
        <v>#N/A</v>
      </c>
      <c r="P631" t="e">
        <f>VLOOKUP(A631,[2]cwurData!$B:$N, 3, FALSE)</f>
        <v>#N/A</v>
      </c>
      <c r="Q631" t="e">
        <f>VLOOKUP(A631,[2]cwurData!$B:$N, 4, FALSE)</f>
        <v>#N/A</v>
      </c>
      <c r="R631" t="e">
        <f>VLOOKUP(A631,[2]cwurData!$B:$N, 5, FALSE)</f>
        <v>#N/A</v>
      </c>
      <c r="S631" t="e">
        <f>VLOOKUP(A631,[2]cwurData!$B:$N, 6, FALSE)</f>
        <v>#N/A</v>
      </c>
      <c r="T631" t="e">
        <f>VLOOKUP(A631,[2]cwurData!$B:$N, 7, FALSE)</f>
        <v>#N/A</v>
      </c>
      <c r="U631" t="e">
        <f>VLOOKUP(A631,[2]cwurData!$B:$N, 8, FALSE)</f>
        <v>#N/A</v>
      </c>
      <c r="V631" t="e">
        <f>VLOOKUP(A631,[2]cwurData!$B:$N, 9, FALSE)</f>
        <v>#N/A</v>
      </c>
      <c r="W631" t="e">
        <f>VLOOKUP(A631,[2]cwurData!$B:$N, 10, FALSE)</f>
        <v>#N/A</v>
      </c>
      <c r="X631" t="e">
        <f>VLOOKUP(A631,[2]cwurData!$B:$N, 11, FALSE)</f>
        <v>#N/A</v>
      </c>
      <c r="Y631" t="e">
        <f>VLOOKUP(A631,[2]cwurData!$B:$N, 12, FALSE)</f>
        <v>#N/A</v>
      </c>
      <c r="Z631" t="e">
        <f>VLOOKUP(A631,[2]cwurData!$B:$N, 13, FALSE)</f>
        <v>#N/A</v>
      </c>
    </row>
    <row r="632" spans="1:26" x14ac:dyDescent="0.3">
      <c r="A632" t="s">
        <v>631</v>
      </c>
      <c r="B632" t="str">
        <f>IFERROR(VLOOKUP(A632,[1]timesData!$B:$P,2,FALSE),VLOOKUP(A632,[2]cwurData!$B:$P,2,FALSE))</f>
        <v>United States of America</v>
      </c>
      <c r="C632" t="str">
        <f>VLOOKUP(A632,[1]timesData!$B:$P,3,FALSE)</f>
        <v>501-600</v>
      </c>
      <c r="D632" t="str">
        <f>VLOOKUP(A633,[1]timesData!$B:$P,3,FALSE)</f>
        <v>501-600</v>
      </c>
      <c r="E632">
        <f>VLOOKUP(A633,[1]timesData!$B:$P,4,FALSE)</f>
        <v>25.8</v>
      </c>
      <c r="F632">
        <f>VLOOKUP(A633,[1]timesData!$B:$P,5,FALSE)</f>
        <v>22.5</v>
      </c>
      <c r="G632">
        <f>VLOOKUP(A633,[1]timesData!$B:$P,6,FALSE)</f>
        <v>25.5</v>
      </c>
      <c r="H632">
        <f>VLOOKUP(A633,[1]timesData!$B:$P,7,FALSE)</f>
        <v>70.400000000000006</v>
      </c>
      <c r="I632" t="str">
        <f>VLOOKUP(A633,[1]timesData!$B:$P,8,FALSE)</f>
        <v>-</v>
      </c>
      <c r="J632">
        <f>VLOOKUP(A633,[1]timesData!$B:$P,9,FALSE)</f>
        <v>29863</v>
      </c>
      <c r="K632">
        <f>VLOOKUP(A633,[1]timesData!$B:$P,10,FALSE)</f>
        <v>12.3</v>
      </c>
      <c r="L632">
        <f>VLOOKUP(A633,[1]timesData!$B:$P,11,FALSE)</f>
        <v>0.04</v>
      </c>
      <c r="M632" t="str">
        <f>VLOOKUP(A633,[1]timesData!$B:$P,12,FALSE)</f>
        <v>34 : 66</v>
      </c>
      <c r="N632">
        <f>VLOOKUP(A633,[1]timesData!$B:$P,13,FALSE)</f>
        <v>2016</v>
      </c>
      <c r="O632" t="e">
        <f>VLOOKUP(A632,[2]cwurData!$B:$P,14,FALSE)</f>
        <v>#N/A</v>
      </c>
      <c r="P632" t="e">
        <f>VLOOKUP(A632,[2]cwurData!$B:$N, 3, FALSE)</f>
        <v>#N/A</v>
      </c>
      <c r="Q632" t="e">
        <f>VLOOKUP(A632,[2]cwurData!$B:$N, 4, FALSE)</f>
        <v>#N/A</v>
      </c>
      <c r="R632" t="e">
        <f>VLOOKUP(A632,[2]cwurData!$B:$N, 5, FALSE)</f>
        <v>#N/A</v>
      </c>
      <c r="S632" t="e">
        <f>VLOOKUP(A632,[2]cwurData!$B:$N, 6, FALSE)</f>
        <v>#N/A</v>
      </c>
      <c r="T632" t="e">
        <f>VLOOKUP(A632,[2]cwurData!$B:$N, 7, FALSE)</f>
        <v>#N/A</v>
      </c>
      <c r="U632" t="e">
        <f>VLOOKUP(A632,[2]cwurData!$B:$N, 8, FALSE)</f>
        <v>#N/A</v>
      </c>
      <c r="V632" t="e">
        <f>VLOOKUP(A632,[2]cwurData!$B:$N, 9, FALSE)</f>
        <v>#N/A</v>
      </c>
      <c r="W632" t="e">
        <f>VLOOKUP(A632,[2]cwurData!$B:$N, 10, FALSE)</f>
        <v>#N/A</v>
      </c>
      <c r="X632" t="e">
        <f>VLOOKUP(A632,[2]cwurData!$B:$N, 11, FALSE)</f>
        <v>#N/A</v>
      </c>
      <c r="Y632" t="e">
        <f>VLOOKUP(A632,[2]cwurData!$B:$N, 12, FALSE)</f>
        <v>#N/A</v>
      </c>
      <c r="Z632" t="e">
        <f>VLOOKUP(A632,[2]cwurData!$B:$N, 13, FALSE)</f>
        <v>#N/A</v>
      </c>
    </row>
    <row r="633" spans="1:26" x14ac:dyDescent="0.3">
      <c r="A633" t="s">
        <v>632</v>
      </c>
      <c r="B633" t="str">
        <f>IFERROR(VLOOKUP(A633,[1]timesData!$B:$P,2,FALSE),VLOOKUP(A633,[2]cwurData!$B:$P,2,FALSE))</f>
        <v>China</v>
      </c>
      <c r="C633" t="str">
        <f>VLOOKUP(A633,[1]timesData!$B:$P,3,FALSE)</f>
        <v>501-600</v>
      </c>
      <c r="D633" t="str">
        <f>VLOOKUP(A634,[1]timesData!$B:$P,3,FALSE)</f>
        <v>601-800</v>
      </c>
      <c r="E633">
        <f>VLOOKUP(A634,[1]timesData!$B:$P,4,FALSE)</f>
        <v>20.7</v>
      </c>
      <c r="F633">
        <f>VLOOKUP(A634,[1]timesData!$B:$P,5,FALSE)</f>
        <v>19</v>
      </c>
      <c r="G633">
        <f>VLOOKUP(A634,[1]timesData!$B:$P,6,FALSE)</f>
        <v>23.5</v>
      </c>
      <c r="H633">
        <f>VLOOKUP(A634,[1]timesData!$B:$P,7,FALSE)</f>
        <v>93.3</v>
      </c>
      <c r="I633" t="str">
        <f>VLOOKUP(A634,[1]timesData!$B:$P,8,FALSE)</f>
        <v>-</v>
      </c>
      <c r="J633">
        <f>VLOOKUP(A634,[1]timesData!$B:$P,9,FALSE)</f>
        <v>34326</v>
      </c>
      <c r="K633">
        <f>VLOOKUP(A634,[1]timesData!$B:$P,10,FALSE)</f>
        <v>15.2</v>
      </c>
      <c r="L633">
        <f>VLOOKUP(A634,[1]timesData!$B:$P,11,FALSE)</f>
        <v>0.02</v>
      </c>
      <c r="M633" t="str">
        <f>VLOOKUP(A634,[1]timesData!$B:$P,12,FALSE)</f>
        <v>33 : 67</v>
      </c>
      <c r="N633">
        <f>VLOOKUP(A634,[1]timesData!$B:$P,13,FALSE)</f>
        <v>2016</v>
      </c>
      <c r="O633" t="e">
        <f>VLOOKUP(A633,[2]cwurData!$B:$P,14,FALSE)</f>
        <v>#N/A</v>
      </c>
      <c r="P633" t="e">
        <f>VLOOKUP(A633,[2]cwurData!$B:$N, 3, FALSE)</f>
        <v>#N/A</v>
      </c>
      <c r="Q633" t="e">
        <f>VLOOKUP(A633,[2]cwurData!$B:$N, 4, FALSE)</f>
        <v>#N/A</v>
      </c>
      <c r="R633" t="e">
        <f>VLOOKUP(A633,[2]cwurData!$B:$N, 5, FALSE)</f>
        <v>#N/A</v>
      </c>
      <c r="S633" t="e">
        <f>VLOOKUP(A633,[2]cwurData!$B:$N, 6, FALSE)</f>
        <v>#N/A</v>
      </c>
      <c r="T633" t="e">
        <f>VLOOKUP(A633,[2]cwurData!$B:$N, 7, FALSE)</f>
        <v>#N/A</v>
      </c>
      <c r="U633" t="e">
        <f>VLOOKUP(A633,[2]cwurData!$B:$N, 8, FALSE)</f>
        <v>#N/A</v>
      </c>
      <c r="V633" t="e">
        <f>VLOOKUP(A633,[2]cwurData!$B:$N, 9, FALSE)</f>
        <v>#N/A</v>
      </c>
      <c r="W633" t="e">
        <f>VLOOKUP(A633,[2]cwurData!$B:$N, 10, FALSE)</f>
        <v>#N/A</v>
      </c>
      <c r="X633" t="e">
        <f>VLOOKUP(A633,[2]cwurData!$B:$N, 11, FALSE)</f>
        <v>#N/A</v>
      </c>
      <c r="Y633" t="e">
        <f>VLOOKUP(A633,[2]cwurData!$B:$N, 12, FALSE)</f>
        <v>#N/A</v>
      </c>
      <c r="Z633" t="e">
        <f>VLOOKUP(A633,[2]cwurData!$B:$N, 13, FALSE)</f>
        <v>#N/A</v>
      </c>
    </row>
    <row r="634" spans="1:26" x14ac:dyDescent="0.3">
      <c r="A634" t="s">
        <v>681</v>
      </c>
      <c r="B634" t="str">
        <f>IFERROR(VLOOKUP(A634,[1]timesData!$B:$P,2,FALSE),VLOOKUP(A634,[2]cwurData!$B:$P,2,FALSE))</f>
        <v>China</v>
      </c>
      <c r="C634" t="str">
        <f>VLOOKUP(A634,[1]timesData!$B:$P,3,FALSE)</f>
        <v>601-800</v>
      </c>
      <c r="D634" t="str">
        <f>VLOOKUP(A635,[1]timesData!$B:$P,3,FALSE)</f>
        <v>601-800</v>
      </c>
      <c r="E634">
        <f>VLOOKUP(A635,[1]timesData!$B:$P,4,FALSE)</f>
        <v>44.4</v>
      </c>
      <c r="F634">
        <f>VLOOKUP(A635,[1]timesData!$B:$P,5,FALSE)</f>
        <v>16.3</v>
      </c>
      <c r="G634">
        <f>VLOOKUP(A635,[1]timesData!$B:$P,6,FALSE)</f>
        <v>15.5</v>
      </c>
      <c r="H634">
        <f>VLOOKUP(A635,[1]timesData!$B:$P,7,FALSE)</f>
        <v>28</v>
      </c>
      <c r="I634" t="str">
        <f>VLOOKUP(A635,[1]timesData!$B:$P,8,FALSE)</f>
        <v>-</v>
      </c>
      <c r="J634">
        <f>VLOOKUP(A635,[1]timesData!$B:$P,9,FALSE)</f>
        <v>5395</v>
      </c>
      <c r="K634">
        <f>VLOOKUP(A635,[1]timesData!$B:$P,10,FALSE)</f>
        <v>7</v>
      </c>
      <c r="L634">
        <f>VLOOKUP(A635,[1]timesData!$B:$P,11,FALSE)</f>
        <v>0.12</v>
      </c>
      <c r="M634">
        <f>VLOOKUP(A635,[1]timesData!$B:$P,12,FALSE)</f>
        <v>0</v>
      </c>
      <c r="N634">
        <f>VLOOKUP(A635,[1]timesData!$B:$P,13,FALSE)</f>
        <v>2016</v>
      </c>
      <c r="O634">
        <f>VLOOKUP(A634,[2]cwurData!$B:$P,14,FALSE)</f>
        <v>242</v>
      </c>
      <c r="P634">
        <f>VLOOKUP(A634,[2]cwurData!$B:$N, 3, FALSE)</f>
        <v>7</v>
      </c>
      <c r="Q634">
        <f>VLOOKUP(A634,[2]cwurData!$B:$N, 4, FALSE)</f>
        <v>355</v>
      </c>
      <c r="R634">
        <f>VLOOKUP(A634,[2]cwurData!$B:$N, 5, FALSE)</f>
        <v>67</v>
      </c>
      <c r="S634">
        <f>VLOOKUP(A634,[2]cwurData!$B:$N, 6, FALSE)</f>
        <v>210</v>
      </c>
      <c r="T634">
        <f>VLOOKUP(A634,[2]cwurData!$B:$N, 7, FALSE)</f>
        <v>326</v>
      </c>
      <c r="U634">
        <f>VLOOKUP(A634,[2]cwurData!$B:$N, 8, FALSE)</f>
        <v>666</v>
      </c>
      <c r="V634">
        <f>VLOOKUP(A634,[2]cwurData!$B:$N, 9, FALSE)</f>
        <v>406</v>
      </c>
      <c r="W634">
        <f>VLOOKUP(A634,[2]cwurData!$B:$N, 10, FALSE)</f>
        <v>472</v>
      </c>
      <c r="X634">
        <f>VLOOKUP(A634,[2]cwurData!$B:$N, 11, FALSE)</f>
        <v>74</v>
      </c>
      <c r="Y634">
        <f>VLOOKUP(A634,[2]cwurData!$B:$N, 12, FALSE)</f>
        <v>47.22</v>
      </c>
      <c r="Z634">
        <f>VLOOKUP(A634,[2]cwurData!$B:$N, 13, FALSE)</f>
        <v>2014</v>
      </c>
    </row>
    <row r="635" spans="1:26" x14ac:dyDescent="0.3">
      <c r="A635" t="s">
        <v>732</v>
      </c>
      <c r="B635" t="str">
        <f>IFERROR(VLOOKUP(A635,[1]timesData!$B:$P,2,FALSE),VLOOKUP(A635,[2]cwurData!$B:$P,2,FALSE))</f>
        <v>Russian Federation</v>
      </c>
      <c r="C635" t="str">
        <f>VLOOKUP(A635,[1]timesData!$B:$P,3,FALSE)</f>
        <v>601-800</v>
      </c>
      <c r="D635" t="str">
        <f>VLOOKUP(A636,[1]timesData!$B:$P,3,FALSE)</f>
        <v>601-800</v>
      </c>
      <c r="E635">
        <f>VLOOKUP(A636,[1]timesData!$B:$P,4,FALSE)</f>
        <v>20.6</v>
      </c>
      <c r="F635">
        <f>VLOOKUP(A636,[1]timesData!$B:$P,5,FALSE)</f>
        <v>14.9</v>
      </c>
      <c r="G635">
        <f>VLOOKUP(A636,[1]timesData!$B:$P,6,FALSE)</f>
        <v>25.3</v>
      </c>
      <c r="H635">
        <f>VLOOKUP(A636,[1]timesData!$B:$P,7,FALSE)</f>
        <v>48</v>
      </c>
      <c r="I635" t="str">
        <f>VLOOKUP(A636,[1]timesData!$B:$P,8,FALSE)</f>
        <v>-</v>
      </c>
      <c r="J635">
        <f>VLOOKUP(A636,[1]timesData!$B:$P,9,FALSE)</f>
        <v>13035</v>
      </c>
      <c r="K635">
        <f>VLOOKUP(A636,[1]timesData!$B:$P,10,FALSE)</f>
        <v>8.6</v>
      </c>
      <c r="L635">
        <f>VLOOKUP(A636,[1]timesData!$B:$P,11,FALSE)</f>
        <v>0.03</v>
      </c>
      <c r="M635" t="str">
        <f>VLOOKUP(A636,[1]timesData!$B:$P,12,FALSE)</f>
        <v>38 : 62</v>
      </c>
      <c r="N635">
        <f>VLOOKUP(A636,[1]timesData!$B:$P,13,FALSE)</f>
        <v>2016</v>
      </c>
      <c r="O635">
        <f>VLOOKUP(A635,[2]cwurData!$B:$P,14,FALSE)</f>
        <v>250</v>
      </c>
      <c r="P635">
        <f>VLOOKUP(A635,[2]cwurData!$B:$N, 3, FALSE)</f>
        <v>2</v>
      </c>
      <c r="Q635">
        <f>VLOOKUP(A635,[2]cwurData!$B:$N, 4, FALSE)</f>
        <v>23</v>
      </c>
      <c r="R635">
        <f>VLOOKUP(A635,[2]cwurData!$B:$N, 5, FALSE)</f>
        <v>339</v>
      </c>
      <c r="S635">
        <f>VLOOKUP(A635,[2]cwurData!$B:$N, 6, FALSE)</f>
        <v>218</v>
      </c>
      <c r="T635">
        <f>VLOOKUP(A635,[2]cwurData!$B:$N, 7, FALSE)</f>
        <v>949</v>
      </c>
      <c r="U635">
        <f>VLOOKUP(A635,[2]cwurData!$B:$N, 8, FALSE)</f>
        <v>605</v>
      </c>
      <c r="V635">
        <f>VLOOKUP(A635,[2]cwurData!$B:$N, 9, FALSE)</f>
        <v>812</v>
      </c>
      <c r="W635">
        <f>VLOOKUP(A635,[2]cwurData!$B:$N, 10, FALSE)</f>
        <v>1000</v>
      </c>
      <c r="X635">
        <f>VLOOKUP(A635,[2]cwurData!$B:$N, 11, FALSE)</f>
        <v>839</v>
      </c>
      <c r="Y635">
        <f>VLOOKUP(A635,[2]cwurData!$B:$N, 12, FALSE)</f>
        <v>46.55</v>
      </c>
      <c r="Z635">
        <f>VLOOKUP(A635,[2]cwurData!$B:$N, 13, FALSE)</f>
        <v>2015</v>
      </c>
    </row>
    <row r="636" spans="1:26" x14ac:dyDescent="0.3">
      <c r="A636" t="s">
        <v>750</v>
      </c>
      <c r="B636" t="str">
        <f>IFERROR(VLOOKUP(A636,[1]timesData!$B:$P,2,FALSE),VLOOKUP(A636,[2]cwurData!$B:$P,2,FALSE))</f>
        <v>Japan</v>
      </c>
      <c r="C636" t="str">
        <f>VLOOKUP(A636,[1]timesData!$B:$P,3,FALSE)</f>
        <v>601-800</v>
      </c>
      <c r="D636" t="str">
        <f>VLOOKUP(A637,[1]timesData!$B:$P,3,FALSE)</f>
        <v>601-800</v>
      </c>
      <c r="E636">
        <f>VLOOKUP(A637,[1]timesData!$B:$P,4,FALSE)</f>
        <v>32.799999999999997</v>
      </c>
      <c r="F636">
        <f>VLOOKUP(A637,[1]timesData!$B:$P,5,FALSE)</f>
        <v>14.1</v>
      </c>
      <c r="G636">
        <f>VLOOKUP(A637,[1]timesData!$B:$P,6,FALSE)</f>
        <v>16.7</v>
      </c>
      <c r="H636">
        <f>VLOOKUP(A637,[1]timesData!$B:$P,7,FALSE)</f>
        <v>37.799999999999997</v>
      </c>
      <c r="I636" t="str">
        <f>VLOOKUP(A637,[1]timesData!$B:$P,8,FALSE)</f>
        <v>-</v>
      </c>
      <c r="J636">
        <f>VLOOKUP(A637,[1]timesData!$B:$P,9,FALSE)</f>
        <v>38719</v>
      </c>
      <c r="K636">
        <f>VLOOKUP(A637,[1]timesData!$B:$P,10,FALSE)</f>
        <v>14.5</v>
      </c>
      <c r="L636">
        <f>VLOOKUP(A637,[1]timesData!$B:$P,11,FALSE)</f>
        <v>0.02</v>
      </c>
      <c r="M636">
        <f>VLOOKUP(A637,[1]timesData!$B:$P,12,FALSE)</f>
        <v>2.4868055555555557</v>
      </c>
      <c r="N636">
        <f>VLOOKUP(A637,[1]timesData!$B:$P,13,FALSE)</f>
        <v>2016</v>
      </c>
      <c r="O636">
        <f>VLOOKUP(A636,[2]cwurData!$B:$P,14,FALSE)</f>
        <v>281</v>
      </c>
      <c r="P636">
        <f>VLOOKUP(A636,[2]cwurData!$B:$N, 3, FALSE)</f>
        <v>15</v>
      </c>
      <c r="Q636">
        <f>VLOOKUP(A636,[2]cwurData!$B:$N, 4, FALSE)</f>
        <v>355</v>
      </c>
      <c r="R636">
        <f>VLOOKUP(A636,[2]cwurData!$B:$N, 5, FALSE)</f>
        <v>226</v>
      </c>
      <c r="S636">
        <f>VLOOKUP(A636,[2]cwurData!$B:$N, 6, FALSE)</f>
        <v>210</v>
      </c>
      <c r="T636">
        <f>VLOOKUP(A636,[2]cwurData!$B:$N, 7, FALSE)</f>
        <v>332</v>
      </c>
      <c r="U636">
        <f>VLOOKUP(A636,[2]cwurData!$B:$N, 8, FALSE)</f>
        <v>335</v>
      </c>
      <c r="V636">
        <f>VLOOKUP(A636,[2]cwurData!$B:$N, 9, FALSE)</f>
        <v>250</v>
      </c>
      <c r="W636">
        <f>VLOOKUP(A636,[2]cwurData!$B:$N, 10, FALSE)</f>
        <v>322</v>
      </c>
      <c r="X636">
        <f>VLOOKUP(A636,[2]cwurData!$B:$N, 11, FALSE)</f>
        <v>94</v>
      </c>
      <c r="Y636">
        <f>VLOOKUP(A636,[2]cwurData!$B:$N, 12, FALSE)</f>
        <v>46.57</v>
      </c>
      <c r="Z636">
        <f>VLOOKUP(A636,[2]cwurData!$B:$N, 13, FALSE)</f>
        <v>2014</v>
      </c>
    </row>
    <row r="637" spans="1:26" x14ac:dyDescent="0.3">
      <c r="A637" t="s">
        <v>676</v>
      </c>
      <c r="B637" t="str">
        <f>IFERROR(VLOOKUP(A637,[1]timesData!$B:$P,2,FALSE),VLOOKUP(A637,[2]cwurData!$B:$P,2,FALSE))</f>
        <v>Thailand</v>
      </c>
      <c r="C637" t="str">
        <f>VLOOKUP(A637,[1]timesData!$B:$P,3,FALSE)</f>
        <v>601-800</v>
      </c>
      <c r="D637" t="str">
        <f>VLOOKUP(A638,[1]timesData!$B:$P,3,FALSE)</f>
        <v>601-800</v>
      </c>
      <c r="E637">
        <f>VLOOKUP(A638,[1]timesData!$B:$P,4,FALSE)</f>
        <v>21.7</v>
      </c>
      <c r="F637">
        <f>VLOOKUP(A638,[1]timesData!$B:$P,5,FALSE)</f>
        <v>16</v>
      </c>
      <c r="G637">
        <f>VLOOKUP(A638,[1]timesData!$B:$P,6,FALSE)</f>
        <v>18.100000000000001</v>
      </c>
      <c r="H637">
        <f>VLOOKUP(A638,[1]timesData!$B:$P,7,FALSE)</f>
        <v>34.9</v>
      </c>
      <c r="I637" t="str">
        <f>VLOOKUP(A638,[1]timesData!$B:$P,8,FALSE)</f>
        <v>-</v>
      </c>
      <c r="J637">
        <f>VLOOKUP(A638,[1]timesData!$B:$P,9,FALSE)</f>
        <v>27152</v>
      </c>
      <c r="K637">
        <f>VLOOKUP(A638,[1]timesData!$B:$P,10,FALSE)</f>
        <v>14.4</v>
      </c>
      <c r="L637">
        <f>VLOOKUP(A638,[1]timesData!$B:$P,11,FALSE)</f>
        <v>0.04</v>
      </c>
      <c r="M637">
        <f>VLOOKUP(A638,[1]timesData!$B:$P,12,FALSE)</f>
        <v>1.7902777777777779</v>
      </c>
      <c r="N637">
        <f>VLOOKUP(A638,[1]timesData!$B:$P,13,FALSE)</f>
        <v>2016</v>
      </c>
      <c r="O637">
        <f>VLOOKUP(A637,[2]cwurData!$B:$P,14,FALSE)</f>
        <v>283</v>
      </c>
      <c r="P637">
        <f>VLOOKUP(A637,[2]cwurData!$B:$N, 3, FALSE)</f>
        <v>1</v>
      </c>
      <c r="Q637">
        <f>VLOOKUP(A637,[2]cwurData!$B:$N, 4, FALSE)</f>
        <v>355</v>
      </c>
      <c r="R637">
        <f>VLOOKUP(A637,[2]cwurData!$B:$N, 5, FALSE)</f>
        <v>51</v>
      </c>
      <c r="S637">
        <f>VLOOKUP(A637,[2]cwurData!$B:$N, 6, FALSE)</f>
        <v>210</v>
      </c>
      <c r="T637">
        <f>VLOOKUP(A637,[2]cwurData!$B:$N, 7, FALSE)</f>
        <v>580</v>
      </c>
      <c r="U637">
        <f>VLOOKUP(A637,[2]cwurData!$B:$N, 8, FALSE)</f>
        <v>752</v>
      </c>
      <c r="V637">
        <f>VLOOKUP(A637,[2]cwurData!$B:$N, 9, FALSE)</f>
        <v>406</v>
      </c>
      <c r="W637">
        <f>VLOOKUP(A637,[2]cwurData!$B:$N, 10, FALSE)</f>
        <v>585</v>
      </c>
      <c r="X637">
        <f>VLOOKUP(A637,[2]cwurData!$B:$N, 11, FALSE)</f>
        <v>737</v>
      </c>
      <c r="Y637">
        <f>VLOOKUP(A637,[2]cwurData!$B:$N, 12, FALSE)</f>
        <v>46.55</v>
      </c>
      <c r="Z637">
        <f>VLOOKUP(A637,[2]cwurData!$B:$N, 13, FALSE)</f>
        <v>2014</v>
      </c>
    </row>
    <row r="638" spans="1:26" x14ac:dyDescent="0.3">
      <c r="A638" t="s">
        <v>724</v>
      </c>
      <c r="B638" t="str">
        <f>IFERROR(VLOOKUP(A638,[1]timesData!$B:$P,2,FALSE),VLOOKUP(A638,[2]cwurData!$B:$P,2,FALSE))</f>
        <v>South Korea</v>
      </c>
      <c r="C638" t="str">
        <f>VLOOKUP(A638,[1]timesData!$B:$P,3,FALSE)</f>
        <v>601-800</v>
      </c>
      <c r="D638" t="str">
        <f>VLOOKUP(A639,[1]timesData!$B:$P,3,FALSE)</f>
        <v>601-800</v>
      </c>
      <c r="E638">
        <f>VLOOKUP(A639,[1]timesData!$B:$P,4,FALSE)</f>
        <v>23.3</v>
      </c>
      <c r="F638">
        <f>VLOOKUP(A639,[1]timesData!$B:$P,5,FALSE)</f>
        <v>16</v>
      </c>
      <c r="G638">
        <f>VLOOKUP(A639,[1]timesData!$B:$P,6,FALSE)</f>
        <v>13.5</v>
      </c>
      <c r="H638">
        <f>VLOOKUP(A639,[1]timesData!$B:$P,7,FALSE)</f>
        <v>40.4</v>
      </c>
      <c r="I638" t="str">
        <f>VLOOKUP(A639,[1]timesData!$B:$P,8,FALSE)</f>
        <v>-</v>
      </c>
      <c r="J638">
        <f>VLOOKUP(A639,[1]timesData!$B:$P,9,FALSE)</f>
        <v>10117</v>
      </c>
      <c r="K638">
        <f>VLOOKUP(A639,[1]timesData!$B:$P,10,FALSE)</f>
        <v>12.1</v>
      </c>
      <c r="L638">
        <f>VLOOKUP(A639,[1]timesData!$B:$P,11,FALSE)</f>
        <v>0.08</v>
      </c>
      <c r="M638" t="str">
        <f>VLOOKUP(A639,[1]timesData!$B:$P,12,FALSE)</f>
        <v>28 : 72</v>
      </c>
      <c r="N638">
        <f>VLOOKUP(A639,[1]timesData!$B:$P,13,FALSE)</f>
        <v>2016</v>
      </c>
      <c r="O638">
        <f>VLOOKUP(A638,[2]cwurData!$B:$P,14,FALSE)</f>
        <v>314</v>
      </c>
      <c r="P638">
        <f>VLOOKUP(A638,[2]cwurData!$B:$N, 3, FALSE)</f>
        <v>8</v>
      </c>
      <c r="Q638">
        <f>VLOOKUP(A638,[2]cwurData!$B:$N, 4, FALSE)</f>
        <v>355</v>
      </c>
      <c r="R638">
        <f>VLOOKUP(A638,[2]cwurData!$B:$N, 5, FALSE)</f>
        <v>446</v>
      </c>
      <c r="S638">
        <f>VLOOKUP(A638,[2]cwurData!$B:$N, 6, FALSE)</f>
        <v>210</v>
      </c>
      <c r="T638">
        <f>VLOOKUP(A638,[2]cwurData!$B:$N, 7, FALSE)</f>
        <v>358</v>
      </c>
      <c r="U638">
        <f>VLOOKUP(A638,[2]cwurData!$B:$N, 8, FALSE)</f>
        <v>661</v>
      </c>
      <c r="V638">
        <f>VLOOKUP(A638,[2]cwurData!$B:$N, 9, FALSE)</f>
        <v>283</v>
      </c>
      <c r="W638">
        <f>VLOOKUP(A638,[2]cwurData!$B:$N, 10, FALSE)</f>
        <v>420</v>
      </c>
      <c r="X638">
        <f>VLOOKUP(A638,[2]cwurData!$B:$N, 11, FALSE)</f>
        <v>68</v>
      </c>
      <c r="Y638">
        <f>VLOOKUP(A638,[2]cwurData!$B:$N, 12, FALSE)</f>
        <v>46.23</v>
      </c>
      <c r="Z638">
        <f>VLOOKUP(A638,[2]cwurData!$B:$N, 13, FALSE)</f>
        <v>2014</v>
      </c>
    </row>
    <row r="639" spans="1:26" x14ac:dyDescent="0.3">
      <c r="A639" t="s">
        <v>818</v>
      </c>
      <c r="B639" t="str">
        <f>IFERROR(VLOOKUP(A639,[1]timesData!$B:$P,2,FALSE),VLOOKUP(A639,[2]cwurData!$B:$P,2,FALSE))</f>
        <v>Japan</v>
      </c>
      <c r="C639" t="str">
        <f>VLOOKUP(A639,[1]timesData!$B:$P,3,FALSE)</f>
        <v>601-800</v>
      </c>
      <c r="D639" t="str">
        <f>VLOOKUP(A640,[1]timesData!$B:$P,3,FALSE)</f>
        <v>601-800</v>
      </c>
      <c r="E639">
        <f>VLOOKUP(A640,[1]timesData!$B:$P,4,FALSE)</f>
        <v>43</v>
      </c>
      <c r="F639">
        <f>VLOOKUP(A640,[1]timesData!$B:$P,5,FALSE)</f>
        <v>12.1</v>
      </c>
      <c r="G639">
        <f>VLOOKUP(A640,[1]timesData!$B:$P,6,FALSE)</f>
        <v>30.6</v>
      </c>
      <c r="H639">
        <f>VLOOKUP(A640,[1]timesData!$B:$P,7,FALSE)</f>
        <v>29.3</v>
      </c>
      <c r="I639" t="str">
        <f>VLOOKUP(A640,[1]timesData!$B:$P,8,FALSE)</f>
        <v>-</v>
      </c>
      <c r="J639">
        <f>VLOOKUP(A640,[1]timesData!$B:$P,9,FALSE)</f>
        <v>28698</v>
      </c>
      <c r="K639">
        <f>VLOOKUP(A640,[1]timesData!$B:$P,10,FALSE)</f>
        <v>22.4</v>
      </c>
      <c r="L639">
        <f>VLOOKUP(A640,[1]timesData!$B:$P,11,FALSE)</f>
        <v>0.04</v>
      </c>
      <c r="M639">
        <f>VLOOKUP(A640,[1]timesData!$B:$P,12,FALSE)</f>
        <v>0</v>
      </c>
      <c r="N639">
        <f>VLOOKUP(A640,[1]timesData!$B:$P,13,FALSE)</f>
        <v>2016</v>
      </c>
      <c r="O639">
        <f>VLOOKUP(A639,[2]cwurData!$B:$P,14,FALSE)</f>
        <v>339</v>
      </c>
      <c r="P639">
        <f>VLOOKUP(A639,[2]cwurData!$B:$N, 3, FALSE)</f>
        <v>16</v>
      </c>
      <c r="Q639">
        <f>VLOOKUP(A639,[2]cwurData!$B:$N, 4, FALSE)</f>
        <v>52</v>
      </c>
      <c r="R639">
        <f>VLOOKUP(A639,[2]cwurData!$B:$N, 5, FALSE)</f>
        <v>135</v>
      </c>
      <c r="S639">
        <f>VLOOKUP(A639,[2]cwurData!$B:$N, 6, FALSE)</f>
        <v>126</v>
      </c>
      <c r="T639">
        <f>VLOOKUP(A639,[2]cwurData!$B:$N, 7, FALSE)</f>
        <v>841</v>
      </c>
      <c r="U639">
        <f>VLOOKUP(A639,[2]cwurData!$B:$N, 8, FALSE)</f>
        <v>812</v>
      </c>
      <c r="V639">
        <f>VLOOKUP(A639,[2]cwurData!$B:$N, 9, FALSE)</f>
        <v>609</v>
      </c>
      <c r="W639">
        <f>VLOOKUP(A639,[2]cwurData!$B:$N, 10, FALSE)</f>
        <v>749</v>
      </c>
      <c r="X639">
        <f>VLOOKUP(A639,[2]cwurData!$B:$N, 11, FALSE)</f>
        <v>338</v>
      </c>
      <c r="Y639">
        <f>VLOOKUP(A639,[2]cwurData!$B:$N, 12, FALSE)</f>
        <v>45.97</v>
      </c>
      <c r="Z639">
        <f>VLOOKUP(A639,[2]cwurData!$B:$N, 13, FALSE)</f>
        <v>2014</v>
      </c>
    </row>
    <row r="640" spans="1:26" x14ac:dyDescent="0.3">
      <c r="A640" t="s">
        <v>688</v>
      </c>
      <c r="B640" t="str">
        <f>IFERROR(VLOOKUP(A640,[1]timesData!$B:$P,2,FALSE),VLOOKUP(A640,[2]cwurData!$B:$P,2,FALSE))</f>
        <v>Hungary</v>
      </c>
      <c r="C640" t="str">
        <f>VLOOKUP(A640,[1]timesData!$B:$P,3,FALSE)</f>
        <v>601-800</v>
      </c>
      <c r="D640" t="str">
        <f>VLOOKUP(A641,[1]timesData!$B:$P,3,FALSE)</f>
        <v>601-800</v>
      </c>
      <c r="E640">
        <f>VLOOKUP(A641,[1]timesData!$B:$P,4,FALSE)</f>
        <v>21</v>
      </c>
      <c r="F640">
        <f>VLOOKUP(A641,[1]timesData!$B:$P,5,FALSE)</f>
        <v>16.8</v>
      </c>
      <c r="G640">
        <f>VLOOKUP(A641,[1]timesData!$B:$P,6,FALSE)</f>
        <v>24.8</v>
      </c>
      <c r="H640">
        <f>VLOOKUP(A641,[1]timesData!$B:$P,7,FALSE)</f>
        <v>55.3</v>
      </c>
      <c r="I640" t="str">
        <f>VLOOKUP(A641,[1]timesData!$B:$P,8,FALSE)</f>
        <v>-</v>
      </c>
      <c r="J640">
        <f>VLOOKUP(A641,[1]timesData!$B:$P,9,FALSE)</f>
        <v>14554</v>
      </c>
      <c r="K640">
        <f>VLOOKUP(A641,[1]timesData!$B:$P,10,FALSE)</f>
        <v>12.3</v>
      </c>
      <c r="L640">
        <f>VLOOKUP(A641,[1]timesData!$B:$P,11,FALSE)</f>
        <v>0.05</v>
      </c>
      <c r="M640" t="str">
        <f>VLOOKUP(A641,[1]timesData!$B:$P,12,FALSE)</f>
        <v>37 : 63</v>
      </c>
      <c r="N640">
        <f>VLOOKUP(A641,[1]timesData!$B:$P,13,FALSE)</f>
        <v>2016</v>
      </c>
      <c r="O640">
        <f>VLOOKUP(A640,[2]cwurData!$B:$P,14,FALSE)</f>
        <v>371</v>
      </c>
      <c r="P640">
        <f>VLOOKUP(A640,[2]cwurData!$B:$N, 3, FALSE)</f>
        <v>1</v>
      </c>
      <c r="Q640">
        <f>VLOOKUP(A640,[2]cwurData!$B:$N, 4, FALSE)</f>
        <v>87</v>
      </c>
      <c r="R640">
        <f>VLOOKUP(A640,[2]cwurData!$B:$N, 5, FALSE)</f>
        <v>478</v>
      </c>
      <c r="S640">
        <f>VLOOKUP(A640,[2]cwurData!$B:$N, 6, FALSE)</f>
        <v>104</v>
      </c>
      <c r="T640">
        <f>VLOOKUP(A640,[2]cwurData!$B:$N, 7, FALSE)</f>
        <v>539</v>
      </c>
      <c r="U640">
        <f>VLOOKUP(A640,[2]cwurData!$B:$N, 8, FALSE)</f>
        <v>403</v>
      </c>
      <c r="V640">
        <f>VLOOKUP(A640,[2]cwurData!$B:$N, 9, FALSE)</f>
        <v>250</v>
      </c>
      <c r="W640">
        <f>VLOOKUP(A640,[2]cwurData!$B:$N, 10, FALSE)</f>
        <v>430</v>
      </c>
      <c r="X640">
        <f>VLOOKUP(A640,[2]cwurData!$B:$N, 11, FALSE)</f>
        <v>637</v>
      </c>
      <c r="Y640">
        <f>VLOOKUP(A640,[2]cwurData!$B:$N, 12, FALSE)</f>
        <v>45.69</v>
      </c>
      <c r="Z640">
        <f>VLOOKUP(A640,[2]cwurData!$B:$N, 13, FALSE)</f>
        <v>2014</v>
      </c>
    </row>
    <row r="641" spans="1:26" x14ac:dyDescent="0.3">
      <c r="A641" t="s">
        <v>670</v>
      </c>
      <c r="B641" t="str">
        <f>IFERROR(VLOOKUP(A641,[1]timesData!$B:$P,2,FALSE),VLOOKUP(A641,[2]cwurData!$B:$P,2,FALSE))</f>
        <v>Japan</v>
      </c>
      <c r="C641" t="str">
        <f>VLOOKUP(A641,[1]timesData!$B:$P,3,FALSE)</f>
        <v>601-800</v>
      </c>
      <c r="D641" t="str">
        <f>VLOOKUP(A642,[1]timesData!$B:$P,3,FALSE)</f>
        <v>601-800</v>
      </c>
      <c r="E641">
        <f>VLOOKUP(A642,[1]timesData!$B:$P,4,FALSE)</f>
        <v>20.399999999999999</v>
      </c>
      <c r="F641">
        <f>VLOOKUP(A642,[1]timesData!$B:$P,5,FALSE)</f>
        <v>11.7</v>
      </c>
      <c r="G641">
        <f>VLOOKUP(A642,[1]timesData!$B:$P,6,FALSE)</f>
        <v>29.1</v>
      </c>
      <c r="H641">
        <f>VLOOKUP(A642,[1]timesData!$B:$P,7,FALSE)</f>
        <v>31.4</v>
      </c>
      <c r="I641" t="str">
        <f>VLOOKUP(A642,[1]timesData!$B:$P,8,FALSE)</f>
        <v>-</v>
      </c>
      <c r="J641">
        <f>VLOOKUP(A642,[1]timesData!$B:$P,9,FALSE)</f>
        <v>35779</v>
      </c>
      <c r="K641">
        <f>VLOOKUP(A642,[1]timesData!$B:$P,10,FALSE)</f>
        <v>18.5</v>
      </c>
      <c r="L641">
        <f>VLOOKUP(A642,[1]timesData!$B:$P,11,FALSE)</f>
        <v>0.03</v>
      </c>
      <c r="M641">
        <f>VLOOKUP(A642,[1]timesData!$B:$P,12,FALSE)</f>
        <v>1.7493055555555554</v>
      </c>
      <c r="N641">
        <f>VLOOKUP(A642,[1]timesData!$B:$P,13,FALSE)</f>
        <v>2016</v>
      </c>
      <c r="O641">
        <f>VLOOKUP(A641,[2]cwurData!$B:$P,14,FALSE)</f>
        <v>386</v>
      </c>
      <c r="P641">
        <f>VLOOKUP(A641,[2]cwurData!$B:$N, 3, FALSE)</f>
        <v>18</v>
      </c>
      <c r="Q641">
        <f>VLOOKUP(A641,[2]cwurData!$B:$N, 4, FALSE)</f>
        <v>355</v>
      </c>
      <c r="R641">
        <f>VLOOKUP(A641,[2]cwurData!$B:$N, 5, FALSE)</f>
        <v>478</v>
      </c>
      <c r="S641">
        <f>VLOOKUP(A641,[2]cwurData!$B:$N, 6, FALSE)</f>
        <v>210</v>
      </c>
      <c r="T641">
        <f>VLOOKUP(A641,[2]cwurData!$B:$N, 7, FALSE)</f>
        <v>342</v>
      </c>
      <c r="U641">
        <f>VLOOKUP(A641,[2]cwurData!$B:$N, 8, FALSE)</f>
        <v>315</v>
      </c>
      <c r="V641">
        <f>VLOOKUP(A641,[2]cwurData!$B:$N, 9, FALSE)</f>
        <v>406</v>
      </c>
      <c r="W641">
        <f>VLOOKUP(A641,[2]cwurData!$B:$N, 10, FALSE)</f>
        <v>343</v>
      </c>
      <c r="X641">
        <f>VLOOKUP(A641,[2]cwurData!$B:$N, 11, FALSE)</f>
        <v>204</v>
      </c>
      <c r="Y641">
        <f>VLOOKUP(A641,[2]cwurData!$B:$N, 12, FALSE)</f>
        <v>45.6</v>
      </c>
      <c r="Z641">
        <f>VLOOKUP(A641,[2]cwurData!$B:$N, 13, FALSE)</f>
        <v>2014</v>
      </c>
    </row>
    <row r="642" spans="1:26" x14ac:dyDescent="0.3">
      <c r="A642" t="s">
        <v>675</v>
      </c>
      <c r="B642" t="str">
        <f>IFERROR(VLOOKUP(A642,[1]timesData!$B:$P,2,FALSE),VLOOKUP(A642,[2]cwurData!$B:$P,2,FALSE))</f>
        <v>South Korea</v>
      </c>
      <c r="C642" t="str">
        <f>VLOOKUP(A642,[1]timesData!$B:$P,3,FALSE)</f>
        <v>601-800</v>
      </c>
      <c r="D642" t="str">
        <f>VLOOKUP(A643,[1]timesData!$B:$P,3,FALSE)</f>
        <v>601-800</v>
      </c>
      <c r="E642">
        <f>VLOOKUP(A643,[1]timesData!$B:$P,4,FALSE)</f>
        <v>27.2</v>
      </c>
      <c r="F642">
        <f>VLOOKUP(A643,[1]timesData!$B:$P,5,FALSE)</f>
        <v>14.7</v>
      </c>
      <c r="G642">
        <f>VLOOKUP(A643,[1]timesData!$B:$P,6,FALSE)</f>
        <v>24.5</v>
      </c>
      <c r="H642">
        <f>VLOOKUP(A643,[1]timesData!$B:$P,7,FALSE)</f>
        <v>33.299999999999997</v>
      </c>
      <c r="I642" t="str">
        <f>VLOOKUP(A643,[1]timesData!$B:$P,8,FALSE)</f>
        <v>-</v>
      </c>
      <c r="J642">
        <f>VLOOKUP(A643,[1]timesData!$B:$P,9,FALSE)</f>
        <v>23270</v>
      </c>
      <c r="K642">
        <f>VLOOKUP(A643,[1]timesData!$B:$P,10,FALSE)</f>
        <v>15</v>
      </c>
      <c r="L642">
        <f>VLOOKUP(A643,[1]timesData!$B:$P,11,FALSE)</f>
        <v>0.03</v>
      </c>
      <c r="M642">
        <f>VLOOKUP(A643,[1]timesData!$B:$P,12,FALSE)</f>
        <v>1.9131944444444444</v>
      </c>
      <c r="N642">
        <f>VLOOKUP(A643,[1]timesData!$B:$P,13,FALSE)</f>
        <v>2016</v>
      </c>
      <c r="O642">
        <f>VLOOKUP(A642,[2]cwurData!$B:$P,14,FALSE)</f>
        <v>400</v>
      </c>
      <c r="P642">
        <f>VLOOKUP(A642,[2]cwurData!$B:$N, 3, FALSE)</f>
        <v>12</v>
      </c>
      <c r="Q642">
        <f>VLOOKUP(A642,[2]cwurData!$B:$N, 4, FALSE)</f>
        <v>355</v>
      </c>
      <c r="R642">
        <f>VLOOKUP(A642,[2]cwurData!$B:$N, 5, FALSE)</f>
        <v>478</v>
      </c>
      <c r="S642">
        <f>VLOOKUP(A642,[2]cwurData!$B:$N, 6, FALSE)</f>
        <v>210</v>
      </c>
      <c r="T642">
        <f>VLOOKUP(A642,[2]cwurData!$B:$N, 7, FALSE)</f>
        <v>411</v>
      </c>
      <c r="U642">
        <f>VLOOKUP(A642,[2]cwurData!$B:$N, 8, FALSE)</f>
        <v>652</v>
      </c>
      <c r="V642">
        <f>VLOOKUP(A642,[2]cwurData!$B:$N, 9, FALSE)</f>
        <v>363</v>
      </c>
      <c r="W642">
        <f>VLOOKUP(A642,[2]cwurData!$B:$N, 10, FALSE)</f>
        <v>430</v>
      </c>
      <c r="X642">
        <f>VLOOKUP(A642,[2]cwurData!$B:$N, 11, FALSE)</f>
        <v>115</v>
      </c>
      <c r="Y642">
        <f>VLOOKUP(A642,[2]cwurData!$B:$N, 12, FALSE)</f>
        <v>45.55</v>
      </c>
      <c r="Z642">
        <f>VLOOKUP(A642,[2]cwurData!$B:$N, 13, FALSE)</f>
        <v>2014</v>
      </c>
    </row>
    <row r="643" spans="1:26" x14ac:dyDescent="0.3">
      <c r="A643" t="s">
        <v>673</v>
      </c>
      <c r="B643" t="str">
        <f>IFERROR(VLOOKUP(A643,[1]timesData!$B:$P,2,FALSE),VLOOKUP(A643,[2]cwurData!$B:$P,2,FALSE))</f>
        <v>South Korea</v>
      </c>
      <c r="C643" t="str">
        <f>VLOOKUP(A643,[1]timesData!$B:$P,3,FALSE)</f>
        <v>601-800</v>
      </c>
      <c r="D643" t="str">
        <f>VLOOKUP(A644,[1]timesData!$B:$P,3,FALSE)</f>
        <v>601-800</v>
      </c>
      <c r="E643">
        <f>VLOOKUP(A644,[1]timesData!$B:$P,4,FALSE)</f>
        <v>22.2</v>
      </c>
      <c r="F643">
        <f>VLOOKUP(A644,[1]timesData!$B:$P,5,FALSE)</f>
        <v>11.6</v>
      </c>
      <c r="G643">
        <f>VLOOKUP(A644,[1]timesData!$B:$P,6,FALSE)</f>
        <v>28.1</v>
      </c>
      <c r="H643">
        <f>VLOOKUP(A644,[1]timesData!$B:$P,7,FALSE)</f>
        <v>43.1</v>
      </c>
      <c r="I643" t="str">
        <f>VLOOKUP(A644,[1]timesData!$B:$P,8,FALSE)</f>
        <v>-</v>
      </c>
      <c r="J643">
        <f>VLOOKUP(A644,[1]timesData!$B:$P,9,FALSE)</f>
        <v>10226</v>
      </c>
      <c r="K643">
        <f>VLOOKUP(A644,[1]timesData!$B:$P,10,FALSE)</f>
        <v>7.6</v>
      </c>
      <c r="L643">
        <f>VLOOKUP(A644,[1]timesData!$B:$P,11,FALSE)</f>
        <v>0.05</v>
      </c>
      <c r="M643" t="str">
        <f>VLOOKUP(A644,[1]timesData!$B:$P,12,FALSE)</f>
        <v>37 : 63</v>
      </c>
      <c r="N643">
        <f>VLOOKUP(A644,[1]timesData!$B:$P,13,FALSE)</f>
        <v>2016</v>
      </c>
      <c r="O643">
        <f>VLOOKUP(A643,[2]cwurData!$B:$P,14,FALSE)</f>
        <v>406</v>
      </c>
      <c r="P643">
        <f>VLOOKUP(A643,[2]cwurData!$B:$N, 3, FALSE)</f>
        <v>13</v>
      </c>
      <c r="Q643">
        <f>VLOOKUP(A643,[2]cwurData!$B:$N, 4, FALSE)</f>
        <v>355</v>
      </c>
      <c r="R643">
        <f>VLOOKUP(A643,[2]cwurData!$B:$N, 5, FALSE)</f>
        <v>478</v>
      </c>
      <c r="S643">
        <f>VLOOKUP(A643,[2]cwurData!$B:$N, 6, FALSE)</f>
        <v>210</v>
      </c>
      <c r="T643">
        <f>VLOOKUP(A643,[2]cwurData!$B:$N, 7, FALSE)</f>
        <v>512</v>
      </c>
      <c r="U643">
        <f>VLOOKUP(A643,[2]cwurData!$B:$N, 8, FALSE)</f>
        <v>741</v>
      </c>
      <c r="V643">
        <f>VLOOKUP(A643,[2]cwurData!$B:$N, 9, FALSE)</f>
        <v>800</v>
      </c>
      <c r="W643">
        <f>VLOOKUP(A643,[2]cwurData!$B:$N, 10, FALSE)</f>
        <v>618</v>
      </c>
      <c r="X643">
        <f>VLOOKUP(A643,[2]cwurData!$B:$N, 11, FALSE)</f>
        <v>78</v>
      </c>
      <c r="Y643">
        <f>VLOOKUP(A643,[2]cwurData!$B:$N, 12, FALSE)</f>
        <v>45.51</v>
      </c>
      <c r="Z643">
        <f>VLOOKUP(A643,[2]cwurData!$B:$N, 13, FALSE)</f>
        <v>2014</v>
      </c>
    </row>
    <row r="644" spans="1:26" x14ac:dyDescent="0.3">
      <c r="A644" t="s">
        <v>723</v>
      </c>
      <c r="B644" t="str">
        <f>IFERROR(VLOOKUP(A644,[1]timesData!$B:$P,2,FALSE),VLOOKUP(A644,[2]cwurData!$B:$P,2,FALSE))</f>
        <v>Japan</v>
      </c>
      <c r="C644" t="str">
        <f>VLOOKUP(A644,[1]timesData!$B:$P,3,FALSE)</f>
        <v>601-800</v>
      </c>
      <c r="D644" t="str">
        <f>VLOOKUP(A645,[1]timesData!$B:$P,3,FALSE)</f>
        <v>601-800</v>
      </c>
      <c r="E644">
        <f>VLOOKUP(A645,[1]timesData!$B:$P,4,FALSE)</f>
        <v>15.4</v>
      </c>
      <c r="F644">
        <f>VLOOKUP(A645,[1]timesData!$B:$P,5,FALSE)</f>
        <v>24.1</v>
      </c>
      <c r="G644">
        <f>VLOOKUP(A645,[1]timesData!$B:$P,6,FALSE)</f>
        <v>21.4</v>
      </c>
      <c r="H644">
        <f>VLOOKUP(A645,[1]timesData!$B:$P,7,FALSE)</f>
        <v>37.6</v>
      </c>
      <c r="I644" t="str">
        <f>VLOOKUP(A645,[1]timesData!$B:$P,8,FALSE)</f>
        <v>-</v>
      </c>
      <c r="J644">
        <f>VLOOKUP(A645,[1]timesData!$B:$P,9,FALSE)</f>
        <v>20243</v>
      </c>
      <c r="K644">
        <f>VLOOKUP(A645,[1]timesData!$B:$P,10,FALSE)</f>
        <v>25.7</v>
      </c>
      <c r="L644">
        <f>VLOOKUP(A645,[1]timesData!$B:$P,11,FALSE)</f>
        <v>0.02</v>
      </c>
      <c r="M644">
        <f>VLOOKUP(A645,[1]timesData!$B:$P,12,FALSE)</f>
        <v>0.88888888888888884</v>
      </c>
      <c r="N644">
        <f>VLOOKUP(A645,[1]timesData!$B:$P,13,FALSE)</f>
        <v>2016</v>
      </c>
      <c r="O644">
        <f>VLOOKUP(A644,[2]cwurData!$B:$P,14,FALSE)</f>
        <v>407</v>
      </c>
      <c r="P644">
        <f>VLOOKUP(A644,[2]cwurData!$B:$N, 3, FALSE)</f>
        <v>19</v>
      </c>
      <c r="Q644">
        <f>VLOOKUP(A644,[2]cwurData!$B:$N, 4, FALSE)</f>
        <v>279</v>
      </c>
      <c r="R644">
        <f>VLOOKUP(A644,[2]cwurData!$B:$N, 5, FALSE)</f>
        <v>325</v>
      </c>
      <c r="S644">
        <f>VLOOKUP(A644,[2]cwurData!$B:$N, 6, FALSE)</f>
        <v>210</v>
      </c>
      <c r="T644">
        <f>VLOOKUP(A644,[2]cwurData!$B:$N, 7, FALSE)</f>
        <v>473</v>
      </c>
      <c r="U644">
        <f>VLOOKUP(A644,[2]cwurData!$B:$N, 8, FALSE)</f>
        <v>400</v>
      </c>
      <c r="V644">
        <f>VLOOKUP(A644,[2]cwurData!$B:$N, 9, FALSE)</f>
        <v>493</v>
      </c>
      <c r="W644">
        <f>VLOOKUP(A644,[2]cwurData!$B:$N, 10, FALSE)</f>
        <v>380</v>
      </c>
      <c r="X644">
        <f>VLOOKUP(A644,[2]cwurData!$B:$N, 11, FALSE)</f>
        <v>170</v>
      </c>
      <c r="Y644">
        <f>VLOOKUP(A644,[2]cwurData!$B:$N, 12, FALSE)</f>
        <v>45.51</v>
      </c>
      <c r="Z644">
        <f>VLOOKUP(A644,[2]cwurData!$B:$N, 13, FALSE)</f>
        <v>2014</v>
      </c>
    </row>
    <row r="645" spans="1:26" x14ac:dyDescent="0.3">
      <c r="A645" t="s">
        <v>798</v>
      </c>
      <c r="B645" t="str">
        <f>IFERROR(VLOOKUP(A645,[1]timesData!$B:$P,2,FALSE),VLOOKUP(A645,[2]cwurData!$B:$P,2,FALSE))</f>
        <v>Japan</v>
      </c>
      <c r="C645" t="str">
        <f>VLOOKUP(A645,[1]timesData!$B:$P,3,FALSE)</f>
        <v>601-800</v>
      </c>
      <c r="D645" t="str">
        <f>VLOOKUP(A646,[1]timesData!$B:$P,3,FALSE)</f>
        <v>601-800</v>
      </c>
      <c r="E645">
        <f>VLOOKUP(A646,[1]timesData!$B:$P,4,FALSE)</f>
        <v>39.5</v>
      </c>
      <c r="F645">
        <f>VLOOKUP(A646,[1]timesData!$B:$P,5,FALSE)</f>
        <v>14.6</v>
      </c>
      <c r="G645">
        <f>VLOOKUP(A646,[1]timesData!$B:$P,6,FALSE)</f>
        <v>24.5</v>
      </c>
      <c r="H645">
        <f>VLOOKUP(A646,[1]timesData!$B:$P,7,FALSE)</f>
        <v>38.299999999999997</v>
      </c>
      <c r="I645" t="str">
        <f>VLOOKUP(A646,[1]timesData!$B:$P,8,FALSE)</f>
        <v>-</v>
      </c>
      <c r="J645">
        <f>VLOOKUP(A646,[1]timesData!$B:$P,9,FALSE)</f>
        <v>41500</v>
      </c>
      <c r="K645">
        <f>VLOOKUP(A646,[1]timesData!$B:$P,10,FALSE)</f>
        <v>13.8</v>
      </c>
      <c r="L645">
        <f>VLOOKUP(A646,[1]timesData!$B:$P,11,FALSE)</f>
        <v>0.11</v>
      </c>
      <c r="M645" t="str">
        <f>VLOOKUP(A646,[1]timesData!$B:$P,12,FALSE)</f>
        <v>32 : 68</v>
      </c>
      <c r="N645">
        <f>VLOOKUP(A646,[1]timesData!$B:$P,13,FALSE)</f>
        <v>2016</v>
      </c>
      <c r="O645">
        <f>VLOOKUP(A645,[2]cwurData!$B:$P,14,FALSE)</f>
        <v>413</v>
      </c>
      <c r="P645">
        <f>VLOOKUP(A645,[2]cwurData!$B:$N, 3, FALSE)</f>
        <v>20</v>
      </c>
      <c r="Q645">
        <f>VLOOKUP(A645,[2]cwurData!$B:$N, 4, FALSE)</f>
        <v>355</v>
      </c>
      <c r="R645">
        <f>VLOOKUP(A645,[2]cwurData!$B:$N, 5, FALSE)</f>
        <v>478</v>
      </c>
      <c r="S645">
        <f>VLOOKUP(A645,[2]cwurData!$B:$N, 6, FALSE)</f>
        <v>210</v>
      </c>
      <c r="T645">
        <f>VLOOKUP(A645,[2]cwurData!$B:$N, 7, FALSE)</f>
        <v>504</v>
      </c>
      <c r="U645">
        <f>VLOOKUP(A645,[2]cwurData!$B:$N, 8, FALSE)</f>
        <v>516</v>
      </c>
      <c r="V645">
        <f>VLOOKUP(A645,[2]cwurData!$B:$N, 9, FALSE)</f>
        <v>406</v>
      </c>
      <c r="W645">
        <f>VLOOKUP(A645,[2]cwurData!$B:$N, 10, FALSE)</f>
        <v>402</v>
      </c>
      <c r="X645">
        <f>VLOOKUP(A645,[2]cwurData!$B:$N, 11, FALSE)</f>
        <v>128</v>
      </c>
      <c r="Y645">
        <f>VLOOKUP(A645,[2]cwurData!$B:$N, 12, FALSE)</f>
        <v>45.48</v>
      </c>
      <c r="Z645">
        <f>VLOOKUP(A645,[2]cwurData!$B:$N, 13, FALSE)</f>
        <v>2014</v>
      </c>
    </row>
    <row r="646" spans="1:26" x14ac:dyDescent="0.3">
      <c r="A646" t="s">
        <v>791</v>
      </c>
      <c r="B646" t="str">
        <f>IFERROR(VLOOKUP(A646,[1]timesData!$B:$P,2,FALSE),VLOOKUP(A646,[2]cwurData!$B:$P,2,FALSE))</f>
        <v>Spain</v>
      </c>
      <c r="C646" t="str">
        <f>VLOOKUP(A646,[1]timesData!$B:$P,3,FALSE)</f>
        <v>601-800</v>
      </c>
      <c r="D646" t="str">
        <f>VLOOKUP(A647,[1]timesData!$B:$P,3,FALSE)</f>
        <v>601-800</v>
      </c>
      <c r="E646">
        <f>VLOOKUP(A647,[1]timesData!$B:$P,4,FALSE)</f>
        <v>21.9</v>
      </c>
      <c r="F646">
        <f>VLOOKUP(A647,[1]timesData!$B:$P,5,FALSE)</f>
        <v>10.8</v>
      </c>
      <c r="G646">
        <f>VLOOKUP(A647,[1]timesData!$B:$P,6,FALSE)</f>
        <v>14.3</v>
      </c>
      <c r="H646" t="str">
        <f>VLOOKUP(A647,[1]timesData!$B:$P,7,FALSE)</f>
        <v>-</v>
      </c>
      <c r="I646" t="str">
        <f>VLOOKUP(A647,[1]timesData!$B:$P,8,FALSE)</f>
        <v>-</v>
      </c>
      <c r="J646">
        <f>VLOOKUP(A647,[1]timesData!$B:$P,9,FALSE)</f>
        <v>9137</v>
      </c>
      <c r="K646">
        <f>VLOOKUP(A647,[1]timesData!$B:$P,10,FALSE)</f>
        <v>7.2</v>
      </c>
      <c r="L646">
        <f>VLOOKUP(A647,[1]timesData!$B:$P,11,FALSE)</f>
        <v>0.04</v>
      </c>
      <c r="M646" t="str">
        <f>VLOOKUP(A647,[1]timesData!$B:$P,12,FALSE)</f>
        <v>36 : 64</v>
      </c>
      <c r="N646">
        <f>VLOOKUP(A647,[1]timesData!$B:$P,13,FALSE)</f>
        <v>2016</v>
      </c>
      <c r="O646">
        <f>VLOOKUP(A646,[2]cwurData!$B:$P,14,FALSE)</f>
        <v>416</v>
      </c>
      <c r="P646">
        <f>VLOOKUP(A646,[2]cwurData!$B:$N, 3, FALSE)</f>
        <v>10</v>
      </c>
      <c r="Q646">
        <f>VLOOKUP(A646,[2]cwurData!$B:$N, 4, FALSE)</f>
        <v>206</v>
      </c>
      <c r="R646">
        <f>VLOOKUP(A646,[2]cwurData!$B:$N, 5, FALSE)</f>
        <v>200</v>
      </c>
      <c r="S646">
        <f>VLOOKUP(A646,[2]cwurData!$B:$N, 6, FALSE)</f>
        <v>210</v>
      </c>
      <c r="T646">
        <f>VLOOKUP(A646,[2]cwurData!$B:$N, 7, FALSE)</f>
        <v>478</v>
      </c>
      <c r="U646">
        <f>VLOOKUP(A646,[2]cwurData!$B:$N, 8, FALSE)</f>
        <v>672</v>
      </c>
      <c r="V646">
        <f>VLOOKUP(A646,[2]cwurData!$B:$N, 9, FALSE)</f>
        <v>609</v>
      </c>
      <c r="W646">
        <f>VLOOKUP(A646,[2]cwurData!$B:$N, 10, FALSE)</f>
        <v>749</v>
      </c>
      <c r="X646">
        <f>VLOOKUP(A646,[2]cwurData!$B:$N, 11, FALSE)</f>
        <v>109</v>
      </c>
      <c r="Y646">
        <f>VLOOKUP(A646,[2]cwurData!$B:$N, 12, FALSE)</f>
        <v>45.47</v>
      </c>
      <c r="Z646">
        <f>VLOOKUP(A646,[2]cwurData!$B:$N, 13, FALSE)</f>
        <v>2014</v>
      </c>
    </row>
    <row r="647" spans="1:26" x14ac:dyDescent="0.3">
      <c r="A647" t="s">
        <v>734</v>
      </c>
      <c r="B647" t="str">
        <f>IFERROR(VLOOKUP(A647,[1]timesData!$B:$P,2,FALSE),VLOOKUP(A647,[2]cwurData!$B:$P,2,FALSE))</f>
        <v>Japan</v>
      </c>
      <c r="C647" t="str">
        <f>VLOOKUP(A647,[1]timesData!$B:$P,3,FALSE)</f>
        <v>601-800</v>
      </c>
      <c r="D647" t="str">
        <f>VLOOKUP(A648,[1]timesData!$B:$P,3,FALSE)</f>
        <v>601-800</v>
      </c>
      <c r="E647">
        <f>VLOOKUP(A648,[1]timesData!$B:$P,4,FALSE)</f>
        <v>19.3</v>
      </c>
      <c r="F647">
        <f>VLOOKUP(A648,[1]timesData!$B:$P,5,FALSE)</f>
        <v>10.1</v>
      </c>
      <c r="G647">
        <f>VLOOKUP(A648,[1]timesData!$B:$P,6,FALSE)</f>
        <v>17.5</v>
      </c>
      <c r="H647">
        <f>VLOOKUP(A648,[1]timesData!$B:$P,7,FALSE)</f>
        <v>33</v>
      </c>
      <c r="I647" t="str">
        <f>VLOOKUP(A648,[1]timesData!$B:$P,8,FALSE)</f>
        <v>-</v>
      </c>
      <c r="J647">
        <f>VLOOKUP(A648,[1]timesData!$B:$P,9,FALSE)</f>
        <v>12460</v>
      </c>
      <c r="K647">
        <f>VLOOKUP(A648,[1]timesData!$B:$P,10,FALSE)</f>
        <v>8.5</v>
      </c>
      <c r="L647">
        <f>VLOOKUP(A648,[1]timesData!$B:$P,11,FALSE)</f>
        <v>0.03</v>
      </c>
      <c r="M647" t="str">
        <f>VLOOKUP(A648,[1]timesData!$B:$P,12,FALSE)</f>
        <v>37 : 63</v>
      </c>
      <c r="N647">
        <f>VLOOKUP(A648,[1]timesData!$B:$P,13,FALSE)</f>
        <v>2016</v>
      </c>
      <c r="O647">
        <f>VLOOKUP(A647,[2]cwurData!$B:$P,14,FALSE)</f>
        <v>417</v>
      </c>
      <c r="P647">
        <f>VLOOKUP(A647,[2]cwurData!$B:$N, 3, FALSE)</f>
        <v>21</v>
      </c>
      <c r="Q647">
        <f>VLOOKUP(A647,[2]cwurData!$B:$N, 4, FALSE)</f>
        <v>274</v>
      </c>
      <c r="R647">
        <f>VLOOKUP(A647,[2]cwurData!$B:$N, 5, FALSE)</f>
        <v>128</v>
      </c>
      <c r="S647">
        <f>VLOOKUP(A647,[2]cwurData!$B:$N, 6, FALSE)</f>
        <v>210</v>
      </c>
      <c r="T647">
        <f>VLOOKUP(A647,[2]cwurData!$B:$N, 7, FALSE)</f>
        <v>567</v>
      </c>
      <c r="U647">
        <f>VLOOKUP(A647,[2]cwurData!$B:$N, 8, FALSE)</f>
        <v>579</v>
      </c>
      <c r="V647">
        <f>VLOOKUP(A647,[2]cwurData!$B:$N, 9, FALSE)</f>
        <v>493</v>
      </c>
      <c r="W647">
        <f>VLOOKUP(A647,[2]cwurData!$B:$N, 10, FALSE)</f>
        <v>514</v>
      </c>
      <c r="X647">
        <f>VLOOKUP(A647,[2]cwurData!$B:$N, 11, FALSE)</f>
        <v>307</v>
      </c>
      <c r="Y647">
        <f>VLOOKUP(A647,[2]cwurData!$B:$N, 12, FALSE)</f>
        <v>45.46</v>
      </c>
      <c r="Z647">
        <f>VLOOKUP(A647,[2]cwurData!$B:$N, 13, FALSE)</f>
        <v>2014</v>
      </c>
    </row>
    <row r="648" spans="1:26" x14ac:dyDescent="0.3">
      <c r="A648" t="s">
        <v>743</v>
      </c>
      <c r="B648" t="str">
        <f>IFERROR(VLOOKUP(A648,[1]timesData!$B:$P,2,FALSE),VLOOKUP(A648,[2]cwurData!$B:$P,2,FALSE))</f>
        <v>Japan</v>
      </c>
      <c r="C648" t="str">
        <f>VLOOKUP(A648,[1]timesData!$B:$P,3,FALSE)</f>
        <v>601-800</v>
      </c>
      <c r="D648" t="str">
        <f>VLOOKUP(A649,[1]timesData!$B:$P,3,FALSE)</f>
        <v>601-800</v>
      </c>
      <c r="E648">
        <f>VLOOKUP(A649,[1]timesData!$B:$P,4,FALSE)</f>
        <v>27.7</v>
      </c>
      <c r="F648">
        <f>VLOOKUP(A649,[1]timesData!$B:$P,5,FALSE)</f>
        <v>24.8</v>
      </c>
      <c r="G648">
        <f>VLOOKUP(A649,[1]timesData!$B:$P,6,FALSE)</f>
        <v>20.5</v>
      </c>
      <c r="H648">
        <f>VLOOKUP(A649,[1]timesData!$B:$P,7,FALSE)</f>
        <v>46.8</v>
      </c>
      <c r="I648" t="str">
        <f>VLOOKUP(A649,[1]timesData!$B:$P,8,FALSE)</f>
        <v>-</v>
      </c>
      <c r="J648">
        <f>VLOOKUP(A649,[1]timesData!$B:$P,9,FALSE)</f>
        <v>10625</v>
      </c>
      <c r="K648">
        <f>VLOOKUP(A649,[1]timesData!$B:$P,10,FALSE)</f>
        <v>24.1</v>
      </c>
      <c r="L648">
        <f>VLOOKUP(A649,[1]timesData!$B:$P,11,FALSE)</f>
        <v>7.0000000000000007E-2</v>
      </c>
      <c r="M648">
        <f>VLOOKUP(A649,[1]timesData!$B:$P,12,FALSE)</f>
        <v>1.83125</v>
      </c>
      <c r="N648">
        <f>VLOOKUP(A649,[1]timesData!$B:$P,13,FALSE)</f>
        <v>2016</v>
      </c>
      <c r="O648">
        <f>VLOOKUP(A648,[2]cwurData!$B:$P,14,FALSE)</f>
        <v>424</v>
      </c>
      <c r="P648">
        <f>VLOOKUP(A648,[2]cwurData!$B:$N, 3, FALSE)</f>
        <v>22</v>
      </c>
      <c r="Q648">
        <f>VLOOKUP(A648,[2]cwurData!$B:$N, 4, FALSE)</f>
        <v>355</v>
      </c>
      <c r="R648">
        <f>VLOOKUP(A648,[2]cwurData!$B:$N, 5, FALSE)</f>
        <v>217</v>
      </c>
      <c r="S648">
        <f>VLOOKUP(A648,[2]cwurData!$B:$N, 6, FALSE)</f>
        <v>210</v>
      </c>
      <c r="T648">
        <f>VLOOKUP(A648,[2]cwurData!$B:$N, 7, FALSE)</f>
        <v>503</v>
      </c>
      <c r="U648">
        <f>VLOOKUP(A648,[2]cwurData!$B:$N, 8, FALSE)</f>
        <v>506</v>
      </c>
      <c r="V648">
        <f>VLOOKUP(A648,[2]cwurData!$B:$N, 9, FALSE)</f>
        <v>363</v>
      </c>
      <c r="W648">
        <f>VLOOKUP(A648,[2]cwurData!$B:$N, 10, FALSE)</f>
        <v>420</v>
      </c>
      <c r="X648">
        <f>VLOOKUP(A648,[2]cwurData!$B:$N, 11, FALSE)</f>
        <v>204</v>
      </c>
      <c r="Y648">
        <f>VLOOKUP(A648,[2]cwurData!$B:$N, 12, FALSE)</f>
        <v>45.43</v>
      </c>
      <c r="Z648">
        <f>VLOOKUP(A648,[2]cwurData!$B:$N, 13, FALSE)</f>
        <v>2014</v>
      </c>
    </row>
    <row r="649" spans="1:26" x14ac:dyDescent="0.3">
      <c r="A649" t="s">
        <v>779</v>
      </c>
      <c r="B649" t="str">
        <f>IFERROR(VLOOKUP(A649,[1]timesData!$B:$P,2,FALSE),VLOOKUP(A649,[2]cwurData!$B:$P,2,FALSE))</f>
        <v>South Korea</v>
      </c>
      <c r="C649" t="str">
        <f>VLOOKUP(A649,[1]timesData!$B:$P,3,FALSE)</f>
        <v>601-800</v>
      </c>
      <c r="D649" t="str">
        <f>VLOOKUP(A650,[1]timesData!$B:$P,3,FALSE)</f>
        <v>601-800</v>
      </c>
      <c r="E649">
        <f>VLOOKUP(A650,[1]timesData!$B:$P,4,FALSE)</f>
        <v>20.3</v>
      </c>
      <c r="F649">
        <f>VLOOKUP(A650,[1]timesData!$B:$P,5,FALSE)</f>
        <v>14.4</v>
      </c>
      <c r="G649">
        <f>VLOOKUP(A650,[1]timesData!$B:$P,6,FALSE)</f>
        <v>14.6</v>
      </c>
      <c r="H649">
        <f>VLOOKUP(A650,[1]timesData!$B:$P,7,FALSE)</f>
        <v>42.1</v>
      </c>
      <c r="I649" t="str">
        <f>VLOOKUP(A650,[1]timesData!$B:$P,8,FALSE)</f>
        <v>-</v>
      </c>
      <c r="J649">
        <f>VLOOKUP(A650,[1]timesData!$B:$P,9,FALSE)</f>
        <v>65605</v>
      </c>
      <c r="K649">
        <f>VLOOKUP(A650,[1]timesData!$B:$P,10,FALSE)</f>
        <v>13.6</v>
      </c>
      <c r="L649">
        <f>VLOOKUP(A650,[1]timesData!$B:$P,11,FALSE)</f>
        <v>0.03</v>
      </c>
      <c r="M649">
        <f>VLOOKUP(A650,[1]timesData!$B:$P,12,FALSE)</f>
        <v>1.9541666666666666</v>
      </c>
      <c r="N649">
        <f>VLOOKUP(A650,[1]timesData!$B:$P,13,FALSE)</f>
        <v>2016</v>
      </c>
      <c r="O649">
        <f>VLOOKUP(A649,[2]cwurData!$B:$P,14,FALSE)</f>
        <v>428</v>
      </c>
      <c r="P649">
        <f>VLOOKUP(A649,[2]cwurData!$B:$N, 3, FALSE)</f>
        <v>14</v>
      </c>
      <c r="Q649">
        <f>VLOOKUP(A649,[2]cwurData!$B:$N, 4, FALSE)</f>
        <v>355</v>
      </c>
      <c r="R649">
        <f>VLOOKUP(A649,[2]cwurData!$B:$N, 5, FALSE)</f>
        <v>478</v>
      </c>
      <c r="S649">
        <f>VLOOKUP(A649,[2]cwurData!$B:$N, 6, FALSE)</f>
        <v>210</v>
      </c>
      <c r="T649">
        <f>VLOOKUP(A649,[2]cwurData!$B:$N, 7, FALSE)</f>
        <v>781</v>
      </c>
      <c r="U649">
        <f>VLOOKUP(A649,[2]cwurData!$B:$N, 8, FALSE)</f>
        <v>792</v>
      </c>
      <c r="V649">
        <f>VLOOKUP(A649,[2]cwurData!$B:$N, 9, FALSE)</f>
        <v>800</v>
      </c>
      <c r="W649">
        <f>VLOOKUP(A649,[2]cwurData!$B:$N, 10, FALSE)</f>
        <v>889</v>
      </c>
      <c r="X649">
        <f>VLOOKUP(A649,[2]cwurData!$B:$N, 11, FALSE)</f>
        <v>68</v>
      </c>
      <c r="Y649">
        <f>VLOOKUP(A649,[2]cwurData!$B:$N, 12, FALSE)</f>
        <v>45.43</v>
      </c>
      <c r="Z649">
        <f>VLOOKUP(A649,[2]cwurData!$B:$N, 13, FALSE)</f>
        <v>2014</v>
      </c>
    </row>
    <row r="650" spans="1:26" x14ac:dyDescent="0.3">
      <c r="A650" t="s">
        <v>713</v>
      </c>
      <c r="B650" t="str">
        <f>IFERROR(VLOOKUP(A650,[1]timesData!$B:$P,2,FALSE),VLOOKUP(A650,[2]cwurData!$B:$P,2,FALSE))</f>
        <v>China</v>
      </c>
      <c r="C650" t="str">
        <f>VLOOKUP(A650,[1]timesData!$B:$P,3,FALSE)</f>
        <v>601-800</v>
      </c>
      <c r="D650" t="str">
        <f>VLOOKUP(A651,[1]timesData!$B:$P,3,FALSE)</f>
        <v>601-800</v>
      </c>
      <c r="E650">
        <f>VLOOKUP(A651,[1]timesData!$B:$P,4,FALSE)</f>
        <v>15.4</v>
      </c>
      <c r="F650">
        <f>VLOOKUP(A651,[1]timesData!$B:$P,5,FALSE)</f>
        <v>10.8</v>
      </c>
      <c r="G650">
        <f>VLOOKUP(A651,[1]timesData!$B:$P,6,FALSE)</f>
        <v>19.100000000000001</v>
      </c>
      <c r="H650">
        <f>VLOOKUP(A651,[1]timesData!$B:$P,7,FALSE)</f>
        <v>28.2</v>
      </c>
      <c r="I650" t="str">
        <f>VLOOKUP(A651,[1]timesData!$B:$P,8,FALSE)</f>
        <v>-</v>
      </c>
      <c r="J650">
        <f>VLOOKUP(A651,[1]timesData!$B:$P,9,FALSE)</f>
        <v>32567</v>
      </c>
      <c r="K650">
        <f>VLOOKUP(A651,[1]timesData!$B:$P,10,FALSE)</f>
        <v>22.9</v>
      </c>
      <c r="L650">
        <f>VLOOKUP(A651,[1]timesData!$B:$P,11,FALSE)</f>
        <v>0.01</v>
      </c>
      <c r="M650">
        <f>VLOOKUP(A651,[1]timesData!$B:$P,12,FALSE)</f>
        <v>2.1180555555555554</v>
      </c>
      <c r="N650">
        <f>VLOOKUP(A651,[1]timesData!$B:$P,13,FALSE)</f>
        <v>2016</v>
      </c>
      <c r="O650">
        <f>VLOOKUP(A650,[2]cwurData!$B:$P,14,FALSE)</f>
        <v>435</v>
      </c>
      <c r="P650">
        <f>VLOOKUP(A650,[2]cwurData!$B:$N, 3, FALSE)</f>
        <v>18</v>
      </c>
      <c r="Q650">
        <f>VLOOKUP(A650,[2]cwurData!$B:$N, 4, FALSE)</f>
        <v>224</v>
      </c>
      <c r="R650">
        <f>VLOOKUP(A650,[2]cwurData!$B:$N, 5, FALSE)</f>
        <v>469</v>
      </c>
      <c r="S650">
        <f>VLOOKUP(A650,[2]cwurData!$B:$N, 6, FALSE)</f>
        <v>210</v>
      </c>
      <c r="T650">
        <f>VLOOKUP(A650,[2]cwurData!$B:$N, 7, FALSE)</f>
        <v>270</v>
      </c>
      <c r="U650">
        <f>VLOOKUP(A650,[2]cwurData!$B:$N, 8, FALSE)</f>
        <v>467</v>
      </c>
      <c r="V650">
        <f>VLOOKUP(A650,[2]cwurData!$B:$N, 9, FALSE)</f>
        <v>493</v>
      </c>
      <c r="W650">
        <f>VLOOKUP(A650,[2]cwurData!$B:$N, 10, FALSE)</f>
        <v>395</v>
      </c>
      <c r="X650">
        <f>VLOOKUP(A650,[2]cwurData!$B:$N, 11, FALSE)</f>
        <v>373</v>
      </c>
      <c r="Y650">
        <f>VLOOKUP(A650,[2]cwurData!$B:$N, 12, FALSE)</f>
        <v>45.4</v>
      </c>
      <c r="Z650">
        <f>VLOOKUP(A650,[2]cwurData!$B:$N, 13, FALSE)</f>
        <v>2014</v>
      </c>
    </row>
    <row r="651" spans="1:26" x14ac:dyDescent="0.3">
      <c r="A651" t="s">
        <v>683</v>
      </c>
      <c r="B651" t="str">
        <f>IFERROR(VLOOKUP(A651,[1]timesData!$B:$P,2,FALSE),VLOOKUP(A651,[2]cwurData!$B:$P,2,FALSE))</f>
        <v>India</v>
      </c>
      <c r="C651" t="str">
        <f>VLOOKUP(A651,[1]timesData!$B:$P,3,FALSE)</f>
        <v>601-800</v>
      </c>
      <c r="D651" t="str">
        <f>VLOOKUP(A652,[1]timesData!$B:$P,3,FALSE)</f>
        <v>601-800</v>
      </c>
      <c r="E651">
        <f>VLOOKUP(A652,[1]timesData!$B:$P,4,FALSE)</f>
        <v>24.8</v>
      </c>
      <c r="F651">
        <f>VLOOKUP(A652,[1]timesData!$B:$P,5,FALSE)</f>
        <v>15.7</v>
      </c>
      <c r="G651">
        <f>VLOOKUP(A652,[1]timesData!$B:$P,6,FALSE)</f>
        <v>36.1</v>
      </c>
      <c r="H651">
        <f>VLOOKUP(A652,[1]timesData!$B:$P,7,FALSE)</f>
        <v>30.2</v>
      </c>
      <c r="I651" t="str">
        <f>VLOOKUP(A652,[1]timesData!$B:$P,8,FALSE)</f>
        <v>-</v>
      </c>
      <c r="J651">
        <f>VLOOKUP(A652,[1]timesData!$B:$P,9,FALSE)</f>
        <v>16370</v>
      </c>
      <c r="K651">
        <f>VLOOKUP(A652,[1]timesData!$B:$P,10,FALSE)</f>
        <v>20.5</v>
      </c>
      <c r="L651">
        <f>VLOOKUP(A652,[1]timesData!$B:$P,11,FALSE)</f>
        <v>7.0000000000000007E-2</v>
      </c>
      <c r="M651">
        <f>VLOOKUP(A652,[1]timesData!$B:$P,12,FALSE)</f>
        <v>2.2409722222222221</v>
      </c>
      <c r="N651">
        <f>VLOOKUP(A652,[1]timesData!$B:$P,13,FALSE)</f>
        <v>2016</v>
      </c>
      <c r="O651">
        <f>VLOOKUP(A651,[2]cwurData!$B:$P,14,FALSE)</f>
        <v>436</v>
      </c>
      <c r="P651">
        <f>VLOOKUP(A651,[2]cwurData!$B:$N, 3, FALSE)</f>
        <v>2</v>
      </c>
      <c r="Q651">
        <f>VLOOKUP(A651,[2]cwurData!$B:$N, 4, FALSE)</f>
        <v>263</v>
      </c>
      <c r="R651">
        <f>VLOOKUP(A651,[2]cwurData!$B:$N, 5, FALSE)</f>
        <v>88</v>
      </c>
      <c r="S651">
        <f>VLOOKUP(A651,[2]cwurData!$B:$N, 6, FALSE)</f>
        <v>210</v>
      </c>
      <c r="T651">
        <f>VLOOKUP(A651,[2]cwurData!$B:$N, 7, FALSE)</f>
        <v>701</v>
      </c>
      <c r="U651">
        <f>VLOOKUP(A651,[2]cwurData!$B:$N, 8, FALSE)</f>
        <v>732</v>
      </c>
      <c r="V651">
        <f>VLOOKUP(A651,[2]cwurData!$B:$N, 9, FALSE)</f>
        <v>800</v>
      </c>
      <c r="W651">
        <f>VLOOKUP(A651,[2]cwurData!$B:$N, 10, FALSE)</f>
        <v>769</v>
      </c>
      <c r="X651">
        <f>VLOOKUP(A651,[2]cwurData!$B:$N, 11, FALSE)</f>
        <v>637</v>
      </c>
      <c r="Y651">
        <f>VLOOKUP(A651,[2]cwurData!$B:$N, 12, FALSE)</f>
        <v>45.4</v>
      </c>
      <c r="Z651">
        <f>VLOOKUP(A651,[2]cwurData!$B:$N, 13, FALSE)</f>
        <v>2014</v>
      </c>
    </row>
    <row r="652" spans="1:26" x14ac:dyDescent="0.3">
      <c r="A652" t="s">
        <v>730</v>
      </c>
      <c r="B652" t="str">
        <f>IFERROR(VLOOKUP(A652,[1]timesData!$B:$P,2,FALSE),VLOOKUP(A652,[2]cwurData!$B:$P,2,FALSE))</f>
        <v>United States of America</v>
      </c>
      <c r="C652" t="str">
        <f>VLOOKUP(A652,[1]timesData!$B:$P,3,FALSE)</f>
        <v>601-800</v>
      </c>
      <c r="D652" t="str">
        <f>VLOOKUP(A653,[1]timesData!$B:$P,3,FALSE)</f>
        <v>601-800</v>
      </c>
      <c r="E652">
        <f>VLOOKUP(A653,[1]timesData!$B:$P,4,FALSE)</f>
        <v>20</v>
      </c>
      <c r="F652">
        <f>VLOOKUP(A653,[1]timesData!$B:$P,5,FALSE)</f>
        <v>11.9</v>
      </c>
      <c r="G652">
        <f>VLOOKUP(A653,[1]timesData!$B:$P,6,FALSE)</f>
        <v>23.9</v>
      </c>
      <c r="H652">
        <f>VLOOKUP(A653,[1]timesData!$B:$P,7,FALSE)</f>
        <v>45.7</v>
      </c>
      <c r="I652" t="str">
        <f>VLOOKUP(A653,[1]timesData!$B:$P,8,FALSE)</f>
        <v>-</v>
      </c>
      <c r="J652">
        <f>VLOOKUP(A653,[1]timesData!$B:$P,9,FALSE)</f>
        <v>12706</v>
      </c>
      <c r="K652">
        <f>VLOOKUP(A653,[1]timesData!$B:$P,10,FALSE)</f>
        <v>11.3</v>
      </c>
      <c r="L652">
        <f>VLOOKUP(A653,[1]timesData!$B:$P,11,FALSE)</f>
        <v>0.02</v>
      </c>
      <c r="M652" t="str">
        <f>VLOOKUP(A653,[1]timesData!$B:$P,12,FALSE)</f>
        <v>33 : 67</v>
      </c>
      <c r="N652">
        <f>VLOOKUP(A653,[1]timesData!$B:$P,13,FALSE)</f>
        <v>2016</v>
      </c>
      <c r="O652">
        <f>VLOOKUP(A652,[2]cwurData!$B:$P,14,FALSE)</f>
        <v>443</v>
      </c>
      <c r="P652">
        <f>VLOOKUP(A652,[2]cwurData!$B:$N, 3, FALSE)</f>
        <v>145</v>
      </c>
      <c r="Q652">
        <f>VLOOKUP(A652,[2]cwurData!$B:$N, 4, FALSE)</f>
        <v>355</v>
      </c>
      <c r="R652">
        <f>VLOOKUP(A652,[2]cwurData!$B:$N, 5, FALSE)</f>
        <v>104</v>
      </c>
      <c r="S652">
        <f>VLOOKUP(A652,[2]cwurData!$B:$N, 6, FALSE)</f>
        <v>210</v>
      </c>
      <c r="T652">
        <f>VLOOKUP(A652,[2]cwurData!$B:$N, 7, FALSE)</f>
        <v>712</v>
      </c>
      <c r="U652">
        <f>VLOOKUP(A652,[2]cwurData!$B:$N, 8, FALSE)</f>
        <v>501</v>
      </c>
      <c r="V652">
        <f>VLOOKUP(A652,[2]cwurData!$B:$N, 9, FALSE)</f>
        <v>406</v>
      </c>
      <c r="W652">
        <f>VLOOKUP(A652,[2]cwurData!$B:$N, 10, FALSE)</f>
        <v>642</v>
      </c>
      <c r="X652">
        <f>VLOOKUP(A652,[2]cwurData!$B:$N, 11, FALSE)</f>
        <v>737</v>
      </c>
      <c r="Y652">
        <f>VLOOKUP(A652,[2]cwurData!$B:$N, 12, FALSE)</f>
        <v>45.37</v>
      </c>
      <c r="Z652">
        <f>VLOOKUP(A652,[2]cwurData!$B:$N, 13, FALSE)</f>
        <v>2014</v>
      </c>
    </row>
    <row r="653" spans="1:26" x14ac:dyDescent="0.3">
      <c r="A653" t="s">
        <v>636</v>
      </c>
      <c r="B653" t="str">
        <f>IFERROR(VLOOKUP(A653,[1]timesData!$B:$P,2,FALSE),VLOOKUP(A653,[2]cwurData!$B:$P,2,FALSE))</f>
        <v>South Korea</v>
      </c>
      <c r="C653" t="str">
        <f>VLOOKUP(A653,[1]timesData!$B:$P,3,FALSE)</f>
        <v>601-800</v>
      </c>
      <c r="D653" t="str">
        <f>VLOOKUP(A654,[1]timesData!$B:$P,3,FALSE)</f>
        <v>601-800</v>
      </c>
      <c r="E653">
        <f>VLOOKUP(A654,[1]timesData!$B:$P,4,FALSE)</f>
        <v>16.100000000000001</v>
      </c>
      <c r="F653">
        <f>VLOOKUP(A654,[1]timesData!$B:$P,5,FALSE)</f>
        <v>10.199999999999999</v>
      </c>
      <c r="G653">
        <f>VLOOKUP(A654,[1]timesData!$B:$P,6,FALSE)</f>
        <v>36.4</v>
      </c>
      <c r="H653">
        <f>VLOOKUP(A654,[1]timesData!$B:$P,7,FALSE)</f>
        <v>37.9</v>
      </c>
      <c r="I653" t="str">
        <f>VLOOKUP(A654,[1]timesData!$B:$P,8,FALSE)</f>
        <v>-</v>
      </c>
      <c r="J653">
        <f>VLOOKUP(A654,[1]timesData!$B:$P,9,FALSE)</f>
        <v>4122</v>
      </c>
      <c r="K653">
        <f>VLOOKUP(A654,[1]timesData!$B:$P,10,FALSE)</f>
        <v>3.7</v>
      </c>
      <c r="L653">
        <f>VLOOKUP(A654,[1]timesData!$B:$P,11,FALSE)</f>
        <v>0.03</v>
      </c>
      <c r="M653">
        <f>VLOOKUP(A654,[1]timesData!$B:$P,12,FALSE)</f>
        <v>0</v>
      </c>
      <c r="N653">
        <f>VLOOKUP(A654,[1]timesData!$B:$P,13,FALSE)</f>
        <v>2016</v>
      </c>
      <c r="O653">
        <f>VLOOKUP(A653,[2]cwurData!$B:$P,14,FALSE)</f>
        <v>447</v>
      </c>
      <c r="P653">
        <f>VLOOKUP(A653,[2]cwurData!$B:$N, 3, FALSE)</f>
        <v>17</v>
      </c>
      <c r="Q653">
        <f>VLOOKUP(A653,[2]cwurData!$B:$N, 4, FALSE)</f>
        <v>355</v>
      </c>
      <c r="R653">
        <f>VLOOKUP(A653,[2]cwurData!$B:$N, 5, FALSE)</f>
        <v>343</v>
      </c>
      <c r="S653">
        <f>VLOOKUP(A653,[2]cwurData!$B:$N, 6, FALSE)</f>
        <v>210</v>
      </c>
      <c r="T653">
        <f>VLOOKUP(A653,[2]cwurData!$B:$N, 7, FALSE)</f>
        <v>646</v>
      </c>
      <c r="U653">
        <f>VLOOKUP(A653,[2]cwurData!$B:$N, 8, FALSE)</f>
        <v>802</v>
      </c>
      <c r="V653">
        <f>VLOOKUP(A653,[2]cwurData!$B:$N, 9, FALSE)</f>
        <v>609</v>
      </c>
      <c r="W653">
        <f>VLOOKUP(A653,[2]cwurData!$B:$N, 10, FALSE)</f>
        <v>663</v>
      </c>
      <c r="X653">
        <f>VLOOKUP(A653,[2]cwurData!$B:$N, 11, FALSE)</f>
        <v>94</v>
      </c>
      <c r="Y653">
        <f>VLOOKUP(A653,[2]cwurData!$B:$N, 12, FALSE)</f>
        <v>45.35</v>
      </c>
      <c r="Z653">
        <f>VLOOKUP(A653,[2]cwurData!$B:$N, 13, FALSE)</f>
        <v>2014</v>
      </c>
    </row>
    <row r="654" spans="1:26" x14ac:dyDescent="0.3">
      <c r="A654" t="s">
        <v>817</v>
      </c>
      <c r="B654" t="str">
        <f>IFERROR(VLOOKUP(A654,[1]timesData!$B:$P,2,FALSE),VLOOKUP(A654,[2]cwurData!$B:$P,2,FALSE))</f>
        <v>Japan</v>
      </c>
      <c r="C654" t="str">
        <f>VLOOKUP(A654,[1]timesData!$B:$P,3,FALSE)</f>
        <v>601-800</v>
      </c>
      <c r="D654" t="str">
        <f>VLOOKUP(A655,[1]timesData!$B:$P,3,FALSE)</f>
        <v>601-800</v>
      </c>
      <c r="E654">
        <f>VLOOKUP(A655,[1]timesData!$B:$P,4,FALSE)</f>
        <v>33.6</v>
      </c>
      <c r="F654">
        <f>VLOOKUP(A655,[1]timesData!$B:$P,5,FALSE)</f>
        <v>14.9</v>
      </c>
      <c r="G654">
        <f>VLOOKUP(A655,[1]timesData!$B:$P,6,FALSE)</f>
        <v>24.6</v>
      </c>
      <c r="H654">
        <f>VLOOKUP(A655,[1]timesData!$B:$P,7,FALSE)</f>
        <v>30.1</v>
      </c>
      <c r="I654" t="str">
        <f>VLOOKUP(A655,[1]timesData!$B:$P,8,FALSE)</f>
        <v>-</v>
      </c>
      <c r="J654">
        <f>VLOOKUP(A655,[1]timesData!$B:$P,9,FALSE)</f>
        <v>22224</v>
      </c>
      <c r="K654">
        <f>VLOOKUP(A655,[1]timesData!$B:$P,10,FALSE)</f>
        <v>20</v>
      </c>
      <c r="L654">
        <f>VLOOKUP(A655,[1]timesData!$B:$P,11,FALSE)</f>
        <v>0.1</v>
      </c>
      <c r="M654">
        <f>VLOOKUP(A655,[1]timesData!$B:$P,12,FALSE)</f>
        <v>2.1180555555555554</v>
      </c>
      <c r="N654">
        <f>VLOOKUP(A655,[1]timesData!$B:$P,13,FALSE)</f>
        <v>2016</v>
      </c>
      <c r="O654">
        <f>VLOOKUP(A654,[2]cwurData!$B:$P,14,FALSE)</f>
        <v>461</v>
      </c>
      <c r="P654">
        <f>VLOOKUP(A654,[2]cwurData!$B:$N, 3, FALSE)</f>
        <v>25</v>
      </c>
      <c r="Q654">
        <f>VLOOKUP(A654,[2]cwurData!$B:$N, 4, FALSE)</f>
        <v>355</v>
      </c>
      <c r="R654">
        <f>VLOOKUP(A654,[2]cwurData!$B:$N, 5, FALSE)</f>
        <v>196</v>
      </c>
      <c r="S654">
        <f>VLOOKUP(A654,[2]cwurData!$B:$N, 6, FALSE)</f>
        <v>210</v>
      </c>
      <c r="T654">
        <f>VLOOKUP(A654,[2]cwurData!$B:$N, 7, FALSE)</f>
        <v>650</v>
      </c>
      <c r="U654">
        <f>VLOOKUP(A654,[2]cwurData!$B:$N, 8, FALSE)</f>
        <v>362</v>
      </c>
      <c r="V654">
        <f>VLOOKUP(A654,[2]cwurData!$B:$N, 9, FALSE)</f>
        <v>800</v>
      </c>
      <c r="W654">
        <f>VLOOKUP(A654,[2]cwurData!$B:$N, 10, FALSE)</f>
        <v>460</v>
      </c>
      <c r="X654">
        <f>VLOOKUP(A654,[2]cwurData!$B:$N, 11, FALSE)</f>
        <v>338</v>
      </c>
      <c r="Y654">
        <f>VLOOKUP(A654,[2]cwurData!$B:$N, 12, FALSE)</f>
        <v>45.26</v>
      </c>
      <c r="Z654">
        <f>VLOOKUP(A654,[2]cwurData!$B:$N, 13, FALSE)</f>
        <v>2014</v>
      </c>
    </row>
    <row r="655" spans="1:26" x14ac:dyDescent="0.3">
      <c r="A655" t="s">
        <v>749</v>
      </c>
      <c r="B655" t="str">
        <f>IFERROR(VLOOKUP(A655,[1]timesData!$B:$P,2,FALSE),VLOOKUP(A655,[2]cwurData!$B:$P,2,FALSE))</f>
        <v>United States of America</v>
      </c>
      <c r="C655" t="str">
        <f>VLOOKUP(A655,[1]timesData!$B:$P,3,FALSE)</f>
        <v>601-800</v>
      </c>
      <c r="D655" t="str">
        <f>VLOOKUP(A656,[1]timesData!$B:$P,3,FALSE)</f>
        <v>601-800</v>
      </c>
      <c r="E655">
        <f>VLOOKUP(A656,[1]timesData!$B:$P,4,FALSE)</f>
        <v>20.3</v>
      </c>
      <c r="F655">
        <f>VLOOKUP(A656,[1]timesData!$B:$P,5,FALSE)</f>
        <v>8.3000000000000007</v>
      </c>
      <c r="G655">
        <f>VLOOKUP(A656,[1]timesData!$B:$P,6,FALSE)</f>
        <v>22</v>
      </c>
      <c r="H655">
        <f>VLOOKUP(A656,[1]timesData!$B:$P,7,FALSE)</f>
        <v>31.6</v>
      </c>
      <c r="I655" t="str">
        <f>VLOOKUP(A656,[1]timesData!$B:$P,8,FALSE)</f>
        <v>-</v>
      </c>
      <c r="J655">
        <f>VLOOKUP(A656,[1]timesData!$B:$P,9,FALSE)</f>
        <v>11232</v>
      </c>
      <c r="K655">
        <f>VLOOKUP(A656,[1]timesData!$B:$P,10,FALSE)</f>
        <v>9.6</v>
      </c>
      <c r="L655">
        <f>VLOOKUP(A656,[1]timesData!$B:$P,11,FALSE)</f>
        <v>0.03</v>
      </c>
      <c r="M655">
        <f>VLOOKUP(A656,[1]timesData!$B:$P,12,FALSE)</f>
        <v>0</v>
      </c>
      <c r="N655">
        <f>VLOOKUP(A656,[1]timesData!$B:$P,13,FALSE)</f>
        <v>2016</v>
      </c>
      <c r="O655">
        <f>VLOOKUP(A655,[2]cwurData!$B:$P,14,FALSE)</f>
        <v>464</v>
      </c>
      <c r="P655">
        <f>VLOOKUP(A655,[2]cwurData!$B:$N, 3, FALSE)</f>
        <v>149</v>
      </c>
      <c r="Q655">
        <f>VLOOKUP(A655,[2]cwurData!$B:$N, 4, FALSE)</f>
        <v>196</v>
      </c>
      <c r="R655">
        <f>VLOOKUP(A655,[2]cwurData!$B:$N, 5, FALSE)</f>
        <v>176</v>
      </c>
      <c r="S655">
        <f>VLOOKUP(A655,[2]cwurData!$B:$N, 6, FALSE)</f>
        <v>210</v>
      </c>
      <c r="T655">
        <f>VLOOKUP(A655,[2]cwurData!$B:$N, 7, FALSE)</f>
        <v>568</v>
      </c>
      <c r="U655">
        <f>VLOOKUP(A655,[2]cwurData!$B:$N, 8, FALSE)</f>
        <v>474</v>
      </c>
      <c r="V655">
        <f>VLOOKUP(A655,[2]cwurData!$B:$N, 9, FALSE)</f>
        <v>493</v>
      </c>
      <c r="W655">
        <f>VLOOKUP(A655,[2]cwurData!$B:$N, 10, FALSE)</f>
        <v>554</v>
      </c>
      <c r="X655">
        <f>VLOOKUP(A655,[2]cwurData!$B:$N, 11, FALSE)</f>
        <v>280</v>
      </c>
      <c r="Y655">
        <f>VLOOKUP(A655,[2]cwurData!$B:$N, 12, FALSE)</f>
        <v>45.25</v>
      </c>
      <c r="Z655">
        <f>VLOOKUP(A655,[2]cwurData!$B:$N, 13, FALSE)</f>
        <v>2014</v>
      </c>
    </row>
    <row r="656" spans="1:26" x14ac:dyDescent="0.3">
      <c r="A656" t="s">
        <v>774</v>
      </c>
      <c r="B656" t="str">
        <f>IFERROR(VLOOKUP(A656,[1]timesData!$B:$P,2,FALSE),VLOOKUP(A656,[2]cwurData!$B:$P,2,FALSE))</f>
        <v>Japan</v>
      </c>
      <c r="C656" t="str">
        <f>VLOOKUP(A656,[1]timesData!$B:$P,3,FALSE)</f>
        <v>601-800</v>
      </c>
      <c r="D656" t="str">
        <f>VLOOKUP(A657,[1]timesData!$B:$P,3,FALSE)</f>
        <v>601-800</v>
      </c>
      <c r="E656">
        <f>VLOOKUP(A657,[1]timesData!$B:$P,4,FALSE)</f>
        <v>36.6</v>
      </c>
      <c r="F656">
        <f>VLOOKUP(A657,[1]timesData!$B:$P,5,FALSE)</f>
        <v>15</v>
      </c>
      <c r="G656">
        <f>VLOOKUP(A657,[1]timesData!$B:$P,6,FALSE)</f>
        <v>29.5</v>
      </c>
      <c r="H656">
        <f>VLOOKUP(A657,[1]timesData!$B:$P,7,FALSE)</f>
        <v>33.6</v>
      </c>
      <c r="I656" t="str">
        <f>VLOOKUP(A657,[1]timesData!$B:$P,8,FALSE)</f>
        <v>-</v>
      </c>
      <c r="J656">
        <f>VLOOKUP(A657,[1]timesData!$B:$P,9,FALSE)</f>
        <v>46288</v>
      </c>
      <c r="K656">
        <f>VLOOKUP(A657,[1]timesData!$B:$P,10,FALSE)</f>
        <v>22.2</v>
      </c>
      <c r="L656">
        <f>VLOOKUP(A657,[1]timesData!$B:$P,11,FALSE)</f>
        <v>0.09</v>
      </c>
      <c r="M656">
        <f>VLOOKUP(A657,[1]timesData!$B:$P,12,FALSE)</f>
        <v>2.2000000000000002</v>
      </c>
      <c r="N656">
        <f>VLOOKUP(A657,[1]timesData!$B:$P,13,FALSE)</f>
        <v>2016</v>
      </c>
      <c r="O656">
        <f>VLOOKUP(A656,[2]cwurData!$B:$P,14,FALSE)</f>
        <v>471</v>
      </c>
      <c r="P656">
        <f>VLOOKUP(A656,[2]cwurData!$B:$N, 3, FALSE)</f>
        <v>26</v>
      </c>
      <c r="Q656">
        <f>VLOOKUP(A656,[2]cwurData!$B:$N, 4, FALSE)</f>
        <v>355</v>
      </c>
      <c r="R656">
        <f>VLOOKUP(A656,[2]cwurData!$B:$N, 5, FALSE)</f>
        <v>333</v>
      </c>
      <c r="S656">
        <f>VLOOKUP(A656,[2]cwurData!$B:$N, 6, FALSE)</f>
        <v>210</v>
      </c>
      <c r="T656">
        <f>VLOOKUP(A656,[2]cwurData!$B:$N, 7, FALSE)</f>
        <v>564</v>
      </c>
      <c r="U656">
        <f>VLOOKUP(A656,[2]cwurData!$B:$N, 8, FALSE)</f>
        <v>568</v>
      </c>
      <c r="V656">
        <f>VLOOKUP(A656,[2]cwurData!$B:$N, 9, FALSE)</f>
        <v>283</v>
      </c>
      <c r="W656">
        <f>VLOOKUP(A656,[2]cwurData!$B:$N, 10, FALSE)</f>
        <v>442</v>
      </c>
      <c r="X656">
        <f>VLOOKUP(A656,[2]cwurData!$B:$N, 11, FALSE)</f>
        <v>204</v>
      </c>
      <c r="Y656">
        <f>VLOOKUP(A656,[2]cwurData!$B:$N, 12, FALSE)</f>
        <v>45.22</v>
      </c>
      <c r="Z656">
        <f>VLOOKUP(A656,[2]cwurData!$B:$N, 13, FALSE)</f>
        <v>2014</v>
      </c>
    </row>
    <row r="657" spans="1:26" x14ac:dyDescent="0.3">
      <c r="A657" t="s">
        <v>645</v>
      </c>
      <c r="B657" t="str">
        <f>IFERROR(VLOOKUP(A657,[1]timesData!$B:$P,2,FALSE),VLOOKUP(A657,[2]cwurData!$B:$P,2,FALSE))</f>
        <v>Greece</v>
      </c>
      <c r="C657" t="str">
        <f>VLOOKUP(A657,[1]timesData!$B:$P,3,FALSE)</f>
        <v>601-800</v>
      </c>
      <c r="D657" t="str">
        <f>VLOOKUP(A658,[1]timesData!$B:$P,3,FALSE)</f>
        <v>601-800</v>
      </c>
      <c r="E657">
        <f>VLOOKUP(A658,[1]timesData!$B:$P,4,FALSE)</f>
        <v>16.7</v>
      </c>
      <c r="F657">
        <f>VLOOKUP(A658,[1]timesData!$B:$P,5,FALSE)</f>
        <v>10.5</v>
      </c>
      <c r="G657">
        <f>VLOOKUP(A658,[1]timesData!$B:$P,6,FALSE)</f>
        <v>24</v>
      </c>
      <c r="H657">
        <f>VLOOKUP(A658,[1]timesData!$B:$P,7,FALSE)</f>
        <v>51.1</v>
      </c>
      <c r="I657" t="str">
        <f>VLOOKUP(A658,[1]timesData!$B:$P,8,FALSE)</f>
        <v>-</v>
      </c>
      <c r="J657">
        <f>VLOOKUP(A658,[1]timesData!$B:$P,9,FALSE)</f>
        <v>3955</v>
      </c>
      <c r="K657">
        <f>VLOOKUP(A658,[1]timesData!$B:$P,10,FALSE)</f>
        <v>3.7</v>
      </c>
      <c r="L657">
        <f>VLOOKUP(A658,[1]timesData!$B:$P,11,FALSE)</f>
        <v>0.01</v>
      </c>
      <c r="M657">
        <f>VLOOKUP(A658,[1]timesData!$B:$P,12,FALSE)</f>
        <v>2.2000000000000002</v>
      </c>
      <c r="N657">
        <f>VLOOKUP(A658,[1]timesData!$B:$P,13,FALSE)</f>
        <v>2016</v>
      </c>
      <c r="O657">
        <f>VLOOKUP(A657,[2]cwurData!$B:$P,14,FALSE)</f>
        <v>478</v>
      </c>
      <c r="P657">
        <f>VLOOKUP(A657,[2]cwurData!$B:$N, 3, FALSE)</f>
        <v>2</v>
      </c>
      <c r="Q657">
        <f>VLOOKUP(A657,[2]cwurData!$B:$N, 4, FALSE)</f>
        <v>355</v>
      </c>
      <c r="R657">
        <f>VLOOKUP(A657,[2]cwurData!$B:$N, 5, FALSE)</f>
        <v>478</v>
      </c>
      <c r="S657">
        <f>VLOOKUP(A657,[2]cwurData!$B:$N, 6, FALSE)</f>
        <v>210</v>
      </c>
      <c r="T657">
        <f>VLOOKUP(A657,[2]cwurData!$B:$N, 7, FALSE)</f>
        <v>334</v>
      </c>
      <c r="U657">
        <f>VLOOKUP(A657,[2]cwurData!$B:$N, 8, FALSE)</f>
        <v>649</v>
      </c>
      <c r="V657">
        <f>VLOOKUP(A657,[2]cwurData!$B:$N, 9, FALSE)</f>
        <v>493</v>
      </c>
      <c r="W657">
        <f>VLOOKUP(A657,[2]cwurData!$B:$N, 10, FALSE)</f>
        <v>386</v>
      </c>
      <c r="X657">
        <f>VLOOKUP(A657,[2]cwurData!$B:$N, 11, FALSE)</f>
        <v>637</v>
      </c>
      <c r="Y657">
        <f>VLOOKUP(A657,[2]cwurData!$B:$N, 12, FALSE)</f>
        <v>45.2</v>
      </c>
      <c r="Z657">
        <f>VLOOKUP(A657,[2]cwurData!$B:$N, 13, FALSE)</f>
        <v>2014</v>
      </c>
    </row>
    <row r="658" spans="1:26" x14ac:dyDescent="0.3">
      <c r="A658" t="s">
        <v>716</v>
      </c>
      <c r="B658" t="str">
        <f>IFERROR(VLOOKUP(A658,[1]timesData!$B:$P,2,FALSE),VLOOKUP(A658,[2]cwurData!$B:$P,2,FALSE))</f>
        <v>Japan</v>
      </c>
      <c r="C658" t="str">
        <f>VLOOKUP(A658,[1]timesData!$B:$P,3,FALSE)</f>
        <v>601-800</v>
      </c>
      <c r="D658" t="str">
        <f>VLOOKUP(A659,[1]timesData!$B:$P,3,FALSE)</f>
        <v>601-800</v>
      </c>
      <c r="E658">
        <f>VLOOKUP(A659,[1]timesData!$B:$P,4,FALSE)</f>
        <v>21.6</v>
      </c>
      <c r="F658">
        <f>VLOOKUP(A659,[1]timesData!$B:$P,5,FALSE)</f>
        <v>15.4</v>
      </c>
      <c r="G658">
        <f>VLOOKUP(A659,[1]timesData!$B:$P,6,FALSE)</f>
        <v>23.1</v>
      </c>
      <c r="H658">
        <f>VLOOKUP(A659,[1]timesData!$B:$P,7,FALSE)</f>
        <v>30.7</v>
      </c>
      <c r="I658" t="str">
        <f>VLOOKUP(A659,[1]timesData!$B:$P,8,FALSE)</f>
        <v>-</v>
      </c>
      <c r="J658">
        <f>VLOOKUP(A659,[1]timesData!$B:$P,9,FALSE)</f>
        <v>42612</v>
      </c>
      <c r="K658">
        <f>VLOOKUP(A659,[1]timesData!$B:$P,10,FALSE)</f>
        <v>13.5</v>
      </c>
      <c r="L658">
        <f>VLOOKUP(A659,[1]timesData!$B:$P,11,FALSE)</f>
        <v>0.01</v>
      </c>
      <c r="M658">
        <f>VLOOKUP(A659,[1]timesData!$B:$P,12,FALSE)</f>
        <v>2.3229166666666665</v>
      </c>
      <c r="N658">
        <f>VLOOKUP(A659,[1]timesData!$B:$P,13,FALSE)</f>
        <v>2016</v>
      </c>
      <c r="O658">
        <f>VLOOKUP(A658,[2]cwurData!$B:$P,14,FALSE)</f>
        <v>484</v>
      </c>
      <c r="P658">
        <f>VLOOKUP(A658,[2]cwurData!$B:$N, 3, FALSE)</f>
        <v>27</v>
      </c>
      <c r="Q658">
        <f>VLOOKUP(A658,[2]cwurData!$B:$N, 4, FALSE)</f>
        <v>355</v>
      </c>
      <c r="R658">
        <f>VLOOKUP(A658,[2]cwurData!$B:$N, 5, FALSE)</f>
        <v>478</v>
      </c>
      <c r="S658">
        <f>VLOOKUP(A658,[2]cwurData!$B:$N, 6, FALSE)</f>
        <v>210</v>
      </c>
      <c r="T658">
        <f>VLOOKUP(A658,[2]cwurData!$B:$N, 7, FALSE)</f>
        <v>645</v>
      </c>
      <c r="U658">
        <f>VLOOKUP(A658,[2]cwurData!$B:$N, 8, FALSE)</f>
        <v>482</v>
      </c>
      <c r="V658">
        <f>VLOOKUP(A658,[2]cwurData!$B:$N, 9, FALSE)</f>
        <v>406</v>
      </c>
      <c r="W658">
        <f>VLOOKUP(A658,[2]cwurData!$B:$N, 10, FALSE)</f>
        <v>366</v>
      </c>
      <c r="X658">
        <f>VLOOKUP(A658,[2]cwurData!$B:$N, 11, FALSE)</f>
        <v>737</v>
      </c>
      <c r="Y658">
        <f>VLOOKUP(A658,[2]cwurData!$B:$N, 12, FALSE)</f>
        <v>45.18</v>
      </c>
      <c r="Z658">
        <f>VLOOKUP(A658,[2]cwurData!$B:$N, 13, FALSE)</f>
        <v>2014</v>
      </c>
    </row>
    <row r="659" spans="1:26" x14ac:dyDescent="0.3">
      <c r="A659" t="s">
        <v>691</v>
      </c>
      <c r="B659" t="str">
        <f>IFERROR(VLOOKUP(A659,[1]timesData!$B:$P,2,FALSE),VLOOKUP(A659,[2]cwurData!$B:$P,2,FALSE))</f>
        <v>Brazil</v>
      </c>
      <c r="C659" t="str">
        <f>VLOOKUP(A659,[1]timesData!$B:$P,3,FALSE)</f>
        <v>601-800</v>
      </c>
      <c r="D659" t="str">
        <f>VLOOKUP(A660,[1]timesData!$B:$P,3,FALSE)</f>
        <v>601-800</v>
      </c>
      <c r="E659">
        <f>VLOOKUP(A660,[1]timesData!$B:$P,4,FALSE)</f>
        <v>15.7</v>
      </c>
      <c r="F659">
        <f>VLOOKUP(A660,[1]timesData!$B:$P,5,FALSE)</f>
        <v>18.399999999999999</v>
      </c>
      <c r="G659">
        <f>VLOOKUP(A660,[1]timesData!$B:$P,6,FALSE)</f>
        <v>16.100000000000001</v>
      </c>
      <c r="H659">
        <f>VLOOKUP(A660,[1]timesData!$B:$P,7,FALSE)</f>
        <v>90.8</v>
      </c>
      <c r="I659" t="str">
        <f>VLOOKUP(A660,[1]timesData!$B:$P,8,FALSE)</f>
        <v>-</v>
      </c>
      <c r="J659">
        <f>VLOOKUP(A660,[1]timesData!$B:$P,9,FALSE)</f>
        <v>65035</v>
      </c>
      <c r="K659">
        <f>VLOOKUP(A660,[1]timesData!$B:$P,10,FALSE)</f>
        <v>14.5</v>
      </c>
      <c r="L659">
        <f>VLOOKUP(A660,[1]timesData!$B:$P,11,FALSE)</f>
        <v>0.02</v>
      </c>
      <c r="M659">
        <f>VLOOKUP(A660,[1]timesData!$B:$P,12,FALSE)</f>
        <v>2.036111111111111</v>
      </c>
      <c r="N659">
        <f>VLOOKUP(A660,[1]timesData!$B:$P,13,FALSE)</f>
        <v>2016</v>
      </c>
      <c r="O659">
        <f>VLOOKUP(A659,[2]cwurData!$B:$P,14,FALSE)</f>
        <v>496</v>
      </c>
      <c r="P659">
        <f>VLOOKUP(A659,[2]cwurData!$B:$N, 3, FALSE)</f>
        <v>4</v>
      </c>
      <c r="Q659">
        <f>VLOOKUP(A659,[2]cwurData!$B:$N, 4, FALSE)</f>
        <v>355</v>
      </c>
      <c r="R659">
        <f>VLOOKUP(A659,[2]cwurData!$B:$N, 5, FALSE)</f>
        <v>462</v>
      </c>
      <c r="S659">
        <f>VLOOKUP(A659,[2]cwurData!$B:$N, 6, FALSE)</f>
        <v>210</v>
      </c>
      <c r="T659">
        <f>VLOOKUP(A659,[2]cwurData!$B:$N, 7, FALSE)</f>
        <v>430</v>
      </c>
      <c r="U659">
        <f>VLOOKUP(A659,[2]cwurData!$B:$N, 8, FALSE)</f>
        <v>476</v>
      </c>
      <c r="V659">
        <f>VLOOKUP(A659,[2]cwurData!$B:$N, 9, FALSE)</f>
        <v>493</v>
      </c>
      <c r="W659">
        <f>VLOOKUP(A659,[2]cwurData!$B:$N, 10, FALSE)</f>
        <v>514</v>
      </c>
      <c r="X659">
        <f>VLOOKUP(A659,[2]cwurData!$B:$N, 11, FALSE)</f>
        <v>170</v>
      </c>
      <c r="Y659">
        <f>VLOOKUP(A659,[2]cwurData!$B:$N, 12, FALSE)</f>
        <v>45.14</v>
      </c>
      <c r="Z659">
        <f>VLOOKUP(A659,[2]cwurData!$B:$N, 13, FALSE)</f>
        <v>2014</v>
      </c>
    </row>
    <row r="660" spans="1:26" x14ac:dyDescent="0.3">
      <c r="A660" t="s">
        <v>776</v>
      </c>
      <c r="B660" t="str">
        <f>IFERROR(VLOOKUP(A660,[1]timesData!$B:$P,2,FALSE),VLOOKUP(A660,[2]cwurData!$B:$P,2,FALSE))</f>
        <v>China</v>
      </c>
      <c r="C660" t="str">
        <f>VLOOKUP(A660,[1]timesData!$B:$P,3,FALSE)</f>
        <v>601-800</v>
      </c>
      <c r="D660" t="str">
        <f>VLOOKUP(A661,[1]timesData!$B:$P,3,FALSE)</f>
        <v>601-800</v>
      </c>
      <c r="E660">
        <f>VLOOKUP(A661,[1]timesData!$B:$P,4,FALSE)</f>
        <v>34.5</v>
      </c>
      <c r="F660">
        <f>VLOOKUP(A661,[1]timesData!$B:$P,5,FALSE)</f>
        <v>13.6</v>
      </c>
      <c r="G660">
        <f>VLOOKUP(A661,[1]timesData!$B:$P,6,FALSE)</f>
        <v>24</v>
      </c>
      <c r="H660">
        <f>VLOOKUP(A661,[1]timesData!$B:$P,7,FALSE)</f>
        <v>32.299999999999997</v>
      </c>
      <c r="I660" t="str">
        <f>VLOOKUP(A661,[1]timesData!$B:$P,8,FALSE)</f>
        <v>-</v>
      </c>
      <c r="J660">
        <f>VLOOKUP(A661,[1]timesData!$B:$P,9,FALSE)</f>
        <v>48821</v>
      </c>
      <c r="K660">
        <f>VLOOKUP(A661,[1]timesData!$B:$P,10,FALSE)</f>
        <v>17.600000000000001</v>
      </c>
      <c r="L660">
        <f>VLOOKUP(A661,[1]timesData!$B:$P,11,FALSE)</f>
        <v>0.04</v>
      </c>
      <c r="M660">
        <f>VLOOKUP(A661,[1]timesData!$B:$P,12,FALSE)</f>
        <v>2.5277777777777777</v>
      </c>
      <c r="N660">
        <f>VLOOKUP(A661,[1]timesData!$B:$P,13,FALSE)</f>
        <v>2016</v>
      </c>
      <c r="O660">
        <f>VLOOKUP(A660,[2]cwurData!$B:$P,14,FALSE)</f>
        <v>515</v>
      </c>
      <c r="P660">
        <f>VLOOKUP(A660,[2]cwurData!$B:$N, 3, FALSE)</f>
        <v>24</v>
      </c>
      <c r="Q660">
        <f>VLOOKUP(A660,[2]cwurData!$B:$N, 4, FALSE)</f>
        <v>355</v>
      </c>
      <c r="R660">
        <f>VLOOKUP(A660,[2]cwurData!$B:$N, 5, FALSE)</f>
        <v>478</v>
      </c>
      <c r="S660">
        <f>VLOOKUP(A660,[2]cwurData!$B:$N, 6, FALSE)</f>
        <v>210</v>
      </c>
      <c r="T660">
        <f>VLOOKUP(A660,[2]cwurData!$B:$N, 7, FALSE)</f>
        <v>306</v>
      </c>
      <c r="U660">
        <f>VLOOKUP(A660,[2]cwurData!$B:$N, 8, FALSE)</f>
        <v>530</v>
      </c>
      <c r="V660">
        <f>VLOOKUP(A660,[2]cwurData!$B:$N, 9, FALSE)</f>
        <v>800</v>
      </c>
      <c r="W660">
        <f>VLOOKUP(A660,[2]cwurData!$B:$N, 10, FALSE)</f>
        <v>472</v>
      </c>
      <c r="X660">
        <f>VLOOKUP(A660,[2]cwurData!$B:$N, 11, FALSE)</f>
        <v>373</v>
      </c>
      <c r="Y660">
        <f>VLOOKUP(A660,[2]cwurData!$B:$N, 12, FALSE)</f>
        <v>45.05</v>
      </c>
      <c r="Z660">
        <f>VLOOKUP(A660,[2]cwurData!$B:$N, 13, FALSE)</f>
        <v>2014</v>
      </c>
    </row>
    <row r="661" spans="1:26" x14ac:dyDescent="0.3">
      <c r="A661" t="s">
        <v>729</v>
      </c>
      <c r="B661" t="str">
        <f>IFERROR(VLOOKUP(A661,[1]timesData!$B:$P,2,FALSE),VLOOKUP(A661,[2]cwurData!$B:$P,2,FALSE))</f>
        <v>Slovenia</v>
      </c>
      <c r="C661" t="str">
        <f>VLOOKUP(A661,[1]timesData!$B:$P,3,FALSE)</f>
        <v>601-800</v>
      </c>
      <c r="D661" t="str">
        <f>VLOOKUP(A662,[1]timesData!$B:$P,3,FALSE)</f>
        <v>601-800</v>
      </c>
      <c r="E661">
        <f>VLOOKUP(A662,[1]timesData!$B:$P,4,FALSE)</f>
        <v>22.6</v>
      </c>
      <c r="F661">
        <f>VLOOKUP(A662,[1]timesData!$B:$P,5,FALSE)</f>
        <v>19.600000000000001</v>
      </c>
      <c r="G661">
        <f>VLOOKUP(A662,[1]timesData!$B:$P,6,FALSE)</f>
        <v>17</v>
      </c>
      <c r="H661">
        <f>VLOOKUP(A662,[1]timesData!$B:$P,7,FALSE)</f>
        <v>36</v>
      </c>
      <c r="I661" t="str">
        <f>VLOOKUP(A662,[1]timesData!$B:$P,8,FALSE)</f>
        <v>-</v>
      </c>
      <c r="J661">
        <f>VLOOKUP(A662,[1]timesData!$B:$P,9,FALSE)</f>
        <v>26483</v>
      </c>
      <c r="K661">
        <f>VLOOKUP(A662,[1]timesData!$B:$P,10,FALSE)</f>
        <v>23.5</v>
      </c>
      <c r="L661">
        <f>VLOOKUP(A662,[1]timesData!$B:$P,11,FALSE)</f>
        <v>0.06</v>
      </c>
      <c r="M661">
        <f>VLOOKUP(A662,[1]timesData!$B:$P,12,FALSE)</f>
        <v>1.9951388888888888</v>
      </c>
      <c r="N661">
        <f>VLOOKUP(A662,[1]timesData!$B:$P,13,FALSE)</f>
        <v>2016</v>
      </c>
      <c r="O661">
        <f>VLOOKUP(A661,[2]cwurData!$B:$P,14,FALSE)</f>
        <v>525</v>
      </c>
      <c r="P661">
        <f>VLOOKUP(A661,[2]cwurData!$B:$N, 3, FALSE)</f>
        <v>1</v>
      </c>
      <c r="Q661">
        <f>VLOOKUP(A661,[2]cwurData!$B:$N, 4, FALSE)</f>
        <v>355</v>
      </c>
      <c r="R661">
        <f>VLOOKUP(A661,[2]cwurData!$B:$N, 5, FALSE)</f>
        <v>478</v>
      </c>
      <c r="S661">
        <f>VLOOKUP(A661,[2]cwurData!$B:$N, 6, FALSE)</f>
        <v>210</v>
      </c>
      <c r="T661">
        <f>VLOOKUP(A661,[2]cwurData!$B:$N, 7, FALSE)</f>
        <v>346</v>
      </c>
      <c r="U661">
        <f>VLOOKUP(A661,[2]cwurData!$B:$N, 8, FALSE)</f>
        <v>449</v>
      </c>
      <c r="V661">
        <f>VLOOKUP(A661,[2]cwurData!$B:$N, 9, FALSE)</f>
        <v>310</v>
      </c>
      <c r="W661">
        <f>VLOOKUP(A661,[2]cwurData!$B:$N, 10, FALSE)</f>
        <v>460</v>
      </c>
      <c r="X661">
        <f>VLOOKUP(A661,[2]cwurData!$B:$N, 11, FALSE)</f>
        <v>737</v>
      </c>
      <c r="Y661">
        <f>VLOOKUP(A661,[2]cwurData!$B:$N, 12, FALSE)</f>
        <v>45.02</v>
      </c>
      <c r="Z661">
        <f>VLOOKUP(A661,[2]cwurData!$B:$N, 13, FALSE)</f>
        <v>2014</v>
      </c>
    </row>
    <row r="662" spans="1:26" x14ac:dyDescent="0.3">
      <c r="A662" t="s">
        <v>722</v>
      </c>
      <c r="B662" t="str">
        <f>IFERROR(VLOOKUP(A662,[1]timesData!$B:$P,2,FALSE),VLOOKUP(A662,[2]cwurData!$B:$P,2,FALSE))</f>
        <v>South Korea</v>
      </c>
      <c r="C662" t="str">
        <f>VLOOKUP(A662,[1]timesData!$B:$P,3,FALSE)</f>
        <v>601-800</v>
      </c>
      <c r="D662" t="str">
        <f>VLOOKUP(A663,[1]timesData!$B:$P,3,FALSE)</f>
        <v>601-800</v>
      </c>
      <c r="E662">
        <f>VLOOKUP(A663,[1]timesData!$B:$P,4,FALSE)</f>
        <v>20.9</v>
      </c>
      <c r="F662">
        <f>VLOOKUP(A663,[1]timesData!$B:$P,5,FALSE)</f>
        <v>11.3</v>
      </c>
      <c r="G662">
        <f>VLOOKUP(A663,[1]timesData!$B:$P,6,FALSE)</f>
        <v>17.5</v>
      </c>
      <c r="H662">
        <f>VLOOKUP(A663,[1]timesData!$B:$P,7,FALSE)</f>
        <v>37.799999999999997</v>
      </c>
      <c r="I662" t="str">
        <f>VLOOKUP(A663,[1]timesData!$B:$P,8,FALSE)</f>
        <v>-</v>
      </c>
      <c r="J662">
        <f>VLOOKUP(A663,[1]timesData!$B:$P,9,FALSE)</f>
        <v>8394</v>
      </c>
      <c r="K662">
        <f>VLOOKUP(A663,[1]timesData!$B:$P,10,FALSE)</f>
        <v>9.9</v>
      </c>
      <c r="L662">
        <f>VLOOKUP(A663,[1]timesData!$B:$P,11,FALSE)</f>
        <v>0.01</v>
      </c>
      <c r="M662" t="str">
        <f>VLOOKUP(A663,[1]timesData!$B:$P,12,FALSE)</f>
        <v>39 : 61</v>
      </c>
      <c r="N662">
        <f>VLOOKUP(A663,[1]timesData!$B:$P,13,FALSE)</f>
        <v>2016</v>
      </c>
      <c r="O662">
        <f>VLOOKUP(A662,[2]cwurData!$B:$P,14,FALSE)</f>
        <v>529</v>
      </c>
      <c r="P662">
        <f>VLOOKUP(A662,[2]cwurData!$B:$N, 3, FALSE)</f>
        <v>20</v>
      </c>
      <c r="Q662">
        <f>VLOOKUP(A662,[2]cwurData!$B:$N, 4, FALSE)</f>
        <v>355</v>
      </c>
      <c r="R662">
        <f>VLOOKUP(A662,[2]cwurData!$B:$N, 5, FALSE)</f>
        <v>403</v>
      </c>
      <c r="S662">
        <f>VLOOKUP(A662,[2]cwurData!$B:$N, 6, FALSE)</f>
        <v>210</v>
      </c>
      <c r="T662">
        <f>VLOOKUP(A662,[2]cwurData!$B:$N, 7, FALSE)</f>
        <v>564</v>
      </c>
      <c r="U662">
        <f>VLOOKUP(A662,[2]cwurData!$B:$N, 8, FALSE)</f>
        <v>730</v>
      </c>
      <c r="V662">
        <f>VLOOKUP(A662,[2]cwurData!$B:$N, 9, FALSE)</f>
        <v>800</v>
      </c>
      <c r="W662">
        <f>VLOOKUP(A662,[2]cwurData!$B:$N, 10, FALSE)</f>
        <v>724</v>
      </c>
      <c r="X662">
        <f>VLOOKUP(A662,[2]cwurData!$B:$N, 11, FALSE)</f>
        <v>128</v>
      </c>
      <c r="Y662">
        <f>VLOOKUP(A662,[2]cwurData!$B:$N, 12, FALSE)</f>
        <v>45.01</v>
      </c>
      <c r="Z662">
        <f>VLOOKUP(A662,[2]cwurData!$B:$N, 13, FALSE)</f>
        <v>2014</v>
      </c>
    </row>
    <row r="663" spans="1:26" x14ac:dyDescent="0.3">
      <c r="A663" t="s">
        <v>686</v>
      </c>
      <c r="B663" t="str">
        <f>IFERROR(VLOOKUP(A663,[1]timesData!$B:$P,2,FALSE),VLOOKUP(A663,[2]cwurData!$B:$P,2,FALSE))</f>
        <v>Japan</v>
      </c>
      <c r="C663" t="str">
        <f>VLOOKUP(A663,[1]timesData!$B:$P,3,FALSE)</f>
        <v>601-800</v>
      </c>
      <c r="D663" t="str">
        <f>VLOOKUP(A664,[1]timesData!$B:$P,3,FALSE)</f>
        <v>601-800</v>
      </c>
      <c r="E663">
        <f>VLOOKUP(A664,[1]timesData!$B:$P,4,FALSE)</f>
        <v>16.7</v>
      </c>
      <c r="F663">
        <f>VLOOKUP(A664,[1]timesData!$B:$P,5,FALSE)</f>
        <v>10.1</v>
      </c>
      <c r="G663">
        <f>VLOOKUP(A664,[1]timesData!$B:$P,6,FALSE)</f>
        <v>9.6</v>
      </c>
      <c r="H663">
        <f>VLOOKUP(A664,[1]timesData!$B:$P,7,FALSE)</f>
        <v>34.5</v>
      </c>
      <c r="I663" t="str">
        <f>VLOOKUP(A664,[1]timesData!$B:$P,8,FALSE)</f>
        <v>-</v>
      </c>
      <c r="J663">
        <f>VLOOKUP(A664,[1]timesData!$B:$P,9,FALSE)</f>
        <v>6248</v>
      </c>
      <c r="K663">
        <f>VLOOKUP(A664,[1]timesData!$B:$P,10,FALSE)</f>
        <v>8.1999999999999993</v>
      </c>
      <c r="L663">
        <f>VLOOKUP(A664,[1]timesData!$B:$P,11,FALSE)</f>
        <v>0.02</v>
      </c>
      <c r="M663" t="str">
        <f>VLOOKUP(A664,[1]timesData!$B:$P,12,FALSE)</f>
        <v>34 : 66</v>
      </c>
      <c r="N663">
        <f>VLOOKUP(A664,[1]timesData!$B:$P,13,FALSE)</f>
        <v>2016</v>
      </c>
      <c r="O663">
        <f>VLOOKUP(A663,[2]cwurData!$B:$P,14,FALSE)</f>
        <v>581</v>
      </c>
      <c r="P663">
        <f>VLOOKUP(A663,[2]cwurData!$B:$N, 3, FALSE)</f>
        <v>36</v>
      </c>
      <c r="Q663">
        <f>VLOOKUP(A663,[2]cwurData!$B:$N, 4, FALSE)</f>
        <v>355</v>
      </c>
      <c r="R663">
        <f>VLOOKUP(A663,[2]cwurData!$B:$N, 5, FALSE)</f>
        <v>324</v>
      </c>
      <c r="S663">
        <f>VLOOKUP(A663,[2]cwurData!$B:$N, 6, FALSE)</f>
        <v>210</v>
      </c>
      <c r="T663">
        <f>VLOOKUP(A663,[2]cwurData!$B:$N, 7, FALSE)</f>
        <v>585</v>
      </c>
      <c r="U663">
        <f>VLOOKUP(A663,[2]cwurData!$B:$N, 8, FALSE)</f>
        <v>564</v>
      </c>
      <c r="V663">
        <f>VLOOKUP(A663,[2]cwurData!$B:$N, 9, FALSE)</f>
        <v>493</v>
      </c>
      <c r="W663">
        <f>VLOOKUP(A663,[2]cwurData!$B:$N, 10, FALSE)</f>
        <v>554</v>
      </c>
      <c r="X663">
        <f>VLOOKUP(A663,[2]cwurData!$B:$N, 11, FALSE)</f>
        <v>338</v>
      </c>
      <c r="Y663">
        <f>VLOOKUP(A663,[2]cwurData!$B:$N, 12, FALSE)</f>
        <v>44.85</v>
      </c>
      <c r="Z663">
        <f>VLOOKUP(A663,[2]cwurData!$B:$N, 13, FALSE)</f>
        <v>2014</v>
      </c>
    </row>
    <row r="664" spans="1:26" x14ac:dyDescent="0.3">
      <c r="A664" t="s">
        <v>800</v>
      </c>
      <c r="B664" t="str">
        <f>IFERROR(VLOOKUP(A664,[1]timesData!$B:$P,2,FALSE),VLOOKUP(A664,[2]cwurData!$B:$P,2,FALSE))</f>
        <v>Japan</v>
      </c>
      <c r="C664" t="str">
        <f>VLOOKUP(A664,[1]timesData!$B:$P,3,FALSE)</f>
        <v>601-800</v>
      </c>
      <c r="D664" t="str">
        <f>VLOOKUP(A665,[1]timesData!$B:$P,3,FALSE)</f>
        <v>601-800</v>
      </c>
      <c r="E664">
        <f>VLOOKUP(A665,[1]timesData!$B:$P,4,FALSE)</f>
        <v>18.899999999999999</v>
      </c>
      <c r="F664">
        <f>VLOOKUP(A665,[1]timesData!$B:$P,5,FALSE)</f>
        <v>13.7</v>
      </c>
      <c r="G664">
        <f>VLOOKUP(A665,[1]timesData!$B:$P,6,FALSE)</f>
        <v>16.8</v>
      </c>
      <c r="H664" t="str">
        <f>VLOOKUP(A665,[1]timesData!$B:$P,7,FALSE)</f>
        <v>-</v>
      </c>
      <c r="I664" t="str">
        <f>VLOOKUP(A665,[1]timesData!$B:$P,8,FALSE)</f>
        <v>-</v>
      </c>
      <c r="J664">
        <f>VLOOKUP(A665,[1]timesData!$B:$P,9,FALSE)</f>
        <v>38743</v>
      </c>
      <c r="K664">
        <f>VLOOKUP(A665,[1]timesData!$B:$P,10,FALSE)</f>
        <v>14.8</v>
      </c>
      <c r="L664">
        <f>VLOOKUP(A665,[1]timesData!$B:$P,11,FALSE)</f>
        <v>0.01</v>
      </c>
      <c r="M664">
        <f>VLOOKUP(A665,[1]timesData!$B:$P,12,FALSE)</f>
        <v>2.1180555555555554</v>
      </c>
      <c r="N664">
        <f>VLOOKUP(A665,[1]timesData!$B:$P,13,FALSE)</f>
        <v>2016</v>
      </c>
      <c r="O664">
        <f>VLOOKUP(A664,[2]cwurData!$B:$P,14,FALSE)</f>
        <v>584</v>
      </c>
      <c r="P664">
        <f>VLOOKUP(A664,[2]cwurData!$B:$N, 3, FALSE)</f>
        <v>37</v>
      </c>
      <c r="Q664">
        <f>VLOOKUP(A664,[2]cwurData!$B:$N, 4, FALSE)</f>
        <v>355</v>
      </c>
      <c r="R664">
        <f>VLOOKUP(A664,[2]cwurData!$B:$N, 5, FALSE)</f>
        <v>199</v>
      </c>
      <c r="S664">
        <f>VLOOKUP(A664,[2]cwurData!$B:$N, 6, FALSE)</f>
        <v>210</v>
      </c>
      <c r="T664">
        <f>VLOOKUP(A664,[2]cwurData!$B:$N, 7, FALSE)</f>
        <v>846</v>
      </c>
      <c r="U664">
        <f>VLOOKUP(A664,[2]cwurData!$B:$N, 8, FALSE)</f>
        <v>710</v>
      </c>
      <c r="V664">
        <f>VLOOKUP(A664,[2]cwurData!$B:$N, 9, FALSE)</f>
        <v>493</v>
      </c>
      <c r="W664">
        <f>VLOOKUP(A664,[2]cwurData!$B:$N, 10, FALSE)</f>
        <v>724</v>
      </c>
      <c r="X664">
        <f>VLOOKUP(A664,[2]cwurData!$B:$N, 11, FALSE)</f>
        <v>373</v>
      </c>
      <c r="Y664">
        <f>VLOOKUP(A664,[2]cwurData!$B:$N, 12, FALSE)</f>
        <v>44.85</v>
      </c>
      <c r="Z664">
        <f>VLOOKUP(A664,[2]cwurData!$B:$N, 13, FALSE)</f>
        <v>2014</v>
      </c>
    </row>
    <row r="665" spans="1:26" x14ac:dyDescent="0.3">
      <c r="A665" t="s">
        <v>693</v>
      </c>
      <c r="B665" t="str">
        <f>IFERROR(VLOOKUP(A665,[1]timesData!$B:$P,2,FALSE),VLOOKUP(A665,[2]cwurData!$B:$P,2,FALSE))</f>
        <v>Brazil</v>
      </c>
      <c r="C665" t="str">
        <f>VLOOKUP(A665,[1]timesData!$B:$P,3,FALSE)</f>
        <v>601-800</v>
      </c>
      <c r="D665" t="str">
        <f>VLOOKUP(A666,[1]timesData!$B:$P,3,FALSE)</f>
        <v>601-800</v>
      </c>
      <c r="E665">
        <f>VLOOKUP(A666,[1]timesData!$B:$P,4,FALSE)</f>
        <v>14.8</v>
      </c>
      <c r="F665">
        <f>VLOOKUP(A666,[1]timesData!$B:$P,5,FALSE)</f>
        <v>15</v>
      </c>
      <c r="G665">
        <f>VLOOKUP(A666,[1]timesData!$B:$P,6,FALSE)</f>
        <v>21.2</v>
      </c>
      <c r="H665">
        <f>VLOOKUP(A666,[1]timesData!$B:$P,7,FALSE)</f>
        <v>46.7</v>
      </c>
      <c r="I665" t="str">
        <f>VLOOKUP(A666,[1]timesData!$B:$P,8,FALSE)</f>
        <v>-</v>
      </c>
      <c r="J665">
        <f>VLOOKUP(A666,[1]timesData!$B:$P,9,FALSE)</f>
        <v>42756</v>
      </c>
      <c r="K665">
        <f>VLOOKUP(A666,[1]timesData!$B:$P,10,FALSE)</f>
        <v>24.7</v>
      </c>
      <c r="L665">
        <f>VLOOKUP(A666,[1]timesData!$B:$P,11,FALSE)</f>
        <v>0.02</v>
      </c>
      <c r="M665">
        <f>VLOOKUP(A666,[1]timesData!$B:$P,12,FALSE)</f>
        <v>1.83125</v>
      </c>
      <c r="N665">
        <f>VLOOKUP(A666,[1]timesData!$B:$P,13,FALSE)</f>
        <v>2016</v>
      </c>
      <c r="O665">
        <f>VLOOKUP(A665,[2]cwurData!$B:$P,14,FALSE)</f>
        <v>585</v>
      </c>
      <c r="P665">
        <f>VLOOKUP(A665,[2]cwurData!$B:$N, 3, FALSE)</f>
        <v>5</v>
      </c>
      <c r="Q665">
        <f>VLOOKUP(A665,[2]cwurData!$B:$N, 4, FALSE)</f>
        <v>355</v>
      </c>
      <c r="R665">
        <f>VLOOKUP(A665,[2]cwurData!$B:$N, 5, FALSE)</f>
        <v>478</v>
      </c>
      <c r="S665">
        <f>VLOOKUP(A665,[2]cwurData!$B:$N, 6, FALSE)</f>
        <v>210</v>
      </c>
      <c r="T665">
        <f>VLOOKUP(A665,[2]cwurData!$B:$N, 7, FALSE)</f>
        <v>418</v>
      </c>
      <c r="U665">
        <f>VLOOKUP(A665,[2]cwurData!$B:$N, 8, FALSE)</f>
        <v>632</v>
      </c>
      <c r="V665">
        <f>VLOOKUP(A665,[2]cwurData!$B:$N, 9, FALSE)</f>
        <v>406</v>
      </c>
      <c r="W665">
        <f>VLOOKUP(A665,[2]cwurData!$B:$N, 10, FALSE)</f>
        <v>514</v>
      </c>
      <c r="X665">
        <f>VLOOKUP(A665,[2]cwurData!$B:$N, 11, FALSE)</f>
        <v>552</v>
      </c>
      <c r="Y665">
        <f>VLOOKUP(A665,[2]cwurData!$B:$N, 12, FALSE)</f>
        <v>44.85</v>
      </c>
      <c r="Z665">
        <f>VLOOKUP(A665,[2]cwurData!$B:$N, 13, FALSE)</f>
        <v>2014</v>
      </c>
    </row>
    <row r="666" spans="1:26" x14ac:dyDescent="0.3">
      <c r="A666" t="s">
        <v>707</v>
      </c>
      <c r="B666" t="str">
        <f>IFERROR(VLOOKUP(A666,[1]timesData!$B:$P,2,FALSE),VLOOKUP(A666,[2]cwurData!$B:$P,2,FALSE))</f>
        <v>China</v>
      </c>
      <c r="C666" t="str">
        <f>VLOOKUP(A666,[1]timesData!$B:$P,3,FALSE)</f>
        <v>601-800</v>
      </c>
      <c r="D666" t="str">
        <f>VLOOKUP(A667,[1]timesData!$B:$P,3,FALSE)</f>
        <v>601-800</v>
      </c>
      <c r="E666">
        <f>VLOOKUP(A667,[1]timesData!$B:$P,4,FALSE)</f>
        <v>19.3</v>
      </c>
      <c r="F666">
        <f>VLOOKUP(A667,[1]timesData!$B:$P,5,FALSE)</f>
        <v>7.6</v>
      </c>
      <c r="G666">
        <f>VLOOKUP(A667,[1]timesData!$B:$P,6,FALSE)</f>
        <v>15.3</v>
      </c>
      <c r="H666">
        <f>VLOOKUP(A667,[1]timesData!$B:$P,7,FALSE)</f>
        <v>34.4</v>
      </c>
      <c r="I666" t="str">
        <f>VLOOKUP(A667,[1]timesData!$B:$P,8,FALSE)</f>
        <v>-</v>
      </c>
      <c r="J666">
        <f>VLOOKUP(A667,[1]timesData!$B:$P,9,FALSE)</f>
        <v>29700</v>
      </c>
      <c r="K666">
        <f>VLOOKUP(A667,[1]timesData!$B:$P,10,FALSE)</f>
        <v>12.7</v>
      </c>
      <c r="L666">
        <f>VLOOKUP(A667,[1]timesData!$B:$P,11,FALSE)</f>
        <v>0.01</v>
      </c>
      <c r="M666" t="str">
        <f>VLOOKUP(A667,[1]timesData!$B:$P,12,FALSE)</f>
        <v>27 : 73</v>
      </c>
      <c r="N666">
        <f>VLOOKUP(A667,[1]timesData!$B:$P,13,FALSE)</f>
        <v>2016</v>
      </c>
      <c r="O666">
        <f>VLOOKUP(A666,[2]cwurData!$B:$P,14,FALSE)</f>
        <v>588</v>
      </c>
      <c r="P666">
        <f>VLOOKUP(A666,[2]cwurData!$B:$N, 3, FALSE)</f>
        <v>28</v>
      </c>
      <c r="Q666">
        <f>VLOOKUP(A666,[2]cwurData!$B:$N, 4, FALSE)</f>
        <v>355</v>
      </c>
      <c r="R666">
        <f>VLOOKUP(A666,[2]cwurData!$B:$N, 5, FALSE)</f>
        <v>294</v>
      </c>
      <c r="S666">
        <f>VLOOKUP(A666,[2]cwurData!$B:$N, 6, FALSE)</f>
        <v>210</v>
      </c>
      <c r="T666">
        <f>VLOOKUP(A666,[2]cwurData!$B:$N, 7, FALSE)</f>
        <v>500</v>
      </c>
      <c r="U666">
        <f>VLOOKUP(A666,[2]cwurData!$B:$N, 8, FALSE)</f>
        <v>915</v>
      </c>
      <c r="V666">
        <f>VLOOKUP(A666,[2]cwurData!$B:$N, 9, FALSE)</f>
        <v>800</v>
      </c>
      <c r="W666">
        <f>VLOOKUP(A666,[2]cwurData!$B:$N, 10, FALSE)</f>
        <v>569</v>
      </c>
      <c r="X666">
        <f>VLOOKUP(A666,[2]cwurData!$B:$N, 11, FALSE)</f>
        <v>737</v>
      </c>
      <c r="Y666">
        <f>VLOOKUP(A666,[2]cwurData!$B:$N, 12, FALSE)</f>
        <v>44.84</v>
      </c>
      <c r="Z666">
        <f>VLOOKUP(A666,[2]cwurData!$B:$N, 13, FALSE)</f>
        <v>2014</v>
      </c>
    </row>
    <row r="667" spans="1:26" x14ac:dyDescent="0.3">
      <c r="A667" t="s">
        <v>795</v>
      </c>
      <c r="B667" t="str">
        <f>IFERROR(VLOOKUP(A667,[1]timesData!$B:$P,2,FALSE),VLOOKUP(A667,[2]cwurData!$B:$P,2,FALSE))</f>
        <v>Japan</v>
      </c>
      <c r="C667" t="str">
        <f>VLOOKUP(A667,[1]timesData!$B:$P,3,FALSE)</f>
        <v>601-800</v>
      </c>
      <c r="D667" t="str">
        <f>VLOOKUP(A668,[1]timesData!$B:$P,3,FALSE)</f>
        <v>601-800</v>
      </c>
      <c r="E667">
        <f>VLOOKUP(A668,[1]timesData!$B:$P,4,FALSE)</f>
        <v>17.600000000000001</v>
      </c>
      <c r="F667">
        <f>VLOOKUP(A668,[1]timesData!$B:$P,5,FALSE)</f>
        <v>10.199999999999999</v>
      </c>
      <c r="G667">
        <f>VLOOKUP(A668,[1]timesData!$B:$P,6,FALSE)</f>
        <v>17.5</v>
      </c>
      <c r="H667">
        <f>VLOOKUP(A668,[1]timesData!$B:$P,7,FALSE)</f>
        <v>41.5</v>
      </c>
      <c r="I667" t="str">
        <f>VLOOKUP(A668,[1]timesData!$B:$P,8,FALSE)</f>
        <v>-</v>
      </c>
      <c r="J667">
        <f>VLOOKUP(A668,[1]timesData!$B:$P,9,FALSE)</f>
        <v>8051</v>
      </c>
      <c r="K667">
        <f>VLOOKUP(A668,[1]timesData!$B:$P,10,FALSE)</f>
        <v>7.5</v>
      </c>
      <c r="L667">
        <f>VLOOKUP(A668,[1]timesData!$B:$P,11,FALSE)</f>
        <v>0.03</v>
      </c>
      <c r="M667" t="str">
        <f>VLOOKUP(A668,[1]timesData!$B:$P,12,FALSE)</f>
        <v>36 : 64</v>
      </c>
      <c r="N667">
        <f>VLOOKUP(A668,[1]timesData!$B:$P,13,FALSE)</f>
        <v>2016</v>
      </c>
      <c r="O667">
        <f>VLOOKUP(A667,[2]cwurData!$B:$P,14,FALSE)</f>
        <v>589</v>
      </c>
      <c r="P667">
        <f>VLOOKUP(A667,[2]cwurData!$B:$N, 3, FALSE)</f>
        <v>38</v>
      </c>
      <c r="Q667">
        <f>VLOOKUP(A667,[2]cwurData!$B:$N, 4, FALSE)</f>
        <v>355</v>
      </c>
      <c r="R667">
        <f>VLOOKUP(A667,[2]cwurData!$B:$N, 5, FALSE)</f>
        <v>478</v>
      </c>
      <c r="S667">
        <f>VLOOKUP(A667,[2]cwurData!$B:$N, 6, FALSE)</f>
        <v>210</v>
      </c>
      <c r="T667">
        <f>VLOOKUP(A667,[2]cwurData!$B:$N, 7, FALSE)</f>
        <v>697</v>
      </c>
      <c r="U667">
        <f>VLOOKUP(A667,[2]cwurData!$B:$N, 8, FALSE)</f>
        <v>608</v>
      </c>
      <c r="V667">
        <f>VLOOKUP(A667,[2]cwurData!$B:$N, 9, FALSE)</f>
        <v>493</v>
      </c>
      <c r="W667">
        <f>VLOOKUP(A667,[2]cwurData!$B:$N, 10, FALSE)</f>
        <v>488</v>
      </c>
      <c r="X667">
        <f>VLOOKUP(A667,[2]cwurData!$B:$N, 11, FALSE)</f>
        <v>481</v>
      </c>
      <c r="Y667">
        <f>VLOOKUP(A667,[2]cwurData!$B:$N, 12, FALSE)</f>
        <v>44.84</v>
      </c>
      <c r="Z667">
        <f>VLOOKUP(A667,[2]cwurData!$B:$N, 13, FALSE)</f>
        <v>2014</v>
      </c>
    </row>
    <row r="668" spans="1:26" x14ac:dyDescent="0.3">
      <c r="A668" t="s">
        <v>751</v>
      </c>
      <c r="B668" t="str">
        <f>IFERROR(VLOOKUP(A668,[1]timesData!$B:$P,2,FALSE),VLOOKUP(A668,[2]cwurData!$B:$P,2,FALSE))</f>
        <v>Japan</v>
      </c>
      <c r="C668" t="str">
        <f>VLOOKUP(A668,[1]timesData!$B:$P,3,FALSE)</f>
        <v>601-800</v>
      </c>
      <c r="D668" t="str">
        <f>VLOOKUP(A669,[1]timesData!$B:$P,3,FALSE)</f>
        <v>601-800</v>
      </c>
      <c r="E668">
        <f>VLOOKUP(A669,[1]timesData!$B:$P,4,FALSE)</f>
        <v>15.7</v>
      </c>
      <c r="F668">
        <f>VLOOKUP(A669,[1]timesData!$B:$P,5,FALSE)</f>
        <v>24.7</v>
      </c>
      <c r="G668">
        <f>VLOOKUP(A669,[1]timesData!$B:$P,6,FALSE)</f>
        <v>27.6</v>
      </c>
      <c r="H668">
        <f>VLOOKUP(A669,[1]timesData!$B:$P,7,FALSE)</f>
        <v>31.9</v>
      </c>
      <c r="I668" t="str">
        <f>VLOOKUP(A669,[1]timesData!$B:$P,8,FALSE)</f>
        <v>-</v>
      </c>
      <c r="J668">
        <f>VLOOKUP(A669,[1]timesData!$B:$P,9,FALSE)</f>
        <v>7506</v>
      </c>
      <c r="K668">
        <f>VLOOKUP(A669,[1]timesData!$B:$P,10,FALSE)</f>
        <v>12.6</v>
      </c>
      <c r="L668">
        <f>VLOOKUP(A669,[1]timesData!$B:$P,11,FALSE)</f>
        <v>0</v>
      </c>
      <c r="M668">
        <f>VLOOKUP(A669,[1]timesData!$B:$P,12,FALSE)</f>
        <v>1.7902777777777779</v>
      </c>
      <c r="N668">
        <f>VLOOKUP(A669,[1]timesData!$B:$P,13,FALSE)</f>
        <v>2016</v>
      </c>
      <c r="O668">
        <f>VLOOKUP(A668,[2]cwurData!$B:$P,14,FALSE)</f>
        <v>594</v>
      </c>
      <c r="P668">
        <f>VLOOKUP(A668,[2]cwurData!$B:$N, 3, FALSE)</f>
        <v>39</v>
      </c>
      <c r="Q668">
        <f>VLOOKUP(A668,[2]cwurData!$B:$N, 4, FALSE)</f>
        <v>355</v>
      </c>
      <c r="R668">
        <f>VLOOKUP(A668,[2]cwurData!$B:$N, 5, FALSE)</f>
        <v>316</v>
      </c>
      <c r="S668">
        <f>VLOOKUP(A668,[2]cwurData!$B:$N, 6, FALSE)</f>
        <v>210</v>
      </c>
      <c r="T668">
        <f>VLOOKUP(A668,[2]cwurData!$B:$N, 7, FALSE)</f>
        <v>646</v>
      </c>
      <c r="U668">
        <f>VLOOKUP(A668,[2]cwurData!$B:$N, 8, FALSE)</f>
        <v>682</v>
      </c>
      <c r="V668">
        <f>VLOOKUP(A668,[2]cwurData!$B:$N, 9, FALSE)</f>
        <v>609</v>
      </c>
      <c r="W668">
        <f>VLOOKUP(A668,[2]cwurData!$B:$N, 10, FALSE)</f>
        <v>675</v>
      </c>
      <c r="X668">
        <f>VLOOKUP(A668,[2]cwurData!$B:$N, 11, FALSE)</f>
        <v>204</v>
      </c>
      <c r="Y668">
        <f>VLOOKUP(A668,[2]cwurData!$B:$N, 12, FALSE)</f>
        <v>44.83</v>
      </c>
      <c r="Z668">
        <f>VLOOKUP(A668,[2]cwurData!$B:$N, 13, FALSE)</f>
        <v>2014</v>
      </c>
    </row>
    <row r="669" spans="1:26" x14ac:dyDescent="0.3">
      <c r="A669" t="s">
        <v>666</v>
      </c>
      <c r="B669" t="str">
        <f>IFERROR(VLOOKUP(A669,[1]timesData!$B:$P,2,FALSE),VLOOKUP(A669,[2]cwurData!$B:$P,2,FALSE))</f>
        <v>Taiwan</v>
      </c>
      <c r="C669" t="str">
        <f>VLOOKUP(A669,[1]timesData!$B:$P,3,FALSE)</f>
        <v>601-800</v>
      </c>
      <c r="D669" t="str">
        <f>VLOOKUP(A670,[1]timesData!$B:$P,3,FALSE)</f>
        <v>601-800</v>
      </c>
      <c r="E669">
        <f>VLOOKUP(A670,[1]timesData!$B:$P,4,FALSE)</f>
        <v>15.6</v>
      </c>
      <c r="F669">
        <f>VLOOKUP(A670,[1]timesData!$B:$P,5,FALSE)</f>
        <v>22.4</v>
      </c>
      <c r="G669">
        <f>VLOOKUP(A670,[1]timesData!$B:$P,6,FALSE)</f>
        <v>6.9</v>
      </c>
      <c r="H669">
        <f>VLOOKUP(A670,[1]timesData!$B:$P,7,FALSE)</f>
        <v>89.7</v>
      </c>
      <c r="I669" t="str">
        <f>VLOOKUP(A670,[1]timesData!$B:$P,8,FALSE)</f>
        <v>-</v>
      </c>
      <c r="J669">
        <f>VLOOKUP(A670,[1]timesData!$B:$P,9,FALSE)</f>
        <v>22780</v>
      </c>
      <c r="K669">
        <f>VLOOKUP(A670,[1]timesData!$B:$P,10,FALSE)</f>
        <v>15.1</v>
      </c>
      <c r="L669">
        <f>VLOOKUP(A670,[1]timesData!$B:$P,11,FALSE)</f>
        <v>0.04</v>
      </c>
      <c r="M669" t="str">
        <f>VLOOKUP(A670,[1]timesData!$B:$P,12,FALSE)</f>
        <v>36 : 64</v>
      </c>
      <c r="N669">
        <f>VLOOKUP(A670,[1]timesData!$B:$P,13,FALSE)</f>
        <v>2016</v>
      </c>
      <c r="O669">
        <f>VLOOKUP(A669,[2]cwurData!$B:$P,14,FALSE)</f>
        <v>595</v>
      </c>
      <c r="P669">
        <f>VLOOKUP(A669,[2]cwurData!$B:$N, 3, FALSE)</f>
        <v>7</v>
      </c>
      <c r="Q669">
        <f>VLOOKUP(A669,[2]cwurData!$B:$N, 4, FALSE)</f>
        <v>355</v>
      </c>
      <c r="R669">
        <f>VLOOKUP(A669,[2]cwurData!$B:$N, 5, FALSE)</f>
        <v>478</v>
      </c>
      <c r="S669">
        <f>VLOOKUP(A669,[2]cwurData!$B:$N, 6, FALSE)</f>
        <v>210</v>
      </c>
      <c r="T669">
        <f>VLOOKUP(A669,[2]cwurData!$B:$N, 7, FALSE)</f>
        <v>357</v>
      </c>
      <c r="U669">
        <f>VLOOKUP(A669,[2]cwurData!$B:$N, 8, FALSE)</f>
        <v>582</v>
      </c>
      <c r="V669">
        <f>VLOOKUP(A669,[2]cwurData!$B:$N, 9, FALSE)</f>
        <v>800</v>
      </c>
      <c r="W669">
        <f>VLOOKUP(A669,[2]cwurData!$B:$N, 10, FALSE)</f>
        <v>536</v>
      </c>
      <c r="X669">
        <f>VLOOKUP(A669,[2]cwurData!$B:$N, 11, FALSE)</f>
        <v>737</v>
      </c>
      <c r="Y669">
        <f>VLOOKUP(A669,[2]cwurData!$B:$N, 12, FALSE)</f>
        <v>44.82</v>
      </c>
      <c r="Z669">
        <f>VLOOKUP(A669,[2]cwurData!$B:$N, 13, FALSE)</f>
        <v>2014</v>
      </c>
    </row>
    <row r="670" spans="1:26" x14ac:dyDescent="0.3">
      <c r="A670" t="s">
        <v>768</v>
      </c>
      <c r="B670" t="str">
        <f>IFERROR(VLOOKUP(A670,[1]timesData!$B:$P,2,FALSE),VLOOKUP(A670,[2]cwurData!$B:$P,2,FALSE))</f>
        <v>China</v>
      </c>
      <c r="C670" t="str">
        <f>VLOOKUP(A670,[1]timesData!$B:$P,3,FALSE)</f>
        <v>601-800</v>
      </c>
      <c r="D670" t="str">
        <f>VLOOKUP(A671,[1]timesData!$B:$P,3,FALSE)</f>
        <v>601-800</v>
      </c>
      <c r="E670">
        <f>VLOOKUP(A671,[1]timesData!$B:$P,4,FALSE)</f>
        <v>20</v>
      </c>
      <c r="F670">
        <f>VLOOKUP(A671,[1]timesData!$B:$P,5,FALSE)</f>
        <v>23.3</v>
      </c>
      <c r="G670">
        <f>VLOOKUP(A671,[1]timesData!$B:$P,6,FALSE)</f>
        <v>10</v>
      </c>
      <c r="H670">
        <f>VLOOKUP(A671,[1]timesData!$B:$P,7,FALSE)</f>
        <v>100</v>
      </c>
      <c r="I670" t="str">
        <f>VLOOKUP(A671,[1]timesData!$B:$P,8,FALSE)</f>
        <v>-</v>
      </c>
      <c r="J670">
        <f>VLOOKUP(A671,[1]timesData!$B:$P,9,FALSE)</f>
        <v>82096</v>
      </c>
      <c r="K670">
        <f>VLOOKUP(A671,[1]timesData!$B:$P,10,FALSE)</f>
        <v>41.1</v>
      </c>
      <c r="L670">
        <f>VLOOKUP(A671,[1]timesData!$B:$P,11,FALSE)</f>
        <v>0.06</v>
      </c>
      <c r="M670">
        <f>VLOOKUP(A671,[1]timesData!$B:$P,12,FALSE)</f>
        <v>1.8722222222222222</v>
      </c>
      <c r="N670">
        <f>VLOOKUP(A671,[1]timesData!$B:$P,13,FALSE)</f>
        <v>2016</v>
      </c>
      <c r="O670">
        <f>VLOOKUP(A670,[2]cwurData!$B:$P,14,FALSE)</f>
        <v>599</v>
      </c>
      <c r="P670">
        <f>VLOOKUP(A670,[2]cwurData!$B:$N, 3, FALSE)</f>
        <v>29</v>
      </c>
      <c r="Q670">
        <f>VLOOKUP(A670,[2]cwurData!$B:$N, 4, FALSE)</f>
        <v>355</v>
      </c>
      <c r="R670">
        <f>VLOOKUP(A670,[2]cwurData!$B:$N, 5, FALSE)</f>
        <v>166</v>
      </c>
      <c r="S670">
        <f>VLOOKUP(A670,[2]cwurData!$B:$N, 6, FALSE)</f>
        <v>210</v>
      </c>
      <c r="T670">
        <f>VLOOKUP(A670,[2]cwurData!$B:$N, 7, FALSE)</f>
        <v>592</v>
      </c>
      <c r="U670">
        <f>VLOOKUP(A670,[2]cwurData!$B:$N, 8, FALSE)</f>
        <v>928</v>
      </c>
      <c r="V670">
        <f>VLOOKUP(A670,[2]cwurData!$B:$N, 9, FALSE)</f>
        <v>493</v>
      </c>
      <c r="W670">
        <f>VLOOKUP(A670,[2]cwurData!$B:$N, 10, FALSE)</f>
        <v>897</v>
      </c>
      <c r="X670">
        <f>VLOOKUP(A670,[2]cwurData!$B:$N, 11, FALSE)</f>
        <v>373</v>
      </c>
      <c r="Y670">
        <f>VLOOKUP(A670,[2]cwurData!$B:$N, 12, FALSE)</f>
        <v>44.82</v>
      </c>
      <c r="Z670">
        <f>VLOOKUP(A670,[2]cwurData!$B:$N, 13, FALSE)</f>
        <v>2014</v>
      </c>
    </row>
    <row r="671" spans="1:26" x14ac:dyDescent="0.3">
      <c r="A671" t="s">
        <v>712</v>
      </c>
      <c r="B671" t="str">
        <f>IFERROR(VLOOKUP(A671,[1]timesData!$B:$P,2,FALSE),VLOOKUP(A671,[2]cwurData!$B:$P,2,FALSE))</f>
        <v>Turkey</v>
      </c>
      <c r="C671" t="str">
        <f>VLOOKUP(A671,[1]timesData!$B:$P,3,FALSE)</f>
        <v>601-800</v>
      </c>
      <c r="D671" t="str">
        <f>VLOOKUP(A672,[1]timesData!$B:$P,3,FALSE)</f>
        <v>601-800</v>
      </c>
      <c r="E671">
        <f>VLOOKUP(A672,[1]timesData!$B:$P,4,FALSE)</f>
        <v>23.5</v>
      </c>
      <c r="F671">
        <f>VLOOKUP(A672,[1]timesData!$B:$P,5,FALSE)</f>
        <v>20</v>
      </c>
      <c r="G671">
        <f>VLOOKUP(A672,[1]timesData!$B:$P,6,FALSE)</f>
        <v>22.5</v>
      </c>
      <c r="H671">
        <f>VLOOKUP(A672,[1]timesData!$B:$P,7,FALSE)</f>
        <v>64.7</v>
      </c>
      <c r="I671" t="str">
        <f>VLOOKUP(A672,[1]timesData!$B:$P,8,FALSE)</f>
        <v>-</v>
      </c>
      <c r="J671">
        <f>VLOOKUP(A672,[1]timesData!$B:$P,9,FALSE)</f>
        <v>20353</v>
      </c>
      <c r="K671">
        <f>VLOOKUP(A672,[1]timesData!$B:$P,10,FALSE)</f>
        <v>24.1</v>
      </c>
      <c r="L671">
        <f>VLOOKUP(A672,[1]timesData!$B:$P,11,FALSE)</f>
        <v>0.03</v>
      </c>
      <c r="M671" t="str">
        <f>VLOOKUP(A672,[1]timesData!$B:$P,12,FALSE)</f>
        <v>36 : 64</v>
      </c>
      <c r="N671">
        <f>VLOOKUP(A672,[1]timesData!$B:$P,13,FALSE)</f>
        <v>2016</v>
      </c>
      <c r="O671">
        <f>VLOOKUP(A671,[2]cwurData!$B:$P,14,FALSE)</f>
        <v>602</v>
      </c>
      <c r="P671">
        <f>VLOOKUP(A671,[2]cwurData!$B:$N, 3, FALSE)</f>
        <v>2</v>
      </c>
      <c r="Q671">
        <f>VLOOKUP(A671,[2]cwurData!$B:$N, 4, FALSE)</f>
        <v>255</v>
      </c>
      <c r="R671">
        <f>VLOOKUP(A671,[2]cwurData!$B:$N, 5, FALSE)</f>
        <v>337</v>
      </c>
      <c r="S671">
        <f>VLOOKUP(A671,[2]cwurData!$B:$N, 6, FALSE)</f>
        <v>210</v>
      </c>
      <c r="T671">
        <f>VLOOKUP(A671,[2]cwurData!$B:$N, 7, FALSE)</f>
        <v>681</v>
      </c>
      <c r="U671">
        <f>VLOOKUP(A671,[2]cwurData!$B:$N, 8, FALSE)</f>
        <v>580</v>
      </c>
      <c r="V671">
        <f>VLOOKUP(A671,[2]cwurData!$B:$N, 9, FALSE)</f>
        <v>609</v>
      </c>
      <c r="W671">
        <f>VLOOKUP(A671,[2]cwurData!$B:$N, 10, FALSE)</f>
        <v>554</v>
      </c>
      <c r="X671">
        <f>VLOOKUP(A671,[2]cwurData!$B:$N, 11, FALSE)</f>
        <v>737</v>
      </c>
      <c r="Y671">
        <f>VLOOKUP(A671,[2]cwurData!$B:$N, 12, FALSE)</f>
        <v>44.81</v>
      </c>
      <c r="Z671">
        <f>VLOOKUP(A671,[2]cwurData!$B:$N, 13, FALSE)</f>
        <v>2014</v>
      </c>
    </row>
    <row r="672" spans="1:26" x14ac:dyDescent="0.3">
      <c r="A672" t="s">
        <v>710</v>
      </c>
      <c r="B672" t="str">
        <f>IFERROR(VLOOKUP(A672,[1]timesData!$B:$P,2,FALSE),VLOOKUP(A672,[2]cwurData!$B:$P,2,FALSE))</f>
        <v>South Korea</v>
      </c>
      <c r="C672" t="str">
        <f>VLOOKUP(A672,[1]timesData!$B:$P,3,FALSE)</f>
        <v>601-800</v>
      </c>
      <c r="D672" t="str">
        <f>VLOOKUP(A673,[1]timesData!$B:$P,3,FALSE)</f>
        <v>601-800</v>
      </c>
      <c r="E672">
        <f>VLOOKUP(A673,[1]timesData!$B:$P,4,FALSE)</f>
        <v>19.8</v>
      </c>
      <c r="F672">
        <f>VLOOKUP(A673,[1]timesData!$B:$P,5,FALSE)</f>
        <v>17.7</v>
      </c>
      <c r="G672">
        <f>VLOOKUP(A673,[1]timesData!$B:$P,6,FALSE)</f>
        <v>13.2</v>
      </c>
      <c r="H672">
        <f>VLOOKUP(A673,[1]timesData!$B:$P,7,FALSE)</f>
        <v>39.9</v>
      </c>
      <c r="I672" t="str">
        <f>VLOOKUP(A673,[1]timesData!$B:$P,8,FALSE)</f>
        <v>-</v>
      </c>
      <c r="J672">
        <f>VLOOKUP(A673,[1]timesData!$B:$P,9,FALSE)</f>
        <v>18361</v>
      </c>
      <c r="K672">
        <f>VLOOKUP(A673,[1]timesData!$B:$P,10,FALSE)</f>
        <v>17.2</v>
      </c>
      <c r="L672">
        <f>VLOOKUP(A673,[1]timesData!$B:$P,11,FALSE)</f>
        <v>0.03</v>
      </c>
      <c r="M672">
        <f>VLOOKUP(A673,[1]timesData!$B:$P,12,FALSE)</f>
        <v>0</v>
      </c>
      <c r="N672">
        <f>VLOOKUP(A673,[1]timesData!$B:$P,13,FALSE)</f>
        <v>2016</v>
      </c>
      <c r="O672">
        <f>VLOOKUP(A672,[2]cwurData!$B:$P,14,FALSE)</f>
        <v>615</v>
      </c>
      <c r="P672">
        <f>VLOOKUP(A672,[2]cwurData!$B:$N, 3, FALSE)</f>
        <v>22</v>
      </c>
      <c r="Q672">
        <f>VLOOKUP(A672,[2]cwurData!$B:$N, 4, FALSE)</f>
        <v>355</v>
      </c>
      <c r="R672">
        <f>VLOOKUP(A672,[2]cwurData!$B:$N, 5, FALSE)</f>
        <v>387</v>
      </c>
      <c r="S672">
        <f>VLOOKUP(A672,[2]cwurData!$B:$N, 6, FALSE)</f>
        <v>210</v>
      </c>
      <c r="T672">
        <f>VLOOKUP(A672,[2]cwurData!$B:$N, 7, FALSE)</f>
        <v>543</v>
      </c>
      <c r="U672">
        <f>VLOOKUP(A672,[2]cwurData!$B:$N, 8, FALSE)</f>
        <v>770</v>
      </c>
      <c r="V672">
        <f>VLOOKUP(A672,[2]cwurData!$B:$N, 9, FALSE)</f>
        <v>609</v>
      </c>
      <c r="W672">
        <f>VLOOKUP(A672,[2]cwurData!$B:$N, 10, FALSE)</f>
        <v>569</v>
      </c>
      <c r="X672">
        <f>VLOOKUP(A672,[2]cwurData!$B:$N, 11, FALSE)</f>
        <v>481</v>
      </c>
      <c r="Y672">
        <f>VLOOKUP(A672,[2]cwurData!$B:$N, 12, FALSE)</f>
        <v>44.78</v>
      </c>
      <c r="Z672">
        <f>VLOOKUP(A672,[2]cwurData!$B:$N, 13, FALSE)</f>
        <v>2014</v>
      </c>
    </row>
    <row r="673" spans="1:26" x14ac:dyDescent="0.3">
      <c r="A673" t="s">
        <v>678</v>
      </c>
      <c r="B673" t="str">
        <f>IFERROR(VLOOKUP(A673,[1]timesData!$B:$P,2,FALSE),VLOOKUP(A673,[2]cwurData!$B:$P,2,FALSE))</f>
        <v>South Korea</v>
      </c>
      <c r="C673" t="str">
        <f>VLOOKUP(A673,[1]timesData!$B:$P,3,FALSE)</f>
        <v>601-800</v>
      </c>
      <c r="D673" t="str">
        <f>VLOOKUP(A674,[1]timesData!$B:$P,3,FALSE)</f>
        <v>601-800</v>
      </c>
      <c r="E673">
        <f>VLOOKUP(A674,[1]timesData!$B:$P,4,FALSE)</f>
        <v>30.6</v>
      </c>
      <c r="F673">
        <f>VLOOKUP(A674,[1]timesData!$B:$P,5,FALSE)</f>
        <v>12.1</v>
      </c>
      <c r="G673">
        <f>VLOOKUP(A674,[1]timesData!$B:$P,6,FALSE)</f>
        <v>28.8</v>
      </c>
      <c r="H673">
        <f>VLOOKUP(A674,[1]timesData!$B:$P,7,FALSE)</f>
        <v>48.3</v>
      </c>
      <c r="I673" t="str">
        <f>VLOOKUP(A674,[1]timesData!$B:$P,8,FALSE)</f>
        <v>-</v>
      </c>
      <c r="J673">
        <f>VLOOKUP(A674,[1]timesData!$B:$P,9,FALSE)</f>
        <v>29251</v>
      </c>
      <c r="K673">
        <f>VLOOKUP(A674,[1]timesData!$B:$P,10,FALSE)</f>
        <v>40.9</v>
      </c>
      <c r="L673">
        <f>VLOOKUP(A674,[1]timesData!$B:$P,11,FALSE)</f>
        <v>0.04</v>
      </c>
      <c r="M673">
        <f>VLOOKUP(A674,[1]timesData!$B:$P,12,FALSE)</f>
        <v>1.9541666666666666</v>
      </c>
      <c r="N673">
        <f>VLOOKUP(A674,[1]timesData!$B:$P,13,FALSE)</f>
        <v>2016</v>
      </c>
      <c r="O673">
        <f>VLOOKUP(A673,[2]cwurData!$B:$P,14,FALSE)</f>
        <v>619</v>
      </c>
      <c r="P673">
        <f>VLOOKUP(A673,[2]cwurData!$B:$N, 3, FALSE)</f>
        <v>23</v>
      </c>
      <c r="Q673">
        <f>VLOOKUP(A673,[2]cwurData!$B:$N, 4, FALSE)</f>
        <v>355</v>
      </c>
      <c r="R673">
        <f>VLOOKUP(A673,[2]cwurData!$B:$N, 5, FALSE)</f>
        <v>478</v>
      </c>
      <c r="S673">
        <f>VLOOKUP(A673,[2]cwurData!$B:$N, 6, FALSE)</f>
        <v>210</v>
      </c>
      <c r="T673">
        <f>VLOOKUP(A673,[2]cwurData!$B:$N, 7, FALSE)</f>
        <v>472</v>
      </c>
      <c r="U673">
        <f>VLOOKUP(A673,[2]cwurData!$B:$N, 8, FALSE)</f>
        <v>561</v>
      </c>
      <c r="V673">
        <f>VLOOKUP(A673,[2]cwurData!$B:$N, 9, FALSE)</f>
        <v>493</v>
      </c>
      <c r="W673">
        <f>VLOOKUP(A673,[2]cwurData!$B:$N, 10, FALSE)</f>
        <v>585</v>
      </c>
      <c r="X673">
        <f>VLOOKUP(A673,[2]cwurData!$B:$N, 11, FALSE)</f>
        <v>307</v>
      </c>
      <c r="Y673">
        <f>VLOOKUP(A673,[2]cwurData!$B:$N, 12, FALSE)</f>
        <v>44.77</v>
      </c>
      <c r="Z673">
        <f>VLOOKUP(A673,[2]cwurData!$B:$N, 13, FALSE)</f>
        <v>2014</v>
      </c>
    </row>
    <row r="674" spans="1:26" x14ac:dyDescent="0.3">
      <c r="A674" t="s">
        <v>754</v>
      </c>
      <c r="B674" t="str">
        <f>IFERROR(VLOOKUP(A674,[1]timesData!$B:$P,2,FALSE),VLOOKUP(A674,[2]cwurData!$B:$P,2,FALSE))</f>
        <v>Greece</v>
      </c>
      <c r="C674" t="str">
        <f>VLOOKUP(A674,[1]timesData!$B:$P,3,FALSE)</f>
        <v>601-800</v>
      </c>
      <c r="D674" t="str">
        <f>VLOOKUP(A675,[1]timesData!$B:$P,3,FALSE)</f>
        <v>601-800</v>
      </c>
      <c r="E674">
        <f>VLOOKUP(A675,[1]timesData!$B:$P,4,FALSE)</f>
        <v>16.899999999999999</v>
      </c>
      <c r="F674">
        <f>VLOOKUP(A675,[1]timesData!$B:$P,5,FALSE)</f>
        <v>16.8</v>
      </c>
      <c r="G674">
        <f>VLOOKUP(A675,[1]timesData!$B:$P,6,FALSE)</f>
        <v>24.5</v>
      </c>
      <c r="H674">
        <f>VLOOKUP(A675,[1]timesData!$B:$P,7,FALSE)</f>
        <v>42.5</v>
      </c>
      <c r="I674" t="str">
        <f>VLOOKUP(A675,[1]timesData!$B:$P,8,FALSE)</f>
        <v>-</v>
      </c>
      <c r="J674">
        <f>VLOOKUP(A675,[1]timesData!$B:$P,9,FALSE)</f>
        <v>15632</v>
      </c>
      <c r="K674">
        <f>VLOOKUP(A675,[1]timesData!$B:$P,10,FALSE)</f>
        <v>20.3</v>
      </c>
      <c r="L674">
        <f>VLOOKUP(A675,[1]timesData!$B:$P,11,FALSE)</f>
        <v>0.04</v>
      </c>
      <c r="M674" t="str">
        <f>VLOOKUP(A675,[1]timesData!$B:$P,12,FALSE)</f>
        <v>39 : 61</v>
      </c>
      <c r="N674">
        <f>VLOOKUP(A675,[1]timesData!$B:$P,13,FALSE)</f>
        <v>2016</v>
      </c>
      <c r="O674">
        <f>VLOOKUP(A674,[2]cwurData!$B:$P,14,FALSE)</f>
        <v>631</v>
      </c>
      <c r="P674">
        <f>VLOOKUP(A674,[2]cwurData!$B:$N, 3, FALSE)</f>
        <v>5</v>
      </c>
      <c r="Q674">
        <f>VLOOKUP(A674,[2]cwurData!$B:$N, 4, FALSE)</f>
        <v>355</v>
      </c>
      <c r="R674">
        <f>VLOOKUP(A674,[2]cwurData!$B:$N, 5, FALSE)</f>
        <v>478</v>
      </c>
      <c r="S674">
        <f>VLOOKUP(A674,[2]cwurData!$B:$N, 6, FALSE)</f>
        <v>210</v>
      </c>
      <c r="T674">
        <f>VLOOKUP(A674,[2]cwurData!$B:$N, 7, FALSE)</f>
        <v>485</v>
      </c>
      <c r="U674">
        <f>VLOOKUP(A674,[2]cwurData!$B:$N, 8, FALSE)</f>
        <v>674</v>
      </c>
      <c r="V674">
        <f>VLOOKUP(A674,[2]cwurData!$B:$N, 9, FALSE)</f>
        <v>406</v>
      </c>
      <c r="W674">
        <f>VLOOKUP(A674,[2]cwurData!$B:$N, 10, FALSE)</f>
        <v>554</v>
      </c>
      <c r="X674">
        <f>VLOOKUP(A674,[2]cwurData!$B:$N, 11, FALSE)</f>
        <v>552</v>
      </c>
      <c r="Y674">
        <f>VLOOKUP(A674,[2]cwurData!$B:$N, 12, FALSE)</f>
        <v>44.74</v>
      </c>
      <c r="Z674">
        <f>VLOOKUP(A674,[2]cwurData!$B:$N, 13, FALSE)</f>
        <v>2014</v>
      </c>
    </row>
    <row r="675" spans="1:26" x14ac:dyDescent="0.3">
      <c r="A675" t="s">
        <v>738</v>
      </c>
      <c r="B675" t="str">
        <f>IFERROR(VLOOKUP(A675,[1]timesData!$B:$P,2,FALSE),VLOOKUP(A675,[2]cwurData!$B:$P,2,FALSE))</f>
        <v>Taiwan</v>
      </c>
      <c r="C675" t="str">
        <f>VLOOKUP(A675,[1]timesData!$B:$P,3,FALSE)</f>
        <v>601-800</v>
      </c>
      <c r="D675" t="str">
        <f>VLOOKUP(A676,[1]timesData!$B:$P,3,FALSE)</f>
        <v>601-800</v>
      </c>
      <c r="E675">
        <f>VLOOKUP(A676,[1]timesData!$B:$P,4,FALSE)</f>
        <v>17.899999999999999</v>
      </c>
      <c r="F675">
        <f>VLOOKUP(A676,[1]timesData!$B:$P,5,FALSE)</f>
        <v>3.7</v>
      </c>
      <c r="G675">
        <f>VLOOKUP(A676,[1]timesData!$B:$P,6,FALSE)</f>
        <v>35.700000000000003</v>
      </c>
      <c r="H675" t="str">
        <f>VLOOKUP(A676,[1]timesData!$B:$P,7,FALSE)</f>
        <v>-</v>
      </c>
      <c r="I675" t="str">
        <f>VLOOKUP(A676,[1]timesData!$B:$P,8,FALSE)</f>
        <v>-</v>
      </c>
      <c r="J675">
        <f>VLOOKUP(A676,[1]timesData!$B:$P,9,FALSE)</f>
        <v>35569</v>
      </c>
      <c r="K675">
        <f>VLOOKUP(A676,[1]timesData!$B:$P,10,FALSE)</f>
        <v>17</v>
      </c>
      <c r="L675">
        <f>VLOOKUP(A676,[1]timesData!$B:$P,11,FALSE)</f>
        <v>0.01</v>
      </c>
      <c r="M675" t="str">
        <f>VLOOKUP(A676,[1]timesData!$B:$P,12,FALSE)</f>
        <v>-</v>
      </c>
      <c r="N675">
        <f>VLOOKUP(A676,[1]timesData!$B:$P,13,FALSE)</f>
        <v>2016</v>
      </c>
      <c r="O675">
        <f>VLOOKUP(A675,[2]cwurData!$B:$P,14,FALSE)</f>
        <v>635</v>
      </c>
      <c r="P675">
        <f>VLOOKUP(A675,[2]cwurData!$B:$N, 3, FALSE)</f>
        <v>8</v>
      </c>
      <c r="Q675">
        <f>VLOOKUP(A675,[2]cwurData!$B:$N, 4, FALSE)</f>
        <v>355</v>
      </c>
      <c r="R675">
        <f>VLOOKUP(A675,[2]cwurData!$B:$N, 5, FALSE)</f>
        <v>364</v>
      </c>
      <c r="S675">
        <f>VLOOKUP(A675,[2]cwurData!$B:$N, 6, FALSE)</f>
        <v>210</v>
      </c>
      <c r="T675">
        <f>VLOOKUP(A675,[2]cwurData!$B:$N, 7, FALSE)</f>
        <v>405</v>
      </c>
      <c r="U675">
        <f>VLOOKUP(A675,[2]cwurData!$B:$N, 8, FALSE)</f>
        <v>692</v>
      </c>
      <c r="V675">
        <f>VLOOKUP(A675,[2]cwurData!$B:$N, 9, FALSE)</f>
        <v>609</v>
      </c>
      <c r="W675">
        <f>VLOOKUP(A675,[2]cwurData!$B:$N, 10, FALSE)</f>
        <v>642</v>
      </c>
      <c r="X675">
        <f>VLOOKUP(A675,[2]cwurData!$B:$N, 11, FALSE)</f>
        <v>737</v>
      </c>
      <c r="Y675">
        <f>VLOOKUP(A675,[2]cwurData!$B:$N, 12, FALSE)</f>
        <v>44.74</v>
      </c>
      <c r="Z675">
        <f>VLOOKUP(A675,[2]cwurData!$B:$N, 13, FALSE)</f>
        <v>2014</v>
      </c>
    </row>
    <row r="676" spans="1:26" x14ac:dyDescent="0.3">
      <c r="A676" t="s">
        <v>635</v>
      </c>
      <c r="B676" t="str">
        <f>IFERROR(VLOOKUP(A676,[1]timesData!$B:$P,2,FALSE),VLOOKUP(A676,[2]cwurData!$B:$P,2,FALSE))</f>
        <v>Poland</v>
      </c>
      <c r="C676" t="str">
        <f>VLOOKUP(A676,[1]timesData!$B:$P,3,FALSE)</f>
        <v>601-800</v>
      </c>
      <c r="D676" t="str">
        <f>VLOOKUP(A677,[1]timesData!$B:$P,3,FALSE)</f>
        <v>601-800</v>
      </c>
      <c r="E676">
        <f>VLOOKUP(A677,[1]timesData!$B:$P,4,FALSE)</f>
        <v>18.5</v>
      </c>
      <c r="F676">
        <f>VLOOKUP(A677,[1]timesData!$B:$P,5,FALSE)</f>
        <v>16.899999999999999</v>
      </c>
      <c r="G676">
        <f>VLOOKUP(A677,[1]timesData!$B:$P,6,FALSE)</f>
        <v>14.7</v>
      </c>
      <c r="H676">
        <f>VLOOKUP(A677,[1]timesData!$B:$P,7,FALSE)</f>
        <v>32.799999999999997</v>
      </c>
      <c r="I676" t="str">
        <f>VLOOKUP(A677,[1]timesData!$B:$P,8,FALSE)</f>
        <v>-</v>
      </c>
      <c r="J676">
        <f>VLOOKUP(A677,[1]timesData!$B:$P,9,FALSE)</f>
        <v>7318</v>
      </c>
      <c r="K676">
        <f>VLOOKUP(A677,[1]timesData!$B:$P,10,FALSE)</f>
        <v>12.4</v>
      </c>
      <c r="L676">
        <f>VLOOKUP(A677,[1]timesData!$B:$P,11,FALSE)</f>
        <v>0.04</v>
      </c>
      <c r="M676" t="str">
        <f>VLOOKUP(A677,[1]timesData!$B:$P,12,FALSE)</f>
        <v>35 : 65</v>
      </c>
      <c r="N676">
        <f>VLOOKUP(A677,[1]timesData!$B:$P,13,FALSE)</f>
        <v>2016</v>
      </c>
      <c r="O676">
        <f>VLOOKUP(A676,[2]cwurData!$B:$P,14,FALSE)</f>
        <v>653</v>
      </c>
      <c r="P676">
        <f>VLOOKUP(A676,[2]cwurData!$B:$N, 3, FALSE)</f>
        <v>3</v>
      </c>
      <c r="Q676">
        <f>VLOOKUP(A676,[2]cwurData!$B:$N, 4, FALSE)</f>
        <v>257</v>
      </c>
      <c r="R676">
        <f>VLOOKUP(A676,[2]cwurData!$B:$N, 5, FALSE)</f>
        <v>197</v>
      </c>
      <c r="S676">
        <f>VLOOKUP(A676,[2]cwurData!$B:$N, 6, FALSE)</f>
        <v>210</v>
      </c>
      <c r="T676">
        <f>VLOOKUP(A676,[2]cwurData!$B:$N, 7, FALSE)</f>
        <v>722</v>
      </c>
      <c r="U676">
        <f>VLOOKUP(A676,[2]cwurData!$B:$N, 8, FALSE)</f>
        <v>881</v>
      </c>
      <c r="V676">
        <f>VLOOKUP(A676,[2]cwurData!$B:$N, 9, FALSE)</f>
        <v>609</v>
      </c>
      <c r="W676">
        <f>VLOOKUP(A676,[2]cwurData!$B:$N, 10, FALSE)</f>
        <v>909</v>
      </c>
      <c r="X676">
        <f>VLOOKUP(A676,[2]cwurData!$B:$N, 11, FALSE)</f>
        <v>552</v>
      </c>
      <c r="Y676">
        <f>VLOOKUP(A676,[2]cwurData!$B:$N, 12, FALSE)</f>
        <v>44.71</v>
      </c>
      <c r="Z676">
        <f>VLOOKUP(A676,[2]cwurData!$B:$N, 13, FALSE)</f>
        <v>2014</v>
      </c>
    </row>
    <row r="677" spans="1:26" x14ac:dyDescent="0.3">
      <c r="A677" t="s">
        <v>702</v>
      </c>
      <c r="B677" t="str">
        <f>IFERROR(VLOOKUP(A677,[1]timesData!$B:$P,2,FALSE),VLOOKUP(A677,[2]cwurData!$B:$P,2,FALSE))</f>
        <v>Japan</v>
      </c>
      <c r="C677" t="str">
        <f>VLOOKUP(A677,[1]timesData!$B:$P,3,FALSE)</f>
        <v>601-800</v>
      </c>
      <c r="D677" t="str">
        <f>VLOOKUP(A678,[1]timesData!$B:$P,3,FALSE)</f>
        <v>601-800</v>
      </c>
      <c r="E677">
        <f>VLOOKUP(A678,[1]timesData!$B:$P,4,FALSE)</f>
        <v>19.600000000000001</v>
      </c>
      <c r="F677">
        <f>VLOOKUP(A678,[1]timesData!$B:$P,5,FALSE)</f>
        <v>11.8</v>
      </c>
      <c r="G677">
        <f>VLOOKUP(A678,[1]timesData!$B:$P,6,FALSE)</f>
        <v>19.7</v>
      </c>
      <c r="H677">
        <f>VLOOKUP(A678,[1]timesData!$B:$P,7,FALSE)</f>
        <v>28.2</v>
      </c>
      <c r="I677" t="str">
        <f>VLOOKUP(A678,[1]timesData!$B:$P,8,FALSE)</f>
        <v>-</v>
      </c>
      <c r="J677">
        <f>VLOOKUP(A678,[1]timesData!$B:$P,9,FALSE)</f>
        <v>39606</v>
      </c>
      <c r="K677">
        <f>VLOOKUP(A678,[1]timesData!$B:$P,10,FALSE)</f>
        <v>20.399999999999999</v>
      </c>
      <c r="L677">
        <f>VLOOKUP(A678,[1]timesData!$B:$P,11,FALSE)</f>
        <v>0.04</v>
      </c>
      <c r="M677">
        <f>VLOOKUP(A678,[1]timesData!$B:$P,12,FALSE)</f>
        <v>2.3638888888888889</v>
      </c>
      <c r="N677">
        <f>VLOOKUP(A678,[1]timesData!$B:$P,13,FALSE)</f>
        <v>2016</v>
      </c>
      <c r="O677">
        <f>VLOOKUP(A677,[2]cwurData!$B:$P,14,FALSE)</f>
        <v>654</v>
      </c>
      <c r="P677">
        <f>VLOOKUP(A677,[2]cwurData!$B:$N, 3, FALSE)</f>
        <v>42</v>
      </c>
      <c r="Q677">
        <f>VLOOKUP(A677,[2]cwurData!$B:$N, 4, FALSE)</f>
        <v>355</v>
      </c>
      <c r="R677">
        <f>VLOOKUP(A677,[2]cwurData!$B:$N, 5, FALSE)</f>
        <v>478</v>
      </c>
      <c r="S677">
        <f>VLOOKUP(A677,[2]cwurData!$B:$N, 6, FALSE)</f>
        <v>210</v>
      </c>
      <c r="T677">
        <f>VLOOKUP(A677,[2]cwurData!$B:$N, 7, FALSE)</f>
        <v>648</v>
      </c>
      <c r="U677">
        <f>VLOOKUP(A677,[2]cwurData!$B:$N, 8, FALSE)</f>
        <v>664</v>
      </c>
      <c r="V677">
        <f>VLOOKUP(A677,[2]cwurData!$B:$N, 9, FALSE)</f>
        <v>493</v>
      </c>
      <c r="W677">
        <f>VLOOKUP(A677,[2]cwurData!$B:$N, 10, FALSE)</f>
        <v>569</v>
      </c>
      <c r="X677">
        <f>VLOOKUP(A677,[2]cwurData!$B:$N, 11, FALSE)</f>
        <v>426</v>
      </c>
      <c r="Y677">
        <f>VLOOKUP(A677,[2]cwurData!$B:$N, 12, FALSE)</f>
        <v>44.71</v>
      </c>
      <c r="Z677">
        <f>VLOOKUP(A677,[2]cwurData!$B:$N, 13, FALSE)</f>
        <v>2014</v>
      </c>
    </row>
    <row r="678" spans="1:26" x14ac:dyDescent="0.3">
      <c r="A678" t="s">
        <v>705</v>
      </c>
      <c r="B678" t="str">
        <f>IFERROR(VLOOKUP(A678,[1]timesData!$B:$P,2,FALSE),VLOOKUP(A678,[2]cwurData!$B:$P,2,FALSE))</f>
        <v>Turkey</v>
      </c>
      <c r="C678" t="str">
        <f>VLOOKUP(A678,[1]timesData!$B:$P,3,FALSE)</f>
        <v>601-800</v>
      </c>
      <c r="D678" t="str">
        <f>VLOOKUP(A679,[1]timesData!$B:$P,3,FALSE)</f>
        <v>601-800</v>
      </c>
      <c r="E678">
        <f>VLOOKUP(A679,[1]timesData!$B:$P,4,FALSE)</f>
        <v>29.8</v>
      </c>
      <c r="F678">
        <f>VLOOKUP(A679,[1]timesData!$B:$P,5,FALSE)</f>
        <v>13.4</v>
      </c>
      <c r="G678">
        <f>VLOOKUP(A679,[1]timesData!$B:$P,6,FALSE)</f>
        <v>25.1</v>
      </c>
      <c r="H678">
        <f>VLOOKUP(A679,[1]timesData!$B:$P,7,FALSE)</f>
        <v>30.4</v>
      </c>
      <c r="I678" t="str">
        <f>VLOOKUP(A679,[1]timesData!$B:$P,8,FALSE)</f>
        <v>-</v>
      </c>
      <c r="J678">
        <f>VLOOKUP(A679,[1]timesData!$B:$P,9,FALSE)</f>
        <v>12965</v>
      </c>
      <c r="K678">
        <f>VLOOKUP(A679,[1]timesData!$B:$P,10,FALSE)</f>
        <v>13.5</v>
      </c>
      <c r="L678">
        <f>VLOOKUP(A679,[1]timesData!$B:$P,11,FALSE)</f>
        <v>0.13</v>
      </c>
      <c r="M678" t="str">
        <f>VLOOKUP(A679,[1]timesData!$B:$P,12,FALSE)</f>
        <v>34 : 66</v>
      </c>
      <c r="N678">
        <f>VLOOKUP(A679,[1]timesData!$B:$P,13,FALSE)</f>
        <v>2016</v>
      </c>
      <c r="O678">
        <f>VLOOKUP(A678,[2]cwurData!$B:$P,14,FALSE)</f>
        <v>655</v>
      </c>
      <c r="P678">
        <f>VLOOKUP(A678,[2]cwurData!$B:$N, 3, FALSE)</f>
        <v>3</v>
      </c>
      <c r="Q678">
        <f>VLOOKUP(A678,[2]cwurData!$B:$N, 4, FALSE)</f>
        <v>355</v>
      </c>
      <c r="R678">
        <f>VLOOKUP(A678,[2]cwurData!$B:$N, 5, FALSE)</f>
        <v>478</v>
      </c>
      <c r="S678">
        <f>VLOOKUP(A678,[2]cwurData!$B:$N, 6, FALSE)</f>
        <v>210</v>
      </c>
      <c r="T678">
        <f>VLOOKUP(A678,[2]cwurData!$B:$N, 7, FALSE)</f>
        <v>636</v>
      </c>
      <c r="U678">
        <f>VLOOKUP(A678,[2]cwurData!$B:$N, 8, FALSE)</f>
        <v>636</v>
      </c>
      <c r="V678">
        <f>VLOOKUP(A678,[2]cwurData!$B:$N, 9, FALSE)</f>
        <v>406</v>
      </c>
      <c r="W678">
        <f>VLOOKUP(A678,[2]cwurData!$B:$N, 10, FALSE)</f>
        <v>554</v>
      </c>
      <c r="X678">
        <f>VLOOKUP(A678,[2]cwurData!$B:$N, 11, FALSE)</f>
        <v>737</v>
      </c>
      <c r="Y678">
        <f>VLOOKUP(A678,[2]cwurData!$B:$N, 12, FALSE)</f>
        <v>44.71</v>
      </c>
      <c r="Z678">
        <f>VLOOKUP(A678,[2]cwurData!$B:$N, 13, FALSE)</f>
        <v>2014</v>
      </c>
    </row>
    <row r="679" spans="1:26" x14ac:dyDescent="0.3">
      <c r="A679" t="s">
        <v>762</v>
      </c>
      <c r="B679" t="str">
        <f>IFERROR(VLOOKUP(A679,[1]timesData!$B:$P,2,FALSE),VLOOKUP(A679,[2]cwurData!$B:$P,2,FALSE))</f>
        <v>United States of America</v>
      </c>
      <c r="C679" t="str">
        <f>VLOOKUP(A679,[1]timesData!$B:$P,3,FALSE)</f>
        <v>601-800</v>
      </c>
      <c r="D679" t="str">
        <f>VLOOKUP(A680,[1]timesData!$B:$P,3,FALSE)</f>
        <v>601-800</v>
      </c>
      <c r="E679">
        <f>VLOOKUP(A680,[1]timesData!$B:$P,4,FALSE)</f>
        <v>49</v>
      </c>
      <c r="F679">
        <f>VLOOKUP(A680,[1]timesData!$B:$P,5,FALSE)</f>
        <v>11.4</v>
      </c>
      <c r="G679">
        <f>VLOOKUP(A680,[1]timesData!$B:$P,6,FALSE)</f>
        <v>20.9</v>
      </c>
      <c r="H679" t="str">
        <f>VLOOKUP(A680,[1]timesData!$B:$P,7,FALSE)</f>
        <v>-</v>
      </c>
      <c r="I679" t="str">
        <f>VLOOKUP(A680,[1]timesData!$B:$P,8,FALSE)</f>
        <v>-</v>
      </c>
      <c r="J679">
        <f>VLOOKUP(A680,[1]timesData!$B:$P,9,FALSE)</f>
        <v>29714</v>
      </c>
      <c r="K679">
        <f>VLOOKUP(A680,[1]timesData!$B:$P,10,FALSE)</f>
        <v>20.3</v>
      </c>
      <c r="L679">
        <f>VLOOKUP(A680,[1]timesData!$B:$P,11,FALSE)</f>
        <v>0.13</v>
      </c>
      <c r="M679">
        <f>VLOOKUP(A680,[1]timesData!$B:$P,12,FALSE)</f>
        <v>2.4048611111111109</v>
      </c>
      <c r="N679">
        <f>VLOOKUP(A680,[1]timesData!$B:$P,13,FALSE)</f>
        <v>2016</v>
      </c>
      <c r="O679">
        <f>VLOOKUP(A679,[2]cwurData!$B:$P,14,FALSE)</f>
        <v>665</v>
      </c>
      <c r="P679">
        <f>VLOOKUP(A679,[2]cwurData!$B:$N, 3, FALSE)</f>
        <v>191</v>
      </c>
      <c r="Q679">
        <f>VLOOKUP(A679,[2]cwurData!$B:$N, 4, FALSE)</f>
        <v>355</v>
      </c>
      <c r="R679">
        <f>VLOOKUP(A679,[2]cwurData!$B:$N, 5, FALSE)</f>
        <v>366</v>
      </c>
      <c r="S679">
        <f>VLOOKUP(A679,[2]cwurData!$B:$N, 6, FALSE)</f>
        <v>210</v>
      </c>
      <c r="T679">
        <f>VLOOKUP(A679,[2]cwurData!$B:$N, 7, FALSE)</f>
        <v>936</v>
      </c>
      <c r="U679">
        <f>VLOOKUP(A679,[2]cwurData!$B:$N, 8, FALSE)</f>
        <v>613</v>
      </c>
      <c r="V679">
        <f>VLOOKUP(A679,[2]cwurData!$B:$N, 9, FALSE)</f>
        <v>310</v>
      </c>
      <c r="W679">
        <f>VLOOKUP(A679,[2]cwurData!$B:$N, 10, FALSE)</f>
        <v>675</v>
      </c>
      <c r="X679">
        <f>VLOOKUP(A679,[2]cwurData!$B:$N, 11, FALSE)</f>
        <v>373</v>
      </c>
      <c r="Y679">
        <f>VLOOKUP(A679,[2]cwurData!$B:$N, 12, FALSE)</f>
        <v>44.69</v>
      </c>
      <c r="Z679">
        <f>VLOOKUP(A679,[2]cwurData!$B:$N, 13, FALSE)</f>
        <v>2014</v>
      </c>
    </row>
    <row r="680" spans="1:26" x14ac:dyDescent="0.3">
      <c r="A680" t="s">
        <v>682</v>
      </c>
      <c r="B680" t="str">
        <f>IFERROR(VLOOKUP(A680,[1]timesData!$B:$P,2,FALSE),VLOOKUP(A680,[2]cwurData!$B:$P,2,FALSE))</f>
        <v>Hungary</v>
      </c>
      <c r="C680" t="str">
        <f>VLOOKUP(A680,[1]timesData!$B:$P,3,FALSE)</f>
        <v>601-800</v>
      </c>
      <c r="D680" t="str">
        <f>VLOOKUP(A681,[1]timesData!$B:$P,3,FALSE)</f>
        <v>601-800</v>
      </c>
      <c r="E680">
        <f>VLOOKUP(A681,[1]timesData!$B:$P,4,FALSE)</f>
        <v>20.7</v>
      </c>
      <c r="F680">
        <f>VLOOKUP(A681,[1]timesData!$B:$P,5,FALSE)</f>
        <v>8.5</v>
      </c>
      <c r="G680">
        <f>VLOOKUP(A681,[1]timesData!$B:$P,6,FALSE)</f>
        <v>40.299999999999997</v>
      </c>
      <c r="H680">
        <f>VLOOKUP(A681,[1]timesData!$B:$P,7,FALSE)</f>
        <v>47.4</v>
      </c>
      <c r="I680" t="str">
        <f>VLOOKUP(A681,[1]timesData!$B:$P,8,FALSE)</f>
        <v>-</v>
      </c>
      <c r="J680">
        <f>VLOOKUP(A681,[1]timesData!$B:$P,9,FALSE)</f>
        <v>34572</v>
      </c>
      <c r="K680">
        <f>VLOOKUP(A681,[1]timesData!$B:$P,10,FALSE)</f>
        <v>14.5</v>
      </c>
      <c r="L680">
        <f>VLOOKUP(A681,[1]timesData!$B:$P,11,FALSE)</f>
        <v>0.03</v>
      </c>
      <c r="M680" t="str">
        <f>VLOOKUP(A681,[1]timesData!$B:$P,12,FALSE)</f>
        <v>34 : 66</v>
      </c>
      <c r="N680">
        <f>VLOOKUP(A681,[1]timesData!$B:$P,13,FALSE)</f>
        <v>2016</v>
      </c>
      <c r="O680">
        <f>VLOOKUP(A680,[2]cwurData!$B:$P,14,FALSE)</f>
        <v>673</v>
      </c>
      <c r="P680">
        <f>VLOOKUP(A680,[2]cwurData!$B:$N, 3, FALSE)</f>
        <v>3</v>
      </c>
      <c r="Q680">
        <f>VLOOKUP(A680,[2]cwurData!$B:$N, 4, FALSE)</f>
        <v>355</v>
      </c>
      <c r="R680">
        <f>VLOOKUP(A680,[2]cwurData!$B:$N, 5, FALSE)</f>
        <v>478</v>
      </c>
      <c r="S680">
        <f>VLOOKUP(A680,[2]cwurData!$B:$N, 6, FALSE)</f>
        <v>210</v>
      </c>
      <c r="T680">
        <f>VLOOKUP(A680,[2]cwurData!$B:$N, 7, FALSE)</f>
        <v>660</v>
      </c>
      <c r="U680">
        <f>VLOOKUP(A680,[2]cwurData!$B:$N, 8, FALSE)</f>
        <v>586</v>
      </c>
      <c r="V680">
        <f>VLOOKUP(A680,[2]cwurData!$B:$N, 9, FALSE)</f>
        <v>406</v>
      </c>
      <c r="W680">
        <f>VLOOKUP(A680,[2]cwurData!$B:$N, 10, FALSE)</f>
        <v>585</v>
      </c>
      <c r="X680">
        <f>VLOOKUP(A680,[2]cwurData!$B:$N, 11, FALSE)</f>
        <v>552</v>
      </c>
      <c r="Y680">
        <f>VLOOKUP(A680,[2]cwurData!$B:$N, 12, FALSE)</f>
        <v>44.68</v>
      </c>
      <c r="Z680">
        <f>VLOOKUP(A680,[2]cwurData!$B:$N, 13, FALSE)</f>
        <v>2014</v>
      </c>
    </row>
    <row r="681" spans="1:26" x14ac:dyDescent="0.3">
      <c r="A681" t="s">
        <v>809</v>
      </c>
      <c r="B681" t="str">
        <f>IFERROR(VLOOKUP(A681,[1]timesData!$B:$P,2,FALSE),VLOOKUP(A681,[2]cwurData!$B:$P,2,FALSE))</f>
        <v>Poland</v>
      </c>
      <c r="C681" t="str">
        <f>VLOOKUP(A681,[1]timesData!$B:$P,3,FALSE)</f>
        <v>601-800</v>
      </c>
      <c r="D681" t="str">
        <f>VLOOKUP(A682,[1]timesData!$B:$P,3,FALSE)</f>
        <v>601-800</v>
      </c>
      <c r="E681">
        <f>VLOOKUP(A682,[1]timesData!$B:$P,4,FALSE)</f>
        <v>18.7</v>
      </c>
      <c r="F681">
        <f>VLOOKUP(A682,[1]timesData!$B:$P,5,FALSE)</f>
        <v>22.1</v>
      </c>
      <c r="G681">
        <f>VLOOKUP(A682,[1]timesData!$B:$P,6,FALSE)</f>
        <v>17.399999999999999</v>
      </c>
      <c r="H681">
        <f>VLOOKUP(A682,[1]timesData!$B:$P,7,FALSE)</f>
        <v>41.9</v>
      </c>
      <c r="I681" t="str">
        <f>VLOOKUP(A682,[1]timesData!$B:$P,8,FALSE)</f>
        <v>-</v>
      </c>
      <c r="J681">
        <f>VLOOKUP(A682,[1]timesData!$B:$P,9,FALSE)</f>
        <v>15020</v>
      </c>
      <c r="K681">
        <f>VLOOKUP(A682,[1]timesData!$B:$P,10,FALSE)</f>
        <v>30.2</v>
      </c>
      <c r="L681">
        <f>VLOOKUP(A682,[1]timesData!$B:$P,11,FALSE)</f>
        <v>0.03</v>
      </c>
      <c r="M681">
        <f>VLOOKUP(A682,[1]timesData!$B:$P,12,FALSE)</f>
        <v>1.7493055555555554</v>
      </c>
      <c r="N681">
        <f>VLOOKUP(A682,[1]timesData!$B:$P,13,FALSE)</f>
        <v>2016</v>
      </c>
      <c r="O681">
        <f>VLOOKUP(A681,[2]cwurData!$B:$P,14,FALSE)</f>
        <v>688</v>
      </c>
      <c r="P681">
        <f>VLOOKUP(A681,[2]cwurData!$B:$N, 3, FALSE)</f>
        <v>4</v>
      </c>
      <c r="Q681">
        <f>VLOOKUP(A681,[2]cwurData!$B:$N, 4, FALSE)</f>
        <v>333</v>
      </c>
      <c r="R681">
        <f>VLOOKUP(A681,[2]cwurData!$B:$N, 5, FALSE)</f>
        <v>478</v>
      </c>
      <c r="S681">
        <f>VLOOKUP(A681,[2]cwurData!$B:$N, 6, FALSE)</f>
        <v>210</v>
      </c>
      <c r="T681">
        <f>VLOOKUP(A681,[2]cwurData!$B:$N, 7, FALSE)</f>
        <v>695</v>
      </c>
      <c r="U681">
        <f>VLOOKUP(A681,[2]cwurData!$B:$N, 8, FALSE)</f>
        <v>748</v>
      </c>
      <c r="V681">
        <f>VLOOKUP(A681,[2]cwurData!$B:$N, 9, FALSE)</f>
        <v>310</v>
      </c>
      <c r="W681">
        <f>VLOOKUP(A681,[2]cwurData!$B:$N, 10, FALSE)</f>
        <v>605</v>
      </c>
      <c r="X681">
        <f>VLOOKUP(A681,[2]cwurData!$B:$N, 11, FALSE)</f>
        <v>737</v>
      </c>
      <c r="Y681">
        <f>VLOOKUP(A681,[2]cwurData!$B:$N, 12, FALSE)</f>
        <v>44.66</v>
      </c>
      <c r="Z681">
        <f>VLOOKUP(A681,[2]cwurData!$B:$N, 13, FALSE)</f>
        <v>2014</v>
      </c>
    </row>
    <row r="682" spans="1:26" x14ac:dyDescent="0.3">
      <c r="A682" t="s">
        <v>677</v>
      </c>
      <c r="B682" t="str">
        <f>IFERROR(VLOOKUP(A682,[1]timesData!$B:$P,2,FALSE),VLOOKUP(A682,[2]cwurData!$B:$P,2,FALSE))</f>
        <v>Taiwan</v>
      </c>
      <c r="C682" t="str">
        <f>VLOOKUP(A682,[1]timesData!$B:$P,3,FALSE)</f>
        <v>601-800</v>
      </c>
      <c r="D682" t="str">
        <f>VLOOKUP(A683,[1]timesData!$B:$P,3,FALSE)</f>
        <v>601-800</v>
      </c>
      <c r="E682">
        <f>VLOOKUP(A683,[1]timesData!$B:$P,4,FALSE)</f>
        <v>46.9</v>
      </c>
      <c r="F682">
        <f>VLOOKUP(A683,[1]timesData!$B:$P,5,FALSE)</f>
        <v>10.5</v>
      </c>
      <c r="G682">
        <f>VLOOKUP(A683,[1]timesData!$B:$P,6,FALSE)</f>
        <v>20.5</v>
      </c>
      <c r="H682">
        <f>VLOOKUP(A683,[1]timesData!$B:$P,7,FALSE)</f>
        <v>33.200000000000003</v>
      </c>
      <c r="I682" t="str">
        <f>VLOOKUP(A683,[1]timesData!$B:$P,8,FALSE)</f>
        <v>-</v>
      </c>
      <c r="J682">
        <f>VLOOKUP(A683,[1]timesData!$B:$P,9,FALSE)</f>
        <v>22684</v>
      </c>
      <c r="K682">
        <f>VLOOKUP(A683,[1]timesData!$B:$P,10,FALSE)</f>
        <v>13.8</v>
      </c>
      <c r="L682">
        <f>VLOOKUP(A683,[1]timesData!$B:$P,11,FALSE)</f>
        <v>0.09</v>
      </c>
      <c r="M682">
        <f>VLOOKUP(A683,[1]timesData!$B:$P,12,FALSE)</f>
        <v>2.4458333333333333</v>
      </c>
      <c r="N682">
        <f>VLOOKUP(A683,[1]timesData!$B:$P,13,FALSE)</f>
        <v>2016</v>
      </c>
      <c r="O682">
        <f>VLOOKUP(A682,[2]cwurData!$B:$P,14,FALSE)</f>
        <v>696</v>
      </c>
      <c r="P682">
        <f>VLOOKUP(A682,[2]cwurData!$B:$N, 3, FALSE)</f>
        <v>9</v>
      </c>
      <c r="Q682">
        <f>VLOOKUP(A682,[2]cwurData!$B:$N, 4, FALSE)</f>
        <v>225</v>
      </c>
      <c r="R682">
        <f>VLOOKUP(A682,[2]cwurData!$B:$N, 5, FALSE)</f>
        <v>230</v>
      </c>
      <c r="S682">
        <f>VLOOKUP(A682,[2]cwurData!$B:$N, 6, FALSE)</f>
        <v>210</v>
      </c>
      <c r="T682">
        <f>VLOOKUP(A682,[2]cwurData!$B:$N, 7, FALSE)</f>
        <v>754</v>
      </c>
      <c r="U682">
        <f>VLOOKUP(A682,[2]cwurData!$B:$N, 8, FALSE)</f>
        <v>952</v>
      </c>
      <c r="V682">
        <f>VLOOKUP(A682,[2]cwurData!$B:$N, 9, FALSE)</f>
        <v>800</v>
      </c>
      <c r="W682">
        <f>VLOOKUP(A682,[2]cwurData!$B:$N, 10, FALSE)</f>
        <v>897</v>
      </c>
      <c r="X682">
        <f>VLOOKUP(A682,[2]cwurData!$B:$N, 11, FALSE)</f>
        <v>737</v>
      </c>
      <c r="Y682">
        <f>VLOOKUP(A682,[2]cwurData!$B:$N, 12, FALSE)</f>
        <v>44.65</v>
      </c>
      <c r="Z682">
        <f>VLOOKUP(A682,[2]cwurData!$B:$N, 13, FALSE)</f>
        <v>2014</v>
      </c>
    </row>
    <row r="683" spans="1:26" x14ac:dyDescent="0.3">
      <c r="A683" t="s">
        <v>788</v>
      </c>
      <c r="B683" t="str">
        <f>IFERROR(VLOOKUP(A683,[1]timesData!$B:$P,2,FALSE),VLOOKUP(A683,[2]cwurData!$B:$P,2,FALSE))</f>
        <v>Hungary</v>
      </c>
      <c r="C683" t="str">
        <f>VLOOKUP(A683,[1]timesData!$B:$P,3,FALSE)</f>
        <v>601-800</v>
      </c>
      <c r="D683" t="str">
        <f>VLOOKUP(A684,[1]timesData!$B:$P,3,FALSE)</f>
        <v>601-800</v>
      </c>
      <c r="E683">
        <f>VLOOKUP(A684,[1]timesData!$B:$P,4,FALSE)</f>
        <v>15.8</v>
      </c>
      <c r="F683">
        <f>VLOOKUP(A684,[1]timesData!$B:$P,5,FALSE)</f>
        <v>16.100000000000001</v>
      </c>
      <c r="G683">
        <f>VLOOKUP(A684,[1]timesData!$B:$P,6,FALSE)</f>
        <v>14.8</v>
      </c>
      <c r="H683">
        <f>VLOOKUP(A684,[1]timesData!$B:$P,7,FALSE)</f>
        <v>45.7</v>
      </c>
      <c r="I683" t="str">
        <f>VLOOKUP(A684,[1]timesData!$B:$P,8,FALSE)</f>
        <v>-</v>
      </c>
      <c r="J683">
        <f>VLOOKUP(A684,[1]timesData!$B:$P,9,FALSE)</f>
        <v>46044</v>
      </c>
      <c r="K683">
        <f>VLOOKUP(A684,[1]timesData!$B:$P,10,FALSE)</f>
        <v>17.5</v>
      </c>
      <c r="L683">
        <f>VLOOKUP(A684,[1]timesData!$B:$P,11,FALSE)</f>
        <v>0.03</v>
      </c>
      <c r="M683">
        <f>VLOOKUP(A684,[1]timesData!$B:$P,12,FALSE)</f>
        <v>2.036111111111111</v>
      </c>
      <c r="N683">
        <f>VLOOKUP(A684,[1]timesData!$B:$P,13,FALSE)</f>
        <v>2016</v>
      </c>
      <c r="O683">
        <f>VLOOKUP(A683,[2]cwurData!$B:$P,14,FALSE)</f>
        <v>712</v>
      </c>
      <c r="P683">
        <f>VLOOKUP(A683,[2]cwurData!$B:$N, 3, FALSE)</f>
        <v>4</v>
      </c>
      <c r="Q683">
        <f>VLOOKUP(A683,[2]cwurData!$B:$N, 4, FALSE)</f>
        <v>355</v>
      </c>
      <c r="R683">
        <f>VLOOKUP(A683,[2]cwurData!$B:$N, 5, FALSE)</f>
        <v>478</v>
      </c>
      <c r="S683">
        <f>VLOOKUP(A683,[2]cwurData!$B:$N, 6, FALSE)</f>
        <v>198</v>
      </c>
      <c r="T683">
        <f>VLOOKUP(A683,[2]cwurData!$B:$N, 7, FALSE)</f>
        <v>651</v>
      </c>
      <c r="U683">
        <f>VLOOKUP(A683,[2]cwurData!$B:$N, 8, FALSE)</f>
        <v>765</v>
      </c>
      <c r="V683">
        <f>VLOOKUP(A683,[2]cwurData!$B:$N, 9, FALSE)</f>
        <v>800</v>
      </c>
      <c r="W683">
        <f>VLOOKUP(A683,[2]cwurData!$B:$N, 10, FALSE)</f>
        <v>618</v>
      </c>
      <c r="X683">
        <f>VLOOKUP(A683,[2]cwurData!$B:$N, 11, FALSE)</f>
        <v>552</v>
      </c>
      <c r="Y683">
        <f>VLOOKUP(A683,[2]cwurData!$B:$N, 12, FALSE)</f>
        <v>44.63</v>
      </c>
      <c r="Z683">
        <f>VLOOKUP(A683,[2]cwurData!$B:$N, 13, FALSE)</f>
        <v>2014</v>
      </c>
    </row>
    <row r="684" spans="1:26" x14ac:dyDescent="0.3">
      <c r="A684" t="s">
        <v>771</v>
      </c>
      <c r="B684" t="str">
        <f>IFERROR(VLOOKUP(A684,[1]timesData!$B:$P,2,FALSE),VLOOKUP(A684,[2]cwurData!$B:$P,2,FALSE))</f>
        <v>China</v>
      </c>
      <c r="C684" t="str">
        <f>VLOOKUP(A684,[1]timesData!$B:$P,3,FALSE)</f>
        <v>601-800</v>
      </c>
      <c r="D684" t="str">
        <f>VLOOKUP(A685,[1]timesData!$B:$P,3,FALSE)</f>
        <v>601-800</v>
      </c>
      <c r="E684">
        <f>VLOOKUP(A685,[1]timesData!$B:$P,4,FALSE)</f>
        <v>46.9</v>
      </c>
      <c r="F684">
        <f>VLOOKUP(A685,[1]timesData!$B:$P,5,FALSE)</f>
        <v>10.3</v>
      </c>
      <c r="G684">
        <f>VLOOKUP(A685,[1]timesData!$B:$P,6,FALSE)</f>
        <v>19.600000000000001</v>
      </c>
      <c r="H684">
        <f>VLOOKUP(A685,[1]timesData!$B:$P,7,FALSE)</f>
        <v>28</v>
      </c>
      <c r="I684" t="str">
        <f>VLOOKUP(A685,[1]timesData!$B:$P,8,FALSE)</f>
        <v>-</v>
      </c>
      <c r="J684">
        <f>VLOOKUP(A685,[1]timesData!$B:$P,9,FALSE)</f>
        <v>20879</v>
      </c>
      <c r="K684">
        <f>VLOOKUP(A685,[1]timesData!$B:$P,10,FALSE)</f>
        <v>9.6999999999999993</v>
      </c>
      <c r="L684">
        <f>VLOOKUP(A685,[1]timesData!$B:$P,11,FALSE)</f>
        <v>0.1</v>
      </c>
      <c r="M684">
        <f>VLOOKUP(A685,[1]timesData!$B:$P,12,FALSE)</f>
        <v>2.2819444444444446</v>
      </c>
      <c r="N684">
        <f>VLOOKUP(A685,[1]timesData!$B:$P,13,FALSE)</f>
        <v>2016</v>
      </c>
      <c r="O684">
        <f>VLOOKUP(A684,[2]cwurData!$B:$P,14,FALSE)</f>
        <v>722</v>
      </c>
      <c r="P684">
        <f>VLOOKUP(A684,[2]cwurData!$B:$N, 3, FALSE)</f>
        <v>38</v>
      </c>
      <c r="Q684">
        <f>VLOOKUP(A684,[2]cwurData!$B:$N, 4, FALSE)</f>
        <v>355</v>
      </c>
      <c r="R684">
        <f>VLOOKUP(A684,[2]cwurData!$B:$N, 5, FALSE)</f>
        <v>478</v>
      </c>
      <c r="S684">
        <f>VLOOKUP(A684,[2]cwurData!$B:$N, 6, FALSE)</f>
        <v>210</v>
      </c>
      <c r="T684">
        <f>VLOOKUP(A684,[2]cwurData!$B:$N, 7, FALSE)</f>
        <v>508</v>
      </c>
      <c r="U684">
        <f>VLOOKUP(A684,[2]cwurData!$B:$N, 8, FALSE)</f>
        <v>925</v>
      </c>
      <c r="V684">
        <f>VLOOKUP(A684,[2]cwurData!$B:$N, 9, FALSE)</f>
        <v>609</v>
      </c>
      <c r="W684">
        <f>VLOOKUP(A684,[2]cwurData!$B:$N, 10, FALSE)</f>
        <v>642</v>
      </c>
      <c r="X684">
        <f>VLOOKUP(A684,[2]cwurData!$B:$N, 11, FALSE)</f>
        <v>637</v>
      </c>
      <c r="Y684">
        <f>VLOOKUP(A684,[2]cwurData!$B:$N, 12, FALSE)</f>
        <v>44.62</v>
      </c>
      <c r="Z684">
        <f>VLOOKUP(A684,[2]cwurData!$B:$N, 13, FALSE)</f>
        <v>2014</v>
      </c>
    </row>
    <row r="685" spans="1:26" x14ac:dyDescent="0.3">
      <c r="A685" t="s">
        <v>679</v>
      </c>
      <c r="B685" t="str">
        <f>IFERROR(VLOOKUP(A685,[1]timesData!$B:$P,2,FALSE),VLOOKUP(A685,[2]cwurData!$B:$P,2,FALSE))</f>
        <v>Slovakia</v>
      </c>
      <c r="C685" t="str">
        <f>VLOOKUP(A685,[1]timesData!$B:$P,3,FALSE)</f>
        <v>601-800</v>
      </c>
      <c r="D685" t="str">
        <f>VLOOKUP(A686,[1]timesData!$B:$P,3,FALSE)</f>
        <v>601-800</v>
      </c>
      <c r="E685">
        <f>VLOOKUP(A686,[1]timesData!$B:$P,4,FALSE)</f>
        <v>14</v>
      </c>
      <c r="F685">
        <f>VLOOKUP(A686,[1]timesData!$B:$P,5,FALSE)</f>
        <v>7.9</v>
      </c>
      <c r="G685">
        <f>VLOOKUP(A686,[1]timesData!$B:$P,6,FALSE)</f>
        <v>7</v>
      </c>
      <c r="H685" t="str">
        <f>VLOOKUP(A686,[1]timesData!$B:$P,7,FALSE)</f>
        <v>-</v>
      </c>
      <c r="I685" t="str">
        <f>VLOOKUP(A686,[1]timesData!$B:$P,8,FALSE)</f>
        <v>-</v>
      </c>
      <c r="J685">
        <f>VLOOKUP(A686,[1]timesData!$B:$P,9,FALSE)</f>
        <v>3675</v>
      </c>
      <c r="K685">
        <f>VLOOKUP(A686,[1]timesData!$B:$P,10,FALSE)</f>
        <v>2.5</v>
      </c>
      <c r="L685">
        <f>VLOOKUP(A686,[1]timesData!$B:$P,11,FALSE)</f>
        <v>0</v>
      </c>
      <c r="M685">
        <f>VLOOKUP(A686,[1]timesData!$B:$P,12,FALSE)</f>
        <v>2.4048611111111109</v>
      </c>
      <c r="N685">
        <f>VLOOKUP(A686,[1]timesData!$B:$P,13,FALSE)</f>
        <v>2016</v>
      </c>
      <c r="O685">
        <f>VLOOKUP(A685,[2]cwurData!$B:$P,14,FALSE)</f>
        <v>732</v>
      </c>
      <c r="P685">
        <f>VLOOKUP(A685,[2]cwurData!$B:$N, 3, FALSE)</f>
        <v>1</v>
      </c>
      <c r="Q685">
        <f>VLOOKUP(A685,[2]cwurData!$B:$N, 4, FALSE)</f>
        <v>355</v>
      </c>
      <c r="R685">
        <f>VLOOKUP(A685,[2]cwurData!$B:$N, 5, FALSE)</f>
        <v>478</v>
      </c>
      <c r="S685">
        <f>VLOOKUP(A685,[2]cwurData!$B:$N, 6, FALSE)</f>
        <v>210</v>
      </c>
      <c r="T685">
        <f>VLOOKUP(A685,[2]cwurData!$B:$N, 7, FALSE)</f>
        <v>709</v>
      </c>
      <c r="U685">
        <f>VLOOKUP(A685,[2]cwurData!$B:$N, 8, FALSE)</f>
        <v>625</v>
      </c>
      <c r="V685">
        <f>VLOOKUP(A685,[2]cwurData!$B:$N, 9, FALSE)</f>
        <v>493</v>
      </c>
      <c r="W685">
        <f>VLOOKUP(A685,[2]cwurData!$B:$N, 10, FALSE)</f>
        <v>628</v>
      </c>
      <c r="X685">
        <f>VLOOKUP(A685,[2]cwurData!$B:$N, 11, FALSE)</f>
        <v>737</v>
      </c>
      <c r="Y685">
        <f>VLOOKUP(A685,[2]cwurData!$B:$N, 12, FALSE)</f>
        <v>44.6</v>
      </c>
      <c r="Z685">
        <f>VLOOKUP(A685,[2]cwurData!$B:$N, 13, FALSE)</f>
        <v>2014</v>
      </c>
    </row>
    <row r="686" spans="1:26" x14ac:dyDescent="0.3">
      <c r="A686" t="s">
        <v>775</v>
      </c>
      <c r="B686" t="str">
        <f>IFERROR(VLOOKUP(A686,[1]timesData!$B:$P,2,FALSE),VLOOKUP(A686,[2]cwurData!$B:$P,2,FALSE))</f>
        <v>Japan</v>
      </c>
      <c r="C686" t="str">
        <f>VLOOKUP(A686,[1]timesData!$B:$P,3,FALSE)</f>
        <v>601-800</v>
      </c>
      <c r="D686" t="str">
        <f>VLOOKUP(A687,[1]timesData!$B:$P,3,FALSE)</f>
        <v>601-800</v>
      </c>
      <c r="E686">
        <f>VLOOKUP(A687,[1]timesData!$B:$P,4,FALSE)</f>
        <v>16.5</v>
      </c>
      <c r="F686">
        <f>VLOOKUP(A687,[1]timesData!$B:$P,5,FALSE)</f>
        <v>16.899999999999999</v>
      </c>
      <c r="G686">
        <f>VLOOKUP(A687,[1]timesData!$B:$P,6,FALSE)</f>
        <v>15.8</v>
      </c>
      <c r="H686" t="str">
        <f>VLOOKUP(A687,[1]timesData!$B:$P,7,FALSE)</f>
        <v>-</v>
      </c>
      <c r="I686" t="str">
        <f>VLOOKUP(A687,[1]timesData!$B:$P,8,FALSE)</f>
        <v>-</v>
      </c>
      <c r="J686">
        <f>VLOOKUP(A687,[1]timesData!$B:$P,9,FALSE)</f>
        <v>53802</v>
      </c>
      <c r="K686">
        <f>VLOOKUP(A687,[1]timesData!$B:$P,10,FALSE)</f>
        <v>27</v>
      </c>
      <c r="L686">
        <f>VLOOKUP(A687,[1]timesData!$B:$P,11,FALSE)</f>
        <v>0.01</v>
      </c>
      <c r="M686">
        <f>VLOOKUP(A687,[1]timesData!$B:$P,12,FALSE)</f>
        <v>1.9131944444444444</v>
      </c>
      <c r="N686">
        <f>VLOOKUP(A687,[1]timesData!$B:$P,13,FALSE)</f>
        <v>2016</v>
      </c>
      <c r="O686">
        <f>VLOOKUP(A686,[2]cwurData!$B:$P,14,FALSE)</f>
        <v>745</v>
      </c>
      <c r="P686">
        <f>VLOOKUP(A686,[2]cwurData!$B:$N, 3, FALSE)</f>
        <v>53</v>
      </c>
      <c r="Q686">
        <f>VLOOKUP(A686,[2]cwurData!$B:$N, 4, FALSE)</f>
        <v>355</v>
      </c>
      <c r="R686">
        <f>VLOOKUP(A686,[2]cwurData!$B:$N, 5, FALSE)</f>
        <v>478</v>
      </c>
      <c r="S686">
        <f>VLOOKUP(A686,[2]cwurData!$B:$N, 6, FALSE)</f>
        <v>210</v>
      </c>
      <c r="T686">
        <f>VLOOKUP(A686,[2]cwurData!$B:$N, 7, FALSE)</f>
        <v>945</v>
      </c>
      <c r="U686">
        <f>VLOOKUP(A686,[2]cwurData!$B:$N, 8, FALSE)</f>
        <v>760</v>
      </c>
      <c r="V686">
        <f>VLOOKUP(A686,[2]cwurData!$B:$N, 9, FALSE)</f>
        <v>609</v>
      </c>
      <c r="W686">
        <f>VLOOKUP(A686,[2]cwurData!$B:$N, 10, FALSE)</f>
        <v>628</v>
      </c>
      <c r="X686">
        <f>VLOOKUP(A686,[2]cwurData!$B:$N, 11, FALSE)</f>
        <v>737</v>
      </c>
      <c r="Y686">
        <f>VLOOKUP(A686,[2]cwurData!$B:$N, 12, FALSE)</f>
        <v>44.59</v>
      </c>
      <c r="Z686">
        <f>VLOOKUP(A686,[2]cwurData!$B:$N, 13, FALSE)</f>
        <v>2014</v>
      </c>
    </row>
    <row r="687" spans="1:26" x14ac:dyDescent="0.3">
      <c r="A687" t="s">
        <v>792</v>
      </c>
      <c r="B687" t="str">
        <f>IFERROR(VLOOKUP(A687,[1]timesData!$B:$P,2,FALSE),VLOOKUP(A687,[2]cwurData!$B:$P,2,FALSE))</f>
        <v>Iran</v>
      </c>
      <c r="C687" t="str">
        <f>VLOOKUP(A687,[1]timesData!$B:$P,3,FALSE)</f>
        <v>601-800</v>
      </c>
      <c r="D687" t="str">
        <f>VLOOKUP(A688,[1]timesData!$B:$P,3,FALSE)</f>
        <v>601-800</v>
      </c>
      <c r="E687">
        <f>VLOOKUP(A688,[1]timesData!$B:$P,4,FALSE)</f>
        <v>19.899999999999999</v>
      </c>
      <c r="F687">
        <f>VLOOKUP(A688,[1]timesData!$B:$P,5,FALSE)</f>
        <v>22.2</v>
      </c>
      <c r="G687">
        <f>VLOOKUP(A688,[1]timesData!$B:$P,6,FALSE)</f>
        <v>20.5</v>
      </c>
      <c r="H687">
        <f>VLOOKUP(A688,[1]timesData!$B:$P,7,FALSE)</f>
        <v>33.200000000000003</v>
      </c>
      <c r="I687" t="str">
        <f>VLOOKUP(A688,[1]timesData!$B:$P,8,FALSE)</f>
        <v>-</v>
      </c>
      <c r="J687">
        <f>VLOOKUP(A688,[1]timesData!$B:$P,9,FALSE)</f>
        <v>7009</v>
      </c>
      <c r="K687">
        <f>VLOOKUP(A688,[1]timesData!$B:$P,10,FALSE)</f>
        <v>12.6</v>
      </c>
      <c r="L687">
        <f>VLOOKUP(A688,[1]timesData!$B:$P,11,FALSE)</f>
        <v>0.05</v>
      </c>
      <c r="M687">
        <f>VLOOKUP(A688,[1]timesData!$B:$P,12,FALSE)</f>
        <v>2.3638888888888889</v>
      </c>
      <c r="N687">
        <f>VLOOKUP(A688,[1]timesData!$B:$P,13,FALSE)</f>
        <v>2016</v>
      </c>
      <c r="O687">
        <f>VLOOKUP(A687,[2]cwurData!$B:$P,14,FALSE)</f>
        <v>749</v>
      </c>
      <c r="P687">
        <f>VLOOKUP(A687,[2]cwurData!$B:$N, 3, FALSE)</f>
        <v>1</v>
      </c>
      <c r="Q687">
        <f>VLOOKUP(A687,[2]cwurData!$B:$N, 4, FALSE)</f>
        <v>171</v>
      </c>
      <c r="R687">
        <f>VLOOKUP(A687,[2]cwurData!$B:$N, 5, FALSE)</f>
        <v>478</v>
      </c>
      <c r="S687">
        <f>VLOOKUP(A687,[2]cwurData!$B:$N, 6, FALSE)</f>
        <v>210</v>
      </c>
      <c r="T687">
        <f>VLOOKUP(A687,[2]cwurData!$B:$N, 7, FALSE)</f>
        <v>519</v>
      </c>
      <c r="U687">
        <f>VLOOKUP(A687,[2]cwurData!$B:$N, 8, FALSE)</f>
        <v>974</v>
      </c>
      <c r="V687">
        <f>VLOOKUP(A687,[2]cwurData!$B:$N, 9, FALSE)</f>
        <v>800</v>
      </c>
      <c r="W687">
        <f>VLOOKUP(A687,[2]cwurData!$B:$N, 10, FALSE)</f>
        <v>769</v>
      </c>
      <c r="X687">
        <f>VLOOKUP(A687,[2]cwurData!$B:$N, 11, FALSE)</f>
        <v>737</v>
      </c>
      <c r="Y687">
        <f>VLOOKUP(A687,[2]cwurData!$B:$N, 12, FALSE)</f>
        <v>44.58</v>
      </c>
      <c r="Z687">
        <f>VLOOKUP(A687,[2]cwurData!$B:$N, 13, FALSE)</f>
        <v>2014</v>
      </c>
    </row>
    <row r="688" spans="1:26" x14ac:dyDescent="0.3">
      <c r="A688" t="s">
        <v>718</v>
      </c>
      <c r="B688" t="str">
        <f>IFERROR(VLOOKUP(A688,[1]timesData!$B:$P,2,FALSE),VLOOKUP(A688,[2]cwurData!$B:$P,2,FALSE))</f>
        <v>Taiwan</v>
      </c>
      <c r="C688" t="str">
        <f>VLOOKUP(A688,[1]timesData!$B:$P,3,FALSE)</f>
        <v>601-800</v>
      </c>
      <c r="D688" t="str">
        <f>VLOOKUP(A689,[1]timesData!$B:$P,3,FALSE)</f>
        <v>601-800</v>
      </c>
      <c r="E688">
        <f>VLOOKUP(A689,[1]timesData!$B:$P,4,FALSE)</f>
        <v>24.3</v>
      </c>
      <c r="F688">
        <f>VLOOKUP(A689,[1]timesData!$B:$P,5,FALSE)</f>
        <v>10.9</v>
      </c>
      <c r="G688">
        <f>VLOOKUP(A689,[1]timesData!$B:$P,6,FALSE)</f>
        <v>26.5</v>
      </c>
      <c r="H688">
        <f>VLOOKUP(A689,[1]timesData!$B:$P,7,FALSE)</f>
        <v>35.4</v>
      </c>
      <c r="I688" t="str">
        <f>VLOOKUP(A689,[1]timesData!$B:$P,8,FALSE)</f>
        <v>-</v>
      </c>
      <c r="J688">
        <f>VLOOKUP(A689,[1]timesData!$B:$P,9,FALSE)</f>
        <v>21958</v>
      </c>
      <c r="K688">
        <f>VLOOKUP(A689,[1]timesData!$B:$P,10,FALSE)</f>
        <v>15.3</v>
      </c>
      <c r="L688">
        <f>VLOOKUP(A689,[1]timesData!$B:$P,11,FALSE)</f>
        <v>0.03</v>
      </c>
      <c r="M688">
        <f>VLOOKUP(A689,[1]timesData!$B:$P,12,FALSE)</f>
        <v>2.036111111111111</v>
      </c>
      <c r="N688">
        <f>VLOOKUP(A689,[1]timesData!$B:$P,13,FALSE)</f>
        <v>2016</v>
      </c>
      <c r="O688">
        <f>VLOOKUP(A688,[2]cwurData!$B:$P,14,FALSE)</f>
        <v>774</v>
      </c>
      <c r="P688">
        <f>VLOOKUP(A688,[2]cwurData!$B:$N, 3, FALSE)</f>
        <v>10</v>
      </c>
      <c r="Q688">
        <f>VLOOKUP(A688,[2]cwurData!$B:$N, 4, FALSE)</f>
        <v>355</v>
      </c>
      <c r="R688">
        <f>VLOOKUP(A688,[2]cwurData!$B:$N, 5, FALSE)</f>
        <v>478</v>
      </c>
      <c r="S688">
        <f>VLOOKUP(A688,[2]cwurData!$B:$N, 6, FALSE)</f>
        <v>210</v>
      </c>
      <c r="T688">
        <f>VLOOKUP(A688,[2]cwurData!$B:$N, 7, FALSE)</f>
        <v>562</v>
      </c>
      <c r="U688">
        <f>VLOOKUP(A688,[2]cwurData!$B:$N, 8, FALSE)</f>
        <v>854</v>
      </c>
      <c r="V688">
        <f>VLOOKUP(A688,[2]cwurData!$B:$N, 9, FALSE)</f>
        <v>800</v>
      </c>
      <c r="W688">
        <f>VLOOKUP(A688,[2]cwurData!$B:$N, 10, FALSE)</f>
        <v>703</v>
      </c>
      <c r="X688">
        <f>VLOOKUP(A688,[2]cwurData!$B:$N, 11, FALSE)</f>
        <v>552</v>
      </c>
      <c r="Y688">
        <f>VLOOKUP(A688,[2]cwurData!$B:$N, 12, FALSE)</f>
        <v>44.56</v>
      </c>
      <c r="Z688">
        <f>VLOOKUP(A688,[2]cwurData!$B:$N, 13, FALSE)</f>
        <v>2014</v>
      </c>
    </row>
    <row r="689" spans="1:26" x14ac:dyDescent="0.3">
      <c r="A689" t="s">
        <v>815</v>
      </c>
      <c r="B689" t="str">
        <f>IFERROR(VLOOKUP(A689,[1]timesData!$B:$P,2,FALSE),VLOOKUP(A689,[2]cwurData!$B:$P,2,FALSE))</f>
        <v>South Korea</v>
      </c>
      <c r="C689" t="str">
        <f>VLOOKUP(A689,[1]timesData!$B:$P,3,FALSE)</f>
        <v>601-800</v>
      </c>
      <c r="D689" t="str">
        <f>VLOOKUP(A690,[1]timesData!$B:$P,3,FALSE)</f>
        <v>601-800</v>
      </c>
      <c r="E689">
        <f>VLOOKUP(A690,[1]timesData!$B:$P,4,FALSE)</f>
        <v>13.4</v>
      </c>
      <c r="F689">
        <f>VLOOKUP(A690,[1]timesData!$B:$P,5,FALSE)</f>
        <v>12.9</v>
      </c>
      <c r="G689">
        <f>VLOOKUP(A690,[1]timesData!$B:$P,6,FALSE)</f>
        <v>8.8000000000000007</v>
      </c>
      <c r="H689">
        <f>VLOOKUP(A690,[1]timesData!$B:$P,7,FALSE)</f>
        <v>28</v>
      </c>
      <c r="I689" t="str">
        <f>VLOOKUP(A690,[1]timesData!$B:$P,8,FALSE)</f>
        <v>-</v>
      </c>
      <c r="J689">
        <f>VLOOKUP(A690,[1]timesData!$B:$P,9,FALSE)</f>
        <v>21689</v>
      </c>
      <c r="K689">
        <f>VLOOKUP(A690,[1]timesData!$B:$P,10,FALSE)</f>
        <v>9.8000000000000007</v>
      </c>
      <c r="L689">
        <f>VLOOKUP(A690,[1]timesData!$B:$P,11,FALSE)</f>
        <v>0</v>
      </c>
      <c r="M689">
        <f>VLOOKUP(A690,[1]timesData!$B:$P,12,FALSE)</f>
        <v>0.92986111111111114</v>
      </c>
      <c r="N689">
        <f>VLOOKUP(A690,[1]timesData!$B:$P,13,FALSE)</f>
        <v>2016</v>
      </c>
      <c r="O689">
        <f>VLOOKUP(A689,[2]cwurData!$B:$P,14,FALSE)</f>
        <v>776</v>
      </c>
      <c r="P689">
        <f>VLOOKUP(A689,[2]cwurData!$B:$N, 3, FALSE)</f>
        <v>26</v>
      </c>
      <c r="Q689">
        <f>VLOOKUP(A689,[2]cwurData!$B:$N, 4, FALSE)</f>
        <v>355</v>
      </c>
      <c r="R689">
        <f>VLOOKUP(A689,[2]cwurData!$B:$N, 5, FALSE)</f>
        <v>454</v>
      </c>
      <c r="S689">
        <f>VLOOKUP(A689,[2]cwurData!$B:$N, 6, FALSE)</f>
        <v>210</v>
      </c>
      <c r="T689">
        <f>VLOOKUP(A689,[2]cwurData!$B:$N, 7, FALSE)</f>
        <v>768</v>
      </c>
      <c r="U689">
        <f>VLOOKUP(A689,[2]cwurData!$B:$N, 8, FALSE)</f>
        <v>966</v>
      </c>
      <c r="V689">
        <f>VLOOKUP(A689,[2]cwurData!$B:$N, 9, FALSE)</f>
        <v>800</v>
      </c>
      <c r="W689">
        <f>VLOOKUP(A689,[2]cwurData!$B:$N, 10, FALSE)</f>
        <v>874</v>
      </c>
      <c r="X689">
        <f>VLOOKUP(A689,[2]cwurData!$B:$N, 11, FALSE)</f>
        <v>227</v>
      </c>
      <c r="Y689">
        <f>VLOOKUP(A689,[2]cwurData!$B:$N, 12, FALSE)</f>
        <v>44.55</v>
      </c>
      <c r="Z689">
        <f>VLOOKUP(A689,[2]cwurData!$B:$N, 13, FALSE)</f>
        <v>2014</v>
      </c>
    </row>
    <row r="690" spans="1:26" x14ac:dyDescent="0.3">
      <c r="A690" t="s">
        <v>687</v>
      </c>
      <c r="B690" t="str">
        <f>IFERROR(VLOOKUP(A690,[1]timesData!$B:$P,2,FALSE),VLOOKUP(A690,[2]cwurData!$B:$P,2,FALSE))</f>
        <v>China</v>
      </c>
      <c r="C690" t="str">
        <f>VLOOKUP(A690,[1]timesData!$B:$P,3,FALSE)</f>
        <v>601-800</v>
      </c>
      <c r="D690" t="str">
        <f>VLOOKUP(A691,[1]timesData!$B:$P,3,FALSE)</f>
        <v>601-800</v>
      </c>
      <c r="E690">
        <f>VLOOKUP(A691,[1]timesData!$B:$P,4,FALSE)</f>
        <v>31</v>
      </c>
      <c r="F690">
        <f>VLOOKUP(A691,[1]timesData!$B:$P,5,FALSE)</f>
        <v>11.1</v>
      </c>
      <c r="G690">
        <f>VLOOKUP(A691,[1]timesData!$B:$P,6,FALSE)</f>
        <v>11.9</v>
      </c>
      <c r="H690">
        <f>VLOOKUP(A691,[1]timesData!$B:$P,7,FALSE)</f>
        <v>30.3</v>
      </c>
      <c r="I690" t="str">
        <f>VLOOKUP(A691,[1]timesData!$B:$P,8,FALSE)</f>
        <v>-</v>
      </c>
      <c r="J690">
        <f>VLOOKUP(A691,[1]timesData!$B:$P,9,FALSE)</f>
        <v>231941</v>
      </c>
      <c r="K690">
        <f>VLOOKUP(A691,[1]timesData!$B:$P,10,FALSE)</f>
        <v>39.1</v>
      </c>
      <c r="L690">
        <f>VLOOKUP(A691,[1]timesData!$B:$P,11,FALSE)</f>
        <v>0.03</v>
      </c>
      <c r="M690">
        <f>VLOOKUP(A691,[1]timesData!$B:$P,12,FALSE)</f>
        <v>1.9951388888888888</v>
      </c>
      <c r="N690">
        <f>VLOOKUP(A691,[1]timesData!$B:$P,13,FALSE)</f>
        <v>2016</v>
      </c>
      <c r="O690">
        <f>VLOOKUP(A690,[2]cwurData!$B:$P,14,FALSE)</f>
        <v>790</v>
      </c>
      <c r="P690">
        <f>VLOOKUP(A690,[2]cwurData!$B:$N, 3, FALSE)</f>
        <v>43</v>
      </c>
      <c r="Q690">
        <f>VLOOKUP(A690,[2]cwurData!$B:$N, 4, FALSE)</f>
        <v>355</v>
      </c>
      <c r="R690">
        <f>VLOOKUP(A690,[2]cwurData!$B:$N, 5, FALSE)</f>
        <v>400</v>
      </c>
      <c r="S690">
        <f>VLOOKUP(A690,[2]cwurData!$B:$N, 6, FALSE)</f>
        <v>210</v>
      </c>
      <c r="T690">
        <f>VLOOKUP(A690,[2]cwurData!$B:$N, 7, FALSE)</f>
        <v>589</v>
      </c>
      <c r="U690">
        <f>VLOOKUP(A690,[2]cwurData!$B:$N, 8, FALSE)</f>
        <v>910</v>
      </c>
      <c r="V690">
        <f>VLOOKUP(A690,[2]cwurData!$B:$N, 9, FALSE)</f>
        <v>800</v>
      </c>
      <c r="W690">
        <f>VLOOKUP(A690,[2]cwurData!$B:$N, 10, FALSE)</f>
        <v>897</v>
      </c>
      <c r="X690">
        <f>VLOOKUP(A690,[2]cwurData!$B:$N, 11, FALSE)</f>
        <v>259</v>
      </c>
      <c r="Y690">
        <f>VLOOKUP(A690,[2]cwurData!$B:$N, 12, FALSE)</f>
        <v>44.54</v>
      </c>
      <c r="Z690">
        <f>VLOOKUP(A690,[2]cwurData!$B:$N, 13, FALSE)</f>
        <v>2014</v>
      </c>
    </row>
    <row r="691" spans="1:26" x14ac:dyDescent="0.3">
      <c r="A691" t="s">
        <v>659</v>
      </c>
      <c r="B691" t="str">
        <f>IFERROR(VLOOKUP(A691,[1]timesData!$B:$P,2,FALSE),VLOOKUP(A691,[2]cwurData!$B:$P,2,FALSE))</f>
        <v>Egypt</v>
      </c>
      <c r="C691" t="str">
        <f>VLOOKUP(A691,[1]timesData!$B:$P,3,FALSE)</f>
        <v>601-800</v>
      </c>
      <c r="D691" t="str">
        <f>VLOOKUP(A692,[1]timesData!$B:$P,3,FALSE)</f>
        <v>601-800</v>
      </c>
      <c r="E691">
        <f>VLOOKUP(A692,[1]timesData!$B:$P,4,FALSE)</f>
        <v>28.3</v>
      </c>
      <c r="F691">
        <f>VLOOKUP(A692,[1]timesData!$B:$P,5,FALSE)</f>
        <v>11.7</v>
      </c>
      <c r="G691">
        <f>VLOOKUP(A692,[1]timesData!$B:$P,6,FALSE)</f>
        <v>28</v>
      </c>
      <c r="H691">
        <f>VLOOKUP(A692,[1]timesData!$B:$P,7,FALSE)</f>
        <v>29.5</v>
      </c>
      <c r="I691" t="str">
        <f>VLOOKUP(A692,[1]timesData!$B:$P,8,FALSE)</f>
        <v>-</v>
      </c>
      <c r="J691">
        <f>VLOOKUP(A692,[1]timesData!$B:$P,9,FALSE)</f>
        <v>31460</v>
      </c>
      <c r="K691">
        <f>VLOOKUP(A692,[1]timesData!$B:$P,10,FALSE)</f>
        <v>15.8</v>
      </c>
      <c r="L691">
        <f>VLOOKUP(A692,[1]timesData!$B:$P,11,FALSE)</f>
        <v>0.06</v>
      </c>
      <c r="M691">
        <f>VLOOKUP(A692,[1]timesData!$B:$P,12,FALSE)</f>
        <v>2.6097222222222221</v>
      </c>
      <c r="N691">
        <f>VLOOKUP(A692,[1]timesData!$B:$P,13,FALSE)</f>
        <v>2016</v>
      </c>
      <c r="O691">
        <f>VLOOKUP(A691,[2]cwurData!$B:$P,14,FALSE)</f>
        <v>802</v>
      </c>
      <c r="P691">
        <f>VLOOKUP(A691,[2]cwurData!$B:$N, 3, FALSE)</f>
        <v>1</v>
      </c>
      <c r="Q691">
        <f>VLOOKUP(A691,[2]cwurData!$B:$N, 4, FALSE)</f>
        <v>310</v>
      </c>
      <c r="R691">
        <f>VLOOKUP(A691,[2]cwurData!$B:$N, 5, FALSE)</f>
        <v>473</v>
      </c>
      <c r="S691">
        <f>VLOOKUP(A691,[2]cwurData!$B:$N, 6, FALSE)</f>
        <v>176</v>
      </c>
      <c r="T691">
        <f>VLOOKUP(A691,[2]cwurData!$B:$N, 7, FALSE)</f>
        <v>701</v>
      </c>
      <c r="U691">
        <f>VLOOKUP(A691,[2]cwurData!$B:$N, 8, FALSE)</f>
        <v>729</v>
      </c>
      <c r="V691">
        <f>VLOOKUP(A691,[2]cwurData!$B:$N, 9, FALSE)</f>
        <v>609</v>
      </c>
      <c r="W691">
        <f>VLOOKUP(A691,[2]cwurData!$B:$N, 10, FALSE)</f>
        <v>843</v>
      </c>
      <c r="X691">
        <f>VLOOKUP(A691,[2]cwurData!$B:$N, 11, FALSE)</f>
        <v>737</v>
      </c>
      <c r="Y691">
        <f>VLOOKUP(A691,[2]cwurData!$B:$N, 12, FALSE)</f>
        <v>44.52</v>
      </c>
      <c r="Z691">
        <f>VLOOKUP(A691,[2]cwurData!$B:$N, 13, FALSE)</f>
        <v>2014</v>
      </c>
    </row>
    <row r="692" spans="1:26" x14ac:dyDescent="0.3">
      <c r="A692" t="s">
        <v>733</v>
      </c>
      <c r="B692" t="str">
        <f>IFERROR(VLOOKUP(A692,[1]timesData!$B:$P,2,FALSE),VLOOKUP(A692,[2]cwurData!$B:$P,2,FALSE))</f>
        <v>Spain</v>
      </c>
      <c r="C692" t="str">
        <f>VLOOKUP(A692,[1]timesData!$B:$P,3,FALSE)</f>
        <v>601-800</v>
      </c>
      <c r="D692" t="str">
        <f>VLOOKUP(A693,[1]timesData!$B:$P,3,FALSE)</f>
        <v>601-800</v>
      </c>
      <c r="E692">
        <f>VLOOKUP(A693,[1]timesData!$B:$P,4,FALSE)</f>
        <v>26.5</v>
      </c>
      <c r="F692">
        <f>VLOOKUP(A693,[1]timesData!$B:$P,5,FALSE)</f>
        <v>21.7</v>
      </c>
      <c r="G692">
        <f>VLOOKUP(A693,[1]timesData!$B:$P,6,FALSE)</f>
        <v>19</v>
      </c>
      <c r="H692">
        <f>VLOOKUP(A693,[1]timesData!$B:$P,7,FALSE)</f>
        <v>42.2</v>
      </c>
      <c r="I692" t="str">
        <f>VLOOKUP(A693,[1]timesData!$B:$P,8,FALSE)</f>
        <v>-</v>
      </c>
      <c r="J692">
        <f>VLOOKUP(A693,[1]timesData!$B:$P,9,FALSE)</f>
        <v>6001</v>
      </c>
      <c r="K692">
        <f>VLOOKUP(A693,[1]timesData!$B:$P,10,FALSE)</f>
        <v>11.1</v>
      </c>
      <c r="L692">
        <f>VLOOKUP(A693,[1]timesData!$B:$P,11,FALSE)</f>
        <v>0.06</v>
      </c>
      <c r="M692">
        <f>VLOOKUP(A693,[1]timesData!$B:$P,12,FALSE)</f>
        <v>2.4458333333333333</v>
      </c>
      <c r="N692">
        <f>VLOOKUP(A693,[1]timesData!$B:$P,13,FALSE)</f>
        <v>2016</v>
      </c>
      <c r="O692">
        <f>VLOOKUP(A692,[2]cwurData!$B:$P,14,FALSE)</f>
        <v>803</v>
      </c>
      <c r="P692">
        <f>VLOOKUP(A692,[2]cwurData!$B:$N, 3, FALSE)</f>
        <v>30</v>
      </c>
      <c r="Q692">
        <f>VLOOKUP(A692,[2]cwurData!$B:$N, 4, FALSE)</f>
        <v>355</v>
      </c>
      <c r="R692">
        <f>VLOOKUP(A692,[2]cwurData!$B:$N, 5, FALSE)</f>
        <v>478</v>
      </c>
      <c r="S692">
        <f>VLOOKUP(A692,[2]cwurData!$B:$N, 6, FALSE)</f>
        <v>210</v>
      </c>
      <c r="T692">
        <f>VLOOKUP(A692,[2]cwurData!$B:$N, 7, FALSE)</f>
        <v>547</v>
      </c>
      <c r="U692">
        <f>VLOOKUP(A692,[2]cwurData!$B:$N, 8, FALSE)</f>
        <v>745</v>
      </c>
      <c r="V692">
        <f>VLOOKUP(A692,[2]cwurData!$B:$N, 9, FALSE)</f>
        <v>493</v>
      </c>
      <c r="W692">
        <f>VLOOKUP(A692,[2]cwurData!$B:$N, 10, FALSE)</f>
        <v>756</v>
      </c>
      <c r="X692">
        <f>VLOOKUP(A692,[2]cwurData!$B:$N, 11, FALSE)</f>
        <v>426</v>
      </c>
      <c r="Y692">
        <f>VLOOKUP(A692,[2]cwurData!$B:$N, 12, FALSE)</f>
        <v>44.52</v>
      </c>
      <c r="Z692">
        <f>VLOOKUP(A692,[2]cwurData!$B:$N, 13, FALSE)</f>
        <v>2014</v>
      </c>
    </row>
    <row r="693" spans="1:26" x14ac:dyDescent="0.3">
      <c r="A693" t="s">
        <v>789</v>
      </c>
      <c r="B693" t="str">
        <f>IFERROR(VLOOKUP(A693,[1]timesData!$B:$P,2,FALSE),VLOOKUP(A693,[2]cwurData!$B:$P,2,FALSE))</f>
        <v>Taiwan</v>
      </c>
      <c r="C693" t="str">
        <f>VLOOKUP(A693,[1]timesData!$B:$P,3,FALSE)</f>
        <v>601-800</v>
      </c>
      <c r="D693" t="str">
        <f>VLOOKUP(A694,[1]timesData!$B:$P,3,FALSE)</f>
        <v>601-800</v>
      </c>
      <c r="E693">
        <f>VLOOKUP(A694,[1]timesData!$B:$P,4,FALSE)</f>
        <v>79.099999999999994</v>
      </c>
      <c r="F693">
        <f>VLOOKUP(A694,[1]timesData!$B:$P,5,FALSE)</f>
        <v>15.9</v>
      </c>
      <c r="G693">
        <f>VLOOKUP(A694,[1]timesData!$B:$P,6,FALSE)</f>
        <v>22.7</v>
      </c>
      <c r="H693">
        <f>VLOOKUP(A694,[1]timesData!$B:$P,7,FALSE)</f>
        <v>32.700000000000003</v>
      </c>
      <c r="I693" t="str">
        <f>VLOOKUP(A694,[1]timesData!$B:$P,8,FALSE)</f>
        <v>-</v>
      </c>
      <c r="J693">
        <f>VLOOKUP(A694,[1]timesData!$B:$P,9,FALSE)</f>
        <v>11065</v>
      </c>
      <c r="K693">
        <f>VLOOKUP(A694,[1]timesData!$B:$P,10,FALSE)</f>
        <v>20.5</v>
      </c>
      <c r="L693">
        <f>VLOOKUP(A694,[1]timesData!$B:$P,11,FALSE)</f>
        <v>0.32</v>
      </c>
      <c r="M693">
        <f>VLOOKUP(A694,[1]timesData!$B:$P,12,FALSE)</f>
        <v>2.2409722222222221</v>
      </c>
      <c r="N693">
        <f>VLOOKUP(A694,[1]timesData!$B:$P,13,FALSE)</f>
        <v>2016</v>
      </c>
      <c r="O693">
        <f>VLOOKUP(A693,[2]cwurData!$B:$P,14,FALSE)</f>
        <v>805</v>
      </c>
      <c r="P693">
        <f>VLOOKUP(A693,[2]cwurData!$B:$N, 3, FALSE)</f>
        <v>13</v>
      </c>
      <c r="Q693">
        <f>VLOOKUP(A693,[2]cwurData!$B:$N, 4, FALSE)</f>
        <v>355</v>
      </c>
      <c r="R693">
        <f>VLOOKUP(A693,[2]cwurData!$B:$N, 5, FALSE)</f>
        <v>478</v>
      </c>
      <c r="S693">
        <f>VLOOKUP(A693,[2]cwurData!$B:$N, 6, FALSE)</f>
        <v>210</v>
      </c>
      <c r="T693">
        <f>VLOOKUP(A693,[2]cwurData!$B:$N, 7, FALSE)</f>
        <v>542</v>
      </c>
      <c r="U693">
        <f>VLOOKUP(A693,[2]cwurData!$B:$N, 8, FALSE)</f>
        <v>888</v>
      </c>
      <c r="V693">
        <f>VLOOKUP(A693,[2]cwurData!$B:$N, 9, FALSE)</f>
        <v>493</v>
      </c>
      <c r="W693">
        <f>VLOOKUP(A693,[2]cwurData!$B:$N, 10, FALSE)</f>
        <v>749</v>
      </c>
      <c r="X693">
        <f>VLOOKUP(A693,[2]cwurData!$B:$N, 11, FALSE)</f>
        <v>552</v>
      </c>
      <c r="Y693">
        <f>VLOOKUP(A693,[2]cwurData!$B:$N, 12, FALSE)</f>
        <v>44.52</v>
      </c>
      <c r="Z693">
        <f>VLOOKUP(A693,[2]cwurData!$B:$N, 13, FALSE)</f>
        <v>2014</v>
      </c>
    </row>
    <row r="694" spans="1:26" x14ac:dyDescent="0.3">
      <c r="A694" t="s">
        <v>654</v>
      </c>
      <c r="B694" t="str">
        <f>IFERROR(VLOOKUP(A694,[1]timesData!$B:$P,2,FALSE),VLOOKUP(A694,[2]cwurData!$B:$P,2,FALSE))</f>
        <v>United Kingdom</v>
      </c>
      <c r="C694" t="str">
        <f>VLOOKUP(A694,[1]timesData!$B:$P,3,FALSE)</f>
        <v>601-800</v>
      </c>
      <c r="D694" t="str">
        <f>VLOOKUP(A695,[1]timesData!$B:$P,3,FALSE)</f>
        <v>601-800</v>
      </c>
      <c r="E694">
        <f>VLOOKUP(A695,[1]timesData!$B:$P,4,FALSE)</f>
        <v>30.5</v>
      </c>
      <c r="F694">
        <f>VLOOKUP(A695,[1]timesData!$B:$P,5,FALSE)</f>
        <v>13.2</v>
      </c>
      <c r="G694">
        <f>VLOOKUP(A695,[1]timesData!$B:$P,6,FALSE)</f>
        <v>14</v>
      </c>
      <c r="H694">
        <f>VLOOKUP(A695,[1]timesData!$B:$P,7,FALSE)</f>
        <v>45.6</v>
      </c>
      <c r="I694" t="str">
        <f>VLOOKUP(A695,[1]timesData!$B:$P,8,FALSE)</f>
        <v>-</v>
      </c>
      <c r="J694">
        <f>VLOOKUP(A695,[1]timesData!$B:$P,9,FALSE)</f>
        <v>96968</v>
      </c>
      <c r="K694">
        <f>VLOOKUP(A695,[1]timesData!$B:$P,10,FALSE)</f>
        <v>28.3</v>
      </c>
      <c r="L694">
        <f>VLOOKUP(A695,[1]timesData!$B:$P,11,FALSE)</f>
        <v>0.05</v>
      </c>
      <c r="M694">
        <f>VLOOKUP(A695,[1]timesData!$B:$P,12,FALSE)</f>
        <v>2.5277777777777777</v>
      </c>
      <c r="N694">
        <f>VLOOKUP(A695,[1]timesData!$B:$P,13,FALSE)</f>
        <v>2016</v>
      </c>
      <c r="O694">
        <f>VLOOKUP(A694,[2]cwurData!$B:$P,14,FALSE)</f>
        <v>806</v>
      </c>
      <c r="P694">
        <f>VLOOKUP(A694,[2]cwurData!$B:$N, 3, FALSE)</f>
        <v>60</v>
      </c>
      <c r="Q694">
        <f>VLOOKUP(A694,[2]cwurData!$B:$N, 4, FALSE)</f>
        <v>355</v>
      </c>
      <c r="R694">
        <f>VLOOKUP(A694,[2]cwurData!$B:$N, 5, FALSE)</f>
        <v>341</v>
      </c>
      <c r="S694">
        <f>VLOOKUP(A694,[2]cwurData!$B:$N, 6, FALSE)</f>
        <v>210</v>
      </c>
      <c r="T694">
        <f>VLOOKUP(A694,[2]cwurData!$B:$N, 7, FALSE)</f>
        <v>851</v>
      </c>
      <c r="U694">
        <f>VLOOKUP(A694,[2]cwurData!$B:$N, 8, FALSE)</f>
        <v>755</v>
      </c>
      <c r="V694">
        <f>VLOOKUP(A694,[2]cwurData!$B:$N, 9, FALSE)</f>
        <v>609</v>
      </c>
      <c r="W694">
        <f>VLOOKUP(A694,[2]cwurData!$B:$N, 10, FALSE)</f>
        <v>819</v>
      </c>
      <c r="X694">
        <f>VLOOKUP(A694,[2]cwurData!$B:$N, 11, FALSE)</f>
        <v>481</v>
      </c>
      <c r="Y694">
        <f>VLOOKUP(A694,[2]cwurData!$B:$N, 12, FALSE)</f>
        <v>44.52</v>
      </c>
      <c r="Z694">
        <f>VLOOKUP(A694,[2]cwurData!$B:$N, 13, FALSE)</f>
        <v>2014</v>
      </c>
    </row>
    <row r="695" spans="1:26" x14ac:dyDescent="0.3">
      <c r="A695" t="s">
        <v>652</v>
      </c>
      <c r="B695" t="str">
        <f>IFERROR(VLOOKUP(A695,[1]timesData!$B:$P,2,FALSE),VLOOKUP(A695,[2]cwurData!$B:$P,2,FALSE))</f>
        <v>Serbia</v>
      </c>
      <c r="C695" t="str">
        <f>VLOOKUP(A695,[1]timesData!$B:$P,3,FALSE)</f>
        <v>601-800</v>
      </c>
      <c r="D695" t="str">
        <f>VLOOKUP(A696,[1]timesData!$B:$P,3,FALSE)</f>
        <v>601-800</v>
      </c>
      <c r="E695">
        <f>VLOOKUP(A696,[1]timesData!$B:$P,4,FALSE)</f>
        <v>30.4</v>
      </c>
      <c r="F695">
        <f>VLOOKUP(A696,[1]timesData!$B:$P,5,FALSE)</f>
        <v>13.7</v>
      </c>
      <c r="G695">
        <f>VLOOKUP(A696,[1]timesData!$B:$P,6,FALSE)</f>
        <v>21.6</v>
      </c>
      <c r="H695">
        <f>VLOOKUP(A696,[1]timesData!$B:$P,7,FALSE)</f>
        <v>39.700000000000003</v>
      </c>
      <c r="I695" t="str">
        <f>VLOOKUP(A696,[1]timesData!$B:$P,8,FALSE)</f>
        <v>-</v>
      </c>
      <c r="J695">
        <f>VLOOKUP(A696,[1]timesData!$B:$P,9,FALSE)</f>
        <v>22447</v>
      </c>
      <c r="K695">
        <f>VLOOKUP(A696,[1]timesData!$B:$P,10,FALSE)</f>
        <v>22.1</v>
      </c>
      <c r="L695">
        <f>VLOOKUP(A696,[1]timesData!$B:$P,11,FALSE)</f>
        <v>0.04</v>
      </c>
      <c r="M695" t="str">
        <f>VLOOKUP(A696,[1]timesData!$B:$P,12,FALSE)</f>
        <v>32 : 68</v>
      </c>
      <c r="N695">
        <f>VLOOKUP(A696,[1]timesData!$B:$P,13,FALSE)</f>
        <v>2016</v>
      </c>
      <c r="O695">
        <f>VLOOKUP(A695,[2]cwurData!$B:$P,14,FALSE)</f>
        <v>809</v>
      </c>
      <c r="P695">
        <f>VLOOKUP(A695,[2]cwurData!$B:$N, 3, FALSE)</f>
        <v>1</v>
      </c>
      <c r="Q695">
        <f>VLOOKUP(A695,[2]cwurData!$B:$N, 4, FALSE)</f>
        <v>280</v>
      </c>
      <c r="R695">
        <f>VLOOKUP(A695,[2]cwurData!$B:$N, 5, FALSE)</f>
        <v>478</v>
      </c>
      <c r="S695">
        <f>VLOOKUP(A695,[2]cwurData!$B:$N, 6, FALSE)</f>
        <v>210</v>
      </c>
      <c r="T695">
        <f>VLOOKUP(A695,[2]cwurData!$B:$N, 7, FALSE)</f>
        <v>448</v>
      </c>
      <c r="U695">
        <f>VLOOKUP(A695,[2]cwurData!$B:$N, 8, FALSE)</f>
        <v>702</v>
      </c>
      <c r="V695">
        <f>VLOOKUP(A695,[2]cwurData!$B:$N, 9, FALSE)</f>
        <v>493</v>
      </c>
      <c r="W695">
        <f>VLOOKUP(A695,[2]cwurData!$B:$N, 10, FALSE)</f>
        <v>800</v>
      </c>
      <c r="X695">
        <f>VLOOKUP(A695,[2]cwurData!$B:$N, 11, FALSE)</f>
        <v>737</v>
      </c>
      <c r="Y695">
        <f>VLOOKUP(A695,[2]cwurData!$B:$N, 12, FALSE)</f>
        <v>44.51</v>
      </c>
      <c r="Z695">
        <f>VLOOKUP(A695,[2]cwurData!$B:$N, 13, FALSE)</f>
        <v>2014</v>
      </c>
    </row>
    <row r="696" spans="1:26" x14ac:dyDescent="0.3">
      <c r="A696" t="s">
        <v>658</v>
      </c>
      <c r="B696" t="str">
        <f>IFERROR(VLOOKUP(A696,[1]timesData!$B:$P,2,FALSE),VLOOKUP(A696,[2]cwurData!$B:$P,2,FALSE))</f>
        <v>Hungary</v>
      </c>
      <c r="C696" t="str">
        <f>VLOOKUP(A696,[1]timesData!$B:$P,3,FALSE)</f>
        <v>601-800</v>
      </c>
      <c r="D696" t="str">
        <f>VLOOKUP(A697,[1]timesData!$B:$P,3,FALSE)</f>
        <v>601-800</v>
      </c>
      <c r="E696">
        <f>VLOOKUP(A697,[1]timesData!$B:$P,4,FALSE)</f>
        <v>15.5</v>
      </c>
      <c r="F696">
        <f>VLOOKUP(A697,[1]timesData!$B:$P,5,FALSE)</f>
        <v>15.5</v>
      </c>
      <c r="G696">
        <f>VLOOKUP(A697,[1]timesData!$B:$P,6,FALSE)</f>
        <v>8.6999999999999993</v>
      </c>
      <c r="H696">
        <f>VLOOKUP(A697,[1]timesData!$B:$P,7,FALSE)</f>
        <v>73.8</v>
      </c>
      <c r="I696" t="str">
        <f>VLOOKUP(A697,[1]timesData!$B:$P,8,FALSE)</f>
        <v>-</v>
      </c>
      <c r="J696">
        <f>VLOOKUP(A697,[1]timesData!$B:$P,9,FALSE)</f>
        <v>43955</v>
      </c>
      <c r="K696">
        <f>VLOOKUP(A697,[1]timesData!$B:$P,10,FALSE)</f>
        <v>16</v>
      </c>
      <c r="L696">
        <f>VLOOKUP(A697,[1]timesData!$B:$P,11,FALSE)</f>
        <v>0.03</v>
      </c>
      <c r="M696">
        <f>VLOOKUP(A697,[1]timesData!$B:$P,12,FALSE)</f>
        <v>0</v>
      </c>
      <c r="N696">
        <f>VLOOKUP(A697,[1]timesData!$B:$P,13,FALSE)</f>
        <v>2016</v>
      </c>
      <c r="O696">
        <f>VLOOKUP(A696,[2]cwurData!$B:$P,14,FALSE)</f>
        <v>811</v>
      </c>
      <c r="P696">
        <f>VLOOKUP(A696,[2]cwurData!$B:$N, 3, FALSE)</f>
        <v>5</v>
      </c>
      <c r="Q696">
        <f>VLOOKUP(A696,[2]cwurData!$B:$N, 4, FALSE)</f>
        <v>238</v>
      </c>
      <c r="R696">
        <f>VLOOKUP(A696,[2]cwurData!$B:$N, 5, FALSE)</f>
        <v>478</v>
      </c>
      <c r="S696">
        <f>VLOOKUP(A696,[2]cwurData!$B:$N, 6, FALSE)</f>
        <v>210</v>
      </c>
      <c r="T696">
        <f>VLOOKUP(A696,[2]cwurData!$B:$N, 7, FALSE)</f>
        <v>714</v>
      </c>
      <c r="U696">
        <f>VLOOKUP(A696,[2]cwurData!$B:$N, 8, FALSE)</f>
        <v>758</v>
      </c>
      <c r="V696">
        <f>VLOOKUP(A696,[2]cwurData!$B:$N, 9, FALSE)</f>
        <v>800</v>
      </c>
      <c r="W696">
        <f>VLOOKUP(A696,[2]cwurData!$B:$N, 10, FALSE)</f>
        <v>769</v>
      </c>
      <c r="X696">
        <f>VLOOKUP(A696,[2]cwurData!$B:$N, 11, FALSE)</f>
        <v>552</v>
      </c>
      <c r="Y696">
        <f>VLOOKUP(A696,[2]cwurData!$B:$N, 12, FALSE)</f>
        <v>44.51</v>
      </c>
      <c r="Z696">
        <f>VLOOKUP(A696,[2]cwurData!$B:$N, 13, FALSE)</f>
        <v>2014</v>
      </c>
    </row>
    <row r="697" spans="1:26" x14ac:dyDescent="0.3">
      <c r="A697" t="s">
        <v>674</v>
      </c>
      <c r="B697" t="str">
        <f>IFERROR(VLOOKUP(A697,[1]timesData!$B:$P,2,FALSE),VLOOKUP(A697,[2]cwurData!$B:$P,2,FALSE))</f>
        <v>China</v>
      </c>
      <c r="C697" t="str">
        <f>VLOOKUP(A697,[1]timesData!$B:$P,3,FALSE)</f>
        <v>601-800</v>
      </c>
      <c r="D697" t="str">
        <f>VLOOKUP(A698,[1]timesData!$B:$P,3,FALSE)</f>
        <v>601-800</v>
      </c>
      <c r="E697">
        <f>VLOOKUP(A698,[1]timesData!$B:$P,4,FALSE)</f>
        <v>16.899999999999999</v>
      </c>
      <c r="F697">
        <f>VLOOKUP(A698,[1]timesData!$B:$P,5,FALSE)</f>
        <v>21.7</v>
      </c>
      <c r="G697">
        <f>VLOOKUP(A698,[1]timesData!$B:$P,6,FALSE)</f>
        <v>9.1</v>
      </c>
      <c r="H697">
        <f>VLOOKUP(A698,[1]timesData!$B:$P,7,FALSE)</f>
        <v>87.6</v>
      </c>
      <c r="I697" t="str">
        <f>VLOOKUP(A698,[1]timesData!$B:$P,8,FALSE)</f>
        <v>-</v>
      </c>
      <c r="J697">
        <f>VLOOKUP(A698,[1]timesData!$B:$P,9,FALSE)</f>
        <v>0</v>
      </c>
      <c r="K697">
        <f>VLOOKUP(A698,[1]timesData!$B:$P,10,FALSE)</f>
        <v>0</v>
      </c>
      <c r="L697">
        <f>VLOOKUP(A698,[1]timesData!$B:$P,11,FALSE)</f>
        <v>0</v>
      </c>
      <c r="M697">
        <f>VLOOKUP(A698,[1]timesData!$B:$P,12,FALSE)</f>
        <v>0</v>
      </c>
      <c r="N697">
        <f>VLOOKUP(A698,[1]timesData!$B:$P,13,FALSE)</f>
        <v>2016</v>
      </c>
      <c r="O697">
        <f>VLOOKUP(A697,[2]cwurData!$B:$P,14,FALSE)</f>
        <v>815</v>
      </c>
      <c r="P697">
        <f>VLOOKUP(A697,[2]cwurData!$B:$N, 3, FALSE)</f>
        <v>44</v>
      </c>
      <c r="Q697">
        <f>VLOOKUP(A697,[2]cwurData!$B:$N, 4, FALSE)</f>
        <v>355</v>
      </c>
      <c r="R697">
        <f>VLOOKUP(A697,[2]cwurData!$B:$N, 5, FALSE)</f>
        <v>302</v>
      </c>
      <c r="S697">
        <f>VLOOKUP(A697,[2]cwurData!$B:$N, 6, FALSE)</f>
        <v>210</v>
      </c>
      <c r="T697">
        <f>VLOOKUP(A697,[2]cwurData!$B:$N, 7, FALSE)</f>
        <v>705</v>
      </c>
      <c r="U697">
        <f>VLOOKUP(A697,[2]cwurData!$B:$N, 8, FALSE)</f>
        <v>871</v>
      </c>
      <c r="V697">
        <f>VLOOKUP(A697,[2]cwurData!$B:$N, 9, FALSE)</f>
        <v>609</v>
      </c>
      <c r="W697">
        <f>VLOOKUP(A697,[2]cwurData!$B:$N, 10, FALSE)</f>
        <v>874</v>
      </c>
      <c r="X697">
        <f>VLOOKUP(A697,[2]cwurData!$B:$N, 11, FALSE)</f>
        <v>637</v>
      </c>
      <c r="Y697">
        <f>VLOOKUP(A697,[2]cwurData!$B:$N, 12, FALSE)</f>
        <v>44.5</v>
      </c>
      <c r="Z697">
        <f>VLOOKUP(A697,[2]cwurData!$B:$N, 13, FALSE)</f>
        <v>2014</v>
      </c>
    </row>
    <row r="698" spans="1:26" x14ac:dyDescent="0.3">
      <c r="A698" t="s">
        <v>650</v>
      </c>
      <c r="B698" t="str">
        <f>IFERROR(VLOOKUP(A698,[1]timesData!$B:$P,2,FALSE),VLOOKUP(A698,[2]cwurData!$B:$P,2,FALSE))</f>
        <v>China</v>
      </c>
      <c r="C698" t="str">
        <f>VLOOKUP(A698,[1]timesData!$B:$P,3,FALSE)</f>
        <v>601-800</v>
      </c>
      <c r="D698" t="str">
        <f>VLOOKUP(A699,[1]timesData!$B:$P,3,FALSE)</f>
        <v>601-800</v>
      </c>
      <c r="E698">
        <f>VLOOKUP(A699,[1]timesData!$B:$P,4,FALSE)</f>
        <v>18.8</v>
      </c>
      <c r="F698">
        <f>VLOOKUP(A699,[1]timesData!$B:$P,5,FALSE)</f>
        <v>14.9</v>
      </c>
      <c r="G698">
        <f>VLOOKUP(A699,[1]timesData!$B:$P,6,FALSE)</f>
        <v>16.3</v>
      </c>
      <c r="H698">
        <f>VLOOKUP(A699,[1]timesData!$B:$P,7,FALSE)</f>
        <v>28.8</v>
      </c>
      <c r="I698" t="str">
        <f>VLOOKUP(A699,[1]timesData!$B:$P,8,FALSE)</f>
        <v>-</v>
      </c>
      <c r="J698">
        <f>VLOOKUP(A699,[1]timesData!$B:$P,9,FALSE)</f>
        <v>11506</v>
      </c>
      <c r="K698">
        <f>VLOOKUP(A699,[1]timesData!$B:$P,10,FALSE)</f>
        <v>7.1</v>
      </c>
      <c r="L698">
        <f>VLOOKUP(A699,[1]timesData!$B:$P,11,FALSE)</f>
        <v>0.03</v>
      </c>
      <c r="M698">
        <f>VLOOKUP(A699,[1]timesData!$B:$P,12,FALSE)</f>
        <v>2.9375</v>
      </c>
      <c r="N698">
        <f>VLOOKUP(A699,[1]timesData!$B:$P,13,FALSE)</f>
        <v>2016</v>
      </c>
      <c r="O698">
        <f>VLOOKUP(A698,[2]cwurData!$B:$P,14,FALSE)</f>
        <v>816</v>
      </c>
      <c r="P698">
        <f>VLOOKUP(A698,[2]cwurData!$B:$N, 3, FALSE)</f>
        <v>45</v>
      </c>
      <c r="Q698">
        <f>VLOOKUP(A698,[2]cwurData!$B:$N, 4, FALSE)</f>
        <v>355</v>
      </c>
      <c r="R698">
        <f>VLOOKUP(A698,[2]cwurData!$B:$N, 5, FALSE)</f>
        <v>478</v>
      </c>
      <c r="S698">
        <f>VLOOKUP(A698,[2]cwurData!$B:$N, 6, FALSE)</f>
        <v>210</v>
      </c>
      <c r="T698">
        <f>VLOOKUP(A698,[2]cwurData!$B:$N, 7, FALSE)</f>
        <v>601</v>
      </c>
      <c r="U698">
        <f>VLOOKUP(A698,[2]cwurData!$B:$N, 8, FALSE)</f>
        <v>959</v>
      </c>
      <c r="V698">
        <f>VLOOKUP(A698,[2]cwurData!$B:$N, 9, FALSE)</f>
        <v>609</v>
      </c>
      <c r="W698">
        <f>VLOOKUP(A698,[2]cwurData!$B:$N, 10, FALSE)</f>
        <v>749</v>
      </c>
      <c r="X698">
        <f>VLOOKUP(A698,[2]cwurData!$B:$N, 11, FALSE)</f>
        <v>637</v>
      </c>
      <c r="Y698">
        <f>VLOOKUP(A698,[2]cwurData!$B:$N, 12, FALSE)</f>
        <v>44.5</v>
      </c>
      <c r="Z698">
        <f>VLOOKUP(A698,[2]cwurData!$B:$N, 13, FALSE)</f>
        <v>2014</v>
      </c>
    </row>
    <row r="699" spans="1:26" x14ac:dyDescent="0.3">
      <c r="A699" t="s">
        <v>662</v>
      </c>
      <c r="B699" t="str">
        <f>IFERROR(VLOOKUP(A699,[1]timesData!$B:$P,2,FALSE),VLOOKUP(A699,[2]cwurData!$B:$P,2,FALSE))</f>
        <v>China</v>
      </c>
      <c r="C699" t="str">
        <f>VLOOKUP(A699,[1]timesData!$B:$P,3,FALSE)</f>
        <v>601-800</v>
      </c>
      <c r="D699" t="str">
        <f>VLOOKUP(A700,[1]timesData!$B:$P,3,FALSE)</f>
        <v>601-800</v>
      </c>
      <c r="E699">
        <f>VLOOKUP(A700,[1]timesData!$B:$P,4,FALSE)</f>
        <v>62.8</v>
      </c>
      <c r="F699">
        <f>VLOOKUP(A700,[1]timesData!$B:$P,5,FALSE)</f>
        <v>10.7</v>
      </c>
      <c r="G699">
        <f>VLOOKUP(A700,[1]timesData!$B:$P,6,FALSE)</f>
        <v>20.100000000000001</v>
      </c>
      <c r="H699">
        <f>VLOOKUP(A700,[1]timesData!$B:$P,7,FALSE)</f>
        <v>29.4</v>
      </c>
      <c r="I699" t="str">
        <f>VLOOKUP(A700,[1]timesData!$B:$P,8,FALSE)</f>
        <v>-</v>
      </c>
      <c r="J699">
        <f>VLOOKUP(A700,[1]timesData!$B:$P,9,FALSE)</f>
        <v>16924</v>
      </c>
      <c r="K699">
        <f>VLOOKUP(A700,[1]timesData!$B:$P,10,FALSE)</f>
        <v>19.5</v>
      </c>
      <c r="L699">
        <f>VLOOKUP(A700,[1]timesData!$B:$P,11,FALSE)</f>
        <v>0.19</v>
      </c>
      <c r="M699">
        <f>VLOOKUP(A700,[1]timesData!$B:$P,12,FALSE)</f>
        <v>2.4458333333333333</v>
      </c>
      <c r="N699">
        <f>VLOOKUP(A700,[1]timesData!$B:$P,13,FALSE)</f>
        <v>2016</v>
      </c>
      <c r="O699">
        <f>VLOOKUP(A699,[2]cwurData!$B:$P,14,FALSE)</f>
        <v>824</v>
      </c>
      <c r="P699">
        <f>VLOOKUP(A699,[2]cwurData!$B:$N, 3, FALSE)</f>
        <v>47</v>
      </c>
      <c r="Q699">
        <f>VLOOKUP(A699,[2]cwurData!$B:$N, 4, FALSE)</f>
        <v>355</v>
      </c>
      <c r="R699">
        <f>VLOOKUP(A699,[2]cwurData!$B:$N, 5, FALSE)</f>
        <v>478</v>
      </c>
      <c r="S699">
        <f>VLOOKUP(A699,[2]cwurData!$B:$N, 6, FALSE)</f>
        <v>210</v>
      </c>
      <c r="T699">
        <f>VLOOKUP(A699,[2]cwurData!$B:$N, 7, FALSE)</f>
        <v>618</v>
      </c>
      <c r="U699">
        <f>VLOOKUP(A699,[2]cwurData!$B:$N, 8, FALSE)</f>
        <v>800</v>
      </c>
      <c r="V699">
        <f>VLOOKUP(A699,[2]cwurData!$B:$N, 9, FALSE)</f>
        <v>609</v>
      </c>
      <c r="W699">
        <f>VLOOKUP(A699,[2]cwurData!$B:$N, 10, FALSE)</f>
        <v>756</v>
      </c>
      <c r="X699">
        <f>VLOOKUP(A699,[2]cwurData!$B:$N, 11, FALSE)</f>
        <v>737</v>
      </c>
      <c r="Y699">
        <f>VLOOKUP(A699,[2]cwurData!$B:$N, 12, FALSE)</f>
        <v>44.48</v>
      </c>
      <c r="Z699">
        <f>VLOOKUP(A699,[2]cwurData!$B:$N, 13, FALSE)</f>
        <v>2014</v>
      </c>
    </row>
    <row r="700" spans="1:26" x14ac:dyDescent="0.3">
      <c r="A700" t="s">
        <v>656</v>
      </c>
      <c r="B700" t="str">
        <f>IFERROR(VLOOKUP(A700,[1]timesData!$B:$P,2,FALSE),VLOOKUP(A700,[2]cwurData!$B:$P,2,FALSE))</f>
        <v>United Kingdom</v>
      </c>
      <c r="C700" t="str">
        <f>VLOOKUP(A700,[1]timesData!$B:$P,3,FALSE)</f>
        <v>601-800</v>
      </c>
      <c r="D700" t="str">
        <f>VLOOKUP(A701,[1]timesData!$B:$P,3,FALSE)</f>
        <v>601-800</v>
      </c>
      <c r="E700">
        <f>VLOOKUP(A701,[1]timesData!$B:$P,4,FALSE)</f>
        <v>25.2</v>
      </c>
      <c r="F700">
        <f>VLOOKUP(A701,[1]timesData!$B:$P,5,FALSE)</f>
        <v>12.2</v>
      </c>
      <c r="G700">
        <f>VLOOKUP(A701,[1]timesData!$B:$P,6,FALSE)</f>
        <v>38.700000000000003</v>
      </c>
      <c r="H700">
        <f>VLOOKUP(A701,[1]timesData!$B:$P,7,FALSE)</f>
        <v>35.4</v>
      </c>
      <c r="I700" t="str">
        <f>VLOOKUP(A701,[1]timesData!$B:$P,8,FALSE)</f>
        <v>-</v>
      </c>
      <c r="J700">
        <f>VLOOKUP(A701,[1]timesData!$B:$P,9,FALSE)</f>
        <v>11704</v>
      </c>
      <c r="K700">
        <f>VLOOKUP(A701,[1]timesData!$B:$P,10,FALSE)</f>
        <v>15.5</v>
      </c>
      <c r="L700">
        <f>VLOOKUP(A701,[1]timesData!$B:$P,11,FALSE)</f>
        <v>0.03</v>
      </c>
      <c r="M700">
        <f>VLOOKUP(A701,[1]timesData!$B:$P,12,FALSE)</f>
        <v>1.83125</v>
      </c>
      <c r="N700">
        <f>VLOOKUP(A701,[1]timesData!$B:$P,13,FALSE)</f>
        <v>2016</v>
      </c>
      <c r="O700">
        <f>VLOOKUP(A700,[2]cwurData!$B:$P,14,FALSE)</f>
        <v>825</v>
      </c>
      <c r="P700">
        <f>VLOOKUP(A700,[2]cwurData!$B:$N, 3, FALSE)</f>
        <v>63</v>
      </c>
      <c r="Q700">
        <f>VLOOKUP(A700,[2]cwurData!$B:$N, 4, FALSE)</f>
        <v>355</v>
      </c>
      <c r="R700">
        <f>VLOOKUP(A700,[2]cwurData!$B:$N, 5, FALSE)</f>
        <v>478</v>
      </c>
      <c r="S700">
        <f>VLOOKUP(A700,[2]cwurData!$B:$N, 6, FALSE)</f>
        <v>210</v>
      </c>
      <c r="T700">
        <f>VLOOKUP(A700,[2]cwurData!$B:$N, 7, FALSE)</f>
        <v>860</v>
      </c>
      <c r="U700">
        <f>VLOOKUP(A700,[2]cwurData!$B:$N, 8, FALSE)</f>
        <v>841</v>
      </c>
      <c r="V700">
        <f>VLOOKUP(A700,[2]cwurData!$B:$N, 9, FALSE)</f>
        <v>800</v>
      </c>
      <c r="W700">
        <f>VLOOKUP(A700,[2]cwurData!$B:$N, 10, FALSE)</f>
        <v>749</v>
      </c>
      <c r="X700">
        <f>VLOOKUP(A700,[2]cwurData!$B:$N, 11, FALSE)</f>
        <v>552</v>
      </c>
      <c r="Y700">
        <f>VLOOKUP(A700,[2]cwurData!$B:$N, 12, FALSE)</f>
        <v>44.48</v>
      </c>
      <c r="Z700">
        <f>VLOOKUP(A700,[2]cwurData!$B:$N, 13, FALSE)</f>
        <v>2014</v>
      </c>
    </row>
    <row r="701" spans="1:26" x14ac:dyDescent="0.3">
      <c r="A701" t="s">
        <v>769</v>
      </c>
      <c r="B701" t="str">
        <f>IFERROR(VLOOKUP(A701,[1]timesData!$B:$P,2,FALSE),VLOOKUP(A701,[2]cwurData!$B:$P,2,FALSE))</f>
        <v>South Korea</v>
      </c>
      <c r="C701" t="str">
        <f>VLOOKUP(A701,[1]timesData!$B:$P,3,FALSE)</f>
        <v>601-800</v>
      </c>
      <c r="D701" t="str">
        <f>VLOOKUP(A702,[1]timesData!$B:$P,3,FALSE)</f>
        <v>601-800</v>
      </c>
      <c r="E701">
        <f>VLOOKUP(A702,[1]timesData!$B:$P,4,FALSE)</f>
        <v>40.799999999999997</v>
      </c>
      <c r="F701">
        <f>VLOOKUP(A702,[1]timesData!$B:$P,5,FALSE)</f>
        <v>13.6</v>
      </c>
      <c r="G701">
        <f>VLOOKUP(A702,[1]timesData!$B:$P,6,FALSE)</f>
        <v>26.1</v>
      </c>
      <c r="H701">
        <f>VLOOKUP(A702,[1]timesData!$B:$P,7,FALSE)</f>
        <v>41</v>
      </c>
      <c r="I701" t="str">
        <f>VLOOKUP(A702,[1]timesData!$B:$P,8,FALSE)</f>
        <v>-</v>
      </c>
      <c r="J701">
        <f>VLOOKUP(A702,[1]timesData!$B:$P,9,FALSE)</f>
        <v>19019</v>
      </c>
      <c r="K701">
        <f>VLOOKUP(A702,[1]timesData!$B:$P,10,FALSE)</f>
        <v>14.2</v>
      </c>
      <c r="L701">
        <f>VLOOKUP(A702,[1]timesData!$B:$P,11,FALSE)</f>
        <v>0.04</v>
      </c>
      <c r="M701">
        <f>VLOOKUP(A702,[1]timesData!$B:$P,12,FALSE)</f>
        <v>2.7326388888888888</v>
      </c>
      <c r="N701">
        <f>VLOOKUP(A702,[1]timesData!$B:$P,13,FALSE)</f>
        <v>2016</v>
      </c>
      <c r="O701">
        <f>VLOOKUP(A701,[2]cwurData!$B:$P,14,FALSE)</f>
        <v>832</v>
      </c>
      <c r="P701">
        <f>VLOOKUP(A701,[2]cwurData!$B:$N, 3, FALSE)</f>
        <v>29</v>
      </c>
      <c r="Q701">
        <f>VLOOKUP(A701,[2]cwurData!$B:$N, 4, FALSE)</f>
        <v>355</v>
      </c>
      <c r="R701">
        <f>VLOOKUP(A701,[2]cwurData!$B:$N, 5, FALSE)</f>
        <v>478</v>
      </c>
      <c r="S701">
        <f>VLOOKUP(A701,[2]cwurData!$B:$N, 6, FALSE)</f>
        <v>210</v>
      </c>
      <c r="T701">
        <f>VLOOKUP(A701,[2]cwurData!$B:$N, 7, FALSE)</f>
        <v>778</v>
      </c>
      <c r="U701">
        <f>VLOOKUP(A701,[2]cwurData!$B:$N, 8, FALSE)</f>
        <v>826</v>
      </c>
      <c r="V701">
        <f>VLOOKUP(A701,[2]cwurData!$B:$N, 9, FALSE)</f>
        <v>800</v>
      </c>
      <c r="W701">
        <f>VLOOKUP(A701,[2]cwurData!$B:$N, 10, FALSE)</f>
        <v>800</v>
      </c>
      <c r="X701">
        <f>VLOOKUP(A701,[2]cwurData!$B:$N, 11, FALSE)</f>
        <v>373</v>
      </c>
      <c r="Y701">
        <f>VLOOKUP(A701,[2]cwurData!$B:$N, 12, FALSE)</f>
        <v>44.47</v>
      </c>
      <c r="Z701">
        <f>VLOOKUP(A701,[2]cwurData!$B:$N, 13, FALSE)</f>
        <v>2014</v>
      </c>
    </row>
    <row r="702" spans="1:26" x14ac:dyDescent="0.3">
      <c r="A702" t="s">
        <v>808</v>
      </c>
      <c r="B702" t="str">
        <f>IFERROR(VLOOKUP(A702,[1]timesData!$B:$P,2,FALSE),VLOOKUP(A702,[2]cwurData!$B:$P,2,FALSE))</f>
        <v>Lithuania</v>
      </c>
      <c r="C702" t="str">
        <f>VLOOKUP(A702,[1]timesData!$B:$P,3,FALSE)</f>
        <v>601-800</v>
      </c>
      <c r="D702" t="str">
        <f>VLOOKUP(A703,[1]timesData!$B:$P,3,FALSE)</f>
        <v>601-800</v>
      </c>
      <c r="E702">
        <f>VLOOKUP(A703,[1]timesData!$B:$P,4,FALSE)</f>
        <v>30.4</v>
      </c>
      <c r="F702">
        <f>VLOOKUP(A703,[1]timesData!$B:$P,5,FALSE)</f>
        <v>18.7</v>
      </c>
      <c r="G702">
        <f>VLOOKUP(A703,[1]timesData!$B:$P,6,FALSE)</f>
        <v>18.399999999999999</v>
      </c>
      <c r="H702" t="str">
        <f>VLOOKUP(A703,[1]timesData!$B:$P,7,FALSE)</f>
        <v>-</v>
      </c>
      <c r="I702" t="str">
        <f>VLOOKUP(A703,[1]timesData!$B:$P,8,FALSE)</f>
        <v>-</v>
      </c>
      <c r="J702">
        <f>VLOOKUP(A703,[1]timesData!$B:$P,9,FALSE)</f>
        <v>19123</v>
      </c>
      <c r="K702">
        <f>VLOOKUP(A703,[1]timesData!$B:$P,10,FALSE)</f>
        <v>29</v>
      </c>
      <c r="L702">
        <f>VLOOKUP(A703,[1]timesData!$B:$P,11,FALSE)</f>
        <v>7.0000000000000007E-2</v>
      </c>
      <c r="M702">
        <f>VLOOKUP(A703,[1]timesData!$B:$P,12,FALSE)</f>
        <v>2.2819444444444446</v>
      </c>
      <c r="N702">
        <f>VLOOKUP(A703,[1]timesData!$B:$P,13,FALSE)</f>
        <v>2016</v>
      </c>
      <c r="O702">
        <f>VLOOKUP(A702,[2]cwurData!$B:$P,14,FALSE)</f>
        <v>838</v>
      </c>
      <c r="P702">
        <f>VLOOKUP(A702,[2]cwurData!$B:$N, 3, FALSE)</f>
        <v>1</v>
      </c>
      <c r="Q702">
        <f>VLOOKUP(A702,[2]cwurData!$B:$N, 4, FALSE)</f>
        <v>326</v>
      </c>
      <c r="R702">
        <f>VLOOKUP(A702,[2]cwurData!$B:$N, 5, FALSE)</f>
        <v>478</v>
      </c>
      <c r="S702">
        <f>VLOOKUP(A702,[2]cwurData!$B:$N, 6, FALSE)</f>
        <v>210</v>
      </c>
      <c r="T702">
        <f>VLOOKUP(A702,[2]cwurData!$B:$N, 7, FALSE)</f>
        <v>790</v>
      </c>
      <c r="U702">
        <f>VLOOKUP(A702,[2]cwurData!$B:$N, 8, FALSE)</f>
        <v>728</v>
      </c>
      <c r="V702">
        <f>VLOOKUP(A702,[2]cwurData!$B:$N, 9, FALSE)</f>
        <v>609</v>
      </c>
      <c r="W702">
        <f>VLOOKUP(A702,[2]cwurData!$B:$N, 10, FALSE)</f>
        <v>769</v>
      </c>
      <c r="X702">
        <f>VLOOKUP(A702,[2]cwurData!$B:$N, 11, FALSE)</f>
        <v>737</v>
      </c>
      <c r="Y702">
        <f>VLOOKUP(A702,[2]cwurData!$B:$N, 12, FALSE)</f>
        <v>44.46</v>
      </c>
      <c r="Z702">
        <f>VLOOKUP(A702,[2]cwurData!$B:$N, 13, FALSE)</f>
        <v>2014</v>
      </c>
    </row>
    <row r="703" spans="1:26" x14ac:dyDescent="0.3">
      <c r="A703" t="s">
        <v>793</v>
      </c>
      <c r="B703" t="str">
        <f>IFERROR(VLOOKUP(A703,[1]timesData!$B:$P,2,FALSE),VLOOKUP(A703,[2]cwurData!$B:$P,2,FALSE))</f>
        <v>United States of America</v>
      </c>
      <c r="C703" t="str">
        <f>VLOOKUP(A703,[1]timesData!$B:$P,3,FALSE)</f>
        <v>601-800</v>
      </c>
      <c r="D703" t="str">
        <f>VLOOKUP(A704,[1]timesData!$B:$P,3,FALSE)</f>
        <v>601-800</v>
      </c>
      <c r="E703">
        <f>VLOOKUP(A704,[1]timesData!$B:$P,4,FALSE)</f>
        <v>50</v>
      </c>
      <c r="F703">
        <f>VLOOKUP(A704,[1]timesData!$B:$P,5,FALSE)</f>
        <v>11.2</v>
      </c>
      <c r="G703">
        <f>VLOOKUP(A704,[1]timesData!$B:$P,6,FALSE)</f>
        <v>28.3</v>
      </c>
      <c r="H703">
        <f>VLOOKUP(A704,[1]timesData!$B:$P,7,FALSE)</f>
        <v>43.3</v>
      </c>
      <c r="I703" t="str">
        <f>VLOOKUP(A704,[1]timesData!$B:$P,8,FALSE)</f>
        <v>-</v>
      </c>
      <c r="J703">
        <f>VLOOKUP(A704,[1]timesData!$B:$P,9,FALSE)</f>
        <v>30812</v>
      </c>
      <c r="K703">
        <f>VLOOKUP(A704,[1]timesData!$B:$P,10,FALSE)</f>
        <v>25.1</v>
      </c>
      <c r="L703">
        <f>VLOOKUP(A704,[1]timesData!$B:$P,11,FALSE)</f>
        <v>0.18</v>
      </c>
      <c r="M703">
        <f>VLOOKUP(A704,[1]timesData!$B:$P,12,FALSE)</f>
        <v>2.2409722222222221</v>
      </c>
      <c r="N703">
        <f>VLOOKUP(A704,[1]timesData!$B:$P,13,FALSE)</f>
        <v>2016</v>
      </c>
      <c r="O703">
        <f>VLOOKUP(A703,[2]cwurData!$B:$P,14,FALSE)</f>
        <v>844</v>
      </c>
      <c r="P703">
        <f>VLOOKUP(A703,[2]cwurData!$B:$N, 3, FALSE)</f>
        <v>220</v>
      </c>
      <c r="Q703">
        <f>VLOOKUP(A703,[2]cwurData!$B:$N, 4, FALSE)</f>
        <v>355</v>
      </c>
      <c r="R703">
        <f>VLOOKUP(A703,[2]cwurData!$B:$N, 5, FALSE)</f>
        <v>391</v>
      </c>
      <c r="S703">
        <f>VLOOKUP(A703,[2]cwurData!$B:$N, 6, FALSE)</f>
        <v>210</v>
      </c>
      <c r="T703">
        <f>VLOOKUP(A703,[2]cwurData!$B:$N, 7, FALSE)</f>
        <v>897</v>
      </c>
      <c r="U703">
        <f>VLOOKUP(A703,[2]cwurData!$B:$N, 8, FALSE)</f>
        <v>817</v>
      </c>
      <c r="V703">
        <f>VLOOKUP(A703,[2]cwurData!$B:$N, 9, FALSE)</f>
        <v>609</v>
      </c>
      <c r="W703">
        <f>VLOOKUP(A703,[2]cwurData!$B:$N, 10, FALSE)</f>
        <v>849</v>
      </c>
      <c r="X703">
        <f>VLOOKUP(A703,[2]cwurData!$B:$N, 11, FALSE)</f>
        <v>737</v>
      </c>
      <c r="Y703">
        <f>VLOOKUP(A703,[2]cwurData!$B:$N, 12, FALSE)</f>
        <v>44.45</v>
      </c>
      <c r="Z703">
        <f>VLOOKUP(A703,[2]cwurData!$B:$N, 13, FALSE)</f>
        <v>2014</v>
      </c>
    </row>
    <row r="704" spans="1:26" x14ac:dyDescent="0.3">
      <c r="A704" t="s">
        <v>637</v>
      </c>
      <c r="B704" t="str">
        <f>IFERROR(VLOOKUP(A704,[1]timesData!$B:$P,2,FALSE),VLOOKUP(A704,[2]cwurData!$B:$P,2,FALSE))</f>
        <v>Spain</v>
      </c>
      <c r="C704" t="str">
        <f>VLOOKUP(A704,[1]timesData!$B:$P,3,FALSE)</f>
        <v>601-800</v>
      </c>
      <c r="D704" t="str">
        <f>VLOOKUP(A705,[1]timesData!$B:$P,3,FALSE)</f>
        <v>601-800</v>
      </c>
      <c r="E704">
        <f>VLOOKUP(A705,[1]timesData!$B:$P,4,FALSE)</f>
        <v>14.2</v>
      </c>
      <c r="F704">
        <f>VLOOKUP(A705,[1]timesData!$B:$P,5,FALSE)</f>
        <v>20.3</v>
      </c>
      <c r="G704">
        <f>VLOOKUP(A705,[1]timesData!$B:$P,6,FALSE)</f>
        <v>15.7</v>
      </c>
      <c r="H704">
        <f>VLOOKUP(A705,[1]timesData!$B:$P,7,FALSE)</f>
        <v>40.799999999999997</v>
      </c>
      <c r="I704" t="str">
        <f>VLOOKUP(A705,[1]timesData!$B:$P,8,FALSE)</f>
        <v>-</v>
      </c>
      <c r="J704">
        <f>VLOOKUP(A705,[1]timesData!$B:$P,9,FALSE)</f>
        <v>11989</v>
      </c>
      <c r="K704">
        <f>VLOOKUP(A705,[1]timesData!$B:$P,10,FALSE)</f>
        <v>22.9</v>
      </c>
      <c r="L704">
        <f>VLOOKUP(A705,[1]timesData!$B:$P,11,FALSE)</f>
        <v>0.01</v>
      </c>
      <c r="M704">
        <f>VLOOKUP(A705,[1]timesData!$B:$P,12,FALSE)</f>
        <v>0</v>
      </c>
      <c r="N704">
        <f>VLOOKUP(A705,[1]timesData!$B:$P,13,FALSE)</f>
        <v>2016</v>
      </c>
      <c r="O704">
        <f>VLOOKUP(A704,[2]cwurData!$B:$P,14,FALSE)</f>
        <v>848</v>
      </c>
      <c r="P704">
        <f>VLOOKUP(A704,[2]cwurData!$B:$N, 3, FALSE)</f>
        <v>32</v>
      </c>
      <c r="Q704">
        <f>VLOOKUP(A704,[2]cwurData!$B:$N, 4, FALSE)</f>
        <v>355</v>
      </c>
      <c r="R704">
        <f>VLOOKUP(A704,[2]cwurData!$B:$N, 5, FALSE)</f>
        <v>478</v>
      </c>
      <c r="S704">
        <f>VLOOKUP(A704,[2]cwurData!$B:$N, 6, FALSE)</f>
        <v>210</v>
      </c>
      <c r="T704">
        <f>VLOOKUP(A704,[2]cwurData!$B:$N, 7, FALSE)</f>
        <v>738</v>
      </c>
      <c r="U704">
        <f>VLOOKUP(A704,[2]cwurData!$B:$N, 8, FALSE)</f>
        <v>698</v>
      </c>
      <c r="V704">
        <f>VLOOKUP(A704,[2]cwurData!$B:$N, 9, FALSE)</f>
        <v>800</v>
      </c>
      <c r="W704">
        <f>VLOOKUP(A704,[2]cwurData!$B:$N, 10, FALSE)</f>
        <v>783</v>
      </c>
      <c r="X704">
        <f>VLOOKUP(A704,[2]cwurData!$B:$N, 11, FALSE)</f>
        <v>637</v>
      </c>
      <c r="Y704">
        <f>VLOOKUP(A704,[2]cwurData!$B:$N, 12, FALSE)</f>
        <v>44.45</v>
      </c>
      <c r="Z704">
        <f>VLOOKUP(A704,[2]cwurData!$B:$N, 13, FALSE)</f>
        <v>2014</v>
      </c>
    </row>
    <row r="705" spans="1:26" x14ac:dyDescent="0.3">
      <c r="A705" t="s">
        <v>737</v>
      </c>
      <c r="B705" t="str">
        <f>IFERROR(VLOOKUP(A705,[1]timesData!$B:$P,2,FALSE),VLOOKUP(A705,[2]cwurData!$B:$P,2,FALSE))</f>
        <v>Taiwan</v>
      </c>
      <c r="C705" t="str">
        <f>VLOOKUP(A705,[1]timesData!$B:$P,3,FALSE)</f>
        <v>601-800</v>
      </c>
      <c r="D705" t="str">
        <f>VLOOKUP(A706,[1]timesData!$B:$P,3,FALSE)</f>
        <v>601-800</v>
      </c>
      <c r="E705">
        <f>VLOOKUP(A706,[1]timesData!$B:$P,4,FALSE)</f>
        <v>20.6</v>
      </c>
      <c r="F705">
        <f>VLOOKUP(A706,[1]timesData!$B:$P,5,FALSE)</f>
        <v>9.6</v>
      </c>
      <c r="G705">
        <f>VLOOKUP(A706,[1]timesData!$B:$P,6,FALSE)</f>
        <v>23.4</v>
      </c>
      <c r="H705">
        <f>VLOOKUP(A706,[1]timesData!$B:$P,7,FALSE)</f>
        <v>29.6</v>
      </c>
      <c r="I705" t="str">
        <f>VLOOKUP(A706,[1]timesData!$B:$P,8,FALSE)</f>
        <v>-</v>
      </c>
      <c r="J705">
        <f>VLOOKUP(A706,[1]timesData!$B:$P,9,FALSE)</f>
        <v>7469</v>
      </c>
      <c r="K705">
        <f>VLOOKUP(A706,[1]timesData!$B:$P,10,FALSE)</f>
        <v>11.7</v>
      </c>
      <c r="L705">
        <f>VLOOKUP(A706,[1]timesData!$B:$P,11,FALSE)</f>
        <v>0.02</v>
      </c>
      <c r="M705" t="str">
        <f>VLOOKUP(A706,[1]timesData!$B:$P,12,FALSE)</f>
        <v>33 : 67</v>
      </c>
      <c r="N705">
        <f>VLOOKUP(A706,[1]timesData!$B:$P,13,FALSE)</f>
        <v>2016</v>
      </c>
      <c r="O705">
        <f>VLOOKUP(A705,[2]cwurData!$B:$P,14,FALSE)</f>
        <v>855</v>
      </c>
      <c r="P705">
        <f>VLOOKUP(A705,[2]cwurData!$B:$N, 3, FALSE)</f>
        <v>14</v>
      </c>
      <c r="Q705">
        <f>VLOOKUP(A705,[2]cwurData!$B:$N, 4, FALSE)</f>
        <v>355</v>
      </c>
      <c r="R705">
        <f>VLOOKUP(A705,[2]cwurData!$B:$N, 5, FALSE)</f>
        <v>478</v>
      </c>
      <c r="S705">
        <f>VLOOKUP(A705,[2]cwurData!$B:$N, 6, FALSE)</f>
        <v>210</v>
      </c>
      <c r="T705">
        <f>VLOOKUP(A705,[2]cwurData!$B:$N, 7, FALSE)</f>
        <v>760</v>
      </c>
      <c r="U705">
        <f>VLOOKUP(A705,[2]cwurData!$B:$N, 8, FALSE)</f>
        <v>987</v>
      </c>
      <c r="V705">
        <f>VLOOKUP(A705,[2]cwurData!$B:$N, 9, FALSE)</f>
        <v>800</v>
      </c>
      <c r="W705">
        <f>VLOOKUP(A705,[2]cwurData!$B:$N, 10, FALSE)</f>
        <v>783</v>
      </c>
      <c r="X705">
        <f>VLOOKUP(A705,[2]cwurData!$B:$N, 11, FALSE)</f>
        <v>737</v>
      </c>
      <c r="Y705">
        <f>VLOOKUP(A705,[2]cwurData!$B:$N, 12, FALSE)</f>
        <v>44.44</v>
      </c>
      <c r="Z705">
        <f>VLOOKUP(A705,[2]cwurData!$B:$N, 13, FALSE)</f>
        <v>2014</v>
      </c>
    </row>
    <row r="706" spans="1:26" x14ac:dyDescent="0.3">
      <c r="A706" t="s">
        <v>763</v>
      </c>
      <c r="B706" t="str">
        <f>IFERROR(VLOOKUP(A706,[1]timesData!$B:$P,2,FALSE),VLOOKUP(A706,[2]cwurData!$B:$P,2,FALSE))</f>
        <v>Japan</v>
      </c>
      <c r="C706" t="str">
        <f>VLOOKUP(A706,[1]timesData!$B:$P,3,FALSE)</f>
        <v>601-800</v>
      </c>
      <c r="D706" t="str">
        <f>VLOOKUP(A707,[1]timesData!$B:$P,3,FALSE)</f>
        <v>601-800</v>
      </c>
      <c r="E706">
        <f>VLOOKUP(A707,[1]timesData!$B:$P,4,FALSE)</f>
        <v>50.8</v>
      </c>
      <c r="F706">
        <f>VLOOKUP(A707,[1]timesData!$B:$P,5,FALSE)</f>
        <v>9</v>
      </c>
      <c r="G706">
        <f>VLOOKUP(A707,[1]timesData!$B:$P,6,FALSE)</f>
        <v>23.4</v>
      </c>
      <c r="H706">
        <f>VLOOKUP(A707,[1]timesData!$B:$P,7,FALSE)</f>
        <v>28.4</v>
      </c>
      <c r="I706" t="str">
        <f>VLOOKUP(A707,[1]timesData!$B:$P,8,FALSE)</f>
        <v>-</v>
      </c>
      <c r="J706">
        <f>VLOOKUP(A707,[1]timesData!$B:$P,9,FALSE)</f>
        <v>21819</v>
      </c>
      <c r="K706">
        <f>VLOOKUP(A707,[1]timesData!$B:$P,10,FALSE)</f>
        <v>15.4</v>
      </c>
      <c r="L706">
        <f>VLOOKUP(A707,[1]timesData!$B:$P,11,FALSE)</f>
        <v>0.1</v>
      </c>
      <c r="M706">
        <f>VLOOKUP(A707,[1]timesData!$B:$P,12,FALSE)</f>
        <v>0</v>
      </c>
      <c r="N706">
        <f>VLOOKUP(A707,[1]timesData!$B:$P,13,FALSE)</f>
        <v>2016</v>
      </c>
      <c r="O706">
        <f>VLOOKUP(A706,[2]cwurData!$B:$P,14,FALSE)</f>
        <v>858</v>
      </c>
      <c r="P706">
        <f>VLOOKUP(A706,[2]cwurData!$B:$N, 3, FALSE)</f>
        <v>67</v>
      </c>
      <c r="Q706">
        <f>VLOOKUP(A706,[2]cwurData!$B:$N, 4, FALSE)</f>
        <v>355</v>
      </c>
      <c r="R706">
        <f>VLOOKUP(A706,[2]cwurData!$B:$N, 5, FALSE)</f>
        <v>318</v>
      </c>
      <c r="S706">
        <f>VLOOKUP(A706,[2]cwurData!$B:$N, 6, FALSE)</f>
        <v>210</v>
      </c>
      <c r="T706">
        <f>VLOOKUP(A706,[2]cwurData!$B:$N, 7, FALSE)</f>
        <v>912</v>
      </c>
      <c r="U706">
        <f>VLOOKUP(A706,[2]cwurData!$B:$N, 8, FALSE)</f>
        <v>603</v>
      </c>
      <c r="V706">
        <f>VLOOKUP(A706,[2]cwurData!$B:$N, 9, FALSE)</f>
        <v>493</v>
      </c>
      <c r="W706">
        <f>VLOOKUP(A706,[2]cwurData!$B:$N, 10, FALSE)</f>
        <v>909</v>
      </c>
      <c r="X706">
        <f>VLOOKUP(A706,[2]cwurData!$B:$N, 11, FALSE)</f>
        <v>637</v>
      </c>
      <c r="Y706">
        <f>VLOOKUP(A706,[2]cwurData!$B:$N, 12, FALSE)</f>
        <v>44.44</v>
      </c>
      <c r="Z706">
        <f>VLOOKUP(A706,[2]cwurData!$B:$N, 13, FALSE)</f>
        <v>2014</v>
      </c>
    </row>
    <row r="707" spans="1:26" x14ac:dyDescent="0.3">
      <c r="A707" t="s">
        <v>755</v>
      </c>
      <c r="B707" t="str">
        <f>IFERROR(VLOOKUP(A707,[1]timesData!$B:$P,2,FALSE),VLOOKUP(A707,[2]cwurData!$B:$P,2,FALSE))</f>
        <v>Hungary</v>
      </c>
      <c r="C707" t="str">
        <f>VLOOKUP(A707,[1]timesData!$B:$P,3,FALSE)</f>
        <v>601-800</v>
      </c>
      <c r="D707" t="str">
        <f>VLOOKUP(A708,[1]timesData!$B:$P,3,FALSE)</f>
        <v>601-800</v>
      </c>
      <c r="E707">
        <f>VLOOKUP(A708,[1]timesData!$B:$P,4,FALSE)</f>
        <v>23.3</v>
      </c>
      <c r="F707">
        <f>VLOOKUP(A708,[1]timesData!$B:$P,5,FALSE)</f>
        <v>11.9</v>
      </c>
      <c r="G707">
        <f>VLOOKUP(A708,[1]timesData!$B:$P,6,FALSE)</f>
        <v>21.9</v>
      </c>
      <c r="H707">
        <f>VLOOKUP(A708,[1]timesData!$B:$P,7,FALSE)</f>
        <v>30.3</v>
      </c>
      <c r="I707" t="str">
        <f>VLOOKUP(A708,[1]timesData!$B:$P,8,FALSE)</f>
        <v>-</v>
      </c>
      <c r="J707">
        <f>VLOOKUP(A708,[1]timesData!$B:$P,9,FALSE)</f>
        <v>14584</v>
      </c>
      <c r="K707">
        <f>VLOOKUP(A708,[1]timesData!$B:$P,10,FALSE)</f>
        <v>19.8</v>
      </c>
      <c r="L707">
        <f>VLOOKUP(A708,[1]timesData!$B:$P,11,FALSE)</f>
        <v>0.02</v>
      </c>
      <c r="M707">
        <f>VLOOKUP(A708,[1]timesData!$B:$P,12,FALSE)</f>
        <v>2.5277777777777777</v>
      </c>
      <c r="N707">
        <f>VLOOKUP(A708,[1]timesData!$B:$P,13,FALSE)</f>
        <v>2016</v>
      </c>
      <c r="O707">
        <f>VLOOKUP(A707,[2]cwurData!$B:$P,14,FALSE)</f>
        <v>862</v>
      </c>
      <c r="P707">
        <f>VLOOKUP(A707,[2]cwurData!$B:$N, 3, FALSE)</f>
        <v>6</v>
      </c>
      <c r="Q707">
        <f>VLOOKUP(A707,[2]cwurData!$B:$N, 4, FALSE)</f>
        <v>355</v>
      </c>
      <c r="R707">
        <f>VLOOKUP(A707,[2]cwurData!$B:$N, 5, FALSE)</f>
        <v>478</v>
      </c>
      <c r="S707">
        <f>VLOOKUP(A707,[2]cwurData!$B:$N, 6, FALSE)</f>
        <v>210</v>
      </c>
      <c r="T707">
        <f>VLOOKUP(A707,[2]cwurData!$B:$N, 7, FALSE)</f>
        <v>963</v>
      </c>
      <c r="U707">
        <f>VLOOKUP(A707,[2]cwurData!$B:$N, 8, FALSE)</f>
        <v>834</v>
      </c>
      <c r="V707">
        <f>VLOOKUP(A707,[2]cwurData!$B:$N, 9, FALSE)</f>
        <v>800</v>
      </c>
      <c r="W707">
        <f>VLOOKUP(A707,[2]cwurData!$B:$N, 10, FALSE)</f>
        <v>832</v>
      </c>
      <c r="X707">
        <f>VLOOKUP(A707,[2]cwurData!$B:$N, 11, FALSE)</f>
        <v>373</v>
      </c>
      <c r="Y707">
        <f>VLOOKUP(A707,[2]cwurData!$B:$N, 12, FALSE)</f>
        <v>44.44</v>
      </c>
      <c r="Z707">
        <f>VLOOKUP(A707,[2]cwurData!$B:$N, 13, FALSE)</f>
        <v>2014</v>
      </c>
    </row>
    <row r="708" spans="1:26" x14ac:dyDescent="0.3">
      <c r="A708" t="s">
        <v>747</v>
      </c>
      <c r="B708" t="str">
        <f>IFERROR(VLOOKUP(A708,[1]timesData!$B:$P,2,FALSE),VLOOKUP(A708,[2]cwurData!$B:$P,2,FALSE))</f>
        <v>United States of America</v>
      </c>
      <c r="C708" t="str">
        <f>VLOOKUP(A708,[1]timesData!$B:$P,3,FALSE)</f>
        <v>601-800</v>
      </c>
      <c r="D708" t="str">
        <f>VLOOKUP(A709,[1]timesData!$B:$P,3,FALSE)</f>
        <v>601-800</v>
      </c>
      <c r="E708">
        <f>VLOOKUP(A709,[1]timesData!$B:$P,4,FALSE)</f>
        <v>15.6</v>
      </c>
      <c r="F708">
        <f>VLOOKUP(A709,[1]timesData!$B:$P,5,FALSE)</f>
        <v>10.7</v>
      </c>
      <c r="G708">
        <f>VLOOKUP(A709,[1]timesData!$B:$P,6,FALSE)</f>
        <v>12.9</v>
      </c>
      <c r="H708">
        <f>VLOOKUP(A709,[1]timesData!$B:$P,7,FALSE)</f>
        <v>50.1</v>
      </c>
      <c r="I708" t="str">
        <f>VLOOKUP(A709,[1]timesData!$B:$P,8,FALSE)</f>
        <v>-</v>
      </c>
      <c r="J708">
        <f>VLOOKUP(A709,[1]timesData!$B:$P,9,FALSE)</f>
        <v>36205</v>
      </c>
      <c r="K708">
        <f>VLOOKUP(A709,[1]timesData!$B:$P,10,FALSE)</f>
        <v>20.6</v>
      </c>
      <c r="L708">
        <f>VLOOKUP(A709,[1]timesData!$B:$P,11,FALSE)</f>
        <v>0.01</v>
      </c>
      <c r="M708" t="str">
        <f>VLOOKUP(A709,[1]timesData!$B:$P,12,FALSE)</f>
        <v>40 : 60</v>
      </c>
      <c r="N708">
        <f>VLOOKUP(A709,[1]timesData!$B:$P,13,FALSE)</f>
        <v>2016</v>
      </c>
      <c r="O708">
        <f>VLOOKUP(A708,[2]cwurData!$B:$P,14,FALSE)</f>
        <v>864</v>
      </c>
      <c r="P708">
        <f>VLOOKUP(A708,[2]cwurData!$B:$N, 3, FALSE)</f>
        <v>223</v>
      </c>
      <c r="Q708">
        <f>VLOOKUP(A708,[2]cwurData!$B:$N, 4, FALSE)</f>
        <v>355</v>
      </c>
      <c r="R708">
        <f>VLOOKUP(A708,[2]cwurData!$B:$N, 5, FALSE)</f>
        <v>478</v>
      </c>
      <c r="S708">
        <f>VLOOKUP(A708,[2]cwurData!$B:$N, 6, FALSE)</f>
        <v>210</v>
      </c>
      <c r="T708">
        <f>VLOOKUP(A708,[2]cwurData!$B:$N, 7, FALSE)</f>
        <v>883</v>
      </c>
      <c r="U708">
        <f>VLOOKUP(A708,[2]cwurData!$B:$N, 8, FALSE)</f>
        <v>842</v>
      </c>
      <c r="V708">
        <f>VLOOKUP(A708,[2]cwurData!$B:$N, 9, FALSE)</f>
        <v>800</v>
      </c>
      <c r="W708">
        <f>VLOOKUP(A708,[2]cwurData!$B:$N, 10, FALSE)</f>
        <v>783</v>
      </c>
      <c r="X708">
        <f>VLOOKUP(A708,[2]cwurData!$B:$N, 11, FALSE)</f>
        <v>737</v>
      </c>
      <c r="Y708">
        <f>VLOOKUP(A708,[2]cwurData!$B:$N, 12, FALSE)</f>
        <v>44.44</v>
      </c>
      <c r="Z708">
        <f>VLOOKUP(A708,[2]cwurData!$B:$N, 13, FALSE)</f>
        <v>2014</v>
      </c>
    </row>
    <row r="709" spans="1:26" x14ac:dyDescent="0.3">
      <c r="A709" t="s">
        <v>748</v>
      </c>
      <c r="B709" t="str">
        <f>IFERROR(VLOOKUP(A709,[1]timesData!$B:$P,2,FALSE),VLOOKUP(A709,[2]cwurData!$B:$P,2,FALSE))</f>
        <v>China</v>
      </c>
      <c r="C709" t="str">
        <f>VLOOKUP(A709,[1]timesData!$B:$P,3,FALSE)</f>
        <v>601-800</v>
      </c>
      <c r="D709" t="str">
        <f>VLOOKUP(A710,[1]timesData!$B:$P,3,FALSE)</f>
        <v>601-800</v>
      </c>
      <c r="E709">
        <f>VLOOKUP(A710,[1]timesData!$B:$P,4,FALSE)</f>
        <v>34.9</v>
      </c>
      <c r="F709">
        <f>VLOOKUP(A710,[1]timesData!$B:$P,5,FALSE)</f>
        <v>9.4</v>
      </c>
      <c r="G709">
        <f>VLOOKUP(A710,[1]timesData!$B:$P,6,FALSE)</f>
        <v>30</v>
      </c>
      <c r="H709">
        <f>VLOOKUP(A710,[1]timesData!$B:$P,7,FALSE)</f>
        <v>32.299999999999997</v>
      </c>
      <c r="I709" t="str">
        <f>VLOOKUP(A710,[1]timesData!$B:$P,8,FALSE)</f>
        <v>-</v>
      </c>
      <c r="J709">
        <f>VLOOKUP(A710,[1]timesData!$B:$P,9,FALSE)</f>
        <v>35617</v>
      </c>
      <c r="K709">
        <f>VLOOKUP(A710,[1]timesData!$B:$P,10,FALSE)</f>
        <v>16.5</v>
      </c>
      <c r="L709">
        <f>VLOOKUP(A710,[1]timesData!$B:$P,11,FALSE)</f>
        <v>0.01</v>
      </c>
      <c r="M709">
        <f>VLOOKUP(A710,[1]timesData!$B:$P,12,FALSE)</f>
        <v>0.84791666666666665</v>
      </c>
      <c r="N709">
        <f>VLOOKUP(A710,[1]timesData!$B:$P,13,FALSE)</f>
        <v>2016</v>
      </c>
      <c r="O709">
        <f>VLOOKUP(A709,[2]cwurData!$B:$P,14,FALSE)</f>
        <v>870</v>
      </c>
      <c r="P709">
        <f>VLOOKUP(A709,[2]cwurData!$B:$N, 3, FALSE)</f>
        <v>51</v>
      </c>
      <c r="Q709">
        <f>VLOOKUP(A709,[2]cwurData!$B:$N, 4, FALSE)</f>
        <v>355</v>
      </c>
      <c r="R709">
        <f>VLOOKUP(A709,[2]cwurData!$B:$N, 5, FALSE)</f>
        <v>478</v>
      </c>
      <c r="S709">
        <f>VLOOKUP(A709,[2]cwurData!$B:$N, 6, FALSE)</f>
        <v>210</v>
      </c>
      <c r="T709">
        <f>VLOOKUP(A709,[2]cwurData!$B:$N, 7, FALSE)</f>
        <v>703</v>
      </c>
      <c r="U709">
        <f>VLOOKUP(A709,[2]cwurData!$B:$N, 8, FALSE)</f>
        <v>824</v>
      </c>
      <c r="V709">
        <f>VLOOKUP(A709,[2]cwurData!$B:$N, 9, FALSE)</f>
        <v>800</v>
      </c>
      <c r="W709">
        <f>VLOOKUP(A709,[2]cwurData!$B:$N, 10, FALSE)</f>
        <v>832</v>
      </c>
      <c r="X709">
        <f>VLOOKUP(A709,[2]cwurData!$B:$N, 11, FALSE)</f>
        <v>481</v>
      </c>
      <c r="Y709">
        <f>VLOOKUP(A709,[2]cwurData!$B:$N, 12, FALSE)</f>
        <v>44.43</v>
      </c>
      <c r="Z709">
        <f>VLOOKUP(A709,[2]cwurData!$B:$N, 13, FALSE)</f>
        <v>2014</v>
      </c>
    </row>
    <row r="710" spans="1:26" x14ac:dyDescent="0.3">
      <c r="A710" t="s">
        <v>669</v>
      </c>
      <c r="B710" t="str">
        <f>IFERROR(VLOOKUP(A710,[1]timesData!$B:$P,2,FALSE),VLOOKUP(A710,[2]cwurData!$B:$P,2,FALSE))</f>
        <v>Thailand</v>
      </c>
      <c r="C710" t="str">
        <f>VLOOKUP(A710,[1]timesData!$B:$P,3,FALSE)</f>
        <v>601-800</v>
      </c>
      <c r="D710" t="str">
        <f>VLOOKUP(A711,[1]timesData!$B:$P,3,FALSE)</f>
        <v>601-800</v>
      </c>
      <c r="E710">
        <f>VLOOKUP(A711,[1]timesData!$B:$P,4,FALSE)</f>
        <v>13.1</v>
      </c>
      <c r="F710">
        <f>VLOOKUP(A711,[1]timesData!$B:$P,5,FALSE)</f>
        <v>8.6999999999999993</v>
      </c>
      <c r="G710">
        <f>VLOOKUP(A711,[1]timesData!$B:$P,6,FALSE)</f>
        <v>19.8</v>
      </c>
      <c r="H710">
        <f>VLOOKUP(A711,[1]timesData!$B:$P,7,FALSE)</f>
        <v>29.2</v>
      </c>
      <c r="I710" t="str">
        <f>VLOOKUP(A711,[1]timesData!$B:$P,8,FALSE)</f>
        <v>-</v>
      </c>
      <c r="J710">
        <f>VLOOKUP(A711,[1]timesData!$B:$P,9,FALSE)</f>
        <v>18511</v>
      </c>
      <c r="K710">
        <f>VLOOKUP(A711,[1]timesData!$B:$P,10,FALSE)</f>
        <v>32.5</v>
      </c>
      <c r="L710">
        <f>VLOOKUP(A711,[1]timesData!$B:$P,11,FALSE)</f>
        <v>0</v>
      </c>
      <c r="M710">
        <f>VLOOKUP(A711,[1]timesData!$B:$P,12,FALSE)</f>
        <v>0</v>
      </c>
      <c r="N710">
        <f>VLOOKUP(A711,[1]timesData!$B:$P,13,FALSE)</f>
        <v>2016</v>
      </c>
      <c r="O710">
        <f>VLOOKUP(A710,[2]cwurData!$B:$P,14,FALSE)</f>
        <v>871</v>
      </c>
      <c r="P710">
        <f>VLOOKUP(A710,[2]cwurData!$B:$N, 3, FALSE)</f>
        <v>3</v>
      </c>
      <c r="Q710">
        <f>VLOOKUP(A710,[2]cwurData!$B:$N, 4, FALSE)</f>
        <v>355</v>
      </c>
      <c r="R710">
        <f>VLOOKUP(A710,[2]cwurData!$B:$N, 5, FALSE)</f>
        <v>478</v>
      </c>
      <c r="S710">
        <f>VLOOKUP(A710,[2]cwurData!$B:$N, 6, FALSE)</f>
        <v>210</v>
      </c>
      <c r="T710">
        <f>VLOOKUP(A710,[2]cwurData!$B:$N, 7, FALSE)</f>
        <v>838</v>
      </c>
      <c r="U710">
        <f>VLOOKUP(A710,[2]cwurData!$B:$N, 8, FALSE)</f>
        <v>706</v>
      </c>
      <c r="V710">
        <f>VLOOKUP(A710,[2]cwurData!$B:$N, 9, FALSE)</f>
        <v>609</v>
      </c>
      <c r="W710">
        <f>VLOOKUP(A710,[2]cwurData!$B:$N, 10, FALSE)</f>
        <v>800</v>
      </c>
      <c r="X710">
        <f>VLOOKUP(A710,[2]cwurData!$B:$N, 11, FALSE)</f>
        <v>737</v>
      </c>
      <c r="Y710">
        <f>VLOOKUP(A710,[2]cwurData!$B:$N, 12, FALSE)</f>
        <v>44.43</v>
      </c>
      <c r="Z710">
        <f>VLOOKUP(A710,[2]cwurData!$B:$N, 13, FALSE)</f>
        <v>2014</v>
      </c>
    </row>
    <row r="711" spans="1:26" x14ac:dyDescent="0.3">
      <c r="A711" t="s">
        <v>660</v>
      </c>
      <c r="B711" t="str">
        <f>IFERROR(VLOOKUP(A711,[1]timesData!$B:$P,2,FALSE),VLOOKUP(A711,[2]cwurData!$B:$P,2,FALSE))</f>
        <v>India</v>
      </c>
      <c r="C711" t="str">
        <f>VLOOKUP(A711,[1]timesData!$B:$P,3,FALSE)</f>
        <v>601-800</v>
      </c>
      <c r="D711" t="str">
        <f>VLOOKUP(A712,[1]timesData!$B:$P,3,FALSE)</f>
        <v>601-800</v>
      </c>
      <c r="E711">
        <f>VLOOKUP(A712,[1]timesData!$B:$P,4,FALSE)</f>
        <v>24.1</v>
      </c>
      <c r="F711">
        <f>VLOOKUP(A712,[1]timesData!$B:$P,5,FALSE)</f>
        <v>7.4</v>
      </c>
      <c r="G711">
        <f>VLOOKUP(A712,[1]timesData!$B:$P,6,FALSE)</f>
        <v>10.4</v>
      </c>
      <c r="H711" t="str">
        <f>VLOOKUP(A712,[1]timesData!$B:$P,7,FALSE)</f>
        <v>-</v>
      </c>
      <c r="I711" t="str">
        <f>VLOOKUP(A712,[1]timesData!$B:$P,8,FALSE)</f>
        <v>-</v>
      </c>
      <c r="J711">
        <f>VLOOKUP(A712,[1]timesData!$B:$P,9,FALSE)</f>
        <v>45880</v>
      </c>
      <c r="K711">
        <f>VLOOKUP(A712,[1]timesData!$B:$P,10,FALSE)</f>
        <v>14.5</v>
      </c>
      <c r="L711">
        <f>VLOOKUP(A712,[1]timesData!$B:$P,11,FALSE)</f>
        <v>0.02</v>
      </c>
      <c r="M711">
        <f>VLOOKUP(A712,[1]timesData!$B:$P,12,FALSE)</f>
        <v>2.2000000000000002</v>
      </c>
      <c r="N711">
        <f>VLOOKUP(A712,[1]timesData!$B:$P,13,FALSE)</f>
        <v>2016</v>
      </c>
      <c r="O711">
        <f>VLOOKUP(A711,[2]cwurData!$B:$P,14,FALSE)</f>
        <v>891</v>
      </c>
      <c r="P711">
        <f>VLOOKUP(A711,[2]cwurData!$B:$N, 3, FALSE)</f>
        <v>14</v>
      </c>
      <c r="Q711">
        <f>VLOOKUP(A711,[2]cwurData!$B:$N, 4, FALSE)</f>
        <v>140</v>
      </c>
      <c r="R711">
        <f>VLOOKUP(A711,[2]cwurData!$B:$N, 5, FALSE)</f>
        <v>346</v>
      </c>
      <c r="S711">
        <f>VLOOKUP(A711,[2]cwurData!$B:$N, 6, FALSE)</f>
        <v>209</v>
      </c>
      <c r="T711">
        <f>VLOOKUP(A711,[2]cwurData!$B:$N, 7, FALSE)</f>
        <v>964</v>
      </c>
      <c r="U711">
        <f>VLOOKUP(A711,[2]cwurData!$B:$N, 8, FALSE)</f>
        <v>900</v>
      </c>
      <c r="V711">
        <f>VLOOKUP(A711,[2]cwurData!$B:$N, 9, FALSE)</f>
        <v>645</v>
      </c>
      <c r="W711">
        <f>VLOOKUP(A711,[2]cwurData!$B:$N, 10, FALSE)</f>
        <v>994</v>
      </c>
      <c r="X711">
        <f>VLOOKUP(A711,[2]cwurData!$B:$N, 11, FALSE)</f>
        <v>424</v>
      </c>
      <c r="Y711">
        <f>VLOOKUP(A711,[2]cwurData!$B:$N, 12, FALSE)</f>
        <v>44.14</v>
      </c>
      <c r="Z711">
        <f>VLOOKUP(A711,[2]cwurData!$B:$N, 13, FALSE)</f>
        <v>2015</v>
      </c>
    </row>
    <row r="712" spans="1:26" x14ac:dyDescent="0.3">
      <c r="A712" t="s">
        <v>655</v>
      </c>
      <c r="B712" t="str">
        <f>IFERROR(VLOOKUP(A712,[1]timesData!$B:$P,2,FALSE),VLOOKUP(A712,[2]cwurData!$B:$P,2,FALSE))</f>
        <v>Brazil</v>
      </c>
      <c r="C712" t="str">
        <f>VLOOKUP(A712,[1]timesData!$B:$P,3,FALSE)</f>
        <v>601-800</v>
      </c>
      <c r="D712" t="str">
        <f>VLOOKUP(A713,[1]timesData!$B:$P,3,FALSE)</f>
        <v>601-800</v>
      </c>
      <c r="E712">
        <f>VLOOKUP(A713,[1]timesData!$B:$P,4,FALSE)</f>
        <v>28.1</v>
      </c>
      <c r="F712">
        <f>VLOOKUP(A713,[1]timesData!$B:$P,5,FALSE)</f>
        <v>9</v>
      </c>
      <c r="G712">
        <f>VLOOKUP(A713,[1]timesData!$B:$P,6,FALSE)</f>
        <v>12.5</v>
      </c>
      <c r="H712">
        <f>VLOOKUP(A713,[1]timesData!$B:$P,7,FALSE)</f>
        <v>28.6</v>
      </c>
      <c r="I712" t="str">
        <f>VLOOKUP(A713,[1]timesData!$B:$P,8,FALSE)</f>
        <v>-</v>
      </c>
      <c r="J712">
        <f>VLOOKUP(A713,[1]timesData!$B:$P,9,FALSE)</f>
        <v>108373</v>
      </c>
      <c r="K712">
        <f>VLOOKUP(A713,[1]timesData!$B:$P,10,FALSE)</f>
        <v>38.1</v>
      </c>
      <c r="L712">
        <f>VLOOKUP(A713,[1]timesData!$B:$P,11,FALSE)</f>
        <v>0.02</v>
      </c>
      <c r="M712">
        <f>VLOOKUP(A713,[1]timesData!$B:$P,12,FALSE)</f>
        <v>2.6097222222222221</v>
      </c>
      <c r="N712">
        <f>VLOOKUP(A713,[1]timesData!$B:$P,13,FALSE)</f>
        <v>2016</v>
      </c>
      <c r="O712">
        <f>VLOOKUP(A712,[2]cwurData!$B:$P,14,FALSE)</f>
        <v>894</v>
      </c>
      <c r="P712">
        <f>VLOOKUP(A712,[2]cwurData!$B:$N, 3, FALSE)</f>
        <v>10</v>
      </c>
      <c r="Q712">
        <f>VLOOKUP(A712,[2]cwurData!$B:$N, 4, FALSE)</f>
        <v>355</v>
      </c>
      <c r="R712">
        <f>VLOOKUP(A712,[2]cwurData!$B:$N, 5, FALSE)</f>
        <v>450</v>
      </c>
      <c r="S712">
        <f>VLOOKUP(A712,[2]cwurData!$B:$N, 6, FALSE)</f>
        <v>210</v>
      </c>
      <c r="T712">
        <f>VLOOKUP(A712,[2]cwurData!$B:$N, 7, FALSE)</f>
        <v>785</v>
      </c>
      <c r="U712">
        <f>VLOOKUP(A712,[2]cwurData!$B:$N, 8, FALSE)</f>
        <v>777</v>
      </c>
      <c r="V712">
        <f>VLOOKUP(A712,[2]cwurData!$B:$N, 9, FALSE)</f>
        <v>800</v>
      </c>
      <c r="W712">
        <f>VLOOKUP(A712,[2]cwurData!$B:$N, 10, FALSE)</f>
        <v>897</v>
      </c>
      <c r="X712">
        <f>VLOOKUP(A712,[2]cwurData!$B:$N, 11, FALSE)</f>
        <v>737</v>
      </c>
      <c r="Y712">
        <f>VLOOKUP(A712,[2]cwurData!$B:$N, 12, FALSE)</f>
        <v>44.4</v>
      </c>
      <c r="Z712">
        <f>VLOOKUP(A712,[2]cwurData!$B:$N, 13, FALSE)</f>
        <v>2014</v>
      </c>
    </row>
    <row r="713" spans="1:26" x14ac:dyDescent="0.3">
      <c r="A713" t="s">
        <v>740</v>
      </c>
      <c r="B713" t="str">
        <f>IFERROR(VLOOKUP(A713,[1]timesData!$B:$P,2,FALSE),VLOOKUP(A713,[2]cwurData!$B:$P,2,FALSE))</f>
        <v>Argentina</v>
      </c>
      <c r="C713" t="str">
        <f>VLOOKUP(A713,[1]timesData!$B:$P,3,FALSE)</f>
        <v>601-800</v>
      </c>
      <c r="D713" t="str">
        <f>VLOOKUP(A714,[1]timesData!$B:$P,3,FALSE)</f>
        <v>601-800</v>
      </c>
      <c r="E713">
        <f>VLOOKUP(A714,[1]timesData!$B:$P,4,FALSE)</f>
        <v>21</v>
      </c>
      <c r="F713">
        <f>VLOOKUP(A714,[1]timesData!$B:$P,5,FALSE)</f>
        <v>12.2</v>
      </c>
      <c r="G713">
        <f>VLOOKUP(A714,[1]timesData!$B:$P,6,FALSE)</f>
        <v>14.2</v>
      </c>
      <c r="H713">
        <f>VLOOKUP(A714,[1]timesData!$B:$P,7,FALSE)</f>
        <v>42.9</v>
      </c>
      <c r="I713" t="str">
        <f>VLOOKUP(A714,[1]timesData!$B:$P,8,FALSE)</f>
        <v>-</v>
      </c>
      <c r="J713">
        <f>VLOOKUP(A714,[1]timesData!$B:$P,9,FALSE)</f>
        <v>26078</v>
      </c>
      <c r="K713">
        <f>VLOOKUP(A714,[1]timesData!$B:$P,10,FALSE)</f>
        <v>12.6</v>
      </c>
      <c r="L713">
        <f>VLOOKUP(A714,[1]timesData!$B:$P,11,FALSE)</f>
        <v>0.01</v>
      </c>
      <c r="M713">
        <f>VLOOKUP(A714,[1]timesData!$B:$P,12,FALSE)</f>
        <v>2.036111111111111</v>
      </c>
      <c r="N713">
        <f>VLOOKUP(A714,[1]timesData!$B:$P,13,FALSE)</f>
        <v>2016</v>
      </c>
      <c r="O713">
        <f>VLOOKUP(A713,[2]cwurData!$B:$P,14,FALSE)</f>
        <v>897</v>
      </c>
      <c r="P713">
        <f>VLOOKUP(A713,[2]cwurData!$B:$N, 3, FALSE)</f>
        <v>3</v>
      </c>
      <c r="Q713">
        <f>VLOOKUP(A713,[2]cwurData!$B:$N, 4, FALSE)</f>
        <v>355</v>
      </c>
      <c r="R713">
        <f>VLOOKUP(A713,[2]cwurData!$B:$N, 5, FALSE)</f>
        <v>478</v>
      </c>
      <c r="S713">
        <f>VLOOKUP(A713,[2]cwurData!$B:$N, 6, FALSE)</f>
        <v>210</v>
      </c>
      <c r="T713">
        <f>VLOOKUP(A713,[2]cwurData!$B:$N, 7, FALSE)</f>
        <v>713</v>
      </c>
      <c r="U713">
        <f>VLOOKUP(A713,[2]cwurData!$B:$N, 8, FALSE)</f>
        <v>818</v>
      </c>
      <c r="V713">
        <f>VLOOKUP(A713,[2]cwurData!$B:$N, 9, FALSE)</f>
        <v>609</v>
      </c>
      <c r="W713">
        <f>VLOOKUP(A713,[2]cwurData!$B:$N, 10, FALSE)</f>
        <v>849</v>
      </c>
      <c r="X713">
        <f>VLOOKUP(A713,[2]cwurData!$B:$N, 11, FALSE)</f>
        <v>737</v>
      </c>
      <c r="Y713">
        <f>VLOOKUP(A713,[2]cwurData!$B:$N, 12, FALSE)</f>
        <v>44.39</v>
      </c>
      <c r="Z713">
        <f>VLOOKUP(A713,[2]cwurData!$B:$N, 13, FALSE)</f>
        <v>2014</v>
      </c>
    </row>
    <row r="714" spans="1:26" x14ac:dyDescent="0.3">
      <c r="A714" t="s">
        <v>694</v>
      </c>
      <c r="B714" t="str">
        <f>IFERROR(VLOOKUP(A714,[1]timesData!$B:$P,2,FALSE),VLOOKUP(A714,[2]cwurData!$B:$P,2,FALSE))</f>
        <v>Brazil</v>
      </c>
      <c r="C714" t="str">
        <f>VLOOKUP(A714,[1]timesData!$B:$P,3,FALSE)</f>
        <v>601-800</v>
      </c>
      <c r="D714" t="str">
        <f>VLOOKUP(A715,[1]timesData!$B:$P,3,FALSE)</f>
        <v>601-800</v>
      </c>
      <c r="E714">
        <f>VLOOKUP(A715,[1]timesData!$B:$P,4,FALSE)</f>
        <v>16.100000000000001</v>
      </c>
      <c r="F714">
        <f>VLOOKUP(A715,[1]timesData!$B:$P,5,FALSE)</f>
        <v>21.4</v>
      </c>
      <c r="G714">
        <f>VLOOKUP(A715,[1]timesData!$B:$P,6,FALSE)</f>
        <v>21.5</v>
      </c>
      <c r="H714">
        <f>VLOOKUP(A715,[1]timesData!$B:$P,7,FALSE)</f>
        <v>64.5</v>
      </c>
      <c r="I714" t="str">
        <f>VLOOKUP(A715,[1]timesData!$B:$P,8,FALSE)</f>
        <v>-</v>
      </c>
      <c r="J714">
        <f>VLOOKUP(A715,[1]timesData!$B:$P,9,FALSE)</f>
        <v>29483</v>
      </c>
      <c r="K714">
        <f>VLOOKUP(A715,[1]timesData!$B:$P,10,FALSE)</f>
        <v>20.7</v>
      </c>
      <c r="L714">
        <f>VLOOKUP(A715,[1]timesData!$B:$P,11,FALSE)</f>
        <v>0.03</v>
      </c>
      <c r="M714">
        <f>VLOOKUP(A715,[1]timesData!$B:$P,12,FALSE)</f>
        <v>0</v>
      </c>
      <c r="N714">
        <f>VLOOKUP(A715,[1]timesData!$B:$P,13,FALSE)</f>
        <v>2016</v>
      </c>
      <c r="O714">
        <f>VLOOKUP(A714,[2]cwurData!$B:$P,14,FALSE)</f>
        <v>898</v>
      </c>
      <c r="P714">
        <f>VLOOKUP(A714,[2]cwurData!$B:$N, 3, FALSE)</f>
        <v>11</v>
      </c>
      <c r="Q714">
        <f>VLOOKUP(A714,[2]cwurData!$B:$N, 4, FALSE)</f>
        <v>355</v>
      </c>
      <c r="R714">
        <f>VLOOKUP(A714,[2]cwurData!$B:$N, 5, FALSE)</f>
        <v>478</v>
      </c>
      <c r="S714">
        <f>VLOOKUP(A714,[2]cwurData!$B:$N, 6, FALSE)</f>
        <v>210</v>
      </c>
      <c r="T714">
        <f>VLOOKUP(A714,[2]cwurData!$B:$N, 7, FALSE)</f>
        <v>608</v>
      </c>
      <c r="U714">
        <f>VLOOKUP(A714,[2]cwurData!$B:$N, 8, FALSE)</f>
        <v>959</v>
      </c>
      <c r="V714">
        <f>VLOOKUP(A714,[2]cwurData!$B:$N, 9, FALSE)</f>
        <v>800</v>
      </c>
      <c r="W714">
        <f>VLOOKUP(A714,[2]cwurData!$B:$N, 10, FALSE)</f>
        <v>869</v>
      </c>
      <c r="X714">
        <f>VLOOKUP(A714,[2]cwurData!$B:$N, 11, FALSE)</f>
        <v>737</v>
      </c>
      <c r="Y714">
        <f>VLOOKUP(A714,[2]cwurData!$B:$N, 12, FALSE)</f>
        <v>44.39</v>
      </c>
      <c r="Z714">
        <f>VLOOKUP(A714,[2]cwurData!$B:$N, 13, FALSE)</f>
        <v>2014</v>
      </c>
    </row>
    <row r="715" spans="1:26" x14ac:dyDescent="0.3">
      <c r="A715" t="s">
        <v>671</v>
      </c>
      <c r="B715" t="str">
        <f>IFERROR(VLOOKUP(A715,[1]timesData!$B:$P,2,FALSE),VLOOKUP(A715,[2]cwurData!$B:$P,2,FALSE))</f>
        <v>China</v>
      </c>
      <c r="C715" t="str">
        <f>VLOOKUP(A715,[1]timesData!$B:$P,3,FALSE)</f>
        <v>601-800</v>
      </c>
      <c r="D715" t="str">
        <f>VLOOKUP(A716,[1]timesData!$B:$P,3,FALSE)</f>
        <v>601-800</v>
      </c>
      <c r="E715">
        <f>VLOOKUP(A716,[1]timesData!$B:$P,4,FALSE)</f>
        <v>20.8</v>
      </c>
      <c r="F715">
        <f>VLOOKUP(A716,[1]timesData!$B:$P,5,FALSE)</f>
        <v>11.8</v>
      </c>
      <c r="G715">
        <f>VLOOKUP(A716,[1]timesData!$B:$P,6,FALSE)</f>
        <v>20.100000000000001</v>
      </c>
      <c r="H715">
        <f>VLOOKUP(A716,[1]timesData!$B:$P,7,FALSE)</f>
        <v>39.9</v>
      </c>
      <c r="I715" t="str">
        <f>VLOOKUP(A716,[1]timesData!$B:$P,8,FALSE)</f>
        <v>-</v>
      </c>
      <c r="J715">
        <f>VLOOKUP(A716,[1]timesData!$B:$P,9,FALSE)</f>
        <v>14569</v>
      </c>
      <c r="K715">
        <f>VLOOKUP(A716,[1]timesData!$B:$P,10,FALSE)</f>
        <v>18.5</v>
      </c>
      <c r="L715">
        <f>VLOOKUP(A716,[1]timesData!$B:$P,11,FALSE)</f>
        <v>0.03</v>
      </c>
      <c r="M715">
        <f>VLOOKUP(A716,[1]timesData!$B:$P,12,FALSE)</f>
        <v>2.6506944444444445</v>
      </c>
      <c r="N715">
        <f>VLOOKUP(A716,[1]timesData!$B:$P,13,FALSE)</f>
        <v>2016</v>
      </c>
      <c r="O715">
        <f>VLOOKUP(A715,[2]cwurData!$B:$P,14,FALSE)</f>
        <v>904</v>
      </c>
      <c r="P715">
        <f>VLOOKUP(A715,[2]cwurData!$B:$N, 3, FALSE)</f>
        <v>63</v>
      </c>
      <c r="Q715">
        <f>VLOOKUP(A715,[2]cwurData!$B:$N, 4, FALSE)</f>
        <v>367</v>
      </c>
      <c r="R715">
        <f>VLOOKUP(A715,[2]cwurData!$B:$N, 5, FALSE)</f>
        <v>558</v>
      </c>
      <c r="S715">
        <f>VLOOKUP(A715,[2]cwurData!$B:$N, 6, FALSE)</f>
        <v>218</v>
      </c>
      <c r="T715">
        <f>VLOOKUP(A715,[2]cwurData!$B:$N, 7, FALSE)</f>
        <v>928</v>
      </c>
      <c r="U715">
        <f>VLOOKUP(A715,[2]cwurData!$B:$N, 8, FALSE)</f>
        <v>639</v>
      </c>
      <c r="V715">
        <f>VLOOKUP(A715,[2]cwurData!$B:$N, 9, FALSE)</f>
        <v>428</v>
      </c>
      <c r="W715">
        <f>VLOOKUP(A715,[2]cwurData!$B:$N, 10, FALSE)</f>
        <v>867</v>
      </c>
      <c r="X715">
        <f>VLOOKUP(A715,[2]cwurData!$B:$N, 11, FALSE)</f>
        <v>752</v>
      </c>
      <c r="Y715">
        <f>VLOOKUP(A715,[2]cwurData!$B:$N, 12, FALSE)</f>
        <v>44.13</v>
      </c>
      <c r="Z715">
        <f>VLOOKUP(A715,[2]cwurData!$B:$N, 13, FALSE)</f>
        <v>2015</v>
      </c>
    </row>
    <row r="716" spans="1:26" x14ac:dyDescent="0.3">
      <c r="A716" t="s">
        <v>783</v>
      </c>
      <c r="B716" t="str">
        <f>IFERROR(VLOOKUP(A716,[1]timesData!$B:$P,2,FALSE),VLOOKUP(A716,[2]cwurData!$B:$P,2,FALSE))</f>
        <v>United States of America</v>
      </c>
      <c r="C716" t="str">
        <f>VLOOKUP(A716,[1]timesData!$B:$P,3,FALSE)</f>
        <v>601-800</v>
      </c>
      <c r="D716" t="str">
        <f>VLOOKUP(A717,[1]timesData!$B:$P,3,FALSE)</f>
        <v>601-800</v>
      </c>
      <c r="E716">
        <f>VLOOKUP(A717,[1]timesData!$B:$P,4,FALSE)</f>
        <v>44.7</v>
      </c>
      <c r="F716">
        <f>VLOOKUP(A717,[1]timesData!$B:$P,5,FALSE)</f>
        <v>17.399999999999999</v>
      </c>
      <c r="G716">
        <f>VLOOKUP(A717,[1]timesData!$B:$P,6,FALSE)</f>
        <v>24.8</v>
      </c>
      <c r="H716">
        <f>VLOOKUP(A717,[1]timesData!$B:$P,7,FALSE)</f>
        <v>34.799999999999997</v>
      </c>
      <c r="I716" t="str">
        <f>VLOOKUP(A717,[1]timesData!$B:$P,8,FALSE)</f>
        <v>-</v>
      </c>
      <c r="J716">
        <f>VLOOKUP(A717,[1]timesData!$B:$P,9,FALSE)</f>
        <v>15730</v>
      </c>
      <c r="K716">
        <f>VLOOKUP(A717,[1]timesData!$B:$P,10,FALSE)</f>
        <v>11.4</v>
      </c>
      <c r="L716">
        <f>VLOOKUP(A717,[1]timesData!$B:$P,11,FALSE)</f>
        <v>0.09</v>
      </c>
      <c r="M716">
        <f>VLOOKUP(A717,[1]timesData!$B:$P,12,FALSE)</f>
        <v>1.83125</v>
      </c>
      <c r="N716">
        <f>VLOOKUP(A717,[1]timesData!$B:$P,13,FALSE)</f>
        <v>2016</v>
      </c>
      <c r="O716">
        <f>VLOOKUP(A716,[2]cwurData!$B:$P,14,FALSE)</f>
        <v>913</v>
      </c>
      <c r="P716">
        <f>VLOOKUP(A716,[2]cwurData!$B:$N, 3, FALSE)</f>
        <v>227</v>
      </c>
      <c r="Q716">
        <f>VLOOKUP(A716,[2]cwurData!$B:$N, 4, FALSE)</f>
        <v>355</v>
      </c>
      <c r="R716">
        <f>VLOOKUP(A716,[2]cwurData!$B:$N, 5, FALSE)</f>
        <v>478</v>
      </c>
      <c r="S716">
        <f>VLOOKUP(A716,[2]cwurData!$B:$N, 6, FALSE)</f>
        <v>210</v>
      </c>
      <c r="T716">
        <f>VLOOKUP(A716,[2]cwurData!$B:$N, 7, FALSE)</f>
        <v>903</v>
      </c>
      <c r="U716">
        <f>VLOOKUP(A716,[2]cwurData!$B:$N, 8, FALSE)</f>
        <v>840</v>
      </c>
      <c r="V716">
        <f>VLOOKUP(A716,[2]cwurData!$B:$N, 9, FALSE)</f>
        <v>800</v>
      </c>
      <c r="W716">
        <f>VLOOKUP(A716,[2]cwurData!$B:$N, 10, FALSE)</f>
        <v>849</v>
      </c>
      <c r="X716">
        <f>VLOOKUP(A716,[2]cwurData!$B:$N, 11, FALSE)</f>
        <v>737</v>
      </c>
      <c r="Y716">
        <f>VLOOKUP(A716,[2]cwurData!$B:$N, 12, FALSE)</f>
        <v>44.38</v>
      </c>
      <c r="Z716">
        <f>VLOOKUP(A716,[2]cwurData!$B:$N, 13, FALSE)</f>
        <v>2014</v>
      </c>
    </row>
    <row r="717" spans="1:26" x14ac:dyDescent="0.3">
      <c r="A717" t="s">
        <v>667</v>
      </c>
      <c r="B717" t="str">
        <f>IFERROR(VLOOKUP(A717,[1]timesData!$B:$P,2,FALSE),VLOOKUP(A717,[2]cwurData!$B:$P,2,FALSE))</f>
        <v>Spain</v>
      </c>
      <c r="C717" t="str">
        <f>VLOOKUP(A717,[1]timesData!$B:$P,3,FALSE)</f>
        <v>601-800</v>
      </c>
      <c r="D717" t="str">
        <f>VLOOKUP(A718,[1]timesData!$B:$P,3,FALSE)</f>
        <v>601-800</v>
      </c>
      <c r="E717">
        <f>VLOOKUP(A718,[1]timesData!$B:$P,4,FALSE)</f>
        <v>16.8</v>
      </c>
      <c r="F717">
        <f>VLOOKUP(A718,[1]timesData!$B:$P,5,FALSE)</f>
        <v>10.8</v>
      </c>
      <c r="G717">
        <f>VLOOKUP(A718,[1]timesData!$B:$P,6,FALSE)</f>
        <v>11.5</v>
      </c>
      <c r="H717" t="str">
        <f>VLOOKUP(A718,[1]timesData!$B:$P,7,FALSE)</f>
        <v>-</v>
      </c>
      <c r="I717" t="str">
        <f>VLOOKUP(A718,[1]timesData!$B:$P,8,FALSE)</f>
        <v>-</v>
      </c>
      <c r="J717">
        <f>VLOOKUP(A718,[1]timesData!$B:$P,9,FALSE)</f>
        <v>18587</v>
      </c>
      <c r="K717">
        <f>VLOOKUP(A718,[1]timesData!$B:$P,10,FALSE)</f>
        <v>16.899999999999999</v>
      </c>
      <c r="L717">
        <f>VLOOKUP(A718,[1]timesData!$B:$P,11,FALSE)</f>
        <v>0</v>
      </c>
      <c r="M717">
        <f>VLOOKUP(A718,[1]timesData!$B:$P,12,FALSE)</f>
        <v>0</v>
      </c>
      <c r="N717">
        <f>VLOOKUP(A718,[1]timesData!$B:$P,13,FALSE)</f>
        <v>2016</v>
      </c>
      <c r="O717">
        <f>VLOOKUP(A717,[2]cwurData!$B:$P,14,FALSE)</f>
        <v>915</v>
      </c>
      <c r="P717">
        <f>VLOOKUP(A717,[2]cwurData!$B:$N, 3, FALSE)</f>
        <v>37</v>
      </c>
      <c r="Q717">
        <f>VLOOKUP(A717,[2]cwurData!$B:$N, 4, FALSE)</f>
        <v>355</v>
      </c>
      <c r="R717">
        <f>VLOOKUP(A717,[2]cwurData!$B:$N, 5, FALSE)</f>
        <v>478</v>
      </c>
      <c r="S717">
        <f>VLOOKUP(A717,[2]cwurData!$B:$N, 6, FALSE)</f>
        <v>210</v>
      </c>
      <c r="T717">
        <f>VLOOKUP(A717,[2]cwurData!$B:$N, 7, FALSE)</f>
        <v>669</v>
      </c>
      <c r="U717">
        <f>VLOOKUP(A717,[2]cwurData!$B:$N, 8, FALSE)</f>
        <v>959</v>
      </c>
      <c r="V717">
        <f>VLOOKUP(A717,[2]cwurData!$B:$N, 9, FALSE)</f>
        <v>800</v>
      </c>
      <c r="W717">
        <f>VLOOKUP(A717,[2]cwurData!$B:$N, 10, FALSE)</f>
        <v>948</v>
      </c>
      <c r="X717">
        <f>VLOOKUP(A717,[2]cwurData!$B:$N, 11, FALSE)</f>
        <v>307</v>
      </c>
      <c r="Y717">
        <f>VLOOKUP(A717,[2]cwurData!$B:$N, 12, FALSE)</f>
        <v>44.38</v>
      </c>
      <c r="Z717">
        <f>VLOOKUP(A717,[2]cwurData!$B:$N, 13, FALSE)</f>
        <v>2014</v>
      </c>
    </row>
    <row r="718" spans="1:26" x14ac:dyDescent="0.3">
      <c r="A718" t="s">
        <v>695</v>
      </c>
      <c r="B718" t="str">
        <f>IFERROR(VLOOKUP(A718,[1]timesData!$B:$P,2,FALSE),VLOOKUP(A718,[2]cwurData!$B:$P,2,FALSE))</f>
        <v>Brazil</v>
      </c>
      <c r="C718" t="str">
        <f>VLOOKUP(A718,[1]timesData!$B:$P,3,FALSE)</f>
        <v>601-800</v>
      </c>
      <c r="D718" t="str">
        <f>VLOOKUP(A719,[1]timesData!$B:$P,3,FALSE)</f>
        <v>601-800</v>
      </c>
      <c r="E718">
        <f>VLOOKUP(A719,[1]timesData!$B:$P,4,FALSE)</f>
        <v>21.1</v>
      </c>
      <c r="F718">
        <f>VLOOKUP(A719,[1]timesData!$B:$P,5,FALSE)</f>
        <v>13.7</v>
      </c>
      <c r="G718">
        <f>VLOOKUP(A719,[1]timesData!$B:$P,6,FALSE)</f>
        <v>34.4</v>
      </c>
      <c r="H718">
        <f>VLOOKUP(A719,[1]timesData!$B:$P,7,FALSE)</f>
        <v>33.9</v>
      </c>
      <c r="I718" t="str">
        <f>VLOOKUP(A719,[1]timesData!$B:$P,8,FALSE)</f>
        <v>-</v>
      </c>
      <c r="J718">
        <f>VLOOKUP(A719,[1]timesData!$B:$P,9,FALSE)</f>
        <v>20213</v>
      </c>
      <c r="K718">
        <f>VLOOKUP(A719,[1]timesData!$B:$P,10,FALSE)</f>
        <v>23.9</v>
      </c>
      <c r="L718">
        <f>VLOOKUP(A719,[1]timesData!$B:$P,11,FALSE)</f>
        <v>7.0000000000000007E-2</v>
      </c>
      <c r="M718" t="str">
        <f>VLOOKUP(A719,[1]timesData!$B:$P,12,FALSE)</f>
        <v>36 : 64</v>
      </c>
      <c r="N718">
        <f>VLOOKUP(A719,[1]timesData!$B:$P,13,FALSE)</f>
        <v>2016</v>
      </c>
      <c r="O718">
        <f>VLOOKUP(A718,[2]cwurData!$B:$P,14,FALSE)</f>
        <v>925</v>
      </c>
      <c r="P718">
        <f>VLOOKUP(A718,[2]cwurData!$B:$N, 3, FALSE)</f>
        <v>13</v>
      </c>
      <c r="Q718">
        <f>VLOOKUP(A718,[2]cwurData!$B:$N, 4, FALSE)</f>
        <v>355</v>
      </c>
      <c r="R718">
        <f>VLOOKUP(A718,[2]cwurData!$B:$N, 5, FALSE)</f>
        <v>478</v>
      </c>
      <c r="S718">
        <f>VLOOKUP(A718,[2]cwurData!$B:$N, 6, FALSE)</f>
        <v>210</v>
      </c>
      <c r="T718">
        <f>VLOOKUP(A718,[2]cwurData!$B:$N, 7, FALSE)</f>
        <v>688</v>
      </c>
      <c r="U718">
        <f>VLOOKUP(A718,[2]cwurData!$B:$N, 8, FALSE)</f>
        <v>934</v>
      </c>
      <c r="V718">
        <f>VLOOKUP(A718,[2]cwurData!$B:$N, 9, FALSE)</f>
        <v>800</v>
      </c>
      <c r="W718">
        <f>VLOOKUP(A718,[2]cwurData!$B:$N, 10, FALSE)</f>
        <v>889</v>
      </c>
      <c r="X718">
        <f>VLOOKUP(A718,[2]cwurData!$B:$N, 11, FALSE)</f>
        <v>737</v>
      </c>
      <c r="Y718">
        <f>VLOOKUP(A718,[2]cwurData!$B:$N, 12, FALSE)</f>
        <v>44.36</v>
      </c>
      <c r="Z718">
        <f>VLOOKUP(A718,[2]cwurData!$B:$N, 13, FALSE)</f>
        <v>2014</v>
      </c>
    </row>
    <row r="719" spans="1:26" x14ac:dyDescent="0.3">
      <c r="A719" t="s">
        <v>698</v>
      </c>
      <c r="B719" t="str">
        <f>IFERROR(VLOOKUP(A719,[1]timesData!$B:$P,2,FALSE),VLOOKUP(A719,[2]cwurData!$B:$P,2,FALSE))</f>
        <v>Taiwan</v>
      </c>
      <c r="C719" t="str">
        <f>VLOOKUP(A719,[1]timesData!$B:$P,3,FALSE)</f>
        <v>601-800</v>
      </c>
      <c r="D719" t="str">
        <f>VLOOKUP(A720,[1]timesData!$B:$P,3,FALSE)</f>
        <v>601-800</v>
      </c>
      <c r="E719">
        <f>VLOOKUP(A720,[1]timesData!$B:$P,4,FALSE)</f>
        <v>23.4</v>
      </c>
      <c r="F719">
        <f>VLOOKUP(A720,[1]timesData!$B:$P,5,FALSE)</f>
        <v>10</v>
      </c>
      <c r="G719">
        <f>VLOOKUP(A720,[1]timesData!$B:$P,6,FALSE)</f>
        <v>16.600000000000001</v>
      </c>
      <c r="H719">
        <f>VLOOKUP(A720,[1]timesData!$B:$P,7,FALSE)</f>
        <v>38.200000000000003</v>
      </c>
      <c r="I719" t="str">
        <f>VLOOKUP(A720,[1]timesData!$B:$P,8,FALSE)</f>
        <v>-</v>
      </c>
      <c r="J719">
        <f>VLOOKUP(A720,[1]timesData!$B:$P,9,FALSE)</f>
        <v>17062</v>
      </c>
      <c r="K719">
        <f>VLOOKUP(A720,[1]timesData!$B:$P,10,FALSE)</f>
        <v>13</v>
      </c>
      <c r="L719">
        <f>VLOOKUP(A720,[1]timesData!$B:$P,11,FALSE)</f>
        <v>0.02</v>
      </c>
      <c r="M719">
        <f>VLOOKUP(A720,[1]timesData!$B:$P,12,FALSE)</f>
        <v>2.2000000000000002</v>
      </c>
      <c r="N719">
        <f>VLOOKUP(A720,[1]timesData!$B:$P,13,FALSE)</f>
        <v>2016</v>
      </c>
      <c r="O719">
        <f>VLOOKUP(A719,[2]cwurData!$B:$P,14,FALSE)</f>
        <v>928</v>
      </c>
      <c r="P719">
        <f>VLOOKUP(A719,[2]cwurData!$B:$N, 3, FALSE)</f>
        <v>18</v>
      </c>
      <c r="Q719">
        <f>VLOOKUP(A719,[2]cwurData!$B:$N, 4, FALSE)</f>
        <v>355</v>
      </c>
      <c r="R719">
        <f>VLOOKUP(A719,[2]cwurData!$B:$N, 5, FALSE)</f>
        <v>376</v>
      </c>
      <c r="S719">
        <f>VLOOKUP(A719,[2]cwurData!$B:$N, 6, FALSE)</f>
        <v>210</v>
      </c>
      <c r="T719">
        <f>VLOOKUP(A719,[2]cwurData!$B:$N, 7, FALSE)</f>
        <v>869</v>
      </c>
      <c r="U719">
        <f>VLOOKUP(A719,[2]cwurData!$B:$N, 8, FALSE)</f>
        <v>987</v>
      </c>
      <c r="V719">
        <f>VLOOKUP(A719,[2]cwurData!$B:$N, 9, FALSE)</f>
        <v>800</v>
      </c>
      <c r="W719">
        <f>VLOOKUP(A719,[2]cwurData!$B:$N, 10, FALSE)</f>
        <v>956</v>
      </c>
      <c r="X719">
        <f>VLOOKUP(A719,[2]cwurData!$B:$N, 11, FALSE)</f>
        <v>737</v>
      </c>
      <c r="Y719">
        <f>VLOOKUP(A719,[2]cwurData!$B:$N, 12, FALSE)</f>
        <v>44.36</v>
      </c>
      <c r="Z719">
        <f>VLOOKUP(A719,[2]cwurData!$B:$N, 13, FALSE)</f>
        <v>2014</v>
      </c>
    </row>
    <row r="720" spans="1:26" x14ac:dyDescent="0.3">
      <c r="A720" t="s">
        <v>633</v>
      </c>
      <c r="B720" t="str">
        <f>IFERROR(VLOOKUP(A720,[1]timesData!$B:$P,2,FALSE),VLOOKUP(A720,[2]cwurData!$B:$P,2,FALSE))</f>
        <v>Spain</v>
      </c>
      <c r="C720" t="str">
        <f>VLOOKUP(A720,[1]timesData!$B:$P,3,FALSE)</f>
        <v>601-800</v>
      </c>
      <c r="D720" t="str">
        <f>VLOOKUP(A721,[1]timesData!$B:$P,3,FALSE)</f>
        <v>601-800</v>
      </c>
      <c r="E720">
        <f>VLOOKUP(A721,[1]timesData!$B:$P,4,FALSE)</f>
        <v>54.1</v>
      </c>
      <c r="F720">
        <f>VLOOKUP(A721,[1]timesData!$B:$P,5,FALSE)</f>
        <v>9.4</v>
      </c>
      <c r="G720">
        <f>VLOOKUP(A721,[1]timesData!$B:$P,6,FALSE)</f>
        <v>28.2</v>
      </c>
      <c r="H720">
        <f>VLOOKUP(A721,[1]timesData!$B:$P,7,FALSE)</f>
        <v>28.9</v>
      </c>
      <c r="I720" t="str">
        <f>VLOOKUP(A721,[1]timesData!$B:$P,8,FALSE)</f>
        <v>-</v>
      </c>
      <c r="J720">
        <f>VLOOKUP(A721,[1]timesData!$B:$P,9,FALSE)</f>
        <v>18542</v>
      </c>
      <c r="K720">
        <f>VLOOKUP(A721,[1]timesData!$B:$P,10,FALSE)</f>
        <v>17.5</v>
      </c>
      <c r="L720">
        <f>VLOOKUP(A721,[1]timesData!$B:$P,11,FALSE)</f>
        <v>0.17</v>
      </c>
      <c r="M720">
        <f>VLOOKUP(A721,[1]timesData!$B:$P,12,FALSE)</f>
        <v>2.4048611111111109</v>
      </c>
      <c r="N720">
        <f>VLOOKUP(A721,[1]timesData!$B:$P,13,FALSE)</f>
        <v>2016</v>
      </c>
      <c r="O720">
        <f>VLOOKUP(A720,[2]cwurData!$B:$P,14,FALSE)</f>
        <v>937</v>
      </c>
      <c r="P720">
        <f>VLOOKUP(A720,[2]cwurData!$B:$N, 3, FALSE)</f>
        <v>40</v>
      </c>
      <c r="Q720">
        <f>VLOOKUP(A720,[2]cwurData!$B:$N, 4, FALSE)</f>
        <v>355</v>
      </c>
      <c r="R720">
        <f>VLOOKUP(A720,[2]cwurData!$B:$N, 5, FALSE)</f>
        <v>478</v>
      </c>
      <c r="S720">
        <f>VLOOKUP(A720,[2]cwurData!$B:$N, 6, FALSE)</f>
        <v>210</v>
      </c>
      <c r="T720">
        <f>VLOOKUP(A720,[2]cwurData!$B:$N, 7, FALSE)</f>
        <v>947</v>
      </c>
      <c r="U720">
        <f>VLOOKUP(A720,[2]cwurData!$B:$N, 8, FALSE)</f>
        <v>899</v>
      </c>
      <c r="V720">
        <f>VLOOKUP(A720,[2]cwurData!$B:$N, 9, FALSE)</f>
        <v>800</v>
      </c>
      <c r="W720">
        <f>VLOOKUP(A720,[2]cwurData!$B:$N, 10, FALSE)</f>
        <v>917</v>
      </c>
      <c r="X720">
        <f>VLOOKUP(A720,[2]cwurData!$B:$N, 11, FALSE)</f>
        <v>426</v>
      </c>
      <c r="Y720">
        <f>VLOOKUP(A720,[2]cwurData!$B:$N, 12, FALSE)</f>
        <v>44.35</v>
      </c>
      <c r="Z720">
        <f>VLOOKUP(A720,[2]cwurData!$B:$N, 13, FALSE)</f>
        <v>2014</v>
      </c>
    </row>
    <row r="721" spans="1:26" x14ac:dyDescent="0.3">
      <c r="A721" t="s">
        <v>664</v>
      </c>
      <c r="B721" t="str">
        <f>IFERROR(VLOOKUP(A721,[1]timesData!$B:$P,2,FALSE),VLOOKUP(A721,[2]cwurData!$B:$P,2,FALSE))</f>
        <v>United Kingdom</v>
      </c>
      <c r="C721" t="str">
        <f>VLOOKUP(A721,[1]timesData!$B:$P,3,FALSE)</f>
        <v>601-800</v>
      </c>
      <c r="D721" t="str">
        <f>VLOOKUP(A722,[1]timesData!$B:$P,3,FALSE)</f>
        <v>601-800</v>
      </c>
      <c r="E721">
        <f>VLOOKUP(A722,[1]timesData!$B:$P,4,FALSE)</f>
        <v>15.2</v>
      </c>
      <c r="F721">
        <f>VLOOKUP(A722,[1]timesData!$B:$P,5,FALSE)</f>
        <v>15.4</v>
      </c>
      <c r="G721">
        <f>VLOOKUP(A722,[1]timesData!$B:$P,6,FALSE)</f>
        <v>3.5</v>
      </c>
      <c r="H721">
        <f>VLOOKUP(A722,[1]timesData!$B:$P,7,FALSE)</f>
        <v>28</v>
      </c>
      <c r="I721" t="str">
        <f>VLOOKUP(A722,[1]timesData!$B:$P,8,FALSE)</f>
        <v>-</v>
      </c>
      <c r="J721">
        <f>VLOOKUP(A722,[1]timesData!$B:$P,9,FALSE)</f>
        <v>23056</v>
      </c>
      <c r="K721">
        <f>VLOOKUP(A722,[1]timesData!$B:$P,10,FALSE)</f>
        <v>14.1</v>
      </c>
      <c r="L721">
        <f>VLOOKUP(A722,[1]timesData!$B:$P,11,FALSE)</f>
        <v>0.03</v>
      </c>
      <c r="M721" t="str">
        <f>VLOOKUP(A722,[1]timesData!$B:$P,12,FALSE)</f>
        <v>25 : 75</v>
      </c>
      <c r="N721">
        <f>VLOOKUP(A722,[1]timesData!$B:$P,13,FALSE)</f>
        <v>2016</v>
      </c>
      <c r="O721">
        <f>VLOOKUP(A721,[2]cwurData!$B:$P,14,FALSE)</f>
        <v>938</v>
      </c>
      <c r="P721">
        <f>VLOOKUP(A721,[2]cwurData!$B:$N, 3, FALSE)</f>
        <v>65</v>
      </c>
      <c r="Q721">
        <f>VLOOKUP(A721,[2]cwurData!$B:$N, 4, FALSE)</f>
        <v>367</v>
      </c>
      <c r="R721">
        <f>VLOOKUP(A721,[2]cwurData!$B:$N, 5, FALSE)</f>
        <v>494</v>
      </c>
      <c r="S721">
        <f>VLOOKUP(A721,[2]cwurData!$B:$N, 6, FALSE)</f>
        <v>218</v>
      </c>
      <c r="T721">
        <f>VLOOKUP(A721,[2]cwurData!$B:$N, 7, FALSE)</f>
        <v>946</v>
      </c>
      <c r="U721">
        <f>VLOOKUP(A721,[2]cwurData!$B:$N, 8, FALSE)</f>
        <v>603</v>
      </c>
      <c r="V721">
        <f>VLOOKUP(A721,[2]cwurData!$B:$N, 9, FALSE)</f>
        <v>511</v>
      </c>
      <c r="W721">
        <f>VLOOKUP(A721,[2]cwurData!$B:$N, 10, FALSE)</f>
        <v>906</v>
      </c>
      <c r="X721">
        <f>VLOOKUP(A721,[2]cwurData!$B:$N, 11, FALSE)</f>
        <v>749</v>
      </c>
      <c r="Y721">
        <f>VLOOKUP(A721,[2]cwurData!$B:$N, 12, FALSE)</f>
        <v>44.09</v>
      </c>
      <c r="Z721">
        <f>VLOOKUP(A721,[2]cwurData!$B:$N, 13, FALSE)</f>
        <v>2015</v>
      </c>
    </row>
    <row r="722" spans="1:26" x14ac:dyDescent="0.3">
      <c r="A722" t="s">
        <v>745</v>
      </c>
      <c r="B722" t="str">
        <f>IFERROR(VLOOKUP(A722,[1]timesData!$B:$P,2,FALSE),VLOOKUP(A722,[2]cwurData!$B:$P,2,FALSE))</f>
        <v>China</v>
      </c>
      <c r="C722" t="str">
        <f>VLOOKUP(A722,[1]timesData!$B:$P,3,FALSE)</f>
        <v>601-800</v>
      </c>
      <c r="D722" t="str">
        <f>VLOOKUP(A723,[1]timesData!$B:$P,3,FALSE)</f>
        <v>601-800</v>
      </c>
      <c r="E722">
        <f>VLOOKUP(A723,[1]timesData!$B:$P,4,FALSE)</f>
        <v>21.3</v>
      </c>
      <c r="F722">
        <f>VLOOKUP(A723,[1]timesData!$B:$P,5,FALSE)</f>
        <v>11.5</v>
      </c>
      <c r="G722">
        <f>VLOOKUP(A723,[1]timesData!$B:$P,6,FALSE)</f>
        <v>9.9</v>
      </c>
      <c r="H722">
        <f>VLOOKUP(A723,[1]timesData!$B:$P,7,FALSE)</f>
        <v>29.5</v>
      </c>
      <c r="I722" t="str">
        <f>VLOOKUP(A723,[1]timesData!$B:$P,8,FALSE)</f>
        <v>-</v>
      </c>
      <c r="J722">
        <f>VLOOKUP(A723,[1]timesData!$B:$P,9,FALSE)</f>
        <v>31806</v>
      </c>
      <c r="K722">
        <f>VLOOKUP(A723,[1]timesData!$B:$P,10,FALSE)</f>
        <v>24.9</v>
      </c>
      <c r="L722">
        <f>VLOOKUP(A723,[1]timesData!$B:$P,11,FALSE)</f>
        <v>0.02</v>
      </c>
      <c r="M722">
        <f>VLOOKUP(A723,[1]timesData!$B:$P,12,FALSE)</f>
        <v>2.9375</v>
      </c>
      <c r="N722">
        <f>VLOOKUP(A723,[1]timesData!$B:$P,13,FALSE)</f>
        <v>2016</v>
      </c>
      <c r="O722">
        <f>VLOOKUP(A722,[2]cwurData!$B:$P,14,FALSE)</f>
        <v>947</v>
      </c>
      <c r="P722">
        <f>VLOOKUP(A722,[2]cwurData!$B:$N, 3, FALSE)</f>
        <v>67</v>
      </c>
      <c r="Q722">
        <f>VLOOKUP(A722,[2]cwurData!$B:$N, 4, FALSE)</f>
        <v>355</v>
      </c>
      <c r="R722">
        <f>VLOOKUP(A722,[2]cwurData!$B:$N, 5, FALSE)</f>
        <v>417</v>
      </c>
      <c r="S722">
        <f>VLOOKUP(A722,[2]cwurData!$B:$N, 6, FALSE)</f>
        <v>210</v>
      </c>
      <c r="T722">
        <f>VLOOKUP(A722,[2]cwurData!$B:$N, 7, FALSE)</f>
        <v>628</v>
      </c>
      <c r="U722">
        <f>VLOOKUP(A722,[2]cwurData!$B:$N, 8, FALSE)</f>
        <v>987</v>
      </c>
      <c r="V722">
        <f>VLOOKUP(A722,[2]cwurData!$B:$N, 9, FALSE)</f>
        <v>800</v>
      </c>
      <c r="W722">
        <f>VLOOKUP(A722,[2]cwurData!$B:$N, 10, FALSE)</f>
        <v>985</v>
      </c>
      <c r="X722">
        <f>VLOOKUP(A722,[2]cwurData!$B:$N, 11, FALSE)</f>
        <v>737</v>
      </c>
      <c r="Y722">
        <f>VLOOKUP(A722,[2]cwurData!$B:$N, 12, FALSE)</f>
        <v>44.33</v>
      </c>
      <c r="Z722">
        <f>VLOOKUP(A722,[2]cwurData!$B:$N, 13, FALSE)</f>
        <v>2014</v>
      </c>
    </row>
    <row r="723" spans="1:26" x14ac:dyDescent="0.3">
      <c r="A723" t="s">
        <v>657</v>
      </c>
      <c r="B723" t="str">
        <f>IFERROR(VLOOKUP(A723,[1]timesData!$B:$P,2,FALSE),VLOOKUP(A723,[2]cwurData!$B:$P,2,FALSE))</f>
        <v>Romania</v>
      </c>
      <c r="C723" t="str">
        <f>VLOOKUP(A723,[1]timesData!$B:$P,3,FALSE)</f>
        <v>601-800</v>
      </c>
      <c r="D723" t="str">
        <f>VLOOKUP(A724,[1]timesData!$B:$P,3,FALSE)</f>
        <v>601-800</v>
      </c>
      <c r="E723">
        <f>VLOOKUP(A724,[1]timesData!$B:$P,4,FALSE)</f>
        <v>46.3</v>
      </c>
      <c r="F723">
        <f>VLOOKUP(A724,[1]timesData!$B:$P,5,FALSE)</f>
        <v>12</v>
      </c>
      <c r="G723">
        <f>VLOOKUP(A724,[1]timesData!$B:$P,6,FALSE)</f>
        <v>17.399999999999999</v>
      </c>
      <c r="H723">
        <f>VLOOKUP(A724,[1]timesData!$B:$P,7,FALSE)</f>
        <v>38.9</v>
      </c>
      <c r="I723" t="str">
        <f>VLOOKUP(A724,[1]timesData!$B:$P,8,FALSE)</f>
        <v>-</v>
      </c>
      <c r="J723">
        <f>VLOOKUP(A724,[1]timesData!$B:$P,9,FALSE)</f>
        <v>4699</v>
      </c>
      <c r="K723">
        <f>VLOOKUP(A724,[1]timesData!$B:$P,10,FALSE)</f>
        <v>11</v>
      </c>
      <c r="L723">
        <f>VLOOKUP(A724,[1]timesData!$B:$P,11,FALSE)</f>
        <v>0.19</v>
      </c>
      <c r="M723">
        <f>VLOOKUP(A724,[1]timesData!$B:$P,12,FALSE)</f>
        <v>0</v>
      </c>
      <c r="N723">
        <f>VLOOKUP(A724,[1]timesData!$B:$P,13,FALSE)</f>
        <v>2016</v>
      </c>
      <c r="O723">
        <f>VLOOKUP(A723,[2]cwurData!$B:$P,14,FALSE)</f>
        <v>957</v>
      </c>
      <c r="P723">
        <f>VLOOKUP(A723,[2]cwurData!$B:$N, 3, FALSE)</f>
        <v>1</v>
      </c>
      <c r="Q723">
        <f>VLOOKUP(A723,[2]cwurData!$B:$N, 4, FALSE)</f>
        <v>321</v>
      </c>
      <c r="R723">
        <f>VLOOKUP(A723,[2]cwurData!$B:$N, 5, FALSE)</f>
        <v>478</v>
      </c>
      <c r="S723">
        <f>VLOOKUP(A723,[2]cwurData!$B:$N, 6, FALSE)</f>
        <v>210</v>
      </c>
      <c r="T723">
        <f>VLOOKUP(A723,[2]cwurData!$B:$N, 7, FALSE)</f>
        <v>837</v>
      </c>
      <c r="U723">
        <f>VLOOKUP(A723,[2]cwurData!$B:$N, 8, FALSE)</f>
        <v>776</v>
      </c>
      <c r="V723">
        <f>VLOOKUP(A723,[2]cwurData!$B:$N, 9, FALSE)</f>
        <v>609</v>
      </c>
      <c r="W723">
        <f>VLOOKUP(A723,[2]cwurData!$B:$N, 10, FALSE)</f>
        <v>937</v>
      </c>
      <c r="X723">
        <f>VLOOKUP(A723,[2]cwurData!$B:$N, 11, FALSE)</f>
        <v>737</v>
      </c>
      <c r="Y723">
        <f>VLOOKUP(A723,[2]cwurData!$B:$N, 12, FALSE)</f>
        <v>44.32</v>
      </c>
      <c r="Z723">
        <f>VLOOKUP(A723,[2]cwurData!$B:$N, 13, FALSE)</f>
        <v>2014</v>
      </c>
    </row>
    <row r="724" spans="1:26" x14ac:dyDescent="0.3">
      <c r="A724" t="s">
        <v>668</v>
      </c>
      <c r="B724" t="str">
        <f>IFERROR(VLOOKUP(A724,[1]timesData!$B:$P,2,FALSE),VLOOKUP(A724,[2]cwurData!$B:$P,2,FALSE))</f>
        <v>Czech Republic</v>
      </c>
      <c r="C724" t="str">
        <f>VLOOKUP(A724,[1]timesData!$B:$P,3,FALSE)</f>
        <v>601-800</v>
      </c>
      <c r="D724" t="str">
        <f>VLOOKUP(A725,[1]timesData!$B:$P,3,FALSE)</f>
        <v>601-800</v>
      </c>
      <c r="E724">
        <f>VLOOKUP(A725,[1]timesData!$B:$P,4,FALSE)</f>
        <v>19.7</v>
      </c>
      <c r="F724">
        <f>VLOOKUP(A725,[1]timesData!$B:$P,5,FALSE)</f>
        <v>8.1</v>
      </c>
      <c r="G724">
        <f>VLOOKUP(A725,[1]timesData!$B:$P,6,FALSE)</f>
        <v>14.3</v>
      </c>
      <c r="H724" t="str">
        <f>VLOOKUP(A725,[1]timesData!$B:$P,7,FALSE)</f>
        <v>-</v>
      </c>
      <c r="I724" t="str">
        <f>VLOOKUP(A725,[1]timesData!$B:$P,8,FALSE)</f>
        <v>-</v>
      </c>
      <c r="J724">
        <f>VLOOKUP(A725,[1]timesData!$B:$P,9,FALSE)</f>
        <v>39861</v>
      </c>
      <c r="K724">
        <f>VLOOKUP(A725,[1]timesData!$B:$P,10,FALSE)</f>
        <v>17.899999999999999</v>
      </c>
      <c r="L724">
        <f>VLOOKUP(A725,[1]timesData!$B:$P,11,FALSE)</f>
        <v>0.01</v>
      </c>
      <c r="M724">
        <f>VLOOKUP(A725,[1]timesData!$B:$P,12,FALSE)</f>
        <v>1.9951388888888888</v>
      </c>
      <c r="N724">
        <f>VLOOKUP(A725,[1]timesData!$B:$P,13,FALSE)</f>
        <v>2016</v>
      </c>
      <c r="O724">
        <f>VLOOKUP(A724,[2]cwurData!$B:$P,14,FALSE)</f>
        <v>963</v>
      </c>
      <c r="P724">
        <f>VLOOKUP(A724,[2]cwurData!$B:$N, 3, FALSE)</f>
        <v>5</v>
      </c>
      <c r="Q724">
        <f>VLOOKUP(A724,[2]cwurData!$B:$N, 4, FALSE)</f>
        <v>355</v>
      </c>
      <c r="R724">
        <f>VLOOKUP(A724,[2]cwurData!$B:$N, 5, FALSE)</f>
        <v>478</v>
      </c>
      <c r="S724">
        <f>VLOOKUP(A724,[2]cwurData!$B:$N, 6, FALSE)</f>
        <v>210</v>
      </c>
      <c r="T724">
        <f>VLOOKUP(A724,[2]cwurData!$B:$N, 7, FALSE)</f>
        <v>994</v>
      </c>
      <c r="U724">
        <f>VLOOKUP(A724,[2]cwurData!$B:$N, 8, FALSE)</f>
        <v>871</v>
      </c>
      <c r="V724">
        <f>VLOOKUP(A724,[2]cwurData!$B:$N, 9, FALSE)</f>
        <v>800</v>
      </c>
      <c r="W724">
        <f>VLOOKUP(A724,[2]cwurData!$B:$N, 10, FALSE)</f>
        <v>923</v>
      </c>
      <c r="X724">
        <f>VLOOKUP(A724,[2]cwurData!$B:$N, 11, FALSE)</f>
        <v>737</v>
      </c>
      <c r="Y724">
        <f>VLOOKUP(A724,[2]cwurData!$B:$N, 12, FALSE)</f>
        <v>44.31</v>
      </c>
      <c r="Z724">
        <f>VLOOKUP(A724,[2]cwurData!$B:$N, 13, FALSE)</f>
        <v>2014</v>
      </c>
    </row>
    <row r="725" spans="1:26" x14ac:dyDescent="0.3">
      <c r="A725" t="s">
        <v>690</v>
      </c>
      <c r="B725" t="str">
        <f>IFERROR(VLOOKUP(A725,[1]timesData!$B:$P,2,FALSE),VLOOKUP(A725,[2]cwurData!$B:$P,2,FALSE))</f>
        <v>Brazil</v>
      </c>
      <c r="C725" t="str">
        <f>VLOOKUP(A725,[1]timesData!$B:$P,3,FALSE)</f>
        <v>601-800</v>
      </c>
      <c r="D725" t="str">
        <f>VLOOKUP(A726,[1]timesData!$B:$P,3,FALSE)</f>
        <v>601-800</v>
      </c>
      <c r="E725">
        <f>VLOOKUP(A726,[1]timesData!$B:$P,4,FALSE)</f>
        <v>19.100000000000001</v>
      </c>
      <c r="F725">
        <f>VLOOKUP(A726,[1]timesData!$B:$P,5,FALSE)</f>
        <v>9.8000000000000007</v>
      </c>
      <c r="G725">
        <f>VLOOKUP(A726,[1]timesData!$B:$P,6,FALSE)</f>
        <v>18.2</v>
      </c>
      <c r="H725">
        <f>VLOOKUP(A726,[1]timesData!$B:$P,7,FALSE)</f>
        <v>47</v>
      </c>
      <c r="I725" t="str">
        <f>VLOOKUP(A726,[1]timesData!$B:$P,8,FALSE)</f>
        <v>-</v>
      </c>
      <c r="J725">
        <f>VLOOKUP(A726,[1]timesData!$B:$P,9,FALSE)</f>
        <v>25951</v>
      </c>
      <c r="K725">
        <f>VLOOKUP(A726,[1]timesData!$B:$P,10,FALSE)</f>
        <v>22.8</v>
      </c>
      <c r="L725">
        <f>VLOOKUP(A726,[1]timesData!$B:$P,11,FALSE)</f>
        <v>0.04</v>
      </c>
      <c r="M725">
        <f>VLOOKUP(A726,[1]timesData!$B:$P,12,FALSE)</f>
        <v>2.4868055555555557</v>
      </c>
      <c r="N725">
        <f>VLOOKUP(A726,[1]timesData!$B:$P,13,FALSE)</f>
        <v>2016</v>
      </c>
      <c r="O725">
        <f>VLOOKUP(A725,[2]cwurData!$B:$P,14,FALSE)</f>
        <v>967</v>
      </c>
      <c r="P725">
        <f>VLOOKUP(A725,[2]cwurData!$B:$N, 3, FALSE)</f>
        <v>17</v>
      </c>
      <c r="Q725">
        <f>VLOOKUP(A725,[2]cwurData!$B:$N, 4, FALSE)</f>
        <v>355</v>
      </c>
      <c r="R725">
        <f>VLOOKUP(A725,[2]cwurData!$B:$N, 5, FALSE)</f>
        <v>478</v>
      </c>
      <c r="S725">
        <f>VLOOKUP(A725,[2]cwurData!$B:$N, 6, FALSE)</f>
        <v>210</v>
      </c>
      <c r="T725">
        <f>VLOOKUP(A725,[2]cwurData!$B:$N, 7, FALSE)</f>
        <v>981</v>
      </c>
      <c r="U725">
        <f>VLOOKUP(A725,[2]cwurData!$B:$N, 8, FALSE)</f>
        <v>856</v>
      </c>
      <c r="V725">
        <f>VLOOKUP(A725,[2]cwurData!$B:$N, 9, FALSE)</f>
        <v>609</v>
      </c>
      <c r="W725">
        <f>VLOOKUP(A725,[2]cwurData!$B:$N, 10, FALSE)</f>
        <v>937</v>
      </c>
      <c r="X725">
        <f>VLOOKUP(A725,[2]cwurData!$B:$N, 11, FALSE)</f>
        <v>737</v>
      </c>
      <c r="Y725">
        <f>VLOOKUP(A725,[2]cwurData!$B:$N, 12, FALSE)</f>
        <v>44.31</v>
      </c>
      <c r="Z725">
        <f>VLOOKUP(A725,[2]cwurData!$B:$N, 13, FALSE)</f>
        <v>2014</v>
      </c>
    </row>
    <row r="726" spans="1:26" x14ac:dyDescent="0.3">
      <c r="A726" t="s">
        <v>699</v>
      </c>
      <c r="B726" t="str">
        <f>IFERROR(VLOOKUP(A726,[1]timesData!$B:$P,2,FALSE),VLOOKUP(A726,[2]cwurData!$B:$P,2,FALSE))</f>
        <v>Taiwan</v>
      </c>
      <c r="C726" t="str">
        <f>VLOOKUP(A726,[1]timesData!$B:$P,3,FALSE)</f>
        <v>601-800</v>
      </c>
      <c r="D726" t="str">
        <f>VLOOKUP(A727,[1]timesData!$B:$P,3,FALSE)</f>
        <v>601-800</v>
      </c>
      <c r="E726">
        <f>VLOOKUP(A727,[1]timesData!$B:$P,4,FALSE)</f>
        <v>12.8</v>
      </c>
      <c r="F726">
        <f>VLOOKUP(A727,[1]timesData!$B:$P,5,FALSE)</f>
        <v>12.1</v>
      </c>
      <c r="G726">
        <f>VLOOKUP(A727,[1]timesData!$B:$P,6,FALSE)</f>
        <v>8.9</v>
      </c>
      <c r="H726">
        <f>VLOOKUP(A727,[1]timesData!$B:$P,7,FALSE)</f>
        <v>83.7</v>
      </c>
      <c r="I726" t="str">
        <f>VLOOKUP(A727,[1]timesData!$B:$P,8,FALSE)</f>
        <v>-</v>
      </c>
      <c r="J726">
        <f>VLOOKUP(A727,[1]timesData!$B:$P,9,FALSE)</f>
        <v>31618</v>
      </c>
      <c r="K726">
        <f>VLOOKUP(A727,[1]timesData!$B:$P,10,FALSE)</f>
        <v>16.399999999999999</v>
      </c>
      <c r="L726">
        <f>VLOOKUP(A727,[1]timesData!$B:$P,11,FALSE)</f>
        <v>0.02</v>
      </c>
      <c r="M726" t="str">
        <f>VLOOKUP(A727,[1]timesData!$B:$P,12,FALSE)</f>
        <v>29 : 71</v>
      </c>
      <c r="N726">
        <f>VLOOKUP(A727,[1]timesData!$B:$P,13,FALSE)</f>
        <v>2016</v>
      </c>
      <c r="O726">
        <f>VLOOKUP(A726,[2]cwurData!$B:$P,14,FALSE)</f>
        <v>974</v>
      </c>
      <c r="P726">
        <f>VLOOKUP(A726,[2]cwurData!$B:$N, 3, FALSE)</f>
        <v>21</v>
      </c>
      <c r="Q726">
        <f>VLOOKUP(A726,[2]cwurData!$B:$N, 4, FALSE)</f>
        <v>355</v>
      </c>
      <c r="R726">
        <f>VLOOKUP(A726,[2]cwurData!$B:$N, 5, FALSE)</f>
        <v>478</v>
      </c>
      <c r="S726">
        <f>VLOOKUP(A726,[2]cwurData!$B:$N, 6, FALSE)</f>
        <v>210</v>
      </c>
      <c r="T726">
        <f>VLOOKUP(A726,[2]cwurData!$B:$N, 7, FALSE)</f>
        <v>978</v>
      </c>
      <c r="U726">
        <f>VLOOKUP(A726,[2]cwurData!$B:$N, 8, FALSE)</f>
        <v>891</v>
      </c>
      <c r="V726">
        <f>VLOOKUP(A726,[2]cwurData!$B:$N, 9, FALSE)</f>
        <v>800</v>
      </c>
      <c r="W726">
        <f>VLOOKUP(A726,[2]cwurData!$B:$N, 10, FALSE)</f>
        <v>948</v>
      </c>
      <c r="X726">
        <f>VLOOKUP(A726,[2]cwurData!$B:$N, 11, FALSE)</f>
        <v>737</v>
      </c>
      <c r="Y726">
        <f>VLOOKUP(A726,[2]cwurData!$B:$N, 12, FALSE)</f>
        <v>44.3</v>
      </c>
      <c r="Z726">
        <f>VLOOKUP(A726,[2]cwurData!$B:$N, 13, FALSE)</f>
        <v>2014</v>
      </c>
    </row>
    <row r="727" spans="1:26" x14ac:dyDescent="0.3">
      <c r="A727" t="s">
        <v>814</v>
      </c>
      <c r="B727" t="str">
        <f>IFERROR(VLOOKUP(A727,[1]timesData!$B:$P,2,FALSE),VLOOKUP(A727,[2]cwurData!$B:$P,2,FALSE))</f>
        <v>China</v>
      </c>
      <c r="C727" t="str">
        <f>VLOOKUP(A727,[1]timesData!$B:$P,3,FALSE)</f>
        <v>601-800</v>
      </c>
      <c r="D727" t="str">
        <f>VLOOKUP(A728,[1]timesData!$B:$P,3,FALSE)</f>
        <v>601-800</v>
      </c>
      <c r="E727">
        <f>VLOOKUP(A728,[1]timesData!$B:$P,4,FALSE)</f>
        <v>24.8</v>
      </c>
      <c r="F727">
        <f>VLOOKUP(A728,[1]timesData!$B:$P,5,FALSE)</f>
        <v>11.5</v>
      </c>
      <c r="G727">
        <f>VLOOKUP(A728,[1]timesData!$B:$P,6,FALSE)</f>
        <v>13.3</v>
      </c>
      <c r="H727">
        <f>VLOOKUP(A728,[1]timesData!$B:$P,7,FALSE)</f>
        <v>41</v>
      </c>
      <c r="I727" t="str">
        <f>VLOOKUP(A728,[1]timesData!$B:$P,8,FALSE)</f>
        <v>-</v>
      </c>
      <c r="J727">
        <f>VLOOKUP(A728,[1]timesData!$B:$P,9,FALSE)</f>
        <v>16263</v>
      </c>
      <c r="K727">
        <f>VLOOKUP(A728,[1]timesData!$B:$P,10,FALSE)</f>
        <v>29.9</v>
      </c>
      <c r="L727">
        <f>VLOOKUP(A728,[1]timesData!$B:$P,11,FALSE)</f>
        <v>0.1</v>
      </c>
      <c r="M727">
        <f>VLOOKUP(A728,[1]timesData!$B:$P,12,FALSE)</f>
        <v>1.9131944444444444</v>
      </c>
      <c r="N727">
        <f>VLOOKUP(A728,[1]timesData!$B:$P,13,FALSE)</f>
        <v>2016</v>
      </c>
      <c r="O727">
        <f>VLOOKUP(A727,[2]cwurData!$B:$P,14,FALSE)</f>
        <v>980</v>
      </c>
      <c r="P727">
        <f>VLOOKUP(A727,[2]cwurData!$B:$N, 3, FALSE)</f>
        <v>73</v>
      </c>
      <c r="Q727">
        <f>VLOOKUP(A727,[2]cwurData!$B:$N, 4, FALSE)</f>
        <v>355</v>
      </c>
      <c r="R727">
        <f>VLOOKUP(A727,[2]cwurData!$B:$N, 5, FALSE)</f>
        <v>478</v>
      </c>
      <c r="S727">
        <f>VLOOKUP(A727,[2]cwurData!$B:$N, 6, FALSE)</f>
        <v>210</v>
      </c>
      <c r="T727">
        <f>VLOOKUP(A727,[2]cwurData!$B:$N, 7, FALSE)</f>
        <v>888</v>
      </c>
      <c r="U727">
        <f>VLOOKUP(A727,[2]cwurData!$B:$N, 8, FALSE)</f>
        <v>974</v>
      </c>
      <c r="V727">
        <f>VLOOKUP(A727,[2]cwurData!$B:$N, 9, FALSE)</f>
        <v>800</v>
      </c>
      <c r="W727">
        <f>VLOOKUP(A727,[2]cwurData!$B:$N, 10, FALSE)</f>
        <v>985</v>
      </c>
      <c r="X727">
        <f>VLOOKUP(A727,[2]cwurData!$B:$N, 11, FALSE)</f>
        <v>373</v>
      </c>
      <c r="Y727">
        <f>VLOOKUP(A727,[2]cwurData!$B:$N, 12, FALSE)</f>
        <v>44.29</v>
      </c>
      <c r="Z727">
        <f>VLOOKUP(A727,[2]cwurData!$B:$N, 13, FALSE)</f>
        <v>2014</v>
      </c>
    </row>
    <row r="728" spans="1:26" x14ac:dyDescent="0.3">
      <c r="A728" t="s">
        <v>711</v>
      </c>
      <c r="B728" t="str">
        <f>IFERROR(VLOOKUP(A728,[1]timesData!$B:$P,2,FALSE),VLOOKUP(A728,[2]cwurData!$B:$P,2,FALSE))</f>
        <v>Taiwan</v>
      </c>
      <c r="C728" t="str">
        <f>VLOOKUP(A728,[1]timesData!$B:$P,3,FALSE)</f>
        <v>601-800</v>
      </c>
      <c r="D728" t="str">
        <f>VLOOKUP(A729,[1]timesData!$B:$P,3,FALSE)</f>
        <v>601-800</v>
      </c>
      <c r="E728">
        <f>VLOOKUP(A729,[1]timesData!$B:$P,4,FALSE)</f>
        <v>16</v>
      </c>
      <c r="F728">
        <f>VLOOKUP(A729,[1]timesData!$B:$P,5,FALSE)</f>
        <v>14.6</v>
      </c>
      <c r="G728">
        <f>VLOOKUP(A729,[1]timesData!$B:$P,6,FALSE)</f>
        <v>16.399999999999999</v>
      </c>
      <c r="H728">
        <f>VLOOKUP(A729,[1]timesData!$B:$P,7,FALSE)</f>
        <v>81.3</v>
      </c>
      <c r="I728" t="str">
        <f>VLOOKUP(A729,[1]timesData!$B:$P,8,FALSE)</f>
        <v>-</v>
      </c>
      <c r="J728">
        <f>VLOOKUP(A729,[1]timesData!$B:$P,9,FALSE)</f>
        <v>10227</v>
      </c>
      <c r="K728">
        <f>VLOOKUP(A729,[1]timesData!$B:$P,10,FALSE)</f>
        <v>16.5</v>
      </c>
      <c r="L728">
        <f>VLOOKUP(A729,[1]timesData!$B:$P,11,FALSE)</f>
        <v>0.03</v>
      </c>
      <c r="M728" t="str">
        <f>VLOOKUP(A729,[1]timesData!$B:$P,12,FALSE)</f>
        <v>25 : 75</v>
      </c>
      <c r="N728">
        <f>VLOOKUP(A729,[1]timesData!$B:$P,13,FALSE)</f>
        <v>2016</v>
      </c>
      <c r="O728">
        <f>VLOOKUP(A728,[2]cwurData!$B:$P,14,FALSE)</f>
        <v>994</v>
      </c>
      <c r="P728">
        <f>VLOOKUP(A728,[2]cwurData!$B:$N, 3, FALSE)</f>
        <v>23</v>
      </c>
      <c r="Q728">
        <f>VLOOKUP(A728,[2]cwurData!$B:$N, 4, FALSE)</f>
        <v>355</v>
      </c>
      <c r="R728">
        <f>VLOOKUP(A728,[2]cwurData!$B:$N, 5, FALSE)</f>
        <v>478</v>
      </c>
      <c r="S728">
        <f>VLOOKUP(A728,[2]cwurData!$B:$N, 6, FALSE)</f>
        <v>210</v>
      </c>
      <c r="T728">
        <f>VLOOKUP(A728,[2]cwurData!$B:$N, 7, FALSE)</f>
        <v>878</v>
      </c>
      <c r="U728">
        <f>VLOOKUP(A728,[2]cwurData!$B:$N, 8, FALSE)</f>
        <v>987</v>
      </c>
      <c r="V728">
        <f>VLOOKUP(A728,[2]cwurData!$B:$N, 9, FALSE)</f>
        <v>800</v>
      </c>
      <c r="W728">
        <f>VLOOKUP(A728,[2]cwurData!$B:$N, 10, FALSE)</f>
        <v>989</v>
      </c>
      <c r="X728">
        <f>VLOOKUP(A728,[2]cwurData!$B:$N, 11, FALSE)</f>
        <v>737</v>
      </c>
      <c r="Y728">
        <f>VLOOKUP(A728,[2]cwurData!$B:$N, 12, FALSE)</f>
        <v>44.24</v>
      </c>
      <c r="Z728">
        <f>VLOOKUP(A728,[2]cwurData!$B:$N, 13, FALSE)</f>
        <v>2014</v>
      </c>
    </row>
    <row r="729" spans="1:26" x14ac:dyDescent="0.3">
      <c r="A729" t="s">
        <v>739</v>
      </c>
      <c r="B729" t="str">
        <f>IFERROR(VLOOKUP(A729,[1]timesData!$B:$P,2,FALSE),VLOOKUP(A729,[2]cwurData!$B:$P,2,FALSE))</f>
        <v>Taiwan</v>
      </c>
      <c r="C729" t="str">
        <f>VLOOKUP(A729,[1]timesData!$B:$P,3,FALSE)</f>
        <v>601-800</v>
      </c>
      <c r="D729" t="str">
        <f>VLOOKUP(A730,[1]timesData!$B:$P,3,FALSE)</f>
        <v>601-800</v>
      </c>
      <c r="E729">
        <f>VLOOKUP(A730,[1]timesData!$B:$P,4,FALSE)</f>
        <v>25.7</v>
      </c>
      <c r="F729">
        <f>VLOOKUP(A730,[1]timesData!$B:$P,5,FALSE)</f>
        <v>11</v>
      </c>
      <c r="G729">
        <f>VLOOKUP(A730,[1]timesData!$B:$P,6,FALSE)</f>
        <v>15.3</v>
      </c>
      <c r="H729">
        <f>VLOOKUP(A730,[1]timesData!$B:$P,7,FALSE)</f>
        <v>28.7</v>
      </c>
      <c r="I729" t="str">
        <f>VLOOKUP(A730,[1]timesData!$B:$P,8,FALSE)</f>
        <v>-</v>
      </c>
      <c r="J729">
        <f>VLOOKUP(A730,[1]timesData!$B:$P,9,FALSE)</f>
        <v>40633</v>
      </c>
      <c r="K729">
        <f>VLOOKUP(A730,[1]timesData!$B:$P,10,FALSE)</f>
        <v>15.6</v>
      </c>
      <c r="L729">
        <f>VLOOKUP(A730,[1]timesData!$B:$P,11,FALSE)</f>
        <v>0.01</v>
      </c>
      <c r="M729">
        <f>VLOOKUP(A730,[1]timesData!$B:$P,12,FALSE)</f>
        <v>2.9784722222222224</v>
      </c>
      <c r="N729">
        <f>VLOOKUP(A730,[1]timesData!$B:$P,13,FALSE)</f>
        <v>2016</v>
      </c>
      <c r="O729">
        <f>VLOOKUP(A729,[2]cwurData!$B:$P,14,FALSE)</f>
        <v>997</v>
      </c>
      <c r="P729">
        <f>VLOOKUP(A729,[2]cwurData!$B:$N, 3, FALSE)</f>
        <v>25</v>
      </c>
      <c r="Q729">
        <f>VLOOKUP(A729,[2]cwurData!$B:$N, 4, FALSE)</f>
        <v>355</v>
      </c>
      <c r="R729">
        <f>VLOOKUP(A729,[2]cwurData!$B:$N, 5, FALSE)</f>
        <v>478</v>
      </c>
      <c r="S729">
        <f>VLOOKUP(A729,[2]cwurData!$B:$N, 6, FALSE)</f>
        <v>210</v>
      </c>
      <c r="T729">
        <f>VLOOKUP(A729,[2]cwurData!$B:$N, 7, FALSE)</f>
        <v>867</v>
      </c>
      <c r="U729">
        <f>VLOOKUP(A729,[2]cwurData!$B:$N, 8, FALSE)</f>
        <v>987</v>
      </c>
      <c r="V729">
        <f>VLOOKUP(A729,[2]cwurData!$B:$N, 9, FALSE)</f>
        <v>800</v>
      </c>
      <c r="W729">
        <f>VLOOKUP(A729,[2]cwurData!$B:$N, 10, FALSE)</f>
        <v>994</v>
      </c>
      <c r="X729">
        <f>VLOOKUP(A729,[2]cwurData!$B:$N, 11, FALSE)</f>
        <v>737</v>
      </c>
      <c r="Y729">
        <f>VLOOKUP(A729,[2]cwurData!$B:$N, 12, FALSE)</f>
        <v>44.24</v>
      </c>
      <c r="Z729">
        <f>VLOOKUP(A729,[2]cwurData!$B:$N, 13, FALSE)</f>
        <v>2014</v>
      </c>
    </row>
    <row r="730" spans="1:26" x14ac:dyDescent="0.3">
      <c r="A730" t="s">
        <v>634</v>
      </c>
      <c r="B730" t="str">
        <f>IFERROR(VLOOKUP(A730,[1]timesData!$B:$P,2,FALSE),VLOOKUP(A730,[2]cwurData!$B:$P,2,FALSE))</f>
        <v>Poland</v>
      </c>
      <c r="C730" t="str">
        <f>VLOOKUP(A730,[1]timesData!$B:$P,3,FALSE)</f>
        <v>601-800</v>
      </c>
      <c r="D730" t="str">
        <f>VLOOKUP(A731,[1]timesData!$B:$P,3,FALSE)</f>
        <v>601-800</v>
      </c>
      <c r="E730">
        <f>VLOOKUP(A731,[1]timesData!$B:$P,4,FALSE)</f>
        <v>46.9</v>
      </c>
      <c r="F730">
        <f>VLOOKUP(A731,[1]timesData!$B:$P,5,FALSE)</f>
        <v>13.6</v>
      </c>
      <c r="G730">
        <f>VLOOKUP(A731,[1]timesData!$B:$P,6,FALSE)</f>
        <v>7</v>
      </c>
      <c r="H730">
        <f>VLOOKUP(A731,[1]timesData!$B:$P,7,FALSE)</f>
        <v>28.2</v>
      </c>
      <c r="I730" t="str">
        <f>VLOOKUP(A731,[1]timesData!$B:$P,8,FALSE)</f>
        <v>-</v>
      </c>
      <c r="J730">
        <f>VLOOKUP(A731,[1]timesData!$B:$P,9,FALSE)</f>
        <v>25724</v>
      </c>
      <c r="K730">
        <f>VLOOKUP(A731,[1]timesData!$B:$P,10,FALSE)</f>
        <v>33</v>
      </c>
      <c r="L730">
        <f>VLOOKUP(A731,[1]timesData!$B:$P,11,FALSE)</f>
        <v>0.05</v>
      </c>
      <c r="M730">
        <f>VLOOKUP(A731,[1]timesData!$B:$P,12,FALSE)</f>
        <v>2.6506944444444445</v>
      </c>
      <c r="N730">
        <f>VLOOKUP(A731,[1]timesData!$B:$P,13,FALSE)</f>
        <v>2016</v>
      </c>
      <c r="O730" t="e">
        <f>VLOOKUP(A730,[2]cwurData!$B:$P,14,FALSE)</f>
        <v>#N/A</v>
      </c>
      <c r="P730" t="e">
        <f>VLOOKUP(A730,[2]cwurData!$B:$N, 3, FALSE)</f>
        <v>#N/A</v>
      </c>
      <c r="Q730" t="e">
        <f>VLOOKUP(A730,[2]cwurData!$B:$N, 4, FALSE)</f>
        <v>#N/A</v>
      </c>
      <c r="R730" t="e">
        <f>VLOOKUP(A730,[2]cwurData!$B:$N, 5, FALSE)</f>
        <v>#N/A</v>
      </c>
      <c r="S730" t="e">
        <f>VLOOKUP(A730,[2]cwurData!$B:$N, 6, FALSE)</f>
        <v>#N/A</v>
      </c>
      <c r="T730" t="e">
        <f>VLOOKUP(A730,[2]cwurData!$B:$N, 7, FALSE)</f>
        <v>#N/A</v>
      </c>
      <c r="U730" t="e">
        <f>VLOOKUP(A730,[2]cwurData!$B:$N, 8, FALSE)</f>
        <v>#N/A</v>
      </c>
      <c r="V730" t="e">
        <f>VLOOKUP(A730,[2]cwurData!$B:$N, 9, FALSE)</f>
        <v>#N/A</v>
      </c>
      <c r="W730" t="e">
        <f>VLOOKUP(A730,[2]cwurData!$B:$N, 10, FALSE)</f>
        <v>#N/A</v>
      </c>
      <c r="X730" t="e">
        <f>VLOOKUP(A730,[2]cwurData!$B:$N, 11, FALSE)</f>
        <v>#N/A</v>
      </c>
      <c r="Y730" t="e">
        <f>VLOOKUP(A730,[2]cwurData!$B:$N, 12, FALSE)</f>
        <v>#N/A</v>
      </c>
      <c r="Z730" t="e">
        <f>VLOOKUP(A730,[2]cwurData!$B:$N, 13, FALSE)</f>
        <v>#N/A</v>
      </c>
    </row>
    <row r="731" spans="1:26" x14ac:dyDescent="0.3">
      <c r="A731" t="s">
        <v>638</v>
      </c>
      <c r="B731" t="str">
        <f>IFERROR(VLOOKUP(A731,[1]timesData!$B:$P,2,FALSE),VLOOKUP(A731,[2]cwurData!$B:$P,2,FALSE))</f>
        <v>Romania</v>
      </c>
      <c r="C731" t="str">
        <f>VLOOKUP(A731,[1]timesData!$B:$P,3,FALSE)</f>
        <v>601-800</v>
      </c>
      <c r="D731" t="str">
        <f>VLOOKUP(A732,[1]timesData!$B:$P,3,FALSE)</f>
        <v>601-800</v>
      </c>
      <c r="E731">
        <f>VLOOKUP(A732,[1]timesData!$B:$P,4,FALSE)</f>
        <v>18.7</v>
      </c>
      <c r="F731">
        <f>VLOOKUP(A732,[1]timesData!$B:$P,5,FALSE)</f>
        <v>10</v>
      </c>
      <c r="G731">
        <f>VLOOKUP(A732,[1]timesData!$B:$P,6,FALSE)</f>
        <v>20.9</v>
      </c>
      <c r="H731">
        <f>VLOOKUP(A732,[1]timesData!$B:$P,7,FALSE)</f>
        <v>29.6</v>
      </c>
      <c r="I731" t="str">
        <f>VLOOKUP(A732,[1]timesData!$B:$P,8,FALSE)</f>
        <v>-</v>
      </c>
      <c r="J731">
        <f>VLOOKUP(A732,[1]timesData!$B:$P,9,FALSE)</f>
        <v>11197</v>
      </c>
      <c r="K731">
        <f>VLOOKUP(A732,[1]timesData!$B:$P,10,FALSE)</f>
        <v>10.5</v>
      </c>
      <c r="L731">
        <f>VLOOKUP(A732,[1]timesData!$B:$P,11,FALSE)</f>
        <v>0.02</v>
      </c>
      <c r="M731">
        <f>VLOOKUP(A732,[1]timesData!$B:$P,12,FALSE)</f>
        <v>0.76597222222222228</v>
      </c>
      <c r="N731">
        <f>VLOOKUP(A732,[1]timesData!$B:$P,13,FALSE)</f>
        <v>2016</v>
      </c>
      <c r="O731" t="e">
        <f>VLOOKUP(A731,[2]cwurData!$B:$P,14,FALSE)</f>
        <v>#N/A</v>
      </c>
      <c r="P731" t="e">
        <f>VLOOKUP(A731,[2]cwurData!$B:$N, 3, FALSE)</f>
        <v>#N/A</v>
      </c>
      <c r="Q731" t="e">
        <f>VLOOKUP(A731,[2]cwurData!$B:$N, 4, FALSE)</f>
        <v>#N/A</v>
      </c>
      <c r="R731" t="e">
        <f>VLOOKUP(A731,[2]cwurData!$B:$N, 5, FALSE)</f>
        <v>#N/A</v>
      </c>
      <c r="S731" t="e">
        <f>VLOOKUP(A731,[2]cwurData!$B:$N, 6, FALSE)</f>
        <v>#N/A</v>
      </c>
      <c r="T731" t="e">
        <f>VLOOKUP(A731,[2]cwurData!$B:$N, 7, FALSE)</f>
        <v>#N/A</v>
      </c>
      <c r="U731" t="e">
        <f>VLOOKUP(A731,[2]cwurData!$B:$N, 8, FALSE)</f>
        <v>#N/A</v>
      </c>
      <c r="V731" t="e">
        <f>VLOOKUP(A731,[2]cwurData!$B:$N, 9, FALSE)</f>
        <v>#N/A</v>
      </c>
      <c r="W731" t="e">
        <f>VLOOKUP(A731,[2]cwurData!$B:$N, 10, FALSE)</f>
        <v>#N/A</v>
      </c>
      <c r="X731" t="e">
        <f>VLOOKUP(A731,[2]cwurData!$B:$N, 11, FALSE)</f>
        <v>#N/A</v>
      </c>
      <c r="Y731" t="e">
        <f>VLOOKUP(A731,[2]cwurData!$B:$N, 12, FALSE)</f>
        <v>#N/A</v>
      </c>
      <c r="Z731" t="e">
        <f>VLOOKUP(A731,[2]cwurData!$B:$N, 13, FALSE)</f>
        <v>#N/A</v>
      </c>
    </row>
    <row r="732" spans="1:26" x14ac:dyDescent="0.3">
      <c r="A732" t="s">
        <v>639</v>
      </c>
      <c r="B732" t="str">
        <f>IFERROR(VLOOKUP(A732,[1]timesData!$B:$P,2,FALSE),VLOOKUP(A732,[2]cwurData!$B:$P,2,FALSE))</f>
        <v>India</v>
      </c>
      <c r="C732" t="str">
        <f>VLOOKUP(A732,[1]timesData!$B:$P,3,FALSE)</f>
        <v>601-800</v>
      </c>
      <c r="D732" t="str">
        <f>VLOOKUP(A733,[1]timesData!$B:$P,3,FALSE)</f>
        <v>601-800</v>
      </c>
      <c r="E732">
        <f>VLOOKUP(A733,[1]timesData!$B:$P,4,FALSE)</f>
        <v>95.6</v>
      </c>
      <c r="F732">
        <f>VLOOKUP(A733,[1]timesData!$B:$P,5,FALSE)</f>
        <v>10.6</v>
      </c>
      <c r="G732">
        <f>VLOOKUP(A733,[1]timesData!$B:$P,6,FALSE)</f>
        <v>13.3</v>
      </c>
      <c r="H732">
        <f>VLOOKUP(A733,[1]timesData!$B:$P,7,FALSE)</f>
        <v>33.299999999999997</v>
      </c>
      <c r="I732" t="str">
        <f>VLOOKUP(A733,[1]timesData!$B:$P,8,FALSE)</f>
        <v>-</v>
      </c>
      <c r="J732">
        <f>VLOOKUP(A733,[1]timesData!$B:$P,9,FALSE)</f>
        <v>5226</v>
      </c>
      <c r="K732">
        <f>VLOOKUP(A733,[1]timesData!$B:$P,10,FALSE)</f>
        <v>14.1</v>
      </c>
      <c r="L732">
        <f>VLOOKUP(A733,[1]timesData!$B:$P,11,FALSE)</f>
        <v>0.82</v>
      </c>
      <c r="M732">
        <f>VLOOKUP(A733,[1]timesData!$B:$P,12,FALSE)</f>
        <v>2.036111111111111</v>
      </c>
      <c r="N732">
        <f>VLOOKUP(A733,[1]timesData!$B:$P,13,FALSE)</f>
        <v>2016</v>
      </c>
      <c r="O732" t="e">
        <f>VLOOKUP(A732,[2]cwurData!$B:$P,14,FALSE)</f>
        <v>#N/A</v>
      </c>
      <c r="P732" t="e">
        <f>VLOOKUP(A732,[2]cwurData!$B:$N, 3, FALSE)</f>
        <v>#N/A</v>
      </c>
      <c r="Q732" t="e">
        <f>VLOOKUP(A732,[2]cwurData!$B:$N, 4, FALSE)</f>
        <v>#N/A</v>
      </c>
      <c r="R732" t="e">
        <f>VLOOKUP(A732,[2]cwurData!$B:$N, 5, FALSE)</f>
        <v>#N/A</v>
      </c>
      <c r="S732" t="e">
        <f>VLOOKUP(A732,[2]cwurData!$B:$N, 6, FALSE)</f>
        <v>#N/A</v>
      </c>
      <c r="T732" t="e">
        <f>VLOOKUP(A732,[2]cwurData!$B:$N, 7, FALSE)</f>
        <v>#N/A</v>
      </c>
      <c r="U732" t="e">
        <f>VLOOKUP(A732,[2]cwurData!$B:$N, 8, FALSE)</f>
        <v>#N/A</v>
      </c>
      <c r="V732" t="e">
        <f>VLOOKUP(A732,[2]cwurData!$B:$N, 9, FALSE)</f>
        <v>#N/A</v>
      </c>
      <c r="W732" t="e">
        <f>VLOOKUP(A732,[2]cwurData!$B:$N, 10, FALSE)</f>
        <v>#N/A</v>
      </c>
      <c r="X732" t="e">
        <f>VLOOKUP(A732,[2]cwurData!$B:$N, 11, FALSE)</f>
        <v>#N/A</v>
      </c>
      <c r="Y732" t="e">
        <f>VLOOKUP(A732,[2]cwurData!$B:$N, 12, FALSE)</f>
        <v>#N/A</v>
      </c>
      <c r="Z732" t="e">
        <f>VLOOKUP(A732,[2]cwurData!$B:$N, 13, FALSE)</f>
        <v>#N/A</v>
      </c>
    </row>
    <row r="733" spans="1:26" x14ac:dyDescent="0.3">
      <c r="A733" t="s">
        <v>640</v>
      </c>
      <c r="B733" t="str">
        <f>IFERROR(VLOOKUP(A733,[1]timesData!$B:$P,2,FALSE),VLOOKUP(A733,[2]cwurData!$B:$P,2,FALSE))</f>
        <v>United Arab Emirates</v>
      </c>
      <c r="C733" t="str">
        <f>VLOOKUP(A733,[1]timesData!$B:$P,3,FALSE)</f>
        <v>601-800</v>
      </c>
      <c r="D733" t="str">
        <f>VLOOKUP(A734,[1]timesData!$B:$P,3,FALSE)</f>
        <v>601-800</v>
      </c>
      <c r="E733">
        <f>VLOOKUP(A734,[1]timesData!$B:$P,4,FALSE)</f>
        <v>29.6</v>
      </c>
      <c r="F733">
        <f>VLOOKUP(A734,[1]timesData!$B:$P,5,FALSE)</f>
        <v>5.8</v>
      </c>
      <c r="G733">
        <f>VLOOKUP(A734,[1]timesData!$B:$P,6,FALSE)</f>
        <v>20.7</v>
      </c>
      <c r="H733">
        <f>VLOOKUP(A734,[1]timesData!$B:$P,7,FALSE)</f>
        <v>28</v>
      </c>
      <c r="I733" t="str">
        <f>VLOOKUP(A734,[1]timesData!$B:$P,8,FALSE)</f>
        <v>-</v>
      </c>
      <c r="J733">
        <f>VLOOKUP(A734,[1]timesData!$B:$P,9,FALSE)</f>
        <v>17273</v>
      </c>
      <c r="K733">
        <f>VLOOKUP(A734,[1]timesData!$B:$P,10,FALSE)</f>
        <v>6.6</v>
      </c>
      <c r="L733">
        <f>VLOOKUP(A734,[1]timesData!$B:$P,11,FALSE)</f>
        <v>0.08</v>
      </c>
      <c r="M733">
        <f>VLOOKUP(A734,[1]timesData!$B:$P,12,FALSE)</f>
        <v>0</v>
      </c>
      <c r="N733">
        <f>VLOOKUP(A734,[1]timesData!$B:$P,13,FALSE)</f>
        <v>2016</v>
      </c>
      <c r="O733" t="e">
        <f>VLOOKUP(A733,[2]cwurData!$B:$P,14,FALSE)</f>
        <v>#N/A</v>
      </c>
      <c r="P733" t="e">
        <f>VLOOKUP(A733,[2]cwurData!$B:$N, 3, FALSE)</f>
        <v>#N/A</v>
      </c>
      <c r="Q733" t="e">
        <f>VLOOKUP(A733,[2]cwurData!$B:$N, 4, FALSE)</f>
        <v>#N/A</v>
      </c>
      <c r="R733" t="e">
        <f>VLOOKUP(A733,[2]cwurData!$B:$N, 5, FALSE)</f>
        <v>#N/A</v>
      </c>
      <c r="S733" t="e">
        <f>VLOOKUP(A733,[2]cwurData!$B:$N, 6, FALSE)</f>
        <v>#N/A</v>
      </c>
      <c r="T733" t="e">
        <f>VLOOKUP(A733,[2]cwurData!$B:$N, 7, FALSE)</f>
        <v>#N/A</v>
      </c>
      <c r="U733" t="e">
        <f>VLOOKUP(A733,[2]cwurData!$B:$N, 8, FALSE)</f>
        <v>#N/A</v>
      </c>
      <c r="V733" t="e">
        <f>VLOOKUP(A733,[2]cwurData!$B:$N, 9, FALSE)</f>
        <v>#N/A</v>
      </c>
      <c r="W733" t="e">
        <f>VLOOKUP(A733,[2]cwurData!$B:$N, 10, FALSE)</f>
        <v>#N/A</v>
      </c>
      <c r="X733" t="e">
        <f>VLOOKUP(A733,[2]cwurData!$B:$N, 11, FALSE)</f>
        <v>#N/A</v>
      </c>
      <c r="Y733" t="e">
        <f>VLOOKUP(A733,[2]cwurData!$B:$N, 12, FALSE)</f>
        <v>#N/A</v>
      </c>
      <c r="Z733" t="e">
        <f>VLOOKUP(A733,[2]cwurData!$B:$N, 13, FALSE)</f>
        <v>#N/A</v>
      </c>
    </row>
    <row r="734" spans="1:26" x14ac:dyDescent="0.3">
      <c r="A734" t="s">
        <v>641</v>
      </c>
      <c r="B734" t="str">
        <f>IFERROR(VLOOKUP(A734,[1]timesData!$B:$P,2,FALSE),VLOOKUP(A734,[2]cwurData!$B:$P,2,FALSE))</f>
        <v>India</v>
      </c>
      <c r="C734" t="str">
        <f>VLOOKUP(A734,[1]timesData!$B:$P,3,FALSE)</f>
        <v>601-800</v>
      </c>
      <c r="D734" t="str">
        <f>VLOOKUP(A735,[1]timesData!$B:$P,3,FALSE)</f>
        <v>601-800</v>
      </c>
      <c r="E734">
        <f>VLOOKUP(A735,[1]timesData!$B:$P,4,FALSE)</f>
        <v>14.3</v>
      </c>
      <c r="F734">
        <f>VLOOKUP(A735,[1]timesData!$B:$P,5,FALSE)</f>
        <v>22.6</v>
      </c>
      <c r="G734">
        <f>VLOOKUP(A735,[1]timesData!$B:$P,6,FALSE)</f>
        <v>10.9</v>
      </c>
      <c r="H734">
        <f>VLOOKUP(A735,[1]timesData!$B:$P,7,FALSE)</f>
        <v>100</v>
      </c>
      <c r="I734" t="str">
        <f>VLOOKUP(A735,[1]timesData!$B:$P,8,FALSE)</f>
        <v>-</v>
      </c>
      <c r="J734">
        <f>VLOOKUP(A735,[1]timesData!$B:$P,9,FALSE)</f>
        <v>379231</v>
      </c>
      <c r="K734">
        <f>VLOOKUP(A735,[1]timesData!$B:$P,10,FALSE)</f>
        <v>162.6</v>
      </c>
      <c r="L734">
        <f>VLOOKUP(A735,[1]timesData!$B:$P,11,FALSE)</f>
        <v>0.01</v>
      </c>
      <c r="M734">
        <f>VLOOKUP(A735,[1]timesData!$B:$P,12,FALSE)</f>
        <v>3.2652777777777779</v>
      </c>
      <c r="N734">
        <f>VLOOKUP(A735,[1]timesData!$B:$P,13,FALSE)</f>
        <v>2016</v>
      </c>
      <c r="O734" t="e">
        <f>VLOOKUP(A734,[2]cwurData!$B:$P,14,FALSE)</f>
        <v>#N/A</v>
      </c>
      <c r="P734" t="e">
        <f>VLOOKUP(A734,[2]cwurData!$B:$N, 3, FALSE)</f>
        <v>#N/A</v>
      </c>
      <c r="Q734" t="e">
        <f>VLOOKUP(A734,[2]cwurData!$B:$N, 4, FALSE)</f>
        <v>#N/A</v>
      </c>
      <c r="R734" t="e">
        <f>VLOOKUP(A734,[2]cwurData!$B:$N, 5, FALSE)</f>
        <v>#N/A</v>
      </c>
      <c r="S734" t="e">
        <f>VLOOKUP(A734,[2]cwurData!$B:$N, 6, FALSE)</f>
        <v>#N/A</v>
      </c>
      <c r="T734" t="e">
        <f>VLOOKUP(A734,[2]cwurData!$B:$N, 7, FALSE)</f>
        <v>#N/A</v>
      </c>
      <c r="U734" t="e">
        <f>VLOOKUP(A734,[2]cwurData!$B:$N, 8, FALSE)</f>
        <v>#N/A</v>
      </c>
      <c r="V734" t="e">
        <f>VLOOKUP(A734,[2]cwurData!$B:$N, 9, FALSE)</f>
        <v>#N/A</v>
      </c>
      <c r="W734" t="e">
        <f>VLOOKUP(A734,[2]cwurData!$B:$N, 10, FALSE)</f>
        <v>#N/A</v>
      </c>
      <c r="X734" t="e">
        <f>VLOOKUP(A734,[2]cwurData!$B:$N, 11, FALSE)</f>
        <v>#N/A</v>
      </c>
      <c r="Y734" t="e">
        <f>VLOOKUP(A734,[2]cwurData!$B:$N, 12, FALSE)</f>
        <v>#N/A</v>
      </c>
      <c r="Z734" t="e">
        <f>VLOOKUP(A734,[2]cwurData!$B:$N, 13, FALSE)</f>
        <v>#N/A</v>
      </c>
    </row>
    <row r="735" spans="1:26" x14ac:dyDescent="0.3">
      <c r="A735" t="s">
        <v>642</v>
      </c>
      <c r="B735" t="str">
        <f>IFERROR(VLOOKUP(A735,[1]timesData!$B:$P,2,FALSE),VLOOKUP(A735,[2]cwurData!$B:$P,2,FALSE))</f>
        <v>Turkey</v>
      </c>
      <c r="C735" t="str">
        <f>VLOOKUP(A735,[1]timesData!$B:$P,3,FALSE)</f>
        <v>601-800</v>
      </c>
      <c r="D735" t="str">
        <f>VLOOKUP(A736,[1]timesData!$B:$P,3,FALSE)</f>
        <v>601-800</v>
      </c>
      <c r="E735">
        <f>VLOOKUP(A736,[1]timesData!$B:$P,4,FALSE)</f>
        <v>7.2</v>
      </c>
      <c r="F735">
        <f>VLOOKUP(A736,[1]timesData!$B:$P,5,FALSE)</f>
        <v>6.9</v>
      </c>
      <c r="G735">
        <f>VLOOKUP(A736,[1]timesData!$B:$P,6,FALSE)</f>
        <v>1.2</v>
      </c>
      <c r="H735">
        <f>VLOOKUP(A736,[1]timesData!$B:$P,7,FALSE)</f>
        <v>31.3</v>
      </c>
      <c r="I735" t="str">
        <f>VLOOKUP(A736,[1]timesData!$B:$P,8,FALSE)</f>
        <v>-</v>
      </c>
      <c r="J735">
        <f>VLOOKUP(A736,[1]timesData!$B:$P,9,FALSE)</f>
        <v>10407</v>
      </c>
      <c r="K735">
        <f>VLOOKUP(A736,[1]timesData!$B:$P,10,FALSE)</f>
        <v>20.2</v>
      </c>
      <c r="L735">
        <f>VLOOKUP(A736,[1]timesData!$B:$P,11,FALSE)</f>
        <v>0.03</v>
      </c>
      <c r="M735" t="str">
        <f>VLOOKUP(A736,[1]timesData!$B:$P,12,FALSE)</f>
        <v>36 : 64</v>
      </c>
      <c r="N735">
        <f>VLOOKUP(A736,[1]timesData!$B:$P,13,FALSE)</f>
        <v>2016</v>
      </c>
      <c r="O735" t="e">
        <f>VLOOKUP(A735,[2]cwurData!$B:$P,14,FALSE)</f>
        <v>#N/A</v>
      </c>
      <c r="P735" t="e">
        <f>VLOOKUP(A735,[2]cwurData!$B:$N, 3, FALSE)</f>
        <v>#N/A</v>
      </c>
      <c r="Q735" t="e">
        <f>VLOOKUP(A735,[2]cwurData!$B:$N, 4, FALSE)</f>
        <v>#N/A</v>
      </c>
      <c r="R735" t="e">
        <f>VLOOKUP(A735,[2]cwurData!$B:$N, 5, FALSE)</f>
        <v>#N/A</v>
      </c>
      <c r="S735" t="e">
        <f>VLOOKUP(A735,[2]cwurData!$B:$N, 6, FALSE)</f>
        <v>#N/A</v>
      </c>
      <c r="T735" t="e">
        <f>VLOOKUP(A735,[2]cwurData!$B:$N, 7, FALSE)</f>
        <v>#N/A</v>
      </c>
      <c r="U735" t="e">
        <f>VLOOKUP(A735,[2]cwurData!$B:$N, 8, FALSE)</f>
        <v>#N/A</v>
      </c>
      <c r="V735" t="e">
        <f>VLOOKUP(A735,[2]cwurData!$B:$N, 9, FALSE)</f>
        <v>#N/A</v>
      </c>
      <c r="W735" t="e">
        <f>VLOOKUP(A735,[2]cwurData!$B:$N, 10, FALSE)</f>
        <v>#N/A</v>
      </c>
      <c r="X735" t="e">
        <f>VLOOKUP(A735,[2]cwurData!$B:$N, 11, FALSE)</f>
        <v>#N/A</v>
      </c>
      <c r="Y735" t="e">
        <f>VLOOKUP(A735,[2]cwurData!$B:$N, 12, FALSE)</f>
        <v>#N/A</v>
      </c>
      <c r="Z735" t="e">
        <f>VLOOKUP(A735,[2]cwurData!$B:$N, 13, FALSE)</f>
        <v>#N/A</v>
      </c>
    </row>
    <row r="736" spans="1:26" x14ac:dyDescent="0.3">
      <c r="A736" t="s">
        <v>643</v>
      </c>
      <c r="B736" t="str">
        <f>IFERROR(VLOOKUP(A736,[1]timesData!$B:$P,2,FALSE),VLOOKUP(A736,[2]cwurData!$B:$P,2,FALSE))</f>
        <v>India</v>
      </c>
      <c r="C736" t="str">
        <f>VLOOKUP(A736,[1]timesData!$B:$P,3,FALSE)</f>
        <v>601-800</v>
      </c>
      <c r="D736" t="str">
        <f>VLOOKUP(A737,[1]timesData!$B:$P,3,FALSE)</f>
        <v>601-800</v>
      </c>
      <c r="E736">
        <f>VLOOKUP(A737,[1]timesData!$B:$P,4,FALSE)</f>
        <v>18.3</v>
      </c>
      <c r="F736">
        <f>VLOOKUP(A737,[1]timesData!$B:$P,5,FALSE)</f>
        <v>15.9</v>
      </c>
      <c r="G736">
        <f>VLOOKUP(A737,[1]timesData!$B:$P,6,FALSE)</f>
        <v>30.5</v>
      </c>
      <c r="H736">
        <f>VLOOKUP(A737,[1]timesData!$B:$P,7,FALSE)</f>
        <v>38.4</v>
      </c>
      <c r="I736" t="str">
        <f>VLOOKUP(A737,[1]timesData!$B:$P,8,FALSE)</f>
        <v>-</v>
      </c>
      <c r="J736">
        <f>VLOOKUP(A737,[1]timesData!$B:$P,9,FALSE)</f>
        <v>12119</v>
      </c>
      <c r="K736">
        <f>VLOOKUP(A737,[1]timesData!$B:$P,10,FALSE)</f>
        <v>26.3</v>
      </c>
      <c r="L736">
        <f>VLOOKUP(A737,[1]timesData!$B:$P,11,FALSE)</f>
        <v>0.03</v>
      </c>
      <c r="M736">
        <f>VLOOKUP(A737,[1]timesData!$B:$P,12,FALSE)</f>
        <v>2.2409722222222221</v>
      </c>
      <c r="N736">
        <f>VLOOKUP(A737,[1]timesData!$B:$P,13,FALSE)</f>
        <v>2016</v>
      </c>
      <c r="O736" t="e">
        <f>VLOOKUP(A736,[2]cwurData!$B:$P,14,FALSE)</f>
        <v>#N/A</v>
      </c>
      <c r="P736" t="e">
        <f>VLOOKUP(A736,[2]cwurData!$B:$N, 3, FALSE)</f>
        <v>#N/A</v>
      </c>
      <c r="Q736" t="e">
        <f>VLOOKUP(A736,[2]cwurData!$B:$N, 4, FALSE)</f>
        <v>#N/A</v>
      </c>
      <c r="R736" t="e">
        <f>VLOOKUP(A736,[2]cwurData!$B:$N, 5, FALSE)</f>
        <v>#N/A</v>
      </c>
      <c r="S736" t="e">
        <f>VLOOKUP(A736,[2]cwurData!$B:$N, 6, FALSE)</f>
        <v>#N/A</v>
      </c>
      <c r="T736" t="e">
        <f>VLOOKUP(A736,[2]cwurData!$B:$N, 7, FALSE)</f>
        <v>#N/A</v>
      </c>
      <c r="U736" t="e">
        <f>VLOOKUP(A736,[2]cwurData!$B:$N, 8, FALSE)</f>
        <v>#N/A</v>
      </c>
      <c r="V736" t="e">
        <f>VLOOKUP(A736,[2]cwurData!$B:$N, 9, FALSE)</f>
        <v>#N/A</v>
      </c>
      <c r="W736" t="e">
        <f>VLOOKUP(A736,[2]cwurData!$B:$N, 10, FALSE)</f>
        <v>#N/A</v>
      </c>
      <c r="X736" t="e">
        <f>VLOOKUP(A736,[2]cwurData!$B:$N, 11, FALSE)</f>
        <v>#N/A</v>
      </c>
      <c r="Y736" t="e">
        <f>VLOOKUP(A736,[2]cwurData!$B:$N, 12, FALSE)</f>
        <v>#N/A</v>
      </c>
      <c r="Z736" t="e">
        <f>VLOOKUP(A736,[2]cwurData!$B:$N, 13, FALSE)</f>
        <v>#N/A</v>
      </c>
    </row>
    <row r="737" spans="1:26" x14ac:dyDescent="0.3">
      <c r="A737" t="s">
        <v>646</v>
      </c>
      <c r="B737" t="str">
        <f>IFERROR(VLOOKUP(A737,[1]timesData!$B:$P,2,FALSE),VLOOKUP(A737,[2]cwurData!$B:$P,2,FALSE))</f>
        <v>Taiwan</v>
      </c>
      <c r="C737" t="str">
        <f>VLOOKUP(A737,[1]timesData!$B:$P,3,FALSE)</f>
        <v>601-800</v>
      </c>
      <c r="D737" t="str">
        <f>VLOOKUP(A738,[1]timesData!$B:$P,3,FALSE)</f>
        <v>601-800</v>
      </c>
      <c r="E737">
        <f>VLOOKUP(A738,[1]timesData!$B:$P,4,FALSE)</f>
        <v>39.200000000000003</v>
      </c>
      <c r="F737">
        <f>VLOOKUP(A738,[1]timesData!$B:$P,5,FALSE)</f>
        <v>18.8</v>
      </c>
      <c r="G737">
        <f>VLOOKUP(A738,[1]timesData!$B:$P,6,FALSE)</f>
        <v>31.2</v>
      </c>
      <c r="H737">
        <f>VLOOKUP(A738,[1]timesData!$B:$P,7,FALSE)</f>
        <v>66.5</v>
      </c>
      <c r="I737" t="str">
        <f>VLOOKUP(A738,[1]timesData!$B:$P,8,FALSE)</f>
        <v>-</v>
      </c>
      <c r="J737">
        <f>VLOOKUP(A738,[1]timesData!$B:$P,9,FALSE)</f>
        <v>13167</v>
      </c>
      <c r="K737">
        <f>VLOOKUP(A738,[1]timesData!$B:$P,10,FALSE)</f>
        <v>57.5</v>
      </c>
      <c r="L737">
        <f>VLOOKUP(A738,[1]timesData!$B:$P,11,FALSE)</f>
        <v>0.06</v>
      </c>
      <c r="M737">
        <f>VLOOKUP(A738,[1]timesData!$B:$P,12,FALSE)</f>
        <v>1.9951388888888888</v>
      </c>
      <c r="N737">
        <f>VLOOKUP(A738,[1]timesData!$B:$P,13,FALSE)</f>
        <v>2016</v>
      </c>
      <c r="O737" t="e">
        <f>VLOOKUP(A737,[2]cwurData!$B:$P,14,FALSE)</f>
        <v>#N/A</v>
      </c>
      <c r="P737" t="e">
        <f>VLOOKUP(A737,[2]cwurData!$B:$N, 3, FALSE)</f>
        <v>#N/A</v>
      </c>
      <c r="Q737" t="e">
        <f>VLOOKUP(A737,[2]cwurData!$B:$N, 4, FALSE)</f>
        <v>#N/A</v>
      </c>
      <c r="R737" t="e">
        <f>VLOOKUP(A737,[2]cwurData!$B:$N, 5, FALSE)</f>
        <v>#N/A</v>
      </c>
      <c r="S737" t="e">
        <f>VLOOKUP(A737,[2]cwurData!$B:$N, 6, FALSE)</f>
        <v>#N/A</v>
      </c>
      <c r="T737" t="e">
        <f>VLOOKUP(A737,[2]cwurData!$B:$N, 7, FALSE)</f>
        <v>#N/A</v>
      </c>
      <c r="U737" t="e">
        <f>VLOOKUP(A737,[2]cwurData!$B:$N, 8, FALSE)</f>
        <v>#N/A</v>
      </c>
      <c r="V737" t="e">
        <f>VLOOKUP(A737,[2]cwurData!$B:$N, 9, FALSE)</f>
        <v>#N/A</v>
      </c>
      <c r="W737" t="e">
        <f>VLOOKUP(A737,[2]cwurData!$B:$N, 10, FALSE)</f>
        <v>#N/A</v>
      </c>
      <c r="X737" t="e">
        <f>VLOOKUP(A737,[2]cwurData!$B:$N, 11, FALSE)</f>
        <v>#N/A</v>
      </c>
      <c r="Y737" t="e">
        <f>VLOOKUP(A737,[2]cwurData!$B:$N, 12, FALSE)</f>
        <v>#N/A</v>
      </c>
      <c r="Z737" t="e">
        <f>VLOOKUP(A737,[2]cwurData!$B:$N, 13, FALSE)</f>
        <v>#N/A</v>
      </c>
    </row>
    <row r="738" spans="1:26" x14ac:dyDescent="0.3">
      <c r="A738" t="s">
        <v>647</v>
      </c>
      <c r="B738" t="str">
        <f>IFERROR(VLOOKUP(A738,[1]timesData!$B:$P,2,FALSE),VLOOKUP(A738,[2]cwurData!$B:$P,2,FALSE))</f>
        <v>Greece</v>
      </c>
      <c r="C738" t="str">
        <f>VLOOKUP(A738,[1]timesData!$B:$P,3,FALSE)</f>
        <v>601-800</v>
      </c>
      <c r="D738" t="str">
        <f>VLOOKUP(A739,[1]timesData!$B:$P,3,FALSE)</f>
        <v>601-800</v>
      </c>
      <c r="E738">
        <f>VLOOKUP(A739,[1]timesData!$B:$P,4,FALSE)</f>
        <v>95.6</v>
      </c>
      <c r="F738">
        <f>VLOOKUP(A739,[1]timesData!$B:$P,5,FALSE)</f>
        <v>9.8000000000000007</v>
      </c>
      <c r="G738">
        <f>VLOOKUP(A739,[1]timesData!$B:$P,6,FALSE)</f>
        <v>21.7</v>
      </c>
      <c r="H738">
        <f>VLOOKUP(A739,[1]timesData!$B:$P,7,FALSE)</f>
        <v>28.5</v>
      </c>
      <c r="I738" t="str">
        <f>VLOOKUP(A739,[1]timesData!$B:$P,8,FALSE)</f>
        <v>-</v>
      </c>
      <c r="J738">
        <f>VLOOKUP(A739,[1]timesData!$B:$P,9,FALSE)</f>
        <v>18981</v>
      </c>
      <c r="K738">
        <f>VLOOKUP(A739,[1]timesData!$B:$P,10,FALSE)</f>
        <v>18.100000000000001</v>
      </c>
      <c r="L738">
        <f>VLOOKUP(A739,[1]timesData!$B:$P,11,FALSE)</f>
        <v>0.38</v>
      </c>
      <c r="M738">
        <f>VLOOKUP(A739,[1]timesData!$B:$P,12,FALSE)</f>
        <v>2.4458333333333333</v>
      </c>
      <c r="N738">
        <f>VLOOKUP(A739,[1]timesData!$B:$P,13,FALSE)</f>
        <v>2016</v>
      </c>
      <c r="O738" t="e">
        <f>VLOOKUP(A738,[2]cwurData!$B:$P,14,FALSE)</f>
        <v>#N/A</v>
      </c>
      <c r="P738" t="e">
        <f>VLOOKUP(A738,[2]cwurData!$B:$N, 3, FALSE)</f>
        <v>#N/A</v>
      </c>
      <c r="Q738" t="e">
        <f>VLOOKUP(A738,[2]cwurData!$B:$N, 4, FALSE)</f>
        <v>#N/A</v>
      </c>
      <c r="R738" t="e">
        <f>VLOOKUP(A738,[2]cwurData!$B:$N, 5, FALSE)</f>
        <v>#N/A</v>
      </c>
      <c r="S738" t="e">
        <f>VLOOKUP(A738,[2]cwurData!$B:$N, 6, FALSE)</f>
        <v>#N/A</v>
      </c>
      <c r="T738" t="e">
        <f>VLOOKUP(A738,[2]cwurData!$B:$N, 7, FALSE)</f>
        <v>#N/A</v>
      </c>
      <c r="U738" t="e">
        <f>VLOOKUP(A738,[2]cwurData!$B:$N, 8, FALSE)</f>
        <v>#N/A</v>
      </c>
      <c r="V738" t="e">
        <f>VLOOKUP(A738,[2]cwurData!$B:$N, 9, FALSE)</f>
        <v>#N/A</v>
      </c>
      <c r="W738" t="e">
        <f>VLOOKUP(A738,[2]cwurData!$B:$N, 10, FALSE)</f>
        <v>#N/A</v>
      </c>
      <c r="X738" t="e">
        <f>VLOOKUP(A738,[2]cwurData!$B:$N, 11, FALSE)</f>
        <v>#N/A</v>
      </c>
      <c r="Y738" t="e">
        <f>VLOOKUP(A738,[2]cwurData!$B:$N, 12, FALSE)</f>
        <v>#N/A</v>
      </c>
      <c r="Z738" t="e">
        <f>VLOOKUP(A738,[2]cwurData!$B:$N, 13, FALSE)</f>
        <v>#N/A</v>
      </c>
    </row>
    <row r="739" spans="1:26" x14ac:dyDescent="0.3">
      <c r="A739" t="s">
        <v>648</v>
      </c>
      <c r="B739" t="str">
        <f>IFERROR(VLOOKUP(A739,[1]timesData!$B:$P,2,FALSE),VLOOKUP(A739,[2]cwurData!$B:$P,2,FALSE))</f>
        <v>New Zealand</v>
      </c>
      <c r="C739" t="str">
        <f>VLOOKUP(A739,[1]timesData!$B:$P,3,FALSE)</f>
        <v>601-800</v>
      </c>
      <c r="D739" t="str">
        <f>VLOOKUP(A740,[1]timesData!$B:$P,3,FALSE)</f>
        <v>601-800</v>
      </c>
      <c r="E739">
        <f>VLOOKUP(A740,[1]timesData!$B:$P,4,FALSE)</f>
        <v>45.2</v>
      </c>
      <c r="F739">
        <f>VLOOKUP(A740,[1]timesData!$B:$P,5,FALSE)</f>
        <v>9.6999999999999993</v>
      </c>
      <c r="G739">
        <f>VLOOKUP(A740,[1]timesData!$B:$P,6,FALSE)</f>
        <v>14.2</v>
      </c>
      <c r="H739">
        <f>VLOOKUP(A740,[1]timesData!$B:$P,7,FALSE)</f>
        <v>41.1</v>
      </c>
      <c r="I739" t="str">
        <f>VLOOKUP(A740,[1]timesData!$B:$P,8,FALSE)</f>
        <v>-</v>
      </c>
      <c r="J739">
        <f>VLOOKUP(A740,[1]timesData!$B:$P,9,FALSE)</f>
        <v>13794</v>
      </c>
      <c r="K739">
        <f>VLOOKUP(A740,[1]timesData!$B:$P,10,FALSE)</f>
        <v>17.8</v>
      </c>
      <c r="L739">
        <f>VLOOKUP(A740,[1]timesData!$B:$P,11,FALSE)</f>
        <v>0.01</v>
      </c>
      <c r="M739">
        <f>VLOOKUP(A740,[1]timesData!$B:$P,12,FALSE)</f>
        <v>1.9951388888888888</v>
      </c>
      <c r="N739">
        <f>VLOOKUP(A740,[1]timesData!$B:$P,13,FALSE)</f>
        <v>2016</v>
      </c>
      <c r="O739" t="e">
        <f>VLOOKUP(A739,[2]cwurData!$B:$P,14,FALSE)</f>
        <v>#N/A</v>
      </c>
      <c r="P739" t="e">
        <f>VLOOKUP(A739,[2]cwurData!$B:$N, 3, FALSE)</f>
        <v>#N/A</v>
      </c>
      <c r="Q739" t="e">
        <f>VLOOKUP(A739,[2]cwurData!$B:$N, 4, FALSE)</f>
        <v>#N/A</v>
      </c>
      <c r="R739" t="e">
        <f>VLOOKUP(A739,[2]cwurData!$B:$N, 5, FALSE)</f>
        <v>#N/A</v>
      </c>
      <c r="S739" t="e">
        <f>VLOOKUP(A739,[2]cwurData!$B:$N, 6, FALSE)</f>
        <v>#N/A</v>
      </c>
      <c r="T739" t="e">
        <f>VLOOKUP(A739,[2]cwurData!$B:$N, 7, FALSE)</f>
        <v>#N/A</v>
      </c>
      <c r="U739" t="e">
        <f>VLOOKUP(A739,[2]cwurData!$B:$N, 8, FALSE)</f>
        <v>#N/A</v>
      </c>
      <c r="V739" t="e">
        <f>VLOOKUP(A739,[2]cwurData!$B:$N, 9, FALSE)</f>
        <v>#N/A</v>
      </c>
      <c r="W739" t="e">
        <f>VLOOKUP(A739,[2]cwurData!$B:$N, 10, FALSE)</f>
        <v>#N/A</v>
      </c>
      <c r="X739" t="e">
        <f>VLOOKUP(A739,[2]cwurData!$B:$N, 11, FALSE)</f>
        <v>#N/A</v>
      </c>
      <c r="Y739" t="e">
        <f>VLOOKUP(A739,[2]cwurData!$B:$N, 12, FALSE)</f>
        <v>#N/A</v>
      </c>
      <c r="Z739" t="e">
        <f>VLOOKUP(A739,[2]cwurData!$B:$N, 13, FALSE)</f>
        <v>#N/A</v>
      </c>
    </row>
    <row r="740" spans="1:26" x14ac:dyDescent="0.3">
      <c r="A740" t="s">
        <v>649</v>
      </c>
      <c r="B740" t="str">
        <f>IFERROR(VLOOKUP(A740,[1]timesData!$B:$P,2,FALSE),VLOOKUP(A740,[2]cwurData!$B:$P,2,FALSE))</f>
        <v>Chile</v>
      </c>
      <c r="C740" t="str">
        <f>VLOOKUP(A740,[1]timesData!$B:$P,3,FALSE)</f>
        <v>601-800</v>
      </c>
      <c r="D740" t="str">
        <f>VLOOKUP(A741,[1]timesData!$B:$P,3,FALSE)</f>
        <v>601-800</v>
      </c>
      <c r="E740">
        <f>VLOOKUP(A741,[1]timesData!$B:$P,4,FALSE)</f>
        <v>48.2</v>
      </c>
      <c r="F740">
        <f>VLOOKUP(A741,[1]timesData!$B:$P,5,FALSE)</f>
        <v>8.6999999999999993</v>
      </c>
      <c r="G740">
        <f>VLOOKUP(A741,[1]timesData!$B:$P,6,FALSE)</f>
        <v>6</v>
      </c>
      <c r="H740">
        <f>VLOOKUP(A741,[1]timesData!$B:$P,7,FALSE)</f>
        <v>28</v>
      </c>
      <c r="I740" t="str">
        <f>VLOOKUP(A741,[1]timesData!$B:$P,8,FALSE)</f>
        <v>-</v>
      </c>
      <c r="J740">
        <f>VLOOKUP(A741,[1]timesData!$B:$P,9,FALSE)</f>
        <v>29303</v>
      </c>
      <c r="K740">
        <f>VLOOKUP(A741,[1]timesData!$B:$P,10,FALSE)</f>
        <v>10.6</v>
      </c>
      <c r="L740">
        <f>VLOOKUP(A741,[1]timesData!$B:$P,11,FALSE)</f>
        <v>0.06</v>
      </c>
      <c r="M740">
        <f>VLOOKUP(A741,[1]timesData!$B:$P,12,FALSE)</f>
        <v>2.8965277777777776</v>
      </c>
      <c r="N740">
        <f>VLOOKUP(A741,[1]timesData!$B:$P,13,FALSE)</f>
        <v>2016</v>
      </c>
      <c r="O740" t="e">
        <f>VLOOKUP(A740,[2]cwurData!$B:$P,14,FALSE)</f>
        <v>#N/A</v>
      </c>
      <c r="P740" t="e">
        <f>VLOOKUP(A740,[2]cwurData!$B:$N, 3, FALSE)</f>
        <v>#N/A</v>
      </c>
      <c r="Q740" t="e">
        <f>VLOOKUP(A740,[2]cwurData!$B:$N, 4, FALSE)</f>
        <v>#N/A</v>
      </c>
      <c r="R740" t="e">
        <f>VLOOKUP(A740,[2]cwurData!$B:$N, 5, FALSE)</f>
        <v>#N/A</v>
      </c>
      <c r="S740" t="e">
        <f>VLOOKUP(A740,[2]cwurData!$B:$N, 6, FALSE)</f>
        <v>#N/A</v>
      </c>
      <c r="T740" t="e">
        <f>VLOOKUP(A740,[2]cwurData!$B:$N, 7, FALSE)</f>
        <v>#N/A</v>
      </c>
      <c r="U740" t="e">
        <f>VLOOKUP(A740,[2]cwurData!$B:$N, 8, FALSE)</f>
        <v>#N/A</v>
      </c>
      <c r="V740" t="e">
        <f>VLOOKUP(A740,[2]cwurData!$B:$N, 9, FALSE)</f>
        <v>#N/A</v>
      </c>
      <c r="W740" t="e">
        <f>VLOOKUP(A740,[2]cwurData!$B:$N, 10, FALSE)</f>
        <v>#N/A</v>
      </c>
      <c r="X740" t="e">
        <f>VLOOKUP(A740,[2]cwurData!$B:$N, 11, FALSE)</f>
        <v>#N/A</v>
      </c>
      <c r="Y740" t="e">
        <f>VLOOKUP(A740,[2]cwurData!$B:$N, 12, FALSE)</f>
        <v>#N/A</v>
      </c>
      <c r="Z740" t="e">
        <f>VLOOKUP(A740,[2]cwurData!$B:$N, 13, FALSE)</f>
        <v>#N/A</v>
      </c>
    </row>
    <row r="741" spans="1:26" x14ac:dyDescent="0.3">
      <c r="A741" t="s">
        <v>651</v>
      </c>
      <c r="B741" t="str">
        <f>IFERROR(VLOOKUP(A741,[1]timesData!$B:$P,2,FALSE),VLOOKUP(A741,[2]cwurData!$B:$P,2,FALSE))</f>
        <v>Belarus</v>
      </c>
      <c r="C741" t="str">
        <f>VLOOKUP(A741,[1]timesData!$B:$P,3,FALSE)</f>
        <v>601-800</v>
      </c>
      <c r="D741" t="str">
        <f>VLOOKUP(A742,[1]timesData!$B:$P,3,FALSE)</f>
        <v>601-800</v>
      </c>
      <c r="E741">
        <f>VLOOKUP(A742,[1]timesData!$B:$P,4,FALSE)</f>
        <v>13.7</v>
      </c>
      <c r="F741">
        <f>VLOOKUP(A742,[1]timesData!$B:$P,5,FALSE)</f>
        <v>8.3000000000000007</v>
      </c>
      <c r="G741">
        <f>VLOOKUP(A742,[1]timesData!$B:$P,6,FALSE)</f>
        <v>17.399999999999999</v>
      </c>
      <c r="H741">
        <f>VLOOKUP(A742,[1]timesData!$B:$P,7,FALSE)</f>
        <v>29.6</v>
      </c>
      <c r="I741" t="str">
        <f>VLOOKUP(A742,[1]timesData!$B:$P,8,FALSE)</f>
        <v>-</v>
      </c>
      <c r="J741">
        <f>VLOOKUP(A742,[1]timesData!$B:$P,9,FALSE)</f>
        <v>11837</v>
      </c>
      <c r="K741">
        <f>VLOOKUP(A742,[1]timesData!$B:$P,10,FALSE)</f>
        <v>19.5</v>
      </c>
      <c r="L741">
        <f>VLOOKUP(A742,[1]timesData!$B:$P,11,FALSE)</f>
        <v>0</v>
      </c>
      <c r="M741">
        <f>VLOOKUP(A742,[1]timesData!$B:$P,12,FALSE)</f>
        <v>0.97083333333333333</v>
      </c>
      <c r="N741">
        <f>VLOOKUP(A742,[1]timesData!$B:$P,13,FALSE)</f>
        <v>2016</v>
      </c>
      <c r="O741" t="e">
        <f>VLOOKUP(A741,[2]cwurData!$B:$P,14,FALSE)</f>
        <v>#N/A</v>
      </c>
      <c r="P741" t="e">
        <f>VLOOKUP(A741,[2]cwurData!$B:$N, 3, FALSE)</f>
        <v>#N/A</v>
      </c>
      <c r="Q741" t="e">
        <f>VLOOKUP(A741,[2]cwurData!$B:$N, 4, FALSE)</f>
        <v>#N/A</v>
      </c>
      <c r="R741" t="e">
        <f>VLOOKUP(A741,[2]cwurData!$B:$N, 5, FALSE)</f>
        <v>#N/A</v>
      </c>
      <c r="S741" t="e">
        <f>VLOOKUP(A741,[2]cwurData!$B:$N, 6, FALSE)</f>
        <v>#N/A</v>
      </c>
      <c r="T741" t="e">
        <f>VLOOKUP(A741,[2]cwurData!$B:$N, 7, FALSE)</f>
        <v>#N/A</v>
      </c>
      <c r="U741" t="e">
        <f>VLOOKUP(A741,[2]cwurData!$B:$N, 8, FALSE)</f>
        <v>#N/A</v>
      </c>
      <c r="V741" t="e">
        <f>VLOOKUP(A741,[2]cwurData!$B:$N, 9, FALSE)</f>
        <v>#N/A</v>
      </c>
      <c r="W741" t="e">
        <f>VLOOKUP(A741,[2]cwurData!$B:$N, 10, FALSE)</f>
        <v>#N/A</v>
      </c>
      <c r="X741" t="e">
        <f>VLOOKUP(A741,[2]cwurData!$B:$N, 11, FALSE)</f>
        <v>#N/A</v>
      </c>
      <c r="Y741" t="e">
        <f>VLOOKUP(A741,[2]cwurData!$B:$N, 12, FALSE)</f>
        <v>#N/A</v>
      </c>
      <c r="Z741" t="e">
        <f>VLOOKUP(A741,[2]cwurData!$B:$N, 13, FALSE)</f>
        <v>#N/A</v>
      </c>
    </row>
    <row r="742" spans="1:26" x14ac:dyDescent="0.3">
      <c r="A742" t="s">
        <v>653</v>
      </c>
      <c r="B742" t="str">
        <f>IFERROR(VLOOKUP(A742,[1]timesData!$B:$P,2,FALSE),VLOOKUP(A742,[2]cwurData!$B:$P,2,FALSE))</f>
        <v>India</v>
      </c>
      <c r="C742" t="str">
        <f>VLOOKUP(A742,[1]timesData!$B:$P,3,FALSE)</f>
        <v>601-800</v>
      </c>
      <c r="D742" t="str">
        <f>VLOOKUP(A743,[1]timesData!$B:$P,3,FALSE)</f>
        <v>601-800</v>
      </c>
      <c r="E742">
        <f>VLOOKUP(A743,[1]timesData!$B:$P,4,FALSE)</f>
        <v>18.899999999999999</v>
      </c>
      <c r="F742">
        <f>VLOOKUP(A743,[1]timesData!$B:$P,5,FALSE)</f>
        <v>10.4</v>
      </c>
      <c r="G742">
        <f>VLOOKUP(A743,[1]timesData!$B:$P,6,FALSE)</f>
        <v>23.3</v>
      </c>
      <c r="H742" t="str">
        <f>VLOOKUP(A743,[1]timesData!$B:$P,7,FALSE)</f>
        <v>-</v>
      </c>
      <c r="I742" t="str">
        <f>VLOOKUP(A743,[1]timesData!$B:$P,8,FALSE)</f>
        <v>-</v>
      </c>
      <c r="J742">
        <f>VLOOKUP(A743,[1]timesData!$B:$P,9,FALSE)</f>
        <v>29594</v>
      </c>
      <c r="K742">
        <f>VLOOKUP(A743,[1]timesData!$B:$P,10,FALSE)</f>
        <v>32.299999999999997</v>
      </c>
      <c r="L742">
        <f>VLOOKUP(A743,[1]timesData!$B:$P,11,FALSE)</f>
        <v>0.05</v>
      </c>
      <c r="M742">
        <f>VLOOKUP(A743,[1]timesData!$B:$P,12,FALSE)</f>
        <v>2.4458333333333333</v>
      </c>
      <c r="N742">
        <f>VLOOKUP(A743,[1]timesData!$B:$P,13,FALSE)</f>
        <v>2016</v>
      </c>
      <c r="O742" t="e">
        <f>VLOOKUP(A742,[2]cwurData!$B:$P,14,FALSE)</f>
        <v>#N/A</v>
      </c>
      <c r="P742" t="e">
        <f>VLOOKUP(A742,[2]cwurData!$B:$N, 3, FALSE)</f>
        <v>#N/A</v>
      </c>
      <c r="Q742" t="e">
        <f>VLOOKUP(A742,[2]cwurData!$B:$N, 4, FALSE)</f>
        <v>#N/A</v>
      </c>
      <c r="R742" t="e">
        <f>VLOOKUP(A742,[2]cwurData!$B:$N, 5, FALSE)</f>
        <v>#N/A</v>
      </c>
      <c r="S742" t="e">
        <f>VLOOKUP(A742,[2]cwurData!$B:$N, 6, FALSE)</f>
        <v>#N/A</v>
      </c>
      <c r="T742" t="e">
        <f>VLOOKUP(A742,[2]cwurData!$B:$N, 7, FALSE)</f>
        <v>#N/A</v>
      </c>
      <c r="U742" t="e">
        <f>VLOOKUP(A742,[2]cwurData!$B:$N, 8, FALSE)</f>
        <v>#N/A</v>
      </c>
      <c r="V742" t="e">
        <f>VLOOKUP(A742,[2]cwurData!$B:$N, 9, FALSE)</f>
        <v>#N/A</v>
      </c>
      <c r="W742" t="e">
        <f>VLOOKUP(A742,[2]cwurData!$B:$N, 10, FALSE)</f>
        <v>#N/A</v>
      </c>
      <c r="X742" t="e">
        <f>VLOOKUP(A742,[2]cwurData!$B:$N, 11, FALSE)</f>
        <v>#N/A</v>
      </c>
      <c r="Y742" t="e">
        <f>VLOOKUP(A742,[2]cwurData!$B:$N, 12, FALSE)</f>
        <v>#N/A</v>
      </c>
      <c r="Z742" t="e">
        <f>VLOOKUP(A742,[2]cwurData!$B:$N, 13, FALSE)</f>
        <v>#N/A</v>
      </c>
    </row>
    <row r="743" spans="1:26" x14ac:dyDescent="0.3">
      <c r="A743" t="s">
        <v>661</v>
      </c>
      <c r="B743" t="str">
        <f>IFERROR(VLOOKUP(A743,[1]timesData!$B:$P,2,FALSE),VLOOKUP(A743,[2]cwurData!$B:$P,2,FALSE))</f>
        <v>United States of America</v>
      </c>
      <c r="C743" t="str">
        <f>VLOOKUP(A743,[1]timesData!$B:$P,3,FALSE)</f>
        <v>601-800</v>
      </c>
      <c r="D743" t="str">
        <f>VLOOKUP(A744,[1]timesData!$B:$P,3,FALSE)</f>
        <v>601-800</v>
      </c>
      <c r="E743">
        <f>VLOOKUP(A744,[1]timesData!$B:$P,4,FALSE)</f>
        <v>15.9</v>
      </c>
      <c r="F743">
        <f>VLOOKUP(A744,[1]timesData!$B:$P,5,FALSE)</f>
        <v>26.6</v>
      </c>
      <c r="G743">
        <f>VLOOKUP(A744,[1]timesData!$B:$P,6,FALSE)</f>
        <v>4</v>
      </c>
      <c r="H743">
        <f>VLOOKUP(A744,[1]timesData!$B:$P,7,FALSE)</f>
        <v>100</v>
      </c>
      <c r="I743" t="str">
        <f>VLOOKUP(A744,[1]timesData!$B:$P,8,FALSE)</f>
        <v>-</v>
      </c>
      <c r="J743">
        <f>VLOOKUP(A744,[1]timesData!$B:$P,9,FALSE)</f>
        <v>14579</v>
      </c>
      <c r="K743">
        <f>VLOOKUP(A744,[1]timesData!$B:$P,10,FALSE)</f>
        <v>19.399999999999999</v>
      </c>
      <c r="L743">
        <f>VLOOKUP(A744,[1]timesData!$B:$P,11,FALSE)</f>
        <v>0.06</v>
      </c>
      <c r="M743">
        <f>VLOOKUP(A744,[1]timesData!$B:$P,12,FALSE)</f>
        <v>0</v>
      </c>
      <c r="N743">
        <f>VLOOKUP(A744,[1]timesData!$B:$P,13,FALSE)</f>
        <v>2016</v>
      </c>
      <c r="O743" t="e">
        <f>VLOOKUP(A743,[2]cwurData!$B:$P,14,FALSE)</f>
        <v>#N/A</v>
      </c>
      <c r="P743" t="e">
        <f>VLOOKUP(A743,[2]cwurData!$B:$N, 3, FALSE)</f>
        <v>#N/A</v>
      </c>
      <c r="Q743" t="e">
        <f>VLOOKUP(A743,[2]cwurData!$B:$N, 4, FALSE)</f>
        <v>#N/A</v>
      </c>
      <c r="R743" t="e">
        <f>VLOOKUP(A743,[2]cwurData!$B:$N, 5, FALSE)</f>
        <v>#N/A</v>
      </c>
      <c r="S743" t="e">
        <f>VLOOKUP(A743,[2]cwurData!$B:$N, 6, FALSE)</f>
        <v>#N/A</v>
      </c>
      <c r="T743" t="e">
        <f>VLOOKUP(A743,[2]cwurData!$B:$N, 7, FALSE)</f>
        <v>#N/A</v>
      </c>
      <c r="U743" t="e">
        <f>VLOOKUP(A743,[2]cwurData!$B:$N, 8, FALSE)</f>
        <v>#N/A</v>
      </c>
      <c r="V743" t="e">
        <f>VLOOKUP(A743,[2]cwurData!$B:$N, 9, FALSE)</f>
        <v>#N/A</v>
      </c>
      <c r="W743" t="e">
        <f>VLOOKUP(A743,[2]cwurData!$B:$N, 10, FALSE)</f>
        <v>#N/A</v>
      </c>
      <c r="X743" t="e">
        <f>VLOOKUP(A743,[2]cwurData!$B:$N, 11, FALSE)</f>
        <v>#N/A</v>
      </c>
      <c r="Y743" t="e">
        <f>VLOOKUP(A743,[2]cwurData!$B:$N, 12, FALSE)</f>
        <v>#N/A</v>
      </c>
      <c r="Z743" t="e">
        <f>VLOOKUP(A743,[2]cwurData!$B:$N, 13, FALSE)</f>
        <v>#N/A</v>
      </c>
    </row>
    <row r="744" spans="1:26" x14ac:dyDescent="0.3">
      <c r="A744" t="s">
        <v>672</v>
      </c>
      <c r="B744" t="str">
        <f>IFERROR(VLOOKUP(A744,[1]timesData!$B:$P,2,FALSE),VLOOKUP(A744,[2]cwurData!$B:$P,2,FALSE))</f>
        <v>China</v>
      </c>
      <c r="C744" t="str">
        <f>VLOOKUP(A744,[1]timesData!$B:$P,3,FALSE)</f>
        <v>601-800</v>
      </c>
      <c r="D744" t="str">
        <f>VLOOKUP(A745,[1]timesData!$B:$P,3,FALSE)</f>
        <v>601-800</v>
      </c>
      <c r="E744">
        <f>VLOOKUP(A745,[1]timesData!$B:$P,4,FALSE)</f>
        <v>69.599999999999994</v>
      </c>
      <c r="F744">
        <f>VLOOKUP(A745,[1]timesData!$B:$P,5,FALSE)</f>
        <v>7.7</v>
      </c>
      <c r="G744">
        <f>VLOOKUP(A745,[1]timesData!$B:$P,6,FALSE)</f>
        <v>18.399999999999999</v>
      </c>
      <c r="H744">
        <f>VLOOKUP(A745,[1]timesData!$B:$P,7,FALSE)</f>
        <v>29.1</v>
      </c>
      <c r="I744" t="str">
        <f>VLOOKUP(A745,[1]timesData!$B:$P,8,FALSE)</f>
        <v>-</v>
      </c>
      <c r="J744">
        <f>VLOOKUP(A745,[1]timesData!$B:$P,9,FALSE)</f>
        <v>21934</v>
      </c>
      <c r="K744">
        <f>VLOOKUP(A745,[1]timesData!$B:$P,10,FALSE)</f>
        <v>14.8</v>
      </c>
      <c r="L744">
        <f>VLOOKUP(A745,[1]timesData!$B:$P,11,FALSE)</f>
        <v>0.35</v>
      </c>
      <c r="M744">
        <f>VLOOKUP(A745,[1]timesData!$B:$P,12,FALSE)</f>
        <v>1.9951388888888888</v>
      </c>
      <c r="N744">
        <f>VLOOKUP(A745,[1]timesData!$B:$P,13,FALSE)</f>
        <v>2016</v>
      </c>
      <c r="O744" t="e">
        <f>VLOOKUP(A744,[2]cwurData!$B:$P,14,FALSE)</f>
        <v>#N/A</v>
      </c>
      <c r="P744" t="e">
        <f>VLOOKUP(A744,[2]cwurData!$B:$N, 3, FALSE)</f>
        <v>#N/A</v>
      </c>
      <c r="Q744" t="e">
        <f>VLOOKUP(A744,[2]cwurData!$B:$N, 4, FALSE)</f>
        <v>#N/A</v>
      </c>
      <c r="R744" t="e">
        <f>VLOOKUP(A744,[2]cwurData!$B:$N, 5, FALSE)</f>
        <v>#N/A</v>
      </c>
      <c r="S744" t="e">
        <f>VLOOKUP(A744,[2]cwurData!$B:$N, 6, FALSE)</f>
        <v>#N/A</v>
      </c>
      <c r="T744" t="e">
        <f>VLOOKUP(A744,[2]cwurData!$B:$N, 7, FALSE)</f>
        <v>#N/A</v>
      </c>
      <c r="U744" t="e">
        <f>VLOOKUP(A744,[2]cwurData!$B:$N, 8, FALSE)</f>
        <v>#N/A</v>
      </c>
      <c r="V744" t="e">
        <f>VLOOKUP(A744,[2]cwurData!$B:$N, 9, FALSE)</f>
        <v>#N/A</v>
      </c>
      <c r="W744" t="e">
        <f>VLOOKUP(A744,[2]cwurData!$B:$N, 10, FALSE)</f>
        <v>#N/A</v>
      </c>
      <c r="X744" t="e">
        <f>VLOOKUP(A744,[2]cwurData!$B:$N, 11, FALSE)</f>
        <v>#N/A</v>
      </c>
      <c r="Y744" t="e">
        <f>VLOOKUP(A744,[2]cwurData!$B:$N, 12, FALSE)</f>
        <v>#N/A</v>
      </c>
      <c r="Z744" t="e">
        <f>VLOOKUP(A744,[2]cwurData!$B:$N, 13, FALSE)</f>
        <v>#N/A</v>
      </c>
    </row>
    <row r="745" spans="1:26" x14ac:dyDescent="0.3">
      <c r="A745" t="s">
        <v>680</v>
      </c>
      <c r="B745" t="str">
        <f>IFERROR(VLOOKUP(A745,[1]timesData!$B:$P,2,FALSE),VLOOKUP(A745,[2]cwurData!$B:$P,2,FALSE))</f>
        <v>United Kingdom</v>
      </c>
      <c r="C745" t="str">
        <f>VLOOKUP(A745,[1]timesData!$B:$P,3,FALSE)</f>
        <v>601-800</v>
      </c>
      <c r="D745" t="str">
        <f>VLOOKUP(A746,[1]timesData!$B:$P,3,FALSE)</f>
        <v>601-800</v>
      </c>
      <c r="E745">
        <f>VLOOKUP(A746,[1]timesData!$B:$P,4,FALSE)</f>
        <v>70.5</v>
      </c>
      <c r="F745">
        <f>VLOOKUP(A746,[1]timesData!$B:$P,5,FALSE)</f>
        <v>8.8000000000000007</v>
      </c>
      <c r="G745">
        <f>VLOOKUP(A746,[1]timesData!$B:$P,6,FALSE)</f>
        <v>20.7</v>
      </c>
      <c r="H745">
        <f>VLOOKUP(A746,[1]timesData!$B:$P,7,FALSE)</f>
        <v>28.1</v>
      </c>
      <c r="I745" t="str">
        <f>VLOOKUP(A746,[1]timesData!$B:$P,8,FALSE)</f>
        <v>-</v>
      </c>
      <c r="J745">
        <f>VLOOKUP(A746,[1]timesData!$B:$P,9,FALSE)</f>
        <v>13839</v>
      </c>
      <c r="K745">
        <f>VLOOKUP(A746,[1]timesData!$B:$P,10,FALSE)</f>
        <v>18.899999999999999</v>
      </c>
      <c r="L745">
        <f>VLOOKUP(A746,[1]timesData!$B:$P,11,FALSE)</f>
        <v>0.25</v>
      </c>
      <c r="M745">
        <f>VLOOKUP(A746,[1]timesData!$B:$P,12,FALSE)</f>
        <v>1.7493055555555554</v>
      </c>
      <c r="N745">
        <f>VLOOKUP(A746,[1]timesData!$B:$P,13,FALSE)</f>
        <v>2016</v>
      </c>
      <c r="O745" t="e">
        <f>VLOOKUP(A745,[2]cwurData!$B:$P,14,FALSE)</f>
        <v>#N/A</v>
      </c>
      <c r="P745" t="e">
        <f>VLOOKUP(A745,[2]cwurData!$B:$N, 3, FALSE)</f>
        <v>#N/A</v>
      </c>
      <c r="Q745" t="e">
        <f>VLOOKUP(A745,[2]cwurData!$B:$N, 4, FALSE)</f>
        <v>#N/A</v>
      </c>
      <c r="R745" t="e">
        <f>VLOOKUP(A745,[2]cwurData!$B:$N, 5, FALSE)</f>
        <v>#N/A</v>
      </c>
      <c r="S745" t="e">
        <f>VLOOKUP(A745,[2]cwurData!$B:$N, 6, FALSE)</f>
        <v>#N/A</v>
      </c>
      <c r="T745" t="e">
        <f>VLOOKUP(A745,[2]cwurData!$B:$N, 7, FALSE)</f>
        <v>#N/A</v>
      </c>
      <c r="U745" t="e">
        <f>VLOOKUP(A745,[2]cwurData!$B:$N, 8, FALSE)</f>
        <v>#N/A</v>
      </c>
      <c r="V745" t="e">
        <f>VLOOKUP(A745,[2]cwurData!$B:$N, 9, FALSE)</f>
        <v>#N/A</v>
      </c>
      <c r="W745" t="e">
        <f>VLOOKUP(A745,[2]cwurData!$B:$N, 10, FALSE)</f>
        <v>#N/A</v>
      </c>
      <c r="X745" t="e">
        <f>VLOOKUP(A745,[2]cwurData!$B:$N, 11, FALSE)</f>
        <v>#N/A</v>
      </c>
      <c r="Y745" t="e">
        <f>VLOOKUP(A745,[2]cwurData!$B:$N, 12, FALSE)</f>
        <v>#N/A</v>
      </c>
      <c r="Z745" t="e">
        <f>VLOOKUP(A745,[2]cwurData!$B:$N, 13, FALSE)</f>
        <v>#N/A</v>
      </c>
    </row>
    <row r="746" spans="1:26" x14ac:dyDescent="0.3">
      <c r="A746" t="s">
        <v>685</v>
      </c>
      <c r="B746" t="str">
        <f>IFERROR(VLOOKUP(A746,[1]timesData!$B:$P,2,FALSE),VLOOKUP(A746,[2]cwurData!$B:$P,2,FALSE))</f>
        <v>Republic of Ireland</v>
      </c>
      <c r="C746" t="str">
        <f>VLOOKUP(A746,[1]timesData!$B:$P,3,FALSE)</f>
        <v>601-800</v>
      </c>
      <c r="D746" t="str">
        <f>VLOOKUP(A747,[1]timesData!$B:$P,3,FALSE)</f>
        <v>601-800</v>
      </c>
      <c r="E746">
        <f>VLOOKUP(A747,[1]timesData!$B:$P,4,FALSE)</f>
        <v>17.2</v>
      </c>
      <c r="F746">
        <f>VLOOKUP(A747,[1]timesData!$B:$P,5,FALSE)</f>
        <v>10.9</v>
      </c>
      <c r="G746">
        <f>VLOOKUP(A747,[1]timesData!$B:$P,6,FALSE)</f>
        <v>18</v>
      </c>
      <c r="H746">
        <f>VLOOKUP(A747,[1]timesData!$B:$P,7,FALSE)</f>
        <v>30.3</v>
      </c>
      <c r="I746" t="str">
        <f>VLOOKUP(A747,[1]timesData!$B:$P,8,FALSE)</f>
        <v>-</v>
      </c>
      <c r="J746">
        <f>VLOOKUP(A747,[1]timesData!$B:$P,9,FALSE)</f>
        <v>28079</v>
      </c>
      <c r="K746">
        <f>VLOOKUP(A747,[1]timesData!$B:$P,10,FALSE)</f>
        <v>28</v>
      </c>
      <c r="L746">
        <f>VLOOKUP(A747,[1]timesData!$B:$P,11,FALSE)</f>
        <v>0.02</v>
      </c>
      <c r="M746">
        <f>VLOOKUP(A747,[1]timesData!$B:$P,12,FALSE)</f>
        <v>1.9541666666666666</v>
      </c>
      <c r="N746">
        <f>VLOOKUP(A747,[1]timesData!$B:$P,13,FALSE)</f>
        <v>2016</v>
      </c>
      <c r="O746" t="e">
        <f>VLOOKUP(A746,[2]cwurData!$B:$P,14,FALSE)</f>
        <v>#N/A</v>
      </c>
      <c r="P746" t="e">
        <f>VLOOKUP(A746,[2]cwurData!$B:$N, 3, FALSE)</f>
        <v>#N/A</v>
      </c>
      <c r="Q746" t="e">
        <f>VLOOKUP(A746,[2]cwurData!$B:$N, 4, FALSE)</f>
        <v>#N/A</v>
      </c>
      <c r="R746" t="e">
        <f>VLOOKUP(A746,[2]cwurData!$B:$N, 5, FALSE)</f>
        <v>#N/A</v>
      </c>
      <c r="S746" t="e">
        <f>VLOOKUP(A746,[2]cwurData!$B:$N, 6, FALSE)</f>
        <v>#N/A</v>
      </c>
      <c r="T746" t="e">
        <f>VLOOKUP(A746,[2]cwurData!$B:$N, 7, FALSE)</f>
        <v>#N/A</v>
      </c>
      <c r="U746" t="e">
        <f>VLOOKUP(A746,[2]cwurData!$B:$N, 8, FALSE)</f>
        <v>#N/A</v>
      </c>
      <c r="V746" t="e">
        <f>VLOOKUP(A746,[2]cwurData!$B:$N, 9, FALSE)</f>
        <v>#N/A</v>
      </c>
      <c r="W746" t="e">
        <f>VLOOKUP(A746,[2]cwurData!$B:$N, 10, FALSE)</f>
        <v>#N/A</v>
      </c>
      <c r="X746" t="e">
        <f>VLOOKUP(A746,[2]cwurData!$B:$N, 11, FALSE)</f>
        <v>#N/A</v>
      </c>
      <c r="Y746" t="e">
        <f>VLOOKUP(A746,[2]cwurData!$B:$N, 12, FALSE)</f>
        <v>#N/A</v>
      </c>
      <c r="Z746" t="e">
        <f>VLOOKUP(A746,[2]cwurData!$B:$N, 13, FALSE)</f>
        <v>#N/A</v>
      </c>
    </row>
    <row r="747" spans="1:26" x14ac:dyDescent="0.3">
      <c r="A747" t="s">
        <v>689</v>
      </c>
      <c r="B747" t="str">
        <f>IFERROR(VLOOKUP(A747,[1]timesData!$B:$P,2,FALSE),VLOOKUP(A747,[2]cwurData!$B:$P,2,FALSE))</f>
        <v>Turkey</v>
      </c>
      <c r="C747" t="str">
        <f>VLOOKUP(A747,[1]timesData!$B:$P,3,FALSE)</f>
        <v>601-800</v>
      </c>
      <c r="D747" t="str">
        <f>VLOOKUP(A748,[1]timesData!$B:$P,3,FALSE)</f>
        <v>601-800</v>
      </c>
      <c r="E747">
        <f>VLOOKUP(A748,[1]timesData!$B:$P,4,FALSE)</f>
        <v>14.5</v>
      </c>
      <c r="F747">
        <f>VLOOKUP(A748,[1]timesData!$B:$P,5,FALSE)</f>
        <v>16.399999999999999</v>
      </c>
      <c r="G747">
        <f>VLOOKUP(A748,[1]timesData!$B:$P,6,FALSE)</f>
        <v>3</v>
      </c>
      <c r="H747" t="str">
        <f>VLOOKUP(A748,[1]timesData!$B:$P,7,FALSE)</f>
        <v>-</v>
      </c>
      <c r="I747" t="str">
        <f>VLOOKUP(A748,[1]timesData!$B:$P,8,FALSE)</f>
        <v>-</v>
      </c>
      <c r="J747">
        <f>VLOOKUP(A748,[1]timesData!$B:$P,9,FALSE)</f>
        <v>10350</v>
      </c>
      <c r="K747">
        <f>VLOOKUP(A748,[1]timesData!$B:$P,10,FALSE)</f>
        <v>20.9</v>
      </c>
      <c r="L747">
        <f>VLOOKUP(A748,[1]timesData!$B:$P,11,FALSE)</f>
        <v>0.02</v>
      </c>
      <c r="M747">
        <f>VLOOKUP(A748,[1]timesData!$B:$P,12,FALSE)</f>
        <v>2.2409722222222221</v>
      </c>
      <c r="N747">
        <f>VLOOKUP(A748,[1]timesData!$B:$P,13,FALSE)</f>
        <v>2016</v>
      </c>
      <c r="O747" t="e">
        <f>VLOOKUP(A747,[2]cwurData!$B:$P,14,FALSE)</f>
        <v>#N/A</v>
      </c>
      <c r="P747" t="e">
        <f>VLOOKUP(A747,[2]cwurData!$B:$N, 3, FALSE)</f>
        <v>#N/A</v>
      </c>
      <c r="Q747" t="e">
        <f>VLOOKUP(A747,[2]cwurData!$B:$N, 4, FALSE)</f>
        <v>#N/A</v>
      </c>
      <c r="R747" t="e">
        <f>VLOOKUP(A747,[2]cwurData!$B:$N, 5, FALSE)</f>
        <v>#N/A</v>
      </c>
      <c r="S747" t="e">
        <f>VLOOKUP(A747,[2]cwurData!$B:$N, 6, FALSE)</f>
        <v>#N/A</v>
      </c>
      <c r="T747" t="e">
        <f>VLOOKUP(A747,[2]cwurData!$B:$N, 7, FALSE)</f>
        <v>#N/A</v>
      </c>
      <c r="U747" t="e">
        <f>VLOOKUP(A747,[2]cwurData!$B:$N, 8, FALSE)</f>
        <v>#N/A</v>
      </c>
      <c r="V747" t="e">
        <f>VLOOKUP(A747,[2]cwurData!$B:$N, 9, FALSE)</f>
        <v>#N/A</v>
      </c>
      <c r="W747" t="e">
        <f>VLOOKUP(A747,[2]cwurData!$B:$N, 10, FALSE)</f>
        <v>#N/A</v>
      </c>
      <c r="X747" t="e">
        <f>VLOOKUP(A747,[2]cwurData!$B:$N, 11, FALSE)</f>
        <v>#N/A</v>
      </c>
      <c r="Y747" t="e">
        <f>VLOOKUP(A747,[2]cwurData!$B:$N, 12, FALSE)</f>
        <v>#N/A</v>
      </c>
      <c r="Z747" t="e">
        <f>VLOOKUP(A747,[2]cwurData!$B:$N, 13, FALSE)</f>
        <v>#N/A</v>
      </c>
    </row>
    <row r="748" spans="1:26" x14ac:dyDescent="0.3">
      <c r="A748" t="s">
        <v>697</v>
      </c>
      <c r="B748" t="str">
        <f>IFERROR(VLOOKUP(A748,[1]timesData!$B:$P,2,FALSE),VLOOKUP(A748,[2]cwurData!$B:$P,2,FALSE))</f>
        <v>Brazil</v>
      </c>
      <c r="C748" t="str">
        <f>VLOOKUP(A748,[1]timesData!$B:$P,3,FALSE)</f>
        <v>601-800</v>
      </c>
      <c r="D748" t="str">
        <f>VLOOKUP(A749,[1]timesData!$B:$P,3,FALSE)</f>
        <v>601-800</v>
      </c>
      <c r="E748">
        <f>VLOOKUP(A749,[1]timesData!$B:$P,4,FALSE)</f>
        <v>15.5</v>
      </c>
      <c r="F748">
        <f>VLOOKUP(A749,[1]timesData!$B:$P,5,FALSE)</f>
        <v>9.6</v>
      </c>
      <c r="G748">
        <f>VLOOKUP(A749,[1]timesData!$B:$P,6,FALSE)</f>
        <v>7</v>
      </c>
      <c r="H748" t="str">
        <f>VLOOKUP(A749,[1]timesData!$B:$P,7,FALSE)</f>
        <v>-</v>
      </c>
      <c r="I748" t="str">
        <f>VLOOKUP(A749,[1]timesData!$B:$P,8,FALSE)</f>
        <v>-</v>
      </c>
      <c r="J748">
        <f>VLOOKUP(A749,[1]timesData!$B:$P,9,FALSE)</f>
        <v>21850</v>
      </c>
      <c r="K748">
        <f>VLOOKUP(A749,[1]timesData!$B:$P,10,FALSE)</f>
        <v>11.2</v>
      </c>
      <c r="L748">
        <f>VLOOKUP(A749,[1]timesData!$B:$P,11,FALSE)</f>
        <v>0.01</v>
      </c>
      <c r="M748">
        <f>VLOOKUP(A749,[1]timesData!$B:$P,12,FALSE)</f>
        <v>0</v>
      </c>
      <c r="N748">
        <f>VLOOKUP(A749,[1]timesData!$B:$P,13,FALSE)</f>
        <v>2016</v>
      </c>
      <c r="O748" t="e">
        <f>VLOOKUP(A748,[2]cwurData!$B:$P,14,FALSE)</f>
        <v>#N/A</v>
      </c>
      <c r="P748" t="e">
        <f>VLOOKUP(A748,[2]cwurData!$B:$N, 3, FALSE)</f>
        <v>#N/A</v>
      </c>
      <c r="Q748" t="e">
        <f>VLOOKUP(A748,[2]cwurData!$B:$N, 4, FALSE)</f>
        <v>#N/A</v>
      </c>
      <c r="R748" t="e">
        <f>VLOOKUP(A748,[2]cwurData!$B:$N, 5, FALSE)</f>
        <v>#N/A</v>
      </c>
      <c r="S748" t="e">
        <f>VLOOKUP(A748,[2]cwurData!$B:$N, 6, FALSE)</f>
        <v>#N/A</v>
      </c>
      <c r="T748" t="e">
        <f>VLOOKUP(A748,[2]cwurData!$B:$N, 7, FALSE)</f>
        <v>#N/A</v>
      </c>
      <c r="U748" t="e">
        <f>VLOOKUP(A748,[2]cwurData!$B:$N, 8, FALSE)</f>
        <v>#N/A</v>
      </c>
      <c r="V748" t="e">
        <f>VLOOKUP(A748,[2]cwurData!$B:$N, 9, FALSE)</f>
        <v>#N/A</v>
      </c>
      <c r="W748" t="e">
        <f>VLOOKUP(A748,[2]cwurData!$B:$N, 10, FALSE)</f>
        <v>#N/A</v>
      </c>
      <c r="X748" t="e">
        <f>VLOOKUP(A748,[2]cwurData!$B:$N, 11, FALSE)</f>
        <v>#N/A</v>
      </c>
      <c r="Y748" t="e">
        <f>VLOOKUP(A748,[2]cwurData!$B:$N, 12, FALSE)</f>
        <v>#N/A</v>
      </c>
      <c r="Z748" t="e">
        <f>VLOOKUP(A748,[2]cwurData!$B:$N, 13, FALSE)</f>
        <v>#N/A</v>
      </c>
    </row>
    <row r="749" spans="1:26" x14ac:dyDescent="0.3">
      <c r="A749" t="s">
        <v>692</v>
      </c>
      <c r="B749" t="str">
        <f>IFERROR(VLOOKUP(A749,[1]timesData!$B:$P,2,FALSE),VLOOKUP(A749,[2]cwurData!$B:$P,2,FALSE))</f>
        <v>Brazil</v>
      </c>
      <c r="C749" t="str">
        <f>VLOOKUP(A749,[1]timesData!$B:$P,3,FALSE)</f>
        <v>601-800</v>
      </c>
      <c r="D749" t="str">
        <f>VLOOKUP(A750,[1]timesData!$B:$P,3,FALSE)</f>
        <v>601-800</v>
      </c>
      <c r="E749">
        <f>VLOOKUP(A750,[1]timesData!$B:$P,4,FALSE)</f>
        <v>15</v>
      </c>
      <c r="F749">
        <f>VLOOKUP(A750,[1]timesData!$B:$P,5,FALSE)</f>
        <v>14.5</v>
      </c>
      <c r="G749">
        <f>VLOOKUP(A750,[1]timesData!$B:$P,6,FALSE)</f>
        <v>3.9</v>
      </c>
      <c r="H749">
        <f>VLOOKUP(A750,[1]timesData!$B:$P,7,FALSE)</f>
        <v>59</v>
      </c>
      <c r="I749" t="str">
        <f>VLOOKUP(A750,[1]timesData!$B:$P,8,FALSE)</f>
        <v>-</v>
      </c>
      <c r="J749">
        <f>VLOOKUP(A750,[1]timesData!$B:$P,9,FALSE)</f>
        <v>13163</v>
      </c>
      <c r="K749">
        <f>VLOOKUP(A750,[1]timesData!$B:$P,10,FALSE)</f>
        <v>11.4</v>
      </c>
      <c r="L749">
        <f>VLOOKUP(A750,[1]timesData!$B:$P,11,FALSE)</f>
        <v>0.03</v>
      </c>
      <c r="M749">
        <f>VLOOKUP(A750,[1]timesData!$B:$P,12,FALSE)</f>
        <v>2.9375</v>
      </c>
      <c r="N749">
        <f>VLOOKUP(A750,[1]timesData!$B:$P,13,FALSE)</f>
        <v>2016</v>
      </c>
      <c r="O749" t="e">
        <f>VLOOKUP(A749,[2]cwurData!$B:$P,14,FALSE)</f>
        <v>#N/A</v>
      </c>
      <c r="P749" t="e">
        <f>VLOOKUP(A749,[2]cwurData!$B:$N, 3, FALSE)</f>
        <v>#N/A</v>
      </c>
      <c r="Q749" t="e">
        <f>VLOOKUP(A749,[2]cwurData!$B:$N, 4, FALSE)</f>
        <v>#N/A</v>
      </c>
      <c r="R749" t="e">
        <f>VLOOKUP(A749,[2]cwurData!$B:$N, 5, FALSE)</f>
        <v>#N/A</v>
      </c>
      <c r="S749" t="e">
        <f>VLOOKUP(A749,[2]cwurData!$B:$N, 6, FALSE)</f>
        <v>#N/A</v>
      </c>
      <c r="T749" t="e">
        <f>VLOOKUP(A749,[2]cwurData!$B:$N, 7, FALSE)</f>
        <v>#N/A</v>
      </c>
      <c r="U749" t="e">
        <f>VLOOKUP(A749,[2]cwurData!$B:$N, 8, FALSE)</f>
        <v>#N/A</v>
      </c>
      <c r="V749" t="e">
        <f>VLOOKUP(A749,[2]cwurData!$B:$N, 9, FALSE)</f>
        <v>#N/A</v>
      </c>
      <c r="W749" t="e">
        <f>VLOOKUP(A749,[2]cwurData!$B:$N, 10, FALSE)</f>
        <v>#N/A</v>
      </c>
      <c r="X749" t="e">
        <f>VLOOKUP(A749,[2]cwurData!$B:$N, 11, FALSE)</f>
        <v>#N/A</v>
      </c>
      <c r="Y749" t="e">
        <f>VLOOKUP(A749,[2]cwurData!$B:$N, 12, FALSE)</f>
        <v>#N/A</v>
      </c>
      <c r="Z749" t="e">
        <f>VLOOKUP(A749,[2]cwurData!$B:$N, 13, FALSE)</f>
        <v>#N/A</v>
      </c>
    </row>
    <row r="750" spans="1:26" x14ac:dyDescent="0.3">
      <c r="A750" t="s">
        <v>696</v>
      </c>
      <c r="B750" t="str">
        <f>IFERROR(VLOOKUP(A750,[1]timesData!$B:$P,2,FALSE),VLOOKUP(A750,[2]cwurData!$B:$P,2,FALSE))</f>
        <v>Brazil</v>
      </c>
      <c r="C750" t="str">
        <f>VLOOKUP(A750,[1]timesData!$B:$P,3,FALSE)</f>
        <v>601-800</v>
      </c>
      <c r="D750" t="str">
        <f>VLOOKUP(A751,[1]timesData!$B:$P,3,FALSE)</f>
        <v>601-800</v>
      </c>
      <c r="E750">
        <f>VLOOKUP(A751,[1]timesData!$B:$P,4,FALSE)</f>
        <v>16.100000000000001</v>
      </c>
      <c r="F750">
        <f>VLOOKUP(A751,[1]timesData!$B:$P,5,FALSE)</f>
        <v>9.5</v>
      </c>
      <c r="G750">
        <f>VLOOKUP(A751,[1]timesData!$B:$P,6,FALSE)</f>
        <v>15.2</v>
      </c>
      <c r="H750">
        <f>VLOOKUP(A751,[1]timesData!$B:$P,7,FALSE)</f>
        <v>36.799999999999997</v>
      </c>
      <c r="I750" t="str">
        <f>VLOOKUP(A751,[1]timesData!$B:$P,8,FALSE)</f>
        <v>-</v>
      </c>
      <c r="J750">
        <f>VLOOKUP(A751,[1]timesData!$B:$P,9,FALSE)</f>
        <v>25217</v>
      </c>
      <c r="K750">
        <f>VLOOKUP(A751,[1]timesData!$B:$P,10,FALSE)</f>
        <v>23.3</v>
      </c>
      <c r="L750">
        <f>VLOOKUP(A751,[1]timesData!$B:$P,11,FALSE)</f>
        <v>0.01</v>
      </c>
      <c r="M750" t="str">
        <f>VLOOKUP(A751,[1]timesData!$B:$P,12,FALSE)</f>
        <v>39 : 61</v>
      </c>
      <c r="N750">
        <f>VLOOKUP(A751,[1]timesData!$B:$P,13,FALSE)</f>
        <v>2016</v>
      </c>
      <c r="O750" t="e">
        <f>VLOOKUP(A750,[2]cwurData!$B:$P,14,FALSE)</f>
        <v>#N/A</v>
      </c>
      <c r="P750" t="e">
        <f>VLOOKUP(A750,[2]cwurData!$B:$N, 3, FALSE)</f>
        <v>#N/A</v>
      </c>
      <c r="Q750" t="e">
        <f>VLOOKUP(A750,[2]cwurData!$B:$N, 4, FALSE)</f>
        <v>#N/A</v>
      </c>
      <c r="R750" t="e">
        <f>VLOOKUP(A750,[2]cwurData!$B:$N, 5, FALSE)</f>
        <v>#N/A</v>
      </c>
      <c r="S750" t="e">
        <f>VLOOKUP(A750,[2]cwurData!$B:$N, 6, FALSE)</f>
        <v>#N/A</v>
      </c>
      <c r="T750" t="e">
        <f>VLOOKUP(A750,[2]cwurData!$B:$N, 7, FALSE)</f>
        <v>#N/A</v>
      </c>
      <c r="U750" t="e">
        <f>VLOOKUP(A750,[2]cwurData!$B:$N, 8, FALSE)</f>
        <v>#N/A</v>
      </c>
      <c r="V750" t="e">
        <f>VLOOKUP(A750,[2]cwurData!$B:$N, 9, FALSE)</f>
        <v>#N/A</v>
      </c>
      <c r="W750" t="e">
        <f>VLOOKUP(A750,[2]cwurData!$B:$N, 10, FALSE)</f>
        <v>#N/A</v>
      </c>
      <c r="X750" t="e">
        <f>VLOOKUP(A750,[2]cwurData!$B:$N, 11, FALSE)</f>
        <v>#N/A</v>
      </c>
      <c r="Y750" t="e">
        <f>VLOOKUP(A750,[2]cwurData!$B:$N, 12, FALSE)</f>
        <v>#N/A</v>
      </c>
      <c r="Z750" t="e">
        <f>VLOOKUP(A750,[2]cwurData!$B:$N, 13, FALSE)</f>
        <v>#N/A</v>
      </c>
    </row>
    <row r="751" spans="1:26" x14ac:dyDescent="0.3">
      <c r="A751" t="s">
        <v>700</v>
      </c>
      <c r="B751" t="str">
        <f>IFERROR(VLOOKUP(A751,[1]timesData!$B:$P,2,FALSE),VLOOKUP(A751,[2]cwurData!$B:$P,2,FALSE))</f>
        <v>Poland</v>
      </c>
      <c r="C751" t="str">
        <f>VLOOKUP(A751,[1]timesData!$B:$P,3,FALSE)</f>
        <v>601-800</v>
      </c>
      <c r="D751" t="str">
        <f>VLOOKUP(A752,[1]timesData!$B:$P,3,FALSE)</f>
        <v>601-800</v>
      </c>
      <c r="E751">
        <f>VLOOKUP(A752,[1]timesData!$B:$P,4,FALSE)</f>
        <v>55</v>
      </c>
      <c r="F751">
        <f>VLOOKUP(A752,[1]timesData!$B:$P,5,FALSE)</f>
        <v>10.4</v>
      </c>
      <c r="G751">
        <f>VLOOKUP(A752,[1]timesData!$B:$P,6,FALSE)</f>
        <v>24.2</v>
      </c>
      <c r="H751">
        <f>VLOOKUP(A752,[1]timesData!$B:$P,7,FALSE)</f>
        <v>29.9</v>
      </c>
      <c r="I751" t="str">
        <f>VLOOKUP(A752,[1]timesData!$B:$P,8,FALSE)</f>
        <v>-</v>
      </c>
      <c r="J751">
        <f>VLOOKUP(A752,[1]timesData!$B:$P,9,FALSE)</f>
        <v>13527</v>
      </c>
      <c r="K751">
        <f>VLOOKUP(A752,[1]timesData!$B:$P,10,FALSE)</f>
        <v>21.6</v>
      </c>
      <c r="L751">
        <f>VLOOKUP(A752,[1]timesData!$B:$P,11,FALSE)</f>
        <v>0.16</v>
      </c>
      <c r="M751">
        <f>VLOOKUP(A752,[1]timesData!$B:$P,12,FALSE)</f>
        <v>2.5277777777777777</v>
      </c>
      <c r="N751">
        <f>VLOOKUP(A752,[1]timesData!$B:$P,13,FALSE)</f>
        <v>2016</v>
      </c>
      <c r="O751" t="e">
        <f>VLOOKUP(A751,[2]cwurData!$B:$P,14,FALSE)</f>
        <v>#N/A</v>
      </c>
      <c r="P751" t="e">
        <f>VLOOKUP(A751,[2]cwurData!$B:$N, 3, FALSE)</f>
        <v>#N/A</v>
      </c>
      <c r="Q751" t="e">
        <f>VLOOKUP(A751,[2]cwurData!$B:$N, 4, FALSE)</f>
        <v>#N/A</v>
      </c>
      <c r="R751" t="e">
        <f>VLOOKUP(A751,[2]cwurData!$B:$N, 5, FALSE)</f>
        <v>#N/A</v>
      </c>
      <c r="S751" t="e">
        <f>VLOOKUP(A751,[2]cwurData!$B:$N, 6, FALSE)</f>
        <v>#N/A</v>
      </c>
      <c r="T751" t="e">
        <f>VLOOKUP(A751,[2]cwurData!$B:$N, 7, FALSE)</f>
        <v>#N/A</v>
      </c>
      <c r="U751" t="e">
        <f>VLOOKUP(A751,[2]cwurData!$B:$N, 8, FALSE)</f>
        <v>#N/A</v>
      </c>
      <c r="V751" t="e">
        <f>VLOOKUP(A751,[2]cwurData!$B:$N, 9, FALSE)</f>
        <v>#N/A</v>
      </c>
      <c r="W751" t="e">
        <f>VLOOKUP(A751,[2]cwurData!$B:$N, 10, FALSE)</f>
        <v>#N/A</v>
      </c>
      <c r="X751" t="e">
        <f>VLOOKUP(A751,[2]cwurData!$B:$N, 11, FALSE)</f>
        <v>#N/A</v>
      </c>
      <c r="Y751" t="e">
        <f>VLOOKUP(A751,[2]cwurData!$B:$N, 12, FALSE)</f>
        <v>#N/A</v>
      </c>
      <c r="Z751" t="e">
        <f>VLOOKUP(A751,[2]cwurData!$B:$N, 13, FALSE)</f>
        <v>#N/A</v>
      </c>
    </row>
    <row r="752" spans="1:26" x14ac:dyDescent="0.3">
      <c r="A752" t="s">
        <v>703</v>
      </c>
      <c r="B752" t="str">
        <f>IFERROR(VLOOKUP(A752,[1]timesData!$B:$P,2,FALSE),VLOOKUP(A752,[2]cwurData!$B:$P,2,FALSE))</f>
        <v>United Kingdom</v>
      </c>
      <c r="C752" t="str">
        <f>VLOOKUP(A752,[1]timesData!$B:$P,3,FALSE)</f>
        <v>601-800</v>
      </c>
      <c r="D752" t="str">
        <f>VLOOKUP(A753,[1]timesData!$B:$P,3,FALSE)</f>
        <v>601-800</v>
      </c>
      <c r="E752">
        <f>VLOOKUP(A753,[1]timesData!$B:$P,4,FALSE)</f>
        <v>62.2</v>
      </c>
      <c r="F752">
        <f>VLOOKUP(A753,[1]timesData!$B:$P,5,FALSE)</f>
        <v>6.2</v>
      </c>
      <c r="G752">
        <f>VLOOKUP(A753,[1]timesData!$B:$P,6,FALSE)</f>
        <v>16.399999999999999</v>
      </c>
      <c r="H752">
        <f>VLOOKUP(A753,[1]timesData!$B:$P,7,FALSE)</f>
        <v>31.4</v>
      </c>
      <c r="I752" t="str">
        <f>VLOOKUP(A753,[1]timesData!$B:$P,8,FALSE)</f>
        <v>-</v>
      </c>
      <c r="J752">
        <f>VLOOKUP(A753,[1]timesData!$B:$P,9,FALSE)</f>
        <v>24686</v>
      </c>
      <c r="K752">
        <f>VLOOKUP(A753,[1]timesData!$B:$P,10,FALSE)</f>
        <v>16.399999999999999</v>
      </c>
      <c r="L752">
        <f>VLOOKUP(A753,[1]timesData!$B:$P,11,FALSE)</f>
        <v>0.23</v>
      </c>
      <c r="M752">
        <f>VLOOKUP(A753,[1]timesData!$B:$P,12,FALSE)</f>
        <v>2.3229166666666665</v>
      </c>
      <c r="N752">
        <f>VLOOKUP(A753,[1]timesData!$B:$P,13,FALSE)</f>
        <v>2016</v>
      </c>
      <c r="O752" t="e">
        <f>VLOOKUP(A752,[2]cwurData!$B:$P,14,FALSE)</f>
        <v>#N/A</v>
      </c>
      <c r="P752" t="e">
        <f>VLOOKUP(A752,[2]cwurData!$B:$N, 3, FALSE)</f>
        <v>#N/A</v>
      </c>
      <c r="Q752" t="e">
        <f>VLOOKUP(A752,[2]cwurData!$B:$N, 4, FALSE)</f>
        <v>#N/A</v>
      </c>
      <c r="R752" t="e">
        <f>VLOOKUP(A752,[2]cwurData!$B:$N, 5, FALSE)</f>
        <v>#N/A</v>
      </c>
      <c r="S752" t="e">
        <f>VLOOKUP(A752,[2]cwurData!$B:$N, 6, FALSE)</f>
        <v>#N/A</v>
      </c>
      <c r="T752" t="e">
        <f>VLOOKUP(A752,[2]cwurData!$B:$N, 7, FALSE)</f>
        <v>#N/A</v>
      </c>
      <c r="U752" t="e">
        <f>VLOOKUP(A752,[2]cwurData!$B:$N, 8, FALSE)</f>
        <v>#N/A</v>
      </c>
      <c r="V752" t="e">
        <f>VLOOKUP(A752,[2]cwurData!$B:$N, 9, FALSE)</f>
        <v>#N/A</v>
      </c>
      <c r="W752" t="e">
        <f>VLOOKUP(A752,[2]cwurData!$B:$N, 10, FALSE)</f>
        <v>#N/A</v>
      </c>
      <c r="X752" t="e">
        <f>VLOOKUP(A752,[2]cwurData!$B:$N, 11, FALSE)</f>
        <v>#N/A</v>
      </c>
      <c r="Y752" t="e">
        <f>VLOOKUP(A752,[2]cwurData!$B:$N, 12, FALSE)</f>
        <v>#N/A</v>
      </c>
      <c r="Z752" t="e">
        <f>VLOOKUP(A752,[2]cwurData!$B:$N, 13, FALSE)</f>
        <v>#N/A</v>
      </c>
    </row>
    <row r="753" spans="1:26" x14ac:dyDescent="0.3">
      <c r="A753" t="s">
        <v>715</v>
      </c>
      <c r="B753" t="str">
        <f>IFERROR(VLOOKUP(A753,[1]timesData!$B:$P,2,FALSE),VLOOKUP(A753,[2]cwurData!$B:$P,2,FALSE))</f>
        <v>Jordan</v>
      </c>
      <c r="C753" t="str">
        <f>VLOOKUP(A753,[1]timesData!$B:$P,3,FALSE)</f>
        <v>601-800</v>
      </c>
      <c r="D753" t="str">
        <f>VLOOKUP(A754,[1]timesData!$B:$P,3,FALSE)</f>
        <v>601-800</v>
      </c>
      <c r="E753">
        <f>VLOOKUP(A754,[1]timesData!$B:$P,4,FALSE)</f>
        <v>7.1</v>
      </c>
      <c r="F753">
        <f>VLOOKUP(A754,[1]timesData!$B:$P,5,FALSE)</f>
        <v>18.100000000000001</v>
      </c>
      <c r="G753">
        <f>VLOOKUP(A754,[1]timesData!$B:$P,6,FALSE)</f>
        <v>22.5</v>
      </c>
      <c r="H753">
        <f>VLOOKUP(A754,[1]timesData!$B:$P,7,FALSE)</f>
        <v>45.5</v>
      </c>
      <c r="I753" t="str">
        <f>VLOOKUP(A754,[1]timesData!$B:$P,8,FALSE)</f>
        <v>-</v>
      </c>
      <c r="J753">
        <f>VLOOKUP(A754,[1]timesData!$B:$P,9,FALSE)</f>
        <v>7146</v>
      </c>
      <c r="K753">
        <f>VLOOKUP(A754,[1]timesData!$B:$P,10,FALSE)</f>
        <v>24.6</v>
      </c>
      <c r="L753">
        <f>VLOOKUP(A754,[1]timesData!$B:$P,11,FALSE)</f>
        <v>0</v>
      </c>
      <c r="M753" t="str">
        <f>VLOOKUP(A754,[1]timesData!$B:$P,12,FALSE)</f>
        <v>32 : 68</v>
      </c>
      <c r="N753">
        <f>VLOOKUP(A754,[1]timesData!$B:$P,13,FALSE)</f>
        <v>2016</v>
      </c>
      <c r="O753" t="e">
        <f>VLOOKUP(A753,[2]cwurData!$B:$P,14,FALSE)</f>
        <v>#N/A</v>
      </c>
      <c r="P753" t="e">
        <f>VLOOKUP(A753,[2]cwurData!$B:$N, 3, FALSE)</f>
        <v>#N/A</v>
      </c>
      <c r="Q753" t="e">
        <f>VLOOKUP(A753,[2]cwurData!$B:$N, 4, FALSE)</f>
        <v>#N/A</v>
      </c>
      <c r="R753" t="e">
        <f>VLOOKUP(A753,[2]cwurData!$B:$N, 5, FALSE)</f>
        <v>#N/A</v>
      </c>
      <c r="S753" t="e">
        <f>VLOOKUP(A753,[2]cwurData!$B:$N, 6, FALSE)</f>
        <v>#N/A</v>
      </c>
      <c r="T753" t="e">
        <f>VLOOKUP(A753,[2]cwurData!$B:$N, 7, FALSE)</f>
        <v>#N/A</v>
      </c>
      <c r="U753" t="e">
        <f>VLOOKUP(A753,[2]cwurData!$B:$N, 8, FALSE)</f>
        <v>#N/A</v>
      </c>
      <c r="V753" t="e">
        <f>VLOOKUP(A753,[2]cwurData!$B:$N, 9, FALSE)</f>
        <v>#N/A</v>
      </c>
      <c r="W753" t="e">
        <f>VLOOKUP(A753,[2]cwurData!$B:$N, 10, FALSE)</f>
        <v>#N/A</v>
      </c>
      <c r="X753" t="e">
        <f>VLOOKUP(A753,[2]cwurData!$B:$N, 11, FALSE)</f>
        <v>#N/A</v>
      </c>
      <c r="Y753" t="e">
        <f>VLOOKUP(A753,[2]cwurData!$B:$N, 12, FALSE)</f>
        <v>#N/A</v>
      </c>
      <c r="Z753" t="e">
        <f>VLOOKUP(A753,[2]cwurData!$B:$N, 13, FALSE)</f>
        <v>#N/A</v>
      </c>
    </row>
    <row r="754" spans="1:26" x14ac:dyDescent="0.3">
      <c r="A754" t="s">
        <v>717</v>
      </c>
      <c r="B754" t="str">
        <f>IFERROR(VLOOKUP(A754,[1]timesData!$B:$P,2,FALSE),VLOOKUP(A754,[2]cwurData!$B:$P,2,FALSE))</f>
        <v>Iran</v>
      </c>
      <c r="C754" t="str">
        <f>VLOOKUP(A754,[1]timesData!$B:$P,3,FALSE)</f>
        <v>601-800</v>
      </c>
      <c r="D754" t="str">
        <f>VLOOKUP(A755,[1]timesData!$B:$P,3,FALSE)</f>
        <v>601-800</v>
      </c>
      <c r="E754">
        <f>VLOOKUP(A755,[1]timesData!$B:$P,4,FALSE)</f>
        <v>31.5</v>
      </c>
      <c r="F754">
        <f>VLOOKUP(A755,[1]timesData!$B:$P,5,FALSE)</f>
        <v>7.4</v>
      </c>
      <c r="G754">
        <f>VLOOKUP(A755,[1]timesData!$B:$P,6,FALSE)</f>
        <v>19.899999999999999</v>
      </c>
      <c r="H754">
        <f>VLOOKUP(A755,[1]timesData!$B:$P,7,FALSE)</f>
        <v>35.700000000000003</v>
      </c>
      <c r="I754" t="str">
        <f>VLOOKUP(A755,[1]timesData!$B:$P,8,FALSE)</f>
        <v>-</v>
      </c>
      <c r="J754">
        <f>VLOOKUP(A755,[1]timesData!$B:$P,9,FALSE)</f>
        <v>39669</v>
      </c>
      <c r="K754">
        <f>VLOOKUP(A755,[1]timesData!$B:$P,10,FALSE)</f>
        <v>16.899999999999999</v>
      </c>
      <c r="L754">
        <f>VLOOKUP(A755,[1]timesData!$B:$P,11,FALSE)</f>
        <v>0.01</v>
      </c>
      <c r="M754">
        <f>VLOOKUP(A755,[1]timesData!$B:$P,12,FALSE)</f>
        <v>2.6097222222222221</v>
      </c>
      <c r="N754">
        <f>VLOOKUP(A755,[1]timesData!$B:$P,13,FALSE)</f>
        <v>2016</v>
      </c>
      <c r="O754" t="e">
        <f>VLOOKUP(A754,[2]cwurData!$B:$P,14,FALSE)</f>
        <v>#N/A</v>
      </c>
      <c r="P754" t="e">
        <f>VLOOKUP(A754,[2]cwurData!$B:$N, 3, FALSE)</f>
        <v>#N/A</v>
      </c>
      <c r="Q754" t="e">
        <f>VLOOKUP(A754,[2]cwurData!$B:$N, 4, FALSE)</f>
        <v>#N/A</v>
      </c>
      <c r="R754" t="e">
        <f>VLOOKUP(A754,[2]cwurData!$B:$N, 5, FALSE)</f>
        <v>#N/A</v>
      </c>
      <c r="S754" t="e">
        <f>VLOOKUP(A754,[2]cwurData!$B:$N, 6, FALSE)</f>
        <v>#N/A</v>
      </c>
      <c r="T754" t="e">
        <f>VLOOKUP(A754,[2]cwurData!$B:$N, 7, FALSE)</f>
        <v>#N/A</v>
      </c>
      <c r="U754" t="e">
        <f>VLOOKUP(A754,[2]cwurData!$B:$N, 8, FALSE)</f>
        <v>#N/A</v>
      </c>
      <c r="V754" t="e">
        <f>VLOOKUP(A754,[2]cwurData!$B:$N, 9, FALSE)</f>
        <v>#N/A</v>
      </c>
      <c r="W754" t="e">
        <f>VLOOKUP(A754,[2]cwurData!$B:$N, 10, FALSE)</f>
        <v>#N/A</v>
      </c>
      <c r="X754" t="e">
        <f>VLOOKUP(A754,[2]cwurData!$B:$N, 11, FALSE)</f>
        <v>#N/A</v>
      </c>
      <c r="Y754" t="e">
        <f>VLOOKUP(A754,[2]cwurData!$B:$N, 12, FALSE)</f>
        <v>#N/A</v>
      </c>
      <c r="Z754" t="e">
        <f>VLOOKUP(A754,[2]cwurData!$B:$N, 13, FALSE)</f>
        <v>#N/A</v>
      </c>
    </row>
    <row r="755" spans="1:26" x14ac:dyDescent="0.3">
      <c r="A755" t="s">
        <v>719</v>
      </c>
      <c r="B755" t="str">
        <f>IFERROR(VLOOKUP(A755,[1]timesData!$B:$P,2,FALSE),VLOOKUP(A755,[2]cwurData!$B:$P,2,FALSE))</f>
        <v>Thailand</v>
      </c>
      <c r="C755" t="str">
        <f>VLOOKUP(A755,[1]timesData!$B:$P,3,FALSE)</f>
        <v>601-800</v>
      </c>
      <c r="D755" t="str">
        <f>VLOOKUP(A756,[1]timesData!$B:$P,3,FALSE)</f>
        <v>601-800</v>
      </c>
      <c r="E755">
        <f>VLOOKUP(A756,[1]timesData!$B:$P,4,FALSE)</f>
        <v>76.8</v>
      </c>
      <c r="F755">
        <f>VLOOKUP(A756,[1]timesData!$B:$P,5,FALSE)</f>
        <v>12.1</v>
      </c>
      <c r="G755">
        <f>VLOOKUP(A756,[1]timesData!$B:$P,6,FALSE)</f>
        <v>26.7</v>
      </c>
      <c r="H755">
        <f>VLOOKUP(A756,[1]timesData!$B:$P,7,FALSE)</f>
        <v>28.5</v>
      </c>
      <c r="I755" t="str">
        <f>VLOOKUP(A756,[1]timesData!$B:$P,8,FALSE)</f>
        <v>-</v>
      </c>
      <c r="J755">
        <f>VLOOKUP(A756,[1]timesData!$B:$P,9,FALSE)</f>
        <v>20778</v>
      </c>
      <c r="K755">
        <f>VLOOKUP(A756,[1]timesData!$B:$P,10,FALSE)</f>
        <v>20.9</v>
      </c>
      <c r="L755">
        <f>VLOOKUP(A756,[1]timesData!$B:$P,11,FALSE)</f>
        <v>0.34</v>
      </c>
      <c r="M755">
        <f>VLOOKUP(A756,[1]timesData!$B:$P,12,FALSE)</f>
        <v>2.2409722222222221</v>
      </c>
      <c r="N755">
        <f>VLOOKUP(A756,[1]timesData!$B:$P,13,FALSE)</f>
        <v>2016</v>
      </c>
      <c r="O755" t="e">
        <f>VLOOKUP(A755,[2]cwurData!$B:$P,14,FALSE)</f>
        <v>#N/A</v>
      </c>
      <c r="P755" t="e">
        <f>VLOOKUP(A755,[2]cwurData!$B:$N, 3, FALSE)</f>
        <v>#N/A</v>
      </c>
      <c r="Q755" t="e">
        <f>VLOOKUP(A755,[2]cwurData!$B:$N, 4, FALSE)</f>
        <v>#N/A</v>
      </c>
      <c r="R755" t="e">
        <f>VLOOKUP(A755,[2]cwurData!$B:$N, 5, FALSE)</f>
        <v>#N/A</v>
      </c>
      <c r="S755" t="e">
        <f>VLOOKUP(A755,[2]cwurData!$B:$N, 6, FALSE)</f>
        <v>#N/A</v>
      </c>
      <c r="T755" t="e">
        <f>VLOOKUP(A755,[2]cwurData!$B:$N, 7, FALSE)</f>
        <v>#N/A</v>
      </c>
      <c r="U755" t="e">
        <f>VLOOKUP(A755,[2]cwurData!$B:$N, 8, FALSE)</f>
        <v>#N/A</v>
      </c>
      <c r="V755" t="e">
        <f>VLOOKUP(A755,[2]cwurData!$B:$N, 9, FALSE)</f>
        <v>#N/A</v>
      </c>
      <c r="W755" t="e">
        <f>VLOOKUP(A755,[2]cwurData!$B:$N, 10, FALSE)</f>
        <v>#N/A</v>
      </c>
      <c r="X755" t="e">
        <f>VLOOKUP(A755,[2]cwurData!$B:$N, 11, FALSE)</f>
        <v>#N/A</v>
      </c>
      <c r="Y755" t="e">
        <f>VLOOKUP(A755,[2]cwurData!$B:$N, 12, FALSE)</f>
        <v>#N/A</v>
      </c>
      <c r="Z755" t="e">
        <f>VLOOKUP(A755,[2]cwurData!$B:$N, 13, FALSE)</f>
        <v>#N/A</v>
      </c>
    </row>
    <row r="756" spans="1:26" x14ac:dyDescent="0.3">
      <c r="A756" t="s">
        <v>720</v>
      </c>
      <c r="B756" t="str">
        <f>IFERROR(VLOOKUP(A756,[1]timesData!$B:$P,2,FALSE),VLOOKUP(A756,[2]cwurData!$B:$P,2,FALSE))</f>
        <v>United Kingdom</v>
      </c>
      <c r="C756" t="str">
        <f>VLOOKUP(A756,[1]timesData!$B:$P,3,FALSE)</f>
        <v>601-800</v>
      </c>
      <c r="D756" t="str">
        <f>VLOOKUP(A757,[1]timesData!$B:$P,3,FALSE)</f>
        <v>601-800</v>
      </c>
      <c r="E756">
        <f>VLOOKUP(A757,[1]timesData!$B:$P,4,FALSE)</f>
        <v>17</v>
      </c>
      <c r="F756">
        <f>VLOOKUP(A757,[1]timesData!$B:$P,5,FALSE)</f>
        <v>7.9</v>
      </c>
      <c r="G756">
        <f>VLOOKUP(A757,[1]timesData!$B:$P,6,FALSE)</f>
        <v>30</v>
      </c>
      <c r="H756">
        <f>VLOOKUP(A757,[1]timesData!$B:$P,7,FALSE)</f>
        <v>33.200000000000003</v>
      </c>
      <c r="I756" t="str">
        <f>VLOOKUP(A757,[1]timesData!$B:$P,8,FALSE)</f>
        <v>-</v>
      </c>
      <c r="J756">
        <f>VLOOKUP(A757,[1]timesData!$B:$P,9,FALSE)</f>
        <v>31216</v>
      </c>
      <c r="K756">
        <f>VLOOKUP(A757,[1]timesData!$B:$P,10,FALSE)</f>
        <v>11.6</v>
      </c>
      <c r="L756">
        <f>VLOOKUP(A757,[1]timesData!$B:$P,11,FALSE)</f>
        <v>0.02</v>
      </c>
      <c r="M756">
        <f>VLOOKUP(A757,[1]timesData!$B:$P,12,FALSE)</f>
        <v>0</v>
      </c>
      <c r="N756">
        <f>VLOOKUP(A757,[1]timesData!$B:$P,13,FALSE)</f>
        <v>2016</v>
      </c>
      <c r="O756" t="e">
        <f>VLOOKUP(A756,[2]cwurData!$B:$P,14,FALSE)</f>
        <v>#N/A</v>
      </c>
      <c r="P756" t="e">
        <f>VLOOKUP(A756,[2]cwurData!$B:$N, 3, FALSE)</f>
        <v>#N/A</v>
      </c>
      <c r="Q756" t="e">
        <f>VLOOKUP(A756,[2]cwurData!$B:$N, 4, FALSE)</f>
        <v>#N/A</v>
      </c>
      <c r="R756" t="e">
        <f>VLOOKUP(A756,[2]cwurData!$B:$N, 5, FALSE)</f>
        <v>#N/A</v>
      </c>
      <c r="S756" t="e">
        <f>VLOOKUP(A756,[2]cwurData!$B:$N, 6, FALSE)</f>
        <v>#N/A</v>
      </c>
      <c r="T756" t="e">
        <f>VLOOKUP(A756,[2]cwurData!$B:$N, 7, FALSE)</f>
        <v>#N/A</v>
      </c>
      <c r="U756" t="e">
        <f>VLOOKUP(A756,[2]cwurData!$B:$N, 8, FALSE)</f>
        <v>#N/A</v>
      </c>
      <c r="V756" t="e">
        <f>VLOOKUP(A756,[2]cwurData!$B:$N, 9, FALSE)</f>
        <v>#N/A</v>
      </c>
      <c r="W756" t="e">
        <f>VLOOKUP(A756,[2]cwurData!$B:$N, 10, FALSE)</f>
        <v>#N/A</v>
      </c>
      <c r="X756" t="e">
        <f>VLOOKUP(A756,[2]cwurData!$B:$N, 11, FALSE)</f>
        <v>#N/A</v>
      </c>
      <c r="Y756" t="e">
        <f>VLOOKUP(A756,[2]cwurData!$B:$N, 12, FALSE)</f>
        <v>#N/A</v>
      </c>
      <c r="Z756" t="e">
        <f>VLOOKUP(A756,[2]cwurData!$B:$N, 13, FALSE)</f>
        <v>#N/A</v>
      </c>
    </row>
    <row r="757" spans="1:26" x14ac:dyDescent="0.3">
      <c r="A757" t="s">
        <v>721</v>
      </c>
      <c r="B757" t="str">
        <f>IFERROR(VLOOKUP(A757,[1]timesData!$B:$P,2,FALSE),VLOOKUP(A757,[2]cwurData!$B:$P,2,FALSE))</f>
        <v>Japan</v>
      </c>
      <c r="C757" t="str">
        <f>VLOOKUP(A757,[1]timesData!$B:$P,3,FALSE)</f>
        <v>601-800</v>
      </c>
      <c r="D757" t="str">
        <f>VLOOKUP(A758,[1]timesData!$B:$P,3,FALSE)</f>
        <v>601-800</v>
      </c>
      <c r="E757">
        <f>VLOOKUP(A758,[1]timesData!$B:$P,4,FALSE)</f>
        <v>20.7</v>
      </c>
      <c r="F757">
        <f>VLOOKUP(A758,[1]timesData!$B:$P,5,FALSE)</f>
        <v>12.5</v>
      </c>
      <c r="G757">
        <f>VLOOKUP(A758,[1]timesData!$B:$P,6,FALSE)</f>
        <v>14.2</v>
      </c>
      <c r="H757">
        <f>VLOOKUP(A758,[1]timesData!$B:$P,7,FALSE)</f>
        <v>44.1</v>
      </c>
      <c r="I757" t="str">
        <f>VLOOKUP(A758,[1]timesData!$B:$P,8,FALSE)</f>
        <v>-</v>
      </c>
      <c r="J757">
        <f>VLOOKUP(A758,[1]timesData!$B:$P,9,FALSE)</f>
        <v>5890</v>
      </c>
      <c r="K757">
        <f>VLOOKUP(A758,[1]timesData!$B:$P,10,FALSE)</f>
        <v>12.1</v>
      </c>
      <c r="L757">
        <f>VLOOKUP(A758,[1]timesData!$B:$P,11,FALSE)</f>
        <v>0.04</v>
      </c>
      <c r="M757">
        <f>VLOOKUP(A758,[1]timesData!$B:$P,12,FALSE)</f>
        <v>0.52013888888888893</v>
      </c>
      <c r="N757">
        <f>VLOOKUP(A758,[1]timesData!$B:$P,13,FALSE)</f>
        <v>2016</v>
      </c>
      <c r="O757" t="e">
        <f>VLOOKUP(A757,[2]cwurData!$B:$P,14,FALSE)</f>
        <v>#N/A</v>
      </c>
      <c r="P757" t="e">
        <f>VLOOKUP(A757,[2]cwurData!$B:$N, 3, FALSE)</f>
        <v>#N/A</v>
      </c>
      <c r="Q757" t="e">
        <f>VLOOKUP(A757,[2]cwurData!$B:$N, 4, FALSE)</f>
        <v>#N/A</v>
      </c>
      <c r="R757" t="e">
        <f>VLOOKUP(A757,[2]cwurData!$B:$N, 5, FALSE)</f>
        <v>#N/A</v>
      </c>
      <c r="S757" t="e">
        <f>VLOOKUP(A757,[2]cwurData!$B:$N, 6, FALSE)</f>
        <v>#N/A</v>
      </c>
      <c r="T757" t="e">
        <f>VLOOKUP(A757,[2]cwurData!$B:$N, 7, FALSE)</f>
        <v>#N/A</v>
      </c>
      <c r="U757" t="e">
        <f>VLOOKUP(A757,[2]cwurData!$B:$N, 8, FALSE)</f>
        <v>#N/A</v>
      </c>
      <c r="V757" t="e">
        <f>VLOOKUP(A757,[2]cwurData!$B:$N, 9, FALSE)</f>
        <v>#N/A</v>
      </c>
      <c r="W757" t="e">
        <f>VLOOKUP(A757,[2]cwurData!$B:$N, 10, FALSE)</f>
        <v>#N/A</v>
      </c>
      <c r="X757" t="e">
        <f>VLOOKUP(A757,[2]cwurData!$B:$N, 11, FALSE)</f>
        <v>#N/A</v>
      </c>
      <c r="Y757" t="e">
        <f>VLOOKUP(A757,[2]cwurData!$B:$N, 12, FALSE)</f>
        <v>#N/A</v>
      </c>
      <c r="Z757" t="e">
        <f>VLOOKUP(A757,[2]cwurData!$B:$N, 13, FALSE)</f>
        <v>#N/A</v>
      </c>
    </row>
    <row r="758" spans="1:26" x14ac:dyDescent="0.3">
      <c r="A758" t="s">
        <v>725</v>
      </c>
      <c r="B758" t="str">
        <f>IFERROR(VLOOKUP(A758,[1]timesData!$B:$P,2,FALSE),VLOOKUP(A758,[2]cwurData!$B:$P,2,FALSE))</f>
        <v>Japan</v>
      </c>
      <c r="C758" t="str">
        <f>VLOOKUP(A758,[1]timesData!$B:$P,3,FALSE)</f>
        <v>601-800</v>
      </c>
      <c r="D758" t="str">
        <f>VLOOKUP(A759,[1]timesData!$B:$P,3,FALSE)</f>
        <v>601-800</v>
      </c>
      <c r="E758">
        <f>VLOOKUP(A759,[1]timesData!$B:$P,4,FALSE)</f>
        <v>60.3</v>
      </c>
      <c r="F758">
        <f>VLOOKUP(A759,[1]timesData!$B:$P,5,FALSE)</f>
        <v>8.6</v>
      </c>
      <c r="G758">
        <f>VLOOKUP(A759,[1]timesData!$B:$P,6,FALSE)</f>
        <v>32.4</v>
      </c>
      <c r="H758">
        <f>VLOOKUP(A759,[1]timesData!$B:$P,7,FALSE)</f>
        <v>31.8</v>
      </c>
      <c r="I758" t="str">
        <f>VLOOKUP(A759,[1]timesData!$B:$P,8,FALSE)</f>
        <v>-</v>
      </c>
      <c r="J758">
        <f>VLOOKUP(A759,[1]timesData!$B:$P,9,FALSE)</f>
        <v>19599</v>
      </c>
      <c r="K758">
        <f>VLOOKUP(A759,[1]timesData!$B:$P,10,FALSE)</f>
        <v>14.5</v>
      </c>
      <c r="L758">
        <f>VLOOKUP(A759,[1]timesData!$B:$P,11,FALSE)</f>
        <v>0.18</v>
      </c>
      <c r="M758">
        <f>VLOOKUP(A759,[1]timesData!$B:$P,12,FALSE)</f>
        <v>1.7493055555555554</v>
      </c>
      <c r="N758">
        <f>VLOOKUP(A759,[1]timesData!$B:$P,13,FALSE)</f>
        <v>2016</v>
      </c>
      <c r="O758" t="e">
        <f>VLOOKUP(A758,[2]cwurData!$B:$P,14,FALSE)</f>
        <v>#N/A</v>
      </c>
      <c r="P758" t="e">
        <f>VLOOKUP(A758,[2]cwurData!$B:$N, 3, FALSE)</f>
        <v>#N/A</v>
      </c>
      <c r="Q758" t="e">
        <f>VLOOKUP(A758,[2]cwurData!$B:$N, 4, FALSE)</f>
        <v>#N/A</v>
      </c>
      <c r="R758" t="e">
        <f>VLOOKUP(A758,[2]cwurData!$B:$N, 5, FALSE)</f>
        <v>#N/A</v>
      </c>
      <c r="S758" t="e">
        <f>VLOOKUP(A758,[2]cwurData!$B:$N, 6, FALSE)</f>
        <v>#N/A</v>
      </c>
      <c r="T758" t="e">
        <f>VLOOKUP(A758,[2]cwurData!$B:$N, 7, FALSE)</f>
        <v>#N/A</v>
      </c>
      <c r="U758" t="e">
        <f>VLOOKUP(A758,[2]cwurData!$B:$N, 8, FALSE)</f>
        <v>#N/A</v>
      </c>
      <c r="V758" t="e">
        <f>VLOOKUP(A758,[2]cwurData!$B:$N, 9, FALSE)</f>
        <v>#N/A</v>
      </c>
      <c r="W758" t="e">
        <f>VLOOKUP(A758,[2]cwurData!$B:$N, 10, FALSE)</f>
        <v>#N/A</v>
      </c>
      <c r="X758" t="e">
        <f>VLOOKUP(A758,[2]cwurData!$B:$N, 11, FALSE)</f>
        <v>#N/A</v>
      </c>
      <c r="Y758" t="e">
        <f>VLOOKUP(A758,[2]cwurData!$B:$N, 12, FALSE)</f>
        <v>#N/A</v>
      </c>
      <c r="Z758" t="e">
        <f>VLOOKUP(A758,[2]cwurData!$B:$N, 13, FALSE)</f>
        <v>#N/A</v>
      </c>
    </row>
    <row r="759" spans="1:26" x14ac:dyDescent="0.3">
      <c r="A759" t="s">
        <v>727</v>
      </c>
      <c r="B759" t="str">
        <f>IFERROR(VLOOKUP(A759,[1]timesData!$B:$P,2,FALSE),VLOOKUP(A759,[2]cwurData!$B:$P,2,FALSE))</f>
        <v>France</v>
      </c>
      <c r="C759" t="str">
        <f>VLOOKUP(A759,[1]timesData!$B:$P,3,FALSE)</f>
        <v>601-800</v>
      </c>
      <c r="D759" t="str">
        <f>VLOOKUP(A760,[1]timesData!$B:$P,3,FALSE)</f>
        <v>601-800</v>
      </c>
      <c r="E759">
        <f>VLOOKUP(A760,[1]timesData!$B:$P,4,FALSE)</f>
        <v>81</v>
      </c>
      <c r="F759">
        <f>VLOOKUP(A760,[1]timesData!$B:$P,5,FALSE)</f>
        <v>10.6</v>
      </c>
      <c r="G759">
        <f>VLOOKUP(A760,[1]timesData!$B:$P,6,FALSE)</f>
        <v>25.7</v>
      </c>
      <c r="H759" t="str">
        <f>VLOOKUP(A760,[1]timesData!$B:$P,7,FALSE)</f>
        <v>-</v>
      </c>
      <c r="I759" t="str">
        <f>VLOOKUP(A760,[1]timesData!$B:$P,8,FALSE)</f>
        <v>-</v>
      </c>
      <c r="J759">
        <f>VLOOKUP(A760,[1]timesData!$B:$P,9,FALSE)</f>
        <v>17753</v>
      </c>
      <c r="K759">
        <f>VLOOKUP(A760,[1]timesData!$B:$P,10,FALSE)</f>
        <v>24.7</v>
      </c>
      <c r="L759">
        <f>VLOOKUP(A760,[1]timesData!$B:$P,11,FALSE)</f>
        <v>0.44</v>
      </c>
      <c r="M759">
        <f>VLOOKUP(A760,[1]timesData!$B:$P,12,FALSE)</f>
        <v>2.4868055555555557</v>
      </c>
      <c r="N759">
        <f>VLOOKUP(A760,[1]timesData!$B:$P,13,FALSE)</f>
        <v>2016</v>
      </c>
      <c r="O759" t="e">
        <f>VLOOKUP(A759,[2]cwurData!$B:$P,14,FALSE)</f>
        <v>#N/A</v>
      </c>
      <c r="P759" t="e">
        <f>VLOOKUP(A759,[2]cwurData!$B:$N, 3, FALSE)</f>
        <v>#N/A</v>
      </c>
      <c r="Q759" t="e">
        <f>VLOOKUP(A759,[2]cwurData!$B:$N, 4, FALSE)</f>
        <v>#N/A</v>
      </c>
      <c r="R759" t="e">
        <f>VLOOKUP(A759,[2]cwurData!$B:$N, 5, FALSE)</f>
        <v>#N/A</v>
      </c>
      <c r="S759" t="e">
        <f>VLOOKUP(A759,[2]cwurData!$B:$N, 6, FALSE)</f>
        <v>#N/A</v>
      </c>
      <c r="T759" t="e">
        <f>VLOOKUP(A759,[2]cwurData!$B:$N, 7, FALSE)</f>
        <v>#N/A</v>
      </c>
      <c r="U759" t="e">
        <f>VLOOKUP(A759,[2]cwurData!$B:$N, 8, FALSE)</f>
        <v>#N/A</v>
      </c>
      <c r="V759" t="e">
        <f>VLOOKUP(A759,[2]cwurData!$B:$N, 9, FALSE)</f>
        <v>#N/A</v>
      </c>
      <c r="W759" t="e">
        <f>VLOOKUP(A759,[2]cwurData!$B:$N, 10, FALSE)</f>
        <v>#N/A</v>
      </c>
      <c r="X759" t="e">
        <f>VLOOKUP(A759,[2]cwurData!$B:$N, 11, FALSE)</f>
        <v>#N/A</v>
      </c>
      <c r="Y759" t="e">
        <f>VLOOKUP(A759,[2]cwurData!$B:$N, 12, FALSE)</f>
        <v>#N/A</v>
      </c>
      <c r="Z759" t="e">
        <f>VLOOKUP(A759,[2]cwurData!$B:$N, 13, FALSE)</f>
        <v>#N/A</v>
      </c>
    </row>
    <row r="760" spans="1:26" x14ac:dyDescent="0.3">
      <c r="A760" t="s">
        <v>731</v>
      </c>
      <c r="B760" t="str">
        <f>IFERROR(VLOOKUP(A760,[1]timesData!$B:$P,2,FALSE),VLOOKUP(A760,[2]cwurData!$B:$P,2,FALSE))</f>
        <v>United Kingdom</v>
      </c>
      <c r="C760" t="str">
        <f>VLOOKUP(A760,[1]timesData!$B:$P,3,FALSE)</f>
        <v>601-800</v>
      </c>
      <c r="D760" t="str">
        <f>VLOOKUP(A761,[1]timesData!$B:$P,3,FALSE)</f>
        <v>601-800</v>
      </c>
      <c r="E760">
        <f>VLOOKUP(A761,[1]timesData!$B:$P,4,FALSE)</f>
        <v>33.1</v>
      </c>
      <c r="F760">
        <f>VLOOKUP(A761,[1]timesData!$B:$P,5,FALSE)</f>
        <v>12.5</v>
      </c>
      <c r="G760">
        <f>VLOOKUP(A761,[1]timesData!$B:$P,6,FALSE)</f>
        <v>14</v>
      </c>
      <c r="H760">
        <f>VLOOKUP(A761,[1]timesData!$B:$P,7,FALSE)</f>
        <v>31.3</v>
      </c>
      <c r="I760" t="str">
        <f>VLOOKUP(A761,[1]timesData!$B:$P,8,FALSE)</f>
        <v>-</v>
      </c>
      <c r="J760">
        <f>VLOOKUP(A761,[1]timesData!$B:$P,9,FALSE)</f>
        <v>16867</v>
      </c>
      <c r="K760">
        <f>VLOOKUP(A761,[1]timesData!$B:$P,10,FALSE)</f>
        <v>18.399999999999999</v>
      </c>
      <c r="L760">
        <f>VLOOKUP(A761,[1]timesData!$B:$P,11,FALSE)</f>
        <v>0.1</v>
      </c>
      <c r="M760">
        <f>VLOOKUP(A761,[1]timesData!$B:$P,12,FALSE)</f>
        <v>2.4048611111111109</v>
      </c>
      <c r="N760">
        <f>VLOOKUP(A761,[1]timesData!$B:$P,13,FALSE)</f>
        <v>2016</v>
      </c>
      <c r="O760" t="e">
        <f>VLOOKUP(A760,[2]cwurData!$B:$P,14,FALSE)</f>
        <v>#N/A</v>
      </c>
      <c r="P760" t="e">
        <f>VLOOKUP(A760,[2]cwurData!$B:$N, 3, FALSE)</f>
        <v>#N/A</v>
      </c>
      <c r="Q760" t="e">
        <f>VLOOKUP(A760,[2]cwurData!$B:$N, 4, FALSE)</f>
        <v>#N/A</v>
      </c>
      <c r="R760" t="e">
        <f>VLOOKUP(A760,[2]cwurData!$B:$N, 5, FALSE)</f>
        <v>#N/A</v>
      </c>
      <c r="S760" t="e">
        <f>VLOOKUP(A760,[2]cwurData!$B:$N, 6, FALSE)</f>
        <v>#N/A</v>
      </c>
      <c r="T760" t="e">
        <f>VLOOKUP(A760,[2]cwurData!$B:$N, 7, FALSE)</f>
        <v>#N/A</v>
      </c>
      <c r="U760" t="e">
        <f>VLOOKUP(A760,[2]cwurData!$B:$N, 8, FALSE)</f>
        <v>#N/A</v>
      </c>
      <c r="V760" t="e">
        <f>VLOOKUP(A760,[2]cwurData!$B:$N, 9, FALSE)</f>
        <v>#N/A</v>
      </c>
      <c r="W760" t="e">
        <f>VLOOKUP(A760,[2]cwurData!$B:$N, 10, FALSE)</f>
        <v>#N/A</v>
      </c>
      <c r="X760" t="e">
        <f>VLOOKUP(A760,[2]cwurData!$B:$N, 11, FALSE)</f>
        <v>#N/A</v>
      </c>
      <c r="Y760" t="e">
        <f>VLOOKUP(A760,[2]cwurData!$B:$N, 12, FALSE)</f>
        <v>#N/A</v>
      </c>
      <c r="Z760" t="e">
        <f>VLOOKUP(A760,[2]cwurData!$B:$N, 13, FALSE)</f>
        <v>#N/A</v>
      </c>
    </row>
    <row r="761" spans="1:26" x14ac:dyDescent="0.3">
      <c r="A761" t="s">
        <v>736</v>
      </c>
      <c r="B761" t="str">
        <f>IFERROR(VLOOKUP(A761,[1]timesData!$B:$P,2,FALSE),VLOOKUP(A761,[2]cwurData!$B:$P,2,FALSE))</f>
        <v>Taiwan</v>
      </c>
      <c r="C761" t="str">
        <f>VLOOKUP(A761,[1]timesData!$B:$P,3,FALSE)</f>
        <v>601-800</v>
      </c>
      <c r="D761" t="str">
        <f>VLOOKUP(A762,[1]timesData!$B:$P,3,FALSE)</f>
        <v>601-800</v>
      </c>
      <c r="E761">
        <f>VLOOKUP(A762,[1]timesData!$B:$P,4,FALSE)</f>
        <v>33.700000000000003</v>
      </c>
      <c r="F761">
        <f>VLOOKUP(A762,[1]timesData!$B:$P,5,FALSE)</f>
        <v>17.5</v>
      </c>
      <c r="G761">
        <f>VLOOKUP(A762,[1]timesData!$B:$P,6,FALSE)</f>
        <v>10.8</v>
      </c>
      <c r="H761">
        <f>VLOOKUP(A762,[1]timesData!$B:$P,7,FALSE)</f>
        <v>67.2</v>
      </c>
      <c r="I761" t="str">
        <f>VLOOKUP(A762,[1]timesData!$B:$P,8,FALSE)</f>
        <v>-</v>
      </c>
      <c r="J761">
        <f>VLOOKUP(A762,[1]timesData!$B:$P,9,FALSE)</f>
        <v>4441</v>
      </c>
      <c r="K761">
        <f>VLOOKUP(A762,[1]timesData!$B:$P,10,FALSE)</f>
        <v>6.7</v>
      </c>
      <c r="L761">
        <f>VLOOKUP(A762,[1]timesData!$B:$P,11,FALSE)</f>
        <v>0.13</v>
      </c>
      <c r="M761">
        <f>VLOOKUP(A762,[1]timesData!$B:$P,12,FALSE)</f>
        <v>1.83125</v>
      </c>
      <c r="N761">
        <f>VLOOKUP(A762,[1]timesData!$B:$P,13,FALSE)</f>
        <v>2016</v>
      </c>
      <c r="O761" t="e">
        <f>VLOOKUP(A761,[2]cwurData!$B:$P,14,FALSE)</f>
        <v>#N/A</v>
      </c>
      <c r="P761" t="e">
        <f>VLOOKUP(A761,[2]cwurData!$B:$N, 3, FALSE)</f>
        <v>#N/A</v>
      </c>
      <c r="Q761" t="e">
        <f>VLOOKUP(A761,[2]cwurData!$B:$N, 4, FALSE)</f>
        <v>#N/A</v>
      </c>
      <c r="R761" t="e">
        <f>VLOOKUP(A761,[2]cwurData!$B:$N, 5, FALSE)</f>
        <v>#N/A</v>
      </c>
      <c r="S761" t="e">
        <f>VLOOKUP(A761,[2]cwurData!$B:$N, 6, FALSE)</f>
        <v>#N/A</v>
      </c>
      <c r="T761" t="e">
        <f>VLOOKUP(A761,[2]cwurData!$B:$N, 7, FALSE)</f>
        <v>#N/A</v>
      </c>
      <c r="U761" t="e">
        <f>VLOOKUP(A761,[2]cwurData!$B:$N, 8, FALSE)</f>
        <v>#N/A</v>
      </c>
      <c r="V761" t="e">
        <f>VLOOKUP(A761,[2]cwurData!$B:$N, 9, FALSE)</f>
        <v>#N/A</v>
      </c>
      <c r="W761" t="e">
        <f>VLOOKUP(A761,[2]cwurData!$B:$N, 10, FALSE)</f>
        <v>#N/A</v>
      </c>
      <c r="X761" t="e">
        <f>VLOOKUP(A761,[2]cwurData!$B:$N, 11, FALSE)</f>
        <v>#N/A</v>
      </c>
      <c r="Y761" t="e">
        <f>VLOOKUP(A761,[2]cwurData!$B:$N, 12, FALSE)</f>
        <v>#N/A</v>
      </c>
      <c r="Z761" t="e">
        <f>VLOOKUP(A761,[2]cwurData!$B:$N, 13, FALSE)</f>
        <v>#N/A</v>
      </c>
    </row>
    <row r="762" spans="1:26" x14ac:dyDescent="0.3">
      <c r="A762" t="s">
        <v>741</v>
      </c>
      <c r="B762" t="str">
        <f>IFERROR(VLOOKUP(A762,[1]timesData!$B:$P,2,FALSE),VLOOKUP(A762,[2]cwurData!$B:$P,2,FALSE))</f>
        <v>Russian Federation</v>
      </c>
      <c r="C762" t="str">
        <f>VLOOKUP(A762,[1]timesData!$B:$P,3,FALSE)</f>
        <v>601-800</v>
      </c>
      <c r="D762" t="str">
        <f>VLOOKUP(A763,[1]timesData!$B:$P,3,FALSE)</f>
        <v>601-800</v>
      </c>
      <c r="E762">
        <f>VLOOKUP(A763,[1]timesData!$B:$P,4,FALSE)</f>
        <v>31.3</v>
      </c>
      <c r="F762">
        <f>VLOOKUP(A763,[1]timesData!$B:$P,5,FALSE)</f>
        <v>7</v>
      </c>
      <c r="G762">
        <f>VLOOKUP(A763,[1]timesData!$B:$P,6,FALSE)</f>
        <v>35</v>
      </c>
      <c r="H762">
        <f>VLOOKUP(A763,[1]timesData!$B:$P,7,FALSE)</f>
        <v>31.3</v>
      </c>
      <c r="I762" t="str">
        <f>VLOOKUP(A763,[1]timesData!$B:$P,8,FALSE)</f>
        <v>-</v>
      </c>
      <c r="J762">
        <f>VLOOKUP(A763,[1]timesData!$B:$P,9,FALSE)</f>
        <v>9808</v>
      </c>
      <c r="K762">
        <f>VLOOKUP(A763,[1]timesData!$B:$P,10,FALSE)</f>
        <v>7.8</v>
      </c>
      <c r="L762">
        <f>VLOOKUP(A763,[1]timesData!$B:$P,11,FALSE)</f>
        <v>0.03</v>
      </c>
      <c r="M762" t="str">
        <f>VLOOKUP(A763,[1]timesData!$B:$P,12,FALSE)</f>
        <v>27 : 73</v>
      </c>
      <c r="N762">
        <f>VLOOKUP(A763,[1]timesData!$B:$P,13,FALSE)</f>
        <v>2016</v>
      </c>
      <c r="O762" t="e">
        <f>VLOOKUP(A762,[2]cwurData!$B:$P,14,FALSE)</f>
        <v>#N/A</v>
      </c>
      <c r="P762" t="e">
        <f>VLOOKUP(A762,[2]cwurData!$B:$N, 3, FALSE)</f>
        <v>#N/A</v>
      </c>
      <c r="Q762" t="e">
        <f>VLOOKUP(A762,[2]cwurData!$B:$N, 4, FALSE)</f>
        <v>#N/A</v>
      </c>
      <c r="R762" t="e">
        <f>VLOOKUP(A762,[2]cwurData!$B:$N, 5, FALSE)</f>
        <v>#N/A</v>
      </c>
      <c r="S762" t="e">
        <f>VLOOKUP(A762,[2]cwurData!$B:$N, 6, FALSE)</f>
        <v>#N/A</v>
      </c>
      <c r="T762" t="e">
        <f>VLOOKUP(A762,[2]cwurData!$B:$N, 7, FALSE)</f>
        <v>#N/A</v>
      </c>
      <c r="U762" t="e">
        <f>VLOOKUP(A762,[2]cwurData!$B:$N, 8, FALSE)</f>
        <v>#N/A</v>
      </c>
      <c r="V762" t="e">
        <f>VLOOKUP(A762,[2]cwurData!$B:$N, 9, FALSE)</f>
        <v>#N/A</v>
      </c>
      <c r="W762" t="e">
        <f>VLOOKUP(A762,[2]cwurData!$B:$N, 10, FALSE)</f>
        <v>#N/A</v>
      </c>
      <c r="X762" t="e">
        <f>VLOOKUP(A762,[2]cwurData!$B:$N, 11, FALSE)</f>
        <v>#N/A</v>
      </c>
      <c r="Y762" t="e">
        <f>VLOOKUP(A762,[2]cwurData!$B:$N, 12, FALSE)</f>
        <v>#N/A</v>
      </c>
      <c r="Z762" t="e">
        <f>VLOOKUP(A762,[2]cwurData!$B:$N, 13, FALSE)</f>
        <v>#N/A</v>
      </c>
    </row>
    <row r="763" spans="1:26" x14ac:dyDescent="0.3">
      <c r="A763" t="s">
        <v>742</v>
      </c>
      <c r="B763" t="str">
        <f>IFERROR(VLOOKUP(A763,[1]timesData!$B:$P,2,FALSE),VLOOKUP(A763,[2]cwurData!$B:$P,2,FALSE))</f>
        <v>Pakistan</v>
      </c>
      <c r="C763" t="str">
        <f>VLOOKUP(A763,[1]timesData!$B:$P,3,FALSE)</f>
        <v>601-800</v>
      </c>
      <c r="D763" t="str">
        <f>VLOOKUP(A764,[1]timesData!$B:$P,3,FALSE)</f>
        <v>601-800</v>
      </c>
      <c r="E763">
        <f>VLOOKUP(A764,[1]timesData!$B:$P,4,FALSE)</f>
        <v>55.1</v>
      </c>
      <c r="F763">
        <f>VLOOKUP(A764,[1]timesData!$B:$P,5,FALSE)</f>
        <v>10.9</v>
      </c>
      <c r="G763">
        <f>VLOOKUP(A764,[1]timesData!$B:$P,6,FALSE)</f>
        <v>29.2</v>
      </c>
      <c r="H763">
        <f>VLOOKUP(A764,[1]timesData!$B:$P,7,FALSE)</f>
        <v>29.1</v>
      </c>
      <c r="I763" t="str">
        <f>VLOOKUP(A764,[1]timesData!$B:$P,8,FALSE)</f>
        <v>-</v>
      </c>
      <c r="J763">
        <f>VLOOKUP(A764,[1]timesData!$B:$P,9,FALSE)</f>
        <v>22750</v>
      </c>
      <c r="K763">
        <f>VLOOKUP(A764,[1]timesData!$B:$P,10,FALSE)</f>
        <v>19.3</v>
      </c>
      <c r="L763">
        <f>VLOOKUP(A764,[1]timesData!$B:$P,11,FALSE)</f>
        <v>0.16</v>
      </c>
      <c r="M763">
        <f>VLOOKUP(A764,[1]timesData!$B:$P,12,FALSE)</f>
        <v>2.3229166666666665</v>
      </c>
      <c r="N763">
        <f>VLOOKUP(A764,[1]timesData!$B:$P,13,FALSE)</f>
        <v>2016</v>
      </c>
      <c r="O763" t="e">
        <f>VLOOKUP(A763,[2]cwurData!$B:$P,14,FALSE)</f>
        <v>#N/A</v>
      </c>
      <c r="P763" t="e">
        <f>VLOOKUP(A763,[2]cwurData!$B:$N, 3, FALSE)</f>
        <v>#N/A</v>
      </c>
      <c r="Q763" t="e">
        <f>VLOOKUP(A763,[2]cwurData!$B:$N, 4, FALSE)</f>
        <v>#N/A</v>
      </c>
      <c r="R763" t="e">
        <f>VLOOKUP(A763,[2]cwurData!$B:$N, 5, FALSE)</f>
        <v>#N/A</v>
      </c>
      <c r="S763" t="e">
        <f>VLOOKUP(A763,[2]cwurData!$B:$N, 6, FALSE)</f>
        <v>#N/A</v>
      </c>
      <c r="T763" t="e">
        <f>VLOOKUP(A763,[2]cwurData!$B:$N, 7, FALSE)</f>
        <v>#N/A</v>
      </c>
      <c r="U763" t="e">
        <f>VLOOKUP(A763,[2]cwurData!$B:$N, 8, FALSE)</f>
        <v>#N/A</v>
      </c>
      <c r="V763" t="e">
        <f>VLOOKUP(A763,[2]cwurData!$B:$N, 9, FALSE)</f>
        <v>#N/A</v>
      </c>
      <c r="W763" t="e">
        <f>VLOOKUP(A763,[2]cwurData!$B:$N, 10, FALSE)</f>
        <v>#N/A</v>
      </c>
      <c r="X763" t="e">
        <f>VLOOKUP(A763,[2]cwurData!$B:$N, 11, FALSE)</f>
        <v>#N/A</v>
      </c>
      <c r="Y763" t="e">
        <f>VLOOKUP(A763,[2]cwurData!$B:$N, 12, FALSE)</f>
        <v>#N/A</v>
      </c>
      <c r="Z763" t="e">
        <f>VLOOKUP(A763,[2]cwurData!$B:$N, 13, FALSE)</f>
        <v>#N/A</v>
      </c>
    </row>
    <row r="764" spans="1:26" x14ac:dyDescent="0.3">
      <c r="A764" t="s">
        <v>744</v>
      </c>
      <c r="B764" t="str">
        <f>IFERROR(VLOOKUP(A764,[1]timesData!$B:$P,2,FALSE),VLOOKUP(A764,[2]cwurData!$B:$P,2,FALSE))</f>
        <v>United Kingdom</v>
      </c>
      <c r="C764" t="str">
        <f>VLOOKUP(A764,[1]timesData!$B:$P,3,FALSE)</f>
        <v>601-800</v>
      </c>
      <c r="D764" t="str">
        <f>VLOOKUP(A765,[1]timesData!$B:$P,3,FALSE)</f>
        <v>601-800</v>
      </c>
      <c r="E764">
        <f>VLOOKUP(A765,[1]timesData!$B:$P,4,FALSE)</f>
        <v>52.7</v>
      </c>
      <c r="F764">
        <f>VLOOKUP(A765,[1]timesData!$B:$P,5,FALSE)</f>
        <v>8.9</v>
      </c>
      <c r="G764">
        <f>VLOOKUP(A765,[1]timesData!$B:$P,6,FALSE)</f>
        <v>27.3</v>
      </c>
      <c r="H764">
        <f>VLOOKUP(A765,[1]timesData!$B:$P,7,FALSE)</f>
        <v>28.4</v>
      </c>
      <c r="I764" t="str">
        <f>VLOOKUP(A765,[1]timesData!$B:$P,8,FALSE)</f>
        <v>-</v>
      </c>
      <c r="J764">
        <f>VLOOKUP(A765,[1]timesData!$B:$P,9,FALSE)</f>
        <v>21852</v>
      </c>
      <c r="K764">
        <f>VLOOKUP(A765,[1]timesData!$B:$P,10,FALSE)</f>
        <v>17.399999999999999</v>
      </c>
      <c r="L764">
        <f>VLOOKUP(A765,[1]timesData!$B:$P,11,FALSE)</f>
        <v>0.18</v>
      </c>
      <c r="M764">
        <f>VLOOKUP(A765,[1]timesData!$B:$P,12,FALSE)</f>
        <v>2.3229166666666665</v>
      </c>
      <c r="N764">
        <f>VLOOKUP(A765,[1]timesData!$B:$P,13,FALSE)</f>
        <v>2016</v>
      </c>
      <c r="O764" t="e">
        <f>VLOOKUP(A764,[2]cwurData!$B:$P,14,FALSE)</f>
        <v>#N/A</v>
      </c>
      <c r="P764" t="e">
        <f>VLOOKUP(A764,[2]cwurData!$B:$N, 3, FALSE)</f>
        <v>#N/A</v>
      </c>
      <c r="Q764" t="e">
        <f>VLOOKUP(A764,[2]cwurData!$B:$N, 4, FALSE)</f>
        <v>#N/A</v>
      </c>
      <c r="R764" t="e">
        <f>VLOOKUP(A764,[2]cwurData!$B:$N, 5, FALSE)</f>
        <v>#N/A</v>
      </c>
      <c r="S764" t="e">
        <f>VLOOKUP(A764,[2]cwurData!$B:$N, 6, FALSE)</f>
        <v>#N/A</v>
      </c>
      <c r="T764" t="e">
        <f>VLOOKUP(A764,[2]cwurData!$B:$N, 7, FALSE)</f>
        <v>#N/A</v>
      </c>
      <c r="U764" t="e">
        <f>VLOOKUP(A764,[2]cwurData!$B:$N, 8, FALSE)</f>
        <v>#N/A</v>
      </c>
      <c r="V764" t="e">
        <f>VLOOKUP(A764,[2]cwurData!$B:$N, 9, FALSE)</f>
        <v>#N/A</v>
      </c>
      <c r="W764" t="e">
        <f>VLOOKUP(A764,[2]cwurData!$B:$N, 10, FALSE)</f>
        <v>#N/A</v>
      </c>
      <c r="X764" t="e">
        <f>VLOOKUP(A764,[2]cwurData!$B:$N, 11, FALSE)</f>
        <v>#N/A</v>
      </c>
      <c r="Y764" t="e">
        <f>VLOOKUP(A764,[2]cwurData!$B:$N, 12, FALSE)</f>
        <v>#N/A</v>
      </c>
      <c r="Z764" t="e">
        <f>VLOOKUP(A764,[2]cwurData!$B:$N, 13, FALSE)</f>
        <v>#N/A</v>
      </c>
    </row>
    <row r="765" spans="1:26" x14ac:dyDescent="0.3">
      <c r="A765" t="s">
        <v>746</v>
      </c>
      <c r="B765" t="str">
        <f>IFERROR(VLOOKUP(A765,[1]timesData!$B:$P,2,FALSE),VLOOKUP(A765,[2]cwurData!$B:$P,2,FALSE))</f>
        <v>United Kingdom</v>
      </c>
      <c r="C765" t="str">
        <f>VLOOKUP(A765,[1]timesData!$B:$P,3,FALSE)</f>
        <v>601-800</v>
      </c>
      <c r="D765" t="str">
        <f>VLOOKUP(A766,[1]timesData!$B:$P,3,FALSE)</f>
        <v>601-800</v>
      </c>
      <c r="E765">
        <f>VLOOKUP(A766,[1]timesData!$B:$P,4,FALSE)</f>
        <v>44.2</v>
      </c>
      <c r="F765">
        <f>VLOOKUP(A766,[1]timesData!$B:$P,5,FALSE)</f>
        <v>21.3</v>
      </c>
      <c r="G765">
        <f>VLOOKUP(A766,[1]timesData!$B:$P,6,FALSE)</f>
        <v>7.1</v>
      </c>
      <c r="H765">
        <f>VLOOKUP(A766,[1]timesData!$B:$P,7,FALSE)</f>
        <v>28.5</v>
      </c>
      <c r="I765" t="str">
        <f>VLOOKUP(A766,[1]timesData!$B:$P,8,FALSE)</f>
        <v>-</v>
      </c>
      <c r="J765">
        <f>VLOOKUP(A766,[1]timesData!$B:$P,9,FALSE)</f>
        <v>21580</v>
      </c>
      <c r="K765">
        <f>VLOOKUP(A766,[1]timesData!$B:$P,10,FALSE)</f>
        <v>27.4</v>
      </c>
      <c r="L765">
        <f>VLOOKUP(A766,[1]timesData!$B:$P,11,FALSE)</f>
        <v>0.21</v>
      </c>
      <c r="M765">
        <f>VLOOKUP(A766,[1]timesData!$B:$P,12,FALSE)</f>
        <v>2.8965277777777776</v>
      </c>
      <c r="N765">
        <f>VLOOKUP(A766,[1]timesData!$B:$P,13,FALSE)</f>
        <v>2016</v>
      </c>
      <c r="O765" t="e">
        <f>VLOOKUP(A765,[2]cwurData!$B:$P,14,FALSE)</f>
        <v>#N/A</v>
      </c>
      <c r="P765" t="e">
        <f>VLOOKUP(A765,[2]cwurData!$B:$N, 3, FALSE)</f>
        <v>#N/A</v>
      </c>
      <c r="Q765" t="e">
        <f>VLOOKUP(A765,[2]cwurData!$B:$N, 4, FALSE)</f>
        <v>#N/A</v>
      </c>
      <c r="R765" t="e">
        <f>VLOOKUP(A765,[2]cwurData!$B:$N, 5, FALSE)</f>
        <v>#N/A</v>
      </c>
      <c r="S765" t="e">
        <f>VLOOKUP(A765,[2]cwurData!$B:$N, 6, FALSE)</f>
        <v>#N/A</v>
      </c>
      <c r="T765" t="e">
        <f>VLOOKUP(A765,[2]cwurData!$B:$N, 7, FALSE)</f>
        <v>#N/A</v>
      </c>
      <c r="U765" t="e">
        <f>VLOOKUP(A765,[2]cwurData!$B:$N, 8, FALSE)</f>
        <v>#N/A</v>
      </c>
      <c r="V765" t="e">
        <f>VLOOKUP(A765,[2]cwurData!$B:$N, 9, FALSE)</f>
        <v>#N/A</v>
      </c>
      <c r="W765" t="e">
        <f>VLOOKUP(A765,[2]cwurData!$B:$N, 10, FALSE)</f>
        <v>#N/A</v>
      </c>
      <c r="X765" t="e">
        <f>VLOOKUP(A765,[2]cwurData!$B:$N, 11, FALSE)</f>
        <v>#N/A</v>
      </c>
      <c r="Y765" t="e">
        <f>VLOOKUP(A765,[2]cwurData!$B:$N, 12, FALSE)</f>
        <v>#N/A</v>
      </c>
      <c r="Z765" t="e">
        <f>VLOOKUP(A765,[2]cwurData!$B:$N, 13, FALSE)</f>
        <v>#N/A</v>
      </c>
    </row>
    <row r="766" spans="1:26" x14ac:dyDescent="0.3">
      <c r="A766" t="s">
        <v>753</v>
      </c>
      <c r="B766" t="str">
        <f>IFERROR(VLOOKUP(A766,[1]timesData!$B:$P,2,FALSE),VLOOKUP(A766,[2]cwurData!$B:$P,2,FALSE))</f>
        <v>France</v>
      </c>
      <c r="C766" t="str">
        <f>VLOOKUP(A766,[1]timesData!$B:$P,3,FALSE)</f>
        <v>601-800</v>
      </c>
      <c r="D766" t="str">
        <f>VLOOKUP(A767,[1]timesData!$B:$P,3,FALSE)</f>
        <v>601-800</v>
      </c>
      <c r="E766">
        <f>VLOOKUP(A767,[1]timesData!$B:$P,4,FALSE)</f>
        <v>18.600000000000001</v>
      </c>
      <c r="F766">
        <f>VLOOKUP(A767,[1]timesData!$B:$P,5,FALSE)</f>
        <v>6.5</v>
      </c>
      <c r="G766">
        <f>VLOOKUP(A767,[1]timesData!$B:$P,6,FALSE)</f>
        <v>32.200000000000003</v>
      </c>
      <c r="H766">
        <f>VLOOKUP(A767,[1]timesData!$B:$P,7,FALSE)</f>
        <v>28</v>
      </c>
      <c r="I766" t="str">
        <f>VLOOKUP(A767,[1]timesData!$B:$P,8,FALSE)</f>
        <v>-</v>
      </c>
      <c r="J766">
        <f>VLOOKUP(A767,[1]timesData!$B:$P,9,FALSE)</f>
        <v>7741</v>
      </c>
      <c r="K766">
        <f>VLOOKUP(A767,[1]timesData!$B:$P,10,FALSE)</f>
        <v>10.9</v>
      </c>
      <c r="L766">
        <f>VLOOKUP(A767,[1]timesData!$B:$P,11,FALSE)</f>
        <v>0.02</v>
      </c>
      <c r="M766">
        <f>VLOOKUP(A767,[1]timesData!$B:$P,12,FALSE)</f>
        <v>0.11041666666666666</v>
      </c>
      <c r="N766">
        <f>VLOOKUP(A767,[1]timesData!$B:$P,13,FALSE)</f>
        <v>2016</v>
      </c>
      <c r="O766" t="e">
        <f>VLOOKUP(A766,[2]cwurData!$B:$P,14,FALSE)</f>
        <v>#N/A</v>
      </c>
      <c r="P766" t="e">
        <f>VLOOKUP(A766,[2]cwurData!$B:$N, 3, FALSE)</f>
        <v>#N/A</v>
      </c>
      <c r="Q766" t="e">
        <f>VLOOKUP(A766,[2]cwurData!$B:$N, 4, FALSE)</f>
        <v>#N/A</v>
      </c>
      <c r="R766" t="e">
        <f>VLOOKUP(A766,[2]cwurData!$B:$N, 5, FALSE)</f>
        <v>#N/A</v>
      </c>
      <c r="S766" t="e">
        <f>VLOOKUP(A766,[2]cwurData!$B:$N, 6, FALSE)</f>
        <v>#N/A</v>
      </c>
      <c r="T766" t="e">
        <f>VLOOKUP(A766,[2]cwurData!$B:$N, 7, FALSE)</f>
        <v>#N/A</v>
      </c>
      <c r="U766" t="e">
        <f>VLOOKUP(A766,[2]cwurData!$B:$N, 8, FALSE)</f>
        <v>#N/A</v>
      </c>
      <c r="V766" t="e">
        <f>VLOOKUP(A766,[2]cwurData!$B:$N, 9, FALSE)</f>
        <v>#N/A</v>
      </c>
      <c r="W766" t="e">
        <f>VLOOKUP(A766,[2]cwurData!$B:$N, 10, FALSE)</f>
        <v>#N/A</v>
      </c>
      <c r="X766" t="e">
        <f>VLOOKUP(A766,[2]cwurData!$B:$N, 11, FALSE)</f>
        <v>#N/A</v>
      </c>
      <c r="Y766" t="e">
        <f>VLOOKUP(A766,[2]cwurData!$B:$N, 12, FALSE)</f>
        <v>#N/A</v>
      </c>
      <c r="Z766" t="e">
        <f>VLOOKUP(A766,[2]cwurData!$B:$N, 13, FALSE)</f>
        <v>#N/A</v>
      </c>
    </row>
    <row r="767" spans="1:26" x14ac:dyDescent="0.3">
      <c r="A767" t="s">
        <v>756</v>
      </c>
      <c r="B767" t="str">
        <f>IFERROR(VLOOKUP(A767,[1]timesData!$B:$P,2,FALSE),VLOOKUP(A767,[2]cwurData!$B:$P,2,FALSE))</f>
        <v>Brazil</v>
      </c>
      <c r="C767" t="str">
        <f>VLOOKUP(A767,[1]timesData!$B:$P,3,FALSE)</f>
        <v>601-800</v>
      </c>
      <c r="D767" t="str">
        <f>VLOOKUP(A768,[1]timesData!$B:$P,3,FALSE)</f>
        <v>601-800</v>
      </c>
      <c r="E767">
        <f>VLOOKUP(A768,[1]timesData!$B:$P,4,FALSE)</f>
        <v>18.7</v>
      </c>
      <c r="F767">
        <f>VLOOKUP(A768,[1]timesData!$B:$P,5,FALSE)</f>
        <v>10.9</v>
      </c>
      <c r="G767">
        <f>VLOOKUP(A768,[1]timesData!$B:$P,6,FALSE)</f>
        <v>27.6</v>
      </c>
      <c r="H767">
        <f>VLOOKUP(A768,[1]timesData!$B:$P,7,FALSE)</f>
        <v>52.3</v>
      </c>
      <c r="I767" t="str">
        <f>VLOOKUP(A768,[1]timesData!$B:$P,8,FALSE)</f>
        <v>-</v>
      </c>
      <c r="J767">
        <f>VLOOKUP(A768,[1]timesData!$B:$P,9,FALSE)</f>
        <v>14797</v>
      </c>
      <c r="K767">
        <f>VLOOKUP(A768,[1]timesData!$B:$P,10,FALSE)</f>
        <v>10.1</v>
      </c>
      <c r="L767">
        <f>VLOOKUP(A768,[1]timesData!$B:$P,11,FALSE)</f>
        <v>0</v>
      </c>
      <c r="M767">
        <f>VLOOKUP(A768,[1]timesData!$B:$P,12,FALSE)</f>
        <v>2.1180555555555554</v>
      </c>
      <c r="N767">
        <f>VLOOKUP(A768,[1]timesData!$B:$P,13,FALSE)</f>
        <v>2016</v>
      </c>
      <c r="O767" t="e">
        <f>VLOOKUP(A767,[2]cwurData!$B:$P,14,FALSE)</f>
        <v>#N/A</v>
      </c>
      <c r="P767" t="e">
        <f>VLOOKUP(A767,[2]cwurData!$B:$N, 3, FALSE)</f>
        <v>#N/A</v>
      </c>
      <c r="Q767" t="e">
        <f>VLOOKUP(A767,[2]cwurData!$B:$N, 4, FALSE)</f>
        <v>#N/A</v>
      </c>
      <c r="R767" t="e">
        <f>VLOOKUP(A767,[2]cwurData!$B:$N, 5, FALSE)</f>
        <v>#N/A</v>
      </c>
      <c r="S767" t="e">
        <f>VLOOKUP(A767,[2]cwurData!$B:$N, 6, FALSE)</f>
        <v>#N/A</v>
      </c>
      <c r="T767" t="e">
        <f>VLOOKUP(A767,[2]cwurData!$B:$N, 7, FALSE)</f>
        <v>#N/A</v>
      </c>
      <c r="U767" t="e">
        <f>VLOOKUP(A767,[2]cwurData!$B:$N, 8, FALSE)</f>
        <v>#N/A</v>
      </c>
      <c r="V767" t="e">
        <f>VLOOKUP(A767,[2]cwurData!$B:$N, 9, FALSE)</f>
        <v>#N/A</v>
      </c>
      <c r="W767" t="e">
        <f>VLOOKUP(A767,[2]cwurData!$B:$N, 10, FALSE)</f>
        <v>#N/A</v>
      </c>
      <c r="X767" t="e">
        <f>VLOOKUP(A767,[2]cwurData!$B:$N, 11, FALSE)</f>
        <v>#N/A</v>
      </c>
      <c r="Y767" t="e">
        <f>VLOOKUP(A767,[2]cwurData!$B:$N, 12, FALSE)</f>
        <v>#N/A</v>
      </c>
      <c r="Z767" t="e">
        <f>VLOOKUP(A767,[2]cwurData!$B:$N, 13, FALSE)</f>
        <v>#N/A</v>
      </c>
    </row>
    <row r="768" spans="1:26" x14ac:dyDescent="0.3">
      <c r="A768" t="s">
        <v>757</v>
      </c>
      <c r="B768" t="str">
        <f>IFERROR(VLOOKUP(A768,[1]timesData!$B:$P,2,FALSE),VLOOKUP(A768,[2]cwurData!$B:$P,2,FALSE))</f>
        <v>Brazil</v>
      </c>
      <c r="C768" t="str">
        <f>VLOOKUP(A768,[1]timesData!$B:$P,3,FALSE)</f>
        <v>601-800</v>
      </c>
      <c r="D768" t="str">
        <f>VLOOKUP(A769,[1]timesData!$B:$P,3,FALSE)</f>
        <v>601-800</v>
      </c>
      <c r="E768">
        <f>VLOOKUP(A769,[1]timesData!$B:$P,4,FALSE)</f>
        <v>35.700000000000003</v>
      </c>
      <c r="F768">
        <f>VLOOKUP(A769,[1]timesData!$B:$P,5,FALSE)</f>
        <v>8</v>
      </c>
      <c r="G768">
        <f>VLOOKUP(A769,[1]timesData!$B:$P,6,FALSE)</f>
        <v>10.4</v>
      </c>
      <c r="H768">
        <f>VLOOKUP(A769,[1]timesData!$B:$P,7,FALSE)</f>
        <v>44.3</v>
      </c>
      <c r="I768" t="str">
        <f>VLOOKUP(A769,[1]timesData!$B:$P,8,FALSE)</f>
        <v>-</v>
      </c>
      <c r="J768">
        <f>VLOOKUP(A769,[1]timesData!$B:$P,9,FALSE)</f>
        <v>13493</v>
      </c>
      <c r="K768">
        <f>VLOOKUP(A769,[1]timesData!$B:$P,10,FALSE)</f>
        <v>10.4</v>
      </c>
      <c r="L768">
        <f>VLOOKUP(A769,[1]timesData!$B:$P,11,FALSE)</f>
        <v>0</v>
      </c>
      <c r="M768">
        <f>VLOOKUP(A769,[1]timesData!$B:$P,12,FALSE)</f>
        <v>1.9131944444444444</v>
      </c>
      <c r="N768">
        <f>VLOOKUP(A769,[1]timesData!$B:$P,13,FALSE)</f>
        <v>2016</v>
      </c>
      <c r="O768" t="e">
        <f>VLOOKUP(A768,[2]cwurData!$B:$P,14,FALSE)</f>
        <v>#N/A</v>
      </c>
      <c r="P768" t="e">
        <f>VLOOKUP(A768,[2]cwurData!$B:$N, 3, FALSE)</f>
        <v>#N/A</v>
      </c>
      <c r="Q768" t="e">
        <f>VLOOKUP(A768,[2]cwurData!$B:$N, 4, FALSE)</f>
        <v>#N/A</v>
      </c>
      <c r="R768" t="e">
        <f>VLOOKUP(A768,[2]cwurData!$B:$N, 5, FALSE)</f>
        <v>#N/A</v>
      </c>
      <c r="S768" t="e">
        <f>VLOOKUP(A768,[2]cwurData!$B:$N, 6, FALSE)</f>
        <v>#N/A</v>
      </c>
      <c r="T768" t="e">
        <f>VLOOKUP(A768,[2]cwurData!$B:$N, 7, FALSE)</f>
        <v>#N/A</v>
      </c>
      <c r="U768" t="e">
        <f>VLOOKUP(A768,[2]cwurData!$B:$N, 8, FALSE)</f>
        <v>#N/A</v>
      </c>
      <c r="V768" t="e">
        <f>VLOOKUP(A768,[2]cwurData!$B:$N, 9, FALSE)</f>
        <v>#N/A</v>
      </c>
      <c r="W768" t="e">
        <f>VLOOKUP(A768,[2]cwurData!$B:$N, 10, FALSE)</f>
        <v>#N/A</v>
      </c>
      <c r="X768" t="e">
        <f>VLOOKUP(A768,[2]cwurData!$B:$N, 11, FALSE)</f>
        <v>#N/A</v>
      </c>
      <c r="Y768" t="e">
        <f>VLOOKUP(A768,[2]cwurData!$B:$N, 12, FALSE)</f>
        <v>#N/A</v>
      </c>
      <c r="Z768" t="e">
        <f>VLOOKUP(A768,[2]cwurData!$B:$N, 13, FALSE)</f>
        <v>#N/A</v>
      </c>
    </row>
    <row r="769" spans="1:26" x14ac:dyDescent="0.3">
      <c r="A769" t="s">
        <v>758</v>
      </c>
      <c r="B769" t="str">
        <f>IFERROR(VLOOKUP(A769,[1]timesData!$B:$P,2,FALSE),VLOOKUP(A769,[2]cwurData!$B:$P,2,FALSE))</f>
        <v>Chile</v>
      </c>
      <c r="C769" t="str">
        <f>VLOOKUP(A769,[1]timesData!$B:$P,3,FALSE)</f>
        <v>601-800</v>
      </c>
      <c r="D769" t="str">
        <f>VLOOKUP(A770,[1]timesData!$B:$P,3,FALSE)</f>
        <v>601-800</v>
      </c>
      <c r="E769">
        <f>VLOOKUP(A770,[1]timesData!$B:$P,4,FALSE)</f>
        <v>31</v>
      </c>
      <c r="F769">
        <f>VLOOKUP(A770,[1]timesData!$B:$P,5,FALSE)</f>
        <v>7</v>
      </c>
      <c r="G769">
        <f>VLOOKUP(A770,[1]timesData!$B:$P,6,FALSE)</f>
        <v>22.2</v>
      </c>
      <c r="H769">
        <f>VLOOKUP(A770,[1]timesData!$B:$P,7,FALSE)</f>
        <v>31.6</v>
      </c>
      <c r="I769" t="str">
        <f>VLOOKUP(A770,[1]timesData!$B:$P,8,FALSE)</f>
        <v>-</v>
      </c>
      <c r="J769">
        <f>VLOOKUP(A770,[1]timesData!$B:$P,9,FALSE)</f>
        <v>38274</v>
      </c>
      <c r="K769">
        <f>VLOOKUP(A770,[1]timesData!$B:$P,10,FALSE)</f>
        <v>16.100000000000001</v>
      </c>
      <c r="L769">
        <f>VLOOKUP(A770,[1]timesData!$B:$P,11,FALSE)</f>
        <v>0.01</v>
      </c>
      <c r="M769">
        <f>VLOOKUP(A770,[1]timesData!$B:$P,12,FALSE)</f>
        <v>2.8965277777777776</v>
      </c>
      <c r="N769">
        <f>VLOOKUP(A770,[1]timesData!$B:$P,13,FALSE)</f>
        <v>2016</v>
      </c>
      <c r="O769" t="e">
        <f>VLOOKUP(A769,[2]cwurData!$B:$P,14,FALSE)</f>
        <v>#N/A</v>
      </c>
      <c r="P769" t="e">
        <f>VLOOKUP(A769,[2]cwurData!$B:$N, 3, FALSE)</f>
        <v>#N/A</v>
      </c>
      <c r="Q769" t="e">
        <f>VLOOKUP(A769,[2]cwurData!$B:$N, 4, FALSE)</f>
        <v>#N/A</v>
      </c>
      <c r="R769" t="e">
        <f>VLOOKUP(A769,[2]cwurData!$B:$N, 5, FALSE)</f>
        <v>#N/A</v>
      </c>
      <c r="S769" t="e">
        <f>VLOOKUP(A769,[2]cwurData!$B:$N, 6, FALSE)</f>
        <v>#N/A</v>
      </c>
      <c r="T769" t="e">
        <f>VLOOKUP(A769,[2]cwurData!$B:$N, 7, FALSE)</f>
        <v>#N/A</v>
      </c>
      <c r="U769" t="e">
        <f>VLOOKUP(A769,[2]cwurData!$B:$N, 8, FALSE)</f>
        <v>#N/A</v>
      </c>
      <c r="V769" t="e">
        <f>VLOOKUP(A769,[2]cwurData!$B:$N, 9, FALSE)</f>
        <v>#N/A</v>
      </c>
      <c r="W769" t="e">
        <f>VLOOKUP(A769,[2]cwurData!$B:$N, 10, FALSE)</f>
        <v>#N/A</v>
      </c>
      <c r="X769" t="e">
        <f>VLOOKUP(A769,[2]cwurData!$B:$N, 11, FALSE)</f>
        <v>#N/A</v>
      </c>
      <c r="Y769" t="e">
        <f>VLOOKUP(A769,[2]cwurData!$B:$N, 12, FALSE)</f>
        <v>#N/A</v>
      </c>
      <c r="Z769" t="e">
        <f>VLOOKUP(A769,[2]cwurData!$B:$N, 13, FALSE)</f>
        <v>#N/A</v>
      </c>
    </row>
    <row r="770" spans="1:26" x14ac:dyDescent="0.3">
      <c r="A770" t="s">
        <v>759</v>
      </c>
      <c r="B770" t="str">
        <f>IFERROR(VLOOKUP(A770,[1]timesData!$B:$P,2,FALSE),VLOOKUP(A770,[2]cwurData!$B:$P,2,FALSE))</f>
        <v>Thailand</v>
      </c>
      <c r="C770" t="str">
        <f>VLOOKUP(A770,[1]timesData!$B:$P,3,FALSE)</f>
        <v>601-800</v>
      </c>
      <c r="D770" t="str">
        <f>VLOOKUP(A771,[1]timesData!$B:$P,3,FALSE)</f>
        <v>601-800</v>
      </c>
      <c r="E770">
        <f>VLOOKUP(A771,[1]timesData!$B:$P,4,FALSE)</f>
        <v>99.9</v>
      </c>
      <c r="F770">
        <f>VLOOKUP(A771,[1]timesData!$B:$P,5,FALSE)</f>
        <v>10.3</v>
      </c>
      <c r="G770">
        <f>VLOOKUP(A771,[1]timesData!$B:$P,6,FALSE)</f>
        <v>22.3</v>
      </c>
      <c r="H770">
        <f>VLOOKUP(A771,[1]timesData!$B:$P,7,FALSE)</f>
        <v>55.2</v>
      </c>
      <c r="I770" t="str">
        <f>VLOOKUP(A771,[1]timesData!$B:$P,8,FALSE)</f>
        <v>-</v>
      </c>
      <c r="J770">
        <f>VLOOKUP(A771,[1]timesData!$B:$P,9,FALSE)</f>
        <v>9583</v>
      </c>
      <c r="K770">
        <f>VLOOKUP(A771,[1]timesData!$B:$P,10,FALSE)</f>
        <v>19</v>
      </c>
      <c r="L770">
        <f>VLOOKUP(A771,[1]timesData!$B:$P,11,FALSE)</f>
        <v>0.42</v>
      </c>
      <c r="M770">
        <f>VLOOKUP(A771,[1]timesData!$B:$P,12,FALSE)</f>
        <v>3.1013888888888888</v>
      </c>
      <c r="N770">
        <f>VLOOKUP(A771,[1]timesData!$B:$P,13,FALSE)</f>
        <v>2016</v>
      </c>
      <c r="O770" t="e">
        <f>VLOOKUP(A770,[2]cwurData!$B:$P,14,FALSE)</f>
        <v>#N/A</v>
      </c>
      <c r="P770" t="e">
        <f>VLOOKUP(A770,[2]cwurData!$B:$N, 3, FALSE)</f>
        <v>#N/A</v>
      </c>
      <c r="Q770" t="e">
        <f>VLOOKUP(A770,[2]cwurData!$B:$N, 4, FALSE)</f>
        <v>#N/A</v>
      </c>
      <c r="R770" t="e">
        <f>VLOOKUP(A770,[2]cwurData!$B:$N, 5, FALSE)</f>
        <v>#N/A</v>
      </c>
      <c r="S770" t="e">
        <f>VLOOKUP(A770,[2]cwurData!$B:$N, 6, FALSE)</f>
        <v>#N/A</v>
      </c>
      <c r="T770" t="e">
        <f>VLOOKUP(A770,[2]cwurData!$B:$N, 7, FALSE)</f>
        <v>#N/A</v>
      </c>
      <c r="U770" t="e">
        <f>VLOOKUP(A770,[2]cwurData!$B:$N, 8, FALSE)</f>
        <v>#N/A</v>
      </c>
      <c r="V770" t="e">
        <f>VLOOKUP(A770,[2]cwurData!$B:$N, 9, FALSE)</f>
        <v>#N/A</v>
      </c>
      <c r="W770" t="e">
        <f>VLOOKUP(A770,[2]cwurData!$B:$N, 10, FALSE)</f>
        <v>#N/A</v>
      </c>
      <c r="X770" t="e">
        <f>VLOOKUP(A770,[2]cwurData!$B:$N, 11, FALSE)</f>
        <v>#N/A</v>
      </c>
      <c r="Y770" t="e">
        <f>VLOOKUP(A770,[2]cwurData!$B:$N, 12, FALSE)</f>
        <v>#N/A</v>
      </c>
      <c r="Z770" t="e">
        <f>VLOOKUP(A770,[2]cwurData!$B:$N, 13, FALSE)</f>
        <v>#N/A</v>
      </c>
    </row>
    <row r="771" spans="1:26" x14ac:dyDescent="0.3">
      <c r="A771" t="s">
        <v>760</v>
      </c>
      <c r="B771" t="str">
        <f>IFERROR(VLOOKUP(A771,[1]timesData!$B:$P,2,FALSE),VLOOKUP(A771,[2]cwurData!$B:$P,2,FALSE))</f>
        <v>Qatar</v>
      </c>
      <c r="C771" t="str">
        <f>VLOOKUP(A771,[1]timesData!$B:$P,3,FALSE)</f>
        <v>601-800</v>
      </c>
      <c r="D771" t="str">
        <f>VLOOKUP(A772,[1]timesData!$B:$P,3,FALSE)</f>
        <v>601-800</v>
      </c>
      <c r="E771">
        <f>VLOOKUP(A772,[1]timesData!$B:$P,4,FALSE)</f>
        <v>16.8</v>
      </c>
      <c r="F771">
        <f>VLOOKUP(A772,[1]timesData!$B:$P,5,FALSE)</f>
        <v>9.1</v>
      </c>
      <c r="G771">
        <f>VLOOKUP(A772,[1]timesData!$B:$P,6,FALSE)</f>
        <v>12.3</v>
      </c>
      <c r="H771">
        <f>VLOOKUP(A772,[1]timesData!$B:$P,7,FALSE)</f>
        <v>30.8</v>
      </c>
      <c r="I771" t="str">
        <f>VLOOKUP(A772,[1]timesData!$B:$P,8,FALSE)</f>
        <v>-</v>
      </c>
      <c r="J771">
        <f>VLOOKUP(A772,[1]timesData!$B:$P,9,FALSE)</f>
        <v>28757</v>
      </c>
      <c r="K771">
        <f>VLOOKUP(A772,[1]timesData!$B:$P,10,FALSE)</f>
        <v>10.1</v>
      </c>
      <c r="L771">
        <f>VLOOKUP(A772,[1]timesData!$B:$P,11,FALSE)</f>
        <v>0</v>
      </c>
      <c r="M771">
        <f>VLOOKUP(A772,[1]timesData!$B:$P,12,FALSE)</f>
        <v>1.9541666666666666</v>
      </c>
      <c r="N771">
        <f>VLOOKUP(A772,[1]timesData!$B:$P,13,FALSE)</f>
        <v>2016</v>
      </c>
      <c r="O771" t="e">
        <f>VLOOKUP(A771,[2]cwurData!$B:$P,14,FALSE)</f>
        <v>#N/A</v>
      </c>
      <c r="P771" t="e">
        <f>VLOOKUP(A771,[2]cwurData!$B:$N, 3, FALSE)</f>
        <v>#N/A</v>
      </c>
      <c r="Q771" t="e">
        <f>VLOOKUP(A771,[2]cwurData!$B:$N, 4, FALSE)</f>
        <v>#N/A</v>
      </c>
      <c r="R771" t="e">
        <f>VLOOKUP(A771,[2]cwurData!$B:$N, 5, FALSE)</f>
        <v>#N/A</v>
      </c>
      <c r="S771" t="e">
        <f>VLOOKUP(A771,[2]cwurData!$B:$N, 6, FALSE)</f>
        <v>#N/A</v>
      </c>
      <c r="T771" t="e">
        <f>VLOOKUP(A771,[2]cwurData!$B:$N, 7, FALSE)</f>
        <v>#N/A</v>
      </c>
      <c r="U771" t="e">
        <f>VLOOKUP(A771,[2]cwurData!$B:$N, 8, FALSE)</f>
        <v>#N/A</v>
      </c>
      <c r="V771" t="e">
        <f>VLOOKUP(A771,[2]cwurData!$B:$N, 9, FALSE)</f>
        <v>#N/A</v>
      </c>
      <c r="W771" t="e">
        <f>VLOOKUP(A771,[2]cwurData!$B:$N, 10, FALSE)</f>
        <v>#N/A</v>
      </c>
      <c r="X771" t="e">
        <f>VLOOKUP(A771,[2]cwurData!$B:$N, 11, FALSE)</f>
        <v>#N/A</v>
      </c>
      <c r="Y771" t="e">
        <f>VLOOKUP(A771,[2]cwurData!$B:$N, 12, FALSE)</f>
        <v>#N/A</v>
      </c>
      <c r="Z771" t="e">
        <f>VLOOKUP(A771,[2]cwurData!$B:$N, 13, FALSE)</f>
        <v>#N/A</v>
      </c>
    </row>
    <row r="772" spans="1:26" x14ac:dyDescent="0.3">
      <c r="A772" t="s">
        <v>761</v>
      </c>
      <c r="B772" t="str">
        <f>IFERROR(VLOOKUP(A772,[1]timesData!$B:$P,2,FALSE),VLOOKUP(A772,[2]cwurData!$B:$P,2,FALSE))</f>
        <v>Brazil</v>
      </c>
      <c r="C772" t="str">
        <f>VLOOKUP(A772,[1]timesData!$B:$P,3,FALSE)</f>
        <v>601-800</v>
      </c>
      <c r="D772" t="str">
        <f>VLOOKUP(A773,[1]timesData!$B:$P,3,FALSE)</f>
        <v>601-800</v>
      </c>
      <c r="E772">
        <f>VLOOKUP(A773,[1]timesData!$B:$P,4,FALSE)</f>
        <v>18.7</v>
      </c>
      <c r="F772">
        <f>VLOOKUP(A773,[1]timesData!$B:$P,5,FALSE)</f>
        <v>22.6</v>
      </c>
      <c r="G772">
        <f>VLOOKUP(A773,[1]timesData!$B:$P,6,FALSE)</f>
        <v>6.7</v>
      </c>
      <c r="H772">
        <f>VLOOKUP(A773,[1]timesData!$B:$P,7,FALSE)</f>
        <v>40.1</v>
      </c>
      <c r="I772" t="str">
        <f>VLOOKUP(A773,[1]timesData!$B:$P,8,FALSE)</f>
        <v>-</v>
      </c>
      <c r="J772">
        <f>VLOOKUP(A773,[1]timesData!$B:$P,9,FALSE)</f>
        <v>50594</v>
      </c>
      <c r="K772">
        <f>VLOOKUP(A773,[1]timesData!$B:$P,10,FALSE)</f>
        <v>13</v>
      </c>
      <c r="L772">
        <f>VLOOKUP(A773,[1]timesData!$B:$P,11,FALSE)</f>
        <v>0.05</v>
      </c>
      <c r="M772">
        <f>VLOOKUP(A773,[1]timesData!$B:$P,12,FALSE)</f>
        <v>2.2000000000000002</v>
      </c>
      <c r="N772">
        <f>VLOOKUP(A773,[1]timesData!$B:$P,13,FALSE)</f>
        <v>2016</v>
      </c>
      <c r="O772" t="e">
        <f>VLOOKUP(A772,[2]cwurData!$B:$P,14,FALSE)</f>
        <v>#N/A</v>
      </c>
      <c r="P772" t="e">
        <f>VLOOKUP(A772,[2]cwurData!$B:$N, 3, FALSE)</f>
        <v>#N/A</v>
      </c>
      <c r="Q772" t="e">
        <f>VLOOKUP(A772,[2]cwurData!$B:$N, 4, FALSE)</f>
        <v>#N/A</v>
      </c>
      <c r="R772" t="e">
        <f>VLOOKUP(A772,[2]cwurData!$B:$N, 5, FALSE)</f>
        <v>#N/A</v>
      </c>
      <c r="S772" t="e">
        <f>VLOOKUP(A772,[2]cwurData!$B:$N, 6, FALSE)</f>
        <v>#N/A</v>
      </c>
      <c r="T772" t="e">
        <f>VLOOKUP(A772,[2]cwurData!$B:$N, 7, FALSE)</f>
        <v>#N/A</v>
      </c>
      <c r="U772" t="e">
        <f>VLOOKUP(A772,[2]cwurData!$B:$N, 8, FALSE)</f>
        <v>#N/A</v>
      </c>
      <c r="V772" t="e">
        <f>VLOOKUP(A772,[2]cwurData!$B:$N, 9, FALSE)</f>
        <v>#N/A</v>
      </c>
      <c r="W772" t="e">
        <f>VLOOKUP(A772,[2]cwurData!$B:$N, 10, FALSE)</f>
        <v>#N/A</v>
      </c>
      <c r="X772" t="e">
        <f>VLOOKUP(A772,[2]cwurData!$B:$N, 11, FALSE)</f>
        <v>#N/A</v>
      </c>
      <c r="Y772" t="e">
        <f>VLOOKUP(A772,[2]cwurData!$B:$N, 12, FALSE)</f>
        <v>#N/A</v>
      </c>
      <c r="Z772" t="e">
        <f>VLOOKUP(A772,[2]cwurData!$B:$N, 13, FALSE)</f>
        <v>#N/A</v>
      </c>
    </row>
    <row r="773" spans="1:26" x14ac:dyDescent="0.3">
      <c r="A773" t="s">
        <v>766</v>
      </c>
      <c r="B773" t="str">
        <f>IFERROR(VLOOKUP(A773,[1]timesData!$B:$P,2,FALSE),VLOOKUP(A773,[2]cwurData!$B:$P,2,FALSE))</f>
        <v>Brazil</v>
      </c>
      <c r="C773" t="str">
        <f>VLOOKUP(A773,[1]timesData!$B:$P,3,FALSE)</f>
        <v>601-800</v>
      </c>
      <c r="D773" t="str">
        <f>VLOOKUP(A774,[1]timesData!$B:$P,3,FALSE)</f>
        <v>601-800</v>
      </c>
      <c r="E773">
        <f>VLOOKUP(A774,[1]timesData!$B:$P,4,FALSE)</f>
        <v>17.3</v>
      </c>
      <c r="F773">
        <f>VLOOKUP(A774,[1]timesData!$B:$P,5,FALSE)</f>
        <v>12.4</v>
      </c>
      <c r="G773">
        <f>VLOOKUP(A774,[1]timesData!$B:$P,6,FALSE)</f>
        <v>11.4</v>
      </c>
      <c r="H773">
        <f>VLOOKUP(A774,[1]timesData!$B:$P,7,FALSE)</f>
        <v>29.3</v>
      </c>
      <c r="I773" t="str">
        <f>VLOOKUP(A774,[1]timesData!$B:$P,8,FALSE)</f>
        <v>-</v>
      </c>
      <c r="J773">
        <f>VLOOKUP(A774,[1]timesData!$B:$P,9,FALSE)</f>
        <v>4858</v>
      </c>
      <c r="K773">
        <f>VLOOKUP(A774,[1]timesData!$B:$P,10,FALSE)</f>
        <v>14.6</v>
      </c>
      <c r="L773">
        <f>VLOOKUP(A774,[1]timesData!$B:$P,11,FALSE)</f>
        <v>0.03</v>
      </c>
      <c r="M773" t="str">
        <f>VLOOKUP(A774,[1]timesData!$B:$P,12,FALSE)</f>
        <v>25 : 75</v>
      </c>
      <c r="N773">
        <f>VLOOKUP(A774,[1]timesData!$B:$P,13,FALSE)</f>
        <v>2016</v>
      </c>
      <c r="O773" t="e">
        <f>VLOOKUP(A773,[2]cwurData!$B:$P,14,FALSE)</f>
        <v>#N/A</v>
      </c>
      <c r="P773" t="e">
        <f>VLOOKUP(A773,[2]cwurData!$B:$N, 3, FALSE)</f>
        <v>#N/A</v>
      </c>
      <c r="Q773" t="e">
        <f>VLOOKUP(A773,[2]cwurData!$B:$N, 4, FALSE)</f>
        <v>#N/A</v>
      </c>
      <c r="R773" t="e">
        <f>VLOOKUP(A773,[2]cwurData!$B:$N, 5, FALSE)</f>
        <v>#N/A</v>
      </c>
      <c r="S773" t="e">
        <f>VLOOKUP(A773,[2]cwurData!$B:$N, 6, FALSE)</f>
        <v>#N/A</v>
      </c>
      <c r="T773" t="e">
        <f>VLOOKUP(A773,[2]cwurData!$B:$N, 7, FALSE)</f>
        <v>#N/A</v>
      </c>
      <c r="U773" t="e">
        <f>VLOOKUP(A773,[2]cwurData!$B:$N, 8, FALSE)</f>
        <v>#N/A</v>
      </c>
      <c r="V773" t="e">
        <f>VLOOKUP(A773,[2]cwurData!$B:$N, 9, FALSE)</f>
        <v>#N/A</v>
      </c>
      <c r="W773" t="e">
        <f>VLOOKUP(A773,[2]cwurData!$B:$N, 10, FALSE)</f>
        <v>#N/A</v>
      </c>
      <c r="X773" t="e">
        <f>VLOOKUP(A773,[2]cwurData!$B:$N, 11, FALSE)</f>
        <v>#N/A</v>
      </c>
      <c r="Y773" t="e">
        <f>VLOOKUP(A773,[2]cwurData!$B:$N, 12, FALSE)</f>
        <v>#N/A</v>
      </c>
      <c r="Z773" t="e">
        <f>VLOOKUP(A773,[2]cwurData!$B:$N, 13, FALSE)</f>
        <v>#N/A</v>
      </c>
    </row>
    <row r="774" spans="1:26" x14ac:dyDescent="0.3">
      <c r="A774" t="s">
        <v>767</v>
      </c>
      <c r="B774" t="str">
        <f>IFERROR(VLOOKUP(A774,[1]timesData!$B:$P,2,FALSE),VLOOKUP(A774,[2]cwurData!$B:$P,2,FALSE))</f>
        <v>India</v>
      </c>
      <c r="C774" t="str">
        <f>VLOOKUP(A774,[1]timesData!$B:$P,3,FALSE)</f>
        <v>601-800</v>
      </c>
      <c r="D774" t="str">
        <f>VLOOKUP(A775,[1]timesData!$B:$P,3,FALSE)</f>
        <v>601-800</v>
      </c>
      <c r="E774">
        <f>VLOOKUP(A775,[1]timesData!$B:$P,4,FALSE)</f>
        <v>13.8</v>
      </c>
      <c r="F774">
        <f>VLOOKUP(A775,[1]timesData!$B:$P,5,FALSE)</f>
        <v>19</v>
      </c>
      <c r="G774">
        <f>VLOOKUP(A775,[1]timesData!$B:$P,6,FALSE)</f>
        <v>11.4</v>
      </c>
      <c r="H774">
        <f>VLOOKUP(A775,[1]timesData!$B:$P,7,FALSE)</f>
        <v>58.9</v>
      </c>
      <c r="I774" t="str">
        <f>VLOOKUP(A775,[1]timesData!$B:$P,8,FALSE)</f>
        <v>-</v>
      </c>
      <c r="J774">
        <f>VLOOKUP(A775,[1]timesData!$B:$P,9,FALSE)</f>
        <v>17800</v>
      </c>
      <c r="K774">
        <f>VLOOKUP(A775,[1]timesData!$B:$P,10,FALSE)</f>
        <v>24.9</v>
      </c>
      <c r="L774">
        <f>VLOOKUP(A775,[1]timesData!$B:$P,11,FALSE)</f>
        <v>0.01</v>
      </c>
      <c r="M774">
        <f>VLOOKUP(A775,[1]timesData!$B:$P,12,FALSE)</f>
        <v>2.2000000000000002</v>
      </c>
      <c r="N774">
        <f>VLOOKUP(A775,[1]timesData!$B:$P,13,FALSE)</f>
        <v>2016</v>
      </c>
      <c r="O774" t="e">
        <f>VLOOKUP(A774,[2]cwurData!$B:$P,14,FALSE)</f>
        <v>#N/A</v>
      </c>
      <c r="P774" t="e">
        <f>VLOOKUP(A774,[2]cwurData!$B:$N, 3, FALSE)</f>
        <v>#N/A</v>
      </c>
      <c r="Q774" t="e">
        <f>VLOOKUP(A774,[2]cwurData!$B:$N, 4, FALSE)</f>
        <v>#N/A</v>
      </c>
      <c r="R774" t="e">
        <f>VLOOKUP(A774,[2]cwurData!$B:$N, 5, FALSE)</f>
        <v>#N/A</v>
      </c>
      <c r="S774" t="e">
        <f>VLOOKUP(A774,[2]cwurData!$B:$N, 6, FALSE)</f>
        <v>#N/A</v>
      </c>
      <c r="T774" t="e">
        <f>VLOOKUP(A774,[2]cwurData!$B:$N, 7, FALSE)</f>
        <v>#N/A</v>
      </c>
      <c r="U774" t="e">
        <f>VLOOKUP(A774,[2]cwurData!$B:$N, 8, FALSE)</f>
        <v>#N/A</v>
      </c>
      <c r="V774" t="e">
        <f>VLOOKUP(A774,[2]cwurData!$B:$N, 9, FALSE)</f>
        <v>#N/A</v>
      </c>
      <c r="W774" t="e">
        <f>VLOOKUP(A774,[2]cwurData!$B:$N, 10, FALSE)</f>
        <v>#N/A</v>
      </c>
      <c r="X774" t="e">
        <f>VLOOKUP(A774,[2]cwurData!$B:$N, 11, FALSE)</f>
        <v>#N/A</v>
      </c>
      <c r="Y774" t="e">
        <f>VLOOKUP(A774,[2]cwurData!$B:$N, 12, FALSE)</f>
        <v>#N/A</v>
      </c>
      <c r="Z774" t="e">
        <f>VLOOKUP(A774,[2]cwurData!$B:$N, 13, FALSE)</f>
        <v>#N/A</v>
      </c>
    </row>
    <row r="775" spans="1:26" x14ac:dyDescent="0.3">
      <c r="A775" t="s">
        <v>770</v>
      </c>
      <c r="B775" t="str">
        <f>IFERROR(VLOOKUP(A775,[1]timesData!$B:$P,2,FALSE),VLOOKUP(A775,[2]cwurData!$B:$P,2,FALSE))</f>
        <v>Iran</v>
      </c>
      <c r="C775" t="str">
        <f>VLOOKUP(A775,[1]timesData!$B:$P,3,FALSE)</f>
        <v>601-800</v>
      </c>
      <c r="D775" t="str">
        <f>VLOOKUP(A776,[1]timesData!$B:$P,3,FALSE)</f>
        <v>601-800</v>
      </c>
      <c r="E775">
        <f>VLOOKUP(A776,[1]timesData!$B:$P,4,FALSE)</f>
        <v>30.7</v>
      </c>
      <c r="F775">
        <f>VLOOKUP(A776,[1]timesData!$B:$P,5,FALSE)</f>
        <v>9.1</v>
      </c>
      <c r="G775">
        <f>VLOOKUP(A776,[1]timesData!$B:$P,6,FALSE)</f>
        <v>28.3</v>
      </c>
      <c r="H775">
        <f>VLOOKUP(A776,[1]timesData!$B:$P,7,FALSE)</f>
        <v>30.7</v>
      </c>
      <c r="I775" t="str">
        <f>VLOOKUP(A776,[1]timesData!$B:$P,8,FALSE)</f>
        <v>-</v>
      </c>
      <c r="J775">
        <f>VLOOKUP(A776,[1]timesData!$B:$P,9,FALSE)</f>
        <v>9593</v>
      </c>
      <c r="K775">
        <f>VLOOKUP(A776,[1]timesData!$B:$P,10,FALSE)</f>
        <v>13.5</v>
      </c>
      <c r="L775">
        <f>VLOOKUP(A776,[1]timesData!$B:$P,11,FALSE)</f>
        <v>0</v>
      </c>
      <c r="M775">
        <f>VLOOKUP(A776,[1]timesData!$B:$P,12,FALSE)</f>
        <v>2.036111111111111</v>
      </c>
      <c r="N775">
        <f>VLOOKUP(A776,[1]timesData!$B:$P,13,FALSE)</f>
        <v>2016</v>
      </c>
      <c r="O775" t="e">
        <f>VLOOKUP(A775,[2]cwurData!$B:$P,14,FALSE)</f>
        <v>#N/A</v>
      </c>
      <c r="P775" t="e">
        <f>VLOOKUP(A775,[2]cwurData!$B:$N, 3, FALSE)</f>
        <v>#N/A</v>
      </c>
      <c r="Q775" t="e">
        <f>VLOOKUP(A775,[2]cwurData!$B:$N, 4, FALSE)</f>
        <v>#N/A</v>
      </c>
      <c r="R775" t="e">
        <f>VLOOKUP(A775,[2]cwurData!$B:$N, 5, FALSE)</f>
        <v>#N/A</v>
      </c>
      <c r="S775" t="e">
        <f>VLOOKUP(A775,[2]cwurData!$B:$N, 6, FALSE)</f>
        <v>#N/A</v>
      </c>
      <c r="T775" t="e">
        <f>VLOOKUP(A775,[2]cwurData!$B:$N, 7, FALSE)</f>
        <v>#N/A</v>
      </c>
      <c r="U775" t="e">
        <f>VLOOKUP(A775,[2]cwurData!$B:$N, 8, FALSE)</f>
        <v>#N/A</v>
      </c>
      <c r="V775" t="e">
        <f>VLOOKUP(A775,[2]cwurData!$B:$N, 9, FALSE)</f>
        <v>#N/A</v>
      </c>
      <c r="W775" t="e">
        <f>VLOOKUP(A775,[2]cwurData!$B:$N, 10, FALSE)</f>
        <v>#N/A</v>
      </c>
      <c r="X775" t="e">
        <f>VLOOKUP(A775,[2]cwurData!$B:$N, 11, FALSE)</f>
        <v>#N/A</v>
      </c>
      <c r="Y775" t="e">
        <f>VLOOKUP(A775,[2]cwurData!$B:$N, 12, FALSE)</f>
        <v>#N/A</v>
      </c>
      <c r="Z775" t="e">
        <f>VLOOKUP(A775,[2]cwurData!$B:$N, 13, FALSE)</f>
        <v>#N/A</v>
      </c>
    </row>
    <row r="776" spans="1:26" x14ac:dyDescent="0.3">
      <c r="A776" t="s">
        <v>772</v>
      </c>
      <c r="B776" t="str">
        <f>IFERROR(VLOOKUP(A776,[1]timesData!$B:$P,2,FALSE),VLOOKUP(A776,[2]cwurData!$B:$P,2,FALSE))</f>
        <v>China</v>
      </c>
      <c r="C776" t="str">
        <f>VLOOKUP(A776,[1]timesData!$B:$P,3,FALSE)</f>
        <v>601-800</v>
      </c>
      <c r="D776" t="str">
        <f>VLOOKUP(A777,[1]timesData!$B:$P,3,FALSE)</f>
        <v>601-800</v>
      </c>
      <c r="E776">
        <f>VLOOKUP(A777,[1]timesData!$B:$P,4,FALSE)</f>
        <v>47</v>
      </c>
      <c r="F776">
        <f>VLOOKUP(A777,[1]timesData!$B:$P,5,FALSE)</f>
        <v>9.4</v>
      </c>
      <c r="G776">
        <f>VLOOKUP(A777,[1]timesData!$B:$P,6,FALSE)</f>
        <v>20.100000000000001</v>
      </c>
      <c r="H776">
        <f>VLOOKUP(A777,[1]timesData!$B:$P,7,FALSE)</f>
        <v>28.6</v>
      </c>
      <c r="I776" t="str">
        <f>VLOOKUP(A777,[1]timesData!$B:$P,8,FALSE)</f>
        <v>-</v>
      </c>
      <c r="J776">
        <f>VLOOKUP(A777,[1]timesData!$B:$P,9,FALSE)</f>
        <v>27477</v>
      </c>
      <c r="K776">
        <f>VLOOKUP(A777,[1]timesData!$B:$P,10,FALSE)</f>
        <v>18.8</v>
      </c>
      <c r="L776">
        <f>VLOOKUP(A777,[1]timesData!$B:$P,11,FALSE)</f>
        <v>0.15</v>
      </c>
      <c r="M776">
        <f>VLOOKUP(A777,[1]timesData!$B:$P,12,FALSE)</f>
        <v>2.2409722222222221</v>
      </c>
      <c r="N776">
        <f>VLOOKUP(A777,[1]timesData!$B:$P,13,FALSE)</f>
        <v>2016</v>
      </c>
      <c r="O776" t="e">
        <f>VLOOKUP(A776,[2]cwurData!$B:$P,14,FALSE)</f>
        <v>#N/A</v>
      </c>
      <c r="P776" t="e">
        <f>VLOOKUP(A776,[2]cwurData!$B:$N, 3, FALSE)</f>
        <v>#N/A</v>
      </c>
      <c r="Q776" t="e">
        <f>VLOOKUP(A776,[2]cwurData!$B:$N, 4, FALSE)</f>
        <v>#N/A</v>
      </c>
      <c r="R776" t="e">
        <f>VLOOKUP(A776,[2]cwurData!$B:$N, 5, FALSE)</f>
        <v>#N/A</v>
      </c>
      <c r="S776" t="e">
        <f>VLOOKUP(A776,[2]cwurData!$B:$N, 6, FALSE)</f>
        <v>#N/A</v>
      </c>
      <c r="T776" t="e">
        <f>VLOOKUP(A776,[2]cwurData!$B:$N, 7, FALSE)</f>
        <v>#N/A</v>
      </c>
      <c r="U776" t="e">
        <f>VLOOKUP(A776,[2]cwurData!$B:$N, 8, FALSE)</f>
        <v>#N/A</v>
      </c>
      <c r="V776" t="e">
        <f>VLOOKUP(A776,[2]cwurData!$B:$N, 9, FALSE)</f>
        <v>#N/A</v>
      </c>
      <c r="W776" t="e">
        <f>VLOOKUP(A776,[2]cwurData!$B:$N, 10, FALSE)</f>
        <v>#N/A</v>
      </c>
      <c r="X776" t="e">
        <f>VLOOKUP(A776,[2]cwurData!$B:$N, 11, FALSE)</f>
        <v>#N/A</v>
      </c>
      <c r="Y776" t="e">
        <f>VLOOKUP(A776,[2]cwurData!$B:$N, 12, FALSE)</f>
        <v>#N/A</v>
      </c>
      <c r="Z776" t="e">
        <f>VLOOKUP(A776,[2]cwurData!$B:$N, 13, FALSE)</f>
        <v>#N/A</v>
      </c>
    </row>
    <row r="777" spans="1:26" x14ac:dyDescent="0.3">
      <c r="A777" t="s">
        <v>773</v>
      </c>
      <c r="B777" t="str">
        <f>IFERROR(VLOOKUP(A777,[1]timesData!$B:$P,2,FALSE),VLOOKUP(A777,[2]cwurData!$B:$P,2,FALSE))</f>
        <v>United Kingdom</v>
      </c>
      <c r="C777" t="str">
        <f>VLOOKUP(A777,[1]timesData!$B:$P,3,FALSE)</f>
        <v>601-800</v>
      </c>
      <c r="D777" t="str">
        <f>VLOOKUP(A778,[1]timesData!$B:$P,3,FALSE)</f>
        <v>601-800</v>
      </c>
      <c r="E777">
        <f>VLOOKUP(A778,[1]timesData!$B:$P,4,FALSE)</f>
        <v>30.6</v>
      </c>
      <c r="F777">
        <f>VLOOKUP(A778,[1]timesData!$B:$P,5,FALSE)</f>
        <v>8.6</v>
      </c>
      <c r="G777">
        <f>VLOOKUP(A778,[1]timesData!$B:$P,6,FALSE)</f>
        <v>24.9</v>
      </c>
      <c r="H777">
        <f>VLOOKUP(A778,[1]timesData!$B:$P,7,FALSE)</f>
        <v>33.200000000000003</v>
      </c>
      <c r="I777" t="str">
        <f>VLOOKUP(A778,[1]timesData!$B:$P,8,FALSE)</f>
        <v>-</v>
      </c>
      <c r="J777">
        <f>VLOOKUP(A778,[1]timesData!$B:$P,9,FALSE)</f>
        <v>16400</v>
      </c>
      <c r="K777">
        <f>VLOOKUP(A778,[1]timesData!$B:$P,10,FALSE)</f>
        <v>15.3</v>
      </c>
      <c r="L777">
        <f>VLOOKUP(A778,[1]timesData!$B:$P,11,FALSE)</f>
        <v>0.02</v>
      </c>
      <c r="M777" t="str">
        <f>VLOOKUP(A778,[1]timesData!$B:$P,12,FALSE)</f>
        <v>31 : 69</v>
      </c>
      <c r="N777">
        <f>VLOOKUP(A778,[1]timesData!$B:$P,13,FALSE)</f>
        <v>2016</v>
      </c>
      <c r="O777" t="e">
        <f>VLOOKUP(A777,[2]cwurData!$B:$P,14,FALSE)</f>
        <v>#N/A</v>
      </c>
      <c r="P777" t="e">
        <f>VLOOKUP(A777,[2]cwurData!$B:$N, 3, FALSE)</f>
        <v>#N/A</v>
      </c>
      <c r="Q777" t="e">
        <f>VLOOKUP(A777,[2]cwurData!$B:$N, 4, FALSE)</f>
        <v>#N/A</v>
      </c>
      <c r="R777" t="e">
        <f>VLOOKUP(A777,[2]cwurData!$B:$N, 5, FALSE)</f>
        <v>#N/A</v>
      </c>
      <c r="S777" t="e">
        <f>VLOOKUP(A777,[2]cwurData!$B:$N, 6, FALSE)</f>
        <v>#N/A</v>
      </c>
      <c r="T777" t="e">
        <f>VLOOKUP(A777,[2]cwurData!$B:$N, 7, FALSE)</f>
        <v>#N/A</v>
      </c>
      <c r="U777" t="e">
        <f>VLOOKUP(A777,[2]cwurData!$B:$N, 8, FALSE)</f>
        <v>#N/A</v>
      </c>
      <c r="V777" t="e">
        <f>VLOOKUP(A777,[2]cwurData!$B:$N, 9, FALSE)</f>
        <v>#N/A</v>
      </c>
      <c r="W777" t="e">
        <f>VLOOKUP(A777,[2]cwurData!$B:$N, 10, FALSE)</f>
        <v>#N/A</v>
      </c>
      <c r="X777" t="e">
        <f>VLOOKUP(A777,[2]cwurData!$B:$N, 11, FALSE)</f>
        <v>#N/A</v>
      </c>
      <c r="Y777" t="e">
        <f>VLOOKUP(A777,[2]cwurData!$B:$N, 12, FALSE)</f>
        <v>#N/A</v>
      </c>
      <c r="Z777" t="e">
        <f>VLOOKUP(A777,[2]cwurData!$B:$N, 13, FALSE)</f>
        <v>#N/A</v>
      </c>
    </row>
    <row r="778" spans="1:26" x14ac:dyDescent="0.3">
      <c r="A778" t="s">
        <v>778</v>
      </c>
      <c r="B778" t="str">
        <f>IFERROR(VLOOKUP(A778,[1]timesData!$B:$P,2,FALSE),VLOOKUP(A778,[2]cwurData!$B:$P,2,FALSE))</f>
        <v>Slovakia</v>
      </c>
      <c r="C778" t="str">
        <f>VLOOKUP(A778,[1]timesData!$B:$P,3,FALSE)</f>
        <v>601-800</v>
      </c>
      <c r="D778" t="str">
        <f>VLOOKUP(A779,[1]timesData!$B:$P,3,FALSE)</f>
        <v>601-800</v>
      </c>
      <c r="E778">
        <f>VLOOKUP(A779,[1]timesData!$B:$P,4,FALSE)</f>
        <v>32.799999999999997</v>
      </c>
      <c r="F778">
        <f>VLOOKUP(A779,[1]timesData!$B:$P,5,FALSE)</f>
        <v>9.4</v>
      </c>
      <c r="G778">
        <f>VLOOKUP(A779,[1]timesData!$B:$P,6,FALSE)</f>
        <v>5.3</v>
      </c>
      <c r="H778">
        <f>VLOOKUP(A779,[1]timesData!$B:$P,7,FALSE)</f>
        <v>29.5</v>
      </c>
      <c r="I778" t="str">
        <f>VLOOKUP(A779,[1]timesData!$B:$P,8,FALSE)</f>
        <v>-</v>
      </c>
      <c r="J778">
        <f>VLOOKUP(A779,[1]timesData!$B:$P,9,FALSE)</f>
        <v>12799</v>
      </c>
      <c r="K778">
        <f>VLOOKUP(A779,[1]timesData!$B:$P,10,FALSE)</f>
        <v>24.3</v>
      </c>
      <c r="L778">
        <f>VLOOKUP(A779,[1]timesData!$B:$P,11,FALSE)</f>
        <v>0.08</v>
      </c>
      <c r="M778">
        <f>VLOOKUP(A779,[1]timesData!$B:$P,12,FALSE)</f>
        <v>2.2409722222222221</v>
      </c>
      <c r="N778">
        <f>VLOOKUP(A779,[1]timesData!$B:$P,13,FALSE)</f>
        <v>2016</v>
      </c>
      <c r="O778" t="e">
        <f>VLOOKUP(A778,[2]cwurData!$B:$P,14,FALSE)</f>
        <v>#N/A</v>
      </c>
      <c r="P778" t="e">
        <f>VLOOKUP(A778,[2]cwurData!$B:$N, 3, FALSE)</f>
        <v>#N/A</v>
      </c>
      <c r="Q778" t="e">
        <f>VLOOKUP(A778,[2]cwurData!$B:$N, 4, FALSE)</f>
        <v>#N/A</v>
      </c>
      <c r="R778" t="e">
        <f>VLOOKUP(A778,[2]cwurData!$B:$N, 5, FALSE)</f>
        <v>#N/A</v>
      </c>
      <c r="S778" t="e">
        <f>VLOOKUP(A778,[2]cwurData!$B:$N, 6, FALSE)</f>
        <v>#N/A</v>
      </c>
      <c r="T778" t="e">
        <f>VLOOKUP(A778,[2]cwurData!$B:$N, 7, FALSE)</f>
        <v>#N/A</v>
      </c>
      <c r="U778" t="e">
        <f>VLOOKUP(A778,[2]cwurData!$B:$N, 8, FALSE)</f>
        <v>#N/A</v>
      </c>
      <c r="V778" t="e">
        <f>VLOOKUP(A778,[2]cwurData!$B:$N, 9, FALSE)</f>
        <v>#N/A</v>
      </c>
      <c r="W778" t="e">
        <f>VLOOKUP(A778,[2]cwurData!$B:$N, 10, FALSE)</f>
        <v>#N/A</v>
      </c>
      <c r="X778" t="e">
        <f>VLOOKUP(A778,[2]cwurData!$B:$N, 11, FALSE)</f>
        <v>#N/A</v>
      </c>
      <c r="Y778" t="e">
        <f>VLOOKUP(A778,[2]cwurData!$B:$N, 12, FALSE)</f>
        <v>#N/A</v>
      </c>
      <c r="Z778" t="e">
        <f>VLOOKUP(A778,[2]cwurData!$B:$N, 13, FALSE)</f>
        <v>#N/A</v>
      </c>
    </row>
    <row r="779" spans="1:26" x14ac:dyDescent="0.3">
      <c r="A779" t="s">
        <v>780</v>
      </c>
      <c r="B779" t="str">
        <f>IFERROR(VLOOKUP(A779,[1]timesData!$B:$P,2,FALSE),VLOOKUP(A779,[2]cwurData!$B:$P,2,FALSE))</f>
        <v>Japan</v>
      </c>
      <c r="C779" t="str">
        <f>VLOOKUP(A779,[1]timesData!$B:$P,3,FALSE)</f>
        <v>601-800</v>
      </c>
      <c r="D779" t="str">
        <f>VLOOKUP(A780,[1]timesData!$B:$P,3,FALSE)</f>
        <v>601-800</v>
      </c>
      <c r="E779">
        <f>VLOOKUP(A780,[1]timesData!$B:$P,4,FALSE)</f>
        <v>17.3</v>
      </c>
      <c r="F779">
        <f>VLOOKUP(A780,[1]timesData!$B:$P,5,FALSE)</f>
        <v>8.1999999999999993</v>
      </c>
      <c r="G779">
        <f>VLOOKUP(A780,[1]timesData!$B:$P,6,FALSE)</f>
        <v>9.1999999999999993</v>
      </c>
      <c r="H779">
        <f>VLOOKUP(A780,[1]timesData!$B:$P,7,FALSE)</f>
        <v>39.5</v>
      </c>
      <c r="I779" t="str">
        <f>VLOOKUP(A780,[1]timesData!$B:$P,8,FALSE)</f>
        <v>-</v>
      </c>
      <c r="J779">
        <f>VLOOKUP(A780,[1]timesData!$B:$P,9,FALSE)</f>
        <v>27556</v>
      </c>
      <c r="K779">
        <f>VLOOKUP(A780,[1]timesData!$B:$P,10,FALSE)</f>
        <v>9</v>
      </c>
      <c r="L779">
        <f>VLOOKUP(A780,[1]timesData!$B:$P,11,FALSE)</f>
        <v>0.03</v>
      </c>
      <c r="M779">
        <f>VLOOKUP(A780,[1]timesData!$B:$P,12,FALSE)</f>
        <v>2.3638888888888889</v>
      </c>
      <c r="N779">
        <f>VLOOKUP(A780,[1]timesData!$B:$P,13,FALSE)</f>
        <v>2016</v>
      </c>
      <c r="O779" t="e">
        <f>VLOOKUP(A779,[2]cwurData!$B:$P,14,FALSE)</f>
        <v>#N/A</v>
      </c>
      <c r="P779" t="e">
        <f>VLOOKUP(A779,[2]cwurData!$B:$N, 3, FALSE)</f>
        <v>#N/A</v>
      </c>
      <c r="Q779" t="e">
        <f>VLOOKUP(A779,[2]cwurData!$B:$N, 4, FALSE)</f>
        <v>#N/A</v>
      </c>
      <c r="R779" t="e">
        <f>VLOOKUP(A779,[2]cwurData!$B:$N, 5, FALSE)</f>
        <v>#N/A</v>
      </c>
      <c r="S779" t="e">
        <f>VLOOKUP(A779,[2]cwurData!$B:$N, 6, FALSE)</f>
        <v>#N/A</v>
      </c>
      <c r="T779" t="e">
        <f>VLOOKUP(A779,[2]cwurData!$B:$N, 7, FALSE)</f>
        <v>#N/A</v>
      </c>
      <c r="U779" t="e">
        <f>VLOOKUP(A779,[2]cwurData!$B:$N, 8, FALSE)</f>
        <v>#N/A</v>
      </c>
      <c r="V779" t="e">
        <f>VLOOKUP(A779,[2]cwurData!$B:$N, 9, FALSE)</f>
        <v>#N/A</v>
      </c>
      <c r="W779" t="e">
        <f>VLOOKUP(A779,[2]cwurData!$B:$N, 10, FALSE)</f>
        <v>#N/A</v>
      </c>
      <c r="X779" t="e">
        <f>VLOOKUP(A779,[2]cwurData!$B:$N, 11, FALSE)</f>
        <v>#N/A</v>
      </c>
      <c r="Y779" t="e">
        <f>VLOOKUP(A779,[2]cwurData!$B:$N, 12, FALSE)</f>
        <v>#N/A</v>
      </c>
      <c r="Z779" t="e">
        <f>VLOOKUP(A779,[2]cwurData!$B:$N, 13, FALSE)</f>
        <v>#N/A</v>
      </c>
    </row>
    <row r="780" spans="1:26" x14ac:dyDescent="0.3">
      <c r="A780" t="s">
        <v>782</v>
      </c>
      <c r="B780" t="str">
        <f>IFERROR(VLOOKUP(A780,[1]timesData!$B:$P,2,FALSE),VLOOKUP(A780,[2]cwurData!$B:$P,2,FALSE))</f>
        <v>Russian Federation</v>
      </c>
      <c r="C780" t="str">
        <f>VLOOKUP(A780,[1]timesData!$B:$P,3,FALSE)</f>
        <v>601-800</v>
      </c>
      <c r="D780" t="str">
        <f>VLOOKUP(A781,[1]timesData!$B:$P,3,FALSE)</f>
        <v>601-800</v>
      </c>
      <c r="E780">
        <f>VLOOKUP(A781,[1]timesData!$B:$P,4,FALSE)</f>
        <v>31.6</v>
      </c>
      <c r="F780">
        <f>VLOOKUP(A781,[1]timesData!$B:$P,5,FALSE)</f>
        <v>5.9</v>
      </c>
      <c r="G780">
        <f>VLOOKUP(A781,[1]timesData!$B:$P,6,FALSE)</f>
        <v>16</v>
      </c>
      <c r="H780" t="str">
        <f>VLOOKUP(A781,[1]timesData!$B:$P,7,FALSE)</f>
        <v>-</v>
      </c>
      <c r="I780" t="str">
        <f>VLOOKUP(A781,[1]timesData!$B:$P,8,FALSE)</f>
        <v>-</v>
      </c>
      <c r="J780">
        <f>VLOOKUP(A781,[1]timesData!$B:$P,9,FALSE)</f>
        <v>16817</v>
      </c>
      <c r="K780">
        <f>VLOOKUP(A781,[1]timesData!$B:$P,10,FALSE)</f>
        <v>6</v>
      </c>
      <c r="L780">
        <f>VLOOKUP(A781,[1]timesData!$B:$P,11,FALSE)</f>
        <v>0</v>
      </c>
      <c r="M780">
        <f>VLOOKUP(A781,[1]timesData!$B:$P,12,FALSE)</f>
        <v>2.7326388888888888</v>
      </c>
      <c r="N780">
        <f>VLOOKUP(A781,[1]timesData!$B:$P,13,FALSE)</f>
        <v>2016</v>
      </c>
      <c r="O780" t="e">
        <f>VLOOKUP(A780,[2]cwurData!$B:$P,14,FALSE)</f>
        <v>#N/A</v>
      </c>
      <c r="P780" t="e">
        <f>VLOOKUP(A780,[2]cwurData!$B:$N, 3, FALSE)</f>
        <v>#N/A</v>
      </c>
      <c r="Q780" t="e">
        <f>VLOOKUP(A780,[2]cwurData!$B:$N, 4, FALSE)</f>
        <v>#N/A</v>
      </c>
      <c r="R780" t="e">
        <f>VLOOKUP(A780,[2]cwurData!$B:$N, 5, FALSE)</f>
        <v>#N/A</v>
      </c>
      <c r="S780" t="e">
        <f>VLOOKUP(A780,[2]cwurData!$B:$N, 6, FALSE)</f>
        <v>#N/A</v>
      </c>
      <c r="T780" t="e">
        <f>VLOOKUP(A780,[2]cwurData!$B:$N, 7, FALSE)</f>
        <v>#N/A</v>
      </c>
      <c r="U780" t="e">
        <f>VLOOKUP(A780,[2]cwurData!$B:$N, 8, FALSE)</f>
        <v>#N/A</v>
      </c>
      <c r="V780" t="e">
        <f>VLOOKUP(A780,[2]cwurData!$B:$N, 9, FALSE)</f>
        <v>#N/A</v>
      </c>
      <c r="W780" t="e">
        <f>VLOOKUP(A780,[2]cwurData!$B:$N, 10, FALSE)</f>
        <v>#N/A</v>
      </c>
      <c r="X780" t="e">
        <f>VLOOKUP(A780,[2]cwurData!$B:$N, 11, FALSE)</f>
        <v>#N/A</v>
      </c>
      <c r="Y780" t="e">
        <f>VLOOKUP(A780,[2]cwurData!$B:$N, 12, FALSE)</f>
        <v>#N/A</v>
      </c>
      <c r="Z780" t="e">
        <f>VLOOKUP(A780,[2]cwurData!$B:$N, 13, FALSE)</f>
        <v>#N/A</v>
      </c>
    </row>
    <row r="781" spans="1:26" x14ac:dyDescent="0.3">
      <c r="A781" t="s">
        <v>785</v>
      </c>
      <c r="B781" t="str">
        <f>IFERROR(VLOOKUP(A781,[1]timesData!$B:$P,2,FALSE),VLOOKUP(A781,[2]cwurData!$B:$P,2,FALSE))</f>
        <v>Egypt</v>
      </c>
      <c r="C781" t="str">
        <f>VLOOKUP(A781,[1]timesData!$B:$P,3,FALSE)</f>
        <v>601-800</v>
      </c>
      <c r="D781" t="str">
        <f>VLOOKUP(A782,[1]timesData!$B:$P,3,FALSE)</f>
        <v>601-800</v>
      </c>
      <c r="E781">
        <f>VLOOKUP(A782,[1]timesData!$B:$P,4,FALSE)</f>
        <v>71.5</v>
      </c>
      <c r="F781">
        <f>VLOOKUP(A782,[1]timesData!$B:$P,5,FALSE)</f>
        <v>10.6</v>
      </c>
      <c r="G781">
        <f>VLOOKUP(A782,[1]timesData!$B:$P,6,FALSE)</f>
        <v>16</v>
      </c>
      <c r="H781">
        <f>VLOOKUP(A782,[1]timesData!$B:$P,7,FALSE)</f>
        <v>37.6</v>
      </c>
      <c r="I781" t="str">
        <f>VLOOKUP(A782,[1]timesData!$B:$P,8,FALSE)</f>
        <v>-</v>
      </c>
      <c r="J781">
        <f>VLOOKUP(A782,[1]timesData!$B:$P,9,FALSE)</f>
        <v>7089</v>
      </c>
      <c r="K781">
        <f>VLOOKUP(A782,[1]timesData!$B:$P,10,FALSE)</f>
        <v>9</v>
      </c>
      <c r="L781">
        <f>VLOOKUP(A782,[1]timesData!$B:$P,11,FALSE)</f>
        <v>0.03</v>
      </c>
      <c r="M781">
        <f>VLOOKUP(A782,[1]timesData!$B:$P,12,FALSE)</f>
        <v>2.1180555555555554</v>
      </c>
      <c r="N781">
        <f>VLOOKUP(A782,[1]timesData!$B:$P,13,FALSE)</f>
        <v>2016</v>
      </c>
      <c r="O781" t="e">
        <f>VLOOKUP(A781,[2]cwurData!$B:$P,14,FALSE)</f>
        <v>#N/A</v>
      </c>
      <c r="P781" t="e">
        <f>VLOOKUP(A781,[2]cwurData!$B:$N, 3, FALSE)</f>
        <v>#N/A</v>
      </c>
      <c r="Q781" t="e">
        <f>VLOOKUP(A781,[2]cwurData!$B:$N, 4, FALSE)</f>
        <v>#N/A</v>
      </c>
      <c r="R781" t="e">
        <f>VLOOKUP(A781,[2]cwurData!$B:$N, 5, FALSE)</f>
        <v>#N/A</v>
      </c>
      <c r="S781" t="e">
        <f>VLOOKUP(A781,[2]cwurData!$B:$N, 6, FALSE)</f>
        <v>#N/A</v>
      </c>
      <c r="T781" t="e">
        <f>VLOOKUP(A781,[2]cwurData!$B:$N, 7, FALSE)</f>
        <v>#N/A</v>
      </c>
      <c r="U781" t="e">
        <f>VLOOKUP(A781,[2]cwurData!$B:$N, 8, FALSE)</f>
        <v>#N/A</v>
      </c>
      <c r="V781" t="e">
        <f>VLOOKUP(A781,[2]cwurData!$B:$N, 9, FALSE)</f>
        <v>#N/A</v>
      </c>
      <c r="W781" t="e">
        <f>VLOOKUP(A781,[2]cwurData!$B:$N, 10, FALSE)</f>
        <v>#N/A</v>
      </c>
      <c r="X781" t="e">
        <f>VLOOKUP(A781,[2]cwurData!$B:$N, 11, FALSE)</f>
        <v>#N/A</v>
      </c>
      <c r="Y781" t="e">
        <f>VLOOKUP(A781,[2]cwurData!$B:$N, 12, FALSE)</f>
        <v>#N/A</v>
      </c>
      <c r="Z781" t="e">
        <f>VLOOKUP(A781,[2]cwurData!$B:$N, 13, FALSE)</f>
        <v>#N/A</v>
      </c>
    </row>
    <row r="782" spans="1:26" x14ac:dyDescent="0.3">
      <c r="A782" t="s">
        <v>786</v>
      </c>
      <c r="B782" t="str">
        <f>IFERROR(VLOOKUP(A782,[1]timesData!$B:$P,2,FALSE),VLOOKUP(A782,[2]cwurData!$B:$P,2,FALSE))</f>
        <v>Oman</v>
      </c>
      <c r="C782" t="str">
        <f>VLOOKUP(A782,[1]timesData!$B:$P,3,FALSE)</f>
        <v>601-800</v>
      </c>
      <c r="D782" t="str">
        <f>VLOOKUP(A783,[1]timesData!$B:$P,3,FALSE)</f>
        <v>601-800</v>
      </c>
      <c r="E782">
        <f>VLOOKUP(A783,[1]timesData!$B:$P,4,FALSE)</f>
        <v>25.9</v>
      </c>
      <c r="F782">
        <f>VLOOKUP(A783,[1]timesData!$B:$P,5,FALSE)</f>
        <v>11.6</v>
      </c>
      <c r="G782">
        <f>VLOOKUP(A783,[1]timesData!$B:$P,6,FALSE)</f>
        <v>18.399999999999999</v>
      </c>
      <c r="H782">
        <f>VLOOKUP(A783,[1]timesData!$B:$P,7,FALSE)</f>
        <v>38.1</v>
      </c>
      <c r="I782" t="str">
        <f>VLOOKUP(A783,[1]timesData!$B:$P,8,FALSE)</f>
        <v>-</v>
      </c>
      <c r="J782">
        <f>VLOOKUP(A783,[1]timesData!$B:$P,9,FALSE)</f>
        <v>12650</v>
      </c>
      <c r="K782">
        <f>VLOOKUP(A783,[1]timesData!$B:$P,10,FALSE)</f>
        <v>32.9</v>
      </c>
      <c r="L782">
        <f>VLOOKUP(A783,[1]timesData!$B:$P,11,FALSE)</f>
        <v>0.01</v>
      </c>
      <c r="M782">
        <f>VLOOKUP(A783,[1]timesData!$B:$P,12,FALSE)</f>
        <v>2.1180555555555554</v>
      </c>
      <c r="N782">
        <f>VLOOKUP(A783,[1]timesData!$B:$P,13,FALSE)</f>
        <v>2016</v>
      </c>
      <c r="O782" t="e">
        <f>VLOOKUP(A782,[2]cwurData!$B:$P,14,FALSE)</f>
        <v>#N/A</v>
      </c>
      <c r="P782" t="e">
        <f>VLOOKUP(A782,[2]cwurData!$B:$N, 3, FALSE)</f>
        <v>#N/A</v>
      </c>
      <c r="Q782" t="e">
        <f>VLOOKUP(A782,[2]cwurData!$B:$N, 4, FALSE)</f>
        <v>#N/A</v>
      </c>
      <c r="R782" t="e">
        <f>VLOOKUP(A782,[2]cwurData!$B:$N, 5, FALSE)</f>
        <v>#N/A</v>
      </c>
      <c r="S782" t="e">
        <f>VLOOKUP(A782,[2]cwurData!$B:$N, 6, FALSE)</f>
        <v>#N/A</v>
      </c>
      <c r="T782" t="e">
        <f>VLOOKUP(A782,[2]cwurData!$B:$N, 7, FALSE)</f>
        <v>#N/A</v>
      </c>
      <c r="U782" t="e">
        <f>VLOOKUP(A782,[2]cwurData!$B:$N, 8, FALSE)</f>
        <v>#N/A</v>
      </c>
      <c r="V782" t="e">
        <f>VLOOKUP(A782,[2]cwurData!$B:$N, 9, FALSE)</f>
        <v>#N/A</v>
      </c>
      <c r="W782" t="e">
        <f>VLOOKUP(A782,[2]cwurData!$B:$N, 10, FALSE)</f>
        <v>#N/A</v>
      </c>
      <c r="X782" t="e">
        <f>VLOOKUP(A782,[2]cwurData!$B:$N, 11, FALSE)</f>
        <v>#N/A</v>
      </c>
      <c r="Y782" t="e">
        <f>VLOOKUP(A782,[2]cwurData!$B:$N, 12, FALSE)</f>
        <v>#N/A</v>
      </c>
      <c r="Z782" t="e">
        <f>VLOOKUP(A782,[2]cwurData!$B:$N, 13, FALSE)</f>
        <v>#N/A</v>
      </c>
    </row>
    <row r="783" spans="1:26" x14ac:dyDescent="0.3">
      <c r="A783" t="s">
        <v>787</v>
      </c>
      <c r="B783" t="str">
        <f>IFERROR(VLOOKUP(A783,[1]timesData!$B:$P,2,FALSE),VLOOKUP(A783,[2]cwurData!$B:$P,2,FALSE))</f>
        <v>Thailand</v>
      </c>
      <c r="C783" t="str">
        <f>VLOOKUP(A783,[1]timesData!$B:$P,3,FALSE)</f>
        <v>601-800</v>
      </c>
      <c r="D783" t="str">
        <f>VLOOKUP(A784,[1]timesData!$B:$P,3,FALSE)</f>
        <v>601-800</v>
      </c>
      <c r="E783">
        <f>VLOOKUP(A784,[1]timesData!$B:$P,4,FALSE)</f>
        <v>28.2</v>
      </c>
      <c r="F783">
        <f>VLOOKUP(A784,[1]timesData!$B:$P,5,FALSE)</f>
        <v>11</v>
      </c>
      <c r="G783">
        <f>VLOOKUP(A784,[1]timesData!$B:$P,6,FALSE)</f>
        <v>4.2</v>
      </c>
      <c r="H783">
        <f>VLOOKUP(A784,[1]timesData!$B:$P,7,FALSE)</f>
        <v>28</v>
      </c>
      <c r="I783" t="str">
        <f>VLOOKUP(A784,[1]timesData!$B:$P,8,FALSE)</f>
        <v>-</v>
      </c>
      <c r="J783">
        <f>VLOOKUP(A784,[1]timesData!$B:$P,9,FALSE)</f>
        <v>22686</v>
      </c>
      <c r="K783">
        <f>VLOOKUP(A784,[1]timesData!$B:$P,10,FALSE)</f>
        <v>8.1999999999999993</v>
      </c>
      <c r="L783">
        <f>VLOOKUP(A784,[1]timesData!$B:$P,11,FALSE)</f>
        <v>0.02</v>
      </c>
      <c r="M783">
        <f>VLOOKUP(A784,[1]timesData!$B:$P,12,FALSE)</f>
        <v>1.9131944444444444</v>
      </c>
      <c r="N783">
        <f>VLOOKUP(A784,[1]timesData!$B:$P,13,FALSE)</f>
        <v>2016</v>
      </c>
      <c r="O783" t="e">
        <f>VLOOKUP(A783,[2]cwurData!$B:$P,14,FALSE)</f>
        <v>#N/A</v>
      </c>
      <c r="P783" t="e">
        <f>VLOOKUP(A783,[2]cwurData!$B:$N, 3, FALSE)</f>
        <v>#N/A</v>
      </c>
      <c r="Q783" t="e">
        <f>VLOOKUP(A783,[2]cwurData!$B:$N, 4, FALSE)</f>
        <v>#N/A</v>
      </c>
      <c r="R783" t="e">
        <f>VLOOKUP(A783,[2]cwurData!$B:$N, 5, FALSE)</f>
        <v>#N/A</v>
      </c>
      <c r="S783" t="e">
        <f>VLOOKUP(A783,[2]cwurData!$B:$N, 6, FALSE)</f>
        <v>#N/A</v>
      </c>
      <c r="T783" t="e">
        <f>VLOOKUP(A783,[2]cwurData!$B:$N, 7, FALSE)</f>
        <v>#N/A</v>
      </c>
      <c r="U783" t="e">
        <f>VLOOKUP(A783,[2]cwurData!$B:$N, 8, FALSE)</f>
        <v>#N/A</v>
      </c>
      <c r="V783" t="e">
        <f>VLOOKUP(A783,[2]cwurData!$B:$N, 9, FALSE)</f>
        <v>#N/A</v>
      </c>
      <c r="W783" t="e">
        <f>VLOOKUP(A783,[2]cwurData!$B:$N, 10, FALSE)</f>
        <v>#N/A</v>
      </c>
      <c r="X783" t="e">
        <f>VLOOKUP(A783,[2]cwurData!$B:$N, 11, FALSE)</f>
        <v>#N/A</v>
      </c>
      <c r="Y783" t="e">
        <f>VLOOKUP(A783,[2]cwurData!$B:$N, 12, FALSE)</f>
        <v>#N/A</v>
      </c>
      <c r="Z783" t="e">
        <f>VLOOKUP(A783,[2]cwurData!$B:$N, 13, FALSE)</f>
        <v>#N/A</v>
      </c>
    </row>
    <row r="784" spans="1:26" x14ac:dyDescent="0.3">
      <c r="A784" t="s">
        <v>790</v>
      </c>
      <c r="B784" t="str">
        <f>IFERROR(VLOOKUP(A784,[1]timesData!$B:$P,2,FALSE),VLOOKUP(A784,[2]cwurData!$B:$P,2,FALSE))</f>
        <v>Ukraine</v>
      </c>
      <c r="C784" t="str">
        <f>VLOOKUP(A784,[1]timesData!$B:$P,3,FALSE)</f>
        <v>601-800</v>
      </c>
      <c r="D784" t="str">
        <f>VLOOKUP(A785,[1]timesData!$B:$P,3,FALSE)</f>
        <v>601-800</v>
      </c>
      <c r="E784">
        <f>VLOOKUP(A785,[1]timesData!$B:$P,4,FALSE)</f>
        <v>36.799999999999997</v>
      </c>
      <c r="F784">
        <f>VLOOKUP(A785,[1]timesData!$B:$P,5,FALSE)</f>
        <v>17.2</v>
      </c>
      <c r="G784">
        <f>VLOOKUP(A785,[1]timesData!$B:$P,6,FALSE)</f>
        <v>22</v>
      </c>
      <c r="H784" t="str">
        <f>VLOOKUP(A785,[1]timesData!$B:$P,7,FALSE)</f>
        <v>-</v>
      </c>
      <c r="I784" t="str">
        <f>VLOOKUP(A785,[1]timesData!$B:$P,8,FALSE)</f>
        <v>-</v>
      </c>
      <c r="J784">
        <f>VLOOKUP(A785,[1]timesData!$B:$P,9,FALSE)</f>
        <v>29512</v>
      </c>
      <c r="K784">
        <f>VLOOKUP(A785,[1]timesData!$B:$P,10,FALSE)</f>
        <v>20.9</v>
      </c>
      <c r="L784">
        <f>VLOOKUP(A785,[1]timesData!$B:$P,11,FALSE)</f>
        <v>7.0000000000000007E-2</v>
      </c>
      <c r="M784">
        <f>VLOOKUP(A785,[1]timesData!$B:$P,12,FALSE)</f>
        <v>1.9541666666666666</v>
      </c>
      <c r="N784">
        <f>VLOOKUP(A785,[1]timesData!$B:$P,13,FALSE)</f>
        <v>2016</v>
      </c>
      <c r="O784" t="e">
        <f>VLOOKUP(A784,[2]cwurData!$B:$P,14,FALSE)</f>
        <v>#N/A</v>
      </c>
      <c r="P784" t="e">
        <f>VLOOKUP(A784,[2]cwurData!$B:$N, 3, FALSE)</f>
        <v>#N/A</v>
      </c>
      <c r="Q784" t="e">
        <f>VLOOKUP(A784,[2]cwurData!$B:$N, 4, FALSE)</f>
        <v>#N/A</v>
      </c>
      <c r="R784" t="e">
        <f>VLOOKUP(A784,[2]cwurData!$B:$N, 5, FALSE)</f>
        <v>#N/A</v>
      </c>
      <c r="S784" t="e">
        <f>VLOOKUP(A784,[2]cwurData!$B:$N, 6, FALSE)</f>
        <v>#N/A</v>
      </c>
      <c r="T784" t="e">
        <f>VLOOKUP(A784,[2]cwurData!$B:$N, 7, FALSE)</f>
        <v>#N/A</v>
      </c>
      <c r="U784" t="e">
        <f>VLOOKUP(A784,[2]cwurData!$B:$N, 8, FALSE)</f>
        <v>#N/A</v>
      </c>
      <c r="V784" t="e">
        <f>VLOOKUP(A784,[2]cwurData!$B:$N, 9, FALSE)</f>
        <v>#N/A</v>
      </c>
      <c r="W784" t="e">
        <f>VLOOKUP(A784,[2]cwurData!$B:$N, 10, FALSE)</f>
        <v>#N/A</v>
      </c>
      <c r="X784" t="e">
        <f>VLOOKUP(A784,[2]cwurData!$B:$N, 11, FALSE)</f>
        <v>#N/A</v>
      </c>
      <c r="Y784" t="e">
        <f>VLOOKUP(A784,[2]cwurData!$B:$N, 12, FALSE)</f>
        <v>#N/A</v>
      </c>
      <c r="Z784" t="e">
        <f>VLOOKUP(A784,[2]cwurData!$B:$N, 13, FALSE)</f>
        <v>#N/A</v>
      </c>
    </row>
    <row r="785" spans="1:26" x14ac:dyDescent="0.3">
      <c r="A785" t="s">
        <v>794</v>
      </c>
      <c r="B785" t="str">
        <f>IFERROR(VLOOKUP(A785,[1]timesData!$B:$P,2,FALSE),VLOOKUP(A785,[2]cwurData!$B:$P,2,FALSE))</f>
        <v>United States of America</v>
      </c>
      <c r="C785" t="str">
        <f>VLOOKUP(A785,[1]timesData!$B:$P,3,FALSE)</f>
        <v>601-800</v>
      </c>
      <c r="D785" t="str">
        <f>VLOOKUP(A786,[1]timesData!$B:$P,3,FALSE)</f>
        <v>601-800</v>
      </c>
      <c r="E785">
        <f>VLOOKUP(A786,[1]timesData!$B:$P,4,FALSE)</f>
        <v>16.8</v>
      </c>
      <c r="F785">
        <f>VLOOKUP(A786,[1]timesData!$B:$P,5,FALSE)</f>
        <v>21.6</v>
      </c>
      <c r="G785">
        <f>VLOOKUP(A786,[1]timesData!$B:$P,6,FALSE)</f>
        <v>12.8</v>
      </c>
      <c r="H785">
        <f>VLOOKUP(A786,[1]timesData!$B:$P,7,FALSE)</f>
        <v>59.6</v>
      </c>
      <c r="I785" t="str">
        <f>VLOOKUP(A786,[1]timesData!$B:$P,8,FALSE)</f>
        <v>-</v>
      </c>
      <c r="J785">
        <f>VLOOKUP(A786,[1]timesData!$B:$P,9,FALSE)</f>
        <v>7519</v>
      </c>
      <c r="K785">
        <f>VLOOKUP(A786,[1]timesData!$B:$P,10,FALSE)</f>
        <v>8.9</v>
      </c>
      <c r="L785">
        <f>VLOOKUP(A786,[1]timesData!$B:$P,11,FALSE)</f>
        <v>0.03</v>
      </c>
      <c r="M785" t="str">
        <f>VLOOKUP(A786,[1]timesData!$B:$P,12,FALSE)</f>
        <v>34 : 66</v>
      </c>
      <c r="N785">
        <f>VLOOKUP(A786,[1]timesData!$B:$P,13,FALSE)</f>
        <v>2016</v>
      </c>
      <c r="O785" t="e">
        <f>VLOOKUP(A785,[2]cwurData!$B:$P,14,FALSE)</f>
        <v>#N/A</v>
      </c>
      <c r="P785" t="e">
        <f>VLOOKUP(A785,[2]cwurData!$B:$N, 3, FALSE)</f>
        <v>#N/A</v>
      </c>
      <c r="Q785" t="e">
        <f>VLOOKUP(A785,[2]cwurData!$B:$N, 4, FALSE)</f>
        <v>#N/A</v>
      </c>
      <c r="R785" t="e">
        <f>VLOOKUP(A785,[2]cwurData!$B:$N, 5, FALSE)</f>
        <v>#N/A</v>
      </c>
      <c r="S785" t="e">
        <f>VLOOKUP(A785,[2]cwurData!$B:$N, 6, FALSE)</f>
        <v>#N/A</v>
      </c>
      <c r="T785" t="e">
        <f>VLOOKUP(A785,[2]cwurData!$B:$N, 7, FALSE)</f>
        <v>#N/A</v>
      </c>
      <c r="U785" t="e">
        <f>VLOOKUP(A785,[2]cwurData!$B:$N, 8, FALSE)</f>
        <v>#N/A</v>
      </c>
      <c r="V785" t="e">
        <f>VLOOKUP(A785,[2]cwurData!$B:$N, 9, FALSE)</f>
        <v>#N/A</v>
      </c>
      <c r="W785" t="e">
        <f>VLOOKUP(A785,[2]cwurData!$B:$N, 10, FALSE)</f>
        <v>#N/A</v>
      </c>
      <c r="X785" t="e">
        <f>VLOOKUP(A785,[2]cwurData!$B:$N, 11, FALSE)</f>
        <v>#N/A</v>
      </c>
      <c r="Y785" t="e">
        <f>VLOOKUP(A785,[2]cwurData!$B:$N, 12, FALSE)</f>
        <v>#N/A</v>
      </c>
      <c r="Z785" t="e">
        <f>VLOOKUP(A785,[2]cwurData!$B:$N, 13, FALSE)</f>
        <v>#N/A</v>
      </c>
    </row>
    <row r="786" spans="1:26" x14ac:dyDescent="0.3">
      <c r="A786" t="s">
        <v>796</v>
      </c>
      <c r="B786" t="str">
        <f>IFERROR(VLOOKUP(A786,[1]timesData!$B:$P,2,FALSE),VLOOKUP(A786,[2]cwurData!$B:$P,2,FALSE))</f>
        <v>Japan</v>
      </c>
      <c r="C786" t="str">
        <f>VLOOKUP(A786,[1]timesData!$B:$P,3,FALSE)</f>
        <v>601-800</v>
      </c>
      <c r="D786" t="str">
        <f>VLOOKUP(A787,[1]timesData!$B:$P,3,FALSE)</f>
        <v>601-800</v>
      </c>
      <c r="E786">
        <f>VLOOKUP(A787,[1]timesData!$B:$P,4,FALSE)</f>
        <v>24.5</v>
      </c>
      <c r="F786">
        <f>VLOOKUP(A787,[1]timesData!$B:$P,5,FALSE)</f>
        <v>12.4</v>
      </c>
      <c r="G786">
        <f>VLOOKUP(A787,[1]timesData!$B:$P,6,FALSE)</f>
        <v>7.7</v>
      </c>
      <c r="H786">
        <f>VLOOKUP(A787,[1]timesData!$B:$P,7,FALSE)</f>
        <v>57.9</v>
      </c>
      <c r="I786" t="str">
        <f>VLOOKUP(A787,[1]timesData!$B:$P,8,FALSE)</f>
        <v>-</v>
      </c>
      <c r="J786">
        <f>VLOOKUP(A787,[1]timesData!$B:$P,9,FALSE)</f>
        <v>2597</v>
      </c>
      <c r="K786">
        <f>VLOOKUP(A787,[1]timesData!$B:$P,10,FALSE)</f>
        <v>11.1</v>
      </c>
      <c r="L786">
        <f>VLOOKUP(A787,[1]timesData!$B:$P,11,FALSE)</f>
        <v>7.0000000000000007E-2</v>
      </c>
      <c r="M786" t="str">
        <f>VLOOKUP(A787,[1]timesData!$B:$P,12,FALSE)</f>
        <v>34 : 66</v>
      </c>
      <c r="N786">
        <f>VLOOKUP(A787,[1]timesData!$B:$P,13,FALSE)</f>
        <v>2016</v>
      </c>
      <c r="O786" t="e">
        <f>VLOOKUP(A786,[2]cwurData!$B:$P,14,FALSE)</f>
        <v>#N/A</v>
      </c>
      <c r="P786" t="e">
        <f>VLOOKUP(A786,[2]cwurData!$B:$N, 3, FALSE)</f>
        <v>#N/A</v>
      </c>
      <c r="Q786" t="e">
        <f>VLOOKUP(A786,[2]cwurData!$B:$N, 4, FALSE)</f>
        <v>#N/A</v>
      </c>
      <c r="R786" t="e">
        <f>VLOOKUP(A786,[2]cwurData!$B:$N, 5, FALSE)</f>
        <v>#N/A</v>
      </c>
      <c r="S786" t="e">
        <f>VLOOKUP(A786,[2]cwurData!$B:$N, 6, FALSE)</f>
        <v>#N/A</v>
      </c>
      <c r="T786" t="e">
        <f>VLOOKUP(A786,[2]cwurData!$B:$N, 7, FALSE)</f>
        <v>#N/A</v>
      </c>
      <c r="U786" t="e">
        <f>VLOOKUP(A786,[2]cwurData!$B:$N, 8, FALSE)</f>
        <v>#N/A</v>
      </c>
      <c r="V786" t="e">
        <f>VLOOKUP(A786,[2]cwurData!$B:$N, 9, FALSE)</f>
        <v>#N/A</v>
      </c>
      <c r="W786" t="e">
        <f>VLOOKUP(A786,[2]cwurData!$B:$N, 10, FALSE)</f>
        <v>#N/A</v>
      </c>
      <c r="X786" t="e">
        <f>VLOOKUP(A786,[2]cwurData!$B:$N, 11, FALSE)</f>
        <v>#N/A</v>
      </c>
      <c r="Y786" t="e">
        <f>VLOOKUP(A786,[2]cwurData!$B:$N, 12, FALSE)</f>
        <v>#N/A</v>
      </c>
      <c r="Z786" t="e">
        <f>VLOOKUP(A786,[2]cwurData!$B:$N, 13, FALSE)</f>
        <v>#N/A</v>
      </c>
    </row>
    <row r="787" spans="1:26" x14ac:dyDescent="0.3">
      <c r="A787" t="s">
        <v>797</v>
      </c>
      <c r="B787" t="str">
        <f>IFERROR(VLOOKUP(A787,[1]timesData!$B:$P,2,FALSE),VLOOKUP(A787,[2]cwurData!$B:$P,2,FALSE))</f>
        <v>Japan</v>
      </c>
      <c r="C787" t="str">
        <f>VLOOKUP(A787,[1]timesData!$B:$P,3,FALSE)</f>
        <v>601-800</v>
      </c>
      <c r="D787" t="str">
        <f>VLOOKUP(A788,[1]timesData!$B:$P,3,FALSE)</f>
        <v>601-800</v>
      </c>
      <c r="E787">
        <f>VLOOKUP(A788,[1]timesData!$B:$P,4,FALSE)</f>
        <v>36.9</v>
      </c>
      <c r="F787">
        <f>VLOOKUP(A788,[1]timesData!$B:$P,5,FALSE)</f>
        <v>20.8</v>
      </c>
      <c r="G787">
        <f>VLOOKUP(A788,[1]timesData!$B:$P,6,FALSE)</f>
        <v>7.6</v>
      </c>
      <c r="H787">
        <f>VLOOKUP(A788,[1]timesData!$B:$P,7,FALSE)</f>
        <v>44</v>
      </c>
      <c r="I787" t="str">
        <f>VLOOKUP(A788,[1]timesData!$B:$P,8,FALSE)</f>
        <v>-</v>
      </c>
      <c r="J787">
        <f>VLOOKUP(A788,[1]timesData!$B:$P,9,FALSE)</f>
        <v>10413</v>
      </c>
      <c r="K787">
        <f>VLOOKUP(A788,[1]timesData!$B:$P,10,FALSE)</f>
        <v>9.9</v>
      </c>
      <c r="L787">
        <f>VLOOKUP(A788,[1]timesData!$B:$P,11,FALSE)</f>
        <v>0.12</v>
      </c>
      <c r="M787">
        <f>VLOOKUP(A788,[1]timesData!$B:$P,12,FALSE)</f>
        <v>2.5277777777777777</v>
      </c>
      <c r="N787">
        <f>VLOOKUP(A788,[1]timesData!$B:$P,13,FALSE)</f>
        <v>2016</v>
      </c>
      <c r="O787" t="e">
        <f>VLOOKUP(A787,[2]cwurData!$B:$P,14,FALSE)</f>
        <v>#N/A</v>
      </c>
      <c r="P787" t="e">
        <f>VLOOKUP(A787,[2]cwurData!$B:$N, 3, FALSE)</f>
        <v>#N/A</v>
      </c>
      <c r="Q787" t="e">
        <f>VLOOKUP(A787,[2]cwurData!$B:$N, 4, FALSE)</f>
        <v>#N/A</v>
      </c>
      <c r="R787" t="e">
        <f>VLOOKUP(A787,[2]cwurData!$B:$N, 5, FALSE)</f>
        <v>#N/A</v>
      </c>
      <c r="S787" t="e">
        <f>VLOOKUP(A787,[2]cwurData!$B:$N, 6, FALSE)</f>
        <v>#N/A</v>
      </c>
      <c r="T787" t="e">
        <f>VLOOKUP(A787,[2]cwurData!$B:$N, 7, FALSE)</f>
        <v>#N/A</v>
      </c>
      <c r="U787" t="e">
        <f>VLOOKUP(A787,[2]cwurData!$B:$N, 8, FALSE)</f>
        <v>#N/A</v>
      </c>
      <c r="V787" t="e">
        <f>VLOOKUP(A787,[2]cwurData!$B:$N, 9, FALSE)</f>
        <v>#N/A</v>
      </c>
      <c r="W787" t="e">
        <f>VLOOKUP(A787,[2]cwurData!$B:$N, 10, FALSE)</f>
        <v>#N/A</v>
      </c>
      <c r="X787" t="e">
        <f>VLOOKUP(A787,[2]cwurData!$B:$N, 11, FALSE)</f>
        <v>#N/A</v>
      </c>
      <c r="Y787" t="e">
        <f>VLOOKUP(A787,[2]cwurData!$B:$N, 12, FALSE)</f>
        <v>#N/A</v>
      </c>
      <c r="Z787" t="e">
        <f>VLOOKUP(A787,[2]cwurData!$B:$N, 13, FALSE)</f>
        <v>#N/A</v>
      </c>
    </row>
    <row r="788" spans="1:26" x14ac:dyDescent="0.3">
      <c r="A788" t="s">
        <v>799</v>
      </c>
      <c r="B788" t="str">
        <f>IFERROR(VLOOKUP(A788,[1]timesData!$B:$P,2,FALSE),VLOOKUP(A788,[2]cwurData!$B:$P,2,FALSE))</f>
        <v>Russian Federation</v>
      </c>
      <c r="C788" t="str">
        <f>VLOOKUP(A788,[1]timesData!$B:$P,3,FALSE)</f>
        <v>601-800</v>
      </c>
      <c r="D788" t="str">
        <f>VLOOKUP(A789,[1]timesData!$B:$P,3,FALSE)</f>
        <v>601-800</v>
      </c>
      <c r="E788">
        <f>VLOOKUP(A789,[1]timesData!$B:$P,4,FALSE)</f>
        <v>25.4</v>
      </c>
      <c r="F788">
        <f>VLOOKUP(A789,[1]timesData!$B:$P,5,FALSE)</f>
        <v>18.899999999999999</v>
      </c>
      <c r="G788">
        <f>VLOOKUP(A789,[1]timesData!$B:$P,6,FALSE)</f>
        <v>15.8</v>
      </c>
      <c r="H788">
        <f>VLOOKUP(A789,[1]timesData!$B:$P,7,FALSE)</f>
        <v>50.3</v>
      </c>
      <c r="I788" t="str">
        <f>VLOOKUP(A789,[1]timesData!$B:$P,8,FALSE)</f>
        <v>-</v>
      </c>
      <c r="J788">
        <f>VLOOKUP(A789,[1]timesData!$B:$P,9,FALSE)</f>
        <v>2153</v>
      </c>
      <c r="K788">
        <f>VLOOKUP(A789,[1]timesData!$B:$P,10,FALSE)</f>
        <v>9.3000000000000007</v>
      </c>
      <c r="L788">
        <f>VLOOKUP(A789,[1]timesData!$B:$P,11,FALSE)</f>
        <v>0.09</v>
      </c>
      <c r="M788">
        <f>VLOOKUP(A789,[1]timesData!$B:$P,12,FALSE)</f>
        <v>0.43819444444444444</v>
      </c>
      <c r="N788">
        <f>VLOOKUP(A789,[1]timesData!$B:$P,13,FALSE)</f>
        <v>2016</v>
      </c>
      <c r="O788" t="e">
        <f>VLOOKUP(A788,[2]cwurData!$B:$P,14,FALSE)</f>
        <v>#N/A</v>
      </c>
      <c r="P788" t="e">
        <f>VLOOKUP(A788,[2]cwurData!$B:$N, 3, FALSE)</f>
        <v>#N/A</v>
      </c>
      <c r="Q788" t="e">
        <f>VLOOKUP(A788,[2]cwurData!$B:$N, 4, FALSE)</f>
        <v>#N/A</v>
      </c>
      <c r="R788" t="e">
        <f>VLOOKUP(A788,[2]cwurData!$B:$N, 5, FALSE)</f>
        <v>#N/A</v>
      </c>
      <c r="S788" t="e">
        <f>VLOOKUP(A788,[2]cwurData!$B:$N, 6, FALSE)</f>
        <v>#N/A</v>
      </c>
      <c r="T788" t="e">
        <f>VLOOKUP(A788,[2]cwurData!$B:$N, 7, FALSE)</f>
        <v>#N/A</v>
      </c>
      <c r="U788" t="e">
        <f>VLOOKUP(A788,[2]cwurData!$B:$N, 8, FALSE)</f>
        <v>#N/A</v>
      </c>
      <c r="V788" t="e">
        <f>VLOOKUP(A788,[2]cwurData!$B:$N, 9, FALSE)</f>
        <v>#N/A</v>
      </c>
      <c r="W788" t="e">
        <f>VLOOKUP(A788,[2]cwurData!$B:$N, 10, FALSE)</f>
        <v>#N/A</v>
      </c>
      <c r="X788" t="e">
        <f>VLOOKUP(A788,[2]cwurData!$B:$N, 11, FALSE)</f>
        <v>#N/A</v>
      </c>
      <c r="Y788" t="e">
        <f>VLOOKUP(A788,[2]cwurData!$B:$N, 12, FALSE)</f>
        <v>#N/A</v>
      </c>
      <c r="Z788" t="e">
        <f>VLOOKUP(A788,[2]cwurData!$B:$N, 13, FALSE)</f>
        <v>#N/A</v>
      </c>
    </row>
    <row r="789" spans="1:26" x14ac:dyDescent="0.3">
      <c r="A789" t="s">
        <v>801</v>
      </c>
      <c r="B789" t="str">
        <f>IFERROR(VLOOKUP(A789,[1]timesData!$B:$P,2,FALSE),VLOOKUP(A789,[2]cwurData!$B:$P,2,FALSE))</f>
        <v>Japan</v>
      </c>
      <c r="C789" t="str">
        <f>VLOOKUP(A789,[1]timesData!$B:$P,3,FALSE)</f>
        <v>601-800</v>
      </c>
      <c r="D789" t="str">
        <f>VLOOKUP(A790,[1]timesData!$B:$P,3,FALSE)</f>
        <v>601-800</v>
      </c>
      <c r="E789">
        <f>VLOOKUP(A790,[1]timesData!$B:$P,4,FALSE)</f>
        <v>29.7</v>
      </c>
      <c r="F789">
        <f>VLOOKUP(A790,[1]timesData!$B:$P,5,FALSE)</f>
        <v>15.9</v>
      </c>
      <c r="G789">
        <f>VLOOKUP(A790,[1]timesData!$B:$P,6,FALSE)</f>
        <v>10.9</v>
      </c>
      <c r="H789">
        <f>VLOOKUP(A790,[1]timesData!$B:$P,7,FALSE)</f>
        <v>28.4</v>
      </c>
      <c r="I789" t="str">
        <f>VLOOKUP(A790,[1]timesData!$B:$P,8,FALSE)</f>
        <v>-</v>
      </c>
      <c r="J789">
        <f>VLOOKUP(A790,[1]timesData!$B:$P,9,FALSE)</f>
        <v>24227</v>
      </c>
      <c r="K789">
        <f>VLOOKUP(A790,[1]timesData!$B:$P,10,FALSE)</f>
        <v>11.8</v>
      </c>
      <c r="L789">
        <f>VLOOKUP(A790,[1]timesData!$B:$P,11,FALSE)</f>
        <v>0.12</v>
      </c>
      <c r="M789">
        <f>VLOOKUP(A790,[1]timesData!$B:$P,12,FALSE)</f>
        <v>2.6097222222222221</v>
      </c>
      <c r="N789">
        <f>VLOOKUP(A790,[1]timesData!$B:$P,13,FALSE)</f>
        <v>2016</v>
      </c>
      <c r="O789" t="e">
        <f>VLOOKUP(A789,[2]cwurData!$B:$P,14,FALSE)</f>
        <v>#N/A</v>
      </c>
      <c r="P789" t="e">
        <f>VLOOKUP(A789,[2]cwurData!$B:$N, 3, FALSE)</f>
        <v>#N/A</v>
      </c>
      <c r="Q789" t="e">
        <f>VLOOKUP(A789,[2]cwurData!$B:$N, 4, FALSE)</f>
        <v>#N/A</v>
      </c>
      <c r="R789" t="e">
        <f>VLOOKUP(A789,[2]cwurData!$B:$N, 5, FALSE)</f>
        <v>#N/A</v>
      </c>
      <c r="S789" t="e">
        <f>VLOOKUP(A789,[2]cwurData!$B:$N, 6, FALSE)</f>
        <v>#N/A</v>
      </c>
      <c r="T789" t="e">
        <f>VLOOKUP(A789,[2]cwurData!$B:$N, 7, FALSE)</f>
        <v>#N/A</v>
      </c>
      <c r="U789" t="e">
        <f>VLOOKUP(A789,[2]cwurData!$B:$N, 8, FALSE)</f>
        <v>#N/A</v>
      </c>
      <c r="V789" t="e">
        <f>VLOOKUP(A789,[2]cwurData!$B:$N, 9, FALSE)</f>
        <v>#N/A</v>
      </c>
      <c r="W789" t="e">
        <f>VLOOKUP(A789,[2]cwurData!$B:$N, 10, FALSE)</f>
        <v>#N/A</v>
      </c>
      <c r="X789" t="e">
        <f>VLOOKUP(A789,[2]cwurData!$B:$N, 11, FALSE)</f>
        <v>#N/A</v>
      </c>
      <c r="Y789" t="e">
        <f>VLOOKUP(A789,[2]cwurData!$B:$N, 12, FALSE)</f>
        <v>#N/A</v>
      </c>
      <c r="Z789" t="e">
        <f>VLOOKUP(A789,[2]cwurData!$B:$N, 13, FALSE)</f>
        <v>#N/A</v>
      </c>
    </row>
    <row r="790" spans="1:26" x14ac:dyDescent="0.3">
      <c r="A790" t="s">
        <v>802</v>
      </c>
      <c r="B790" t="str">
        <f>IFERROR(VLOOKUP(A790,[1]timesData!$B:$P,2,FALSE),VLOOKUP(A790,[2]cwurData!$B:$P,2,FALSE))</f>
        <v>Malaysia</v>
      </c>
      <c r="C790" t="str">
        <f>VLOOKUP(A790,[1]timesData!$B:$P,3,FALSE)</f>
        <v>601-800</v>
      </c>
      <c r="D790" t="str">
        <f>VLOOKUP(A791,[1]timesData!$B:$P,3,FALSE)</f>
        <v>601-800</v>
      </c>
      <c r="E790">
        <f>VLOOKUP(A791,[1]timesData!$B:$P,4,FALSE)</f>
        <v>50.1</v>
      </c>
      <c r="F790">
        <f>VLOOKUP(A791,[1]timesData!$B:$P,5,FALSE)</f>
        <v>20.9</v>
      </c>
      <c r="G790">
        <f>VLOOKUP(A791,[1]timesData!$B:$P,6,FALSE)</f>
        <v>10.199999999999999</v>
      </c>
      <c r="H790">
        <f>VLOOKUP(A791,[1]timesData!$B:$P,7,FALSE)</f>
        <v>34.200000000000003</v>
      </c>
      <c r="I790" t="str">
        <f>VLOOKUP(A791,[1]timesData!$B:$P,8,FALSE)</f>
        <v>-</v>
      </c>
      <c r="J790">
        <f>VLOOKUP(A791,[1]timesData!$B:$P,9,FALSE)</f>
        <v>23883</v>
      </c>
      <c r="K790">
        <f>VLOOKUP(A791,[1]timesData!$B:$P,10,FALSE)</f>
        <v>12.2</v>
      </c>
      <c r="L790">
        <f>VLOOKUP(A791,[1]timesData!$B:$P,11,FALSE)</f>
        <v>0.16</v>
      </c>
      <c r="M790">
        <f>VLOOKUP(A791,[1]timesData!$B:$P,12,FALSE)</f>
        <v>2.6506944444444445</v>
      </c>
      <c r="N790">
        <f>VLOOKUP(A791,[1]timesData!$B:$P,13,FALSE)</f>
        <v>2016</v>
      </c>
      <c r="O790" t="e">
        <f>VLOOKUP(A790,[2]cwurData!$B:$P,14,FALSE)</f>
        <v>#N/A</v>
      </c>
      <c r="P790" t="e">
        <f>VLOOKUP(A790,[2]cwurData!$B:$N, 3, FALSE)</f>
        <v>#N/A</v>
      </c>
      <c r="Q790" t="e">
        <f>VLOOKUP(A790,[2]cwurData!$B:$N, 4, FALSE)</f>
        <v>#N/A</v>
      </c>
      <c r="R790" t="e">
        <f>VLOOKUP(A790,[2]cwurData!$B:$N, 5, FALSE)</f>
        <v>#N/A</v>
      </c>
      <c r="S790" t="e">
        <f>VLOOKUP(A790,[2]cwurData!$B:$N, 6, FALSE)</f>
        <v>#N/A</v>
      </c>
      <c r="T790" t="e">
        <f>VLOOKUP(A790,[2]cwurData!$B:$N, 7, FALSE)</f>
        <v>#N/A</v>
      </c>
      <c r="U790" t="e">
        <f>VLOOKUP(A790,[2]cwurData!$B:$N, 8, FALSE)</f>
        <v>#N/A</v>
      </c>
      <c r="V790" t="e">
        <f>VLOOKUP(A790,[2]cwurData!$B:$N, 9, FALSE)</f>
        <v>#N/A</v>
      </c>
      <c r="W790" t="e">
        <f>VLOOKUP(A790,[2]cwurData!$B:$N, 10, FALSE)</f>
        <v>#N/A</v>
      </c>
      <c r="X790" t="e">
        <f>VLOOKUP(A790,[2]cwurData!$B:$N, 11, FALSE)</f>
        <v>#N/A</v>
      </c>
      <c r="Y790" t="e">
        <f>VLOOKUP(A790,[2]cwurData!$B:$N, 12, FALSE)</f>
        <v>#N/A</v>
      </c>
      <c r="Z790" t="e">
        <f>VLOOKUP(A790,[2]cwurData!$B:$N, 13, FALSE)</f>
        <v>#N/A</v>
      </c>
    </row>
    <row r="791" spans="1:26" x14ac:dyDescent="0.3">
      <c r="A791" t="s">
        <v>803</v>
      </c>
      <c r="B791" t="str">
        <f>IFERROR(VLOOKUP(A791,[1]timesData!$B:$P,2,FALSE),VLOOKUP(A791,[2]cwurData!$B:$P,2,FALSE))</f>
        <v>Malaysia</v>
      </c>
      <c r="C791" t="str">
        <f>VLOOKUP(A791,[1]timesData!$B:$P,3,FALSE)</f>
        <v>601-800</v>
      </c>
      <c r="D791" t="str">
        <f>VLOOKUP(A792,[1]timesData!$B:$P,3,FALSE)</f>
        <v>601-800</v>
      </c>
      <c r="E791">
        <f>VLOOKUP(A792,[1]timesData!$B:$P,4,FALSE)</f>
        <v>44.2</v>
      </c>
      <c r="F791">
        <f>VLOOKUP(A792,[1]timesData!$B:$P,5,FALSE)</f>
        <v>16.600000000000001</v>
      </c>
      <c r="G791">
        <f>VLOOKUP(A792,[1]timesData!$B:$P,6,FALSE)</f>
        <v>12.4</v>
      </c>
      <c r="H791">
        <f>VLOOKUP(A792,[1]timesData!$B:$P,7,FALSE)</f>
        <v>34.4</v>
      </c>
      <c r="I791" t="str">
        <f>VLOOKUP(A792,[1]timesData!$B:$P,8,FALSE)</f>
        <v>-</v>
      </c>
      <c r="J791">
        <f>VLOOKUP(A792,[1]timesData!$B:$P,9,FALSE)</f>
        <v>28179</v>
      </c>
      <c r="K791">
        <f>VLOOKUP(A792,[1]timesData!$B:$P,10,FALSE)</f>
        <v>14.8</v>
      </c>
      <c r="L791">
        <f>VLOOKUP(A792,[1]timesData!$B:$P,11,FALSE)</f>
        <v>0.1</v>
      </c>
      <c r="M791">
        <f>VLOOKUP(A792,[1]timesData!$B:$P,12,FALSE)</f>
        <v>2.5687500000000001</v>
      </c>
      <c r="N791">
        <f>VLOOKUP(A792,[1]timesData!$B:$P,13,FALSE)</f>
        <v>2016</v>
      </c>
      <c r="O791" t="e">
        <f>VLOOKUP(A791,[2]cwurData!$B:$P,14,FALSE)</f>
        <v>#N/A</v>
      </c>
      <c r="P791" t="e">
        <f>VLOOKUP(A791,[2]cwurData!$B:$N, 3, FALSE)</f>
        <v>#N/A</v>
      </c>
      <c r="Q791" t="e">
        <f>VLOOKUP(A791,[2]cwurData!$B:$N, 4, FALSE)</f>
        <v>#N/A</v>
      </c>
      <c r="R791" t="e">
        <f>VLOOKUP(A791,[2]cwurData!$B:$N, 5, FALSE)</f>
        <v>#N/A</v>
      </c>
      <c r="S791" t="e">
        <f>VLOOKUP(A791,[2]cwurData!$B:$N, 6, FALSE)</f>
        <v>#N/A</v>
      </c>
      <c r="T791" t="e">
        <f>VLOOKUP(A791,[2]cwurData!$B:$N, 7, FALSE)</f>
        <v>#N/A</v>
      </c>
      <c r="U791" t="e">
        <f>VLOOKUP(A791,[2]cwurData!$B:$N, 8, FALSE)</f>
        <v>#N/A</v>
      </c>
      <c r="V791" t="e">
        <f>VLOOKUP(A791,[2]cwurData!$B:$N, 9, FALSE)</f>
        <v>#N/A</v>
      </c>
      <c r="W791" t="e">
        <f>VLOOKUP(A791,[2]cwurData!$B:$N, 10, FALSE)</f>
        <v>#N/A</v>
      </c>
      <c r="X791" t="e">
        <f>VLOOKUP(A791,[2]cwurData!$B:$N, 11, FALSE)</f>
        <v>#N/A</v>
      </c>
      <c r="Y791" t="e">
        <f>VLOOKUP(A791,[2]cwurData!$B:$N, 12, FALSE)</f>
        <v>#N/A</v>
      </c>
      <c r="Z791" t="e">
        <f>VLOOKUP(A791,[2]cwurData!$B:$N, 13, FALSE)</f>
        <v>#N/A</v>
      </c>
    </row>
    <row r="792" spans="1:26" x14ac:dyDescent="0.3">
      <c r="A792" t="s">
        <v>804</v>
      </c>
      <c r="B792" t="str">
        <f>IFERROR(VLOOKUP(A792,[1]timesData!$B:$P,2,FALSE),VLOOKUP(A792,[2]cwurData!$B:$P,2,FALSE))</f>
        <v>Malaysia</v>
      </c>
      <c r="C792" t="str">
        <f>VLOOKUP(A792,[1]timesData!$B:$P,3,FALSE)</f>
        <v>601-800</v>
      </c>
      <c r="D792" t="str">
        <f>VLOOKUP(A793,[1]timesData!$B:$P,3,FALSE)</f>
        <v>601-800</v>
      </c>
      <c r="E792">
        <f>VLOOKUP(A793,[1]timesData!$B:$P,4,FALSE)</f>
        <v>14.8</v>
      </c>
      <c r="F792">
        <f>VLOOKUP(A793,[1]timesData!$B:$P,5,FALSE)</f>
        <v>7.7</v>
      </c>
      <c r="G792">
        <f>VLOOKUP(A793,[1]timesData!$B:$P,6,FALSE)</f>
        <v>18.2</v>
      </c>
      <c r="H792">
        <f>VLOOKUP(A793,[1]timesData!$B:$P,7,FALSE)</f>
        <v>28.3</v>
      </c>
      <c r="I792" t="str">
        <f>VLOOKUP(A793,[1]timesData!$B:$P,8,FALSE)</f>
        <v>-</v>
      </c>
      <c r="J792">
        <f>VLOOKUP(A793,[1]timesData!$B:$P,9,FALSE)</f>
        <v>69268</v>
      </c>
      <c r="K792">
        <f>VLOOKUP(A793,[1]timesData!$B:$P,10,FALSE)</f>
        <v>16.8</v>
      </c>
      <c r="L792">
        <f>VLOOKUP(A793,[1]timesData!$B:$P,11,FALSE)</f>
        <v>0</v>
      </c>
      <c r="M792">
        <f>VLOOKUP(A793,[1]timesData!$B:$P,12,FALSE)</f>
        <v>2.7326388888888888</v>
      </c>
      <c r="N792">
        <f>VLOOKUP(A793,[1]timesData!$B:$P,13,FALSE)</f>
        <v>2016</v>
      </c>
      <c r="O792" t="e">
        <f>VLOOKUP(A792,[2]cwurData!$B:$P,14,FALSE)</f>
        <v>#N/A</v>
      </c>
      <c r="P792" t="e">
        <f>VLOOKUP(A792,[2]cwurData!$B:$N, 3, FALSE)</f>
        <v>#N/A</v>
      </c>
      <c r="Q792" t="e">
        <f>VLOOKUP(A792,[2]cwurData!$B:$N, 4, FALSE)</f>
        <v>#N/A</v>
      </c>
      <c r="R792" t="e">
        <f>VLOOKUP(A792,[2]cwurData!$B:$N, 5, FALSE)</f>
        <v>#N/A</v>
      </c>
      <c r="S792" t="e">
        <f>VLOOKUP(A792,[2]cwurData!$B:$N, 6, FALSE)</f>
        <v>#N/A</v>
      </c>
      <c r="T792" t="e">
        <f>VLOOKUP(A792,[2]cwurData!$B:$N, 7, FALSE)</f>
        <v>#N/A</v>
      </c>
      <c r="U792" t="e">
        <f>VLOOKUP(A792,[2]cwurData!$B:$N, 8, FALSE)</f>
        <v>#N/A</v>
      </c>
      <c r="V792" t="e">
        <f>VLOOKUP(A792,[2]cwurData!$B:$N, 9, FALSE)</f>
        <v>#N/A</v>
      </c>
      <c r="W792" t="e">
        <f>VLOOKUP(A792,[2]cwurData!$B:$N, 10, FALSE)</f>
        <v>#N/A</v>
      </c>
      <c r="X792" t="e">
        <f>VLOOKUP(A792,[2]cwurData!$B:$N, 11, FALSE)</f>
        <v>#N/A</v>
      </c>
      <c r="Y792" t="e">
        <f>VLOOKUP(A792,[2]cwurData!$B:$N, 12, FALSE)</f>
        <v>#N/A</v>
      </c>
      <c r="Z792" t="e">
        <f>VLOOKUP(A792,[2]cwurData!$B:$N, 13, FALSE)</f>
        <v>#N/A</v>
      </c>
    </row>
    <row r="793" spans="1:26" x14ac:dyDescent="0.3">
      <c r="A793" t="s">
        <v>805</v>
      </c>
      <c r="B793" t="str">
        <f>IFERROR(VLOOKUP(A793,[1]timesData!$B:$P,2,FALSE),VLOOKUP(A793,[2]cwurData!$B:$P,2,FALSE))</f>
        <v>Malaysia</v>
      </c>
      <c r="C793" t="str">
        <f>VLOOKUP(A793,[1]timesData!$B:$P,3,FALSE)</f>
        <v>601-800</v>
      </c>
      <c r="D793" t="str">
        <f>VLOOKUP(A794,[1]timesData!$B:$P,3,FALSE)</f>
        <v>601-800</v>
      </c>
      <c r="E793">
        <f>VLOOKUP(A794,[1]timesData!$B:$P,4,FALSE)</f>
        <v>42</v>
      </c>
      <c r="F793">
        <f>VLOOKUP(A794,[1]timesData!$B:$P,5,FALSE)</f>
        <v>21.1</v>
      </c>
      <c r="G793">
        <f>VLOOKUP(A794,[1]timesData!$B:$P,6,FALSE)</f>
        <v>14.8</v>
      </c>
      <c r="H793">
        <f>VLOOKUP(A794,[1]timesData!$B:$P,7,FALSE)</f>
        <v>43.6</v>
      </c>
      <c r="I793" t="str">
        <f>VLOOKUP(A794,[1]timesData!$B:$P,8,FALSE)</f>
        <v>-</v>
      </c>
      <c r="J793">
        <f>VLOOKUP(A794,[1]timesData!$B:$P,9,FALSE)</f>
        <v>38872</v>
      </c>
      <c r="K793">
        <f>VLOOKUP(A794,[1]timesData!$B:$P,10,FALSE)</f>
        <v>23</v>
      </c>
      <c r="L793">
        <f>VLOOKUP(A794,[1]timesData!$B:$P,11,FALSE)</f>
        <v>0.01</v>
      </c>
      <c r="M793">
        <f>VLOOKUP(A794,[1]timesData!$B:$P,12,FALSE)</f>
        <v>2.1180555555555554</v>
      </c>
      <c r="N793">
        <f>VLOOKUP(A794,[1]timesData!$B:$P,13,FALSE)</f>
        <v>2016</v>
      </c>
      <c r="O793" t="e">
        <f>VLOOKUP(A793,[2]cwurData!$B:$P,14,FALSE)</f>
        <v>#N/A</v>
      </c>
      <c r="P793" t="e">
        <f>VLOOKUP(A793,[2]cwurData!$B:$N, 3, FALSE)</f>
        <v>#N/A</v>
      </c>
      <c r="Q793" t="e">
        <f>VLOOKUP(A793,[2]cwurData!$B:$N, 4, FALSE)</f>
        <v>#N/A</v>
      </c>
      <c r="R793" t="e">
        <f>VLOOKUP(A793,[2]cwurData!$B:$N, 5, FALSE)</f>
        <v>#N/A</v>
      </c>
      <c r="S793" t="e">
        <f>VLOOKUP(A793,[2]cwurData!$B:$N, 6, FALSE)</f>
        <v>#N/A</v>
      </c>
      <c r="T793" t="e">
        <f>VLOOKUP(A793,[2]cwurData!$B:$N, 7, FALSE)</f>
        <v>#N/A</v>
      </c>
      <c r="U793" t="e">
        <f>VLOOKUP(A793,[2]cwurData!$B:$N, 8, FALSE)</f>
        <v>#N/A</v>
      </c>
      <c r="V793" t="e">
        <f>VLOOKUP(A793,[2]cwurData!$B:$N, 9, FALSE)</f>
        <v>#N/A</v>
      </c>
      <c r="W793" t="e">
        <f>VLOOKUP(A793,[2]cwurData!$B:$N, 10, FALSE)</f>
        <v>#N/A</v>
      </c>
      <c r="X793" t="e">
        <f>VLOOKUP(A793,[2]cwurData!$B:$N, 11, FALSE)</f>
        <v>#N/A</v>
      </c>
      <c r="Y793" t="e">
        <f>VLOOKUP(A793,[2]cwurData!$B:$N, 12, FALSE)</f>
        <v>#N/A</v>
      </c>
      <c r="Z793" t="e">
        <f>VLOOKUP(A793,[2]cwurData!$B:$N, 13, FALSE)</f>
        <v>#N/A</v>
      </c>
    </row>
    <row r="794" spans="1:26" x14ac:dyDescent="0.3">
      <c r="A794" t="s">
        <v>644</v>
      </c>
      <c r="B794" t="str">
        <f>IFERROR(VLOOKUP(A794,[1]timesData!$B:$P,2,FALSE),VLOOKUP(A794,[2]cwurData!$B:$P,2,FALSE))</f>
        <v>Colombia</v>
      </c>
      <c r="C794" t="str">
        <f>VLOOKUP(A794,[1]timesData!$B:$P,3,FALSE)</f>
        <v>601-800</v>
      </c>
      <c r="D794" t="str">
        <f>VLOOKUP(A795,[1]timesData!$B:$P,3,FALSE)</f>
        <v>601-800</v>
      </c>
      <c r="E794">
        <f>VLOOKUP(A795,[1]timesData!$B:$P,4,FALSE)</f>
        <v>28.6</v>
      </c>
      <c r="F794">
        <f>VLOOKUP(A795,[1]timesData!$B:$P,5,FALSE)</f>
        <v>10.3</v>
      </c>
      <c r="G794">
        <f>VLOOKUP(A795,[1]timesData!$B:$P,6,FALSE)</f>
        <v>30.5</v>
      </c>
      <c r="H794">
        <f>VLOOKUP(A795,[1]timesData!$B:$P,7,FALSE)</f>
        <v>29.7</v>
      </c>
      <c r="I794" t="str">
        <f>VLOOKUP(A795,[1]timesData!$B:$P,8,FALSE)</f>
        <v>-</v>
      </c>
      <c r="J794">
        <f>VLOOKUP(A795,[1]timesData!$B:$P,9,FALSE)</f>
        <v>26381</v>
      </c>
      <c r="K794">
        <f>VLOOKUP(A795,[1]timesData!$B:$P,10,FALSE)</f>
        <v>14.3</v>
      </c>
      <c r="L794">
        <f>VLOOKUP(A795,[1]timesData!$B:$P,11,FALSE)</f>
        <v>0.03</v>
      </c>
      <c r="M794">
        <f>VLOOKUP(A795,[1]timesData!$B:$P,12,FALSE)</f>
        <v>2.3638888888888889</v>
      </c>
      <c r="N794">
        <f>VLOOKUP(A795,[1]timesData!$B:$P,13,FALSE)</f>
        <v>2016</v>
      </c>
      <c r="O794" t="e">
        <f>VLOOKUP(A794,[2]cwurData!$B:$P,14,FALSE)</f>
        <v>#N/A</v>
      </c>
      <c r="P794" t="e">
        <f>VLOOKUP(A794,[2]cwurData!$B:$N, 3, FALSE)</f>
        <v>#N/A</v>
      </c>
      <c r="Q794" t="e">
        <f>VLOOKUP(A794,[2]cwurData!$B:$N, 4, FALSE)</f>
        <v>#N/A</v>
      </c>
      <c r="R794" t="e">
        <f>VLOOKUP(A794,[2]cwurData!$B:$N, 5, FALSE)</f>
        <v>#N/A</v>
      </c>
      <c r="S794" t="e">
        <f>VLOOKUP(A794,[2]cwurData!$B:$N, 6, FALSE)</f>
        <v>#N/A</v>
      </c>
      <c r="T794" t="e">
        <f>VLOOKUP(A794,[2]cwurData!$B:$N, 7, FALSE)</f>
        <v>#N/A</v>
      </c>
      <c r="U794" t="e">
        <f>VLOOKUP(A794,[2]cwurData!$B:$N, 8, FALSE)</f>
        <v>#N/A</v>
      </c>
      <c r="V794" t="e">
        <f>VLOOKUP(A794,[2]cwurData!$B:$N, 9, FALSE)</f>
        <v>#N/A</v>
      </c>
      <c r="W794" t="e">
        <f>VLOOKUP(A794,[2]cwurData!$B:$N, 10, FALSE)</f>
        <v>#N/A</v>
      </c>
      <c r="X794" t="e">
        <f>VLOOKUP(A794,[2]cwurData!$B:$N, 11, FALSE)</f>
        <v>#N/A</v>
      </c>
      <c r="Y794" t="e">
        <f>VLOOKUP(A794,[2]cwurData!$B:$N, 12, FALSE)</f>
        <v>#N/A</v>
      </c>
      <c r="Z794" t="e">
        <f>VLOOKUP(A794,[2]cwurData!$B:$N, 13, FALSE)</f>
        <v>#N/A</v>
      </c>
    </row>
    <row r="795" spans="1:26" x14ac:dyDescent="0.3">
      <c r="A795" t="s">
        <v>663</v>
      </c>
      <c r="B795" t="str">
        <f>IFERROR(VLOOKUP(A795,[1]timesData!$B:$P,2,FALSE),VLOOKUP(A795,[2]cwurData!$B:$P,2,FALSE))</f>
        <v>Spain</v>
      </c>
      <c r="C795" t="str">
        <f>VLOOKUP(A795,[1]timesData!$B:$P,3,FALSE)</f>
        <v>601-800</v>
      </c>
      <c r="D795" t="str">
        <f>VLOOKUP(A796,[1]timesData!$B:$P,3,FALSE)</f>
        <v>601-800</v>
      </c>
      <c r="E795">
        <f>VLOOKUP(A796,[1]timesData!$B:$P,4,FALSE)</f>
        <v>49.1</v>
      </c>
      <c r="F795">
        <f>VLOOKUP(A796,[1]timesData!$B:$P,5,FALSE)</f>
        <v>6.3</v>
      </c>
      <c r="G795">
        <f>VLOOKUP(A796,[1]timesData!$B:$P,6,FALSE)</f>
        <v>13.2</v>
      </c>
      <c r="H795">
        <f>VLOOKUP(A796,[1]timesData!$B:$P,7,FALSE)</f>
        <v>28.6</v>
      </c>
      <c r="I795" t="str">
        <f>VLOOKUP(A796,[1]timesData!$B:$P,8,FALSE)</f>
        <v>-</v>
      </c>
      <c r="J795">
        <f>VLOOKUP(A796,[1]timesData!$B:$P,9,FALSE)</f>
        <v>17000</v>
      </c>
      <c r="K795">
        <f>VLOOKUP(A796,[1]timesData!$B:$P,10,FALSE)</f>
        <v>9.1999999999999993</v>
      </c>
      <c r="L795">
        <f>VLOOKUP(A796,[1]timesData!$B:$P,11,FALSE)</f>
        <v>0.11</v>
      </c>
      <c r="M795">
        <f>VLOOKUP(A796,[1]timesData!$B:$P,12,FALSE)</f>
        <v>2.2409722222222221</v>
      </c>
      <c r="N795">
        <f>VLOOKUP(A796,[1]timesData!$B:$P,13,FALSE)</f>
        <v>2016</v>
      </c>
      <c r="O795" t="e">
        <f>VLOOKUP(A795,[2]cwurData!$B:$P,14,FALSE)</f>
        <v>#N/A</v>
      </c>
      <c r="P795" t="e">
        <f>VLOOKUP(A795,[2]cwurData!$B:$N, 3, FALSE)</f>
        <v>#N/A</v>
      </c>
      <c r="Q795" t="e">
        <f>VLOOKUP(A795,[2]cwurData!$B:$N, 4, FALSE)</f>
        <v>#N/A</v>
      </c>
      <c r="R795" t="e">
        <f>VLOOKUP(A795,[2]cwurData!$B:$N, 5, FALSE)</f>
        <v>#N/A</v>
      </c>
      <c r="S795" t="e">
        <f>VLOOKUP(A795,[2]cwurData!$B:$N, 6, FALSE)</f>
        <v>#N/A</v>
      </c>
      <c r="T795" t="e">
        <f>VLOOKUP(A795,[2]cwurData!$B:$N, 7, FALSE)</f>
        <v>#N/A</v>
      </c>
      <c r="U795" t="e">
        <f>VLOOKUP(A795,[2]cwurData!$B:$N, 8, FALSE)</f>
        <v>#N/A</v>
      </c>
      <c r="V795" t="e">
        <f>VLOOKUP(A795,[2]cwurData!$B:$N, 9, FALSE)</f>
        <v>#N/A</v>
      </c>
      <c r="W795" t="e">
        <f>VLOOKUP(A795,[2]cwurData!$B:$N, 10, FALSE)</f>
        <v>#N/A</v>
      </c>
      <c r="X795" t="e">
        <f>VLOOKUP(A795,[2]cwurData!$B:$N, 11, FALSE)</f>
        <v>#N/A</v>
      </c>
      <c r="Y795" t="e">
        <f>VLOOKUP(A795,[2]cwurData!$B:$N, 12, FALSE)</f>
        <v>#N/A</v>
      </c>
      <c r="Z795" t="e">
        <f>VLOOKUP(A795,[2]cwurData!$B:$N, 13, FALSE)</f>
        <v>#N/A</v>
      </c>
    </row>
    <row r="796" spans="1:26" x14ac:dyDescent="0.3">
      <c r="A796" t="s">
        <v>665</v>
      </c>
      <c r="B796" t="str">
        <f>IFERROR(VLOOKUP(A796,[1]timesData!$B:$P,2,FALSE),VLOOKUP(A796,[2]cwurData!$B:$P,2,FALSE))</f>
        <v>France</v>
      </c>
      <c r="C796" t="str">
        <f>VLOOKUP(A796,[1]timesData!$B:$P,3,FALSE)</f>
        <v>601-800</v>
      </c>
      <c r="D796" t="str">
        <f>VLOOKUP(A797,[1]timesData!$B:$P,3,FALSE)</f>
        <v>601-800</v>
      </c>
      <c r="E796">
        <f>VLOOKUP(A797,[1]timesData!$B:$P,4,FALSE)</f>
        <v>37.200000000000003</v>
      </c>
      <c r="F796">
        <f>VLOOKUP(A797,[1]timesData!$B:$P,5,FALSE)</f>
        <v>7.2</v>
      </c>
      <c r="G796">
        <f>VLOOKUP(A797,[1]timesData!$B:$P,6,FALSE)</f>
        <v>9.6</v>
      </c>
      <c r="H796" t="str">
        <f>VLOOKUP(A797,[1]timesData!$B:$P,7,FALSE)</f>
        <v>-</v>
      </c>
      <c r="I796" t="str">
        <f>VLOOKUP(A797,[1]timesData!$B:$P,8,FALSE)</f>
        <v>-</v>
      </c>
      <c r="J796">
        <f>VLOOKUP(A797,[1]timesData!$B:$P,9,FALSE)</f>
        <v>62716</v>
      </c>
      <c r="K796">
        <f>VLOOKUP(A797,[1]timesData!$B:$P,10,FALSE)</f>
        <v>6.9</v>
      </c>
      <c r="L796">
        <f>VLOOKUP(A797,[1]timesData!$B:$P,11,FALSE)</f>
        <v>0.05</v>
      </c>
      <c r="M796" t="str">
        <f>VLOOKUP(A797,[1]timesData!$B:$P,12,FALSE)</f>
        <v>34 : 66</v>
      </c>
      <c r="N796">
        <f>VLOOKUP(A797,[1]timesData!$B:$P,13,FALSE)</f>
        <v>2016</v>
      </c>
      <c r="O796" t="e">
        <f>VLOOKUP(A796,[2]cwurData!$B:$P,14,FALSE)</f>
        <v>#N/A</v>
      </c>
      <c r="P796" t="e">
        <f>VLOOKUP(A796,[2]cwurData!$B:$N, 3, FALSE)</f>
        <v>#N/A</v>
      </c>
      <c r="Q796" t="e">
        <f>VLOOKUP(A796,[2]cwurData!$B:$N, 4, FALSE)</f>
        <v>#N/A</v>
      </c>
      <c r="R796" t="e">
        <f>VLOOKUP(A796,[2]cwurData!$B:$N, 5, FALSE)</f>
        <v>#N/A</v>
      </c>
      <c r="S796" t="e">
        <f>VLOOKUP(A796,[2]cwurData!$B:$N, 6, FALSE)</f>
        <v>#N/A</v>
      </c>
      <c r="T796" t="e">
        <f>VLOOKUP(A796,[2]cwurData!$B:$N, 7, FALSE)</f>
        <v>#N/A</v>
      </c>
      <c r="U796" t="e">
        <f>VLOOKUP(A796,[2]cwurData!$B:$N, 8, FALSE)</f>
        <v>#N/A</v>
      </c>
      <c r="V796" t="e">
        <f>VLOOKUP(A796,[2]cwurData!$B:$N, 9, FALSE)</f>
        <v>#N/A</v>
      </c>
      <c r="W796" t="e">
        <f>VLOOKUP(A796,[2]cwurData!$B:$N, 10, FALSE)</f>
        <v>#N/A</v>
      </c>
      <c r="X796" t="e">
        <f>VLOOKUP(A796,[2]cwurData!$B:$N, 11, FALSE)</f>
        <v>#N/A</v>
      </c>
      <c r="Y796" t="e">
        <f>VLOOKUP(A796,[2]cwurData!$B:$N, 12, FALSE)</f>
        <v>#N/A</v>
      </c>
      <c r="Z796" t="e">
        <f>VLOOKUP(A796,[2]cwurData!$B:$N, 13, FALSE)</f>
        <v>#N/A</v>
      </c>
    </row>
    <row r="797" spans="1:26" x14ac:dyDescent="0.3">
      <c r="A797" t="s">
        <v>684</v>
      </c>
      <c r="B797" t="str">
        <f>IFERROR(VLOOKUP(A797,[1]timesData!$B:$P,2,FALSE),VLOOKUP(A797,[2]cwurData!$B:$P,2,FALSE))</f>
        <v>Bangladesh</v>
      </c>
      <c r="C797" t="str">
        <f>VLOOKUP(A797,[1]timesData!$B:$P,3,FALSE)</f>
        <v>601-800</v>
      </c>
      <c r="D797" t="str">
        <f>VLOOKUP(A798,[1]timesData!$B:$P,3,FALSE)</f>
        <v>601-800</v>
      </c>
      <c r="E797">
        <f>VLOOKUP(A798,[1]timesData!$B:$P,4,FALSE)</f>
        <v>48.4</v>
      </c>
      <c r="F797">
        <f>VLOOKUP(A798,[1]timesData!$B:$P,5,FALSE)</f>
        <v>15.6</v>
      </c>
      <c r="G797">
        <f>VLOOKUP(A798,[1]timesData!$B:$P,6,FALSE)</f>
        <v>19.5</v>
      </c>
      <c r="H797" t="str">
        <f>VLOOKUP(A798,[1]timesData!$B:$P,7,FALSE)</f>
        <v>-</v>
      </c>
      <c r="I797" t="str">
        <f>VLOOKUP(A798,[1]timesData!$B:$P,8,FALSE)</f>
        <v>-</v>
      </c>
      <c r="J797">
        <f>VLOOKUP(A798,[1]timesData!$B:$P,9,FALSE)</f>
        <v>37274</v>
      </c>
      <c r="K797">
        <f>VLOOKUP(A798,[1]timesData!$B:$P,10,FALSE)</f>
        <v>37.5</v>
      </c>
      <c r="L797">
        <f>VLOOKUP(A798,[1]timesData!$B:$P,11,FALSE)</f>
        <v>0.02</v>
      </c>
      <c r="M797">
        <f>VLOOKUP(A798,[1]timesData!$B:$P,12,FALSE)</f>
        <v>1.7493055555555554</v>
      </c>
      <c r="N797">
        <f>VLOOKUP(A798,[1]timesData!$B:$P,13,FALSE)</f>
        <v>2016</v>
      </c>
      <c r="O797" t="e">
        <f>VLOOKUP(A797,[2]cwurData!$B:$P,14,FALSE)</f>
        <v>#N/A</v>
      </c>
      <c r="P797" t="e">
        <f>VLOOKUP(A797,[2]cwurData!$B:$N, 3, FALSE)</f>
        <v>#N/A</v>
      </c>
      <c r="Q797" t="e">
        <f>VLOOKUP(A797,[2]cwurData!$B:$N, 4, FALSE)</f>
        <v>#N/A</v>
      </c>
      <c r="R797" t="e">
        <f>VLOOKUP(A797,[2]cwurData!$B:$N, 5, FALSE)</f>
        <v>#N/A</v>
      </c>
      <c r="S797" t="e">
        <f>VLOOKUP(A797,[2]cwurData!$B:$N, 6, FALSE)</f>
        <v>#N/A</v>
      </c>
      <c r="T797" t="e">
        <f>VLOOKUP(A797,[2]cwurData!$B:$N, 7, FALSE)</f>
        <v>#N/A</v>
      </c>
      <c r="U797" t="e">
        <f>VLOOKUP(A797,[2]cwurData!$B:$N, 8, FALSE)</f>
        <v>#N/A</v>
      </c>
      <c r="V797" t="e">
        <f>VLOOKUP(A797,[2]cwurData!$B:$N, 9, FALSE)</f>
        <v>#N/A</v>
      </c>
      <c r="W797" t="e">
        <f>VLOOKUP(A797,[2]cwurData!$B:$N, 10, FALSE)</f>
        <v>#N/A</v>
      </c>
      <c r="X797" t="e">
        <f>VLOOKUP(A797,[2]cwurData!$B:$N, 11, FALSE)</f>
        <v>#N/A</v>
      </c>
      <c r="Y797" t="e">
        <f>VLOOKUP(A797,[2]cwurData!$B:$N, 12, FALSE)</f>
        <v>#N/A</v>
      </c>
      <c r="Z797" t="e">
        <f>VLOOKUP(A797,[2]cwurData!$B:$N, 13, FALSE)</f>
        <v>#N/A</v>
      </c>
    </row>
    <row r="798" spans="1:26" x14ac:dyDescent="0.3">
      <c r="A798" t="s">
        <v>701</v>
      </c>
      <c r="B798" t="str">
        <f>IFERROR(VLOOKUP(A798,[1]timesData!$B:$P,2,FALSE),VLOOKUP(A798,[2]cwurData!$B:$P,2,FALSE))</f>
        <v>Ghana</v>
      </c>
      <c r="C798" t="str">
        <f>VLOOKUP(A798,[1]timesData!$B:$P,3,FALSE)</f>
        <v>601-800</v>
      </c>
      <c r="D798" t="str">
        <f>VLOOKUP(A799,[1]timesData!$B:$P,3,FALSE)</f>
        <v>601-800</v>
      </c>
      <c r="E798">
        <f>VLOOKUP(A799,[1]timesData!$B:$P,4,FALSE)</f>
        <v>81.8</v>
      </c>
      <c r="F798">
        <f>VLOOKUP(A799,[1]timesData!$B:$P,5,FALSE)</f>
        <v>9.5</v>
      </c>
      <c r="G798">
        <f>VLOOKUP(A799,[1]timesData!$B:$P,6,FALSE)</f>
        <v>17.7</v>
      </c>
      <c r="H798">
        <f>VLOOKUP(A799,[1]timesData!$B:$P,7,FALSE)</f>
        <v>30</v>
      </c>
      <c r="I798" t="str">
        <f>VLOOKUP(A799,[1]timesData!$B:$P,8,FALSE)</f>
        <v>-</v>
      </c>
      <c r="J798">
        <f>VLOOKUP(A799,[1]timesData!$B:$P,9,FALSE)</f>
        <v>18096</v>
      </c>
      <c r="K798">
        <f>VLOOKUP(A799,[1]timesData!$B:$P,10,FALSE)</f>
        <v>24.6</v>
      </c>
      <c r="L798">
        <f>VLOOKUP(A799,[1]timesData!$B:$P,11,FALSE)</f>
        <v>0.32</v>
      </c>
      <c r="M798">
        <f>VLOOKUP(A799,[1]timesData!$B:$P,12,FALSE)</f>
        <v>2.2409722222222221</v>
      </c>
      <c r="N798">
        <f>VLOOKUP(A799,[1]timesData!$B:$P,13,FALSE)</f>
        <v>2016</v>
      </c>
      <c r="O798" t="e">
        <f>VLOOKUP(A798,[2]cwurData!$B:$P,14,FALSE)</f>
        <v>#N/A</v>
      </c>
      <c r="P798" t="e">
        <f>VLOOKUP(A798,[2]cwurData!$B:$N, 3, FALSE)</f>
        <v>#N/A</v>
      </c>
      <c r="Q798" t="e">
        <f>VLOOKUP(A798,[2]cwurData!$B:$N, 4, FALSE)</f>
        <v>#N/A</v>
      </c>
      <c r="R798" t="e">
        <f>VLOOKUP(A798,[2]cwurData!$B:$N, 5, FALSE)</f>
        <v>#N/A</v>
      </c>
      <c r="S798" t="e">
        <f>VLOOKUP(A798,[2]cwurData!$B:$N, 6, FALSE)</f>
        <v>#N/A</v>
      </c>
      <c r="T798" t="e">
        <f>VLOOKUP(A798,[2]cwurData!$B:$N, 7, FALSE)</f>
        <v>#N/A</v>
      </c>
      <c r="U798" t="e">
        <f>VLOOKUP(A798,[2]cwurData!$B:$N, 8, FALSE)</f>
        <v>#N/A</v>
      </c>
      <c r="V798" t="e">
        <f>VLOOKUP(A798,[2]cwurData!$B:$N, 9, FALSE)</f>
        <v>#N/A</v>
      </c>
      <c r="W798" t="e">
        <f>VLOOKUP(A798,[2]cwurData!$B:$N, 10, FALSE)</f>
        <v>#N/A</v>
      </c>
      <c r="X798" t="e">
        <f>VLOOKUP(A798,[2]cwurData!$B:$N, 11, FALSE)</f>
        <v>#N/A</v>
      </c>
      <c r="Y798" t="e">
        <f>VLOOKUP(A798,[2]cwurData!$B:$N, 12, FALSE)</f>
        <v>#N/A</v>
      </c>
      <c r="Z798" t="e">
        <f>VLOOKUP(A798,[2]cwurData!$B:$N, 13, FALSE)</f>
        <v>#N/A</v>
      </c>
    </row>
    <row r="799" spans="1:26" x14ac:dyDescent="0.3">
      <c r="A799" t="s">
        <v>704</v>
      </c>
      <c r="B799" t="str">
        <f>IFERROR(VLOOKUP(A799,[1]timesData!$B:$P,2,FALSE),VLOOKUP(A799,[2]cwurData!$B:$P,2,FALSE))</f>
        <v>United Kingdom</v>
      </c>
      <c r="C799" t="str">
        <f>VLOOKUP(A799,[1]timesData!$B:$P,3,FALSE)</f>
        <v>601-800</v>
      </c>
      <c r="D799" t="str">
        <f>VLOOKUP(A800,[1]timesData!$B:$P,3,FALSE)</f>
        <v>601-800</v>
      </c>
      <c r="E799">
        <f>VLOOKUP(A800,[1]timesData!$B:$P,4,FALSE)</f>
        <v>55.2</v>
      </c>
      <c r="F799">
        <f>VLOOKUP(A800,[1]timesData!$B:$P,5,FALSE)</f>
        <v>5.4</v>
      </c>
      <c r="G799">
        <f>VLOOKUP(A800,[1]timesData!$B:$P,6,FALSE)</f>
        <v>16.5</v>
      </c>
      <c r="H799">
        <f>VLOOKUP(A800,[1]timesData!$B:$P,7,FALSE)</f>
        <v>28</v>
      </c>
      <c r="I799" t="str">
        <f>VLOOKUP(A800,[1]timesData!$B:$P,8,FALSE)</f>
        <v>-</v>
      </c>
      <c r="J799">
        <f>VLOOKUP(A800,[1]timesData!$B:$P,9,FALSE)</f>
        <v>15436</v>
      </c>
      <c r="K799">
        <f>VLOOKUP(A800,[1]timesData!$B:$P,10,FALSE)</f>
        <v>18.100000000000001</v>
      </c>
      <c r="L799">
        <f>VLOOKUP(A800,[1]timesData!$B:$P,11,FALSE)</f>
        <v>0.25</v>
      </c>
      <c r="M799">
        <f>VLOOKUP(A800,[1]timesData!$B:$P,12,FALSE)</f>
        <v>2.2819444444444446</v>
      </c>
      <c r="N799">
        <f>VLOOKUP(A800,[1]timesData!$B:$P,13,FALSE)</f>
        <v>2016</v>
      </c>
      <c r="O799" t="e">
        <f>VLOOKUP(A799,[2]cwurData!$B:$P,14,FALSE)</f>
        <v>#N/A</v>
      </c>
      <c r="P799" t="e">
        <f>VLOOKUP(A799,[2]cwurData!$B:$N, 3, FALSE)</f>
        <v>#N/A</v>
      </c>
      <c r="Q799" t="e">
        <f>VLOOKUP(A799,[2]cwurData!$B:$N, 4, FALSE)</f>
        <v>#N/A</v>
      </c>
      <c r="R799" t="e">
        <f>VLOOKUP(A799,[2]cwurData!$B:$N, 5, FALSE)</f>
        <v>#N/A</v>
      </c>
      <c r="S799" t="e">
        <f>VLOOKUP(A799,[2]cwurData!$B:$N, 6, FALSE)</f>
        <v>#N/A</v>
      </c>
      <c r="T799" t="e">
        <f>VLOOKUP(A799,[2]cwurData!$B:$N, 7, FALSE)</f>
        <v>#N/A</v>
      </c>
      <c r="U799" t="e">
        <f>VLOOKUP(A799,[2]cwurData!$B:$N, 8, FALSE)</f>
        <v>#N/A</v>
      </c>
      <c r="V799" t="e">
        <f>VLOOKUP(A799,[2]cwurData!$B:$N, 9, FALSE)</f>
        <v>#N/A</v>
      </c>
      <c r="W799" t="e">
        <f>VLOOKUP(A799,[2]cwurData!$B:$N, 10, FALSE)</f>
        <v>#N/A</v>
      </c>
      <c r="X799" t="e">
        <f>VLOOKUP(A799,[2]cwurData!$B:$N, 11, FALSE)</f>
        <v>#N/A</v>
      </c>
      <c r="Y799" t="e">
        <f>VLOOKUP(A799,[2]cwurData!$B:$N, 12, FALSE)</f>
        <v>#N/A</v>
      </c>
      <c r="Z799" t="e">
        <f>VLOOKUP(A799,[2]cwurData!$B:$N, 13, FALSE)</f>
        <v>#N/A</v>
      </c>
    </row>
    <row r="800" spans="1:26" x14ac:dyDescent="0.3">
      <c r="A800" t="s">
        <v>706</v>
      </c>
      <c r="B800" t="str">
        <f>IFERROR(VLOOKUP(A800,[1]timesData!$B:$P,2,FALSE),VLOOKUP(A800,[2]cwurData!$B:$P,2,FALSE))</f>
        <v>United Kingdom</v>
      </c>
      <c r="C800" t="str">
        <f>VLOOKUP(A800,[1]timesData!$B:$P,3,FALSE)</f>
        <v>601-800</v>
      </c>
      <c r="D800" t="str">
        <f>VLOOKUP(A801,[1]timesData!$B:$P,3,FALSE)</f>
        <v>601-800</v>
      </c>
      <c r="E800">
        <f>VLOOKUP(A801,[1]timesData!$B:$P,4,FALSE)</f>
        <v>26.1</v>
      </c>
      <c r="F800">
        <f>VLOOKUP(A801,[1]timesData!$B:$P,5,FALSE)</f>
        <v>11.1</v>
      </c>
      <c r="G800">
        <f>VLOOKUP(A801,[1]timesData!$B:$P,6,FALSE)</f>
        <v>4.5999999999999996</v>
      </c>
      <c r="H800">
        <f>VLOOKUP(A801,[1]timesData!$B:$P,7,FALSE)</f>
        <v>29.2</v>
      </c>
      <c r="I800" t="str">
        <f>VLOOKUP(A801,[1]timesData!$B:$P,8,FALSE)</f>
        <v>-</v>
      </c>
      <c r="J800">
        <f>VLOOKUP(A801,[1]timesData!$B:$P,9,FALSE)</f>
        <v>26247</v>
      </c>
      <c r="K800">
        <f>VLOOKUP(A801,[1]timesData!$B:$P,10,FALSE)</f>
        <v>17.100000000000001</v>
      </c>
      <c r="L800">
        <f>VLOOKUP(A801,[1]timesData!$B:$P,11,FALSE)</f>
        <v>0.01</v>
      </c>
      <c r="M800">
        <f>VLOOKUP(A801,[1]timesData!$B:$P,12,FALSE)</f>
        <v>1.9131944444444444</v>
      </c>
      <c r="N800">
        <f>VLOOKUP(A801,[1]timesData!$B:$P,13,FALSE)</f>
        <v>2016</v>
      </c>
      <c r="O800" t="e">
        <f>VLOOKUP(A800,[2]cwurData!$B:$P,14,FALSE)</f>
        <v>#N/A</v>
      </c>
      <c r="P800" t="e">
        <f>VLOOKUP(A800,[2]cwurData!$B:$N, 3, FALSE)</f>
        <v>#N/A</v>
      </c>
      <c r="Q800" t="e">
        <f>VLOOKUP(A800,[2]cwurData!$B:$N, 4, FALSE)</f>
        <v>#N/A</v>
      </c>
      <c r="R800" t="e">
        <f>VLOOKUP(A800,[2]cwurData!$B:$N, 5, FALSE)</f>
        <v>#N/A</v>
      </c>
      <c r="S800" t="e">
        <f>VLOOKUP(A800,[2]cwurData!$B:$N, 6, FALSE)</f>
        <v>#N/A</v>
      </c>
      <c r="T800" t="e">
        <f>VLOOKUP(A800,[2]cwurData!$B:$N, 7, FALSE)</f>
        <v>#N/A</v>
      </c>
      <c r="U800" t="e">
        <f>VLOOKUP(A800,[2]cwurData!$B:$N, 8, FALSE)</f>
        <v>#N/A</v>
      </c>
      <c r="V800" t="e">
        <f>VLOOKUP(A800,[2]cwurData!$B:$N, 9, FALSE)</f>
        <v>#N/A</v>
      </c>
      <c r="W800" t="e">
        <f>VLOOKUP(A800,[2]cwurData!$B:$N, 10, FALSE)</f>
        <v>#N/A</v>
      </c>
      <c r="X800" t="e">
        <f>VLOOKUP(A800,[2]cwurData!$B:$N, 11, FALSE)</f>
        <v>#N/A</v>
      </c>
      <c r="Y800" t="e">
        <f>VLOOKUP(A800,[2]cwurData!$B:$N, 12, FALSE)</f>
        <v>#N/A</v>
      </c>
      <c r="Z800" t="e">
        <f>VLOOKUP(A800,[2]cwurData!$B:$N, 13, FALSE)</f>
        <v>#N/A</v>
      </c>
    </row>
    <row r="801" spans="1:26" x14ac:dyDescent="0.3">
      <c r="A801" t="s">
        <v>708</v>
      </c>
      <c r="B801" t="str">
        <f>IFERROR(VLOOKUP(A801,[1]timesData!$B:$P,2,FALSE),VLOOKUP(A801,[2]cwurData!$B:$P,2,FALSE))</f>
        <v>Nigeria</v>
      </c>
      <c r="C801" t="str">
        <f>VLOOKUP(A801,[1]timesData!$B:$P,3,FALSE)</f>
        <v>601-800</v>
      </c>
      <c r="D801" t="str">
        <f>VLOOKUP(A802,[1]timesData!$B:$P,3,FALSE)</f>
        <v>601-800</v>
      </c>
      <c r="E801">
        <f>VLOOKUP(A802,[1]timesData!$B:$P,4,FALSE)</f>
        <v>37.200000000000003</v>
      </c>
      <c r="F801">
        <f>VLOOKUP(A802,[1]timesData!$B:$P,5,FALSE)</f>
        <v>8</v>
      </c>
      <c r="G801">
        <f>VLOOKUP(A802,[1]timesData!$B:$P,6,FALSE)</f>
        <v>13.9</v>
      </c>
      <c r="H801">
        <f>VLOOKUP(A802,[1]timesData!$B:$P,7,FALSE)</f>
        <v>40</v>
      </c>
      <c r="I801" t="str">
        <f>VLOOKUP(A802,[1]timesData!$B:$P,8,FALSE)</f>
        <v>-</v>
      </c>
      <c r="J801">
        <f>VLOOKUP(A802,[1]timesData!$B:$P,9,FALSE)</f>
        <v>43565</v>
      </c>
      <c r="K801">
        <f>VLOOKUP(A802,[1]timesData!$B:$P,10,FALSE)</f>
        <v>15.8</v>
      </c>
      <c r="L801">
        <f>VLOOKUP(A802,[1]timesData!$B:$P,11,FALSE)</f>
        <v>0</v>
      </c>
      <c r="M801">
        <f>VLOOKUP(A802,[1]timesData!$B:$P,12,FALSE)</f>
        <v>2.1590277777777778</v>
      </c>
      <c r="N801">
        <f>VLOOKUP(A802,[1]timesData!$B:$P,13,FALSE)</f>
        <v>2016</v>
      </c>
      <c r="O801" t="e">
        <f>VLOOKUP(A801,[2]cwurData!$B:$P,14,FALSE)</f>
        <v>#N/A</v>
      </c>
      <c r="P801" t="e">
        <f>VLOOKUP(A801,[2]cwurData!$B:$N, 3, FALSE)</f>
        <v>#N/A</v>
      </c>
      <c r="Q801" t="e">
        <f>VLOOKUP(A801,[2]cwurData!$B:$N, 4, FALSE)</f>
        <v>#N/A</v>
      </c>
      <c r="R801" t="e">
        <f>VLOOKUP(A801,[2]cwurData!$B:$N, 5, FALSE)</f>
        <v>#N/A</v>
      </c>
      <c r="S801" t="e">
        <f>VLOOKUP(A801,[2]cwurData!$B:$N, 6, FALSE)</f>
        <v>#N/A</v>
      </c>
      <c r="T801" t="e">
        <f>VLOOKUP(A801,[2]cwurData!$B:$N, 7, FALSE)</f>
        <v>#N/A</v>
      </c>
      <c r="U801" t="e">
        <f>VLOOKUP(A801,[2]cwurData!$B:$N, 8, FALSE)</f>
        <v>#N/A</v>
      </c>
      <c r="V801" t="e">
        <f>VLOOKUP(A801,[2]cwurData!$B:$N, 9, FALSE)</f>
        <v>#N/A</v>
      </c>
      <c r="W801" t="e">
        <f>VLOOKUP(A801,[2]cwurData!$B:$N, 10, FALSE)</f>
        <v>#N/A</v>
      </c>
      <c r="X801" t="e">
        <f>VLOOKUP(A801,[2]cwurData!$B:$N, 11, FALSE)</f>
        <v>#N/A</v>
      </c>
      <c r="Y801" t="e">
        <f>VLOOKUP(A801,[2]cwurData!$B:$N, 12, FALSE)</f>
        <v>#N/A</v>
      </c>
      <c r="Z801" t="e">
        <f>VLOOKUP(A801,[2]cwurData!$B:$N, 13, FALSE)</f>
        <v>#N/A</v>
      </c>
    </row>
    <row r="802" spans="1:26" x14ac:dyDescent="0.3">
      <c r="A802" t="s">
        <v>709</v>
      </c>
      <c r="B802" t="str">
        <f>IFERROR(VLOOKUP(A802,[1]timesData!$B:$P,2,FALSE),VLOOKUP(A802,[2]cwurData!$B:$P,2,FALSE))</f>
        <v>Indonesia</v>
      </c>
      <c r="C802" t="str">
        <f>VLOOKUP(A802,[1]timesData!$B:$P,3,FALSE)</f>
        <v>601-800</v>
      </c>
      <c r="D802" t="str">
        <f>VLOOKUP(A803,[1]timesData!$B:$P,3,FALSE)</f>
        <v>601-800</v>
      </c>
      <c r="E802">
        <f>VLOOKUP(A803,[1]timesData!$B:$P,4,FALSE)</f>
        <v>53.7</v>
      </c>
      <c r="F802">
        <f>VLOOKUP(A803,[1]timesData!$B:$P,5,FALSE)</f>
        <v>7.7</v>
      </c>
      <c r="G802">
        <f>VLOOKUP(A803,[1]timesData!$B:$P,6,FALSE)</f>
        <v>7.8</v>
      </c>
      <c r="H802">
        <f>VLOOKUP(A803,[1]timesData!$B:$P,7,FALSE)</f>
        <v>28.8</v>
      </c>
      <c r="I802" t="str">
        <f>VLOOKUP(A803,[1]timesData!$B:$P,8,FALSE)</f>
        <v>-</v>
      </c>
      <c r="J802">
        <f>VLOOKUP(A803,[1]timesData!$B:$P,9,FALSE)</f>
        <v>35577</v>
      </c>
      <c r="K802">
        <f>VLOOKUP(A803,[1]timesData!$B:$P,10,FALSE)</f>
        <v>13.6</v>
      </c>
      <c r="L802">
        <f>VLOOKUP(A803,[1]timesData!$B:$P,11,FALSE)</f>
        <v>0.13</v>
      </c>
      <c r="M802">
        <f>VLOOKUP(A803,[1]timesData!$B:$P,12,FALSE)</f>
        <v>2.8145833333333332</v>
      </c>
      <c r="N802">
        <f>VLOOKUP(A803,[1]timesData!$B:$P,13,FALSE)</f>
        <v>2016</v>
      </c>
      <c r="O802" t="e">
        <f>VLOOKUP(A802,[2]cwurData!$B:$P,14,FALSE)</f>
        <v>#N/A</v>
      </c>
      <c r="P802" t="e">
        <f>VLOOKUP(A802,[2]cwurData!$B:$N, 3, FALSE)</f>
        <v>#N/A</v>
      </c>
      <c r="Q802" t="e">
        <f>VLOOKUP(A802,[2]cwurData!$B:$N, 4, FALSE)</f>
        <v>#N/A</v>
      </c>
      <c r="R802" t="e">
        <f>VLOOKUP(A802,[2]cwurData!$B:$N, 5, FALSE)</f>
        <v>#N/A</v>
      </c>
      <c r="S802" t="e">
        <f>VLOOKUP(A802,[2]cwurData!$B:$N, 6, FALSE)</f>
        <v>#N/A</v>
      </c>
      <c r="T802" t="e">
        <f>VLOOKUP(A802,[2]cwurData!$B:$N, 7, FALSE)</f>
        <v>#N/A</v>
      </c>
      <c r="U802" t="e">
        <f>VLOOKUP(A802,[2]cwurData!$B:$N, 8, FALSE)</f>
        <v>#N/A</v>
      </c>
      <c r="V802" t="e">
        <f>VLOOKUP(A802,[2]cwurData!$B:$N, 9, FALSE)</f>
        <v>#N/A</v>
      </c>
      <c r="W802" t="e">
        <f>VLOOKUP(A802,[2]cwurData!$B:$N, 10, FALSE)</f>
        <v>#N/A</v>
      </c>
      <c r="X802" t="e">
        <f>VLOOKUP(A802,[2]cwurData!$B:$N, 11, FALSE)</f>
        <v>#N/A</v>
      </c>
      <c r="Y802" t="e">
        <f>VLOOKUP(A802,[2]cwurData!$B:$N, 12, FALSE)</f>
        <v>#N/A</v>
      </c>
      <c r="Z802" t="e">
        <f>VLOOKUP(A802,[2]cwurData!$B:$N, 13, FALSE)</f>
        <v>#N/A</v>
      </c>
    </row>
    <row r="803" spans="1:26" x14ac:dyDescent="0.3">
      <c r="A803" t="s">
        <v>714</v>
      </c>
      <c r="B803" t="str">
        <f>IFERROR(VLOOKUP(A803,[1]timesData!$B:$P,2,FALSE),VLOOKUP(A803,[2]cwurData!$B:$P,2,FALSE))</f>
        <v>Jordan</v>
      </c>
      <c r="C803" t="str">
        <f>VLOOKUP(A803,[1]timesData!$B:$P,3,FALSE)</f>
        <v>601-800</v>
      </c>
      <c r="D803" t="str">
        <f>VLOOKUP(A804,[1]timesData!$B:$P,3,FALSE)</f>
        <v>601-800</v>
      </c>
      <c r="E803">
        <f>VLOOKUP(A804,[1]timesData!$B:$P,4,FALSE)</f>
        <v>31.5</v>
      </c>
      <c r="F803">
        <f>VLOOKUP(A804,[1]timesData!$B:$P,5,FALSE)</f>
        <v>10.199999999999999</v>
      </c>
      <c r="G803">
        <f>VLOOKUP(A804,[1]timesData!$B:$P,6,FALSE)</f>
        <v>20.9</v>
      </c>
      <c r="H803">
        <f>VLOOKUP(A804,[1]timesData!$B:$P,7,FALSE)</f>
        <v>28.3</v>
      </c>
      <c r="I803" t="str">
        <f>VLOOKUP(A804,[1]timesData!$B:$P,8,FALSE)</f>
        <v>-</v>
      </c>
      <c r="J803">
        <f>VLOOKUP(A804,[1]timesData!$B:$P,9,FALSE)</f>
        <v>15100</v>
      </c>
      <c r="K803">
        <f>VLOOKUP(A804,[1]timesData!$B:$P,10,FALSE)</f>
        <v>26.5</v>
      </c>
      <c r="L803">
        <f>VLOOKUP(A804,[1]timesData!$B:$P,11,FALSE)</f>
        <v>0.03</v>
      </c>
      <c r="M803">
        <f>VLOOKUP(A804,[1]timesData!$B:$P,12,FALSE)</f>
        <v>2.8555555555555556</v>
      </c>
      <c r="N803">
        <f>VLOOKUP(A804,[1]timesData!$B:$P,13,FALSE)</f>
        <v>2016</v>
      </c>
      <c r="O803" t="e">
        <f>VLOOKUP(A803,[2]cwurData!$B:$P,14,FALSE)</f>
        <v>#N/A</v>
      </c>
      <c r="P803" t="e">
        <f>VLOOKUP(A803,[2]cwurData!$B:$N, 3, FALSE)</f>
        <v>#N/A</v>
      </c>
      <c r="Q803" t="e">
        <f>VLOOKUP(A803,[2]cwurData!$B:$N, 4, FALSE)</f>
        <v>#N/A</v>
      </c>
      <c r="R803" t="e">
        <f>VLOOKUP(A803,[2]cwurData!$B:$N, 5, FALSE)</f>
        <v>#N/A</v>
      </c>
      <c r="S803" t="e">
        <f>VLOOKUP(A803,[2]cwurData!$B:$N, 6, FALSE)</f>
        <v>#N/A</v>
      </c>
      <c r="T803" t="e">
        <f>VLOOKUP(A803,[2]cwurData!$B:$N, 7, FALSE)</f>
        <v>#N/A</v>
      </c>
      <c r="U803" t="e">
        <f>VLOOKUP(A803,[2]cwurData!$B:$N, 8, FALSE)</f>
        <v>#N/A</v>
      </c>
      <c r="V803" t="e">
        <f>VLOOKUP(A803,[2]cwurData!$B:$N, 9, FALSE)</f>
        <v>#N/A</v>
      </c>
      <c r="W803" t="e">
        <f>VLOOKUP(A803,[2]cwurData!$B:$N, 10, FALSE)</f>
        <v>#N/A</v>
      </c>
      <c r="X803" t="e">
        <f>VLOOKUP(A803,[2]cwurData!$B:$N, 11, FALSE)</f>
        <v>#N/A</v>
      </c>
      <c r="Y803" t="e">
        <f>VLOOKUP(A803,[2]cwurData!$B:$N, 12, FALSE)</f>
        <v>#N/A</v>
      </c>
      <c r="Z803" t="e">
        <f>VLOOKUP(A803,[2]cwurData!$B:$N, 13, FALSE)</f>
        <v>#N/A</v>
      </c>
    </row>
    <row r="804" spans="1:26" x14ac:dyDescent="0.3">
      <c r="A804" t="s">
        <v>726</v>
      </c>
      <c r="B804" t="str">
        <f>IFERROR(VLOOKUP(A804,[1]timesData!$B:$P,2,FALSE),VLOOKUP(A804,[2]cwurData!$B:$P,2,FALSE))</f>
        <v>Latvia</v>
      </c>
      <c r="C804" t="str">
        <f>VLOOKUP(A804,[1]timesData!$B:$P,3,FALSE)</f>
        <v>601-800</v>
      </c>
      <c r="D804" t="str">
        <f>VLOOKUP(A805,[1]timesData!$B:$P,3,FALSE)</f>
        <v>601-800</v>
      </c>
      <c r="E804">
        <f>VLOOKUP(A805,[1]timesData!$B:$P,4,FALSE)</f>
        <v>60.5</v>
      </c>
      <c r="F804">
        <f>VLOOKUP(A805,[1]timesData!$B:$P,5,FALSE)</f>
        <v>11.9</v>
      </c>
      <c r="G804">
        <f>VLOOKUP(A805,[1]timesData!$B:$P,6,FALSE)</f>
        <v>26.4</v>
      </c>
      <c r="H804">
        <f>VLOOKUP(A805,[1]timesData!$B:$P,7,FALSE)</f>
        <v>29.3</v>
      </c>
      <c r="I804" t="str">
        <f>VLOOKUP(A805,[1]timesData!$B:$P,8,FALSE)</f>
        <v>-</v>
      </c>
      <c r="J804">
        <f>VLOOKUP(A805,[1]timesData!$B:$P,9,FALSE)</f>
        <v>10665</v>
      </c>
      <c r="K804">
        <f>VLOOKUP(A805,[1]timesData!$B:$P,10,FALSE)</f>
        <v>18.899999999999999</v>
      </c>
      <c r="L804">
        <f>VLOOKUP(A805,[1]timesData!$B:$P,11,FALSE)</f>
        <v>0.11</v>
      </c>
      <c r="M804">
        <f>VLOOKUP(A805,[1]timesData!$B:$P,12,FALSE)</f>
        <v>2.2819444444444446</v>
      </c>
      <c r="N804">
        <f>VLOOKUP(A805,[1]timesData!$B:$P,13,FALSE)</f>
        <v>2016</v>
      </c>
      <c r="O804" t="e">
        <f>VLOOKUP(A804,[2]cwurData!$B:$P,14,FALSE)</f>
        <v>#N/A</v>
      </c>
      <c r="P804" t="e">
        <f>VLOOKUP(A804,[2]cwurData!$B:$N, 3, FALSE)</f>
        <v>#N/A</v>
      </c>
      <c r="Q804" t="e">
        <f>VLOOKUP(A804,[2]cwurData!$B:$N, 4, FALSE)</f>
        <v>#N/A</v>
      </c>
      <c r="R804" t="e">
        <f>VLOOKUP(A804,[2]cwurData!$B:$N, 5, FALSE)</f>
        <v>#N/A</v>
      </c>
      <c r="S804" t="e">
        <f>VLOOKUP(A804,[2]cwurData!$B:$N, 6, FALSE)</f>
        <v>#N/A</v>
      </c>
      <c r="T804" t="e">
        <f>VLOOKUP(A804,[2]cwurData!$B:$N, 7, FALSE)</f>
        <v>#N/A</v>
      </c>
      <c r="U804" t="e">
        <f>VLOOKUP(A804,[2]cwurData!$B:$N, 8, FALSE)</f>
        <v>#N/A</v>
      </c>
      <c r="V804" t="e">
        <f>VLOOKUP(A804,[2]cwurData!$B:$N, 9, FALSE)</f>
        <v>#N/A</v>
      </c>
      <c r="W804" t="e">
        <f>VLOOKUP(A804,[2]cwurData!$B:$N, 10, FALSE)</f>
        <v>#N/A</v>
      </c>
      <c r="X804" t="e">
        <f>VLOOKUP(A804,[2]cwurData!$B:$N, 11, FALSE)</f>
        <v>#N/A</v>
      </c>
      <c r="Y804" t="e">
        <f>VLOOKUP(A804,[2]cwurData!$B:$N, 12, FALSE)</f>
        <v>#N/A</v>
      </c>
      <c r="Z804" t="e">
        <f>VLOOKUP(A804,[2]cwurData!$B:$N, 13, FALSE)</f>
        <v>#N/A</v>
      </c>
    </row>
    <row r="805" spans="1:26" x14ac:dyDescent="0.3">
      <c r="A805" t="s">
        <v>728</v>
      </c>
      <c r="B805" t="str">
        <f>IFERROR(VLOOKUP(A805,[1]timesData!$B:$P,2,FALSE),VLOOKUP(A805,[2]cwurData!$B:$P,2,FALSE))</f>
        <v>United Kingdom</v>
      </c>
      <c r="C805" t="str">
        <f>VLOOKUP(A805,[1]timesData!$B:$P,3,FALSE)</f>
        <v>601-800</v>
      </c>
      <c r="D805" t="str">
        <f>VLOOKUP(A806,[1]timesData!$B:$P,3,FALSE)</f>
        <v>601-800</v>
      </c>
      <c r="E805">
        <f>VLOOKUP(A806,[1]timesData!$B:$P,4,FALSE)</f>
        <v>45.5</v>
      </c>
      <c r="F805">
        <f>VLOOKUP(A806,[1]timesData!$B:$P,5,FALSE)</f>
        <v>9</v>
      </c>
      <c r="G805">
        <f>VLOOKUP(A806,[1]timesData!$B:$P,6,FALSE)</f>
        <v>19.5</v>
      </c>
      <c r="H805">
        <f>VLOOKUP(A806,[1]timesData!$B:$P,7,FALSE)</f>
        <v>28</v>
      </c>
      <c r="I805" t="str">
        <f>VLOOKUP(A806,[1]timesData!$B:$P,8,FALSE)</f>
        <v>-</v>
      </c>
      <c r="J805">
        <f>VLOOKUP(A806,[1]timesData!$B:$P,9,FALSE)</f>
        <v>72676</v>
      </c>
      <c r="K805">
        <f>VLOOKUP(A806,[1]timesData!$B:$P,10,FALSE)</f>
        <v>47</v>
      </c>
      <c r="L805">
        <f>VLOOKUP(A806,[1]timesData!$B:$P,11,FALSE)</f>
        <v>0.01</v>
      </c>
      <c r="M805" t="str">
        <f>VLOOKUP(A806,[1]timesData!$B:$P,12,FALSE)</f>
        <v>40 : 60</v>
      </c>
      <c r="N805">
        <f>VLOOKUP(A806,[1]timesData!$B:$P,13,FALSE)</f>
        <v>2016</v>
      </c>
      <c r="O805" t="e">
        <f>VLOOKUP(A805,[2]cwurData!$B:$P,14,FALSE)</f>
        <v>#N/A</v>
      </c>
      <c r="P805" t="e">
        <f>VLOOKUP(A805,[2]cwurData!$B:$N, 3, FALSE)</f>
        <v>#N/A</v>
      </c>
      <c r="Q805" t="e">
        <f>VLOOKUP(A805,[2]cwurData!$B:$N, 4, FALSE)</f>
        <v>#N/A</v>
      </c>
      <c r="R805" t="e">
        <f>VLOOKUP(A805,[2]cwurData!$B:$N, 5, FALSE)</f>
        <v>#N/A</v>
      </c>
      <c r="S805" t="e">
        <f>VLOOKUP(A805,[2]cwurData!$B:$N, 6, FALSE)</f>
        <v>#N/A</v>
      </c>
      <c r="T805" t="e">
        <f>VLOOKUP(A805,[2]cwurData!$B:$N, 7, FALSE)</f>
        <v>#N/A</v>
      </c>
      <c r="U805" t="e">
        <f>VLOOKUP(A805,[2]cwurData!$B:$N, 8, FALSE)</f>
        <v>#N/A</v>
      </c>
      <c r="V805" t="e">
        <f>VLOOKUP(A805,[2]cwurData!$B:$N, 9, FALSE)</f>
        <v>#N/A</v>
      </c>
      <c r="W805" t="e">
        <f>VLOOKUP(A805,[2]cwurData!$B:$N, 10, FALSE)</f>
        <v>#N/A</v>
      </c>
      <c r="X805" t="e">
        <f>VLOOKUP(A805,[2]cwurData!$B:$N, 11, FALSE)</f>
        <v>#N/A</v>
      </c>
      <c r="Y805" t="e">
        <f>VLOOKUP(A805,[2]cwurData!$B:$N, 12, FALSE)</f>
        <v>#N/A</v>
      </c>
      <c r="Z805" t="e">
        <f>VLOOKUP(A805,[2]cwurData!$B:$N, 13, FALSE)</f>
        <v>#N/A</v>
      </c>
    </row>
    <row r="806" spans="1:26" x14ac:dyDescent="0.3">
      <c r="A806" t="s">
        <v>735</v>
      </c>
      <c r="B806" t="str">
        <f>IFERROR(VLOOKUP(A806,[1]timesData!$B:$P,2,FALSE),VLOOKUP(A806,[2]cwurData!$B:$P,2,FALSE))</f>
        <v>Kenya</v>
      </c>
      <c r="C806" t="str">
        <f>VLOOKUP(A806,[1]timesData!$B:$P,3,FALSE)</f>
        <v>601-800</v>
      </c>
      <c r="D806" t="str">
        <f>VLOOKUP(A807,[1]timesData!$B:$P,3,FALSE)</f>
        <v>601-800</v>
      </c>
      <c r="E806">
        <f>VLOOKUP(A807,[1]timesData!$B:$P,4,FALSE)</f>
        <v>23.4</v>
      </c>
      <c r="F806">
        <f>VLOOKUP(A807,[1]timesData!$B:$P,5,FALSE)</f>
        <v>11.9</v>
      </c>
      <c r="G806">
        <f>VLOOKUP(A807,[1]timesData!$B:$P,6,FALSE)</f>
        <v>11.1</v>
      </c>
      <c r="H806">
        <f>VLOOKUP(A807,[1]timesData!$B:$P,7,FALSE)</f>
        <v>28.3</v>
      </c>
      <c r="I806" t="str">
        <f>VLOOKUP(A807,[1]timesData!$B:$P,8,FALSE)</f>
        <v>-</v>
      </c>
      <c r="J806">
        <f>VLOOKUP(A807,[1]timesData!$B:$P,9,FALSE)</f>
        <v>10671</v>
      </c>
      <c r="K806">
        <f>VLOOKUP(A807,[1]timesData!$B:$P,10,FALSE)</f>
        <v>19.8</v>
      </c>
      <c r="L806">
        <f>VLOOKUP(A807,[1]timesData!$B:$P,11,FALSE)</f>
        <v>0.04</v>
      </c>
      <c r="M806">
        <f>VLOOKUP(A807,[1]timesData!$B:$P,12,FALSE)</f>
        <v>2.3229166666666665</v>
      </c>
      <c r="N806">
        <f>VLOOKUP(A807,[1]timesData!$B:$P,13,FALSE)</f>
        <v>2016</v>
      </c>
      <c r="O806" t="e">
        <f>VLOOKUP(A806,[2]cwurData!$B:$P,14,FALSE)</f>
        <v>#N/A</v>
      </c>
      <c r="P806" t="e">
        <f>VLOOKUP(A806,[2]cwurData!$B:$N, 3, FALSE)</f>
        <v>#N/A</v>
      </c>
      <c r="Q806" t="e">
        <f>VLOOKUP(A806,[2]cwurData!$B:$N, 4, FALSE)</f>
        <v>#N/A</v>
      </c>
      <c r="R806" t="e">
        <f>VLOOKUP(A806,[2]cwurData!$B:$N, 5, FALSE)</f>
        <v>#N/A</v>
      </c>
      <c r="S806" t="e">
        <f>VLOOKUP(A806,[2]cwurData!$B:$N, 6, FALSE)</f>
        <v>#N/A</v>
      </c>
      <c r="T806" t="e">
        <f>VLOOKUP(A806,[2]cwurData!$B:$N, 7, FALSE)</f>
        <v>#N/A</v>
      </c>
      <c r="U806" t="e">
        <f>VLOOKUP(A806,[2]cwurData!$B:$N, 8, FALSE)</f>
        <v>#N/A</v>
      </c>
      <c r="V806" t="e">
        <f>VLOOKUP(A806,[2]cwurData!$B:$N, 9, FALSE)</f>
        <v>#N/A</v>
      </c>
      <c r="W806" t="e">
        <f>VLOOKUP(A806,[2]cwurData!$B:$N, 10, FALSE)</f>
        <v>#N/A</v>
      </c>
      <c r="X806" t="e">
        <f>VLOOKUP(A806,[2]cwurData!$B:$N, 11, FALSE)</f>
        <v>#N/A</v>
      </c>
      <c r="Y806" t="e">
        <f>VLOOKUP(A806,[2]cwurData!$B:$N, 12, FALSE)</f>
        <v>#N/A</v>
      </c>
      <c r="Z806" t="e">
        <f>VLOOKUP(A806,[2]cwurData!$B:$N, 13, FALSE)</f>
        <v>#N/A</v>
      </c>
    </row>
    <row r="807" spans="1:26" x14ac:dyDescent="0.3">
      <c r="A807" t="s">
        <v>752</v>
      </c>
      <c r="B807" t="str">
        <f>IFERROR(VLOOKUP(A807,[1]timesData!$B:$P,2,FALSE),VLOOKUP(A807,[2]cwurData!$B:$P,2,FALSE))</f>
        <v>Czech Republic</v>
      </c>
      <c r="C807" t="str">
        <f>VLOOKUP(A807,[1]timesData!$B:$P,3,FALSE)</f>
        <v>601-800</v>
      </c>
      <c r="D807" t="str">
        <f>VLOOKUP(A808,[1]timesData!$B:$P,3,FALSE)</f>
        <v>601-800</v>
      </c>
      <c r="E807">
        <f>VLOOKUP(A808,[1]timesData!$B:$P,4,FALSE)</f>
        <v>66.400000000000006</v>
      </c>
      <c r="F807">
        <f>VLOOKUP(A808,[1]timesData!$B:$P,5,FALSE)</f>
        <v>12.1</v>
      </c>
      <c r="G807">
        <f>VLOOKUP(A808,[1]timesData!$B:$P,6,FALSE)</f>
        <v>21.2</v>
      </c>
      <c r="H807">
        <f>VLOOKUP(A808,[1]timesData!$B:$P,7,FALSE)</f>
        <v>28.8</v>
      </c>
      <c r="I807" t="str">
        <f>VLOOKUP(A808,[1]timesData!$B:$P,8,FALSE)</f>
        <v>-</v>
      </c>
      <c r="J807">
        <f>VLOOKUP(A808,[1]timesData!$B:$P,9,FALSE)</f>
        <v>16152</v>
      </c>
      <c r="K807">
        <f>VLOOKUP(A808,[1]timesData!$B:$P,10,FALSE)</f>
        <v>17</v>
      </c>
      <c r="L807">
        <f>VLOOKUP(A808,[1]timesData!$B:$P,11,FALSE)</f>
        <v>0.25</v>
      </c>
      <c r="M807">
        <f>VLOOKUP(A808,[1]timesData!$B:$P,12,FALSE)</f>
        <v>2.1590277777777778</v>
      </c>
      <c r="N807">
        <f>VLOOKUP(A808,[1]timesData!$B:$P,13,FALSE)</f>
        <v>2016</v>
      </c>
      <c r="O807" t="e">
        <f>VLOOKUP(A807,[2]cwurData!$B:$P,14,FALSE)</f>
        <v>#N/A</v>
      </c>
      <c r="P807" t="e">
        <f>VLOOKUP(A807,[2]cwurData!$B:$N, 3, FALSE)</f>
        <v>#N/A</v>
      </c>
      <c r="Q807" t="e">
        <f>VLOOKUP(A807,[2]cwurData!$B:$N, 4, FALSE)</f>
        <v>#N/A</v>
      </c>
      <c r="R807" t="e">
        <f>VLOOKUP(A807,[2]cwurData!$B:$N, 5, FALSE)</f>
        <v>#N/A</v>
      </c>
      <c r="S807" t="e">
        <f>VLOOKUP(A807,[2]cwurData!$B:$N, 6, FALSE)</f>
        <v>#N/A</v>
      </c>
      <c r="T807" t="e">
        <f>VLOOKUP(A807,[2]cwurData!$B:$N, 7, FALSE)</f>
        <v>#N/A</v>
      </c>
      <c r="U807" t="e">
        <f>VLOOKUP(A807,[2]cwurData!$B:$N, 8, FALSE)</f>
        <v>#N/A</v>
      </c>
      <c r="V807" t="e">
        <f>VLOOKUP(A807,[2]cwurData!$B:$N, 9, FALSE)</f>
        <v>#N/A</v>
      </c>
      <c r="W807" t="e">
        <f>VLOOKUP(A807,[2]cwurData!$B:$N, 10, FALSE)</f>
        <v>#N/A</v>
      </c>
      <c r="X807" t="e">
        <f>VLOOKUP(A807,[2]cwurData!$B:$N, 11, FALSE)</f>
        <v>#N/A</v>
      </c>
      <c r="Y807" t="e">
        <f>VLOOKUP(A807,[2]cwurData!$B:$N, 12, FALSE)</f>
        <v>#N/A</v>
      </c>
      <c r="Z807" t="e">
        <f>VLOOKUP(A807,[2]cwurData!$B:$N, 13, FALSE)</f>
        <v>#N/A</v>
      </c>
    </row>
    <row r="808" spans="1:26" x14ac:dyDescent="0.3">
      <c r="A808" t="s">
        <v>764</v>
      </c>
      <c r="B808" t="str">
        <f>IFERROR(VLOOKUP(A808,[1]timesData!$B:$P,2,FALSE),VLOOKUP(A808,[2]cwurData!$B:$P,2,FALSE))</f>
        <v>United Kingdom</v>
      </c>
      <c r="C808" t="str">
        <f>VLOOKUP(A808,[1]timesData!$B:$P,3,FALSE)</f>
        <v>601-800</v>
      </c>
      <c r="D808" t="str">
        <f>VLOOKUP(A809,[1]timesData!$B:$P,3,FALSE)</f>
        <v>601-800</v>
      </c>
      <c r="E808">
        <f>VLOOKUP(A809,[1]timesData!$B:$P,4,FALSE)</f>
        <v>40.4</v>
      </c>
      <c r="F808">
        <f>VLOOKUP(A809,[1]timesData!$B:$P,5,FALSE)</f>
        <v>11.3</v>
      </c>
      <c r="G808">
        <f>VLOOKUP(A809,[1]timesData!$B:$P,6,FALSE)</f>
        <v>10.199999999999999</v>
      </c>
      <c r="H808">
        <f>VLOOKUP(A809,[1]timesData!$B:$P,7,FALSE)</f>
        <v>31</v>
      </c>
      <c r="I808" t="str">
        <f>VLOOKUP(A809,[1]timesData!$B:$P,8,FALSE)</f>
        <v>-</v>
      </c>
      <c r="J808">
        <f>VLOOKUP(A809,[1]timesData!$B:$P,9,FALSE)</f>
        <v>22739</v>
      </c>
      <c r="K808">
        <f>VLOOKUP(A809,[1]timesData!$B:$P,10,FALSE)</f>
        <v>23.6</v>
      </c>
      <c r="L808">
        <f>VLOOKUP(A809,[1]timesData!$B:$P,11,FALSE)</f>
        <v>0.01</v>
      </c>
      <c r="M808" t="str">
        <f>VLOOKUP(A809,[1]timesData!$B:$P,12,FALSE)</f>
        <v>39 : 61</v>
      </c>
      <c r="N808">
        <f>VLOOKUP(A809,[1]timesData!$B:$P,13,FALSE)</f>
        <v>2016</v>
      </c>
      <c r="O808" t="e">
        <f>VLOOKUP(A808,[2]cwurData!$B:$P,14,FALSE)</f>
        <v>#N/A</v>
      </c>
      <c r="P808" t="e">
        <f>VLOOKUP(A808,[2]cwurData!$B:$N, 3, FALSE)</f>
        <v>#N/A</v>
      </c>
      <c r="Q808" t="e">
        <f>VLOOKUP(A808,[2]cwurData!$B:$N, 4, FALSE)</f>
        <v>#N/A</v>
      </c>
      <c r="R808" t="e">
        <f>VLOOKUP(A808,[2]cwurData!$B:$N, 5, FALSE)</f>
        <v>#N/A</v>
      </c>
      <c r="S808" t="e">
        <f>VLOOKUP(A808,[2]cwurData!$B:$N, 6, FALSE)</f>
        <v>#N/A</v>
      </c>
      <c r="T808" t="e">
        <f>VLOOKUP(A808,[2]cwurData!$B:$N, 7, FALSE)</f>
        <v>#N/A</v>
      </c>
      <c r="U808" t="e">
        <f>VLOOKUP(A808,[2]cwurData!$B:$N, 8, FALSE)</f>
        <v>#N/A</v>
      </c>
      <c r="V808" t="e">
        <f>VLOOKUP(A808,[2]cwurData!$B:$N, 9, FALSE)</f>
        <v>#N/A</v>
      </c>
      <c r="W808" t="e">
        <f>VLOOKUP(A808,[2]cwurData!$B:$N, 10, FALSE)</f>
        <v>#N/A</v>
      </c>
      <c r="X808" t="e">
        <f>VLOOKUP(A808,[2]cwurData!$B:$N, 11, FALSE)</f>
        <v>#N/A</v>
      </c>
      <c r="Y808" t="e">
        <f>VLOOKUP(A808,[2]cwurData!$B:$N, 12, FALSE)</f>
        <v>#N/A</v>
      </c>
      <c r="Z808" t="e">
        <f>VLOOKUP(A808,[2]cwurData!$B:$N, 13, FALSE)</f>
        <v>#N/A</v>
      </c>
    </row>
    <row r="809" spans="1:26" x14ac:dyDescent="0.3">
      <c r="A809" t="s">
        <v>765</v>
      </c>
      <c r="B809" t="str">
        <f>IFERROR(VLOOKUP(A809,[1]timesData!$B:$P,2,FALSE),VLOOKUP(A809,[2]cwurData!$B:$P,2,FALSE))</f>
        <v>Chile</v>
      </c>
      <c r="C809" t="str">
        <f>VLOOKUP(A809,[1]timesData!$B:$P,3,FALSE)</f>
        <v>601-800</v>
      </c>
      <c r="D809" t="str">
        <f>VLOOKUP(A810,[1]timesData!$B:$P,3,FALSE)</f>
        <v>601-800</v>
      </c>
      <c r="E809">
        <f>VLOOKUP(A810,[1]timesData!$B:$P,4,FALSE)</f>
        <v>18.5</v>
      </c>
      <c r="F809">
        <f>VLOOKUP(A810,[1]timesData!$B:$P,5,FALSE)</f>
        <v>8</v>
      </c>
      <c r="G809">
        <f>VLOOKUP(A810,[1]timesData!$B:$P,6,FALSE)</f>
        <v>20.399999999999999</v>
      </c>
      <c r="H809">
        <f>VLOOKUP(A810,[1]timesData!$B:$P,7,FALSE)</f>
        <v>28.1</v>
      </c>
      <c r="I809" t="str">
        <f>VLOOKUP(A810,[1]timesData!$B:$P,8,FALSE)</f>
        <v>-</v>
      </c>
      <c r="J809">
        <f>VLOOKUP(A810,[1]timesData!$B:$P,9,FALSE)</f>
        <v>32764</v>
      </c>
      <c r="K809">
        <f>VLOOKUP(A810,[1]timesData!$B:$P,10,FALSE)</f>
        <v>17.3</v>
      </c>
      <c r="L809">
        <f>VLOOKUP(A810,[1]timesData!$B:$P,11,FALSE)</f>
        <v>0.01</v>
      </c>
      <c r="M809">
        <f>VLOOKUP(A810,[1]timesData!$B:$P,12,FALSE)</f>
        <v>2.7326388888888888</v>
      </c>
      <c r="N809">
        <f>VLOOKUP(A810,[1]timesData!$B:$P,13,FALSE)</f>
        <v>2016</v>
      </c>
      <c r="O809" t="e">
        <f>VLOOKUP(A809,[2]cwurData!$B:$P,14,FALSE)</f>
        <v>#N/A</v>
      </c>
      <c r="P809" t="e">
        <f>VLOOKUP(A809,[2]cwurData!$B:$N, 3, FALSE)</f>
        <v>#N/A</v>
      </c>
      <c r="Q809" t="e">
        <f>VLOOKUP(A809,[2]cwurData!$B:$N, 4, FALSE)</f>
        <v>#N/A</v>
      </c>
      <c r="R809" t="e">
        <f>VLOOKUP(A809,[2]cwurData!$B:$N, 5, FALSE)</f>
        <v>#N/A</v>
      </c>
      <c r="S809" t="e">
        <f>VLOOKUP(A809,[2]cwurData!$B:$N, 6, FALSE)</f>
        <v>#N/A</v>
      </c>
      <c r="T809" t="e">
        <f>VLOOKUP(A809,[2]cwurData!$B:$N, 7, FALSE)</f>
        <v>#N/A</v>
      </c>
      <c r="U809" t="e">
        <f>VLOOKUP(A809,[2]cwurData!$B:$N, 8, FALSE)</f>
        <v>#N/A</v>
      </c>
      <c r="V809" t="e">
        <f>VLOOKUP(A809,[2]cwurData!$B:$N, 9, FALSE)</f>
        <v>#N/A</v>
      </c>
      <c r="W809" t="e">
        <f>VLOOKUP(A809,[2]cwurData!$B:$N, 10, FALSE)</f>
        <v>#N/A</v>
      </c>
      <c r="X809" t="e">
        <f>VLOOKUP(A809,[2]cwurData!$B:$N, 11, FALSE)</f>
        <v>#N/A</v>
      </c>
      <c r="Y809" t="e">
        <f>VLOOKUP(A809,[2]cwurData!$B:$N, 12, FALSE)</f>
        <v>#N/A</v>
      </c>
      <c r="Z809" t="e">
        <f>VLOOKUP(A809,[2]cwurData!$B:$N, 13, FALSE)</f>
        <v>#N/A</v>
      </c>
    </row>
    <row r="810" spans="1:26" x14ac:dyDescent="0.3">
      <c r="A810" t="s">
        <v>777</v>
      </c>
      <c r="B810" t="str">
        <f>IFERROR(VLOOKUP(A810,[1]timesData!$B:$P,2,FALSE),VLOOKUP(A810,[2]cwurData!$B:$P,2,FALSE))</f>
        <v>Poland</v>
      </c>
      <c r="C810" t="str">
        <f>VLOOKUP(A810,[1]timesData!$B:$P,3,FALSE)</f>
        <v>601-800</v>
      </c>
      <c r="D810" t="str">
        <f>VLOOKUP(A811,[1]timesData!$B:$P,3,FALSE)</f>
        <v>601-800</v>
      </c>
      <c r="E810">
        <f>VLOOKUP(A811,[1]timesData!$B:$P,4,FALSE)</f>
        <v>28.7</v>
      </c>
      <c r="F810">
        <f>VLOOKUP(A811,[1]timesData!$B:$P,5,FALSE)</f>
        <v>11.3</v>
      </c>
      <c r="G810">
        <f>VLOOKUP(A811,[1]timesData!$B:$P,6,FALSE)</f>
        <v>9.4</v>
      </c>
      <c r="H810">
        <f>VLOOKUP(A811,[1]timesData!$B:$P,7,FALSE)</f>
        <v>28.8</v>
      </c>
      <c r="I810" t="str">
        <f>VLOOKUP(A811,[1]timesData!$B:$P,8,FALSE)</f>
        <v>-</v>
      </c>
      <c r="J810">
        <f>VLOOKUP(A811,[1]timesData!$B:$P,9,FALSE)</f>
        <v>197102</v>
      </c>
      <c r="K810">
        <f>VLOOKUP(A811,[1]timesData!$B:$P,10,FALSE)</f>
        <v>108.5</v>
      </c>
      <c r="L810">
        <f>VLOOKUP(A811,[1]timesData!$B:$P,11,FALSE)</f>
        <v>0.09</v>
      </c>
      <c r="M810">
        <f>VLOOKUP(A811,[1]timesData!$B:$P,12,FALSE)</f>
        <v>2.7326388888888888</v>
      </c>
      <c r="N810">
        <f>VLOOKUP(A811,[1]timesData!$B:$P,13,FALSE)</f>
        <v>2016</v>
      </c>
      <c r="O810" t="e">
        <f>VLOOKUP(A810,[2]cwurData!$B:$P,14,FALSE)</f>
        <v>#N/A</v>
      </c>
      <c r="P810" t="e">
        <f>VLOOKUP(A810,[2]cwurData!$B:$N, 3, FALSE)</f>
        <v>#N/A</v>
      </c>
      <c r="Q810" t="e">
        <f>VLOOKUP(A810,[2]cwurData!$B:$N, 4, FALSE)</f>
        <v>#N/A</v>
      </c>
      <c r="R810" t="e">
        <f>VLOOKUP(A810,[2]cwurData!$B:$N, 5, FALSE)</f>
        <v>#N/A</v>
      </c>
      <c r="S810" t="e">
        <f>VLOOKUP(A810,[2]cwurData!$B:$N, 6, FALSE)</f>
        <v>#N/A</v>
      </c>
      <c r="T810" t="e">
        <f>VLOOKUP(A810,[2]cwurData!$B:$N, 7, FALSE)</f>
        <v>#N/A</v>
      </c>
      <c r="U810" t="e">
        <f>VLOOKUP(A810,[2]cwurData!$B:$N, 8, FALSE)</f>
        <v>#N/A</v>
      </c>
      <c r="V810" t="e">
        <f>VLOOKUP(A810,[2]cwurData!$B:$N, 9, FALSE)</f>
        <v>#N/A</v>
      </c>
      <c r="W810" t="e">
        <f>VLOOKUP(A810,[2]cwurData!$B:$N, 10, FALSE)</f>
        <v>#N/A</v>
      </c>
      <c r="X810" t="e">
        <f>VLOOKUP(A810,[2]cwurData!$B:$N, 11, FALSE)</f>
        <v>#N/A</v>
      </c>
      <c r="Y810" t="e">
        <f>VLOOKUP(A810,[2]cwurData!$B:$N, 12, FALSE)</f>
        <v>#N/A</v>
      </c>
      <c r="Z810" t="e">
        <f>VLOOKUP(A810,[2]cwurData!$B:$N, 13, FALSE)</f>
        <v>#N/A</v>
      </c>
    </row>
    <row r="811" spans="1:26" x14ac:dyDescent="0.3">
      <c r="A811" t="s">
        <v>781</v>
      </c>
      <c r="B811" t="str">
        <f>IFERROR(VLOOKUP(A811,[1]timesData!$B:$P,2,FALSE),VLOOKUP(A811,[2]cwurData!$B:$P,2,FALSE))</f>
        <v>South Africa</v>
      </c>
      <c r="C811" t="str">
        <f>VLOOKUP(A811,[1]timesData!$B:$P,3,FALSE)</f>
        <v>601-800</v>
      </c>
      <c r="D811" t="str">
        <f>VLOOKUP(A812,[1]timesData!$B:$P,3,FALSE)</f>
        <v>601-800</v>
      </c>
      <c r="E811">
        <f>VLOOKUP(A812,[1]timesData!$B:$P,4,FALSE)</f>
        <v>63</v>
      </c>
      <c r="F811">
        <f>VLOOKUP(A812,[1]timesData!$B:$P,5,FALSE)</f>
        <v>13.1</v>
      </c>
      <c r="G811">
        <f>VLOOKUP(A812,[1]timesData!$B:$P,6,FALSE)</f>
        <v>14.4</v>
      </c>
      <c r="H811">
        <f>VLOOKUP(A812,[1]timesData!$B:$P,7,FALSE)</f>
        <v>28.8</v>
      </c>
      <c r="I811" t="str">
        <f>VLOOKUP(A812,[1]timesData!$B:$P,8,FALSE)</f>
        <v>-</v>
      </c>
      <c r="J811">
        <f>VLOOKUP(A812,[1]timesData!$B:$P,9,FALSE)</f>
        <v>13761</v>
      </c>
      <c r="K811">
        <f>VLOOKUP(A812,[1]timesData!$B:$P,10,FALSE)</f>
        <v>29.2</v>
      </c>
      <c r="L811">
        <f>VLOOKUP(A812,[1]timesData!$B:$P,11,FALSE)</f>
        <v>0.21</v>
      </c>
      <c r="M811">
        <f>VLOOKUP(A812,[1]timesData!$B:$P,12,FALSE)</f>
        <v>2.3229166666666665</v>
      </c>
      <c r="N811">
        <f>VLOOKUP(A812,[1]timesData!$B:$P,13,FALSE)</f>
        <v>2016</v>
      </c>
      <c r="O811" t="e">
        <f>VLOOKUP(A811,[2]cwurData!$B:$P,14,FALSE)</f>
        <v>#N/A</v>
      </c>
      <c r="P811" t="e">
        <f>VLOOKUP(A811,[2]cwurData!$B:$N, 3, FALSE)</f>
        <v>#N/A</v>
      </c>
      <c r="Q811" t="e">
        <f>VLOOKUP(A811,[2]cwurData!$B:$N, 4, FALSE)</f>
        <v>#N/A</v>
      </c>
      <c r="R811" t="e">
        <f>VLOOKUP(A811,[2]cwurData!$B:$N, 5, FALSE)</f>
        <v>#N/A</v>
      </c>
      <c r="S811" t="e">
        <f>VLOOKUP(A811,[2]cwurData!$B:$N, 6, FALSE)</f>
        <v>#N/A</v>
      </c>
      <c r="T811" t="e">
        <f>VLOOKUP(A811,[2]cwurData!$B:$N, 7, FALSE)</f>
        <v>#N/A</v>
      </c>
      <c r="U811" t="e">
        <f>VLOOKUP(A811,[2]cwurData!$B:$N, 8, FALSE)</f>
        <v>#N/A</v>
      </c>
      <c r="V811" t="e">
        <f>VLOOKUP(A811,[2]cwurData!$B:$N, 9, FALSE)</f>
        <v>#N/A</v>
      </c>
      <c r="W811" t="e">
        <f>VLOOKUP(A811,[2]cwurData!$B:$N, 10, FALSE)</f>
        <v>#N/A</v>
      </c>
      <c r="X811" t="e">
        <f>VLOOKUP(A811,[2]cwurData!$B:$N, 11, FALSE)</f>
        <v>#N/A</v>
      </c>
      <c r="Y811" t="e">
        <f>VLOOKUP(A811,[2]cwurData!$B:$N, 12, FALSE)</f>
        <v>#N/A</v>
      </c>
      <c r="Z811" t="e">
        <f>VLOOKUP(A811,[2]cwurData!$B:$N, 13, FALSE)</f>
        <v>#N/A</v>
      </c>
    </row>
    <row r="812" spans="1:26" x14ac:dyDescent="0.3">
      <c r="A812" t="s">
        <v>784</v>
      </c>
      <c r="B812" t="str">
        <f>IFERROR(VLOOKUP(A812,[1]timesData!$B:$P,2,FALSE),VLOOKUP(A812,[2]cwurData!$B:$P,2,FALSE))</f>
        <v>Australia</v>
      </c>
      <c r="C812" t="str">
        <f>VLOOKUP(A812,[1]timesData!$B:$P,3,FALSE)</f>
        <v>601-800</v>
      </c>
      <c r="D812" t="str">
        <f>VLOOKUP(A813,[1]timesData!$B:$P,3,FALSE)</f>
        <v>601-800</v>
      </c>
      <c r="E812">
        <f>VLOOKUP(A813,[1]timesData!$B:$P,4,FALSE)</f>
        <v>48.5</v>
      </c>
      <c r="F812">
        <f>VLOOKUP(A813,[1]timesData!$B:$P,5,FALSE)</f>
        <v>11.2</v>
      </c>
      <c r="G812">
        <f>VLOOKUP(A813,[1]timesData!$B:$P,6,FALSE)</f>
        <v>34.6</v>
      </c>
      <c r="H812">
        <f>VLOOKUP(A813,[1]timesData!$B:$P,7,FALSE)</f>
        <v>28.5</v>
      </c>
      <c r="I812" t="str">
        <f>VLOOKUP(A813,[1]timesData!$B:$P,8,FALSE)</f>
        <v>-</v>
      </c>
      <c r="J812">
        <f>VLOOKUP(A813,[1]timesData!$B:$P,9,FALSE)</f>
        <v>22525</v>
      </c>
      <c r="K812">
        <f>VLOOKUP(A813,[1]timesData!$B:$P,10,FALSE)</f>
        <v>21.4</v>
      </c>
      <c r="L812">
        <f>VLOOKUP(A813,[1]timesData!$B:$P,11,FALSE)</f>
        <v>0.15</v>
      </c>
      <c r="M812">
        <f>VLOOKUP(A813,[1]timesData!$B:$P,12,FALSE)</f>
        <v>2.2409722222222221</v>
      </c>
      <c r="N812">
        <f>VLOOKUP(A813,[1]timesData!$B:$P,13,FALSE)</f>
        <v>2016</v>
      </c>
      <c r="O812" t="e">
        <f>VLOOKUP(A812,[2]cwurData!$B:$P,14,FALSE)</f>
        <v>#N/A</v>
      </c>
      <c r="P812" t="e">
        <f>VLOOKUP(A812,[2]cwurData!$B:$N, 3, FALSE)</f>
        <v>#N/A</v>
      </c>
      <c r="Q812" t="e">
        <f>VLOOKUP(A812,[2]cwurData!$B:$N, 4, FALSE)</f>
        <v>#N/A</v>
      </c>
      <c r="R812" t="e">
        <f>VLOOKUP(A812,[2]cwurData!$B:$N, 5, FALSE)</f>
        <v>#N/A</v>
      </c>
      <c r="S812" t="e">
        <f>VLOOKUP(A812,[2]cwurData!$B:$N, 6, FALSE)</f>
        <v>#N/A</v>
      </c>
      <c r="T812" t="e">
        <f>VLOOKUP(A812,[2]cwurData!$B:$N, 7, FALSE)</f>
        <v>#N/A</v>
      </c>
      <c r="U812" t="e">
        <f>VLOOKUP(A812,[2]cwurData!$B:$N, 8, FALSE)</f>
        <v>#N/A</v>
      </c>
      <c r="V812" t="e">
        <f>VLOOKUP(A812,[2]cwurData!$B:$N, 9, FALSE)</f>
        <v>#N/A</v>
      </c>
      <c r="W812" t="e">
        <f>VLOOKUP(A812,[2]cwurData!$B:$N, 10, FALSE)</f>
        <v>#N/A</v>
      </c>
      <c r="X812" t="e">
        <f>VLOOKUP(A812,[2]cwurData!$B:$N, 11, FALSE)</f>
        <v>#N/A</v>
      </c>
      <c r="Y812" t="e">
        <f>VLOOKUP(A812,[2]cwurData!$B:$N, 12, FALSE)</f>
        <v>#N/A</v>
      </c>
      <c r="Z812" t="e">
        <f>VLOOKUP(A812,[2]cwurData!$B:$N, 13, FALSE)</f>
        <v>#N/A</v>
      </c>
    </row>
    <row r="813" spans="1:26" x14ac:dyDescent="0.3">
      <c r="A813" t="s">
        <v>811</v>
      </c>
      <c r="B813" t="str">
        <f>IFERROR(VLOOKUP(A813,[1]timesData!$B:$P,2,FALSE),VLOOKUP(A813,[2]cwurData!$B:$P,2,FALSE))</f>
        <v>United Kingdom</v>
      </c>
      <c r="C813" t="str">
        <f>VLOOKUP(A813,[1]timesData!$B:$P,3,FALSE)</f>
        <v>601-800</v>
      </c>
      <c r="D813" t="str">
        <f>VLOOKUP(A814,[1]timesData!$B:$P,3,FALSE)</f>
        <v>601-800</v>
      </c>
      <c r="E813">
        <f>VLOOKUP(A814,[1]timesData!$B:$P,4,FALSE)</f>
        <v>23.1</v>
      </c>
      <c r="F813">
        <f>VLOOKUP(A814,[1]timesData!$B:$P,5,FALSE)</f>
        <v>9.6999999999999993</v>
      </c>
      <c r="G813">
        <f>VLOOKUP(A814,[1]timesData!$B:$P,6,FALSE)</f>
        <v>29.8</v>
      </c>
      <c r="H813">
        <f>VLOOKUP(A814,[1]timesData!$B:$P,7,FALSE)</f>
        <v>32.1</v>
      </c>
      <c r="I813" t="str">
        <f>VLOOKUP(A814,[1]timesData!$B:$P,8,FALSE)</f>
        <v>-</v>
      </c>
      <c r="J813">
        <f>VLOOKUP(A814,[1]timesData!$B:$P,9,FALSE)</f>
        <v>15639</v>
      </c>
      <c r="K813">
        <f>VLOOKUP(A814,[1]timesData!$B:$P,10,FALSE)</f>
        <v>21.5</v>
      </c>
      <c r="L813">
        <f>VLOOKUP(A814,[1]timesData!$B:$P,11,FALSE)</f>
        <v>0.02</v>
      </c>
      <c r="M813">
        <f>VLOOKUP(A814,[1]timesData!$B:$P,12,FALSE)</f>
        <v>2.2000000000000002</v>
      </c>
      <c r="N813">
        <f>VLOOKUP(A814,[1]timesData!$B:$P,13,FALSE)</f>
        <v>2016</v>
      </c>
      <c r="O813" t="e">
        <f>VLOOKUP(A813,[2]cwurData!$B:$P,14,FALSE)</f>
        <v>#N/A</v>
      </c>
      <c r="P813" t="e">
        <f>VLOOKUP(A813,[2]cwurData!$B:$N, 3, FALSE)</f>
        <v>#N/A</v>
      </c>
      <c r="Q813" t="e">
        <f>VLOOKUP(A813,[2]cwurData!$B:$N, 4, FALSE)</f>
        <v>#N/A</v>
      </c>
      <c r="R813" t="e">
        <f>VLOOKUP(A813,[2]cwurData!$B:$N, 5, FALSE)</f>
        <v>#N/A</v>
      </c>
      <c r="S813" t="e">
        <f>VLOOKUP(A813,[2]cwurData!$B:$N, 6, FALSE)</f>
        <v>#N/A</v>
      </c>
      <c r="T813" t="e">
        <f>VLOOKUP(A813,[2]cwurData!$B:$N, 7, FALSE)</f>
        <v>#N/A</v>
      </c>
      <c r="U813" t="e">
        <f>VLOOKUP(A813,[2]cwurData!$B:$N, 8, FALSE)</f>
        <v>#N/A</v>
      </c>
      <c r="V813" t="e">
        <f>VLOOKUP(A813,[2]cwurData!$B:$N, 9, FALSE)</f>
        <v>#N/A</v>
      </c>
      <c r="W813" t="e">
        <f>VLOOKUP(A813,[2]cwurData!$B:$N, 10, FALSE)</f>
        <v>#N/A</v>
      </c>
      <c r="X813" t="e">
        <f>VLOOKUP(A813,[2]cwurData!$B:$N, 11, FALSE)</f>
        <v>#N/A</v>
      </c>
      <c r="Y813" t="e">
        <f>VLOOKUP(A813,[2]cwurData!$B:$N, 12, FALSE)</f>
        <v>#N/A</v>
      </c>
      <c r="Z813" t="e">
        <f>VLOOKUP(A813,[2]cwurData!$B:$N, 13, FALSE)</f>
        <v>#N/A</v>
      </c>
    </row>
    <row r="814" spans="1:26" x14ac:dyDescent="0.3">
      <c r="A814" t="s">
        <v>810</v>
      </c>
      <c r="B814" t="str">
        <f>IFERROR(VLOOKUP(A814,[1]timesData!$B:$P,2,FALSE),VLOOKUP(A814,[2]cwurData!$B:$P,2,FALSE))</f>
        <v>Czech Republic</v>
      </c>
      <c r="C814" t="str">
        <f>VLOOKUP(A814,[1]timesData!$B:$P,3,FALSE)</f>
        <v>601-800</v>
      </c>
      <c r="D814" t="str">
        <f>VLOOKUP(A815,[1]timesData!$B:$P,3,FALSE)</f>
        <v>601-800</v>
      </c>
      <c r="E814">
        <f>VLOOKUP(A815,[1]timesData!$B:$P,4,FALSE)</f>
        <v>81.900000000000006</v>
      </c>
      <c r="F814">
        <f>VLOOKUP(A815,[1]timesData!$B:$P,5,FALSE)</f>
        <v>11.7</v>
      </c>
      <c r="G814">
        <f>VLOOKUP(A815,[1]timesData!$B:$P,6,FALSE)</f>
        <v>21.1</v>
      </c>
      <c r="H814">
        <f>VLOOKUP(A815,[1]timesData!$B:$P,7,FALSE)</f>
        <v>28.5</v>
      </c>
      <c r="I814" t="str">
        <f>VLOOKUP(A815,[1]timesData!$B:$P,8,FALSE)</f>
        <v>-</v>
      </c>
      <c r="J814">
        <f>VLOOKUP(A815,[1]timesData!$B:$P,9,FALSE)</f>
        <v>16609</v>
      </c>
      <c r="K814">
        <f>VLOOKUP(A815,[1]timesData!$B:$P,10,FALSE)</f>
        <v>21</v>
      </c>
      <c r="L814">
        <f>VLOOKUP(A815,[1]timesData!$B:$P,11,FALSE)</f>
        <v>0.43</v>
      </c>
      <c r="M814">
        <f>VLOOKUP(A815,[1]timesData!$B:$P,12,FALSE)</f>
        <v>2.4048611111111109</v>
      </c>
      <c r="N814">
        <f>VLOOKUP(A815,[1]timesData!$B:$P,13,FALSE)</f>
        <v>2016</v>
      </c>
      <c r="O814" t="e">
        <f>VLOOKUP(A814,[2]cwurData!$B:$P,14,FALSE)</f>
        <v>#N/A</v>
      </c>
      <c r="P814" t="e">
        <f>VLOOKUP(A814,[2]cwurData!$B:$N, 3, FALSE)</f>
        <v>#N/A</v>
      </c>
      <c r="Q814" t="e">
        <f>VLOOKUP(A814,[2]cwurData!$B:$N, 4, FALSE)</f>
        <v>#N/A</v>
      </c>
      <c r="R814" t="e">
        <f>VLOOKUP(A814,[2]cwurData!$B:$N, 5, FALSE)</f>
        <v>#N/A</v>
      </c>
      <c r="S814" t="e">
        <f>VLOOKUP(A814,[2]cwurData!$B:$N, 6, FALSE)</f>
        <v>#N/A</v>
      </c>
      <c r="T814" t="e">
        <f>VLOOKUP(A814,[2]cwurData!$B:$N, 7, FALSE)</f>
        <v>#N/A</v>
      </c>
      <c r="U814" t="e">
        <f>VLOOKUP(A814,[2]cwurData!$B:$N, 8, FALSE)</f>
        <v>#N/A</v>
      </c>
      <c r="V814" t="e">
        <f>VLOOKUP(A814,[2]cwurData!$B:$N, 9, FALSE)</f>
        <v>#N/A</v>
      </c>
      <c r="W814" t="e">
        <f>VLOOKUP(A814,[2]cwurData!$B:$N, 10, FALSE)</f>
        <v>#N/A</v>
      </c>
      <c r="X814" t="e">
        <f>VLOOKUP(A814,[2]cwurData!$B:$N, 11, FALSE)</f>
        <v>#N/A</v>
      </c>
      <c r="Y814" t="e">
        <f>VLOOKUP(A814,[2]cwurData!$B:$N, 12, FALSE)</f>
        <v>#N/A</v>
      </c>
      <c r="Z814" t="e">
        <f>VLOOKUP(A814,[2]cwurData!$B:$N, 13, FALSE)</f>
        <v>#N/A</v>
      </c>
    </row>
    <row r="815" spans="1:26" x14ac:dyDescent="0.3">
      <c r="A815" t="s">
        <v>813</v>
      </c>
      <c r="B815" t="str">
        <f>IFERROR(VLOOKUP(A815,[1]timesData!$B:$P,2,FALSE),VLOOKUP(A815,[2]cwurData!$B:$P,2,FALSE))</f>
        <v>United Kingdom</v>
      </c>
      <c r="C815" t="str">
        <f>VLOOKUP(A815,[1]timesData!$B:$P,3,FALSE)</f>
        <v>601-800</v>
      </c>
      <c r="D815" t="str">
        <f>VLOOKUP(A816,[1]timesData!$B:$P,3,FALSE)</f>
        <v>601-800</v>
      </c>
      <c r="E815">
        <f>VLOOKUP(A816,[1]timesData!$B:$P,4,FALSE)</f>
        <v>17.3</v>
      </c>
      <c r="F815">
        <f>VLOOKUP(A816,[1]timesData!$B:$P,5,FALSE)</f>
        <v>10.6</v>
      </c>
      <c r="G815">
        <f>VLOOKUP(A816,[1]timesData!$B:$P,6,FALSE)</f>
        <v>16.8</v>
      </c>
      <c r="H815">
        <f>VLOOKUP(A816,[1]timesData!$B:$P,7,FALSE)</f>
        <v>35.6</v>
      </c>
      <c r="I815" t="str">
        <f>VLOOKUP(A816,[1]timesData!$B:$P,8,FALSE)</f>
        <v>-</v>
      </c>
      <c r="J815">
        <f>VLOOKUP(A816,[1]timesData!$B:$P,9,FALSE)</f>
        <v>28427</v>
      </c>
      <c r="K815">
        <f>VLOOKUP(A816,[1]timesData!$B:$P,10,FALSE)</f>
        <v>10.1</v>
      </c>
      <c r="L815">
        <f>VLOOKUP(A816,[1]timesData!$B:$P,11,FALSE)</f>
        <v>0.03</v>
      </c>
      <c r="M815">
        <f>VLOOKUP(A816,[1]timesData!$B:$P,12,FALSE)</f>
        <v>2.036111111111111</v>
      </c>
      <c r="N815">
        <f>VLOOKUP(A816,[1]timesData!$B:$P,13,FALSE)</f>
        <v>2016</v>
      </c>
      <c r="O815" t="e">
        <f>VLOOKUP(A815,[2]cwurData!$B:$P,14,FALSE)</f>
        <v>#N/A</v>
      </c>
      <c r="P815" t="e">
        <f>VLOOKUP(A815,[2]cwurData!$B:$N, 3, FALSE)</f>
        <v>#N/A</v>
      </c>
      <c r="Q815" t="e">
        <f>VLOOKUP(A815,[2]cwurData!$B:$N, 4, FALSE)</f>
        <v>#N/A</v>
      </c>
      <c r="R815" t="e">
        <f>VLOOKUP(A815,[2]cwurData!$B:$N, 5, FALSE)</f>
        <v>#N/A</v>
      </c>
      <c r="S815" t="e">
        <f>VLOOKUP(A815,[2]cwurData!$B:$N, 6, FALSE)</f>
        <v>#N/A</v>
      </c>
      <c r="T815" t="e">
        <f>VLOOKUP(A815,[2]cwurData!$B:$N, 7, FALSE)</f>
        <v>#N/A</v>
      </c>
      <c r="U815" t="e">
        <f>VLOOKUP(A815,[2]cwurData!$B:$N, 8, FALSE)</f>
        <v>#N/A</v>
      </c>
      <c r="V815" t="e">
        <f>VLOOKUP(A815,[2]cwurData!$B:$N, 9, FALSE)</f>
        <v>#N/A</v>
      </c>
      <c r="W815" t="e">
        <f>VLOOKUP(A815,[2]cwurData!$B:$N, 10, FALSE)</f>
        <v>#N/A</v>
      </c>
      <c r="X815" t="e">
        <f>VLOOKUP(A815,[2]cwurData!$B:$N, 11, FALSE)</f>
        <v>#N/A</v>
      </c>
      <c r="Y815" t="e">
        <f>VLOOKUP(A815,[2]cwurData!$B:$N, 12, FALSE)</f>
        <v>#N/A</v>
      </c>
      <c r="Z815" t="e">
        <f>VLOOKUP(A815,[2]cwurData!$B:$N, 13, FALSE)</f>
        <v>#N/A</v>
      </c>
    </row>
    <row r="816" spans="1:26" x14ac:dyDescent="0.3">
      <c r="A816" t="s">
        <v>806</v>
      </c>
      <c r="B816" t="str">
        <f>IFERROR(VLOOKUP(A816,[1]timesData!$B:$P,2,FALSE),VLOOKUP(A816,[2]cwurData!$B:$P,2,FALSE))</f>
        <v>Russian Federation</v>
      </c>
      <c r="C816" t="str">
        <f>VLOOKUP(A816,[1]timesData!$B:$P,3,FALSE)</f>
        <v>601-800</v>
      </c>
      <c r="D816" t="str">
        <f>VLOOKUP(A817,[1]timesData!$B:$P,3,FALSE)</f>
        <v>601-800</v>
      </c>
      <c r="E816">
        <f>VLOOKUP(A817,[1]timesData!$B:$P,4,FALSE)</f>
        <v>48.4</v>
      </c>
      <c r="F816">
        <f>VLOOKUP(A817,[1]timesData!$B:$P,5,FALSE)</f>
        <v>8.9</v>
      </c>
      <c r="G816">
        <f>VLOOKUP(A817,[1]timesData!$B:$P,6,FALSE)</f>
        <v>1.7</v>
      </c>
      <c r="H816">
        <f>VLOOKUP(A817,[1]timesData!$B:$P,7,FALSE)</f>
        <v>28.8</v>
      </c>
      <c r="I816" t="str">
        <f>VLOOKUP(A817,[1]timesData!$B:$P,8,FALSE)</f>
        <v>-</v>
      </c>
      <c r="J816">
        <f>VLOOKUP(A817,[1]timesData!$B:$P,9,FALSE)</f>
        <v>14410</v>
      </c>
      <c r="K816">
        <f>VLOOKUP(A817,[1]timesData!$B:$P,10,FALSE)</f>
        <v>9.6999999999999993</v>
      </c>
      <c r="L816">
        <f>VLOOKUP(A817,[1]timesData!$B:$P,11,FALSE)</f>
        <v>0.22</v>
      </c>
      <c r="M816">
        <f>VLOOKUP(A817,[1]timesData!$B:$P,12,FALSE)</f>
        <v>2.2409722222222221</v>
      </c>
      <c r="N816">
        <f>VLOOKUP(A817,[1]timesData!$B:$P,13,FALSE)</f>
        <v>2016</v>
      </c>
      <c r="O816" t="e">
        <f>VLOOKUP(A816,[2]cwurData!$B:$P,14,FALSE)</f>
        <v>#N/A</v>
      </c>
      <c r="P816" t="e">
        <f>VLOOKUP(A816,[2]cwurData!$B:$N, 3, FALSE)</f>
        <v>#N/A</v>
      </c>
      <c r="Q816" t="e">
        <f>VLOOKUP(A816,[2]cwurData!$B:$N, 4, FALSE)</f>
        <v>#N/A</v>
      </c>
      <c r="R816" t="e">
        <f>VLOOKUP(A816,[2]cwurData!$B:$N, 5, FALSE)</f>
        <v>#N/A</v>
      </c>
      <c r="S816" t="e">
        <f>VLOOKUP(A816,[2]cwurData!$B:$N, 6, FALSE)</f>
        <v>#N/A</v>
      </c>
      <c r="T816" t="e">
        <f>VLOOKUP(A816,[2]cwurData!$B:$N, 7, FALSE)</f>
        <v>#N/A</v>
      </c>
      <c r="U816" t="e">
        <f>VLOOKUP(A816,[2]cwurData!$B:$N, 8, FALSE)</f>
        <v>#N/A</v>
      </c>
      <c r="V816" t="e">
        <f>VLOOKUP(A816,[2]cwurData!$B:$N, 9, FALSE)</f>
        <v>#N/A</v>
      </c>
      <c r="W816" t="e">
        <f>VLOOKUP(A816,[2]cwurData!$B:$N, 10, FALSE)</f>
        <v>#N/A</v>
      </c>
      <c r="X816" t="e">
        <f>VLOOKUP(A816,[2]cwurData!$B:$N, 11, FALSE)</f>
        <v>#N/A</v>
      </c>
      <c r="Y816" t="e">
        <f>VLOOKUP(A816,[2]cwurData!$B:$N, 12, FALSE)</f>
        <v>#N/A</v>
      </c>
      <c r="Z816" t="e">
        <f>VLOOKUP(A816,[2]cwurData!$B:$N, 13, FALSE)</f>
        <v>#N/A</v>
      </c>
    </row>
    <row r="817" spans="1:26" x14ac:dyDescent="0.3">
      <c r="A817" t="s">
        <v>807</v>
      </c>
      <c r="B817" t="str">
        <f>IFERROR(VLOOKUP(A817,[1]timesData!$B:$P,2,FALSE),VLOOKUP(A817,[2]cwurData!$B:$P,2,FALSE))</f>
        <v>Ukraine</v>
      </c>
      <c r="C817" t="str">
        <f>VLOOKUP(A817,[1]timesData!$B:$P,3,FALSE)</f>
        <v>601-800</v>
      </c>
      <c r="D817" t="str">
        <f>VLOOKUP(A818,[1]timesData!$B:$P,3,FALSE)</f>
        <v>601-800</v>
      </c>
      <c r="E817">
        <f>VLOOKUP(A818,[1]timesData!$B:$P,4,FALSE)</f>
        <v>21</v>
      </c>
      <c r="F817">
        <f>VLOOKUP(A818,[1]timesData!$B:$P,5,FALSE)</f>
        <v>3.9</v>
      </c>
      <c r="G817">
        <f>VLOOKUP(A818,[1]timesData!$B:$P,6,FALSE)</f>
        <v>22.4</v>
      </c>
      <c r="H817" t="str">
        <f>VLOOKUP(A818,[1]timesData!$B:$P,7,FALSE)</f>
        <v>-</v>
      </c>
      <c r="I817" t="str">
        <f>VLOOKUP(A818,[1]timesData!$B:$P,8,FALSE)</f>
        <v>-</v>
      </c>
      <c r="J817">
        <f>VLOOKUP(A818,[1]timesData!$B:$P,9,FALSE)</f>
        <v>12933</v>
      </c>
      <c r="K817">
        <f>VLOOKUP(A818,[1]timesData!$B:$P,10,FALSE)</f>
        <v>19</v>
      </c>
      <c r="L817">
        <f>VLOOKUP(A818,[1]timesData!$B:$P,11,FALSE)</f>
        <v>0.03</v>
      </c>
      <c r="M817">
        <f>VLOOKUP(A818,[1]timesData!$B:$P,12,FALSE)</f>
        <v>2.6097222222222221</v>
      </c>
      <c r="N817">
        <f>VLOOKUP(A818,[1]timesData!$B:$P,13,FALSE)</f>
        <v>2016</v>
      </c>
      <c r="O817" t="e">
        <f>VLOOKUP(A817,[2]cwurData!$B:$P,14,FALSE)</f>
        <v>#N/A</v>
      </c>
      <c r="P817" t="e">
        <f>VLOOKUP(A817,[2]cwurData!$B:$N, 3, FALSE)</f>
        <v>#N/A</v>
      </c>
      <c r="Q817" t="e">
        <f>VLOOKUP(A817,[2]cwurData!$B:$N, 4, FALSE)</f>
        <v>#N/A</v>
      </c>
      <c r="R817" t="e">
        <f>VLOOKUP(A817,[2]cwurData!$B:$N, 5, FALSE)</f>
        <v>#N/A</v>
      </c>
      <c r="S817" t="e">
        <f>VLOOKUP(A817,[2]cwurData!$B:$N, 6, FALSE)</f>
        <v>#N/A</v>
      </c>
      <c r="T817" t="e">
        <f>VLOOKUP(A817,[2]cwurData!$B:$N, 7, FALSE)</f>
        <v>#N/A</v>
      </c>
      <c r="U817" t="e">
        <f>VLOOKUP(A817,[2]cwurData!$B:$N, 8, FALSE)</f>
        <v>#N/A</v>
      </c>
      <c r="V817" t="e">
        <f>VLOOKUP(A817,[2]cwurData!$B:$N, 9, FALSE)</f>
        <v>#N/A</v>
      </c>
      <c r="W817" t="e">
        <f>VLOOKUP(A817,[2]cwurData!$B:$N, 10, FALSE)</f>
        <v>#N/A</v>
      </c>
      <c r="X817" t="e">
        <f>VLOOKUP(A817,[2]cwurData!$B:$N, 11, FALSE)</f>
        <v>#N/A</v>
      </c>
      <c r="Y817" t="e">
        <f>VLOOKUP(A817,[2]cwurData!$B:$N, 12, FALSE)</f>
        <v>#N/A</v>
      </c>
      <c r="Z817" t="e">
        <f>VLOOKUP(A817,[2]cwurData!$B:$N, 13, FALSE)</f>
        <v>#N/A</v>
      </c>
    </row>
    <row r="818" spans="1:26" x14ac:dyDescent="0.3">
      <c r="A818" t="s">
        <v>812</v>
      </c>
      <c r="B818" t="str">
        <f>IFERROR(VLOOKUP(A818,[1]timesData!$B:$P,2,FALSE),VLOOKUP(A818,[2]cwurData!$B:$P,2,FALSE))</f>
        <v>Romania</v>
      </c>
      <c r="C818" t="str">
        <f>VLOOKUP(A818,[1]timesData!$B:$P,3,FALSE)</f>
        <v>601-800</v>
      </c>
      <c r="D818" t="str">
        <f>VLOOKUP(A819,[1]timesData!$B:$P,3,FALSE)</f>
        <v>601-800</v>
      </c>
      <c r="E818">
        <f>VLOOKUP(A819,[1]timesData!$B:$P,4,FALSE)</f>
        <v>14.9</v>
      </c>
      <c r="F818">
        <f>VLOOKUP(A819,[1]timesData!$B:$P,5,FALSE)</f>
        <v>7.6</v>
      </c>
      <c r="G818">
        <f>VLOOKUP(A819,[1]timesData!$B:$P,6,FALSE)</f>
        <v>19.3</v>
      </c>
      <c r="H818">
        <f>VLOOKUP(A819,[1]timesData!$B:$P,7,FALSE)</f>
        <v>44</v>
      </c>
      <c r="I818" t="str">
        <f>VLOOKUP(A819,[1]timesData!$B:$P,8,FALSE)</f>
        <v>-</v>
      </c>
      <c r="J818">
        <f>VLOOKUP(A819,[1]timesData!$B:$P,9,FALSE)</f>
        <v>31268</v>
      </c>
      <c r="K818">
        <f>VLOOKUP(A819,[1]timesData!$B:$P,10,FALSE)</f>
        <v>28.7</v>
      </c>
      <c r="L818">
        <f>VLOOKUP(A819,[1]timesData!$B:$P,11,FALSE)</f>
        <v>0.02</v>
      </c>
      <c r="M818" t="str">
        <f>VLOOKUP(A819,[1]timesData!$B:$P,12,FALSE)</f>
        <v>36 : 64</v>
      </c>
      <c r="N818">
        <f>VLOOKUP(A819,[1]timesData!$B:$P,13,FALSE)</f>
        <v>2016</v>
      </c>
      <c r="O818" t="e">
        <f>VLOOKUP(A818,[2]cwurData!$B:$P,14,FALSE)</f>
        <v>#N/A</v>
      </c>
      <c r="P818" t="e">
        <f>VLOOKUP(A818,[2]cwurData!$B:$N, 3, FALSE)</f>
        <v>#N/A</v>
      </c>
      <c r="Q818" t="e">
        <f>VLOOKUP(A818,[2]cwurData!$B:$N, 4, FALSE)</f>
        <v>#N/A</v>
      </c>
      <c r="R818" t="e">
        <f>VLOOKUP(A818,[2]cwurData!$B:$N, 5, FALSE)</f>
        <v>#N/A</v>
      </c>
      <c r="S818" t="e">
        <f>VLOOKUP(A818,[2]cwurData!$B:$N, 6, FALSE)</f>
        <v>#N/A</v>
      </c>
      <c r="T818" t="e">
        <f>VLOOKUP(A818,[2]cwurData!$B:$N, 7, FALSE)</f>
        <v>#N/A</v>
      </c>
      <c r="U818" t="e">
        <f>VLOOKUP(A818,[2]cwurData!$B:$N, 8, FALSE)</f>
        <v>#N/A</v>
      </c>
      <c r="V818" t="e">
        <f>VLOOKUP(A818,[2]cwurData!$B:$N, 9, FALSE)</f>
        <v>#N/A</v>
      </c>
      <c r="W818" t="e">
        <f>VLOOKUP(A818,[2]cwurData!$B:$N, 10, FALSE)</f>
        <v>#N/A</v>
      </c>
      <c r="X818" t="e">
        <f>VLOOKUP(A818,[2]cwurData!$B:$N, 11, FALSE)</f>
        <v>#N/A</v>
      </c>
      <c r="Y818" t="e">
        <f>VLOOKUP(A818,[2]cwurData!$B:$N, 12, FALSE)</f>
        <v>#N/A</v>
      </c>
      <c r="Z818" t="e">
        <f>VLOOKUP(A818,[2]cwurData!$B:$N, 13, FALSE)</f>
        <v>#N/A</v>
      </c>
    </row>
    <row r="819" spans="1:26" x14ac:dyDescent="0.3">
      <c r="A819" t="s">
        <v>816</v>
      </c>
      <c r="B819" t="str">
        <f>IFERROR(VLOOKUP(A819,[1]timesData!$B:$P,2,FALSE),VLOOKUP(A819,[2]cwurData!$B:$P,2,FALSE))</f>
        <v>Turkey</v>
      </c>
      <c r="C819" t="str">
        <f>VLOOKUP(A819,[1]timesData!$B:$P,3,FALSE)</f>
        <v>601-800</v>
      </c>
      <c r="D819" t="e">
        <f>VLOOKUP(A820,[1]timesData!$B:$P,3,FALSE)</f>
        <v>#N/A</v>
      </c>
      <c r="E819" t="e">
        <f>VLOOKUP(A820,[1]timesData!$B:$P,4,FALSE)</f>
        <v>#N/A</v>
      </c>
      <c r="F819" t="e">
        <f>VLOOKUP(A820,[1]timesData!$B:$P,5,FALSE)</f>
        <v>#N/A</v>
      </c>
      <c r="G819" t="e">
        <f>VLOOKUP(A820,[1]timesData!$B:$P,6,FALSE)</f>
        <v>#N/A</v>
      </c>
      <c r="H819" t="e">
        <f>VLOOKUP(A820,[1]timesData!$B:$P,7,FALSE)</f>
        <v>#N/A</v>
      </c>
      <c r="I819" t="e">
        <f>VLOOKUP(A820,[1]timesData!$B:$P,8,FALSE)</f>
        <v>#N/A</v>
      </c>
      <c r="J819" t="e">
        <f>VLOOKUP(A820,[1]timesData!$B:$P,9,FALSE)</f>
        <v>#N/A</v>
      </c>
      <c r="K819" t="e">
        <f>VLOOKUP(A820,[1]timesData!$B:$P,10,FALSE)</f>
        <v>#N/A</v>
      </c>
      <c r="L819" t="e">
        <f>VLOOKUP(A820,[1]timesData!$B:$P,11,FALSE)</f>
        <v>#N/A</v>
      </c>
      <c r="M819" t="e">
        <f>VLOOKUP(A820,[1]timesData!$B:$P,12,FALSE)</f>
        <v>#N/A</v>
      </c>
      <c r="N819" t="e">
        <f>VLOOKUP(A820,[1]timesData!$B:$P,13,FALSE)</f>
        <v>#N/A</v>
      </c>
      <c r="O819" t="e">
        <f>VLOOKUP(A819,[2]cwurData!$B:$P,14,FALSE)</f>
        <v>#N/A</v>
      </c>
      <c r="P819" t="e">
        <f>VLOOKUP(A819,[2]cwurData!$B:$N, 3, FALSE)</f>
        <v>#N/A</v>
      </c>
      <c r="Q819" t="e">
        <f>VLOOKUP(A819,[2]cwurData!$B:$N, 4, FALSE)</f>
        <v>#N/A</v>
      </c>
      <c r="R819" t="e">
        <f>VLOOKUP(A819,[2]cwurData!$B:$N, 5, FALSE)</f>
        <v>#N/A</v>
      </c>
      <c r="S819" t="e">
        <f>VLOOKUP(A819,[2]cwurData!$B:$N, 6, FALSE)</f>
        <v>#N/A</v>
      </c>
      <c r="T819" t="e">
        <f>VLOOKUP(A819,[2]cwurData!$B:$N, 7, FALSE)</f>
        <v>#N/A</v>
      </c>
      <c r="U819" t="e">
        <f>VLOOKUP(A819,[2]cwurData!$B:$N, 8, FALSE)</f>
        <v>#N/A</v>
      </c>
      <c r="V819" t="e">
        <f>VLOOKUP(A819,[2]cwurData!$B:$N, 9, FALSE)</f>
        <v>#N/A</v>
      </c>
      <c r="W819" t="e">
        <f>VLOOKUP(A819,[2]cwurData!$B:$N, 10, FALSE)</f>
        <v>#N/A</v>
      </c>
      <c r="X819" t="e">
        <f>VLOOKUP(A819,[2]cwurData!$B:$N, 11, FALSE)</f>
        <v>#N/A</v>
      </c>
      <c r="Y819" t="e">
        <f>VLOOKUP(A819,[2]cwurData!$B:$N, 12, FALSE)</f>
        <v>#N/A</v>
      </c>
      <c r="Z819" t="e">
        <f>VLOOKUP(A819,[2]cwurData!$B:$N, 13, FALSE)</f>
        <v>#N/A</v>
      </c>
    </row>
    <row r="820" spans="1:26" x14ac:dyDescent="0.3">
      <c r="A820" t="s">
        <v>820</v>
      </c>
      <c r="B820" t="str">
        <f>IFERROR(VLOOKUP(A820,[1]timesData!$B:$P,2,FALSE),VLOOKUP(A820,[2]cwurData!$B:$P,2,FALSE))</f>
        <v>Switzerland</v>
      </c>
      <c r="C820" t="e">
        <f>VLOOKUP(A820,[1]timesData!$B:$P,3,FALSE)</f>
        <v>#N/A</v>
      </c>
      <c r="D820" t="e">
        <f>VLOOKUP(A821,[1]timesData!$B:$P,3,FALSE)</f>
        <v>#N/A</v>
      </c>
      <c r="E820" t="e">
        <f>VLOOKUP(A821,[1]timesData!$B:$P,4,FALSE)</f>
        <v>#N/A</v>
      </c>
      <c r="F820" t="e">
        <f>VLOOKUP(A821,[1]timesData!$B:$P,5,FALSE)</f>
        <v>#N/A</v>
      </c>
      <c r="G820" t="e">
        <f>VLOOKUP(A821,[1]timesData!$B:$P,6,FALSE)</f>
        <v>#N/A</v>
      </c>
      <c r="H820" t="e">
        <f>VLOOKUP(A821,[1]timesData!$B:$P,7,FALSE)</f>
        <v>#N/A</v>
      </c>
      <c r="I820" t="e">
        <f>VLOOKUP(A821,[1]timesData!$B:$P,8,FALSE)</f>
        <v>#N/A</v>
      </c>
      <c r="J820" t="e">
        <f>VLOOKUP(A821,[1]timesData!$B:$P,9,FALSE)</f>
        <v>#N/A</v>
      </c>
      <c r="K820" t="e">
        <f>VLOOKUP(A821,[1]timesData!$B:$P,10,FALSE)</f>
        <v>#N/A</v>
      </c>
      <c r="L820" t="e">
        <f>VLOOKUP(A821,[1]timesData!$B:$P,11,FALSE)</f>
        <v>#N/A</v>
      </c>
      <c r="M820" t="e">
        <f>VLOOKUP(A821,[1]timesData!$B:$P,12,FALSE)</f>
        <v>#N/A</v>
      </c>
      <c r="N820" t="e">
        <f>VLOOKUP(A821,[1]timesData!$B:$P,13,FALSE)</f>
        <v>#N/A</v>
      </c>
      <c r="O820">
        <f>VLOOKUP(A820,[2]cwurData!$B:$P,14,FALSE)</f>
        <v>16</v>
      </c>
      <c r="P820">
        <f>VLOOKUP(A820,[2]cwurData!$B:$N, 3, FALSE)</f>
        <v>1</v>
      </c>
      <c r="Q820">
        <f>VLOOKUP(A820,[2]cwurData!$B:$N, 4, FALSE)</f>
        <v>26</v>
      </c>
      <c r="R820">
        <f>VLOOKUP(A820,[2]cwurData!$B:$N, 5, FALSE)</f>
        <v>66</v>
      </c>
      <c r="S820">
        <f>VLOOKUP(A820,[2]cwurData!$B:$N, 6, FALSE)</f>
        <v>11</v>
      </c>
      <c r="T820">
        <f>VLOOKUP(A820,[2]cwurData!$B:$N, 7, FALSE)</f>
        <v>40</v>
      </c>
      <c r="U820">
        <f>VLOOKUP(A820,[2]cwurData!$B:$N, 8, FALSE)</f>
        <v>51</v>
      </c>
      <c r="V820">
        <f>VLOOKUP(A820,[2]cwurData!$B:$N, 9, FALSE)</f>
        <v>44</v>
      </c>
      <c r="W820">
        <f>VLOOKUP(A820,[2]cwurData!$B:$N, 10, FALSE)</f>
        <v>0</v>
      </c>
      <c r="X820">
        <f>VLOOKUP(A820,[2]cwurData!$B:$N, 11, FALSE)</f>
        <v>34</v>
      </c>
      <c r="Y820">
        <f>VLOOKUP(A820,[2]cwurData!$B:$N, 12, FALSE)</f>
        <v>66.69</v>
      </c>
      <c r="Z820">
        <f>VLOOKUP(A820,[2]cwurData!$B:$N, 13, FALSE)</f>
        <v>2012</v>
      </c>
    </row>
    <row r="821" spans="1:26" x14ac:dyDescent="0.3">
      <c r="A821" t="s">
        <v>821</v>
      </c>
      <c r="B821" t="str">
        <f>IFERROR(VLOOKUP(A821,[1]timesData!$B:$P,2,FALSE),VLOOKUP(A821,[2]cwurData!$B:$P,2,FALSE))</f>
        <v>Israel</v>
      </c>
      <c r="C821" t="e">
        <f>VLOOKUP(A821,[1]timesData!$B:$P,3,FALSE)</f>
        <v>#N/A</v>
      </c>
      <c r="D821" t="e">
        <f>VLOOKUP(A822,[1]timesData!$B:$P,3,FALSE)</f>
        <v>#N/A</v>
      </c>
      <c r="E821" t="e">
        <f>VLOOKUP(A822,[1]timesData!$B:$P,4,FALSE)</f>
        <v>#N/A</v>
      </c>
      <c r="F821" t="e">
        <f>VLOOKUP(A822,[1]timesData!$B:$P,5,FALSE)</f>
        <v>#N/A</v>
      </c>
      <c r="G821" t="e">
        <f>VLOOKUP(A822,[1]timesData!$B:$P,6,FALSE)</f>
        <v>#N/A</v>
      </c>
      <c r="H821" t="e">
        <f>VLOOKUP(A822,[1]timesData!$B:$P,7,FALSE)</f>
        <v>#N/A</v>
      </c>
      <c r="I821" t="e">
        <f>VLOOKUP(A822,[1]timesData!$B:$P,8,FALSE)</f>
        <v>#N/A</v>
      </c>
      <c r="J821" t="e">
        <f>VLOOKUP(A822,[1]timesData!$B:$P,9,FALSE)</f>
        <v>#N/A</v>
      </c>
      <c r="K821" t="e">
        <f>VLOOKUP(A822,[1]timesData!$B:$P,10,FALSE)</f>
        <v>#N/A</v>
      </c>
      <c r="L821" t="e">
        <f>VLOOKUP(A822,[1]timesData!$B:$P,11,FALSE)</f>
        <v>#N/A</v>
      </c>
      <c r="M821" t="e">
        <f>VLOOKUP(A822,[1]timesData!$B:$P,12,FALSE)</f>
        <v>#N/A</v>
      </c>
      <c r="N821" t="e">
        <f>VLOOKUP(A822,[1]timesData!$B:$P,13,FALSE)</f>
        <v>#N/A</v>
      </c>
      <c r="O821">
        <f>VLOOKUP(A821,[2]cwurData!$B:$P,14,FALSE)</f>
        <v>18</v>
      </c>
      <c r="P821">
        <f>VLOOKUP(A821,[2]cwurData!$B:$N, 3, FALSE)</f>
        <v>1</v>
      </c>
      <c r="Q821">
        <f>VLOOKUP(A821,[2]cwurData!$B:$N, 4, FALSE)</f>
        <v>4</v>
      </c>
      <c r="R821">
        <f>VLOOKUP(A821,[2]cwurData!$B:$N, 5, FALSE)</f>
        <v>101</v>
      </c>
      <c r="S821">
        <f>VLOOKUP(A821,[2]cwurData!$B:$N, 6, FALSE)</f>
        <v>22</v>
      </c>
      <c r="T821">
        <f>VLOOKUP(A821,[2]cwurData!$B:$N, 7, FALSE)</f>
        <v>101</v>
      </c>
      <c r="U821">
        <f>VLOOKUP(A821,[2]cwurData!$B:$N, 8, FALSE)</f>
        <v>67</v>
      </c>
      <c r="V821">
        <f>VLOOKUP(A821,[2]cwurData!$B:$N, 9, FALSE)</f>
        <v>101</v>
      </c>
      <c r="W821">
        <f>VLOOKUP(A821,[2]cwurData!$B:$N, 10, FALSE)</f>
        <v>0</v>
      </c>
      <c r="X821">
        <f>VLOOKUP(A821,[2]cwurData!$B:$N, 11, FALSE)</f>
        <v>29</v>
      </c>
      <c r="Y821">
        <f>VLOOKUP(A821,[2]cwurData!$B:$N, 12, FALSE)</f>
        <v>65.09</v>
      </c>
      <c r="Z821">
        <f>VLOOKUP(A821,[2]cwurData!$B:$N, 13, FALSE)</f>
        <v>2012</v>
      </c>
    </row>
    <row r="822" spans="1:26" x14ac:dyDescent="0.3">
      <c r="A822" t="s">
        <v>822</v>
      </c>
      <c r="B822" t="str">
        <f>IFERROR(VLOOKUP(A822,[1]timesData!$B:$P,2,FALSE),VLOOKUP(A822,[2]cwurData!$B:$P,2,FALSE))</f>
        <v>USA</v>
      </c>
      <c r="C822" t="e">
        <f>VLOOKUP(A822,[1]timesData!$B:$P,3,FALSE)</f>
        <v>#N/A</v>
      </c>
      <c r="D822" t="e">
        <f>VLOOKUP(A823,[1]timesData!$B:$P,3,FALSE)</f>
        <v>#N/A</v>
      </c>
      <c r="E822" t="e">
        <f>VLOOKUP(A823,[1]timesData!$B:$P,4,FALSE)</f>
        <v>#N/A</v>
      </c>
      <c r="F822" t="e">
        <f>VLOOKUP(A823,[1]timesData!$B:$P,5,FALSE)</f>
        <v>#N/A</v>
      </c>
      <c r="G822" t="e">
        <f>VLOOKUP(A823,[1]timesData!$B:$P,6,FALSE)</f>
        <v>#N/A</v>
      </c>
      <c r="H822" t="e">
        <f>VLOOKUP(A823,[1]timesData!$B:$P,7,FALSE)</f>
        <v>#N/A</v>
      </c>
      <c r="I822" t="e">
        <f>VLOOKUP(A823,[1]timesData!$B:$P,8,FALSE)</f>
        <v>#N/A</v>
      </c>
      <c r="J822" t="e">
        <f>VLOOKUP(A823,[1]timesData!$B:$P,9,FALSE)</f>
        <v>#N/A</v>
      </c>
      <c r="K822" t="e">
        <f>VLOOKUP(A823,[1]timesData!$B:$P,10,FALSE)</f>
        <v>#N/A</v>
      </c>
      <c r="L822" t="e">
        <f>VLOOKUP(A823,[1]timesData!$B:$P,11,FALSE)</f>
        <v>#N/A</v>
      </c>
      <c r="M822" t="e">
        <f>VLOOKUP(A823,[1]timesData!$B:$P,12,FALSE)</f>
        <v>#N/A</v>
      </c>
      <c r="N822" t="e">
        <f>VLOOKUP(A823,[1]timesData!$B:$P,13,FALSE)</f>
        <v>#N/A</v>
      </c>
      <c r="O822">
        <f>VLOOKUP(A822,[2]cwurData!$B:$P,14,FALSE)</f>
        <v>21</v>
      </c>
      <c r="P822">
        <f>VLOOKUP(A822,[2]cwurData!$B:$N, 3, FALSE)</f>
        <v>15</v>
      </c>
      <c r="Q822">
        <f>VLOOKUP(A822,[2]cwurData!$B:$N, 4, FALSE)</f>
        <v>1</v>
      </c>
      <c r="R822">
        <f>VLOOKUP(A822,[2]cwurData!$B:$N, 5, FALSE)</f>
        <v>101</v>
      </c>
      <c r="S822">
        <f>VLOOKUP(A822,[2]cwurData!$B:$N, 6, FALSE)</f>
        <v>16</v>
      </c>
      <c r="T822">
        <f>VLOOKUP(A822,[2]cwurData!$B:$N, 7, FALSE)</f>
        <v>101</v>
      </c>
      <c r="U822">
        <f>VLOOKUP(A822,[2]cwurData!$B:$N, 8, FALSE)</f>
        <v>28</v>
      </c>
      <c r="V822">
        <f>VLOOKUP(A822,[2]cwurData!$B:$N, 9, FALSE)</f>
        <v>96</v>
      </c>
      <c r="W822">
        <f>VLOOKUP(A822,[2]cwurData!$B:$N, 10, FALSE)</f>
        <v>0</v>
      </c>
      <c r="X822">
        <f>VLOOKUP(A822,[2]cwurData!$B:$N, 11, FALSE)</f>
        <v>101</v>
      </c>
      <c r="Y822">
        <f>VLOOKUP(A822,[2]cwurData!$B:$N, 12, FALSE)</f>
        <v>61.74</v>
      </c>
      <c r="Z822">
        <f>VLOOKUP(A822,[2]cwurData!$B:$N, 13, FALSE)</f>
        <v>2012</v>
      </c>
    </row>
    <row r="823" spans="1:26" x14ac:dyDescent="0.3">
      <c r="A823" t="s">
        <v>823</v>
      </c>
      <c r="B823" t="str">
        <f>IFERROR(VLOOKUP(A823,[1]timesData!$B:$P,2,FALSE),VLOOKUP(A823,[2]cwurData!$B:$P,2,FALSE))</f>
        <v>USA</v>
      </c>
      <c r="C823" t="e">
        <f>VLOOKUP(A823,[1]timesData!$B:$P,3,FALSE)</f>
        <v>#N/A</v>
      </c>
      <c r="D823" t="e">
        <f>VLOOKUP(A824,[1]timesData!$B:$P,3,FALSE)</f>
        <v>#N/A</v>
      </c>
      <c r="E823" t="e">
        <f>VLOOKUP(A824,[1]timesData!$B:$P,4,FALSE)</f>
        <v>#N/A</v>
      </c>
      <c r="F823" t="e">
        <f>VLOOKUP(A824,[1]timesData!$B:$P,5,FALSE)</f>
        <v>#N/A</v>
      </c>
      <c r="G823" t="e">
        <f>VLOOKUP(A824,[1]timesData!$B:$P,6,FALSE)</f>
        <v>#N/A</v>
      </c>
      <c r="H823" t="e">
        <f>VLOOKUP(A824,[1]timesData!$B:$P,7,FALSE)</f>
        <v>#N/A</v>
      </c>
      <c r="I823" t="e">
        <f>VLOOKUP(A824,[1]timesData!$B:$P,8,FALSE)</f>
        <v>#N/A</v>
      </c>
      <c r="J823" t="e">
        <f>VLOOKUP(A824,[1]timesData!$B:$P,9,FALSE)</f>
        <v>#N/A</v>
      </c>
      <c r="K823" t="e">
        <f>VLOOKUP(A824,[1]timesData!$B:$P,10,FALSE)</f>
        <v>#N/A</v>
      </c>
      <c r="L823" t="e">
        <f>VLOOKUP(A824,[1]timesData!$B:$P,11,FALSE)</f>
        <v>#N/A</v>
      </c>
      <c r="M823" t="e">
        <f>VLOOKUP(A824,[1]timesData!$B:$P,12,FALSE)</f>
        <v>#N/A</v>
      </c>
      <c r="N823" t="e">
        <f>VLOOKUP(A824,[1]timesData!$B:$P,13,FALSE)</f>
        <v>#N/A</v>
      </c>
      <c r="O823">
        <f>VLOOKUP(A823,[2]cwurData!$B:$P,14,FALSE)</f>
        <v>24</v>
      </c>
      <c r="P823">
        <f>VLOOKUP(A823,[2]cwurData!$B:$N, 3, FALSE)</f>
        <v>17</v>
      </c>
      <c r="Q823">
        <f>VLOOKUP(A823,[2]cwurData!$B:$N, 4, FALSE)</f>
        <v>101</v>
      </c>
      <c r="R823">
        <f>VLOOKUP(A823,[2]cwurData!$B:$N, 5, FALSE)</f>
        <v>101</v>
      </c>
      <c r="S823">
        <f>VLOOKUP(A823,[2]cwurData!$B:$N, 6, FALSE)</f>
        <v>21</v>
      </c>
      <c r="T823">
        <f>VLOOKUP(A823,[2]cwurData!$B:$N, 7, FALSE)</f>
        <v>19</v>
      </c>
      <c r="U823">
        <f>VLOOKUP(A823,[2]cwurData!$B:$N, 8, FALSE)</f>
        <v>3</v>
      </c>
      <c r="V823">
        <f>VLOOKUP(A823,[2]cwurData!$B:$N, 9, FALSE)</f>
        <v>13</v>
      </c>
      <c r="W823">
        <f>VLOOKUP(A823,[2]cwurData!$B:$N, 10, FALSE)</f>
        <v>0</v>
      </c>
      <c r="X823">
        <f>VLOOKUP(A823,[2]cwurData!$B:$N, 11, FALSE)</f>
        <v>33</v>
      </c>
      <c r="Y823">
        <f>VLOOKUP(A823,[2]cwurData!$B:$N, 12, FALSE)</f>
        <v>59.7</v>
      </c>
      <c r="Z823">
        <f>VLOOKUP(A823,[2]cwurData!$B:$N, 13, FALSE)</f>
        <v>2012</v>
      </c>
    </row>
    <row r="824" spans="1:26" x14ac:dyDescent="0.3">
      <c r="A824" t="s">
        <v>824</v>
      </c>
      <c r="B824" t="str">
        <f>IFERROR(VLOOKUP(A824,[1]timesData!$B:$P,2,FALSE),VLOOKUP(A824,[2]cwurData!$B:$P,2,FALSE))</f>
        <v>USA</v>
      </c>
      <c r="C824" t="e">
        <f>VLOOKUP(A824,[1]timesData!$B:$P,3,FALSE)</f>
        <v>#N/A</v>
      </c>
      <c r="D824" t="e">
        <f>VLOOKUP(A825,[1]timesData!$B:$P,3,FALSE)</f>
        <v>#N/A</v>
      </c>
      <c r="E824" t="e">
        <f>VLOOKUP(A825,[1]timesData!$B:$P,4,FALSE)</f>
        <v>#N/A</v>
      </c>
      <c r="F824" t="e">
        <f>VLOOKUP(A825,[1]timesData!$B:$P,5,FALSE)</f>
        <v>#N/A</v>
      </c>
      <c r="G824" t="e">
        <f>VLOOKUP(A825,[1]timesData!$B:$P,6,FALSE)</f>
        <v>#N/A</v>
      </c>
      <c r="H824" t="e">
        <f>VLOOKUP(A825,[1]timesData!$B:$P,7,FALSE)</f>
        <v>#N/A</v>
      </c>
      <c r="I824" t="e">
        <f>VLOOKUP(A825,[1]timesData!$B:$P,8,FALSE)</f>
        <v>#N/A</v>
      </c>
      <c r="J824" t="e">
        <f>VLOOKUP(A825,[1]timesData!$B:$P,9,FALSE)</f>
        <v>#N/A</v>
      </c>
      <c r="K824" t="e">
        <f>VLOOKUP(A825,[1]timesData!$B:$P,10,FALSE)</f>
        <v>#N/A</v>
      </c>
      <c r="L824" t="e">
        <f>VLOOKUP(A825,[1]timesData!$B:$P,11,FALSE)</f>
        <v>#N/A</v>
      </c>
      <c r="M824" t="e">
        <f>VLOOKUP(A825,[1]timesData!$B:$P,12,FALSE)</f>
        <v>#N/A</v>
      </c>
      <c r="N824" t="e">
        <f>VLOOKUP(A825,[1]timesData!$B:$P,13,FALSE)</f>
        <v>#N/A</v>
      </c>
      <c r="O824">
        <f>VLOOKUP(A824,[2]cwurData!$B:$P,14,FALSE)</f>
        <v>25</v>
      </c>
      <c r="P824">
        <f>VLOOKUP(A824,[2]cwurData!$B:$N, 3, FALSE)</f>
        <v>18</v>
      </c>
      <c r="Q824">
        <f>VLOOKUP(A824,[2]cwurData!$B:$N, 4, FALSE)</f>
        <v>64</v>
      </c>
      <c r="R824">
        <f>VLOOKUP(A824,[2]cwurData!$B:$N, 5, FALSE)</f>
        <v>63</v>
      </c>
      <c r="S824">
        <f>VLOOKUP(A824,[2]cwurData!$B:$N, 6, FALSE)</f>
        <v>33</v>
      </c>
      <c r="T824">
        <f>VLOOKUP(A824,[2]cwurData!$B:$N, 7, FALSE)</f>
        <v>17</v>
      </c>
      <c r="U824">
        <f>VLOOKUP(A824,[2]cwurData!$B:$N, 8, FALSE)</f>
        <v>30</v>
      </c>
      <c r="V824">
        <f>VLOOKUP(A824,[2]cwurData!$B:$N, 9, FALSE)</f>
        <v>21</v>
      </c>
      <c r="W824">
        <f>VLOOKUP(A824,[2]cwurData!$B:$N, 10, FALSE)</f>
        <v>0</v>
      </c>
      <c r="X824">
        <f>VLOOKUP(A824,[2]cwurData!$B:$N, 11, FALSE)</f>
        <v>21</v>
      </c>
      <c r="Y824">
        <f>VLOOKUP(A824,[2]cwurData!$B:$N, 12, FALSE)</f>
        <v>59.66</v>
      </c>
      <c r="Z824">
        <f>VLOOKUP(A824,[2]cwurData!$B:$N, 13, FALSE)</f>
        <v>2012</v>
      </c>
    </row>
    <row r="825" spans="1:26" x14ac:dyDescent="0.3">
      <c r="A825" t="s">
        <v>825</v>
      </c>
      <c r="B825" t="str">
        <f>IFERROR(VLOOKUP(A825,[1]timesData!$B:$P,2,FALSE),VLOOKUP(A825,[2]cwurData!$B:$P,2,FALSE))</f>
        <v>USA</v>
      </c>
      <c r="C825" t="e">
        <f>VLOOKUP(A825,[1]timesData!$B:$P,3,FALSE)</f>
        <v>#N/A</v>
      </c>
      <c r="D825" t="e">
        <f>VLOOKUP(A826,[1]timesData!$B:$P,3,FALSE)</f>
        <v>#N/A</v>
      </c>
      <c r="E825" t="e">
        <f>VLOOKUP(A826,[1]timesData!$B:$P,4,FALSE)</f>
        <v>#N/A</v>
      </c>
      <c r="F825" t="e">
        <f>VLOOKUP(A826,[1]timesData!$B:$P,5,FALSE)</f>
        <v>#N/A</v>
      </c>
      <c r="G825" t="e">
        <f>VLOOKUP(A826,[1]timesData!$B:$P,6,FALSE)</f>
        <v>#N/A</v>
      </c>
      <c r="H825" t="e">
        <f>VLOOKUP(A826,[1]timesData!$B:$P,7,FALSE)</f>
        <v>#N/A</v>
      </c>
      <c r="I825" t="e">
        <f>VLOOKUP(A826,[1]timesData!$B:$P,8,FALSE)</f>
        <v>#N/A</v>
      </c>
      <c r="J825" t="e">
        <f>VLOOKUP(A826,[1]timesData!$B:$P,9,FALSE)</f>
        <v>#N/A</v>
      </c>
      <c r="K825" t="e">
        <f>VLOOKUP(A826,[1]timesData!$B:$P,10,FALSE)</f>
        <v>#N/A</v>
      </c>
      <c r="L825" t="e">
        <f>VLOOKUP(A826,[1]timesData!$B:$P,11,FALSE)</f>
        <v>#N/A</v>
      </c>
      <c r="M825" t="e">
        <f>VLOOKUP(A826,[1]timesData!$B:$P,12,FALSE)</f>
        <v>#N/A</v>
      </c>
      <c r="N825" t="e">
        <f>VLOOKUP(A826,[1]timesData!$B:$P,13,FALSE)</f>
        <v>#N/A</v>
      </c>
      <c r="O825">
        <f>VLOOKUP(A825,[2]cwurData!$B:$P,14,FALSE)</f>
        <v>26</v>
      </c>
      <c r="P825">
        <f>VLOOKUP(A825,[2]cwurData!$B:$N, 3, FALSE)</f>
        <v>19</v>
      </c>
      <c r="Q825">
        <f>VLOOKUP(A825,[2]cwurData!$B:$N, 4, FALSE)</f>
        <v>82</v>
      </c>
      <c r="R825">
        <f>VLOOKUP(A825,[2]cwurData!$B:$N, 5, FALSE)</f>
        <v>101</v>
      </c>
      <c r="S825">
        <f>VLOOKUP(A825,[2]cwurData!$B:$N, 6, FALSE)</f>
        <v>18</v>
      </c>
      <c r="T825">
        <f>VLOOKUP(A825,[2]cwurData!$B:$N, 7, FALSE)</f>
        <v>35</v>
      </c>
      <c r="U825">
        <f>VLOOKUP(A825,[2]cwurData!$B:$N, 8, FALSE)</f>
        <v>71</v>
      </c>
      <c r="V825">
        <f>VLOOKUP(A825,[2]cwurData!$B:$N, 9, FALSE)</f>
        <v>39</v>
      </c>
      <c r="W825">
        <f>VLOOKUP(A825,[2]cwurData!$B:$N, 10, FALSE)</f>
        <v>0</v>
      </c>
      <c r="X825">
        <f>VLOOKUP(A825,[2]cwurData!$B:$N, 11, FALSE)</f>
        <v>44</v>
      </c>
      <c r="Y825">
        <f>VLOOKUP(A825,[2]cwurData!$B:$N, 12, FALSE)</f>
        <v>59</v>
      </c>
      <c r="Z825">
        <f>VLOOKUP(A825,[2]cwurData!$B:$N, 13, FALSE)</f>
        <v>2012</v>
      </c>
    </row>
    <row r="826" spans="1:26" x14ac:dyDescent="0.3">
      <c r="A826" t="s">
        <v>826</v>
      </c>
      <c r="B826" t="str">
        <f>IFERROR(VLOOKUP(A826,[1]timesData!$B:$P,2,FALSE),VLOOKUP(A826,[2]cwurData!$B:$P,2,FALSE))</f>
        <v>USA</v>
      </c>
      <c r="C826" t="e">
        <f>VLOOKUP(A826,[1]timesData!$B:$P,3,FALSE)</f>
        <v>#N/A</v>
      </c>
      <c r="D826" t="e">
        <f>VLOOKUP(A827,[1]timesData!$B:$P,3,FALSE)</f>
        <v>#N/A</v>
      </c>
      <c r="E826" t="e">
        <f>VLOOKUP(A827,[1]timesData!$B:$P,4,FALSE)</f>
        <v>#N/A</v>
      </c>
      <c r="F826" t="e">
        <f>VLOOKUP(A827,[1]timesData!$B:$P,5,FALSE)</f>
        <v>#N/A</v>
      </c>
      <c r="G826" t="e">
        <f>VLOOKUP(A827,[1]timesData!$B:$P,6,FALSE)</f>
        <v>#N/A</v>
      </c>
      <c r="H826" t="e">
        <f>VLOOKUP(A827,[1]timesData!$B:$P,7,FALSE)</f>
        <v>#N/A</v>
      </c>
      <c r="I826" t="e">
        <f>VLOOKUP(A827,[1]timesData!$B:$P,8,FALSE)</f>
        <v>#N/A</v>
      </c>
      <c r="J826" t="e">
        <f>VLOOKUP(A827,[1]timesData!$B:$P,9,FALSE)</f>
        <v>#N/A</v>
      </c>
      <c r="K826" t="e">
        <f>VLOOKUP(A827,[1]timesData!$B:$P,10,FALSE)</f>
        <v>#N/A</v>
      </c>
      <c r="L826" t="e">
        <f>VLOOKUP(A827,[1]timesData!$B:$P,11,FALSE)</f>
        <v>#N/A</v>
      </c>
      <c r="M826" t="e">
        <f>VLOOKUP(A827,[1]timesData!$B:$P,12,FALSE)</f>
        <v>#N/A</v>
      </c>
      <c r="N826" t="e">
        <f>VLOOKUP(A827,[1]timesData!$B:$P,13,FALSE)</f>
        <v>#N/A</v>
      </c>
      <c r="O826">
        <f>VLOOKUP(A826,[2]cwurData!$B:$P,14,FALSE)</f>
        <v>29</v>
      </c>
      <c r="P826">
        <f>VLOOKUP(A826,[2]cwurData!$B:$N, 3, FALSE)</f>
        <v>21</v>
      </c>
      <c r="Q826">
        <f>VLOOKUP(A826,[2]cwurData!$B:$N, 4, FALSE)</f>
        <v>19</v>
      </c>
      <c r="R826">
        <f>VLOOKUP(A826,[2]cwurData!$B:$N, 5, FALSE)</f>
        <v>101</v>
      </c>
      <c r="S826">
        <f>VLOOKUP(A826,[2]cwurData!$B:$N, 6, FALSE)</f>
        <v>32</v>
      </c>
      <c r="T826">
        <f>VLOOKUP(A826,[2]cwurData!$B:$N, 7, FALSE)</f>
        <v>101</v>
      </c>
      <c r="U826">
        <f>VLOOKUP(A826,[2]cwurData!$B:$N, 8, FALSE)</f>
        <v>43</v>
      </c>
      <c r="V826">
        <f>VLOOKUP(A826,[2]cwurData!$B:$N, 9, FALSE)</f>
        <v>84</v>
      </c>
      <c r="W826">
        <f>VLOOKUP(A826,[2]cwurData!$B:$N, 10, FALSE)</f>
        <v>0</v>
      </c>
      <c r="X826">
        <f>VLOOKUP(A826,[2]cwurData!$B:$N, 11, FALSE)</f>
        <v>101</v>
      </c>
      <c r="Y826">
        <f>VLOOKUP(A826,[2]cwurData!$B:$N, 12, FALSE)</f>
        <v>56.43</v>
      </c>
      <c r="Z826">
        <f>VLOOKUP(A826,[2]cwurData!$B:$N, 13, FALSE)</f>
        <v>2012</v>
      </c>
    </row>
    <row r="827" spans="1:26" x14ac:dyDescent="0.3">
      <c r="A827" t="s">
        <v>827</v>
      </c>
      <c r="B827" t="str">
        <f>IFERROR(VLOOKUP(A827,[1]timesData!$B:$P,2,FALSE),VLOOKUP(A827,[2]cwurData!$B:$P,2,FALSE))</f>
        <v>USA</v>
      </c>
      <c r="C827" t="e">
        <f>VLOOKUP(A827,[1]timesData!$B:$P,3,FALSE)</f>
        <v>#N/A</v>
      </c>
      <c r="D827" t="e">
        <f>VLOOKUP(A828,[1]timesData!$B:$P,3,FALSE)</f>
        <v>#N/A</v>
      </c>
      <c r="E827" t="e">
        <f>VLOOKUP(A828,[1]timesData!$B:$P,4,FALSE)</f>
        <v>#N/A</v>
      </c>
      <c r="F827" t="e">
        <f>VLOOKUP(A828,[1]timesData!$B:$P,5,FALSE)</f>
        <v>#N/A</v>
      </c>
      <c r="G827" t="e">
        <f>VLOOKUP(A828,[1]timesData!$B:$P,6,FALSE)</f>
        <v>#N/A</v>
      </c>
      <c r="H827" t="e">
        <f>VLOOKUP(A828,[1]timesData!$B:$P,7,FALSE)</f>
        <v>#N/A</v>
      </c>
      <c r="I827" t="e">
        <f>VLOOKUP(A828,[1]timesData!$B:$P,8,FALSE)</f>
        <v>#N/A</v>
      </c>
      <c r="J827" t="e">
        <f>VLOOKUP(A828,[1]timesData!$B:$P,9,FALSE)</f>
        <v>#N/A</v>
      </c>
      <c r="K827" t="e">
        <f>VLOOKUP(A828,[1]timesData!$B:$P,10,FALSE)</f>
        <v>#N/A</v>
      </c>
      <c r="L827" t="e">
        <f>VLOOKUP(A828,[1]timesData!$B:$P,11,FALSE)</f>
        <v>#N/A</v>
      </c>
      <c r="M827" t="e">
        <f>VLOOKUP(A828,[1]timesData!$B:$P,12,FALSE)</f>
        <v>#N/A</v>
      </c>
      <c r="N827" t="e">
        <f>VLOOKUP(A828,[1]timesData!$B:$P,13,FALSE)</f>
        <v>#N/A</v>
      </c>
      <c r="O827">
        <f>VLOOKUP(A827,[2]cwurData!$B:$P,14,FALSE)</f>
        <v>34</v>
      </c>
      <c r="P827">
        <f>VLOOKUP(A827,[2]cwurData!$B:$N, 3, FALSE)</f>
        <v>24</v>
      </c>
      <c r="Q827">
        <f>VLOOKUP(A827,[2]cwurData!$B:$N, 4, FALSE)</f>
        <v>68</v>
      </c>
      <c r="R827">
        <f>VLOOKUP(A827,[2]cwurData!$B:$N, 5, FALSE)</f>
        <v>60</v>
      </c>
      <c r="S827">
        <f>VLOOKUP(A827,[2]cwurData!$B:$N, 6, FALSE)</f>
        <v>101</v>
      </c>
      <c r="T827">
        <f>VLOOKUP(A827,[2]cwurData!$B:$N, 7, FALSE)</f>
        <v>2</v>
      </c>
      <c r="U827">
        <f>VLOOKUP(A827,[2]cwurData!$B:$N, 8, FALSE)</f>
        <v>17</v>
      </c>
      <c r="V827">
        <f>VLOOKUP(A827,[2]cwurData!$B:$N, 9, FALSE)</f>
        <v>7</v>
      </c>
      <c r="W827">
        <f>VLOOKUP(A827,[2]cwurData!$B:$N, 10, FALSE)</f>
        <v>0</v>
      </c>
      <c r="X827">
        <f>VLOOKUP(A827,[2]cwurData!$B:$N, 11, FALSE)</f>
        <v>8</v>
      </c>
      <c r="Y827">
        <f>VLOOKUP(A827,[2]cwurData!$B:$N, 12, FALSE)</f>
        <v>53.72</v>
      </c>
      <c r="Z827">
        <f>VLOOKUP(A827,[2]cwurData!$B:$N, 13, FALSE)</f>
        <v>2012</v>
      </c>
    </row>
    <row r="828" spans="1:26" x14ac:dyDescent="0.3">
      <c r="A828" t="s">
        <v>828</v>
      </c>
      <c r="B828" t="str">
        <f>IFERROR(VLOOKUP(A828,[1]timesData!$B:$P,2,FALSE),VLOOKUP(A828,[2]cwurData!$B:$P,2,FALSE))</f>
        <v>USA</v>
      </c>
      <c r="C828" t="e">
        <f>VLOOKUP(A828,[1]timesData!$B:$P,3,FALSE)</f>
        <v>#N/A</v>
      </c>
      <c r="D828" t="e">
        <f>VLOOKUP(A829,[1]timesData!$B:$P,3,FALSE)</f>
        <v>#N/A</v>
      </c>
      <c r="E828" t="e">
        <f>VLOOKUP(A829,[1]timesData!$B:$P,4,FALSE)</f>
        <v>#N/A</v>
      </c>
      <c r="F828" t="e">
        <f>VLOOKUP(A829,[1]timesData!$B:$P,5,FALSE)</f>
        <v>#N/A</v>
      </c>
      <c r="G828" t="e">
        <f>VLOOKUP(A829,[1]timesData!$B:$P,6,FALSE)</f>
        <v>#N/A</v>
      </c>
      <c r="H828" t="e">
        <f>VLOOKUP(A829,[1]timesData!$B:$P,7,FALSE)</f>
        <v>#N/A</v>
      </c>
      <c r="I828" t="e">
        <f>VLOOKUP(A829,[1]timesData!$B:$P,8,FALSE)</f>
        <v>#N/A</v>
      </c>
      <c r="J828" t="e">
        <f>VLOOKUP(A829,[1]timesData!$B:$P,9,FALSE)</f>
        <v>#N/A</v>
      </c>
      <c r="K828" t="e">
        <f>VLOOKUP(A829,[1]timesData!$B:$P,10,FALSE)</f>
        <v>#N/A</v>
      </c>
      <c r="L828" t="e">
        <f>VLOOKUP(A829,[1]timesData!$B:$P,11,FALSE)</f>
        <v>#N/A</v>
      </c>
      <c r="M828" t="e">
        <f>VLOOKUP(A829,[1]timesData!$B:$P,12,FALSE)</f>
        <v>#N/A</v>
      </c>
      <c r="N828" t="e">
        <f>VLOOKUP(A829,[1]timesData!$B:$P,13,FALSE)</f>
        <v>#N/A</v>
      </c>
      <c r="O828">
        <f>VLOOKUP(A828,[2]cwurData!$B:$P,14,FALSE)</f>
        <v>37</v>
      </c>
      <c r="P828">
        <f>VLOOKUP(A828,[2]cwurData!$B:$N, 3, FALSE)</f>
        <v>26</v>
      </c>
      <c r="Q828">
        <f>VLOOKUP(A828,[2]cwurData!$B:$N, 4, FALSE)</f>
        <v>74</v>
      </c>
      <c r="R828">
        <f>VLOOKUP(A828,[2]cwurData!$B:$N, 5, FALSE)</f>
        <v>62</v>
      </c>
      <c r="S828">
        <f>VLOOKUP(A828,[2]cwurData!$B:$N, 6, FALSE)</f>
        <v>101</v>
      </c>
      <c r="T828">
        <f>VLOOKUP(A828,[2]cwurData!$B:$N, 7, FALSE)</f>
        <v>32</v>
      </c>
      <c r="U828">
        <f>VLOOKUP(A828,[2]cwurData!$B:$N, 8, FALSE)</f>
        <v>18</v>
      </c>
      <c r="V828">
        <f>VLOOKUP(A828,[2]cwurData!$B:$N, 9, FALSE)</f>
        <v>30</v>
      </c>
      <c r="W828">
        <f>VLOOKUP(A828,[2]cwurData!$B:$N, 10, FALSE)</f>
        <v>0</v>
      </c>
      <c r="X828">
        <f>VLOOKUP(A828,[2]cwurData!$B:$N, 11, FALSE)</f>
        <v>14</v>
      </c>
      <c r="Y828">
        <f>VLOOKUP(A828,[2]cwurData!$B:$N, 12, FALSE)</f>
        <v>52.9</v>
      </c>
      <c r="Z828">
        <f>VLOOKUP(A828,[2]cwurData!$B:$N, 13, FALSE)</f>
        <v>2012</v>
      </c>
    </row>
    <row r="829" spans="1:26" x14ac:dyDescent="0.3">
      <c r="A829" t="s">
        <v>829</v>
      </c>
      <c r="B829" t="str">
        <f>IFERROR(VLOOKUP(A829,[1]timesData!$B:$P,2,FALSE),VLOOKUP(A829,[2]cwurData!$B:$P,2,FALSE))</f>
        <v>USA</v>
      </c>
      <c r="C829" t="e">
        <f>VLOOKUP(A829,[1]timesData!$B:$P,3,FALSE)</f>
        <v>#N/A</v>
      </c>
      <c r="D829" t="e">
        <f>VLOOKUP(A830,[1]timesData!$B:$P,3,FALSE)</f>
        <v>#N/A</v>
      </c>
      <c r="E829" t="e">
        <f>VLOOKUP(A830,[1]timesData!$B:$P,4,FALSE)</f>
        <v>#N/A</v>
      </c>
      <c r="F829" t="e">
        <f>VLOOKUP(A830,[1]timesData!$B:$P,5,FALSE)</f>
        <v>#N/A</v>
      </c>
      <c r="G829" t="e">
        <f>VLOOKUP(A830,[1]timesData!$B:$P,6,FALSE)</f>
        <v>#N/A</v>
      </c>
      <c r="H829" t="e">
        <f>VLOOKUP(A830,[1]timesData!$B:$P,7,FALSE)</f>
        <v>#N/A</v>
      </c>
      <c r="I829" t="e">
        <f>VLOOKUP(A830,[1]timesData!$B:$P,8,FALSE)</f>
        <v>#N/A</v>
      </c>
      <c r="J829" t="e">
        <f>VLOOKUP(A830,[1]timesData!$B:$P,9,FALSE)</f>
        <v>#N/A</v>
      </c>
      <c r="K829" t="e">
        <f>VLOOKUP(A830,[1]timesData!$B:$P,10,FALSE)</f>
        <v>#N/A</v>
      </c>
      <c r="L829" t="e">
        <f>VLOOKUP(A830,[1]timesData!$B:$P,11,FALSE)</f>
        <v>#N/A</v>
      </c>
      <c r="M829" t="e">
        <f>VLOOKUP(A830,[1]timesData!$B:$P,12,FALSE)</f>
        <v>#N/A</v>
      </c>
      <c r="N829" t="e">
        <f>VLOOKUP(A830,[1]timesData!$B:$P,13,FALSE)</f>
        <v>#N/A</v>
      </c>
      <c r="O829">
        <f>VLOOKUP(A829,[2]cwurData!$B:$P,14,FALSE)</f>
        <v>39</v>
      </c>
      <c r="P829">
        <f>VLOOKUP(A829,[2]cwurData!$B:$N, 3, FALSE)</f>
        <v>28</v>
      </c>
      <c r="Q829">
        <f>VLOOKUP(A829,[2]cwurData!$B:$N, 4, FALSE)</f>
        <v>101</v>
      </c>
      <c r="R829">
        <f>VLOOKUP(A829,[2]cwurData!$B:$N, 5, FALSE)</f>
        <v>101</v>
      </c>
      <c r="S829">
        <f>VLOOKUP(A829,[2]cwurData!$B:$N, 6, FALSE)</f>
        <v>40</v>
      </c>
      <c r="T829">
        <f>VLOOKUP(A829,[2]cwurData!$B:$N, 7, FALSE)</f>
        <v>5</v>
      </c>
      <c r="U829">
        <f>VLOOKUP(A829,[2]cwurData!$B:$N, 8, FALSE)</f>
        <v>7</v>
      </c>
      <c r="V829">
        <f>VLOOKUP(A829,[2]cwurData!$B:$N, 9, FALSE)</f>
        <v>5</v>
      </c>
      <c r="W829">
        <f>VLOOKUP(A829,[2]cwurData!$B:$N, 10, FALSE)</f>
        <v>0</v>
      </c>
      <c r="X829">
        <f>VLOOKUP(A829,[2]cwurData!$B:$N, 11, FALSE)</f>
        <v>101</v>
      </c>
      <c r="Y829">
        <f>VLOOKUP(A829,[2]cwurData!$B:$N, 12, FALSE)</f>
        <v>52.25</v>
      </c>
      <c r="Z829">
        <f>VLOOKUP(A829,[2]cwurData!$B:$N, 13, FALSE)</f>
        <v>2012</v>
      </c>
    </row>
    <row r="830" spans="1:26" x14ac:dyDescent="0.3">
      <c r="A830" t="s">
        <v>830</v>
      </c>
      <c r="B830" t="str">
        <f>IFERROR(VLOOKUP(A830,[1]timesData!$B:$P,2,FALSE),VLOOKUP(A830,[2]cwurData!$B:$P,2,FALSE))</f>
        <v>USA</v>
      </c>
      <c r="C830" t="e">
        <f>VLOOKUP(A830,[1]timesData!$B:$P,3,FALSE)</f>
        <v>#N/A</v>
      </c>
      <c r="D830" t="e">
        <f>VLOOKUP(A831,[1]timesData!$B:$P,3,FALSE)</f>
        <v>#N/A</v>
      </c>
      <c r="E830" t="e">
        <f>VLOOKUP(A831,[1]timesData!$B:$P,4,FALSE)</f>
        <v>#N/A</v>
      </c>
      <c r="F830" t="e">
        <f>VLOOKUP(A831,[1]timesData!$B:$P,5,FALSE)</f>
        <v>#N/A</v>
      </c>
      <c r="G830" t="e">
        <f>VLOOKUP(A831,[1]timesData!$B:$P,6,FALSE)</f>
        <v>#N/A</v>
      </c>
      <c r="H830" t="e">
        <f>VLOOKUP(A831,[1]timesData!$B:$P,7,FALSE)</f>
        <v>#N/A</v>
      </c>
      <c r="I830" t="e">
        <f>VLOOKUP(A831,[1]timesData!$B:$P,8,FALSE)</f>
        <v>#N/A</v>
      </c>
      <c r="J830" t="e">
        <f>VLOOKUP(A831,[1]timesData!$B:$P,9,FALSE)</f>
        <v>#N/A</v>
      </c>
      <c r="K830" t="e">
        <f>VLOOKUP(A831,[1]timesData!$B:$P,10,FALSE)</f>
        <v>#N/A</v>
      </c>
      <c r="L830" t="e">
        <f>VLOOKUP(A831,[1]timesData!$B:$P,11,FALSE)</f>
        <v>#N/A</v>
      </c>
      <c r="M830" t="e">
        <f>VLOOKUP(A831,[1]timesData!$B:$P,12,FALSE)</f>
        <v>#N/A</v>
      </c>
      <c r="N830" t="e">
        <f>VLOOKUP(A831,[1]timesData!$B:$P,13,FALSE)</f>
        <v>#N/A</v>
      </c>
      <c r="O830">
        <f>VLOOKUP(A830,[2]cwurData!$B:$P,14,FALSE)</f>
        <v>42</v>
      </c>
      <c r="P830">
        <f>VLOOKUP(A830,[2]cwurData!$B:$N, 3, FALSE)</f>
        <v>30</v>
      </c>
      <c r="Q830">
        <f>VLOOKUP(A830,[2]cwurData!$B:$N, 4, FALSE)</f>
        <v>95</v>
      </c>
      <c r="R830">
        <f>VLOOKUP(A830,[2]cwurData!$B:$N, 5, FALSE)</f>
        <v>70</v>
      </c>
      <c r="S830">
        <f>VLOOKUP(A830,[2]cwurData!$B:$N, 6, FALSE)</f>
        <v>49</v>
      </c>
      <c r="T830">
        <f>VLOOKUP(A830,[2]cwurData!$B:$N, 7, FALSE)</f>
        <v>61</v>
      </c>
      <c r="U830">
        <f>VLOOKUP(A830,[2]cwurData!$B:$N, 8, FALSE)</f>
        <v>101</v>
      </c>
      <c r="V830">
        <f>VLOOKUP(A830,[2]cwurData!$B:$N, 9, FALSE)</f>
        <v>58</v>
      </c>
      <c r="W830">
        <f>VLOOKUP(A830,[2]cwurData!$B:$N, 10, FALSE)</f>
        <v>0</v>
      </c>
      <c r="X830">
        <f>VLOOKUP(A830,[2]cwurData!$B:$N, 11, FALSE)</f>
        <v>19</v>
      </c>
      <c r="Y830">
        <f>VLOOKUP(A830,[2]cwurData!$B:$N, 12, FALSE)</f>
        <v>51.66</v>
      </c>
      <c r="Z830">
        <f>VLOOKUP(A830,[2]cwurData!$B:$N, 13, FALSE)</f>
        <v>2012</v>
      </c>
    </row>
    <row r="831" spans="1:26" x14ac:dyDescent="0.3">
      <c r="A831" t="s">
        <v>831</v>
      </c>
      <c r="B831" t="str">
        <f>IFERROR(VLOOKUP(A831,[1]timesData!$B:$P,2,FALSE),VLOOKUP(A831,[2]cwurData!$B:$P,2,FALSE))</f>
        <v>France</v>
      </c>
      <c r="C831" t="e">
        <f>VLOOKUP(A831,[1]timesData!$B:$P,3,FALSE)</f>
        <v>#N/A</v>
      </c>
      <c r="D831" t="e">
        <f>VLOOKUP(A832,[1]timesData!$B:$P,3,FALSE)</f>
        <v>#N/A</v>
      </c>
      <c r="E831" t="e">
        <f>VLOOKUP(A832,[1]timesData!$B:$P,4,FALSE)</f>
        <v>#N/A</v>
      </c>
      <c r="F831" t="e">
        <f>VLOOKUP(A832,[1]timesData!$B:$P,5,FALSE)</f>
        <v>#N/A</v>
      </c>
      <c r="G831" t="e">
        <f>VLOOKUP(A832,[1]timesData!$B:$P,6,FALSE)</f>
        <v>#N/A</v>
      </c>
      <c r="H831" t="e">
        <f>VLOOKUP(A832,[1]timesData!$B:$P,7,FALSE)</f>
        <v>#N/A</v>
      </c>
      <c r="I831" t="e">
        <f>VLOOKUP(A832,[1]timesData!$B:$P,8,FALSE)</f>
        <v>#N/A</v>
      </c>
      <c r="J831" t="e">
        <f>VLOOKUP(A832,[1]timesData!$B:$P,9,FALSE)</f>
        <v>#N/A</v>
      </c>
      <c r="K831" t="e">
        <f>VLOOKUP(A832,[1]timesData!$B:$P,10,FALSE)</f>
        <v>#N/A</v>
      </c>
      <c r="L831" t="e">
        <f>VLOOKUP(A832,[1]timesData!$B:$P,11,FALSE)</f>
        <v>#N/A</v>
      </c>
      <c r="M831" t="e">
        <f>VLOOKUP(A832,[1]timesData!$B:$P,12,FALSE)</f>
        <v>#N/A</v>
      </c>
      <c r="N831" t="e">
        <f>VLOOKUP(A832,[1]timesData!$B:$P,13,FALSE)</f>
        <v>#N/A</v>
      </c>
      <c r="O831">
        <f>VLOOKUP(A831,[2]cwurData!$B:$P,14,FALSE)</f>
        <v>48</v>
      </c>
      <c r="P831">
        <f>VLOOKUP(A831,[2]cwurData!$B:$N, 3, FALSE)</f>
        <v>1</v>
      </c>
      <c r="Q831">
        <f>VLOOKUP(A831,[2]cwurData!$B:$N, 4, FALSE)</f>
        <v>48</v>
      </c>
      <c r="R831">
        <f>VLOOKUP(A831,[2]cwurData!$B:$N, 5, FALSE)</f>
        <v>101</v>
      </c>
      <c r="S831">
        <f>VLOOKUP(A831,[2]cwurData!$B:$N, 6, FALSE)</f>
        <v>25</v>
      </c>
      <c r="T831">
        <f>VLOOKUP(A831,[2]cwurData!$B:$N, 7, FALSE)</f>
        <v>73</v>
      </c>
      <c r="U831">
        <f>VLOOKUP(A831,[2]cwurData!$B:$N, 8, FALSE)</f>
        <v>96</v>
      </c>
      <c r="V831">
        <f>VLOOKUP(A831,[2]cwurData!$B:$N, 9, FALSE)</f>
        <v>101</v>
      </c>
      <c r="W831">
        <f>VLOOKUP(A831,[2]cwurData!$B:$N, 10, FALSE)</f>
        <v>0</v>
      </c>
      <c r="X831">
        <f>VLOOKUP(A831,[2]cwurData!$B:$N, 11, FALSE)</f>
        <v>101</v>
      </c>
      <c r="Y831">
        <f>VLOOKUP(A831,[2]cwurData!$B:$N, 12, FALSE)</f>
        <v>50.44</v>
      </c>
      <c r="Z831">
        <f>VLOOKUP(A831,[2]cwurData!$B:$N, 13, FALSE)</f>
        <v>2012</v>
      </c>
    </row>
    <row r="832" spans="1:26" x14ac:dyDescent="0.3">
      <c r="A832" t="s">
        <v>832</v>
      </c>
      <c r="B832" t="str">
        <f>IFERROR(VLOOKUP(A832,[1]timesData!$B:$P,2,FALSE),VLOOKUP(A832,[2]cwurData!$B:$P,2,FALSE))</f>
        <v>USA</v>
      </c>
      <c r="C832" t="e">
        <f>VLOOKUP(A832,[1]timesData!$B:$P,3,FALSE)</f>
        <v>#N/A</v>
      </c>
      <c r="D832" t="e">
        <f>VLOOKUP(A833,[1]timesData!$B:$P,3,FALSE)</f>
        <v>#N/A</v>
      </c>
      <c r="E832" t="e">
        <f>VLOOKUP(A833,[1]timesData!$B:$P,4,FALSE)</f>
        <v>#N/A</v>
      </c>
      <c r="F832" t="e">
        <f>VLOOKUP(A833,[1]timesData!$B:$P,5,FALSE)</f>
        <v>#N/A</v>
      </c>
      <c r="G832" t="e">
        <f>VLOOKUP(A833,[1]timesData!$B:$P,6,FALSE)</f>
        <v>#N/A</v>
      </c>
      <c r="H832" t="e">
        <f>VLOOKUP(A833,[1]timesData!$B:$P,7,FALSE)</f>
        <v>#N/A</v>
      </c>
      <c r="I832" t="e">
        <f>VLOOKUP(A833,[1]timesData!$B:$P,8,FALSE)</f>
        <v>#N/A</v>
      </c>
      <c r="J832" t="e">
        <f>VLOOKUP(A833,[1]timesData!$B:$P,9,FALSE)</f>
        <v>#N/A</v>
      </c>
      <c r="K832" t="e">
        <f>VLOOKUP(A833,[1]timesData!$B:$P,10,FALSE)</f>
        <v>#N/A</v>
      </c>
      <c r="L832" t="e">
        <f>VLOOKUP(A833,[1]timesData!$B:$P,11,FALSE)</f>
        <v>#N/A</v>
      </c>
      <c r="M832" t="e">
        <f>VLOOKUP(A833,[1]timesData!$B:$P,12,FALSE)</f>
        <v>#N/A</v>
      </c>
      <c r="N832" t="e">
        <f>VLOOKUP(A833,[1]timesData!$B:$P,13,FALSE)</f>
        <v>#N/A</v>
      </c>
      <c r="O832">
        <f>VLOOKUP(A832,[2]cwurData!$B:$P,14,FALSE)</f>
        <v>49</v>
      </c>
      <c r="P832">
        <f>VLOOKUP(A832,[2]cwurData!$B:$N, 3, FALSE)</f>
        <v>36</v>
      </c>
      <c r="Q832">
        <f>VLOOKUP(A832,[2]cwurData!$B:$N, 4, FALSE)</f>
        <v>101</v>
      </c>
      <c r="R832">
        <f>VLOOKUP(A832,[2]cwurData!$B:$N, 5, FALSE)</f>
        <v>101</v>
      </c>
      <c r="S832">
        <f>VLOOKUP(A832,[2]cwurData!$B:$N, 6, FALSE)</f>
        <v>85</v>
      </c>
      <c r="T832">
        <f>VLOOKUP(A832,[2]cwurData!$B:$N, 7, FALSE)</f>
        <v>18</v>
      </c>
      <c r="U832">
        <f>VLOOKUP(A832,[2]cwurData!$B:$N, 8, FALSE)</f>
        <v>31</v>
      </c>
      <c r="V832">
        <f>VLOOKUP(A832,[2]cwurData!$B:$N, 9, FALSE)</f>
        <v>17</v>
      </c>
      <c r="W832">
        <f>VLOOKUP(A832,[2]cwurData!$B:$N, 10, FALSE)</f>
        <v>0</v>
      </c>
      <c r="X832">
        <f>VLOOKUP(A832,[2]cwurData!$B:$N, 11, FALSE)</f>
        <v>84</v>
      </c>
      <c r="Y832">
        <f>VLOOKUP(A832,[2]cwurData!$B:$N, 12, FALSE)</f>
        <v>50.3</v>
      </c>
      <c r="Z832">
        <f>VLOOKUP(A832,[2]cwurData!$B:$N, 13, FALSE)</f>
        <v>2012</v>
      </c>
    </row>
    <row r="833" spans="1:26" x14ac:dyDescent="0.3">
      <c r="A833" t="s">
        <v>833</v>
      </c>
      <c r="B833" t="str">
        <f>IFERROR(VLOOKUP(A833,[1]timesData!$B:$P,2,FALSE),VLOOKUP(A833,[2]cwurData!$B:$P,2,FALSE))</f>
        <v>Israel</v>
      </c>
      <c r="C833" t="e">
        <f>VLOOKUP(A833,[1]timesData!$B:$P,3,FALSE)</f>
        <v>#N/A</v>
      </c>
      <c r="D833" t="e">
        <f>VLOOKUP(A834,[1]timesData!$B:$P,3,FALSE)</f>
        <v>#N/A</v>
      </c>
      <c r="E833" t="e">
        <f>VLOOKUP(A834,[1]timesData!$B:$P,4,FALSE)</f>
        <v>#N/A</v>
      </c>
      <c r="F833" t="e">
        <f>VLOOKUP(A834,[1]timesData!$B:$P,5,FALSE)</f>
        <v>#N/A</v>
      </c>
      <c r="G833" t="e">
        <f>VLOOKUP(A834,[1]timesData!$B:$P,6,FALSE)</f>
        <v>#N/A</v>
      </c>
      <c r="H833" t="e">
        <f>VLOOKUP(A834,[1]timesData!$B:$P,7,FALSE)</f>
        <v>#N/A</v>
      </c>
      <c r="I833" t="e">
        <f>VLOOKUP(A834,[1]timesData!$B:$P,8,FALSE)</f>
        <v>#N/A</v>
      </c>
      <c r="J833" t="e">
        <f>VLOOKUP(A834,[1]timesData!$B:$P,9,FALSE)</f>
        <v>#N/A</v>
      </c>
      <c r="K833" t="e">
        <f>VLOOKUP(A834,[1]timesData!$B:$P,10,FALSE)</f>
        <v>#N/A</v>
      </c>
      <c r="L833" t="e">
        <f>VLOOKUP(A834,[1]timesData!$B:$P,11,FALSE)</f>
        <v>#N/A</v>
      </c>
      <c r="M833" t="e">
        <f>VLOOKUP(A834,[1]timesData!$B:$P,12,FALSE)</f>
        <v>#N/A</v>
      </c>
      <c r="N833" t="e">
        <f>VLOOKUP(A834,[1]timesData!$B:$P,13,FALSE)</f>
        <v>#N/A</v>
      </c>
      <c r="O833">
        <f>VLOOKUP(A833,[2]cwurData!$B:$P,14,FALSE)</f>
        <v>51</v>
      </c>
      <c r="P833">
        <f>VLOOKUP(A833,[2]cwurData!$B:$N, 3, FALSE)</f>
        <v>3</v>
      </c>
      <c r="Q833">
        <f>VLOOKUP(A833,[2]cwurData!$B:$N, 4, FALSE)</f>
        <v>45</v>
      </c>
      <c r="R833">
        <f>VLOOKUP(A833,[2]cwurData!$B:$N, 5, FALSE)</f>
        <v>89</v>
      </c>
      <c r="S833">
        <f>VLOOKUP(A833,[2]cwurData!$B:$N, 6, FALSE)</f>
        <v>36</v>
      </c>
      <c r="T833">
        <f>VLOOKUP(A833,[2]cwurData!$B:$N, 7, FALSE)</f>
        <v>101</v>
      </c>
      <c r="U833">
        <f>VLOOKUP(A833,[2]cwurData!$B:$N, 8, FALSE)</f>
        <v>101</v>
      </c>
      <c r="V833">
        <f>VLOOKUP(A833,[2]cwurData!$B:$N, 9, FALSE)</f>
        <v>101</v>
      </c>
      <c r="W833">
        <f>VLOOKUP(A833,[2]cwurData!$B:$N, 10, FALSE)</f>
        <v>0</v>
      </c>
      <c r="X833">
        <f>VLOOKUP(A833,[2]cwurData!$B:$N, 11, FALSE)</f>
        <v>51</v>
      </c>
      <c r="Y833">
        <f>VLOOKUP(A833,[2]cwurData!$B:$N, 12, FALSE)</f>
        <v>50.01</v>
      </c>
      <c r="Z833">
        <f>VLOOKUP(A833,[2]cwurData!$B:$N, 13, FALSE)</f>
        <v>2012</v>
      </c>
    </row>
    <row r="834" spans="1:26" x14ac:dyDescent="0.3">
      <c r="A834" t="s">
        <v>834</v>
      </c>
      <c r="B834" t="str">
        <f>IFERROR(VLOOKUP(A834,[1]timesData!$B:$P,2,FALSE),VLOOKUP(A834,[2]cwurData!$B:$P,2,FALSE))</f>
        <v>USA</v>
      </c>
      <c r="C834" t="e">
        <f>VLOOKUP(A834,[1]timesData!$B:$P,3,FALSE)</f>
        <v>#N/A</v>
      </c>
      <c r="D834" t="e">
        <f>VLOOKUP(A835,[1]timesData!$B:$P,3,FALSE)</f>
        <v>#N/A</v>
      </c>
      <c r="E834" t="e">
        <f>VLOOKUP(A835,[1]timesData!$B:$P,4,FALSE)</f>
        <v>#N/A</v>
      </c>
      <c r="F834" t="e">
        <f>VLOOKUP(A835,[1]timesData!$B:$P,5,FALSE)</f>
        <v>#N/A</v>
      </c>
      <c r="G834" t="e">
        <f>VLOOKUP(A835,[1]timesData!$B:$P,6,FALSE)</f>
        <v>#N/A</v>
      </c>
      <c r="H834" t="e">
        <f>VLOOKUP(A835,[1]timesData!$B:$P,7,FALSE)</f>
        <v>#N/A</v>
      </c>
      <c r="I834" t="e">
        <f>VLOOKUP(A835,[1]timesData!$B:$P,8,FALSE)</f>
        <v>#N/A</v>
      </c>
      <c r="J834" t="e">
        <f>VLOOKUP(A835,[1]timesData!$B:$P,9,FALSE)</f>
        <v>#N/A</v>
      </c>
      <c r="K834" t="e">
        <f>VLOOKUP(A835,[1]timesData!$B:$P,10,FALSE)</f>
        <v>#N/A</v>
      </c>
      <c r="L834" t="e">
        <f>VLOOKUP(A835,[1]timesData!$B:$P,11,FALSE)</f>
        <v>#N/A</v>
      </c>
      <c r="M834" t="e">
        <f>VLOOKUP(A835,[1]timesData!$B:$P,12,FALSE)</f>
        <v>#N/A</v>
      </c>
      <c r="N834" t="e">
        <f>VLOOKUP(A835,[1]timesData!$B:$P,13,FALSE)</f>
        <v>#N/A</v>
      </c>
      <c r="O834">
        <f>VLOOKUP(A834,[2]cwurData!$B:$P,14,FALSE)</f>
        <v>52</v>
      </c>
      <c r="P834">
        <f>VLOOKUP(A834,[2]cwurData!$B:$N, 3, FALSE)</f>
        <v>38</v>
      </c>
      <c r="Q834">
        <f>VLOOKUP(A834,[2]cwurData!$B:$N, 4, FALSE)</f>
        <v>101</v>
      </c>
      <c r="R834">
        <f>VLOOKUP(A834,[2]cwurData!$B:$N, 5, FALSE)</f>
        <v>101</v>
      </c>
      <c r="S834">
        <f>VLOOKUP(A834,[2]cwurData!$B:$N, 6, FALSE)</f>
        <v>83</v>
      </c>
      <c r="T834">
        <f>VLOOKUP(A834,[2]cwurData!$B:$N, 7, FALSE)</f>
        <v>30</v>
      </c>
      <c r="U834">
        <f>VLOOKUP(A834,[2]cwurData!$B:$N, 8, FALSE)</f>
        <v>50</v>
      </c>
      <c r="V834">
        <f>VLOOKUP(A834,[2]cwurData!$B:$N, 9, FALSE)</f>
        <v>35</v>
      </c>
      <c r="W834">
        <f>VLOOKUP(A834,[2]cwurData!$B:$N, 10, FALSE)</f>
        <v>0</v>
      </c>
      <c r="X834">
        <f>VLOOKUP(A834,[2]cwurData!$B:$N, 11, FALSE)</f>
        <v>54</v>
      </c>
      <c r="Y834">
        <f>VLOOKUP(A834,[2]cwurData!$B:$N, 12, FALSE)</f>
        <v>49.54</v>
      </c>
      <c r="Z834">
        <f>VLOOKUP(A834,[2]cwurData!$B:$N, 13, FALSE)</f>
        <v>2012</v>
      </c>
    </row>
    <row r="835" spans="1:26" x14ac:dyDescent="0.3">
      <c r="A835" t="s">
        <v>835</v>
      </c>
      <c r="B835" t="str">
        <f>IFERROR(VLOOKUP(A835,[1]timesData!$B:$P,2,FALSE),VLOOKUP(A835,[2]cwurData!$B:$P,2,FALSE))</f>
        <v>France</v>
      </c>
      <c r="C835" t="e">
        <f>VLOOKUP(A835,[1]timesData!$B:$P,3,FALSE)</f>
        <v>#N/A</v>
      </c>
      <c r="D835" t="e">
        <f>VLOOKUP(A836,[1]timesData!$B:$P,3,FALSE)</f>
        <v>#N/A</v>
      </c>
      <c r="E835" t="e">
        <f>VLOOKUP(A836,[1]timesData!$B:$P,4,FALSE)</f>
        <v>#N/A</v>
      </c>
      <c r="F835" t="e">
        <f>VLOOKUP(A836,[1]timesData!$B:$P,5,FALSE)</f>
        <v>#N/A</v>
      </c>
      <c r="G835" t="e">
        <f>VLOOKUP(A836,[1]timesData!$B:$P,6,FALSE)</f>
        <v>#N/A</v>
      </c>
      <c r="H835" t="e">
        <f>VLOOKUP(A836,[1]timesData!$B:$P,7,FALSE)</f>
        <v>#N/A</v>
      </c>
      <c r="I835" t="e">
        <f>VLOOKUP(A836,[1]timesData!$B:$P,8,FALSE)</f>
        <v>#N/A</v>
      </c>
      <c r="J835" t="e">
        <f>VLOOKUP(A836,[1]timesData!$B:$P,9,FALSE)</f>
        <v>#N/A</v>
      </c>
      <c r="K835" t="e">
        <f>VLOOKUP(A836,[1]timesData!$B:$P,10,FALSE)</f>
        <v>#N/A</v>
      </c>
      <c r="L835" t="e">
        <f>VLOOKUP(A836,[1]timesData!$B:$P,11,FALSE)</f>
        <v>#N/A</v>
      </c>
      <c r="M835" t="e">
        <f>VLOOKUP(A836,[1]timesData!$B:$P,12,FALSE)</f>
        <v>#N/A</v>
      </c>
      <c r="N835" t="e">
        <f>VLOOKUP(A836,[1]timesData!$B:$P,13,FALSE)</f>
        <v>#N/A</v>
      </c>
      <c r="O835">
        <f>VLOOKUP(A835,[2]cwurData!$B:$P,14,FALSE)</f>
        <v>54</v>
      </c>
      <c r="P835">
        <f>VLOOKUP(A835,[2]cwurData!$B:$N, 3, FALSE)</f>
        <v>2</v>
      </c>
      <c r="Q835">
        <f>VLOOKUP(A835,[2]cwurData!$B:$N, 4, FALSE)</f>
        <v>3</v>
      </c>
      <c r="R835">
        <f>VLOOKUP(A835,[2]cwurData!$B:$N, 5, FALSE)</f>
        <v>61</v>
      </c>
      <c r="S835">
        <f>VLOOKUP(A835,[2]cwurData!$B:$N, 6, FALSE)</f>
        <v>77</v>
      </c>
      <c r="T835">
        <f>VLOOKUP(A835,[2]cwurData!$B:$N, 7, FALSE)</f>
        <v>101</v>
      </c>
      <c r="U835">
        <f>VLOOKUP(A835,[2]cwurData!$B:$N, 8, FALSE)</f>
        <v>101</v>
      </c>
      <c r="V835">
        <f>VLOOKUP(A835,[2]cwurData!$B:$N, 9, FALSE)</f>
        <v>101</v>
      </c>
      <c r="W835">
        <f>VLOOKUP(A835,[2]cwurData!$B:$N, 10, FALSE)</f>
        <v>0</v>
      </c>
      <c r="X835">
        <f>VLOOKUP(A835,[2]cwurData!$B:$N, 11, FALSE)</f>
        <v>101</v>
      </c>
      <c r="Y835">
        <f>VLOOKUP(A835,[2]cwurData!$B:$N, 12, FALSE)</f>
        <v>49.1</v>
      </c>
      <c r="Z835">
        <f>VLOOKUP(A835,[2]cwurData!$B:$N, 13, FALSE)</f>
        <v>2012</v>
      </c>
    </row>
    <row r="836" spans="1:26" x14ac:dyDescent="0.3">
      <c r="A836" t="s">
        <v>836</v>
      </c>
      <c r="B836" t="str">
        <f>IFERROR(VLOOKUP(A836,[1]timesData!$B:$P,2,FALSE),VLOOKUP(A836,[2]cwurData!$B:$P,2,FALSE))</f>
        <v>France</v>
      </c>
      <c r="C836" t="e">
        <f>VLOOKUP(A836,[1]timesData!$B:$P,3,FALSE)</f>
        <v>#N/A</v>
      </c>
      <c r="D836" t="e">
        <f>VLOOKUP(A837,[1]timesData!$B:$P,3,FALSE)</f>
        <v>#N/A</v>
      </c>
      <c r="E836" t="e">
        <f>VLOOKUP(A837,[1]timesData!$B:$P,4,FALSE)</f>
        <v>#N/A</v>
      </c>
      <c r="F836" t="e">
        <f>VLOOKUP(A837,[1]timesData!$B:$P,5,FALSE)</f>
        <v>#N/A</v>
      </c>
      <c r="G836" t="e">
        <f>VLOOKUP(A837,[1]timesData!$B:$P,6,FALSE)</f>
        <v>#N/A</v>
      </c>
      <c r="H836" t="e">
        <f>VLOOKUP(A837,[1]timesData!$B:$P,7,FALSE)</f>
        <v>#N/A</v>
      </c>
      <c r="I836" t="e">
        <f>VLOOKUP(A837,[1]timesData!$B:$P,8,FALSE)</f>
        <v>#N/A</v>
      </c>
      <c r="J836" t="e">
        <f>VLOOKUP(A837,[1]timesData!$B:$P,9,FALSE)</f>
        <v>#N/A</v>
      </c>
      <c r="K836" t="e">
        <f>VLOOKUP(A837,[1]timesData!$B:$P,10,FALSE)</f>
        <v>#N/A</v>
      </c>
      <c r="L836" t="e">
        <f>VLOOKUP(A837,[1]timesData!$B:$P,11,FALSE)</f>
        <v>#N/A</v>
      </c>
      <c r="M836" t="e">
        <f>VLOOKUP(A837,[1]timesData!$B:$P,12,FALSE)</f>
        <v>#N/A</v>
      </c>
      <c r="N836" t="e">
        <f>VLOOKUP(A837,[1]timesData!$B:$P,13,FALSE)</f>
        <v>#N/A</v>
      </c>
      <c r="O836">
        <f>VLOOKUP(A836,[2]cwurData!$B:$P,14,FALSE)</f>
        <v>63</v>
      </c>
      <c r="P836">
        <f>VLOOKUP(A836,[2]cwurData!$B:$N, 3, FALSE)</f>
        <v>4</v>
      </c>
      <c r="Q836">
        <f>VLOOKUP(A836,[2]cwurData!$B:$N, 4, FALSE)</f>
        <v>54</v>
      </c>
      <c r="R836">
        <f>VLOOKUP(A836,[2]cwurData!$B:$N, 5, FALSE)</f>
        <v>101</v>
      </c>
      <c r="S836">
        <f>VLOOKUP(A836,[2]cwurData!$B:$N, 6, FALSE)</f>
        <v>84</v>
      </c>
      <c r="T836">
        <f>VLOOKUP(A836,[2]cwurData!$B:$N, 7, FALSE)</f>
        <v>36</v>
      </c>
      <c r="U836">
        <f>VLOOKUP(A836,[2]cwurData!$B:$N, 8, FALSE)</f>
        <v>53</v>
      </c>
      <c r="V836">
        <f>VLOOKUP(A836,[2]cwurData!$B:$N, 9, FALSE)</f>
        <v>78</v>
      </c>
      <c r="W836">
        <f>VLOOKUP(A836,[2]cwurData!$B:$N, 10, FALSE)</f>
        <v>0</v>
      </c>
      <c r="X836">
        <f>VLOOKUP(A836,[2]cwurData!$B:$N, 11, FALSE)</f>
        <v>101</v>
      </c>
      <c r="Y836">
        <f>VLOOKUP(A836,[2]cwurData!$B:$N, 12, FALSE)</f>
        <v>48.26</v>
      </c>
      <c r="Z836">
        <f>VLOOKUP(A836,[2]cwurData!$B:$N, 13, FALSE)</f>
        <v>2012</v>
      </c>
    </row>
    <row r="837" spans="1:26" x14ac:dyDescent="0.3">
      <c r="A837" t="s">
        <v>837</v>
      </c>
      <c r="B837" t="str">
        <f>IFERROR(VLOOKUP(A837,[1]timesData!$B:$P,2,FALSE),VLOOKUP(A837,[2]cwurData!$B:$P,2,FALSE))</f>
        <v>USA</v>
      </c>
      <c r="C837" t="e">
        <f>VLOOKUP(A837,[1]timesData!$B:$P,3,FALSE)</f>
        <v>#N/A</v>
      </c>
      <c r="D837" t="e">
        <f>VLOOKUP(A838,[1]timesData!$B:$P,3,FALSE)</f>
        <v>#N/A</v>
      </c>
      <c r="E837" t="e">
        <f>VLOOKUP(A838,[1]timesData!$B:$P,4,FALSE)</f>
        <v>#N/A</v>
      </c>
      <c r="F837" t="e">
        <f>VLOOKUP(A838,[1]timesData!$B:$P,5,FALSE)</f>
        <v>#N/A</v>
      </c>
      <c r="G837" t="e">
        <f>VLOOKUP(A838,[1]timesData!$B:$P,6,FALSE)</f>
        <v>#N/A</v>
      </c>
      <c r="H837" t="e">
        <f>VLOOKUP(A838,[1]timesData!$B:$P,7,FALSE)</f>
        <v>#N/A</v>
      </c>
      <c r="I837" t="e">
        <f>VLOOKUP(A838,[1]timesData!$B:$P,8,FALSE)</f>
        <v>#N/A</v>
      </c>
      <c r="J837" t="e">
        <f>VLOOKUP(A838,[1]timesData!$B:$P,9,FALSE)</f>
        <v>#N/A</v>
      </c>
      <c r="K837" t="e">
        <f>VLOOKUP(A838,[1]timesData!$B:$P,10,FALSE)</f>
        <v>#N/A</v>
      </c>
      <c r="L837" t="e">
        <f>VLOOKUP(A838,[1]timesData!$B:$P,11,FALSE)</f>
        <v>#N/A</v>
      </c>
      <c r="M837" t="e">
        <f>VLOOKUP(A838,[1]timesData!$B:$P,12,FALSE)</f>
        <v>#N/A</v>
      </c>
      <c r="N837" t="e">
        <f>VLOOKUP(A838,[1]timesData!$B:$P,13,FALSE)</f>
        <v>#N/A</v>
      </c>
      <c r="O837">
        <f>VLOOKUP(A837,[2]cwurData!$B:$P,14,FALSE)</f>
        <v>64</v>
      </c>
      <c r="P837">
        <f>VLOOKUP(A837,[2]cwurData!$B:$N, 3, FALSE)</f>
        <v>45</v>
      </c>
      <c r="Q837">
        <f>VLOOKUP(A837,[2]cwurData!$B:$N, 4, FALSE)</f>
        <v>101</v>
      </c>
      <c r="R837">
        <f>VLOOKUP(A837,[2]cwurData!$B:$N, 5, FALSE)</f>
        <v>94</v>
      </c>
      <c r="S837">
        <f>VLOOKUP(A837,[2]cwurData!$B:$N, 6, FALSE)</f>
        <v>101</v>
      </c>
      <c r="T837">
        <f>VLOOKUP(A837,[2]cwurData!$B:$N, 7, FALSE)</f>
        <v>38</v>
      </c>
      <c r="U837">
        <f>VLOOKUP(A837,[2]cwurData!$B:$N, 8, FALSE)</f>
        <v>60</v>
      </c>
      <c r="V837">
        <f>VLOOKUP(A837,[2]cwurData!$B:$N, 9, FALSE)</f>
        <v>27</v>
      </c>
      <c r="W837">
        <f>VLOOKUP(A837,[2]cwurData!$B:$N, 10, FALSE)</f>
        <v>0</v>
      </c>
      <c r="X837">
        <f>VLOOKUP(A837,[2]cwurData!$B:$N, 11, FALSE)</f>
        <v>99</v>
      </c>
      <c r="Y837">
        <f>VLOOKUP(A837,[2]cwurData!$B:$N, 12, FALSE)</f>
        <v>48.15</v>
      </c>
      <c r="Z837">
        <f>VLOOKUP(A837,[2]cwurData!$B:$N, 13, FALSE)</f>
        <v>2012</v>
      </c>
    </row>
    <row r="838" spans="1:26" x14ac:dyDescent="0.3">
      <c r="A838" t="s">
        <v>838</v>
      </c>
      <c r="B838" t="str">
        <f>IFERROR(VLOOKUP(A838,[1]timesData!$B:$P,2,FALSE),VLOOKUP(A838,[2]cwurData!$B:$P,2,FALSE))</f>
        <v>Switzerland</v>
      </c>
      <c r="C838" t="e">
        <f>VLOOKUP(A838,[1]timesData!$B:$P,3,FALSE)</f>
        <v>#N/A</v>
      </c>
      <c r="D838" t="e">
        <f>VLOOKUP(A839,[1]timesData!$B:$P,3,FALSE)</f>
        <v>#N/A</v>
      </c>
      <c r="E838" t="e">
        <f>VLOOKUP(A839,[1]timesData!$B:$P,4,FALSE)</f>
        <v>#N/A</v>
      </c>
      <c r="F838" t="e">
        <f>VLOOKUP(A839,[1]timesData!$B:$P,5,FALSE)</f>
        <v>#N/A</v>
      </c>
      <c r="G838" t="e">
        <f>VLOOKUP(A839,[1]timesData!$B:$P,6,FALSE)</f>
        <v>#N/A</v>
      </c>
      <c r="H838" t="e">
        <f>VLOOKUP(A839,[1]timesData!$B:$P,7,FALSE)</f>
        <v>#N/A</v>
      </c>
      <c r="I838" t="e">
        <f>VLOOKUP(A839,[1]timesData!$B:$P,8,FALSE)</f>
        <v>#N/A</v>
      </c>
      <c r="J838" t="e">
        <f>VLOOKUP(A839,[1]timesData!$B:$P,9,FALSE)</f>
        <v>#N/A</v>
      </c>
      <c r="K838" t="e">
        <f>VLOOKUP(A839,[1]timesData!$B:$P,10,FALSE)</f>
        <v>#N/A</v>
      </c>
      <c r="L838" t="e">
        <f>VLOOKUP(A839,[1]timesData!$B:$P,11,FALSE)</f>
        <v>#N/A</v>
      </c>
      <c r="M838" t="e">
        <f>VLOOKUP(A839,[1]timesData!$B:$P,12,FALSE)</f>
        <v>#N/A</v>
      </c>
      <c r="N838" t="e">
        <f>VLOOKUP(A839,[1]timesData!$B:$P,13,FALSE)</f>
        <v>#N/A</v>
      </c>
      <c r="O838">
        <f>VLOOKUP(A838,[2]cwurData!$B:$P,14,FALSE)</f>
        <v>69</v>
      </c>
      <c r="P838">
        <f>VLOOKUP(A838,[2]cwurData!$B:$N, 3, FALSE)</f>
        <v>3</v>
      </c>
      <c r="Q838">
        <f>VLOOKUP(A838,[2]cwurData!$B:$N, 4, FALSE)</f>
        <v>101</v>
      </c>
      <c r="R838">
        <f>VLOOKUP(A838,[2]cwurData!$B:$N, 5, FALSE)</f>
        <v>30</v>
      </c>
      <c r="S838">
        <f>VLOOKUP(A838,[2]cwurData!$B:$N, 6, FALSE)</f>
        <v>82</v>
      </c>
      <c r="T838">
        <f>VLOOKUP(A838,[2]cwurData!$B:$N, 7, FALSE)</f>
        <v>101</v>
      </c>
      <c r="U838">
        <f>VLOOKUP(A838,[2]cwurData!$B:$N, 8, FALSE)</f>
        <v>101</v>
      </c>
      <c r="V838">
        <f>VLOOKUP(A838,[2]cwurData!$B:$N, 9, FALSE)</f>
        <v>101</v>
      </c>
      <c r="W838">
        <f>VLOOKUP(A838,[2]cwurData!$B:$N, 10, FALSE)</f>
        <v>0</v>
      </c>
      <c r="X838">
        <f>VLOOKUP(A838,[2]cwurData!$B:$N, 11, FALSE)</f>
        <v>74</v>
      </c>
      <c r="Y838">
        <f>VLOOKUP(A838,[2]cwurData!$B:$N, 12, FALSE)</f>
        <v>47.68</v>
      </c>
      <c r="Z838">
        <f>VLOOKUP(A838,[2]cwurData!$B:$N, 13, FALSE)</f>
        <v>2012</v>
      </c>
    </row>
    <row r="839" spans="1:26" x14ac:dyDescent="0.3">
      <c r="A839" t="s">
        <v>839</v>
      </c>
      <c r="B839" t="str">
        <f>IFERROR(VLOOKUP(A839,[1]timesData!$B:$P,2,FALSE),VLOOKUP(A839,[2]cwurData!$B:$P,2,FALSE))</f>
        <v>USA</v>
      </c>
      <c r="C839" t="e">
        <f>VLOOKUP(A839,[1]timesData!$B:$P,3,FALSE)</f>
        <v>#N/A</v>
      </c>
      <c r="D839" t="e">
        <f>VLOOKUP(A840,[1]timesData!$B:$P,3,FALSE)</f>
        <v>#N/A</v>
      </c>
      <c r="E839" t="e">
        <f>VLOOKUP(A840,[1]timesData!$B:$P,4,FALSE)</f>
        <v>#N/A</v>
      </c>
      <c r="F839" t="e">
        <f>VLOOKUP(A840,[1]timesData!$B:$P,5,FALSE)</f>
        <v>#N/A</v>
      </c>
      <c r="G839" t="e">
        <f>VLOOKUP(A840,[1]timesData!$B:$P,6,FALSE)</f>
        <v>#N/A</v>
      </c>
      <c r="H839" t="e">
        <f>VLOOKUP(A840,[1]timesData!$B:$P,7,FALSE)</f>
        <v>#N/A</v>
      </c>
      <c r="I839" t="e">
        <f>VLOOKUP(A840,[1]timesData!$B:$P,8,FALSE)</f>
        <v>#N/A</v>
      </c>
      <c r="J839" t="e">
        <f>VLOOKUP(A840,[1]timesData!$B:$P,9,FALSE)</f>
        <v>#N/A</v>
      </c>
      <c r="K839" t="e">
        <f>VLOOKUP(A840,[1]timesData!$B:$P,10,FALSE)</f>
        <v>#N/A</v>
      </c>
      <c r="L839" t="e">
        <f>VLOOKUP(A840,[1]timesData!$B:$P,11,FALSE)</f>
        <v>#N/A</v>
      </c>
      <c r="M839" t="e">
        <f>VLOOKUP(A840,[1]timesData!$B:$P,12,FALSE)</f>
        <v>#N/A</v>
      </c>
      <c r="N839" t="e">
        <f>VLOOKUP(A840,[1]timesData!$B:$P,13,FALSE)</f>
        <v>#N/A</v>
      </c>
      <c r="O839">
        <f>VLOOKUP(A839,[2]cwurData!$B:$P,14,FALSE)</f>
        <v>71</v>
      </c>
      <c r="P839">
        <f>VLOOKUP(A839,[2]cwurData!$B:$N, 3, FALSE)</f>
        <v>48</v>
      </c>
      <c r="Q839">
        <f>VLOOKUP(A839,[2]cwurData!$B:$N, 4, FALSE)</f>
        <v>81</v>
      </c>
      <c r="R839">
        <f>VLOOKUP(A839,[2]cwurData!$B:$N, 5, FALSE)</f>
        <v>101</v>
      </c>
      <c r="S839">
        <f>VLOOKUP(A839,[2]cwurData!$B:$N, 6, FALSE)</f>
        <v>101</v>
      </c>
      <c r="T839">
        <f>VLOOKUP(A839,[2]cwurData!$B:$N, 7, FALSE)</f>
        <v>21</v>
      </c>
      <c r="U839">
        <f>VLOOKUP(A839,[2]cwurData!$B:$N, 8, FALSE)</f>
        <v>32</v>
      </c>
      <c r="V839">
        <f>VLOOKUP(A839,[2]cwurData!$B:$N, 9, FALSE)</f>
        <v>24</v>
      </c>
      <c r="W839">
        <f>VLOOKUP(A839,[2]cwurData!$B:$N, 10, FALSE)</f>
        <v>0</v>
      </c>
      <c r="X839">
        <f>VLOOKUP(A839,[2]cwurData!$B:$N, 11, FALSE)</f>
        <v>61</v>
      </c>
      <c r="Y839">
        <f>VLOOKUP(A839,[2]cwurData!$B:$N, 12, FALSE)</f>
        <v>47.59</v>
      </c>
      <c r="Z839">
        <f>VLOOKUP(A839,[2]cwurData!$B:$N, 13, FALSE)</f>
        <v>2012</v>
      </c>
    </row>
    <row r="840" spans="1:26" x14ac:dyDescent="0.3">
      <c r="A840" t="s">
        <v>840</v>
      </c>
      <c r="B840" t="str">
        <f>IFERROR(VLOOKUP(A840,[1]timesData!$B:$P,2,FALSE),VLOOKUP(A840,[2]cwurData!$B:$P,2,FALSE))</f>
        <v>USA</v>
      </c>
      <c r="C840" t="e">
        <f>VLOOKUP(A840,[1]timesData!$B:$P,3,FALSE)</f>
        <v>#N/A</v>
      </c>
      <c r="D840" t="e">
        <f>VLOOKUP(A841,[1]timesData!$B:$P,3,FALSE)</f>
        <v>#N/A</v>
      </c>
      <c r="E840" t="e">
        <f>VLOOKUP(A841,[1]timesData!$B:$P,4,FALSE)</f>
        <v>#N/A</v>
      </c>
      <c r="F840" t="e">
        <f>VLOOKUP(A841,[1]timesData!$B:$P,5,FALSE)</f>
        <v>#N/A</v>
      </c>
      <c r="G840" t="e">
        <f>VLOOKUP(A841,[1]timesData!$B:$P,6,FALSE)</f>
        <v>#N/A</v>
      </c>
      <c r="H840" t="e">
        <f>VLOOKUP(A841,[1]timesData!$B:$P,7,FALSE)</f>
        <v>#N/A</v>
      </c>
      <c r="I840" t="e">
        <f>VLOOKUP(A841,[1]timesData!$B:$P,8,FALSE)</f>
        <v>#N/A</v>
      </c>
      <c r="J840" t="e">
        <f>VLOOKUP(A841,[1]timesData!$B:$P,9,FALSE)</f>
        <v>#N/A</v>
      </c>
      <c r="K840" t="e">
        <f>VLOOKUP(A841,[1]timesData!$B:$P,10,FALSE)</f>
        <v>#N/A</v>
      </c>
      <c r="L840" t="e">
        <f>VLOOKUP(A841,[1]timesData!$B:$P,11,FALSE)</f>
        <v>#N/A</v>
      </c>
      <c r="M840" t="e">
        <f>VLOOKUP(A841,[1]timesData!$B:$P,12,FALSE)</f>
        <v>#N/A</v>
      </c>
      <c r="N840" t="e">
        <f>VLOOKUP(A841,[1]timesData!$B:$P,13,FALSE)</f>
        <v>#N/A</v>
      </c>
      <c r="O840">
        <f>VLOOKUP(A840,[2]cwurData!$B:$P,14,FALSE)</f>
        <v>72</v>
      </c>
      <c r="P840">
        <f>VLOOKUP(A840,[2]cwurData!$B:$N, 3, FALSE)</f>
        <v>49</v>
      </c>
      <c r="Q840">
        <f>VLOOKUP(A840,[2]cwurData!$B:$N, 4, FALSE)</f>
        <v>101</v>
      </c>
      <c r="R840">
        <f>VLOOKUP(A840,[2]cwurData!$B:$N, 5, FALSE)</f>
        <v>101</v>
      </c>
      <c r="S840">
        <f>VLOOKUP(A840,[2]cwurData!$B:$N, 6, FALSE)</f>
        <v>59</v>
      </c>
      <c r="T840">
        <f>VLOOKUP(A840,[2]cwurData!$B:$N, 7, FALSE)</f>
        <v>80</v>
      </c>
      <c r="U840">
        <f>VLOOKUP(A840,[2]cwurData!$B:$N, 8, FALSE)</f>
        <v>83</v>
      </c>
      <c r="V840">
        <f>VLOOKUP(A840,[2]cwurData!$B:$N, 9, FALSE)</f>
        <v>72</v>
      </c>
      <c r="W840">
        <f>VLOOKUP(A840,[2]cwurData!$B:$N, 10, FALSE)</f>
        <v>0</v>
      </c>
      <c r="X840">
        <f>VLOOKUP(A840,[2]cwurData!$B:$N, 11, FALSE)</f>
        <v>85</v>
      </c>
      <c r="Y840">
        <f>VLOOKUP(A840,[2]cwurData!$B:$N, 12, FALSE)</f>
        <v>47.5</v>
      </c>
      <c r="Z840">
        <f>VLOOKUP(A840,[2]cwurData!$B:$N, 13, FALSE)</f>
        <v>2012</v>
      </c>
    </row>
    <row r="841" spans="1:26" x14ac:dyDescent="0.3">
      <c r="A841" t="s">
        <v>841</v>
      </c>
      <c r="B841" t="str">
        <f>IFERROR(VLOOKUP(A841,[1]timesData!$B:$P,2,FALSE),VLOOKUP(A841,[2]cwurData!$B:$P,2,FALSE))</f>
        <v>USA</v>
      </c>
      <c r="C841" t="e">
        <f>VLOOKUP(A841,[1]timesData!$B:$P,3,FALSE)</f>
        <v>#N/A</v>
      </c>
      <c r="D841" t="e">
        <f>VLOOKUP(A842,[1]timesData!$B:$P,3,FALSE)</f>
        <v>#N/A</v>
      </c>
      <c r="E841" t="e">
        <f>VLOOKUP(A842,[1]timesData!$B:$P,4,FALSE)</f>
        <v>#N/A</v>
      </c>
      <c r="F841" t="e">
        <f>VLOOKUP(A842,[1]timesData!$B:$P,5,FALSE)</f>
        <v>#N/A</v>
      </c>
      <c r="G841" t="e">
        <f>VLOOKUP(A842,[1]timesData!$B:$P,6,FALSE)</f>
        <v>#N/A</v>
      </c>
      <c r="H841" t="e">
        <f>VLOOKUP(A842,[1]timesData!$B:$P,7,FALSE)</f>
        <v>#N/A</v>
      </c>
      <c r="I841" t="e">
        <f>VLOOKUP(A842,[1]timesData!$B:$P,8,FALSE)</f>
        <v>#N/A</v>
      </c>
      <c r="J841" t="e">
        <f>VLOOKUP(A842,[1]timesData!$B:$P,9,FALSE)</f>
        <v>#N/A</v>
      </c>
      <c r="K841" t="e">
        <f>VLOOKUP(A842,[1]timesData!$B:$P,10,FALSE)</f>
        <v>#N/A</v>
      </c>
      <c r="L841" t="e">
        <f>VLOOKUP(A842,[1]timesData!$B:$P,11,FALSE)</f>
        <v>#N/A</v>
      </c>
      <c r="M841" t="e">
        <f>VLOOKUP(A842,[1]timesData!$B:$P,12,FALSE)</f>
        <v>#N/A</v>
      </c>
      <c r="N841" t="e">
        <f>VLOOKUP(A842,[1]timesData!$B:$P,13,FALSE)</f>
        <v>#N/A</v>
      </c>
      <c r="O841">
        <f>VLOOKUP(A841,[2]cwurData!$B:$P,14,FALSE)</f>
        <v>73</v>
      </c>
      <c r="P841">
        <f>VLOOKUP(A841,[2]cwurData!$B:$N, 3, FALSE)</f>
        <v>50</v>
      </c>
      <c r="Q841">
        <f>VLOOKUP(A841,[2]cwurData!$B:$N, 4, FALSE)</f>
        <v>101</v>
      </c>
      <c r="R841">
        <f>VLOOKUP(A841,[2]cwurData!$B:$N, 5, FALSE)</f>
        <v>101</v>
      </c>
      <c r="S841">
        <f>VLOOKUP(A841,[2]cwurData!$B:$N, 6, FALSE)</f>
        <v>46</v>
      </c>
      <c r="T841">
        <f>VLOOKUP(A841,[2]cwurData!$B:$N, 7, FALSE)</f>
        <v>58</v>
      </c>
      <c r="U841">
        <f>VLOOKUP(A841,[2]cwurData!$B:$N, 8, FALSE)</f>
        <v>101</v>
      </c>
      <c r="V841">
        <f>VLOOKUP(A841,[2]cwurData!$B:$N, 9, FALSE)</f>
        <v>80</v>
      </c>
      <c r="W841">
        <f>VLOOKUP(A841,[2]cwurData!$B:$N, 10, FALSE)</f>
        <v>0</v>
      </c>
      <c r="X841">
        <f>VLOOKUP(A841,[2]cwurData!$B:$N, 11, FALSE)</f>
        <v>101</v>
      </c>
      <c r="Y841">
        <f>VLOOKUP(A841,[2]cwurData!$B:$N, 12, FALSE)</f>
        <v>47.31</v>
      </c>
      <c r="Z841">
        <f>VLOOKUP(A841,[2]cwurData!$B:$N, 13, FALSE)</f>
        <v>2012</v>
      </c>
    </row>
    <row r="842" spans="1:26" x14ac:dyDescent="0.3">
      <c r="A842" t="s">
        <v>847</v>
      </c>
      <c r="B842" t="str">
        <f>IFERROR(VLOOKUP(A842,[1]timesData!$B:$P,2,FALSE),VLOOKUP(A842,[2]cwurData!$B:$P,2,FALSE))</f>
        <v>United Kingdom</v>
      </c>
      <c r="C842" t="e">
        <f>VLOOKUP(A842,[1]timesData!$B:$P,3,FALSE)</f>
        <v>#N/A</v>
      </c>
      <c r="D842" t="e">
        <f>VLOOKUP(A843,[1]timesData!$B:$P,3,FALSE)</f>
        <v>#N/A</v>
      </c>
      <c r="E842" t="e">
        <f>VLOOKUP(A843,[1]timesData!$B:$P,4,FALSE)</f>
        <v>#N/A</v>
      </c>
      <c r="F842" t="e">
        <f>VLOOKUP(A843,[1]timesData!$B:$P,5,FALSE)</f>
        <v>#N/A</v>
      </c>
      <c r="G842" t="e">
        <f>VLOOKUP(A843,[1]timesData!$B:$P,6,FALSE)</f>
        <v>#N/A</v>
      </c>
      <c r="H842" t="e">
        <f>VLOOKUP(A843,[1]timesData!$B:$P,7,FALSE)</f>
        <v>#N/A</v>
      </c>
      <c r="I842" t="e">
        <f>VLOOKUP(A843,[1]timesData!$B:$P,8,FALSE)</f>
        <v>#N/A</v>
      </c>
      <c r="J842" t="e">
        <f>VLOOKUP(A843,[1]timesData!$B:$P,9,FALSE)</f>
        <v>#N/A</v>
      </c>
      <c r="K842" t="e">
        <f>VLOOKUP(A843,[1]timesData!$B:$P,10,FALSE)</f>
        <v>#N/A</v>
      </c>
      <c r="L842" t="e">
        <f>VLOOKUP(A843,[1]timesData!$B:$P,11,FALSE)</f>
        <v>#N/A</v>
      </c>
      <c r="M842" t="e">
        <f>VLOOKUP(A843,[1]timesData!$B:$P,12,FALSE)</f>
        <v>#N/A</v>
      </c>
      <c r="N842" t="e">
        <f>VLOOKUP(A843,[1]timesData!$B:$P,13,FALSE)</f>
        <v>#N/A</v>
      </c>
      <c r="O842">
        <f>VLOOKUP(A842,[2]cwurData!$B:$P,14,FALSE)</f>
        <v>75</v>
      </c>
      <c r="P842">
        <f>VLOOKUP(A842,[2]cwurData!$B:$N, 3, FALSE)</f>
        <v>7</v>
      </c>
      <c r="Q842">
        <f>VLOOKUP(A842,[2]cwurData!$B:$N, 4, FALSE)</f>
        <v>41</v>
      </c>
      <c r="R842">
        <f>VLOOKUP(A842,[2]cwurData!$B:$N, 5, FALSE)</f>
        <v>101</v>
      </c>
      <c r="S842">
        <f>VLOOKUP(A842,[2]cwurData!$B:$N, 6, FALSE)</f>
        <v>101</v>
      </c>
      <c r="T842">
        <f>VLOOKUP(A842,[2]cwurData!$B:$N, 7, FALSE)</f>
        <v>45</v>
      </c>
      <c r="U842">
        <f>VLOOKUP(A842,[2]cwurData!$B:$N, 8, FALSE)</f>
        <v>45</v>
      </c>
      <c r="V842">
        <f>VLOOKUP(A842,[2]cwurData!$B:$N, 9, FALSE)</f>
        <v>44</v>
      </c>
      <c r="W842">
        <f>VLOOKUP(A842,[2]cwurData!$B:$N, 10, FALSE)</f>
        <v>0</v>
      </c>
      <c r="X842">
        <f>VLOOKUP(A842,[2]cwurData!$B:$N, 11, FALSE)</f>
        <v>101</v>
      </c>
      <c r="Y842">
        <f>VLOOKUP(A842,[2]cwurData!$B:$N, 12, FALSE)</f>
        <v>46.53</v>
      </c>
      <c r="Z842">
        <f>VLOOKUP(A842,[2]cwurData!$B:$N, 13, FALSE)</f>
        <v>2013</v>
      </c>
    </row>
    <row r="843" spans="1:26" x14ac:dyDescent="0.3">
      <c r="A843" t="s">
        <v>842</v>
      </c>
      <c r="B843" t="str">
        <f>IFERROR(VLOOKUP(A843,[1]timesData!$B:$P,2,FALSE),VLOOKUP(A843,[2]cwurData!$B:$P,2,FALSE))</f>
        <v>Germany</v>
      </c>
      <c r="C843" t="e">
        <f>VLOOKUP(A843,[1]timesData!$B:$P,3,FALSE)</f>
        <v>#N/A</v>
      </c>
      <c r="D843" t="e">
        <f>VLOOKUP(A844,[1]timesData!$B:$P,3,FALSE)</f>
        <v>#N/A</v>
      </c>
      <c r="E843" t="e">
        <f>VLOOKUP(A844,[1]timesData!$B:$P,4,FALSE)</f>
        <v>#N/A</v>
      </c>
      <c r="F843" t="e">
        <f>VLOOKUP(A844,[1]timesData!$B:$P,5,FALSE)</f>
        <v>#N/A</v>
      </c>
      <c r="G843" t="e">
        <f>VLOOKUP(A844,[1]timesData!$B:$P,6,FALSE)</f>
        <v>#N/A</v>
      </c>
      <c r="H843" t="e">
        <f>VLOOKUP(A844,[1]timesData!$B:$P,7,FALSE)</f>
        <v>#N/A</v>
      </c>
      <c r="I843" t="e">
        <f>VLOOKUP(A844,[1]timesData!$B:$P,8,FALSE)</f>
        <v>#N/A</v>
      </c>
      <c r="J843" t="e">
        <f>VLOOKUP(A844,[1]timesData!$B:$P,9,FALSE)</f>
        <v>#N/A</v>
      </c>
      <c r="K843" t="e">
        <f>VLOOKUP(A844,[1]timesData!$B:$P,10,FALSE)</f>
        <v>#N/A</v>
      </c>
      <c r="L843" t="e">
        <f>VLOOKUP(A844,[1]timesData!$B:$P,11,FALSE)</f>
        <v>#N/A</v>
      </c>
      <c r="M843" t="e">
        <f>VLOOKUP(A844,[1]timesData!$B:$P,12,FALSE)</f>
        <v>#N/A</v>
      </c>
      <c r="N843" t="e">
        <f>VLOOKUP(A844,[1]timesData!$B:$P,13,FALSE)</f>
        <v>#N/A</v>
      </c>
      <c r="O843">
        <f>VLOOKUP(A843,[2]cwurData!$B:$P,14,FALSE)</f>
        <v>82</v>
      </c>
      <c r="P843">
        <f>VLOOKUP(A843,[2]cwurData!$B:$N, 3, FALSE)</f>
        <v>1</v>
      </c>
      <c r="Q843">
        <f>VLOOKUP(A843,[2]cwurData!$B:$N, 4, FALSE)</f>
        <v>87</v>
      </c>
      <c r="R843">
        <f>VLOOKUP(A843,[2]cwurData!$B:$N, 5, FALSE)</f>
        <v>101</v>
      </c>
      <c r="S843">
        <f>VLOOKUP(A843,[2]cwurData!$B:$N, 6, FALSE)</f>
        <v>52</v>
      </c>
      <c r="T843">
        <f>VLOOKUP(A843,[2]cwurData!$B:$N, 7, FALSE)</f>
        <v>86</v>
      </c>
      <c r="U843">
        <f>VLOOKUP(A843,[2]cwurData!$B:$N, 8, FALSE)</f>
        <v>58</v>
      </c>
      <c r="V843">
        <f>VLOOKUP(A843,[2]cwurData!$B:$N, 9, FALSE)</f>
        <v>100</v>
      </c>
      <c r="W843">
        <f>VLOOKUP(A843,[2]cwurData!$B:$N, 10, FALSE)</f>
        <v>0</v>
      </c>
      <c r="X843">
        <f>VLOOKUP(A843,[2]cwurData!$B:$N, 11, FALSE)</f>
        <v>101</v>
      </c>
      <c r="Y843">
        <f>VLOOKUP(A843,[2]cwurData!$B:$N, 12, FALSE)</f>
        <v>45.33</v>
      </c>
      <c r="Z843">
        <f>VLOOKUP(A843,[2]cwurData!$B:$N, 13, FALSE)</f>
        <v>2012</v>
      </c>
    </row>
    <row r="844" spans="1:26" x14ac:dyDescent="0.3">
      <c r="A844" t="s">
        <v>843</v>
      </c>
      <c r="B844" t="str">
        <f>IFERROR(VLOOKUP(A844,[1]timesData!$B:$P,2,FALSE),VLOOKUP(A844,[2]cwurData!$B:$P,2,FALSE))</f>
        <v>Germany</v>
      </c>
      <c r="C844" t="e">
        <f>VLOOKUP(A844,[1]timesData!$B:$P,3,FALSE)</f>
        <v>#N/A</v>
      </c>
      <c r="D844" t="e">
        <f>VLOOKUP(A845,[1]timesData!$B:$P,3,FALSE)</f>
        <v>#N/A</v>
      </c>
      <c r="E844" t="e">
        <f>VLOOKUP(A845,[1]timesData!$B:$P,4,FALSE)</f>
        <v>#N/A</v>
      </c>
      <c r="F844" t="e">
        <f>VLOOKUP(A845,[1]timesData!$B:$P,5,FALSE)</f>
        <v>#N/A</v>
      </c>
      <c r="G844" t="e">
        <f>VLOOKUP(A845,[1]timesData!$B:$P,6,FALSE)</f>
        <v>#N/A</v>
      </c>
      <c r="H844" t="e">
        <f>VLOOKUP(A845,[1]timesData!$B:$P,7,FALSE)</f>
        <v>#N/A</v>
      </c>
      <c r="I844" t="e">
        <f>VLOOKUP(A845,[1]timesData!$B:$P,8,FALSE)</f>
        <v>#N/A</v>
      </c>
      <c r="J844" t="e">
        <f>VLOOKUP(A845,[1]timesData!$B:$P,9,FALSE)</f>
        <v>#N/A</v>
      </c>
      <c r="K844" t="e">
        <f>VLOOKUP(A845,[1]timesData!$B:$P,10,FALSE)</f>
        <v>#N/A</v>
      </c>
      <c r="L844" t="e">
        <f>VLOOKUP(A845,[1]timesData!$B:$P,11,FALSE)</f>
        <v>#N/A</v>
      </c>
      <c r="M844" t="e">
        <f>VLOOKUP(A845,[1]timesData!$B:$P,12,FALSE)</f>
        <v>#N/A</v>
      </c>
      <c r="N844" t="e">
        <f>VLOOKUP(A845,[1]timesData!$B:$P,13,FALSE)</f>
        <v>#N/A</v>
      </c>
      <c r="O844">
        <f>VLOOKUP(A844,[2]cwurData!$B:$P,14,FALSE)</f>
        <v>83</v>
      </c>
      <c r="P844">
        <f>VLOOKUP(A844,[2]cwurData!$B:$N, 3, FALSE)</f>
        <v>2</v>
      </c>
      <c r="Q844">
        <f>VLOOKUP(A844,[2]cwurData!$B:$N, 4, FALSE)</f>
        <v>90</v>
      </c>
      <c r="R844">
        <f>VLOOKUP(A844,[2]cwurData!$B:$N, 5, FALSE)</f>
        <v>101</v>
      </c>
      <c r="S844">
        <f>VLOOKUP(A844,[2]cwurData!$B:$N, 6, FALSE)</f>
        <v>90</v>
      </c>
      <c r="T844">
        <f>VLOOKUP(A844,[2]cwurData!$B:$N, 7, FALSE)</f>
        <v>60</v>
      </c>
      <c r="U844">
        <f>VLOOKUP(A844,[2]cwurData!$B:$N, 8, FALSE)</f>
        <v>45</v>
      </c>
      <c r="V844">
        <f>VLOOKUP(A844,[2]cwurData!$B:$N, 9, FALSE)</f>
        <v>62</v>
      </c>
      <c r="W844">
        <f>VLOOKUP(A844,[2]cwurData!$B:$N, 10, FALSE)</f>
        <v>0</v>
      </c>
      <c r="X844">
        <f>VLOOKUP(A844,[2]cwurData!$B:$N, 11, FALSE)</f>
        <v>101</v>
      </c>
      <c r="Y844">
        <f>VLOOKUP(A844,[2]cwurData!$B:$N, 12, FALSE)</f>
        <v>45.21</v>
      </c>
      <c r="Z844">
        <f>VLOOKUP(A844,[2]cwurData!$B:$N, 13, FALSE)</f>
        <v>2012</v>
      </c>
    </row>
    <row r="845" spans="1:26" x14ac:dyDescent="0.3">
      <c r="A845" t="s">
        <v>848</v>
      </c>
      <c r="B845" t="str">
        <f>IFERROR(VLOOKUP(A845,[1]timesData!$B:$P,2,FALSE),VLOOKUP(A845,[2]cwurData!$B:$P,2,FALSE))</f>
        <v>USA</v>
      </c>
      <c r="C845" t="e">
        <f>VLOOKUP(A845,[1]timesData!$B:$P,3,FALSE)</f>
        <v>#N/A</v>
      </c>
      <c r="D845" t="e">
        <f>VLOOKUP(A846,[1]timesData!$B:$P,3,FALSE)</f>
        <v>#N/A</v>
      </c>
      <c r="E845" t="e">
        <f>VLOOKUP(A846,[1]timesData!$B:$P,4,FALSE)</f>
        <v>#N/A</v>
      </c>
      <c r="F845" t="e">
        <f>VLOOKUP(A846,[1]timesData!$B:$P,5,FALSE)</f>
        <v>#N/A</v>
      </c>
      <c r="G845" t="e">
        <f>VLOOKUP(A846,[1]timesData!$B:$P,6,FALSE)</f>
        <v>#N/A</v>
      </c>
      <c r="H845" t="e">
        <f>VLOOKUP(A846,[1]timesData!$B:$P,7,FALSE)</f>
        <v>#N/A</v>
      </c>
      <c r="I845" t="e">
        <f>VLOOKUP(A846,[1]timesData!$B:$P,8,FALSE)</f>
        <v>#N/A</v>
      </c>
      <c r="J845" t="e">
        <f>VLOOKUP(A846,[1]timesData!$B:$P,9,FALSE)</f>
        <v>#N/A</v>
      </c>
      <c r="K845" t="e">
        <f>VLOOKUP(A846,[1]timesData!$B:$P,10,FALSE)</f>
        <v>#N/A</v>
      </c>
      <c r="L845" t="e">
        <f>VLOOKUP(A846,[1]timesData!$B:$P,11,FALSE)</f>
        <v>#N/A</v>
      </c>
      <c r="M845" t="e">
        <f>VLOOKUP(A846,[1]timesData!$B:$P,12,FALSE)</f>
        <v>#N/A</v>
      </c>
      <c r="N845" t="e">
        <f>VLOOKUP(A846,[1]timesData!$B:$P,13,FALSE)</f>
        <v>#N/A</v>
      </c>
      <c r="O845">
        <f>VLOOKUP(A845,[2]cwurData!$B:$P,14,FALSE)</f>
        <v>85</v>
      </c>
      <c r="P845">
        <f>VLOOKUP(A845,[2]cwurData!$B:$N, 3, FALSE)</f>
        <v>52</v>
      </c>
      <c r="Q845">
        <f>VLOOKUP(A845,[2]cwurData!$B:$N, 4, FALSE)</f>
        <v>101</v>
      </c>
      <c r="R845">
        <f>VLOOKUP(A845,[2]cwurData!$B:$N, 5, FALSE)</f>
        <v>48</v>
      </c>
      <c r="S845">
        <f>VLOOKUP(A845,[2]cwurData!$B:$N, 6, FALSE)</f>
        <v>101</v>
      </c>
      <c r="T845">
        <f>VLOOKUP(A845,[2]cwurData!$B:$N, 7, FALSE)</f>
        <v>50</v>
      </c>
      <c r="U845">
        <f>VLOOKUP(A845,[2]cwurData!$B:$N, 8, FALSE)</f>
        <v>72</v>
      </c>
      <c r="V845">
        <f>VLOOKUP(A845,[2]cwurData!$B:$N, 9, FALSE)</f>
        <v>59</v>
      </c>
      <c r="W845">
        <f>VLOOKUP(A845,[2]cwurData!$B:$N, 10, FALSE)</f>
        <v>0</v>
      </c>
      <c r="X845">
        <f>VLOOKUP(A845,[2]cwurData!$B:$N, 11, FALSE)</f>
        <v>101</v>
      </c>
      <c r="Y845">
        <f>VLOOKUP(A845,[2]cwurData!$B:$N, 12, FALSE)</f>
        <v>45.71</v>
      </c>
      <c r="Z845">
        <f>VLOOKUP(A845,[2]cwurData!$B:$N, 13, FALSE)</f>
        <v>2013</v>
      </c>
    </row>
    <row r="846" spans="1:26" x14ac:dyDescent="0.3">
      <c r="A846" t="s">
        <v>844</v>
      </c>
      <c r="B846" t="str">
        <f>IFERROR(VLOOKUP(A846,[1]timesData!$B:$P,2,FALSE),VLOOKUP(A846,[2]cwurData!$B:$P,2,FALSE))</f>
        <v>Australia</v>
      </c>
      <c r="C846" t="e">
        <f>VLOOKUP(A846,[1]timesData!$B:$P,3,FALSE)</f>
        <v>#N/A</v>
      </c>
      <c r="D846" t="e">
        <f>VLOOKUP(A847,[1]timesData!$B:$P,3,FALSE)</f>
        <v>#N/A</v>
      </c>
      <c r="E846" t="e">
        <f>VLOOKUP(A847,[1]timesData!$B:$P,4,FALSE)</f>
        <v>#N/A</v>
      </c>
      <c r="F846" t="e">
        <f>VLOOKUP(A847,[1]timesData!$B:$P,5,FALSE)</f>
        <v>#N/A</v>
      </c>
      <c r="G846" t="e">
        <f>VLOOKUP(A847,[1]timesData!$B:$P,6,FALSE)</f>
        <v>#N/A</v>
      </c>
      <c r="H846" t="e">
        <f>VLOOKUP(A847,[1]timesData!$B:$P,7,FALSE)</f>
        <v>#N/A</v>
      </c>
      <c r="I846" t="e">
        <f>VLOOKUP(A847,[1]timesData!$B:$P,8,FALSE)</f>
        <v>#N/A</v>
      </c>
      <c r="J846" t="e">
        <f>VLOOKUP(A847,[1]timesData!$B:$P,9,FALSE)</f>
        <v>#N/A</v>
      </c>
      <c r="K846" t="e">
        <f>VLOOKUP(A847,[1]timesData!$B:$P,10,FALSE)</f>
        <v>#N/A</v>
      </c>
      <c r="L846" t="e">
        <f>VLOOKUP(A847,[1]timesData!$B:$P,11,FALSE)</f>
        <v>#N/A</v>
      </c>
      <c r="M846" t="e">
        <f>VLOOKUP(A847,[1]timesData!$B:$P,12,FALSE)</f>
        <v>#N/A</v>
      </c>
      <c r="N846" t="e">
        <f>VLOOKUP(A847,[1]timesData!$B:$P,13,FALSE)</f>
        <v>#N/A</v>
      </c>
      <c r="O846">
        <f>VLOOKUP(A846,[2]cwurData!$B:$P,14,FALSE)</f>
        <v>92</v>
      </c>
      <c r="P846">
        <f>VLOOKUP(A846,[2]cwurData!$B:$N, 3, FALSE)</f>
        <v>1</v>
      </c>
      <c r="Q846">
        <f>VLOOKUP(A846,[2]cwurData!$B:$N, 4, FALSE)</f>
        <v>101</v>
      </c>
      <c r="R846">
        <f>VLOOKUP(A846,[2]cwurData!$B:$N, 5, FALSE)</f>
        <v>101</v>
      </c>
      <c r="S846">
        <f>VLOOKUP(A846,[2]cwurData!$B:$N, 6, FALSE)</f>
        <v>101</v>
      </c>
      <c r="T846">
        <f>VLOOKUP(A846,[2]cwurData!$B:$N, 7, FALSE)</f>
        <v>67</v>
      </c>
      <c r="U846">
        <f>VLOOKUP(A846,[2]cwurData!$B:$N, 8, FALSE)</f>
        <v>90</v>
      </c>
      <c r="V846">
        <f>VLOOKUP(A846,[2]cwurData!$B:$N, 9, FALSE)</f>
        <v>89</v>
      </c>
      <c r="W846">
        <f>VLOOKUP(A846,[2]cwurData!$B:$N, 10, FALSE)</f>
        <v>0</v>
      </c>
      <c r="X846">
        <f>VLOOKUP(A846,[2]cwurData!$B:$N, 11, FALSE)</f>
        <v>46</v>
      </c>
      <c r="Y846">
        <f>VLOOKUP(A846,[2]cwurData!$B:$N, 12, FALSE)</f>
        <v>44.18</v>
      </c>
      <c r="Z846">
        <f>VLOOKUP(A846,[2]cwurData!$B:$N, 13, FALSE)</f>
        <v>2012</v>
      </c>
    </row>
    <row r="847" spans="1:26" x14ac:dyDescent="0.3">
      <c r="A847" t="s">
        <v>850</v>
      </c>
      <c r="B847" t="str">
        <f>IFERROR(VLOOKUP(A847,[1]timesData!$B:$P,2,FALSE),VLOOKUP(A847,[2]cwurData!$B:$P,2,FALSE))</f>
        <v>Belgium</v>
      </c>
      <c r="C847" t="e">
        <f>VLOOKUP(A847,[1]timesData!$B:$P,3,FALSE)</f>
        <v>#N/A</v>
      </c>
      <c r="D847" t="e">
        <f>VLOOKUP(A848,[1]timesData!$B:$P,3,FALSE)</f>
        <v>#N/A</v>
      </c>
      <c r="E847" t="e">
        <f>VLOOKUP(A848,[1]timesData!$B:$P,4,FALSE)</f>
        <v>#N/A</v>
      </c>
      <c r="F847" t="e">
        <f>VLOOKUP(A848,[1]timesData!$B:$P,5,FALSE)</f>
        <v>#N/A</v>
      </c>
      <c r="G847" t="e">
        <f>VLOOKUP(A848,[1]timesData!$B:$P,6,FALSE)</f>
        <v>#N/A</v>
      </c>
      <c r="H847" t="e">
        <f>VLOOKUP(A848,[1]timesData!$B:$P,7,FALSE)</f>
        <v>#N/A</v>
      </c>
      <c r="I847" t="e">
        <f>VLOOKUP(A848,[1]timesData!$B:$P,8,FALSE)</f>
        <v>#N/A</v>
      </c>
      <c r="J847" t="e">
        <f>VLOOKUP(A848,[1]timesData!$B:$P,9,FALSE)</f>
        <v>#N/A</v>
      </c>
      <c r="K847" t="e">
        <f>VLOOKUP(A848,[1]timesData!$B:$P,10,FALSE)</f>
        <v>#N/A</v>
      </c>
      <c r="L847" t="e">
        <f>VLOOKUP(A848,[1]timesData!$B:$P,11,FALSE)</f>
        <v>#N/A</v>
      </c>
      <c r="M847" t="e">
        <f>VLOOKUP(A848,[1]timesData!$B:$P,12,FALSE)</f>
        <v>#N/A</v>
      </c>
      <c r="N847" t="e">
        <f>VLOOKUP(A848,[1]timesData!$B:$P,13,FALSE)</f>
        <v>#N/A</v>
      </c>
      <c r="O847">
        <f>VLOOKUP(A847,[2]cwurData!$B:$P,14,FALSE)</f>
        <v>94</v>
      </c>
      <c r="P847">
        <f>VLOOKUP(A847,[2]cwurData!$B:$N, 3, FALSE)</f>
        <v>1</v>
      </c>
      <c r="Q847">
        <f>VLOOKUP(A847,[2]cwurData!$B:$N, 4, FALSE)</f>
        <v>355</v>
      </c>
      <c r="R847">
        <f>VLOOKUP(A847,[2]cwurData!$B:$N, 5, FALSE)</f>
        <v>225</v>
      </c>
      <c r="S847">
        <f>VLOOKUP(A847,[2]cwurData!$B:$N, 6, FALSE)</f>
        <v>210</v>
      </c>
      <c r="T847">
        <f>VLOOKUP(A847,[2]cwurData!$B:$N, 7, FALSE)</f>
        <v>53</v>
      </c>
      <c r="U847">
        <f>VLOOKUP(A847,[2]cwurData!$B:$N, 8, FALSE)</f>
        <v>111</v>
      </c>
      <c r="V847">
        <f>VLOOKUP(A847,[2]cwurData!$B:$N, 9, FALSE)</f>
        <v>75</v>
      </c>
      <c r="W847">
        <f>VLOOKUP(A847,[2]cwurData!$B:$N, 10, FALSE)</f>
        <v>59</v>
      </c>
      <c r="X847">
        <f>VLOOKUP(A847,[2]cwurData!$B:$N, 11, FALSE)</f>
        <v>64</v>
      </c>
      <c r="Y847">
        <f>VLOOKUP(A847,[2]cwurData!$B:$N, 12, FALSE)</f>
        <v>51.72</v>
      </c>
      <c r="Z847">
        <f>VLOOKUP(A847,[2]cwurData!$B:$N, 13, FALSE)</f>
        <v>2014</v>
      </c>
    </row>
    <row r="848" spans="1:26" x14ac:dyDescent="0.3">
      <c r="A848" t="s">
        <v>845</v>
      </c>
      <c r="B848" t="str">
        <f>IFERROR(VLOOKUP(A848,[1]timesData!$B:$P,2,FALSE),VLOOKUP(A848,[2]cwurData!$B:$P,2,FALSE))</f>
        <v>USA</v>
      </c>
      <c r="C848" t="e">
        <f>VLOOKUP(A848,[1]timesData!$B:$P,3,FALSE)</f>
        <v>#N/A</v>
      </c>
      <c r="D848" t="e">
        <f>VLOOKUP(A849,[1]timesData!$B:$P,3,FALSE)</f>
        <v>#N/A</v>
      </c>
      <c r="E848" t="e">
        <f>VLOOKUP(A849,[1]timesData!$B:$P,4,FALSE)</f>
        <v>#N/A</v>
      </c>
      <c r="F848" t="e">
        <f>VLOOKUP(A849,[1]timesData!$B:$P,5,FALSE)</f>
        <v>#N/A</v>
      </c>
      <c r="G848" t="e">
        <f>VLOOKUP(A849,[1]timesData!$B:$P,6,FALSE)</f>
        <v>#N/A</v>
      </c>
      <c r="H848" t="e">
        <f>VLOOKUP(A849,[1]timesData!$B:$P,7,FALSE)</f>
        <v>#N/A</v>
      </c>
      <c r="I848" t="e">
        <f>VLOOKUP(A849,[1]timesData!$B:$P,8,FALSE)</f>
        <v>#N/A</v>
      </c>
      <c r="J848" t="e">
        <f>VLOOKUP(A849,[1]timesData!$B:$P,9,FALSE)</f>
        <v>#N/A</v>
      </c>
      <c r="K848" t="e">
        <f>VLOOKUP(A849,[1]timesData!$B:$P,10,FALSE)</f>
        <v>#N/A</v>
      </c>
      <c r="L848" t="e">
        <f>VLOOKUP(A849,[1]timesData!$B:$P,11,FALSE)</f>
        <v>#N/A</v>
      </c>
      <c r="M848" t="e">
        <f>VLOOKUP(A849,[1]timesData!$B:$P,12,FALSE)</f>
        <v>#N/A</v>
      </c>
      <c r="N848" t="e">
        <f>VLOOKUP(A849,[1]timesData!$B:$P,13,FALSE)</f>
        <v>#N/A</v>
      </c>
      <c r="O848">
        <f>VLOOKUP(A848,[2]cwurData!$B:$P,14,FALSE)</f>
        <v>95</v>
      </c>
      <c r="P848">
        <f>VLOOKUP(A848,[2]cwurData!$B:$N, 3, FALSE)</f>
        <v>57</v>
      </c>
      <c r="Q848">
        <f>VLOOKUP(A848,[2]cwurData!$B:$N, 4, FALSE)</f>
        <v>18</v>
      </c>
      <c r="R848">
        <f>VLOOKUP(A848,[2]cwurData!$B:$N, 5, FALSE)</f>
        <v>15</v>
      </c>
      <c r="S848">
        <f>VLOOKUP(A848,[2]cwurData!$B:$N, 6, FALSE)</f>
        <v>101</v>
      </c>
      <c r="T848">
        <f>VLOOKUP(A848,[2]cwurData!$B:$N, 7, FALSE)</f>
        <v>101</v>
      </c>
      <c r="U848">
        <f>VLOOKUP(A848,[2]cwurData!$B:$N, 8, FALSE)</f>
        <v>101</v>
      </c>
      <c r="V848">
        <f>VLOOKUP(A848,[2]cwurData!$B:$N, 9, FALSE)</f>
        <v>101</v>
      </c>
      <c r="W848">
        <f>VLOOKUP(A848,[2]cwurData!$B:$N, 10, FALSE)</f>
        <v>0</v>
      </c>
      <c r="X848">
        <f>VLOOKUP(A848,[2]cwurData!$B:$N, 11, FALSE)</f>
        <v>101</v>
      </c>
      <c r="Y848">
        <f>VLOOKUP(A848,[2]cwurData!$B:$N, 12, FALSE)</f>
        <v>43.89</v>
      </c>
      <c r="Z848">
        <f>VLOOKUP(A848,[2]cwurData!$B:$N, 13, FALSE)</f>
        <v>2012</v>
      </c>
    </row>
    <row r="849" spans="1:26" x14ac:dyDescent="0.3">
      <c r="A849" t="s">
        <v>846</v>
      </c>
      <c r="B849" t="str">
        <f>IFERROR(VLOOKUP(A849,[1]timesData!$B:$P,2,FALSE),VLOOKUP(A849,[2]cwurData!$B:$P,2,FALSE))</f>
        <v>USA</v>
      </c>
      <c r="C849" t="e">
        <f>VLOOKUP(A849,[1]timesData!$B:$P,3,FALSE)</f>
        <v>#N/A</v>
      </c>
      <c r="D849" t="e">
        <f>VLOOKUP(A850,[1]timesData!$B:$P,3,FALSE)</f>
        <v>#N/A</v>
      </c>
      <c r="E849" t="e">
        <f>VLOOKUP(A850,[1]timesData!$B:$P,4,FALSE)</f>
        <v>#N/A</v>
      </c>
      <c r="F849" t="e">
        <f>VLOOKUP(A850,[1]timesData!$B:$P,5,FALSE)</f>
        <v>#N/A</v>
      </c>
      <c r="G849" t="e">
        <f>VLOOKUP(A850,[1]timesData!$B:$P,6,FALSE)</f>
        <v>#N/A</v>
      </c>
      <c r="H849" t="e">
        <f>VLOOKUP(A850,[1]timesData!$B:$P,7,FALSE)</f>
        <v>#N/A</v>
      </c>
      <c r="I849" t="e">
        <f>VLOOKUP(A850,[1]timesData!$B:$P,8,FALSE)</f>
        <v>#N/A</v>
      </c>
      <c r="J849" t="e">
        <f>VLOOKUP(A850,[1]timesData!$B:$P,9,FALSE)</f>
        <v>#N/A</v>
      </c>
      <c r="K849" t="e">
        <f>VLOOKUP(A850,[1]timesData!$B:$P,10,FALSE)</f>
        <v>#N/A</v>
      </c>
      <c r="L849" t="e">
        <f>VLOOKUP(A850,[1]timesData!$B:$P,11,FALSE)</f>
        <v>#N/A</v>
      </c>
      <c r="M849" t="e">
        <f>VLOOKUP(A850,[1]timesData!$B:$P,12,FALSE)</f>
        <v>#N/A</v>
      </c>
      <c r="N849" t="e">
        <f>VLOOKUP(A850,[1]timesData!$B:$P,13,FALSE)</f>
        <v>#N/A</v>
      </c>
      <c r="O849">
        <f>VLOOKUP(A849,[2]cwurData!$B:$P,14,FALSE)</f>
        <v>96</v>
      </c>
      <c r="P849">
        <f>VLOOKUP(A849,[2]cwurData!$B:$N, 3, FALSE)</f>
        <v>58</v>
      </c>
      <c r="Q849">
        <f>VLOOKUP(A849,[2]cwurData!$B:$N, 4, FALSE)</f>
        <v>101</v>
      </c>
      <c r="R849">
        <f>VLOOKUP(A849,[2]cwurData!$B:$N, 5, FALSE)</f>
        <v>101</v>
      </c>
      <c r="S849">
        <f>VLOOKUP(A849,[2]cwurData!$B:$N, 6, FALSE)</f>
        <v>101</v>
      </c>
      <c r="T849">
        <f>VLOOKUP(A849,[2]cwurData!$B:$N, 7, FALSE)</f>
        <v>95</v>
      </c>
      <c r="U849">
        <f>VLOOKUP(A849,[2]cwurData!$B:$N, 8, FALSE)</f>
        <v>46</v>
      </c>
      <c r="V849">
        <f>VLOOKUP(A849,[2]cwurData!$B:$N, 9, FALSE)</f>
        <v>66</v>
      </c>
      <c r="W849">
        <f>VLOOKUP(A849,[2]cwurData!$B:$N, 10, FALSE)</f>
        <v>0</v>
      </c>
      <c r="X849">
        <f>VLOOKUP(A849,[2]cwurData!$B:$N, 11, FALSE)</f>
        <v>100</v>
      </c>
      <c r="Y849">
        <f>VLOOKUP(A849,[2]cwurData!$B:$N, 12, FALSE)</f>
        <v>43.88</v>
      </c>
      <c r="Z849">
        <f>VLOOKUP(A849,[2]cwurData!$B:$N, 13, FALSE)</f>
        <v>2012</v>
      </c>
    </row>
    <row r="850" spans="1:26" x14ac:dyDescent="0.3">
      <c r="A850" t="s">
        <v>849</v>
      </c>
      <c r="B850" t="str">
        <f>IFERROR(VLOOKUP(A850,[1]timesData!$B:$P,2,FALSE),VLOOKUP(A850,[2]cwurData!$B:$P,2,FALSE))</f>
        <v>France</v>
      </c>
      <c r="C850" t="e">
        <f>VLOOKUP(A850,[1]timesData!$B:$P,3,FALSE)</f>
        <v>#N/A</v>
      </c>
      <c r="D850" t="e">
        <f>VLOOKUP(A851,[1]timesData!$B:$P,3,FALSE)</f>
        <v>#N/A</v>
      </c>
      <c r="E850" t="e">
        <f>VLOOKUP(A851,[1]timesData!$B:$P,4,FALSE)</f>
        <v>#N/A</v>
      </c>
      <c r="F850" t="e">
        <f>VLOOKUP(A851,[1]timesData!$B:$P,5,FALSE)</f>
        <v>#N/A</v>
      </c>
      <c r="G850" t="e">
        <f>VLOOKUP(A851,[1]timesData!$B:$P,6,FALSE)</f>
        <v>#N/A</v>
      </c>
      <c r="H850" t="e">
        <f>VLOOKUP(A851,[1]timesData!$B:$P,7,FALSE)</f>
        <v>#N/A</v>
      </c>
      <c r="I850" t="e">
        <f>VLOOKUP(A851,[1]timesData!$B:$P,8,FALSE)</f>
        <v>#N/A</v>
      </c>
      <c r="J850" t="e">
        <f>VLOOKUP(A851,[1]timesData!$B:$P,9,FALSE)</f>
        <v>#N/A</v>
      </c>
      <c r="K850" t="e">
        <f>VLOOKUP(A851,[1]timesData!$B:$P,10,FALSE)</f>
        <v>#N/A</v>
      </c>
      <c r="L850" t="e">
        <f>VLOOKUP(A851,[1]timesData!$B:$P,11,FALSE)</f>
        <v>#N/A</v>
      </c>
      <c r="M850" t="e">
        <f>VLOOKUP(A851,[1]timesData!$B:$P,12,FALSE)</f>
        <v>#N/A</v>
      </c>
      <c r="N850" t="e">
        <f>VLOOKUP(A851,[1]timesData!$B:$P,13,FALSE)</f>
        <v>#N/A</v>
      </c>
      <c r="O850">
        <f>VLOOKUP(A850,[2]cwurData!$B:$P,14,FALSE)</f>
        <v>99</v>
      </c>
      <c r="P850">
        <f>VLOOKUP(A850,[2]cwurData!$B:$N, 3, FALSE)</f>
        <v>5</v>
      </c>
      <c r="Q850">
        <f>VLOOKUP(A850,[2]cwurData!$B:$N, 4, FALSE)</f>
        <v>28</v>
      </c>
      <c r="R850">
        <f>VLOOKUP(A850,[2]cwurData!$B:$N, 5, FALSE)</f>
        <v>101</v>
      </c>
      <c r="S850">
        <f>VLOOKUP(A850,[2]cwurData!$B:$N, 6, FALSE)</f>
        <v>72</v>
      </c>
      <c r="T850">
        <f>VLOOKUP(A850,[2]cwurData!$B:$N, 7, FALSE)</f>
        <v>101</v>
      </c>
      <c r="U850">
        <f>VLOOKUP(A850,[2]cwurData!$B:$N, 8, FALSE)</f>
        <v>87</v>
      </c>
      <c r="V850">
        <f>VLOOKUP(A850,[2]cwurData!$B:$N, 9, FALSE)</f>
        <v>101</v>
      </c>
      <c r="W850">
        <f>VLOOKUP(A850,[2]cwurData!$B:$N, 10, FALSE)</f>
        <v>0</v>
      </c>
      <c r="X850">
        <f>VLOOKUP(A850,[2]cwurData!$B:$N, 11, FALSE)</f>
        <v>101</v>
      </c>
      <c r="Y850">
        <f>VLOOKUP(A850,[2]cwurData!$B:$N, 12, FALSE)</f>
        <v>44.36</v>
      </c>
      <c r="Z850">
        <f>VLOOKUP(A850,[2]cwurData!$B:$N, 13, FALSE)</f>
        <v>2013</v>
      </c>
    </row>
    <row r="851" spans="1:26" x14ac:dyDescent="0.3">
      <c r="A851" t="s">
        <v>851</v>
      </c>
      <c r="B851" t="str">
        <f>IFERROR(VLOOKUP(A851,[1]timesData!$B:$P,2,FALSE),VLOOKUP(A851,[2]cwurData!$B:$P,2,FALSE))</f>
        <v>Sweden</v>
      </c>
      <c r="C851" t="e">
        <f>VLOOKUP(A851,[1]timesData!$B:$P,3,FALSE)</f>
        <v>#N/A</v>
      </c>
      <c r="D851" t="e">
        <f>VLOOKUP(A852,[1]timesData!$B:$P,3,FALSE)</f>
        <v>#N/A</v>
      </c>
      <c r="E851" t="e">
        <f>VLOOKUP(A852,[1]timesData!$B:$P,4,FALSE)</f>
        <v>#N/A</v>
      </c>
      <c r="F851" t="e">
        <f>VLOOKUP(A852,[1]timesData!$B:$P,5,FALSE)</f>
        <v>#N/A</v>
      </c>
      <c r="G851" t="e">
        <f>VLOOKUP(A852,[1]timesData!$B:$P,6,FALSE)</f>
        <v>#N/A</v>
      </c>
      <c r="H851" t="e">
        <f>VLOOKUP(A852,[1]timesData!$B:$P,7,FALSE)</f>
        <v>#N/A</v>
      </c>
      <c r="I851" t="e">
        <f>VLOOKUP(A852,[1]timesData!$B:$P,8,FALSE)</f>
        <v>#N/A</v>
      </c>
      <c r="J851" t="e">
        <f>VLOOKUP(A852,[1]timesData!$B:$P,9,FALSE)</f>
        <v>#N/A</v>
      </c>
      <c r="K851" t="e">
        <f>VLOOKUP(A852,[1]timesData!$B:$P,10,FALSE)</f>
        <v>#N/A</v>
      </c>
      <c r="L851" t="e">
        <f>VLOOKUP(A852,[1]timesData!$B:$P,11,FALSE)</f>
        <v>#N/A</v>
      </c>
      <c r="M851" t="e">
        <f>VLOOKUP(A852,[1]timesData!$B:$P,12,FALSE)</f>
        <v>#N/A</v>
      </c>
      <c r="N851" t="e">
        <f>VLOOKUP(A852,[1]timesData!$B:$P,13,FALSE)</f>
        <v>#N/A</v>
      </c>
      <c r="O851">
        <f>VLOOKUP(A851,[2]cwurData!$B:$P,14,FALSE)</f>
        <v>100</v>
      </c>
      <c r="P851">
        <f>VLOOKUP(A851,[2]cwurData!$B:$N, 3, FALSE)</f>
        <v>2</v>
      </c>
      <c r="Q851">
        <f>VLOOKUP(A851,[2]cwurData!$B:$N, 4, FALSE)</f>
        <v>185</v>
      </c>
      <c r="R851">
        <f>VLOOKUP(A851,[2]cwurData!$B:$N, 5, FALSE)</f>
        <v>26</v>
      </c>
      <c r="S851">
        <f>VLOOKUP(A851,[2]cwurData!$B:$N, 6, FALSE)</f>
        <v>106</v>
      </c>
      <c r="T851">
        <f>VLOOKUP(A851,[2]cwurData!$B:$N, 7, FALSE)</f>
        <v>223</v>
      </c>
      <c r="U851">
        <f>VLOOKUP(A851,[2]cwurData!$B:$N, 8, FALSE)</f>
        <v>312</v>
      </c>
      <c r="V851">
        <f>VLOOKUP(A851,[2]cwurData!$B:$N, 9, FALSE)</f>
        <v>310</v>
      </c>
      <c r="W851">
        <f>VLOOKUP(A851,[2]cwurData!$B:$N, 10, FALSE)</f>
        <v>326</v>
      </c>
      <c r="X851">
        <f>VLOOKUP(A851,[2]cwurData!$B:$N, 11, FALSE)</f>
        <v>637</v>
      </c>
      <c r="Y851">
        <f>VLOOKUP(A851,[2]cwurData!$B:$N, 12, FALSE)</f>
        <v>51.34</v>
      </c>
      <c r="Z851">
        <f>VLOOKUP(A851,[2]cwurData!$B:$N, 13, FALSE)</f>
        <v>2014</v>
      </c>
    </row>
    <row r="852" spans="1:26" x14ac:dyDescent="0.3">
      <c r="A852" t="s">
        <v>852</v>
      </c>
      <c r="B852" t="str">
        <f>IFERROR(VLOOKUP(A852,[1]timesData!$B:$P,2,FALSE),VLOOKUP(A852,[2]cwurData!$B:$P,2,FALSE))</f>
        <v>USA</v>
      </c>
      <c r="C852" t="e">
        <f>VLOOKUP(A852,[1]timesData!$B:$P,3,FALSE)</f>
        <v>#N/A</v>
      </c>
      <c r="D852" t="e">
        <f>VLOOKUP(A853,[1]timesData!$B:$P,3,FALSE)</f>
        <v>#N/A</v>
      </c>
      <c r="E852" t="e">
        <f>VLOOKUP(A853,[1]timesData!$B:$P,4,FALSE)</f>
        <v>#N/A</v>
      </c>
      <c r="F852" t="e">
        <f>VLOOKUP(A853,[1]timesData!$B:$P,5,FALSE)</f>
        <v>#N/A</v>
      </c>
      <c r="G852" t="e">
        <f>VLOOKUP(A853,[1]timesData!$B:$P,6,FALSE)</f>
        <v>#N/A</v>
      </c>
      <c r="H852" t="e">
        <f>VLOOKUP(A853,[1]timesData!$B:$P,7,FALSE)</f>
        <v>#N/A</v>
      </c>
      <c r="I852" t="e">
        <f>VLOOKUP(A853,[1]timesData!$B:$P,8,FALSE)</f>
        <v>#N/A</v>
      </c>
      <c r="J852" t="e">
        <f>VLOOKUP(A853,[1]timesData!$B:$P,9,FALSE)</f>
        <v>#N/A</v>
      </c>
      <c r="K852" t="e">
        <f>VLOOKUP(A853,[1]timesData!$B:$P,10,FALSE)</f>
        <v>#N/A</v>
      </c>
      <c r="L852" t="e">
        <f>VLOOKUP(A853,[1]timesData!$B:$P,11,FALSE)</f>
        <v>#N/A</v>
      </c>
      <c r="M852" t="e">
        <f>VLOOKUP(A853,[1]timesData!$B:$P,12,FALSE)</f>
        <v>#N/A</v>
      </c>
      <c r="N852" t="e">
        <f>VLOOKUP(A853,[1]timesData!$B:$P,13,FALSE)</f>
        <v>#N/A</v>
      </c>
      <c r="O852">
        <f>VLOOKUP(A852,[2]cwurData!$B:$P,14,FALSE)</f>
        <v>121</v>
      </c>
      <c r="P852">
        <f>VLOOKUP(A852,[2]cwurData!$B:$N, 3, FALSE)</f>
        <v>62</v>
      </c>
      <c r="Q852">
        <f>VLOOKUP(A852,[2]cwurData!$B:$N, 4, FALSE)</f>
        <v>355</v>
      </c>
      <c r="R852">
        <f>VLOOKUP(A852,[2]cwurData!$B:$N, 5, FALSE)</f>
        <v>478</v>
      </c>
      <c r="S852">
        <f>VLOOKUP(A852,[2]cwurData!$B:$N, 6, FALSE)</f>
        <v>210</v>
      </c>
      <c r="T852">
        <f>VLOOKUP(A852,[2]cwurData!$B:$N, 7, FALSE)</f>
        <v>111</v>
      </c>
      <c r="U852">
        <f>VLOOKUP(A852,[2]cwurData!$B:$N, 8, FALSE)</f>
        <v>40</v>
      </c>
      <c r="V852">
        <f>VLOOKUP(A852,[2]cwurData!$B:$N, 9, FALSE)</f>
        <v>107</v>
      </c>
      <c r="W852">
        <f>VLOOKUP(A852,[2]cwurData!$B:$N, 10, FALSE)</f>
        <v>41</v>
      </c>
      <c r="X852">
        <f>VLOOKUP(A852,[2]cwurData!$B:$N, 11, FALSE)</f>
        <v>194</v>
      </c>
      <c r="Y852">
        <f>VLOOKUP(A852,[2]cwurData!$B:$N, 12, FALSE)</f>
        <v>50.12</v>
      </c>
      <c r="Z852">
        <f>VLOOKUP(A852,[2]cwurData!$B:$N, 13, FALSE)</f>
        <v>2014</v>
      </c>
    </row>
    <row r="853" spans="1:26" x14ac:dyDescent="0.3">
      <c r="A853" t="s">
        <v>853</v>
      </c>
      <c r="B853" t="str">
        <f>IFERROR(VLOOKUP(A853,[1]timesData!$B:$P,2,FALSE),VLOOKUP(A853,[2]cwurData!$B:$P,2,FALSE))</f>
        <v>USA</v>
      </c>
      <c r="C853" t="e">
        <f>VLOOKUP(A853,[1]timesData!$B:$P,3,FALSE)</f>
        <v>#N/A</v>
      </c>
      <c r="D853" t="e">
        <f>VLOOKUP(A854,[1]timesData!$B:$P,3,FALSE)</f>
        <v>#N/A</v>
      </c>
      <c r="E853" t="e">
        <f>VLOOKUP(A854,[1]timesData!$B:$P,4,FALSE)</f>
        <v>#N/A</v>
      </c>
      <c r="F853" t="e">
        <f>VLOOKUP(A854,[1]timesData!$B:$P,5,FALSE)</f>
        <v>#N/A</v>
      </c>
      <c r="G853" t="e">
        <f>VLOOKUP(A854,[1]timesData!$B:$P,6,FALSE)</f>
        <v>#N/A</v>
      </c>
      <c r="H853" t="e">
        <f>VLOOKUP(A854,[1]timesData!$B:$P,7,FALSE)</f>
        <v>#N/A</v>
      </c>
      <c r="I853" t="e">
        <f>VLOOKUP(A854,[1]timesData!$B:$P,8,FALSE)</f>
        <v>#N/A</v>
      </c>
      <c r="J853" t="e">
        <f>VLOOKUP(A854,[1]timesData!$B:$P,9,FALSE)</f>
        <v>#N/A</v>
      </c>
      <c r="K853" t="e">
        <f>VLOOKUP(A854,[1]timesData!$B:$P,10,FALSE)</f>
        <v>#N/A</v>
      </c>
      <c r="L853" t="e">
        <f>VLOOKUP(A854,[1]timesData!$B:$P,11,FALSE)</f>
        <v>#N/A</v>
      </c>
      <c r="M853" t="e">
        <f>VLOOKUP(A854,[1]timesData!$B:$P,12,FALSE)</f>
        <v>#N/A</v>
      </c>
      <c r="N853" t="e">
        <f>VLOOKUP(A854,[1]timesData!$B:$P,13,FALSE)</f>
        <v>#N/A</v>
      </c>
      <c r="O853">
        <f>VLOOKUP(A853,[2]cwurData!$B:$P,14,FALSE)</f>
        <v>133</v>
      </c>
      <c r="P853">
        <f>VLOOKUP(A853,[2]cwurData!$B:$N, 3, FALSE)</f>
        <v>65</v>
      </c>
      <c r="Q853">
        <f>VLOOKUP(A853,[2]cwurData!$B:$N, 4, FALSE)</f>
        <v>355</v>
      </c>
      <c r="R853">
        <f>VLOOKUP(A853,[2]cwurData!$B:$N, 5, FALSE)</f>
        <v>478</v>
      </c>
      <c r="S853">
        <f>VLOOKUP(A853,[2]cwurData!$B:$N, 6, FALSE)</f>
        <v>131</v>
      </c>
      <c r="T853">
        <f>VLOOKUP(A853,[2]cwurData!$B:$N, 7, FALSE)</f>
        <v>140</v>
      </c>
      <c r="U853">
        <f>VLOOKUP(A853,[2]cwurData!$B:$N, 8, FALSE)</f>
        <v>118</v>
      </c>
      <c r="V853">
        <f>VLOOKUP(A853,[2]cwurData!$B:$N, 9, FALSE)</f>
        <v>150</v>
      </c>
      <c r="W853">
        <f>VLOOKUP(A853,[2]cwurData!$B:$N, 10, FALSE)</f>
        <v>61</v>
      </c>
      <c r="X853">
        <f>VLOOKUP(A853,[2]cwurData!$B:$N, 11, FALSE)</f>
        <v>78</v>
      </c>
      <c r="Y853">
        <f>VLOOKUP(A853,[2]cwurData!$B:$N, 12, FALSE)</f>
        <v>49.79</v>
      </c>
      <c r="Z853">
        <f>VLOOKUP(A853,[2]cwurData!$B:$N, 13, FALSE)</f>
        <v>2014</v>
      </c>
    </row>
    <row r="854" spans="1:26" x14ac:dyDescent="0.3">
      <c r="A854" t="s">
        <v>854</v>
      </c>
      <c r="B854" t="str">
        <f>IFERROR(VLOOKUP(A854,[1]timesData!$B:$P,2,FALSE),VLOOKUP(A854,[2]cwurData!$B:$P,2,FALSE))</f>
        <v>Germany</v>
      </c>
      <c r="C854" t="e">
        <f>VLOOKUP(A854,[1]timesData!$B:$P,3,FALSE)</f>
        <v>#N/A</v>
      </c>
      <c r="D854" t="e">
        <f>VLOOKUP(A855,[1]timesData!$B:$P,3,FALSE)</f>
        <v>#N/A</v>
      </c>
      <c r="E854" t="e">
        <f>VLOOKUP(A855,[1]timesData!$B:$P,4,FALSE)</f>
        <v>#N/A</v>
      </c>
      <c r="F854" t="e">
        <f>VLOOKUP(A855,[1]timesData!$B:$P,5,FALSE)</f>
        <v>#N/A</v>
      </c>
      <c r="G854" t="e">
        <f>VLOOKUP(A855,[1]timesData!$B:$P,6,FALSE)</f>
        <v>#N/A</v>
      </c>
      <c r="H854" t="e">
        <f>VLOOKUP(A855,[1]timesData!$B:$P,7,FALSE)</f>
        <v>#N/A</v>
      </c>
      <c r="I854" t="e">
        <f>VLOOKUP(A855,[1]timesData!$B:$P,8,FALSE)</f>
        <v>#N/A</v>
      </c>
      <c r="J854" t="e">
        <f>VLOOKUP(A855,[1]timesData!$B:$P,9,FALSE)</f>
        <v>#N/A</v>
      </c>
      <c r="K854" t="e">
        <f>VLOOKUP(A855,[1]timesData!$B:$P,10,FALSE)</f>
        <v>#N/A</v>
      </c>
      <c r="L854" t="e">
        <f>VLOOKUP(A855,[1]timesData!$B:$P,11,FALSE)</f>
        <v>#N/A</v>
      </c>
      <c r="M854" t="e">
        <f>VLOOKUP(A855,[1]timesData!$B:$P,12,FALSE)</f>
        <v>#N/A</v>
      </c>
      <c r="N854" t="e">
        <f>VLOOKUP(A855,[1]timesData!$B:$P,13,FALSE)</f>
        <v>#N/A</v>
      </c>
      <c r="O854">
        <f>VLOOKUP(A854,[2]cwurData!$B:$P,14,FALSE)</f>
        <v>135</v>
      </c>
      <c r="P854">
        <f>VLOOKUP(A854,[2]cwurData!$B:$N, 3, FALSE)</f>
        <v>5</v>
      </c>
      <c r="Q854">
        <f>VLOOKUP(A854,[2]cwurData!$B:$N, 4, FALSE)</f>
        <v>137</v>
      </c>
      <c r="R854">
        <f>VLOOKUP(A854,[2]cwurData!$B:$N, 5, FALSE)</f>
        <v>113</v>
      </c>
      <c r="S854">
        <f>VLOOKUP(A854,[2]cwurData!$B:$N, 6, FALSE)</f>
        <v>187</v>
      </c>
      <c r="T854">
        <f>VLOOKUP(A854,[2]cwurData!$B:$N, 7, FALSE)</f>
        <v>155</v>
      </c>
      <c r="U854">
        <f>VLOOKUP(A854,[2]cwurData!$B:$N, 8, FALSE)</f>
        <v>106</v>
      </c>
      <c r="V854">
        <f>VLOOKUP(A854,[2]cwurData!$B:$N, 9, FALSE)</f>
        <v>159</v>
      </c>
      <c r="W854">
        <f>VLOOKUP(A854,[2]cwurData!$B:$N, 10, FALSE)</f>
        <v>137</v>
      </c>
      <c r="X854">
        <f>VLOOKUP(A854,[2]cwurData!$B:$N, 11, FALSE)</f>
        <v>64</v>
      </c>
      <c r="Y854">
        <f>VLOOKUP(A854,[2]cwurData!$B:$N, 12, FALSE)</f>
        <v>49.78</v>
      </c>
      <c r="Z854">
        <f>VLOOKUP(A854,[2]cwurData!$B:$N, 13, FALSE)</f>
        <v>2014</v>
      </c>
    </row>
    <row r="855" spans="1:26" x14ac:dyDescent="0.3">
      <c r="A855" t="s">
        <v>855</v>
      </c>
      <c r="B855" t="str">
        <f>IFERROR(VLOOKUP(A855,[1]timesData!$B:$P,2,FALSE),VLOOKUP(A855,[2]cwurData!$B:$P,2,FALSE))</f>
        <v>Canada</v>
      </c>
      <c r="C855" t="e">
        <f>VLOOKUP(A855,[1]timesData!$B:$P,3,FALSE)</f>
        <v>#N/A</v>
      </c>
      <c r="D855" t="e">
        <f>VLOOKUP(A856,[1]timesData!$B:$P,3,FALSE)</f>
        <v>#N/A</v>
      </c>
      <c r="E855" t="e">
        <f>VLOOKUP(A856,[1]timesData!$B:$P,4,FALSE)</f>
        <v>#N/A</v>
      </c>
      <c r="F855" t="e">
        <f>VLOOKUP(A856,[1]timesData!$B:$P,5,FALSE)</f>
        <v>#N/A</v>
      </c>
      <c r="G855" t="e">
        <f>VLOOKUP(A856,[1]timesData!$B:$P,6,FALSE)</f>
        <v>#N/A</v>
      </c>
      <c r="H855" t="e">
        <f>VLOOKUP(A856,[1]timesData!$B:$P,7,FALSE)</f>
        <v>#N/A</v>
      </c>
      <c r="I855" t="e">
        <f>VLOOKUP(A856,[1]timesData!$B:$P,8,FALSE)</f>
        <v>#N/A</v>
      </c>
      <c r="J855" t="e">
        <f>VLOOKUP(A856,[1]timesData!$B:$P,9,FALSE)</f>
        <v>#N/A</v>
      </c>
      <c r="K855" t="e">
        <f>VLOOKUP(A856,[1]timesData!$B:$P,10,FALSE)</f>
        <v>#N/A</v>
      </c>
      <c r="L855" t="e">
        <f>VLOOKUP(A856,[1]timesData!$B:$P,11,FALSE)</f>
        <v>#N/A</v>
      </c>
      <c r="M855" t="e">
        <f>VLOOKUP(A856,[1]timesData!$B:$P,12,FALSE)</f>
        <v>#N/A</v>
      </c>
      <c r="N855" t="e">
        <f>VLOOKUP(A856,[1]timesData!$B:$P,13,FALSE)</f>
        <v>#N/A</v>
      </c>
      <c r="O855">
        <f>VLOOKUP(A855,[2]cwurData!$B:$P,14,FALSE)</f>
        <v>152</v>
      </c>
      <c r="P855">
        <f>VLOOKUP(A855,[2]cwurData!$B:$N, 3, FALSE)</f>
        <v>7</v>
      </c>
      <c r="Q855">
        <f>VLOOKUP(A855,[2]cwurData!$B:$N, 4, FALSE)</f>
        <v>355</v>
      </c>
      <c r="R855">
        <f>VLOOKUP(A855,[2]cwurData!$B:$N, 5, FALSE)</f>
        <v>49</v>
      </c>
      <c r="S855">
        <f>VLOOKUP(A855,[2]cwurData!$B:$N, 6, FALSE)</f>
        <v>210</v>
      </c>
      <c r="T855">
        <f>VLOOKUP(A855,[2]cwurData!$B:$N, 7, FALSE)</f>
        <v>154</v>
      </c>
      <c r="U855">
        <f>VLOOKUP(A855,[2]cwurData!$B:$N, 8, FALSE)</f>
        <v>198</v>
      </c>
      <c r="V855">
        <f>VLOOKUP(A855,[2]cwurData!$B:$N, 9, FALSE)</f>
        <v>250</v>
      </c>
      <c r="W855">
        <f>VLOOKUP(A855,[2]cwurData!$B:$N, 10, FALSE)</f>
        <v>176</v>
      </c>
      <c r="X855">
        <f>VLOOKUP(A855,[2]cwurData!$B:$N, 11, FALSE)</f>
        <v>426</v>
      </c>
      <c r="Y855">
        <f>VLOOKUP(A855,[2]cwurData!$B:$N, 12, FALSE)</f>
        <v>49.18</v>
      </c>
      <c r="Z855">
        <f>VLOOKUP(A855,[2]cwurData!$B:$N, 13, FALSE)</f>
        <v>2014</v>
      </c>
    </row>
    <row r="856" spans="1:26" x14ac:dyDescent="0.3">
      <c r="A856" t="s">
        <v>856</v>
      </c>
      <c r="B856" t="str">
        <f>IFERROR(VLOOKUP(A856,[1]timesData!$B:$P,2,FALSE),VLOOKUP(A856,[2]cwurData!$B:$P,2,FALSE))</f>
        <v>USA</v>
      </c>
      <c r="C856" t="e">
        <f>VLOOKUP(A856,[1]timesData!$B:$P,3,FALSE)</f>
        <v>#N/A</v>
      </c>
      <c r="D856" t="e">
        <f>VLOOKUP(A857,[1]timesData!$B:$P,3,FALSE)</f>
        <v>#N/A</v>
      </c>
      <c r="E856" t="e">
        <f>VLOOKUP(A857,[1]timesData!$B:$P,4,FALSE)</f>
        <v>#N/A</v>
      </c>
      <c r="F856" t="e">
        <f>VLOOKUP(A857,[1]timesData!$B:$P,5,FALSE)</f>
        <v>#N/A</v>
      </c>
      <c r="G856" t="e">
        <f>VLOOKUP(A857,[1]timesData!$B:$P,6,FALSE)</f>
        <v>#N/A</v>
      </c>
      <c r="H856" t="e">
        <f>VLOOKUP(A857,[1]timesData!$B:$P,7,FALSE)</f>
        <v>#N/A</v>
      </c>
      <c r="I856" t="e">
        <f>VLOOKUP(A857,[1]timesData!$B:$P,8,FALSE)</f>
        <v>#N/A</v>
      </c>
      <c r="J856" t="e">
        <f>VLOOKUP(A857,[1]timesData!$B:$P,9,FALSE)</f>
        <v>#N/A</v>
      </c>
      <c r="K856" t="e">
        <f>VLOOKUP(A857,[1]timesData!$B:$P,10,FALSE)</f>
        <v>#N/A</v>
      </c>
      <c r="L856" t="e">
        <f>VLOOKUP(A857,[1]timesData!$B:$P,11,FALSE)</f>
        <v>#N/A</v>
      </c>
      <c r="M856" t="e">
        <f>VLOOKUP(A857,[1]timesData!$B:$P,12,FALSE)</f>
        <v>#N/A</v>
      </c>
      <c r="N856" t="e">
        <f>VLOOKUP(A857,[1]timesData!$B:$P,13,FALSE)</f>
        <v>#N/A</v>
      </c>
      <c r="O856">
        <f>VLOOKUP(A856,[2]cwurData!$B:$P,14,FALSE)</f>
        <v>156</v>
      </c>
      <c r="P856">
        <f>VLOOKUP(A856,[2]cwurData!$B:$N, 3, FALSE)</f>
        <v>69</v>
      </c>
      <c r="Q856">
        <f>VLOOKUP(A856,[2]cwurData!$B:$N, 4, FALSE)</f>
        <v>355</v>
      </c>
      <c r="R856">
        <f>VLOOKUP(A856,[2]cwurData!$B:$N, 5, FALSE)</f>
        <v>424</v>
      </c>
      <c r="S856">
        <f>VLOOKUP(A856,[2]cwurData!$B:$N, 6, FALSE)</f>
        <v>210</v>
      </c>
      <c r="T856">
        <f>VLOOKUP(A856,[2]cwurData!$B:$N, 7, FALSE)</f>
        <v>195</v>
      </c>
      <c r="U856">
        <f>VLOOKUP(A856,[2]cwurData!$B:$N, 8, FALSE)</f>
        <v>351</v>
      </c>
      <c r="V856">
        <f>VLOOKUP(A856,[2]cwurData!$B:$N, 9, FALSE)</f>
        <v>134</v>
      </c>
      <c r="W856">
        <f>VLOOKUP(A856,[2]cwurData!$B:$N, 10, FALSE)</f>
        <v>121</v>
      </c>
      <c r="X856">
        <f>VLOOKUP(A856,[2]cwurData!$B:$N, 11, FALSE)</f>
        <v>57</v>
      </c>
      <c r="Y856">
        <f>VLOOKUP(A856,[2]cwurData!$B:$N, 12, FALSE)</f>
        <v>49.08</v>
      </c>
      <c r="Z856">
        <f>VLOOKUP(A856,[2]cwurData!$B:$N, 13, FALSE)</f>
        <v>2014</v>
      </c>
    </row>
    <row r="857" spans="1:26" x14ac:dyDescent="0.3">
      <c r="A857" t="s">
        <v>857</v>
      </c>
      <c r="B857" t="str">
        <f>IFERROR(VLOOKUP(A857,[1]timesData!$B:$P,2,FALSE),VLOOKUP(A857,[2]cwurData!$B:$P,2,FALSE))</f>
        <v>USA</v>
      </c>
      <c r="C857" t="e">
        <f>VLOOKUP(A857,[1]timesData!$B:$P,3,FALSE)</f>
        <v>#N/A</v>
      </c>
      <c r="D857" t="e">
        <f>VLOOKUP(A858,[1]timesData!$B:$P,3,FALSE)</f>
        <v>#N/A</v>
      </c>
      <c r="E857" t="e">
        <f>VLOOKUP(A858,[1]timesData!$B:$P,4,FALSE)</f>
        <v>#N/A</v>
      </c>
      <c r="F857" t="e">
        <f>VLOOKUP(A858,[1]timesData!$B:$P,5,FALSE)</f>
        <v>#N/A</v>
      </c>
      <c r="G857" t="e">
        <f>VLOOKUP(A858,[1]timesData!$B:$P,6,FALSE)</f>
        <v>#N/A</v>
      </c>
      <c r="H857" t="e">
        <f>VLOOKUP(A858,[1]timesData!$B:$P,7,FALSE)</f>
        <v>#N/A</v>
      </c>
      <c r="I857" t="e">
        <f>VLOOKUP(A858,[1]timesData!$B:$P,8,FALSE)</f>
        <v>#N/A</v>
      </c>
      <c r="J857" t="e">
        <f>VLOOKUP(A858,[1]timesData!$B:$P,9,FALSE)</f>
        <v>#N/A</v>
      </c>
      <c r="K857" t="e">
        <f>VLOOKUP(A858,[1]timesData!$B:$P,10,FALSE)</f>
        <v>#N/A</v>
      </c>
      <c r="L857" t="e">
        <f>VLOOKUP(A858,[1]timesData!$B:$P,11,FALSE)</f>
        <v>#N/A</v>
      </c>
      <c r="M857" t="e">
        <f>VLOOKUP(A858,[1]timesData!$B:$P,12,FALSE)</f>
        <v>#N/A</v>
      </c>
      <c r="N857" t="e">
        <f>VLOOKUP(A858,[1]timesData!$B:$P,13,FALSE)</f>
        <v>#N/A</v>
      </c>
      <c r="O857">
        <f>VLOOKUP(A857,[2]cwurData!$B:$P,14,FALSE)</f>
        <v>164</v>
      </c>
      <c r="P857">
        <f>VLOOKUP(A857,[2]cwurData!$B:$N, 3, FALSE)</f>
        <v>72</v>
      </c>
      <c r="Q857">
        <f>VLOOKUP(A857,[2]cwurData!$B:$N, 4, FALSE)</f>
        <v>355</v>
      </c>
      <c r="R857">
        <f>VLOOKUP(A857,[2]cwurData!$B:$N, 5, FALSE)</f>
        <v>478</v>
      </c>
      <c r="S857">
        <f>VLOOKUP(A857,[2]cwurData!$B:$N, 6, FALSE)</f>
        <v>210</v>
      </c>
      <c r="T857">
        <f>VLOOKUP(A857,[2]cwurData!$B:$N, 7, FALSE)</f>
        <v>139</v>
      </c>
      <c r="U857">
        <f>VLOOKUP(A857,[2]cwurData!$B:$N, 8, FALSE)</f>
        <v>114</v>
      </c>
      <c r="V857">
        <f>VLOOKUP(A857,[2]cwurData!$B:$N, 9, FALSE)</f>
        <v>134</v>
      </c>
      <c r="W857">
        <f>VLOOKUP(A857,[2]cwurData!$B:$N, 10, FALSE)</f>
        <v>74</v>
      </c>
      <c r="X857">
        <f>VLOOKUP(A857,[2]cwurData!$B:$N, 11, FALSE)</f>
        <v>194</v>
      </c>
      <c r="Y857">
        <f>VLOOKUP(A857,[2]cwurData!$B:$N, 12, FALSE)</f>
        <v>48.88</v>
      </c>
      <c r="Z857">
        <f>VLOOKUP(A857,[2]cwurData!$B:$N, 13, FALSE)</f>
        <v>2014</v>
      </c>
    </row>
    <row r="858" spans="1:26" x14ac:dyDescent="0.3">
      <c r="A858" t="s">
        <v>858</v>
      </c>
      <c r="B858" t="str">
        <f>IFERROR(VLOOKUP(A858,[1]timesData!$B:$P,2,FALSE),VLOOKUP(A858,[2]cwurData!$B:$P,2,FALSE))</f>
        <v>USA</v>
      </c>
      <c r="C858" t="e">
        <f>VLOOKUP(A858,[1]timesData!$B:$P,3,FALSE)</f>
        <v>#N/A</v>
      </c>
      <c r="D858" t="e">
        <f>VLOOKUP(A859,[1]timesData!$B:$P,3,FALSE)</f>
        <v>#N/A</v>
      </c>
      <c r="E858" t="e">
        <f>VLOOKUP(A859,[1]timesData!$B:$P,4,FALSE)</f>
        <v>#N/A</v>
      </c>
      <c r="F858" t="e">
        <f>VLOOKUP(A859,[1]timesData!$B:$P,5,FALSE)</f>
        <v>#N/A</v>
      </c>
      <c r="G858" t="e">
        <f>VLOOKUP(A859,[1]timesData!$B:$P,6,FALSE)</f>
        <v>#N/A</v>
      </c>
      <c r="H858" t="e">
        <f>VLOOKUP(A859,[1]timesData!$B:$P,7,FALSE)</f>
        <v>#N/A</v>
      </c>
      <c r="I858" t="e">
        <f>VLOOKUP(A859,[1]timesData!$B:$P,8,FALSE)</f>
        <v>#N/A</v>
      </c>
      <c r="J858" t="e">
        <f>VLOOKUP(A859,[1]timesData!$B:$P,9,FALSE)</f>
        <v>#N/A</v>
      </c>
      <c r="K858" t="e">
        <f>VLOOKUP(A859,[1]timesData!$B:$P,10,FALSE)</f>
        <v>#N/A</v>
      </c>
      <c r="L858" t="e">
        <f>VLOOKUP(A859,[1]timesData!$B:$P,11,FALSE)</f>
        <v>#N/A</v>
      </c>
      <c r="M858" t="e">
        <f>VLOOKUP(A859,[1]timesData!$B:$P,12,FALSE)</f>
        <v>#N/A</v>
      </c>
      <c r="N858" t="e">
        <f>VLOOKUP(A859,[1]timesData!$B:$P,13,FALSE)</f>
        <v>#N/A</v>
      </c>
      <c r="O858">
        <f>VLOOKUP(A858,[2]cwurData!$B:$P,14,FALSE)</f>
        <v>165</v>
      </c>
      <c r="P858">
        <f>VLOOKUP(A858,[2]cwurData!$B:$N, 3, FALSE)</f>
        <v>73</v>
      </c>
      <c r="Q858">
        <f>VLOOKUP(A858,[2]cwurData!$B:$N, 4, FALSE)</f>
        <v>355</v>
      </c>
      <c r="R858">
        <f>VLOOKUP(A858,[2]cwurData!$B:$N, 5, FALSE)</f>
        <v>478</v>
      </c>
      <c r="S858">
        <f>VLOOKUP(A858,[2]cwurData!$B:$N, 6, FALSE)</f>
        <v>210</v>
      </c>
      <c r="T858">
        <f>VLOOKUP(A858,[2]cwurData!$B:$N, 7, FALSE)</f>
        <v>169</v>
      </c>
      <c r="U858">
        <f>VLOOKUP(A858,[2]cwurData!$B:$N, 8, FALSE)</f>
        <v>80</v>
      </c>
      <c r="V858">
        <f>VLOOKUP(A858,[2]cwurData!$B:$N, 9, FALSE)</f>
        <v>176</v>
      </c>
      <c r="W858">
        <f>VLOOKUP(A858,[2]cwurData!$B:$N, 10, FALSE)</f>
        <v>64</v>
      </c>
      <c r="X858">
        <f>VLOOKUP(A858,[2]cwurData!$B:$N, 11, FALSE)</f>
        <v>159</v>
      </c>
      <c r="Y858">
        <f>VLOOKUP(A858,[2]cwurData!$B:$N, 12, FALSE)</f>
        <v>48.85</v>
      </c>
      <c r="Z858">
        <f>VLOOKUP(A858,[2]cwurData!$B:$N, 13, FALSE)</f>
        <v>2014</v>
      </c>
    </row>
    <row r="859" spans="1:26" x14ac:dyDescent="0.3">
      <c r="A859" t="s">
        <v>859</v>
      </c>
      <c r="B859" t="str">
        <f>IFERROR(VLOOKUP(A859,[1]timesData!$B:$P,2,FALSE),VLOOKUP(A859,[2]cwurData!$B:$P,2,FALSE))</f>
        <v>USA</v>
      </c>
      <c r="C859" t="e">
        <f>VLOOKUP(A859,[1]timesData!$B:$P,3,FALSE)</f>
        <v>#N/A</v>
      </c>
      <c r="D859" t="e">
        <f>VLOOKUP(A860,[1]timesData!$B:$P,3,FALSE)</f>
        <v>#N/A</v>
      </c>
      <c r="E859" t="e">
        <f>VLOOKUP(A860,[1]timesData!$B:$P,4,FALSE)</f>
        <v>#N/A</v>
      </c>
      <c r="F859" t="e">
        <f>VLOOKUP(A860,[1]timesData!$B:$P,5,FALSE)</f>
        <v>#N/A</v>
      </c>
      <c r="G859" t="e">
        <f>VLOOKUP(A860,[1]timesData!$B:$P,6,FALSE)</f>
        <v>#N/A</v>
      </c>
      <c r="H859" t="e">
        <f>VLOOKUP(A860,[1]timesData!$B:$P,7,FALSE)</f>
        <v>#N/A</v>
      </c>
      <c r="I859" t="e">
        <f>VLOOKUP(A860,[1]timesData!$B:$P,8,FALSE)</f>
        <v>#N/A</v>
      </c>
      <c r="J859" t="e">
        <f>VLOOKUP(A860,[1]timesData!$B:$P,9,FALSE)</f>
        <v>#N/A</v>
      </c>
      <c r="K859" t="e">
        <f>VLOOKUP(A860,[1]timesData!$B:$P,10,FALSE)</f>
        <v>#N/A</v>
      </c>
      <c r="L859" t="e">
        <f>VLOOKUP(A860,[1]timesData!$B:$P,11,FALSE)</f>
        <v>#N/A</v>
      </c>
      <c r="M859" t="e">
        <f>VLOOKUP(A860,[1]timesData!$B:$P,12,FALSE)</f>
        <v>#N/A</v>
      </c>
      <c r="N859" t="e">
        <f>VLOOKUP(A860,[1]timesData!$B:$P,13,FALSE)</f>
        <v>#N/A</v>
      </c>
      <c r="O859">
        <f>VLOOKUP(A859,[2]cwurData!$B:$P,14,FALSE)</f>
        <v>173</v>
      </c>
      <c r="P859">
        <f>VLOOKUP(A859,[2]cwurData!$B:$N, 3, FALSE)</f>
        <v>76</v>
      </c>
      <c r="Q859">
        <f>VLOOKUP(A859,[2]cwurData!$B:$N, 4, FALSE)</f>
        <v>355</v>
      </c>
      <c r="R859">
        <f>VLOOKUP(A859,[2]cwurData!$B:$N, 5, FALSE)</f>
        <v>284</v>
      </c>
      <c r="S859">
        <f>VLOOKUP(A859,[2]cwurData!$B:$N, 6, FALSE)</f>
        <v>210</v>
      </c>
      <c r="T859">
        <f>VLOOKUP(A859,[2]cwurData!$B:$N, 7, FALSE)</f>
        <v>242</v>
      </c>
      <c r="U859">
        <f>VLOOKUP(A859,[2]cwurData!$B:$N, 8, FALSE)</f>
        <v>263</v>
      </c>
      <c r="V859">
        <f>VLOOKUP(A859,[2]cwurData!$B:$N, 9, FALSE)</f>
        <v>159</v>
      </c>
      <c r="W859">
        <f>VLOOKUP(A859,[2]cwurData!$B:$N, 10, FALSE)</f>
        <v>164</v>
      </c>
      <c r="X859">
        <f>VLOOKUP(A859,[2]cwurData!$B:$N, 11, FALSE)</f>
        <v>51</v>
      </c>
      <c r="Y859">
        <f>VLOOKUP(A859,[2]cwurData!$B:$N, 12, FALSE)</f>
        <v>48.65</v>
      </c>
      <c r="Z859">
        <f>VLOOKUP(A859,[2]cwurData!$B:$N, 13, FALSE)</f>
        <v>2014</v>
      </c>
    </row>
    <row r="860" spans="1:26" x14ac:dyDescent="0.3">
      <c r="A860" t="s">
        <v>860</v>
      </c>
      <c r="B860" t="str">
        <f>IFERROR(VLOOKUP(A860,[1]timesData!$B:$P,2,FALSE),VLOOKUP(A860,[2]cwurData!$B:$P,2,FALSE))</f>
        <v>USA</v>
      </c>
      <c r="C860" t="e">
        <f>VLOOKUP(A860,[1]timesData!$B:$P,3,FALSE)</f>
        <v>#N/A</v>
      </c>
      <c r="D860" t="e">
        <f>VLOOKUP(A861,[1]timesData!$B:$P,3,FALSE)</f>
        <v>#N/A</v>
      </c>
      <c r="E860" t="e">
        <f>VLOOKUP(A861,[1]timesData!$B:$P,4,FALSE)</f>
        <v>#N/A</v>
      </c>
      <c r="F860" t="e">
        <f>VLOOKUP(A861,[1]timesData!$B:$P,5,FALSE)</f>
        <v>#N/A</v>
      </c>
      <c r="G860" t="e">
        <f>VLOOKUP(A861,[1]timesData!$B:$P,6,FALSE)</f>
        <v>#N/A</v>
      </c>
      <c r="H860" t="e">
        <f>VLOOKUP(A861,[1]timesData!$B:$P,7,FALSE)</f>
        <v>#N/A</v>
      </c>
      <c r="I860" t="e">
        <f>VLOOKUP(A861,[1]timesData!$B:$P,8,FALSE)</f>
        <v>#N/A</v>
      </c>
      <c r="J860" t="e">
        <f>VLOOKUP(A861,[1]timesData!$B:$P,9,FALSE)</f>
        <v>#N/A</v>
      </c>
      <c r="K860" t="e">
        <f>VLOOKUP(A861,[1]timesData!$B:$P,10,FALSE)</f>
        <v>#N/A</v>
      </c>
      <c r="L860" t="e">
        <f>VLOOKUP(A861,[1]timesData!$B:$P,11,FALSE)</f>
        <v>#N/A</v>
      </c>
      <c r="M860" t="e">
        <f>VLOOKUP(A861,[1]timesData!$B:$P,12,FALSE)</f>
        <v>#N/A</v>
      </c>
      <c r="N860" t="e">
        <f>VLOOKUP(A861,[1]timesData!$B:$P,13,FALSE)</f>
        <v>#N/A</v>
      </c>
      <c r="O860">
        <f>VLOOKUP(A860,[2]cwurData!$B:$P,14,FALSE)</f>
        <v>175</v>
      </c>
      <c r="P860">
        <f>VLOOKUP(A860,[2]cwurData!$B:$N, 3, FALSE)</f>
        <v>77</v>
      </c>
      <c r="Q860">
        <f>VLOOKUP(A860,[2]cwurData!$B:$N, 4, FALSE)</f>
        <v>355</v>
      </c>
      <c r="R860">
        <f>VLOOKUP(A860,[2]cwurData!$B:$N, 5, FALSE)</f>
        <v>478</v>
      </c>
      <c r="S860">
        <f>VLOOKUP(A860,[2]cwurData!$B:$N, 6, FALSE)</f>
        <v>119</v>
      </c>
      <c r="T860">
        <f>VLOOKUP(A860,[2]cwurData!$B:$N, 7, FALSE)</f>
        <v>191</v>
      </c>
      <c r="U860">
        <f>VLOOKUP(A860,[2]cwurData!$B:$N, 8, FALSE)</f>
        <v>124</v>
      </c>
      <c r="V860">
        <f>VLOOKUP(A860,[2]cwurData!$B:$N, 9, FALSE)</f>
        <v>107</v>
      </c>
      <c r="W860">
        <f>VLOOKUP(A860,[2]cwurData!$B:$N, 10, FALSE)</f>
        <v>92</v>
      </c>
      <c r="X860">
        <f>VLOOKUP(A860,[2]cwurData!$B:$N, 11, FALSE)</f>
        <v>227</v>
      </c>
      <c r="Y860">
        <f>VLOOKUP(A860,[2]cwurData!$B:$N, 12, FALSE)</f>
        <v>48.61</v>
      </c>
      <c r="Z860">
        <f>VLOOKUP(A860,[2]cwurData!$B:$N, 13, FALSE)</f>
        <v>2014</v>
      </c>
    </row>
    <row r="861" spans="1:26" x14ac:dyDescent="0.3">
      <c r="A861" t="s">
        <v>861</v>
      </c>
      <c r="B861" t="str">
        <f>IFERROR(VLOOKUP(A861,[1]timesData!$B:$P,2,FALSE),VLOOKUP(A861,[2]cwurData!$B:$P,2,FALSE))</f>
        <v>USA</v>
      </c>
      <c r="C861" t="e">
        <f>VLOOKUP(A861,[1]timesData!$B:$P,3,FALSE)</f>
        <v>#N/A</v>
      </c>
      <c r="D861" t="e">
        <f>VLOOKUP(A862,[1]timesData!$B:$P,3,FALSE)</f>
        <v>#N/A</v>
      </c>
      <c r="E861" t="e">
        <f>VLOOKUP(A862,[1]timesData!$B:$P,4,FALSE)</f>
        <v>#N/A</v>
      </c>
      <c r="F861" t="e">
        <f>VLOOKUP(A862,[1]timesData!$B:$P,5,FALSE)</f>
        <v>#N/A</v>
      </c>
      <c r="G861" t="e">
        <f>VLOOKUP(A862,[1]timesData!$B:$P,6,FALSE)</f>
        <v>#N/A</v>
      </c>
      <c r="H861" t="e">
        <f>VLOOKUP(A862,[1]timesData!$B:$P,7,FALSE)</f>
        <v>#N/A</v>
      </c>
      <c r="I861" t="e">
        <f>VLOOKUP(A862,[1]timesData!$B:$P,8,FALSE)</f>
        <v>#N/A</v>
      </c>
      <c r="J861" t="e">
        <f>VLOOKUP(A862,[1]timesData!$B:$P,9,FALSE)</f>
        <v>#N/A</v>
      </c>
      <c r="K861" t="e">
        <f>VLOOKUP(A862,[1]timesData!$B:$P,10,FALSE)</f>
        <v>#N/A</v>
      </c>
      <c r="L861" t="e">
        <f>VLOOKUP(A862,[1]timesData!$B:$P,11,FALSE)</f>
        <v>#N/A</v>
      </c>
      <c r="M861" t="e">
        <f>VLOOKUP(A862,[1]timesData!$B:$P,12,FALSE)</f>
        <v>#N/A</v>
      </c>
      <c r="N861" t="e">
        <f>VLOOKUP(A862,[1]timesData!$B:$P,13,FALSE)</f>
        <v>#N/A</v>
      </c>
      <c r="O861">
        <f>VLOOKUP(A861,[2]cwurData!$B:$P,14,FALSE)</f>
        <v>183</v>
      </c>
      <c r="P861">
        <f>VLOOKUP(A861,[2]cwurData!$B:$N, 3, FALSE)</f>
        <v>81</v>
      </c>
      <c r="Q861">
        <f>VLOOKUP(A861,[2]cwurData!$B:$N, 4, FALSE)</f>
        <v>355</v>
      </c>
      <c r="R861">
        <f>VLOOKUP(A861,[2]cwurData!$B:$N, 5, FALSE)</f>
        <v>478</v>
      </c>
      <c r="S861">
        <f>VLOOKUP(A861,[2]cwurData!$B:$N, 6, FALSE)</f>
        <v>210</v>
      </c>
      <c r="T861">
        <f>VLOOKUP(A861,[2]cwurData!$B:$N, 7, FALSE)</f>
        <v>125</v>
      </c>
      <c r="U861">
        <f>VLOOKUP(A861,[2]cwurData!$B:$N, 8, FALSE)</f>
        <v>102</v>
      </c>
      <c r="V861">
        <f>VLOOKUP(A861,[2]cwurData!$B:$N, 9, FALSE)</f>
        <v>134</v>
      </c>
      <c r="W861">
        <f>VLOOKUP(A861,[2]cwurData!$B:$N, 10, FALSE)</f>
        <v>114</v>
      </c>
      <c r="X861">
        <f>VLOOKUP(A861,[2]cwurData!$B:$N, 11, FALSE)</f>
        <v>280</v>
      </c>
      <c r="Y861">
        <f>VLOOKUP(A861,[2]cwurData!$B:$N, 12, FALSE)</f>
        <v>48.4</v>
      </c>
      <c r="Z861">
        <f>VLOOKUP(A861,[2]cwurData!$B:$N, 13, FALSE)</f>
        <v>2014</v>
      </c>
    </row>
    <row r="862" spans="1:26" x14ac:dyDescent="0.3">
      <c r="A862" t="s">
        <v>862</v>
      </c>
      <c r="B862" t="str">
        <f>IFERROR(VLOOKUP(A862,[1]timesData!$B:$P,2,FALSE),VLOOKUP(A862,[2]cwurData!$B:$P,2,FALSE))</f>
        <v>USA</v>
      </c>
      <c r="C862" t="e">
        <f>VLOOKUP(A862,[1]timesData!$B:$P,3,FALSE)</f>
        <v>#N/A</v>
      </c>
      <c r="D862" t="e">
        <f>VLOOKUP(A863,[1]timesData!$B:$P,3,FALSE)</f>
        <v>#N/A</v>
      </c>
      <c r="E862" t="e">
        <f>VLOOKUP(A863,[1]timesData!$B:$P,4,FALSE)</f>
        <v>#N/A</v>
      </c>
      <c r="F862" t="e">
        <f>VLOOKUP(A863,[1]timesData!$B:$P,5,FALSE)</f>
        <v>#N/A</v>
      </c>
      <c r="G862" t="e">
        <f>VLOOKUP(A863,[1]timesData!$B:$P,6,FALSE)</f>
        <v>#N/A</v>
      </c>
      <c r="H862" t="e">
        <f>VLOOKUP(A863,[1]timesData!$B:$P,7,FALSE)</f>
        <v>#N/A</v>
      </c>
      <c r="I862" t="e">
        <f>VLOOKUP(A863,[1]timesData!$B:$P,8,FALSE)</f>
        <v>#N/A</v>
      </c>
      <c r="J862" t="e">
        <f>VLOOKUP(A863,[1]timesData!$B:$P,9,FALSE)</f>
        <v>#N/A</v>
      </c>
      <c r="K862" t="e">
        <f>VLOOKUP(A863,[1]timesData!$B:$P,10,FALSE)</f>
        <v>#N/A</v>
      </c>
      <c r="L862" t="e">
        <f>VLOOKUP(A863,[1]timesData!$B:$P,11,FALSE)</f>
        <v>#N/A</v>
      </c>
      <c r="M862" t="e">
        <f>VLOOKUP(A863,[1]timesData!$B:$P,12,FALSE)</f>
        <v>#N/A</v>
      </c>
      <c r="N862" t="e">
        <f>VLOOKUP(A863,[1]timesData!$B:$P,13,FALSE)</f>
        <v>#N/A</v>
      </c>
      <c r="O862">
        <f>VLOOKUP(A862,[2]cwurData!$B:$P,14,FALSE)</f>
        <v>193</v>
      </c>
      <c r="P862">
        <f>VLOOKUP(A862,[2]cwurData!$B:$N, 3, FALSE)</f>
        <v>84</v>
      </c>
      <c r="Q862">
        <f>VLOOKUP(A862,[2]cwurData!$B:$N, 4, FALSE)</f>
        <v>355</v>
      </c>
      <c r="R862">
        <f>VLOOKUP(A862,[2]cwurData!$B:$N, 5, FALSE)</f>
        <v>478</v>
      </c>
      <c r="S862">
        <f>VLOOKUP(A862,[2]cwurData!$B:$N, 6, FALSE)</f>
        <v>136</v>
      </c>
      <c r="T862">
        <f>VLOOKUP(A862,[2]cwurData!$B:$N, 7, FALSE)</f>
        <v>288</v>
      </c>
      <c r="U862">
        <f>VLOOKUP(A862,[2]cwurData!$B:$N, 8, FALSE)</f>
        <v>72</v>
      </c>
      <c r="V862">
        <f>VLOOKUP(A862,[2]cwurData!$B:$N, 9, FALSE)</f>
        <v>187</v>
      </c>
      <c r="W862">
        <f>VLOOKUP(A862,[2]cwurData!$B:$N, 10, FALSE)</f>
        <v>118</v>
      </c>
      <c r="X862">
        <f>VLOOKUP(A862,[2]cwurData!$B:$N, 11, FALSE)</f>
        <v>170</v>
      </c>
      <c r="Y862">
        <f>VLOOKUP(A862,[2]cwurData!$B:$N, 12, FALSE)</f>
        <v>48.06</v>
      </c>
      <c r="Z862">
        <f>VLOOKUP(A862,[2]cwurData!$B:$N, 13, FALSE)</f>
        <v>2014</v>
      </c>
    </row>
    <row r="863" spans="1:26" x14ac:dyDescent="0.3">
      <c r="A863" t="s">
        <v>863</v>
      </c>
      <c r="B863" t="str">
        <f>IFERROR(VLOOKUP(A863,[1]timesData!$B:$P,2,FALSE),VLOOKUP(A863,[2]cwurData!$B:$P,2,FALSE))</f>
        <v>USA</v>
      </c>
      <c r="C863" t="e">
        <f>VLOOKUP(A863,[1]timesData!$B:$P,3,FALSE)</f>
        <v>#N/A</v>
      </c>
      <c r="D863" t="e">
        <f>VLOOKUP(A864,[1]timesData!$B:$P,3,FALSE)</f>
        <v>#N/A</v>
      </c>
      <c r="E863" t="e">
        <f>VLOOKUP(A864,[1]timesData!$B:$P,4,FALSE)</f>
        <v>#N/A</v>
      </c>
      <c r="F863" t="e">
        <f>VLOOKUP(A864,[1]timesData!$B:$P,5,FALSE)</f>
        <v>#N/A</v>
      </c>
      <c r="G863" t="e">
        <f>VLOOKUP(A864,[1]timesData!$B:$P,6,FALSE)</f>
        <v>#N/A</v>
      </c>
      <c r="H863" t="e">
        <f>VLOOKUP(A864,[1]timesData!$B:$P,7,FALSE)</f>
        <v>#N/A</v>
      </c>
      <c r="I863" t="e">
        <f>VLOOKUP(A864,[1]timesData!$B:$P,8,FALSE)</f>
        <v>#N/A</v>
      </c>
      <c r="J863" t="e">
        <f>VLOOKUP(A864,[1]timesData!$B:$P,9,FALSE)</f>
        <v>#N/A</v>
      </c>
      <c r="K863" t="e">
        <f>VLOOKUP(A864,[1]timesData!$B:$P,10,FALSE)</f>
        <v>#N/A</v>
      </c>
      <c r="L863" t="e">
        <f>VLOOKUP(A864,[1]timesData!$B:$P,11,FALSE)</f>
        <v>#N/A</v>
      </c>
      <c r="M863" t="e">
        <f>VLOOKUP(A864,[1]timesData!$B:$P,12,FALSE)</f>
        <v>#N/A</v>
      </c>
      <c r="N863" t="e">
        <f>VLOOKUP(A864,[1]timesData!$B:$P,13,FALSE)</f>
        <v>#N/A</v>
      </c>
      <c r="O863">
        <f>VLOOKUP(A863,[2]cwurData!$B:$P,14,FALSE)</f>
        <v>196</v>
      </c>
      <c r="P863">
        <f>VLOOKUP(A863,[2]cwurData!$B:$N, 3, FALSE)</f>
        <v>85</v>
      </c>
      <c r="Q863">
        <f>VLOOKUP(A863,[2]cwurData!$B:$N, 4, FALSE)</f>
        <v>243</v>
      </c>
      <c r="R863">
        <f>VLOOKUP(A863,[2]cwurData!$B:$N, 5, FALSE)</f>
        <v>96</v>
      </c>
      <c r="S863">
        <f>VLOOKUP(A863,[2]cwurData!$B:$N, 6, FALSE)</f>
        <v>97</v>
      </c>
      <c r="T863">
        <f>VLOOKUP(A863,[2]cwurData!$B:$N, 7, FALSE)</f>
        <v>220</v>
      </c>
      <c r="U863">
        <f>VLOOKUP(A863,[2]cwurData!$B:$N, 8, FALSE)</f>
        <v>213</v>
      </c>
      <c r="V863">
        <f>VLOOKUP(A863,[2]cwurData!$B:$N, 9, FALSE)</f>
        <v>220</v>
      </c>
      <c r="W863">
        <f>VLOOKUP(A863,[2]cwurData!$B:$N, 10, FALSE)</f>
        <v>234</v>
      </c>
      <c r="X863">
        <f>VLOOKUP(A863,[2]cwurData!$B:$N, 11, FALSE)</f>
        <v>149</v>
      </c>
      <c r="Y863">
        <f>VLOOKUP(A863,[2]cwurData!$B:$N, 12, FALSE)</f>
        <v>48.02</v>
      </c>
      <c r="Z863">
        <f>VLOOKUP(A863,[2]cwurData!$B:$N, 13, FALSE)</f>
        <v>2014</v>
      </c>
    </row>
    <row r="864" spans="1:26" x14ac:dyDescent="0.3">
      <c r="A864" t="s">
        <v>864</v>
      </c>
      <c r="B864" t="str">
        <f>IFERROR(VLOOKUP(A864,[1]timesData!$B:$P,2,FALSE),VLOOKUP(A864,[2]cwurData!$B:$P,2,FALSE))</f>
        <v>Ireland</v>
      </c>
      <c r="C864" t="e">
        <f>VLOOKUP(A864,[1]timesData!$B:$P,3,FALSE)</f>
        <v>#N/A</v>
      </c>
      <c r="D864" t="e">
        <f>VLOOKUP(A865,[1]timesData!$B:$P,3,FALSE)</f>
        <v>#N/A</v>
      </c>
      <c r="E864" t="e">
        <f>VLOOKUP(A865,[1]timesData!$B:$P,4,FALSE)</f>
        <v>#N/A</v>
      </c>
      <c r="F864" t="e">
        <f>VLOOKUP(A865,[1]timesData!$B:$P,5,FALSE)</f>
        <v>#N/A</v>
      </c>
      <c r="G864" t="e">
        <f>VLOOKUP(A865,[1]timesData!$B:$P,6,FALSE)</f>
        <v>#N/A</v>
      </c>
      <c r="H864" t="e">
        <f>VLOOKUP(A865,[1]timesData!$B:$P,7,FALSE)</f>
        <v>#N/A</v>
      </c>
      <c r="I864" t="e">
        <f>VLOOKUP(A865,[1]timesData!$B:$P,8,FALSE)</f>
        <v>#N/A</v>
      </c>
      <c r="J864" t="e">
        <f>VLOOKUP(A865,[1]timesData!$B:$P,9,FALSE)</f>
        <v>#N/A</v>
      </c>
      <c r="K864" t="e">
        <f>VLOOKUP(A865,[1]timesData!$B:$P,10,FALSE)</f>
        <v>#N/A</v>
      </c>
      <c r="L864" t="e">
        <f>VLOOKUP(A865,[1]timesData!$B:$P,11,FALSE)</f>
        <v>#N/A</v>
      </c>
      <c r="M864" t="e">
        <f>VLOOKUP(A865,[1]timesData!$B:$P,12,FALSE)</f>
        <v>#N/A</v>
      </c>
      <c r="N864" t="e">
        <f>VLOOKUP(A865,[1]timesData!$B:$P,13,FALSE)</f>
        <v>#N/A</v>
      </c>
      <c r="O864">
        <f>VLOOKUP(A864,[2]cwurData!$B:$P,14,FALSE)</f>
        <v>200</v>
      </c>
      <c r="P864">
        <f>VLOOKUP(A864,[2]cwurData!$B:$N, 3, FALSE)</f>
        <v>1</v>
      </c>
      <c r="Q864">
        <f>VLOOKUP(A864,[2]cwurData!$B:$N, 4, FALSE)</f>
        <v>319</v>
      </c>
      <c r="R864">
        <f>VLOOKUP(A864,[2]cwurData!$B:$N, 5, FALSE)</f>
        <v>68</v>
      </c>
      <c r="S864">
        <f>VLOOKUP(A864,[2]cwurData!$B:$N, 6, FALSE)</f>
        <v>193</v>
      </c>
      <c r="T864">
        <f>VLOOKUP(A864,[2]cwurData!$B:$N, 7, FALSE)</f>
        <v>301</v>
      </c>
      <c r="U864">
        <f>VLOOKUP(A864,[2]cwurData!$B:$N, 8, FALSE)</f>
        <v>249</v>
      </c>
      <c r="V864">
        <f>VLOOKUP(A864,[2]cwurData!$B:$N, 9, FALSE)</f>
        <v>150</v>
      </c>
      <c r="W864">
        <f>VLOOKUP(A864,[2]cwurData!$B:$N, 10, FALSE)</f>
        <v>201</v>
      </c>
      <c r="X864">
        <f>VLOOKUP(A864,[2]cwurData!$B:$N, 11, FALSE)</f>
        <v>227</v>
      </c>
      <c r="Y864">
        <f>VLOOKUP(A864,[2]cwurData!$B:$N, 12, FALSE)</f>
        <v>47.96</v>
      </c>
      <c r="Z864">
        <f>VLOOKUP(A864,[2]cwurData!$B:$N, 13, FALSE)</f>
        <v>2014</v>
      </c>
    </row>
    <row r="865" spans="1:26" x14ac:dyDescent="0.3">
      <c r="A865" t="s">
        <v>865</v>
      </c>
      <c r="B865" t="str">
        <f>IFERROR(VLOOKUP(A865,[1]timesData!$B:$P,2,FALSE),VLOOKUP(A865,[2]cwurData!$B:$P,2,FALSE))</f>
        <v>South Korea</v>
      </c>
      <c r="C865" t="e">
        <f>VLOOKUP(A865,[1]timesData!$B:$P,3,FALSE)</f>
        <v>#N/A</v>
      </c>
      <c r="D865" t="e">
        <f>VLOOKUP(A866,[1]timesData!$B:$P,3,FALSE)</f>
        <v>#N/A</v>
      </c>
      <c r="E865" t="e">
        <f>VLOOKUP(A866,[1]timesData!$B:$P,4,FALSE)</f>
        <v>#N/A</v>
      </c>
      <c r="F865" t="e">
        <f>VLOOKUP(A866,[1]timesData!$B:$P,5,FALSE)</f>
        <v>#N/A</v>
      </c>
      <c r="G865" t="e">
        <f>VLOOKUP(A866,[1]timesData!$B:$P,6,FALSE)</f>
        <v>#N/A</v>
      </c>
      <c r="H865" t="e">
        <f>VLOOKUP(A866,[1]timesData!$B:$P,7,FALSE)</f>
        <v>#N/A</v>
      </c>
      <c r="I865" t="e">
        <f>VLOOKUP(A866,[1]timesData!$B:$P,8,FALSE)</f>
        <v>#N/A</v>
      </c>
      <c r="J865" t="e">
        <f>VLOOKUP(A866,[1]timesData!$B:$P,9,FALSE)</f>
        <v>#N/A</v>
      </c>
      <c r="K865" t="e">
        <f>VLOOKUP(A866,[1]timesData!$B:$P,10,FALSE)</f>
        <v>#N/A</v>
      </c>
      <c r="L865" t="e">
        <f>VLOOKUP(A866,[1]timesData!$B:$P,11,FALSE)</f>
        <v>#N/A</v>
      </c>
      <c r="M865" t="e">
        <f>VLOOKUP(A866,[1]timesData!$B:$P,12,FALSE)</f>
        <v>#N/A</v>
      </c>
      <c r="N865" t="e">
        <f>VLOOKUP(A866,[1]timesData!$B:$P,13,FALSE)</f>
        <v>#N/A</v>
      </c>
      <c r="O865">
        <f>VLOOKUP(A865,[2]cwurData!$B:$P,14,FALSE)</f>
        <v>204</v>
      </c>
      <c r="P865">
        <f>VLOOKUP(A865,[2]cwurData!$B:$N, 3, FALSE)</f>
        <v>7</v>
      </c>
      <c r="Q865">
        <f>VLOOKUP(A865,[2]cwurData!$B:$N, 4, FALSE)</f>
        <v>355</v>
      </c>
      <c r="R865">
        <f>VLOOKUP(A865,[2]cwurData!$B:$N, 5, FALSE)</f>
        <v>191</v>
      </c>
      <c r="S865">
        <f>VLOOKUP(A865,[2]cwurData!$B:$N, 6, FALSE)</f>
        <v>210</v>
      </c>
      <c r="T865">
        <f>VLOOKUP(A865,[2]cwurData!$B:$N, 7, FALSE)</f>
        <v>206</v>
      </c>
      <c r="U865">
        <f>VLOOKUP(A865,[2]cwurData!$B:$N, 8, FALSE)</f>
        <v>331</v>
      </c>
      <c r="V865">
        <f>VLOOKUP(A865,[2]cwurData!$B:$N, 9, FALSE)</f>
        <v>187</v>
      </c>
      <c r="W865">
        <f>VLOOKUP(A865,[2]cwurData!$B:$N, 10, FALSE)</f>
        <v>295</v>
      </c>
      <c r="X865">
        <f>VLOOKUP(A865,[2]cwurData!$B:$N, 11, FALSE)</f>
        <v>54</v>
      </c>
      <c r="Y865">
        <f>VLOOKUP(A865,[2]cwurData!$B:$N, 12, FALSE)</f>
        <v>47.79</v>
      </c>
      <c r="Z865">
        <f>VLOOKUP(A865,[2]cwurData!$B:$N, 13, FALSE)</f>
        <v>2014</v>
      </c>
    </row>
    <row r="866" spans="1:26" x14ac:dyDescent="0.3">
      <c r="A866" t="s">
        <v>866</v>
      </c>
      <c r="B866" t="str">
        <f>IFERROR(VLOOKUP(A866,[1]timesData!$B:$P,2,FALSE),VLOOKUP(A866,[2]cwurData!$B:$P,2,FALSE))</f>
        <v>USA</v>
      </c>
      <c r="C866" t="e">
        <f>VLOOKUP(A866,[1]timesData!$B:$P,3,FALSE)</f>
        <v>#N/A</v>
      </c>
      <c r="D866" t="e">
        <f>VLOOKUP(A867,[1]timesData!$B:$P,3,FALSE)</f>
        <v>#N/A</v>
      </c>
      <c r="E866" t="e">
        <f>VLOOKUP(A867,[1]timesData!$B:$P,4,FALSE)</f>
        <v>#N/A</v>
      </c>
      <c r="F866" t="e">
        <f>VLOOKUP(A867,[1]timesData!$B:$P,5,FALSE)</f>
        <v>#N/A</v>
      </c>
      <c r="G866" t="e">
        <f>VLOOKUP(A867,[1]timesData!$B:$P,6,FALSE)</f>
        <v>#N/A</v>
      </c>
      <c r="H866" t="e">
        <f>VLOOKUP(A867,[1]timesData!$B:$P,7,FALSE)</f>
        <v>#N/A</v>
      </c>
      <c r="I866" t="e">
        <f>VLOOKUP(A867,[1]timesData!$B:$P,8,FALSE)</f>
        <v>#N/A</v>
      </c>
      <c r="J866" t="e">
        <f>VLOOKUP(A867,[1]timesData!$B:$P,9,FALSE)</f>
        <v>#N/A</v>
      </c>
      <c r="K866" t="e">
        <f>VLOOKUP(A867,[1]timesData!$B:$P,10,FALSE)</f>
        <v>#N/A</v>
      </c>
      <c r="L866" t="e">
        <f>VLOOKUP(A867,[1]timesData!$B:$P,11,FALSE)</f>
        <v>#N/A</v>
      </c>
      <c r="M866" t="e">
        <f>VLOOKUP(A867,[1]timesData!$B:$P,12,FALSE)</f>
        <v>#N/A</v>
      </c>
      <c r="N866" t="e">
        <f>VLOOKUP(A867,[1]timesData!$B:$P,13,FALSE)</f>
        <v>#N/A</v>
      </c>
      <c r="O866">
        <f>VLOOKUP(A866,[2]cwurData!$B:$P,14,FALSE)</f>
        <v>208</v>
      </c>
      <c r="P866">
        <f>VLOOKUP(A866,[2]cwurData!$B:$N, 3, FALSE)</f>
        <v>88</v>
      </c>
      <c r="Q866">
        <f>VLOOKUP(A866,[2]cwurData!$B:$N, 4, FALSE)</f>
        <v>199</v>
      </c>
      <c r="R866">
        <f>VLOOKUP(A866,[2]cwurData!$B:$N, 5, FALSE)</f>
        <v>118</v>
      </c>
      <c r="S866">
        <f>VLOOKUP(A866,[2]cwurData!$B:$N, 6, FALSE)</f>
        <v>154</v>
      </c>
      <c r="T866">
        <f>VLOOKUP(A866,[2]cwurData!$B:$N, 7, FALSE)</f>
        <v>194</v>
      </c>
      <c r="U866">
        <f>VLOOKUP(A866,[2]cwurData!$B:$N, 8, FALSE)</f>
        <v>190</v>
      </c>
      <c r="V866">
        <f>VLOOKUP(A866,[2]cwurData!$B:$N, 9, FALSE)</f>
        <v>159</v>
      </c>
      <c r="W866">
        <f>VLOOKUP(A866,[2]cwurData!$B:$N, 10, FALSE)</f>
        <v>201</v>
      </c>
      <c r="X866">
        <f>VLOOKUP(A866,[2]cwurData!$B:$N, 11, FALSE)</f>
        <v>373</v>
      </c>
      <c r="Y866">
        <f>VLOOKUP(A866,[2]cwurData!$B:$N, 12, FALSE)</f>
        <v>47.74</v>
      </c>
      <c r="Z866">
        <f>VLOOKUP(A866,[2]cwurData!$B:$N, 13, FALSE)</f>
        <v>2014</v>
      </c>
    </row>
    <row r="867" spans="1:26" x14ac:dyDescent="0.3">
      <c r="A867" t="s">
        <v>867</v>
      </c>
      <c r="B867" t="str">
        <f>IFERROR(VLOOKUP(A867,[1]timesData!$B:$P,2,FALSE),VLOOKUP(A867,[2]cwurData!$B:$P,2,FALSE))</f>
        <v>USA</v>
      </c>
      <c r="C867" t="e">
        <f>VLOOKUP(A867,[1]timesData!$B:$P,3,FALSE)</f>
        <v>#N/A</v>
      </c>
      <c r="D867" t="e">
        <f>VLOOKUP(A868,[1]timesData!$B:$P,3,FALSE)</f>
        <v>#N/A</v>
      </c>
      <c r="E867" t="e">
        <f>VLOOKUP(A868,[1]timesData!$B:$P,4,FALSE)</f>
        <v>#N/A</v>
      </c>
      <c r="F867" t="e">
        <f>VLOOKUP(A868,[1]timesData!$B:$P,5,FALSE)</f>
        <v>#N/A</v>
      </c>
      <c r="G867" t="e">
        <f>VLOOKUP(A868,[1]timesData!$B:$P,6,FALSE)</f>
        <v>#N/A</v>
      </c>
      <c r="H867" t="e">
        <f>VLOOKUP(A868,[1]timesData!$B:$P,7,FALSE)</f>
        <v>#N/A</v>
      </c>
      <c r="I867" t="e">
        <f>VLOOKUP(A868,[1]timesData!$B:$P,8,FALSE)</f>
        <v>#N/A</v>
      </c>
      <c r="J867" t="e">
        <f>VLOOKUP(A868,[1]timesData!$B:$P,9,FALSE)</f>
        <v>#N/A</v>
      </c>
      <c r="K867" t="e">
        <f>VLOOKUP(A868,[1]timesData!$B:$P,10,FALSE)</f>
        <v>#N/A</v>
      </c>
      <c r="L867" t="e">
        <f>VLOOKUP(A868,[1]timesData!$B:$P,11,FALSE)</f>
        <v>#N/A</v>
      </c>
      <c r="M867" t="e">
        <f>VLOOKUP(A868,[1]timesData!$B:$P,12,FALSE)</f>
        <v>#N/A</v>
      </c>
      <c r="N867" t="e">
        <f>VLOOKUP(A868,[1]timesData!$B:$P,13,FALSE)</f>
        <v>#N/A</v>
      </c>
      <c r="O867">
        <f>VLOOKUP(A867,[2]cwurData!$B:$P,14,FALSE)</f>
        <v>216</v>
      </c>
      <c r="P867">
        <f>VLOOKUP(A867,[2]cwurData!$B:$N, 3, FALSE)</f>
        <v>89</v>
      </c>
      <c r="Q867">
        <f>VLOOKUP(A867,[2]cwurData!$B:$N, 4, FALSE)</f>
        <v>256</v>
      </c>
      <c r="R867">
        <f>VLOOKUP(A867,[2]cwurData!$B:$N, 5, FALSE)</f>
        <v>179</v>
      </c>
      <c r="S867">
        <f>VLOOKUP(A867,[2]cwurData!$B:$N, 6, FALSE)</f>
        <v>210</v>
      </c>
      <c r="T867">
        <f>VLOOKUP(A867,[2]cwurData!$B:$N, 7, FALSE)</f>
        <v>162</v>
      </c>
      <c r="U867">
        <f>VLOOKUP(A867,[2]cwurData!$B:$N, 8, FALSE)</f>
        <v>179</v>
      </c>
      <c r="V867">
        <f>VLOOKUP(A867,[2]cwurData!$B:$N, 9, FALSE)</f>
        <v>159</v>
      </c>
      <c r="W867">
        <f>VLOOKUP(A867,[2]cwurData!$B:$N, 10, FALSE)</f>
        <v>176</v>
      </c>
      <c r="X867">
        <f>VLOOKUP(A867,[2]cwurData!$B:$N, 11, FALSE)</f>
        <v>481</v>
      </c>
      <c r="Y867">
        <f>VLOOKUP(A867,[2]cwurData!$B:$N, 12, FALSE)</f>
        <v>47.67</v>
      </c>
      <c r="Z867">
        <f>VLOOKUP(A867,[2]cwurData!$B:$N, 13, FALSE)</f>
        <v>2014</v>
      </c>
    </row>
    <row r="868" spans="1:26" x14ac:dyDescent="0.3">
      <c r="A868" t="s">
        <v>868</v>
      </c>
      <c r="B868" t="str">
        <f>IFERROR(VLOOKUP(A868,[1]timesData!$B:$P,2,FALSE),VLOOKUP(A868,[2]cwurData!$B:$P,2,FALSE))</f>
        <v>Germany</v>
      </c>
      <c r="C868" t="e">
        <f>VLOOKUP(A868,[1]timesData!$B:$P,3,FALSE)</f>
        <v>#N/A</v>
      </c>
      <c r="D868" t="e">
        <f>VLOOKUP(A869,[1]timesData!$B:$P,3,FALSE)</f>
        <v>#N/A</v>
      </c>
      <c r="E868" t="e">
        <f>VLOOKUP(A869,[1]timesData!$B:$P,4,FALSE)</f>
        <v>#N/A</v>
      </c>
      <c r="F868" t="e">
        <f>VLOOKUP(A869,[1]timesData!$B:$P,5,FALSE)</f>
        <v>#N/A</v>
      </c>
      <c r="G868" t="e">
        <f>VLOOKUP(A869,[1]timesData!$B:$P,6,FALSE)</f>
        <v>#N/A</v>
      </c>
      <c r="H868" t="e">
        <f>VLOOKUP(A869,[1]timesData!$B:$P,7,FALSE)</f>
        <v>#N/A</v>
      </c>
      <c r="I868" t="e">
        <f>VLOOKUP(A869,[1]timesData!$B:$P,8,FALSE)</f>
        <v>#N/A</v>
      </c>
      <c r="J868" t="e">
        <f>VLOOKUP(A869,[1]timesData!$B:$P,9,FALSE)</f>
        <v>#N/A</v>
      </c>
      <c r="K868" t="e">
        <f>VLOOKUP(A869,[1]timesData!$B:$P,10,FALSE)</f>
        <v>#N/A</v>
      </c>
      <c r="L868" t="e">
        <f>VLOOKUP(A869,[1]timesData!$B:$P,11,FALSE)</f>
        <v>#N/A</v>
      </c>
      <c r="M868" t="e">
        <f>VLOOKUP(A869,[1]timesData!$B:$P,12,FALSE)</f>
        <v>#N/A</v>
      </c>
      <c r="N868" t="e">
        <f>VLOOKUP(A869,[1]timesData!$B:$P,13,FALSE)</f>
        <v>#N/A</v>
      </c>
      <c r="O868">
        <f>VLOOKUP(A868,[2]cwurData!$B:$P,14,FALSE)</f>
        <v>223</v>
      </c>
      <c r="P868">
        <f>VLOOKUP(A868,[2]cwurData!$B:$N, 3, FALSE)</f>
        <v>16</v>
      </c>
      <c r="Q868">
        <f>VLOOKUP(A868,[2]cwurData!$B:$N, 4, FALSE)</f>
        <v>100</v>
      </c>
      <c r="R868">
        <f>VLOOKUP(A868,[2]cwurData!$B:$N, 5, FALSE)</f>
        <v>407</v>
      </c>
      <c r="S868">
        <f>VLOOKUP(A868,[2]cwurData!$B:$N, 6, FALSE)</f>
        <v>164</v>
      </c>
      <c r="T868">
        <f>VLOOKUP(A868,[2]cwurData!$B:$N, 7, FALSE)</f>
        <v>216</v>
      </c>
      <c r="U868">
        <f>VLOOKUP(A868,[2]cwurData!$B:$N, 8, FALSE)</f>
        <v>178</v>
      </c>
      <c r="V868">
        <f>VLOOKUP(A868,[2]cwurData!$B:$N, 9, FALSE)</f>
        <v>200</v>
      </c>
      <c r="W868">
        <f>VLOOKUP(A868,[2]cwurData!$B:$N, 10, FALSE)</f>
        <v>173</v>
      </c>
      <c r="X868">
        <f>VLOOKUP(A868,[2]cwurData!$B:$N, 11, FALSE)</f>
        <v>481</v>
      </c>
      <c r="Y868">
        <f>VLOOKUP(A868,[2]cwurData!$B:$N, 12, FALSE)</f>
        <v>47.5</v>
      </c>
      <c r="Z868">
        <f>VLOOKUP(A868,[2]cwurData!$B:$N, 13, FALSE)</f>
        <v>2014</v>
      </c>
    </row>
    <row r="869" spans="1:26" x14ac:dyDescent="0.3">
      <c r="A869" t="s">
        <v>1234</v>
      </c>
      <c r="B869" t="str">
        <f>IFERROR(VLOOKUP(A869,[1]timesData!$B:$P,2,FALSE),VLOOKUP(A869,[2]cwurData!$B:$P,2,FALSE))</f>
        <v>France</v>
      </c>
      <c r="C869" t="e">
        <f>VLOOKUP(A869,[1]timesData!$B:$P,3,FALSE)</f>
        <v>#N/A</v>
      </c>
      <c r="D869" t="e">
        <f>VLOOKUP(A870,[1]timesData!$B:$P,3,FALSE)</f>
        <v>#N/A</v>
      </c>
      <c r="E869" t="e">
        <f>VLOOKUP(A870,[1]timesData!$B:$P,4,FALSE)</f>
        <v>#N/A</v>
      </c>
      <c r="F869" t="e">
        <f>VLOOKUP(A870,[1]timesData!$B:$P,5,FALSE)</f>
        <v>#N/A</v>
      </c>
      <c r="G869" t="e">
        <f>VLOOKUP(A870,[1]timesData!$B:$P,6,FALSE)</f>
        <v>#N/A</v>
      </c>
      <c r="H869" t="e">
        <f>VLOOKUP(A870,[1]timesData!$B:$P,7,FALSE)</f>
        <v>#N/A</v>
      </c>
      <c r="I869" t="e">
        <f>VLOOKUP(A870,[1]timesData!$B:$P,8,FALSE)</f>
        <v>#N/A</v>
      </c>
      <c r="J869" t="e">
        <f>VLOOKUP(A870,[1]timesData!$B:$P,9,FALSE)</f>
        <v>#N/A</v>
      </c>
      <c r="K869" t="e">
        <f>VLOOKUP(A870,[1]timesData!$B:$P,10,FALSE)</f>
        <v>#N/A</v>
      </c>
      <c r="L869" t="e">
        <f>VLOOKUP(A870,[1]timesData!$B:$P,11,FALSE)</f>
        <v>#N/A</v>
      </c>
      <c r="M869" t="e">
        <f>VLOOKUP(A870,[1]timesData!$B:$P,12,FALSE)</f>
        <v>#N/A</v>
      </c>
      <c r="N869" t="e">
        <f>VLOOKUP(A870,[1]timesData!$B:$P,13,FALSE)</f>
        <v>#N/A</v>
      </c>
      <c r="O869">
        <f>VLOOKUP(A869,[2]cwurData!$B:$P,14,FALSE)</f>
        <v>224</v>
      </c>
      <c r="P869">
        <f>VLOOKUP(A869,[2]cwurData!$B:$N, 3, FALSE)</f>
        <v>12</v>
      </c>
      <c r="Q869">
        <f>VLOOKUP(A869,[2]cwurData!$B:$N, 4, FALSE)</f>
        <v>289</v>
      </c>
      <c r="R869">
        <f>VLOOKUP(A869,[2]cwurData!$B:$N, 5, FALSE)</f>
        <v>462</v>
      </c>
      <c r="S869">
        <f>VLOOKUP(A869,[2]cwurData!$B:$N, 6, FALSE)</f>
        <v>169</v>
      </c>
      <c r="T869">
        <f>VLOOKUP(A869,[2]cwurData!$B:$N, 7, FALSE)</f>
        <v>165</v>
      </c>
      <c r="U869">
        <f>VLOOKUP(A869,[2]cwurData!$B:$N, 8, FALSE)</f>
        <v>129</v>
      </c>
      <c r="V869">
        <f>VLOOKUP(A869,[2]cwurData!$B:$N, 9, FALSE)</f>
        <v>146</v>
      </c>
      <c r="W869">
        <f>VLOOKUP(A869,[2]cwurData!$B:$N, 10, FALSE)</f>
        <v>184</v>
      </c>
      <c r="X869">
        <f>VLOOKUP(A869,[2]cwurData!$B:$N, 11, FALSE)</f>
        <v>511</v>
      </c>
      <c r="Y869">
        <f>VLOOKUP(A869,[2]cwurData!$B:$N, 12, FALSE)</f>
        <v>47</v>
      </c>
      <c r="Z869">
        <f>VLOOKUP(A869,[2]cwurData!$B:$N, 13, FALSE)</f>
        <v>2015</v>
      </c>
    </row>
    <row r="870" spans="1:26" x14ac:dyDescent="0.3">
      <c r="A870" t="s">
        <v>869</v>
      </c>
      <c r="B870" t="str">
        <f>IFERROR(VLOOKUP(A870,[1]timesData!$B:$P,2,FALSE),VLOOKUP(A870,[2]cwurData!$B:$P,2,FALSE))</f>
        <v>USA</v>
      </c>
      <c r="C870" t="e">
        <f>VLOOKUP(A870,[1]timesData!$B:$P,3,FALSE)</f>
        <v>#N/A</v>
      </c>
      <c r="D870" t="e">
        <f>VLOOKUP(A871,[1]timesData!$B:$P,3,FALSE)</f>
        <v>#N/A</v>
      </c>
      <c r="E870" t="e">
        <f>VLOOKUP(A871,[1]timesData!$B:$P,4,FALSE)</f>
        <v>#N/A</v>
      </c>
      <c r="F870" t="e">
        <f>VLOOKUP(A871,[1]timesData!$B:$P,5,FALSE)</f>
        <v>#N/A</v>
      </c>
      <c r="G870" t="e">
        <f>VLOOKUP(A871,[1]timesData!$B:$P,6,FALSE)</f>
        <v>#N/A</v>
      </c>
      <c r="H870" t="e">
        <f>VLOOKUP(A871,[1]timesData!$B:$P,7,FALSE)</f>
        <v>#N/A</v>
      </c>
      <c r="I870" t="e">
        <f>VLOOKUP(A871,[1]timesData!$B:$P,8,FALSE)</f>
        <v>#N/A</v>
      </c>
      <c r="J870" t="e">
        <f>VLOOKUP(A871,[1]timesData!$B:$P,9,FALSE)</f>
        <v>#N/A</v>
      </c>
      <c r="K870" t="e">
        <f>VLOOKUP(A871,[1]timesData!$B:$P,10,FALSE)</f>
        <v>#N/A</v>
      </c>
      <c r="L870" t="e">
        <f>VLOOKUP(A871,[1]timesData!$B:$P,11,FALSE)</f>
        <v>#N/A</v>
      </c>
      <c r="M870" t="e">
        <f>VLOOKUP(A871,[1]timesData!$B:$P,12,FALSE)</f>
        <v>#N/A</v>
      </c>
      <c r="N870" t="e">
        <f>VLOOKUP(A871,[1]timesData!$B:$P,13,FALSE)</f>
        <v>#N/A</v>
      </c>
      <c r="O870">
        <f>VLOOKUP(A870,[2]cwurData!$B:$P,14,FALSE)</f>
        <v>235</v>
      </c>
      <c r="P870">
        <f>VLOOKUP(A870,[2]cwurData!$B:$N, 3, FALSE)</f>
        <v>96</v>
      </c>
      <c r="Q870">
        <f>VLOOKUP(A870,[2]cwurData!$B:$N, 4, FALSE)</f>
        <v>355</v>
      </c>
      <c r="R870">
        <f>VLOOKUP(A870,[2]cwurData!$B:$N, 5, FALSE)</f>
        <v>124</v>
      </c>
      <c r="S870">
        <f>VLOOKUP(A870,[2]cwurData!$B:$N, 6, FALSE)</f>
        <v>210</v>
      </c>
      <c r="T870">
        <f>VLOOKUP(A870,[2]cwurData!$B:$N, 7, FALSE)</f>
        <v>238</v>
      </c>
      <c r="U870">
        <f>VLOOKUP(A870,[2]cwurData!$B:$N, 8, FALSE)</f>
        <v>223</v>
      </c>
      <c r="V870">
        <f>VLOOKUP(A870,[2]cwurData!$B:$N, 9, FALSE)</f>
        <v>176</v>
      </c>
      <c r="W870">
        <f>VLOOKUP(A870,[2]cwurData!$B:$N, 10, FALSE)</f>
        <v>203</v>
      </c>
      <c r="X870">
        <f>VLOOKUP(A870,[2]cwurData!$B:$N, 11, FALSE)</f>
        <v>307</v>
      </c>
      <c r="Y870">
        <f>VLOOKUP(A870,[2]cwurData!$B:$N, 12, FALSE)</f>
        <v>47.33</v>
      </c>
      <c r="Z870">
        <f>VLOOKUP(A870,[2]cwurData!$B:$N, 13, FALSE)</f>
        <v>2014</v>
      </c>
    </row>
    <row r="871" spans="1:26" x14ac:dyDescent="0.3">
      <c r="A871" t="s">
        <v>870</v>
      </c>
      <c r="B871" t="str">
        <f>IFERROR(VLOOKUP(A871,[1]timesData!$B:$P,2,FALSE),VLOOKUP(A871,[2]cwurData!$B:$P,2,FALSE))</f>
        <v>Germany</v>
      </c>
      <c r="C871" t="e">
        <f>VLOOKUP(A871,[1]timesData!$B:$P,3,FALSE)</f>
        <v>#N/A</v>
      </c>
      <c r="D871" t="e">
        <f>VLOOKUP(A872,[1]timesData!$B:$P,3,FALSE)</f>
        <v>#N/A</v>
      </c>
      <c r="E871" t="e">
        <f>VLOOKUP(A872,[1]timesData!$B:$P,4,FALSE)</f>
        <v>#N/A</v>
      </c>
      <c r="F871" t="e">
        <f>VLOOKUP(A872,[1]timesData!$B:$P,5,FALSE)</f>
        <v>#N/A</v>
      </c>
      <c r="G871" t="e">
        <f>VLOOKUP(A872,[1]timesData!$B:$P,6,FALSE)</f>
        <v>#N/A</v>
      </c>
      <c r="H871" t="e">
        <f>VLOOKUP(A872,[1]timesData!$B:$P,7,FALSE)</f>
        <v>#N/A</v>
      </c>
      <c r="I871" t="e">
        <f>VLOOKUP(A872,[1]timesData!$B:$P,8,FALSE)</f>
        <v>#N/A</v>
      </c>
      <c r="J871" t="e">
        <f>VLOOKUP(A872,[1]timesData!$B:$P,9,FALSE)</f>
        <v>#N/A</v>
      </c>
      <c r="K871" t="e">
        <f>VLOOKUP(A872,[1]timesData!$B:$P,10,FALSE)</f>
        <v>#N/A</v>
      </c>
      <c r="L871" t="e">
        <f>VLOOKUP(A872,[1]timesData!$B:$P,11,FALSE)</f>
        <v>#N/A</v>
      </c>
      <c r="M871" t="e">
        <f>VLOOKUP(A872,[1]timesData!$B:$P,12,FALSE)</f>
        <v>#N/A</v>
      </c>
      <c r="N871" t="e">
        <f>VLOOKUP(A872,[1]timesData!$B:$P,13,FALSE)</f>
        <v>#N/A</v>
      </c>
      <c r="O871">
        <f>VLOOKUP(A871,[2]cwurData!$B:$P,14,FALSE)</f>
        <v>237</v>
      </c>
      <c r="P871">
        <f>VLOOKUP(A871,[2]cwurData!$B:$N, 3, FALSE)</f>
        <v>18</v>
      </c>
      <c r="Q871">
        <f>VLOOKUP(A871,[2]cwurData!$B:$N, 4, FALSE)</f>
        <v>355</v>
      </c>
      <c r="R871">
        <f>VLOOKUP(A871,[2]cwurData!$B:$N, 5, FALSE)</f>
        <v>478</v>
      </c>
      <c r="S871">
        <f>VLOOKUP(A871,[2]cwurData!$B:$N, 6, FALSE)</f>
        <v>210</v>
      </c>
      <c r="T871">
        <f>VLOOKUP(A871,[2]cwurData!$B:$N, 7, FALSE)</f>
        <v>218</v>
      </c>
      <c r="U871">
        <f>VLOOKUP(A871,[2]cwurData!$B:$N, 8, FALSE)</f>
        <v>227</v>
      </c>
      <c r="V871">
        <f>VLOOKUP(A871,[2]cwurData!$B:$N, 9, FALSE)</f>
        <v>176</v>
      </c>
      <c r="W871">
        <f>VLOOKUP(A871,[2]cwurData!$B:$N, 10, FALSE)</f>
        <v>211</v>
      </c>
      <c r="X871">
        <f>VLOOKUP(A871,[2]cwurData!$B:$N, 11, FALSE)</f>
        <v>109</v>
      </c>
      <c r="Y871">
        <f>VLOOKUP(A871,[2]cwurData!$B:$N, 12, FALSE)</f>
        <v>47.26</v>
      </c>
      <c r="Z871">
        <f>VLOOKUP(A871,[2]cwurData!$B:$N, 13, FALSE)</f>
        <v>2014</v>
      </c>
    </row>
    <row r="872" spans="1:26" x14ac:dyDescent="0.3">
      <c r="A872" t="s">
        <v>871</v>
      </c>
      <c r="B872" t="str">
        <f>IFERROR(VLOOKUP(A872,[1]timesData!$B:$P,2,FALSE),VLOOKUP(A872,[2]cwurData!$B:$P,2,FALSE))</f>
        <v>USA</v>
      </c>
      <c r="C872" t="e">
        <f>VLOOKUP(A872,[1]timesData!$B:$P,3,FALSE)</f>
        <v>#N/A</v>
      </c>
      <c r="D872" t="e">
        <f>VLOOKUP(A873,[1]timesData!$B:$P,3,FALSE)</f>
        <v>#N/A</v>
      </c>
      <c r="E872" t="e">
        <f>VLOOKUP(A873,[1]timesData!$B:$P,4,FALSE)</f>
        <v>#N/A</v>
      </c>
      <c r="F872" t="e">
        <f>VLOOKUP(A873,[1]timesData!$B:$P,5,FALSE)</f>
        <v>#N/A</v>
      </c>
      <c r="G872" t="e">
        <f>VLOOKUP(A873,[1]timesData!$B:$P,6,FALSE)</f>
        <v>#N/A</v>
      </c>
      <c r="H872" t="e">
        <f>VLOOKUP(A873,[1]timesData!$B:$P,7,FALSE)</f>
        <v>#N/A</v>
      </c>
      <c r="I872" t="e">
        <f>VLOOKUP(A873,[1]timesData!$B:$P,8,FALSE)</f>
        <v>#N/A</v>
      </c>
      <c r="J872" t="e">
        <f>VLOOKUP(A873,[1]timesData!$B:$P,9,FALSE)</f>
        <v>#N/A</v>
      </c>
      <c r="K872" t="e">
        <f>VLOOKUP(A873,[1]timesData!$B:$P,10,FALSE)</f>
        <v>#N/A</v>
      </c>
      <c r="L872" t="e">
        <f>VLOOKUP(A873,[1]timesData!$B:$P,11,FALSE)</f>
        <v>#N/A</v>
      </c>
      <c r="M872" t="e">
        <f>VLOOKUP(A873,[1]timesData!$B:$P,12,FALSE)</f>
        <v>#N/A</v>
      </c>
      <c r="N872" t="e">
        <f>VLOOKUP(A873,[1]timesData!$B:$P,13,FALSE)</f>
        <v>#N/A</v>
      </c>
      <c r="O872">
        <f>VLOOKUP(A872,[2]cwurData!$B:$P,14,FALSE)</f>
        <v>239</v>
      </c>
      <c r="P872">
        <f>VLOOKUP(A872,[2]cwurData!$B:$N, 3, FALSE)</f>
        <v>98</v>
      </c>
      <c r="Q872">
        <f>VLOOKUP(A872,[2]cwurData!$B:$N, 4, FALSE)</f>
        <v>355</v>
      </c>
      <c r="R872">
        <f>VLOOKUP(A872,[2]cwurData!$B:$N, 5, FALSE)</f>
        <v>478</v>
      </c>
      <c r="S872">
        <f>VLOOKUP(A872,[2]cwurData!$B:$N, 6, FALSE)</f>
        <v>210</v>
      </c>
      <c r="T872">
        <f>VLOOKUP(A872,[2]cwurData!$B:$N, 7, FALSE)</f>
        <v>314</v>
      </c>
      <c r="U872">
        <f>VLOOKUP(A872,[2]cwurData!$B:$N, 8, FALSE)</f>
        <v>224</v>
      </c>
      <c r="V872">
        <f>VLOOKUP(A872,[2]cwurData!$B:$N, 9, FALSE)</f>
        <v>130</v>
      </c>
      <c r="W872">
        <f>VLOOKUP(A872,[2]cwurData!$B:$N, 10, FALSE)</f>
        <v>145</v>
      </c>
      <c r="X872">
        <f>VLOOKUP(A872,[2]cwurData!$B:$N, 11, FALSE)</f>
        <v>373</v>
      </c>
      <c r="Y872">
        <f>VLOOKUP(A872,[2]cwurData!$B:$N, 12, FALSE)</f>
        <v>47.26</v>
      </c>
      <c r="Z872">
        <f>VLOOKUP(A872,[2]cwurData!$B:$N, 13, FALSE)</f>
        <v>2014</v>
      </c>
    </row>
    <row r="873" spans="1:26" x14ac:dyDescent="0.3">
      <c r="A873" t="s">
        <v>872</v>
      </c>
      <c r="B873" t="str">
        <f>IFERROR(VLOOKUP(A873,[1]timesData!$B:$P,2,FALSE),VLOOKUP(A873,[2]cwurData!$B:$P,2,FALSE))</f>
        <v>USA</v>
      </c>
      <c r="C873" t="e">
        <f>VLOOKUP(A873,[1]timesData!$B:$P,3,FALSE)</f>
        <v>#N/A</v>
      </c>
      <c r="D873" t="e">
        <f>VLOOKUP(A874,[1]timesData!$B:$P,3,FALSE)</f>
        <v>#N/A</v>
      </c>
      <c r="E873" t="e">
        <f>VLOOKUP(A874,[1]timesData!$B:$P,4,FALSE)</f>
        <v>#N/A</v>
      </c>
      <c r="F873" t="e">
        <f>VLOOKUP(A874,[1]timesData!$B:$P,5,FALSE)</f>
        <v>#N/A</v>
      </c>
      <c r="G873" t="e">
        <f>VLOOKUP(A874,[1]timesData!$B:$P,6,FALSE)</f>
        <v>#N/A</v>
      </c>
      <c r="H873" t="e">
        <f>VLOOKUP(A874,[1]timesData!$B:$P,7,FALSE)</f>
        <v>#N/A</v>
      </c>
      <c r="I873" t="e">
        <f>VLOOKUP(A874,[1]timesData!$B:$P,8,FALSE)</f>
        <v>#N/A</v>
      </c>
      <c r="J873" t="e">
        <f>VLOOKUP(A874,[1]timesData!$B:$P,9,FALSE)</f>
        <v>#N/A</v>
      </c>
      <c r="K873" t="e">
        <f>VLOOKUP(A874,[1]timesData!$B:$P,10,FALSE)</f>
        <v>#N/A</v>
      </c>
      <c r="L873" t="e">
        <f>VLOOKUP(A874,[1]timesData!$B:$P,11,FALSE)</f>
        <v>#N/A</v>
      </c>
      <c r="M873" t="e">
        <f>VLOOKUP(A874,[1]timesData!$B:$P,12,FALSE)</f>
        <v>#N/A</v>
      </c>
      <c r="N873" t="e">
        <f>VLOOKUP(A874,[1]timesData!$B:$P,13,FALSE)</f>
        <v>#N/A</v>
      </c>
      <c r="O873">
        <f>VLOOKUP(A873,[2]cwurData!$B:$P,14,FALSE)</f>
        <v>240</v>
      </c>
      <c r="P873">
        <f>VLOOKUP(A873,[2]cwurData!$B:$N, 3, FALSE)</f>
        <v>99</v>
      </c>
      <c r="Q873">
        <f>VLOOKUP(A873,[2]cwurData!$B:$N, 4, FALSE)</f>
        <v>355</v>
      </c>
      <c r="R873">
        <f>VLOOKUP(A873,[2]cwurData!$B:$N, 5, FALSE)</f>
        <v>428</v>
      </c>
      <c r="S873">
        <f>VLOOKUP(A873,[2]cwurData!$B:$N, 6, FALSE)</f>
        <v>145</v>
      </c>
      <c r="T873">
        <f>VLOOKUP(A873,[2]cwurData!$B:$N, 7, FALSE)</f>
        <v>263</v>
      </c>
      <c r="U873">
        <f>VLOOKUP(A873,[2]cwurData!$B:$N, 8, FALSE)</f>
        <v>233</v>
      </c>
      <c r="V873">
        <f>VLOOKUP(A873,[2]cwurData!$B:$N, 9, FALSE)</f>
        <v>200</v>
      </c>
      <c r="W873">
        <f>VLOOKUP(A873,[2]cwurData!$B:$N, 10, FALSE)</f>
        <v>189</v>
      </c>
      <c r="X873">
        <f>VLOOKUP(A873,[2]cwurData!$B:$N, 11, FALSE)</f>
        <v>149</v>
      </c>
      <c r="Y873">
        <f>VLOOKUP(A873,[2]cwurData!$B:$N, 12, FALSE)</f>
        <v>47.26</v>
      </c>
      <c r="Z873">
        <f>VLOOKUP(A873,[2]cwurData!$B:$N, 13, FALSE)</f>
        <v>2014</v>
      </c>
    </row>
    <row r="874" spans="1:26" x14ac:dyDescent="0.3">
      <c r="A874" t="s">
        <v>873</v>
      </c>
      <c r="B874" t="str">
        <f>IFERROR(VLOOKUP(A874,[1]timesData!$B:$P,2,FALSE),VLOOKUP(A874,[2]cwurData!$B:$P,2,FALSE))</f>
        <v>France</v>
      </c>
      <c r="C874" t="e">
        <f>VLOOKUP(A874,[1]timesData!$B:$P,3,FALSE)</f>
        <v>#N/A</v>
      </c>
      <c r="D874" t="e">
        <f>VLOOKUP(A875,[1]timesData!$B:$P,3,FALSE)</f>
        <v>#N/A</v>
      </c>
      <c r="E874" t="e">
        <f>VLOOKUP(A875,[1]timesData!$B:$P,4,FALSE)</f>
        <v>#N/A</v>
      </c>
      <c r="F874" t="e">
        <f>VLOOKUP(A875,[1]timesData!$B:$P,5,FALSE)</f>
        <v>#N/A</v>
      </c>
      <c r="G874" t="e">
        <f>VLOOKUP(A875,[1]timesData!$B:$P,6,FALSE)</f>
        <v>#N/A</v>
      </c>
      <c r="H874" t="e">
        <f>VLOOKUP(A875,[1]timesData!$B:$P,7,FALSE)</f>
        <v>#N/A</v>
      </c>
      <c r="I874" t="e">
        <f>VLOOKUP(A875,[1]timesData!$B:$P,8,FALSE)</f>
        <v>#N/A</v>
      </c>
      <c r="J874" t="e">
        <f>VLOOKUP(A875,[1]timesData!$B:$P,9,FALSE)</f>
        <v>#N/A</v>
      </c>
      <c r="K874" t="e">
        <f>VLOOKUP(A875,[1]timesData!$B:$P,10,FALSE)</f>
        <v>#N/A</v>
      </c>
      <c r="L874" t="e">
        <f>VLOOKUP(A875,[1]timesData!$B:$P,11,FALSE)</f>
        <v>#N/A</v>
      </c>
      <c r="M874" t="e">
        <f>VLOOKUP(A875,[1]timesData!$B:$P,12,FALSE)</f>
        <v>#N/A</v>
      </c>
      <c r="N874" t="e">
        <f>VLOOKUP(A875,[1]timesData!$B:$P,13,FALSE)</f>
        <v>#N/A</v>
      </c>
      <c r="O874">
        <f>VLOOKUP(A874,[2]cwurData!$B:$P,14,FALSE)</f>
        <v>241</v>
      </c>
      <c r="P874">
        <f>VLOOKUP(A874,[2]cwurData!$B:$N, 3, FALSE)</f>
        <v>11</v>
      </c>
      <c r="Q874">
        <f>VLOOKUP(A874,[2]cwurData!$B:$N, 4, FALSE)</f>
        <v>355</v>
      </c>
      <c r="R874">
        <f>VLOOKUP(A874,[2]cwurData!$B:$N, 5, FALSE)</f>
        <v>358</v>
      </c>
      <c r="S874">
        <f>VLOOKUP(A874,[2]cwurData!$B:$N, 6, FALSE)</f>
        <v>165</v>
      </c>
      <c r="T874">
        <f>VLOOKUP(A874,[2]cwurData!$B:$N, 7, FALSE)</f>
        <v>174</v>
      </c>
      <c r="U874">
        <f>VLOOKUP(A874,[2]cwurData!$B:$N, 8, FALSE)</f>
        <v>137</v>
      </c>
      <c r="V874">
        <f>VLOOKUP(A874,[2]cwurData!$B:$N, 9, FALSE)</f>
        <v>200</v>
      </c>
      <c r="W874">
        <f>VLOOKUP(A874,[2]cwurData!$B:$N, 10, FALSE)</f>
        <v>196</v>
      </c>
      <c r="X874">
        <f>VLOOKUP(A874,[2]cwurData!$B:$N, 11, FALSE)</f>
        <v>280</v>
      </c>
      <c r="Y874">
        <f>VLOOKUP(A874,[2]cwurData!$B:$N, 12, FALSE)</f>
        <v>47.25</v>
      </c>
      <c r="Z874">
        <f>VLOOKUP(A874,[2]cwurData!$B:$N, 13, FALSE)</f>
        <v>2014</v>
      </c>
    </row>
    <row r="875" spans="1:26" x14ac:dyDescent="0.3">
      <c r="A875" t="s">
        <v>874</v>
      </c>
      <c r="B875" t="str">
        <f>IFERROR(VLOOKUP(A875,[1]timesData!$B:$P,2,FALSE),VLOOKUP(A875,[2]cwurData!$B:$P,2,FALSE))</f>
        <v>France</v>
      </c>
      <c r="C875" t="e">
        <f>VLOOKUP(A875,[1]timesData!$B:$P,3,FALSE)</f>
        <v>#N/A</v>
      </c>
      <c r="D875" t="e">
        <f>VLOOKUP(A876,[1]timesData!$B:$P,3,FALSE)</f>
        <v>#N/A</v>
      </c>
      <c r="E875" t="e">
        <f>VLOOKUP(A876,[1]timesData!$B:$P,4,FALSE)</f>
        <v>#N/A</v>
      </c>
      <c r="F875" t="e">
        <f>VLOOKUP(A876,[1]timesData!$B:$P,5,FALSE)</f>
        <v>#N/A</v>
      </c>
      <c r="G875" t="e">
        <f>VLOOKUP(A876,[1]timesData!$B:$P,6,FALSE)</f>
        <v>#N/A</v>
      </c>
      <c r="H875" t="e">
        <f>VLOOKUP(A876,[1]timesData!$B:$P,7,FALSE)</f>
        <v>#N/A</v>
      </c>
      <c r="I875" t="e">
        <f>VLOOKUP(A876,[1]timesData!$B:$P,8,FALSE)</f>
        <v>#N/A</v>
      </c>
      <c r="J875" t="e">
        <f>VLOOKUP(A876,[1]timesData!$B:$P,9,FALSE)</f>
        <v>#N/A</v>
      </c>
      <c r="K875" t="e">
        <f>VLOOKUP(A876,[1]timesData!$B:$P,10,FALSE)</f>
        <v>#N/A</v>
      </c>
      <c r="L875" t="e">
        <f>VLOOKUP(A876,[1]timesData!$B:$P,11,FALSE)</f>
        <v>#N/A</v>
      </c>
      <c r="M875" t="e">
        <f>VLOOKUP(A876,[1]timesData!$B:$P,12,FALSE)</f>
        <v>#N/A</v>
      </c>
      <c r="N875" t="e">
        <f>VLOOKUP(A876,[1]timesData!$B:$P,13,FALSE)</f>
        <v>#N/A</v>
      </c>
      <c r="O875">
        <f>VLOOKUP(A875,[2]cwurData!$B:$P,14,FALSE)</f>
        <v>244</v>
      </c>
      <c r="P875">
        <f>VLOOKUP(A875,[2]cwurData!$B:$N, 3, FALSE)</f>
        <v>12</v>
      </c>
      <c r="Q875">
        <f>VLOOKUP(A875,[2]cwurData!$B:$N, 4, FALSE)</f>
        <v>355</v>
      </c>
      <c r="R875">
        <f>VLOOKUP(A875,[2]cwurData!$B:$N, 5, FALSE)</f>
        <v>478</v>
      </c>
      <c r="S875">
        <f>VLOOKUP(A875,[2]cwurData!$B:$N, 6, FALSE)</f>
        <v>210</v>
      </c>
      <c r="T875">
        <f>VLOOKUP(A875,[2]cwurData!$B:$N, 7, FALSE)</f>
        <v>153</v>
      </c>
      <c r="U875">
        <f>VLOOKUP(A875,[2]cwurData!$B:$N, 8, FALSE)</f>
        <v>109</v>
      </c>
      <c r="V875">
        <f>VLOOKUP(A875,[2]cwurData!$B:$N, 9, FALSE)</f>
        <v>250</v>
      </c>
      <c r="W875">
        <f>VLOOKUP(A875,[2]cwurData!$B:$N, 10, FALSE)</f>
        <v>192</v>
      </c>
      <c r="X875">
        <f>VLOOKUP(A875,[2]cwurData!$B:$N, 11, FALSE)</f>
        <v>426</v>
      </c>
      <c r="Y875">
        <f>VLOOKUP(A875,[2]cwurData!$B:$N, 12, FALSE)</f>
        <v>47.19</v>
      </c>
      <c r="Z875">
        <f>VLOOKUP(A875,[2]cwurData!$B:$N, 13, FALSE)</f>
        <v>2014</v>
      </c>
    </row>
    <row r="876" spans="1:26" x14ac:dyDescent="0.3">
      <c r="A876" t="s">
        <v>875</v>
      </c>
      <c r="B876" t="str">
        <f>IFERROR(VLOOKUP(A876,[1]timesData!$B:$P,2,FALSE),VLOOKUP(A876,[2]cwurData!$B:$P,2,FALSE))</f>
        <v>Germany</v>
      </c>
      <c r="C876" t="e">
        <f>VLOOKUP(A876,[1]timesData!$B:$P,3,FALSE)</f>
        <v>#N/A</v>
      </c>
      <c r="D876" t="e">
        <f>VLOOKUP(A877,[1]timesData!$B:$P,3,FALSE)</f>
        <v>#N/A</v>
      </c>
      <c r="E876" t="e">
        <f>VLOOKUP(A877,[1]timesData!$B:$P,4,FALSE)</f>
        <v>#N/A</v>
      </c>
      <c r="F876" t="e">
        <f>VLOOKUP(A877,[1]timesData!$B:$P,5,FALSE)</f>
        <v>#N/A</v>
      </c>
      <c r="G876" t="e">
        <f>VLOOKUP(A877,[1]timesData!$B:$P,6,FALSE)</f>
        <v>#N/A</v>
      </c>
      <c r="H876" t="e">
        <f>VLOOKUP(A877,[1]timesData!$B:$P,7,FALSE)</f>
        <v>#N/A</v>
      </c>
      <c r="I876" t="e">
        <f>VLOOKUP(A877,[1]timesData!$B:$P,8,FALSE)</f>
        <v>#N/A</v>
      </c>
      <c r="J876" t="e">
        <f>VLOOKUP(A877,[1]timesData!$B:$P,9,FALSE)</f>
        <v>#N/A</v>
      </c>
      <c r="K876" t="e">
        <f>VLOOKUP(A877,[1]timesData!$B:$P,10,FALSE)</f>
        <v>#N/A</v>
      </c>
      <c r="L876" t="e">
        <f>VLOOKUP(A877,[1]timesData!$B:$P,11,FALSE)</f>
        <v>#N/A</v>
      </c>
      <c r="M876" t="e">
        <f>VLOOKUP(A877,[1]timesData!$B:$P,12,FALSE)</f>
        <v>#N/A</v>
      </c>
      <c r="N876" t="e">
        <f>VLOOKUP(A877,[1]timesData!$B:$P,13,FALSE)</f>
        <v>#N/A</v>
      </c>
      <c r="O876">
        <f>VLOOKUP(A876,[2]cwurData!$B:$P,14,FALSE)</f>
        <v>251</v>
      </c>
      <c r="P876">
        <f>VLOOKUP(A876,[2]cwurData!$B:$N, 3, FALSE)</f>
        <v>21</v>
      </c>
      <c r="Q876">
        <f>VLOOKUP(A876,[2]cwurData!$B:$N, 4, FALSE)</f>
        <v>168</v>
      </c>
      <c r="R876">
        <f>VLOOKUP(A876,[2]cwurData!$B:$N, 5, FALSE)</f>
        <v>478</v>
      </c>
      <c r="S876">
        <f>VLOOKUP(A876,[2]cwurData!$B:$N, 6, FALSE)</f>
        <v>210</v>
      </c>
      <c r="T876">
        <f>VLOOKUP(A876,[2]cwurData!$B:$N, 7, FALSE)</f>
        <v>298</v>
      </c>
      <c r="U876">
        <f>VLOOKUP(A876,[2]cwurData!$B:$N, 8, FALSE)</f>
        <v>207</v>
      </c>
      <c r="V876">
        <f>VLOOKUP(A876,[2]cwurData!$B:$N, 9, FALSE)</f>
        <v>159</v>
      </c>
      <c r="W876">
        <f>VLOOKUP(A876,[2]cwurData!$B:$N, 10, FALSE)</f>
        <v>169</v>
      </c>
      <c r="X876">
        <f>VLOOKUP(A876,[2]cwurData!$B:$N, 11, FALSE)</f>
        <v>637</v>
      </c>
      <c r="Y876">
        <f>VLOOKUP(A876,[2]cwurData!$B:$N, 12, FALSE)</f>
        <v>47.05</v>
      </c>
      <c r="Z876">
        <f>VLOOKUP(A876,[2]cwurData!$B:$N, 13, FALSE)</f>
        <v>2014</v>
      </c>
    </row>
    <row r="877" spans="1:26" x14ac:dyDescent="0.3">
      <c r="A877" t="s">
        <v>876</v>
      </c>
      <c r="B877" t="str">
        <f>IFERROR(VLOOKUP(A877,[1]timesData!$B:$P,2,FALSE),VLOOKUP(A877,[2]cwurData!$B:$P,2,FALSE))</f>
        <v>United Kingdom</v>
      </c>
      <c r="C877" t="e">
        <f>VLOOKUP(A877,[1]timesData!$B:$P,3,FALSE)</f>
        <v>#N/A</v>
      </c>
      <c r="D877" t="e">
        <f>VLOOKUP(A878,[1]timesData!$B:$P,3,FALSE)</f>
        <v>#N/A</v>
      </c>
      <c r="E877" t="e">
        <f>VLOOKUP(A878,[1]timesData!$B:$P,4,FALSE)</f>
        <v>#N/A</v>
      </c>
      <c r="F877" t="e">
        <f>VLOOKUP(A878,[1]timesData!$B:$P,5,FALSE)</f>
        <v>#N/A</v>
      </c>
      <c r="G877" t="e">
        <f>VLOOKUP(A878,[1]timesData!$B:$P,6,FALSE)</f>
        <v>#N/A</v>
      </c>
      <c r="H877" t="e">
        <f>VLOOKUP(A878,[1]timesData!$B:$P,7,FALSE)</f>
        <v>#N/A</v>
      </c>
      <c r="I877" t="e">
        <f>VLOOKUP(A878,[1]timesData!$B:$P,8,FALSE)</f>
        <v>#N/A</v>
      </c>
      <c r="J877" t="e">
        <f>VLOOKUP(A878,[1]timesData!$B:$P,9,FALSE)</f>
        <v>#N/A</v>
      </c>
      <c r="K877" t="e">
        <f>VLOOKUP(A878,[1]timesData!$B:$P,10,FALSE)</f>
        <v>#N/A</v>
      </c>
      <c r="L877" t="e">
        <f>VLOOKUP(A878,[1]timesData!$B:$P,11,FALSE)</f>
        <v>#N/A</v>
      </c>
      <c r="M877" t="e">
        <f>VLOOKUP(A878,[1]timesData!$B:$P,12,FALSE)</f>
        <v>#N/A</v>
      </c>
      <c r="N877" t="e">
        <f>VLOOKUP(A878,[1]timesData!$B:$P,13,FALSE)</f>
        <v>#N/A</v>
      </c>
      <c r="O877">
        <f>VLOOKUP(A877,[2]cwurData!$B:$P,14,FALSE)</f>
        <v>257</v>
      </c>
      <c r="P877">
        <f>VLOOKUP(A877,[2]cwurData!$B:$N, 3, FALSE)</f>
        <v>21</v>
      </c>
      <c r="Q877">
        <f>VLOOKUP(A877,[2]cwurData!$B:$N, 4, FALSE)</f>
        <v>355</v>
      </c>
      <c r="R877">
        <f>VLOOKUP(A877,[2]cwurData!$B:$N, 5, FALSE)</f>
        <v>478</v>
      </c>
      <c r="S877">
        <f>VLOOKUP(A877,[2]cwurData!$B:$N, 6, FALSE)</f>
        <v>154</v>
      </c>
      <c r="T877">
        <f>VLOOKUP(A877,[2]cwurData!$B:$N, 7, FALSE)</f>
        <v>302</v>
      </c>
      <c r="U877">
        <f>VLOOKUP(A877,[2]cwurData!$B:$N, 8, FALSE)</f>
        <v>306</v>
      </c>
      <c r="V877">
        <f>VLOOKUP(A877,[2]cwurData!$B:$N, 9, FALSE)</f>
        <v>250</v>
      </c>
      <c r="W877">
        <f>VLOOKUP(A877,[2]cwurData!$B:$N, 10, FALSE)</f>
        <v>169</v>
      </c>
      <c r="X877">
        <f>VLOOKUP(A877,[2]cwurData!$B:$N, 11, FALSE)</f>
        <v>737</v>
      </c>
      <c r="Y877">
        <f>VLOOKUP(A877,[2]cwurData!$B:$N, 12, FALSE)</f>
        <v>46.93</v>
      </c>
      <c r="Z877">
        <f>VLOOKUP(A877,[2]cwurData!$B:$N, 13, FALSE)</f>
        <v>2014</v>
      </c>
    </row>
    <row r="878" spans="1:26" x14ac:dyDescent="0.3">
      <c r="A878" t="s">
        <v>877</v>
      </c>
      <c r="B878" t="str">
        <f>IFERROR(VLOOKUP(A878,[1]timesData!$B:$P,2,FALSE),VLOOKUP(A878,[2]cwurData!$B:$P,2,FALSE))</f>
        <v>USA</v>
      </c>
      <c r="C878" t="e">
        <f>VLOOKUP(A878,[1]timesData!$B:$P,3,FALSE)</f>
        <v>#N/A</v>
      </c>
      <c r="D878" t="e">
        <f>VLOOKUP(A879,[1]timesData!$B:$P,3,FALSE)</f>
        <v>#N/A</v>
      </c>
      <c r="E878" t="e">
        <f>VLOOKUP(A879,[1]timesData!$B:$P,4,FALSE)</f>
        <v>#N/A</v>
      </c>
      <c r="F878" t="e">
        <f>VLOOKUP(A879,[1]timesData!$B:$P,5,FALSE)</f>
        <v>#N/A</v>
      </c>
      <c r="G878" t="e">
        <f>VLOOKUP(A879,[1]timesData!$B:$P,6,FALSE)</f>
        <v>#N/A</v>
      </c>
      <c r="H878" t="e">
        <f>VLOOKUP(A879,[1]timesData!$B:$P,7,FALSE)</f>
        <v>#N/A</v>
      </c>
      <c r="I878" t="e">
        <f>VLOOKUP(A879,[1]timesData!$B:$P,8,FALSE)</f>
        <v>#N/A</v>
      </c>
      <c r="J878" t="e">
        <f>VLOOKUP(A879,[1]timesData!$B:$P,9,FALSE)</f>
        <v>#N/A</v>
      </c>
      <c r="K878" t="e">
        <f>VLOOKUP(A879,[1]timesData!$B:$P,10,FALSE)</f>
        <v>#N/A</v>
      </c>
      <c r="L878" t="e">
        <f>VLOOKUP(A879,[1]timesData!$B:$P,11,FALSE)</f>
        <v>#N/A</v>
      </c>
      <c r="M878" t="e">
        <f>VLOOKUP(A879,[1]timesData!$B:$P,12,FALSE)</f>
        <v>#N/A</v>
      </c>
      <c r="N878" t="e">
        <f>VLOOKUP(A879,[1]timesData!$B:$P,13,FALSE)</f>
        <v>#N/A</v>
      </c>
      <c r="O878">
        <f>VLOOKUP(A878,[2]cwurData!$B:$P,14,FALSE)</f>
        <v>260</v>
      </c>
      <c r="P878">
        <f>VLOOKUP(A878,[2]cwurData!$B:$N, 3, FALSE)</f>
        <v>106</v>
      </c>
      <c r="Q878">
        <f>VLOOKUP(A878,[2]cwurData!$B:$N, 4, FALSE)</f>
        <v>134</v>
      </c>
      <c r="R878">
        <f>VLOOKUP(A878,[2]cwurData!$B:$N, 5, FALSE)</f>
        <v>478</v>
      </c>
      <c r="S878">
        <f>VLOOKUP(A878,[2]cwurData!$B:$N, 6, FALSE)</f>
        <v>210</v>
      </c>
      <c r="T878">
        <f>VLOOKUP(A878,[2]cwurData!$B:$N, 7, FALSE)</f>
        <v>331</v>
      </c>
      <c r="U878">
        <f>VLOOKUP(A878,[2]cwurData!$B:$N, 8, FALSE)</f>
        <v>302</v>
      </c>
      <c r="V878">
        <f>VLOOKUP(A878,[2]cwurData!$B:$N, 9, FALSE)</f>
        <v>200</v>
      </c>
      <c r="W878">
        <f>VLOOKUP(A878,[2]cwurData!$B:$N, 10, FALSE)</f>
        <v>180</v>
      </c>
      <c r="X878">
        <f>VLOOKUP(A878,[2]cwurData!$B:$N, 11, FALSE)</f>
        <v>373</v>
      </c>
      <c r="Y878">
        <f>VLOOKUP(A878,[2]cwurData!$B:$N, 12, FALSE)</f>
        <v>46.89</v>
      </c>
      <c r="Z878">
        <f>VLOOKUP(A878,[2]cwurData!$B:$N, 13, FALSE)</f>
        <v>2014</v>
      </c>
    </row>
    <row r="879" spans="1:26" x14ac:dyDescent="0.3">
      <c r="A879" t="s">
        <v>878</v>
      </c>
      <c r="B879" t="str">
        <f>IFERROR(VLOOKUP(A879,[1]timesData!$B:$P,2,FALSE),VLOOKUP(A879,[2]cwurData!$B:$P,2,FALSE))</f>
        <v>USA</v>
      </c>
      <c r="C879" t="e">
        <f>VLOOKUP(A879,[1]timesData!$B:$P,3,FALSE)</f>
        <v>#N/A</v>
      </c>
      <c r="D879" t="e">
        <f>VLOOKUP(A880,[1]timesData!$B:$P,3,FALSE)</f>
        <v>#N/A</v>
      </c>
      <c r="E879" t="e">
        <f>VLOOKUP(A880,[1]timesData!$B:$P,4,FALSE)</f>
        <v>#N/A</v>
      </c>
      <c r="F879" t="e">
        <f>VLOOKUP(A880,[1]timesData!$B:$P,5,FALSE)</f>
        <v>#N/A</v>
      </c>
      <c r="G879" t="e">
        <f>VLOOKUP(A880,[1]timesData!$B:$P,6,FALSE)</f>
        <v>#N/A</v>
      </c>
      <c r="H879" t="e">
        <f>VLOOKUP(A880,[1]timesData!$B:$P,7,FALSE)</f>
        <v>#N/A</v>
      </c>
      <c r="I879" t="e">
        <f>VLOOKUP(A880,[1]timesData!$B:$P,8,FALSE)</f>
        <v>#N/A</v>
      </c>
      <c r="J879" t="e">
        <f>VLOOKUP(A880,[1]timesData!$B:$P,9,FALSE)</f>
        <v>#N/A</v>
      </c>
      <c r="K879" t="e">
        <f>VLOOKUP(A880,[1]timesData!$B:$P,10,FALSE)</f>
        <v>#N/A</v>
      </c>
      <c r="L879" t="e">
        <f>VLOOKUP(A880,[1]timesData!$B:$P,11,FALSE)</f>
        <v>#N/A</v>
      </c>
      <c r="M879" t="e">
        <f>VLOOKUP(A880,[1]timesData!$B:$P,12,FALSE)</f>
        <v>#N/A</v>
      </c>
      <c r="N879" t="e">
        <f>VLOOKUP(A880,[1]timesData!$B:$P,13,FALSE)</f>
        <v>#N/A</v>
      </c>
      <c r="O879">
        <f>VLOOKUP(A879,[2]cwurData!$B:$P,14,FALSE)</f>
        <v>262</v>
      </c>
      <c r="P879">
        <f>VLOOKUP(A879,[2]cwurData!$B:$N, 3, FALSE)</f>
        <v>108</v>
      </c>
      <c r="Q879">
        <f>VLOOKUP(A879,[2]cwurData!$B:$N, 4, FALSE)</f>
        <v>203</v>
      </c>
      <c r="R879">
        <f>VLOOKUP(A879,[2]cwurData!$B:$N, 5, FALSE)</f>
        <v>478</v>
      </c>
      <c r="S879">
        <f>VLOOKUP(A879,[2]cwurData!$B:$N, 6, FALSE)</f>
        <v>143</v>
      </c>
      <c r="T879">
        <f>VLOOKUP(A879,[2]cwurData!$B:$N, 7, FALSE)</f>
        <v>234</v>
      </c>
      <c r="U879">
        <f>VLOOKUP(A879,[2]cwurData!$B:$N, 8, FALSE)</f>
        <v>201</v>
      </c>
      <c r="V879">
        <f>VLOOKUP(A879,[2]cwurData!$B:$N, 9, FALSE)</f>
        <v>250</v>
      </c>
      <c r="W879">
        <f>VLOOKUP(A879,[2]cwurData!$B:$N, 10, FALSE)</f>
        <v>211</v>
      </c>
      <c r="X879">
        <f>VLOOKUP(A879,[2]cwurData!$B:$N, 11, FALSE)</f>
        <v>259</v>
      </c>
      <c r="Y879">
        <f>VLOOKUP(A879,[2]cwurData!$B:$N, 12, FALSE)</f>
        <v>46.88</v>
      </c>
      <c r="Z879">
        <f>VLOOKUP(A879,[2]cwurData!$B:$N, 13, FALSE)</f>
        <v>2014</v>
      </c>
    </row>
    <row r="880" spans="1:26" x14ac:dyDescent="0.3">
      <c r="A880" t="s">
        <v>879</v>
      </c>
      <c r="B880" t="str">
        <f>IFERROR(VLOOKUP(A880,[1]timesData!$B:$P,2,FALSE),VLOOKUP(A880,[2]cwurData!$B:$P,2,FALSE))</f>
        <v>USA</v>
      </c>
      <c r="C880" t="e">
        <f>VLOOKUP(A880,[1]timesData!$B:$P,3,FALSE)</f>
        <v>#N/A</v>
      </c>
      <c r="D880" t="e">
        <f>VLOOKUP(A881,[1]timesData!$B:$P,3,FALSE)</f>
        <v>#N/A</v>
      </c>
      <c r="E880" t="e">
        <f>VLOOKUP(A881,[1]timesData!$B:$P,4,FALSE)</f>
        <v>#N/A</v>
      </c>
      <c r="F880" t="e">
        <f>VLOOKUP(A881,[1]timesData!$B:$P,5,FALSE)</f>
        <v>#N/A</v>
      </c>
      <c r="G880" t="e">
        <f>VLOOKUP(A881,[1]timesData!$B:$P,6,FALSE)</f>
        <v>#N/A</v>
      </c>
      <c r="H880" t="e">
        <f>VLOOKUP(A881,[1]timesData!$B:$P,7,FALSE)</f>
        <v>#N/A</v>
      </c>
      <c r="I880" t="e">
        <f>VLOOKUP(A881,[1]timesData!$B:$P,8,FALSE)</f>
        <v>#N/A</v>
      </c>
      <c r="J880" t="e">
        <f>VLOOKUP(A881,[1]timesData!$B:$P,9,FALSE)</f>
        <v>#N/A</v>
      </c>
      <c r="K880" t="e">
        <f>VLOOKUP(A881,[1]timesData!$B:$P,10,FALSE)</f>
        <v>#N/A</v>
      </c>
      <c r="L880" t="e">
        <f>VLOOKUP(A881,[1]timesData!$B:$P,11,FALSE)</f>
        <v>#N/A</v>
      </c>
      <c r="M880" t="e">
        <f>VLOOKUP(A881,[1]timesData!$B:$P,12,FALSE)</f>
        <v>#N/A</v>
      </c>
      <c r="N880" t="e">
        <f>VLOOKUP(A881,[1]timesData!$B:$P,13,FALSE)</f>
        <v>#N/A</v>
      </c>
      <c r="O880">
        <f>VLOOKUP(A880,[2]cwurData!$B:$P,14,FALSE)</f>
        <v>268</v>
      </c>
      <c r="P880">
        <f>VLOOKUP(A880,[2]cwurData!$B:$N, 3, FALSE)</f>
        <v>110</v>
      </c>
      <c r="Q880">
        <f>VLOOKUP(A880,[2]cwurData!$B:$N, 4, FALSE)</f>
        <v>355</v>
      </c>
      <c r="R880">
        <f>VLOOKUP(A880,[2]cwurData!$B:$N, 5, FALSE)</f>
        <v>418</v>
      </c>
      <c r="S880">
        <f>VLOOKUP(A880,[2]cwurData!$B:$N, 6, FALSE)</f>
        <v>210</v>
      </c>
      <c r="T880">
        <f>VLOOKUP(A880,[2]cwurData!$B:$N, 7, FALSE)</f>
        <v>203</v>
      </c>
      <c r="U880">
        <f>VLOOKUP(A880,[2]cwurData!$B:$N, 8, FALSE)</f>
        <v>285</v>
      </c>
      <c r="V880">
        <f>VLOOKUP(A880,[2]cwurData!$B:$N, 9, FALSE)</f>
        <v>200</v>
      </c>
      <c r="W880">
        <f>VLOOKUP(A880,[2]cwurData!$B:$N, 10, FALSE)</f>
        <v>230</v>
      </c>
      <c r="X880">
        <f>VLOOKUP(A880,[2]cwurData!$B:$N, 11, FALSE)</f>
        <v>204</v>
      </c>
      <c r="Y880">
        <f>VLOOKUP(A880,[2]cwurData!$B:$N, 12, FALSE)</f>
        <v>46.78</v>
      </c>
      <c r="Z880">
        <f>VLOOKUP(A880,[2]cwurData!$B:$N, 13, FALSE)</f>
        <v>2014</v>
      </c>
    </row>
    <row r="881" spans="1:26" x14ac:dyDescent="0.3">
      <c r="A881" t="s">
        <v>880</v>
      </c>
      <c r="B881" t="str">
        <f>IFERROR(VLOOKUP(A881,[1]timesData!$B:$P,2,FALSE),VLOOKUP(A881,[2]cwurData!$B:$P,2,FALSE))</f>
        <v>USA</v>
      </c>
      <c r="C881" t="e">
        <f>VLOOKUP(A881,[1]timesData!$B:$P,3,FALSE)</f>
        <v>#N/A</v>
      </c>
      <c r="D881" t="e">
        <f>VLOOKUP(A882,[1]timesData!$B:$P,3,FALSE)</f>
        <v>#N/A</v>
      </c>
      <c r="E881" t="e">
        <f>VLOOKUP(A882,[1]timesData!$B:$P,4,FALSE)</f>
        <v>#N/A</v>
      </c>
      <c r="F881" t="e">
        <f>VLOOKUP(A882,[1]timesData!$B:$P,5,FALSE)</f>
        <v>#N/A</v>
      </c>
      <c r="G881" t="e">
        <f>VLOOKUP(A882,[1]timesData!$B:$P,6,FALSE)</f>
        <v>#N/A</v>
      </c>
      <c r="H881" t="e">
        <f>VLOOKUP(A882,[1]timesData!$B:$P,7,FALSE)</f>
        <v>#N/A</v>
      </c>
      <c r="I881" t="e">
        <f>VLOOKUP(A882,[1]timesData!$B:$P,8,FALSE)</f>
        <v>#N/A</v>
      </c>
      <c r="J881" t="e">
        <f>VLOOKUP(A882,[1]timesData!$B:$P,9,FALSE)</f>
        <v>#N/A</v>
      </c>
      <c r="K881" t="e">
        <f>VLOOKUP(A882,[1]timesData!$B:$P,10,FALSE)</f>
        <v>#N/A</v>
      </c>
      <c r="L881" t="e">
        <f>VLOOKUP(A882,[1]timesData!$B:$P,11,FALSE)</f>
        <v>#N/A</v>
      </c>
      <c r="M881" t="e">
        <f>VLOOKUP(A882,[1]timesData!$B:$P,12,FALSE)</f>
        <v>#N/A</v>
      </c>
      <c r="N881" t="e">
        <f>VLOOKUP(A882,[1]timesData!$B:$P,13,FALSE)</f>
        <v>#N/A</v>
      </c>
      <c r="O881">
        <f>VLOOKUP(A881,[2]cwurData!$B:$P,14,FALSE)</f>
        <v>274</v>
      </c>
      <c r="P881">
        <f>VLOOKUP(A881,[2]cwurData!$B:$N, 3, FALSE)</f>
        <v>112</v>
      </c>
      <c r="Q881">
        <f>VLOOKUP(A881,[2]cwurData!$B:$N, 4, FALSE)</f>
        <v>355</v>
      </c>
      <c r="R881">
        <f>VLOOKUP(A881,[2]cwurData!$B:$N, 5, FALSE)</f>
        <v>478</v>
      </c>
      <c r="S881">
        <f>VLOOKUP(A881,[2]cwurData!$B:$N, 6, FALSE)</f>
        <v>150</v>
      </c>
      <c r="T881">
        <f>VLOOKUP(A881,[2]cwurData!$B:$N, 7, FALSE)</f>
        <v>267</v>
      </c>
      <c r="U881">
        <f>VLOOKUP(A881,[2]cwurData!$B:$N, 8, FALSE)</f>
        <v>175</v>
      </c>
      <c r="V881">
        <f>VLOOKUP(A881,[2]cwurData!$B:$N, 9, FALSE)</f>
        <v>220</v>
      </c>
      <c r="W881">
        <f>VLOOKUP(A881,[2]cwurData!$B:$N, 10, FALSE)</f>
        <v>215</v>
      </c>
      <c r="X881">
        <f>VLOOKUP(A881,[2]cwurData!$B:$N, 11, FALSE)</f>
        <v>373</v>
      </c>
      <c r="Y881">
        <f>VLOOKUP(A881,[2]cwurData!$B:$N, 12, FALSE)</f>
        <v>46.64</v>
      </c>
      <c r="Z881">
        <f>VLOOKUP(A881,[2]cwurData!$B:$N, 13, FALSE)</f>
        <v>2014</v>
      </c>
    </row>
    <row r="882" spans="1:26" x14ac:dyDescent="0.3">
      <c r="A882" t="s">
        <v>881</v>
      </c>
      <c r="B882" t="str">
        <f>IFERROR(VLOOKUP(A882,[1]timesData!$B:$P,2,FALSE),VLOOKUP(A882,[2]cwurData!$B:$P,2,FALSE))</f>
        <v>Canada</v>
      </c>
      <c r="C882" t="e">
        <f>VLOOKUP(A882,[1]timesData!$B:$P,3,FALSE)</f>
        <v>#N/A</v>
      </c>
      <c r="D882" t="e">
        <f>VLOOKUP(A883,[1]timesData!$B:$P,3,FALSE)</f>
        <v>#N/A</v>
      </c>
      <c r="E882" t="e">
        <f>VLOOKUP(A883,[1]timesData!$B:$P,4,FALSE)</f>
        <v>#N/A</v>
      </c>
      <c r="F882" t="e">
        <f>VLOOKUP(A883,[1]timesData!$B:$P,5,FALSE)</f>
        <v>#N/A</v>
      </c>
      <c r="G882" t="e">
        <f>VLOOKUP(A883,[1]timesData!$B:$P,6,FALSE)</f>
        <v>#N/A</v>
      </c>
      <c r="H882" t="e">
        <f>VLOOKUP(A883,[1]timesData!$B:$P,7,FALSE)</f>
        <v>#N/A</v>
      </c>
      <c r="I882" t="e">
        <f>VLOOKUP(A883,[1]timesData!$B:$P,8,FALSE)</f>
        <v>#N/A</v>
      </c>
      <c r="J882" t="e">
        <f>VLOOKUP(A883,[1]timesData!$B:$P,9,FALSE)</f>
        <v>#N/A</v>
      </c>
      <c r="K882" t="e">
        <f>VLOOKUP(A883,[1]timesData!$B:$P,10,FALSE)</f>
        <v>#N/A</v>
      </c>
      <c r="L882" t="e">
        <f>VLOOKUP(A883,[1]timesData!$B:$P,11,FALSE)</f>
        <v>#N/A</v>
      </c>
      <c r="M882" t="e">
        <f>VLOOKUP(A883,[1]timesData!$B:$P,12,FALSE)</f>
        <v>#N/A</v>
      </c>
      <c r="N882" t="e">
        <f>VLOOKUP(A883,[1]timesData!$B:$P,13,FALSE)</f>
        <v>#N/A</v>
      </c>
      <c r="O882">
        <f>VLOOKUP(A882,[2]cwurData!$B:$P,14,FALSE)</f>
        <v>277</v>
      </c>
      <c r="P882">
        <f>VLOOKUP(A882,[2]cwurData!$B:$N, 3, FALSE)</f>
        <v>12</v>
      </c>
      <c r="Q882">
        <f>VLOOKUP(A882,[2]cwurData!$B:$N, 4, FALSE)</f>
        <v>301</v>
      </c>
      <c r="R882">
        <f>VLOOKUP(A882,[2]cwurData!$B:$N, 5, FALSE)</f>
        <v>172</v>
      </c>
      <c r="S882">
        <f>VLOOKUP(A882,[2]cwurData!$B:$N, 6, FALSE)</f>
        <v>210</v>
      </c>
      <c r="T882">
        <f>VLOOKUP(A882,[2]cwurData!$B:$N, 7, FALSE)</f>
        <v>253</v>
      </c>
      <c r="U882">
        <f>VLOOKUP(A882,[2]cwurData!$B:$N, 8, FALSE)</f>
        <v>273</v>
      </c>
      <c r="V882">
        <f>VLOOKUP(A882,[2]cwurData!$B:$N, 9, FALSE)</f>
        <v>220</v>
      </c>
      <c r="W882">
        <f>VLOOKUP(A882,[2]cwurData!$B:$N, 10, FALSE)</f>
        <v>281</v>
      </c>
      <c r="X882">
        <f>VLOOKUP(A882,[2]cwurData!$B:$N, 11, FALSE)</f>
        <v>204</v>
      </c>
      <c r="Y882">
        <f>VLOOKUP(A882,[2]cwurData!$B:$N, 12, FALSE)</f>
        <v>46.59</v>
      </c>
      <c r="Z882">
        <f>VLOOKUP(A882,[2]cwurData!$B:$N, 13, FALSE)</f>
        <v>2014</v>
      </c>
    </row>
    <row r="883" spans="1:26" x14ac:dyDescent="0.3">
      <c r="A883" t="s">
        <v>882</v>
      </c>
      <c r="B883" t="str">
        <f>IFERROR(VLOOKUP(A883,[1]timesData!$B:$P,2,FALSE),VLOOKUP(A883,[2]cwurData!$B:$P,2,FALSE))</f>
        <v>Germany</v>
      </c>
      <c r="C883" t="e">
        <f>VLOOKUP(A883,[1]timesData!$B:$P,3,FALSE)</f>
        <v>#N/A</v>
      </c>
      <c r="D883" t="e">
        <f>VLOOKUP(A884,[1]timesData!$B:$P,3,FALSE)</f>
        <v>#N/A</v>
      </c>
      <c r="E883" t="e">
        <f>VLOOKUP(A884,[1]timesData!$B:$P,4,FALSE)</f>
        <v>#N/A</v>
      </c>
      <c r="F883" t="e">
        <f>VLOOKUP(A884,[1]timesData!$B:$P,5,FALSE)</f>
        <v>#N/A</v>
      </c>
      <c r="G883" t="e">
        <f>VLOOKUP(A884,[1]timesData!$B:$P,6,FALSE)</f>
        <v>#N/A</v>
      </c>
      <c r="H883" t="e">
        <f>VLOOKUP(A884,[1]timesData!$B:$P,7,FALSE)</f>
        <v>#N/A</v>
      </c>
      <c r="I883" t="e">
        <f>VLOOKUP(A884,[1]timesData!$B:$P,8,FALSE)</f>
        <v>#N/A</v>
      </c>
      <c r="J883" t="e">
        <f>VLOOKUP(A884,[1]timesData!$B:$P,9,FALSE)</f>
        <v>#N/A</v>
      </c>
      <c r="K883" t="e">
        <f>VLOOKUP(A884,[1]timesData!$B:$P,10,FALSE)</f>
        <v>#N/A</v>
      </c>
      <c r="L883" t="e">
        <f>VLOOKUP(A884,[1]timesData!$B:$P,11,FALSE)</f>
        <v>#N/A</v>
      </c>
      <c r="M883" t="e">
        <f>VLOOKUP(A884,[1]timesData!$B:$P,12,FALSE)</f>
        <v>#N/A</v>
      </c>
      <c r="N883" t="e">
        <f>VLOOKUP(A884,[1]timesData!$B:$P,13,FALSE)</f>
        <v>#N/A</v>
      </c>
      <c r="O883">
        <f>VLOOKUP(A883,[2]cwurData!$B:$P,14,FALSE)</f>
        <v>282</v>
      </c>
      <c r="P883">
        <f>VLOOKUP(A883,[2]cwurData!$B:$N, 3, FALSE)</f>
        <v>22</v>
      </c>
      <c r="Q883">
        <f>VLOOKUP(A883,[2]cwurData!$B:$N, 4, FALSE)</f>
        <v>355</v>
      </c>
      <c r="R883">
        <f>VLOOKUP(A883,[2]cwurData!$B:$N, 5, FALSE)</f>
        <v>478</v>
      </c>
      <c r="S883">
        <f>VLOOKUP(A883,[2]cwurData!$B:$N, 6, FALSE)</f>
        <v>122</v>
      </c>
      <c r="T883">
        <f>VLOOKUP(A883,[2]cwurData!$B:$N, 7, FALSE)</f>
        <v>285</v>
      </c>
      <c r="U883">
        <f>VLOOKUP(A883,[2]cwurData!$B:$N, 8, FALSE)</f>
        <v>232</v>
      </c>
      <c r="V883">
        <f>VLOOKUP(A883,[2]cwurData!$B:$N, 9, FALSE)</f>
        <v>310</v>
      </c>
      <c r="W883">
        <f>VLOOKUP(A883,[2]cwurData!$B:$N, 10, FALSE)</f>
        <v>207</v>
      </c>
      <c r="X883">
        <f>VLOOKUP(A883,[2]cwurData!$B:$N, 11, FALSE)</f>
        <v>737</v>
      </c>
      <c r="Y883">
        <f>VLOOKUP(A883,[2]cwurData!$B:$N, 12, FALSE)</f>
        <v>46.57</v>
      </c>
      <c r="Z883">
        <f>VLOOKUP(A883,[2]cwurData!$B:$N, 13, FALSE)</f>
        <v>2014</v>
      </c>
    </row>
    <row r="884" spans="1:26" x14ac:dyDescent="0.3">
      <c r="A884" t="s">
        <v>883</v>
      </c>
      <c r="B884" t="str">
        <f>IFERROR(VLOOKUP(A884,[1]timesData!$B:$P,2,FALSE),VLOOKUP(A884,[2]cwurData!$B:$P,2,FALSE))</f>
        <v>Netherlands</v>
      </c>
      <c r="C884" t="e">
        <f>VLOOKUP(A884,[1]timesData!$B:$P,3,FALSE)</f>
        <v>#N/A</v>
      </c>
      <c r="D884" t="e">
        <f>VLOOKUP(A885,[1]timesData!$B:$P,3,FALSE)</f>
        <v>#N/A</v>
      </c>
      <c r="E884" t="e">
        <f>VLOOKUP(A885,[1]timesData!$B:$P,4,FALSE)</f>
        <v>#N/A</v>
      </c>
      <c r="F884" t="e">
        <f>VLOOKUP(A885,[1]timesData!$B:$P,5,FALSE)</f>
        <v>#N/A</v>
      </c>
      <c r="G884" t="e">
        <f>VLOOKUP(A885,[1]timesData!$B:$P,6,FALSE)</f>
        <v>#N/A</v>
      </c>
      <c r="H884" t="e">
        <f>VLOOKUP(A885,[1]timesData!$B:$P,7,FALSE)</f>
        <v>#N/A</v>
      </c>
      <c r="I884" t="e">
        <f>VLOOKUP(A885,[1]timesData!$B:$P,8,FALSE)</f>
        <v>#N/A</v>
      </c>
      <c r="J884" t="e">
        <f>VLOOKUP(A885,[1]timesData!$B:$P,9,FALSE)</f>
        <v>#N/A</v>
      </c>
      <c r="K884" t="e">
        <f>VLOOKUP(A885,[1]timesData!$B:$P,10,FALSE)</f>
        <v>#N/A</v>
      </c>
      <c r="L884" t="e">
        <f>VLOOKUP(A885,[1]timesData!$B:$P,11,FALSE)</f>
        <v>#N/A</v>
      </c>
      <c r="M884" t="e">
        <f>VLOOKUP(A885,[1]timesData!$B:$P,12,FALSE)</f>
        <v>#N/A</v>
      </c>
      <c r="N884" t="e">
        <f>VLOOKUP(A885,[1]timesData!$B:$P,13,FALSE)</f>
        <v>#N/A</v>
      </c>
      <c r="O884">
        <f>VLOOKUP(A884,[2]cwurData!$B:$P,14,FALSE)</f>
        <v>288</v>
      </c>
      <c r="P884">
        <f>VLOOKUP(A884,[2]cwurData!$B:$N, 3, FALSE)</f>
        <v>10</v>
      </c>
      <c r="Q884">
        <f>VLOOKUP(A884,[2]cwurData!$B:$N, 4, FALSE)</f>
        <v>267</v>
      </c>
      <c r="R884">
        <f>VLOOKUP(A884,[2]cwurData!$B:$N, 5, FALSE)</f>
        <v>478</v>
      </c>
      <c r="S884">
        <f>VLOOKUP(A884,[2]cwurData!$B:$N, 6, FALSE)</f>
        <v>141</v>
      </c>
      <c r="T884">
        <f>VLOOKUP(A884,[2]cwurData!$B:$N, 7, FALSE)</f>
        <v>217</v>
      </c>
      <c r="U884">
        <f>VLOOKUP(A884,[2]cwurData!$B:$N, 8, FALSE)</f>
        <v>176</v>
      </c>
      <c r="V884">
        <f>VLOOKUP(A884,[2]cwurData!$B:$N, 9, FALSE)</f>
        <v>363</v>
      </c>
      <c r="W884">
        <f>VLOOKUP(A884,[2]cwurData!$B:$N, 10, FALSE)</f>
        <v>256</v>
      </c>
      <c r="X884">
        <f>VLOOKUP(A884,[2]cwurData!$B:$N, 11, FALSE)</f>
        <v>552</v>
      </c>
      <c r="Y884">
        <f>VLOOKUP(A884,[2]cwurData!$B:$N, 12, FALSE)</f>
        <v>46.48</v>
      </c>
      <c r="Z884">
        <f>VLOOKUP(A884,[2]cwurData!$B:$N, 13, FALSE)</f>
        <v>2014</v>
      </c>
    </row>
    <row r="885" spans="1:26" x14ac:dyDescent="0.3">
      <c r="A885" t="s">
        <v>884</v>
      </c>
      <c r="B885" t="str">
        <f>IFERROR(VLOOKUP(A885,[1]timesData!$B:$P,2,FALSE),VLOOKUP(A885,[2]cwurData!$B:$P,2,FALSE))</f>
        <v>USA</v>
      </c>
      <c r="C885" t="e">
        <f>VLOOKUP(A885,[1]timesData!$B:$P,3,FALSE)</f>
        <v>#N/A</v>
      </c>
      <c r="D885" t="e">
        <f>VLOOKUP(A886,[1]timesData!$B:$P,3,FALSE)</f>
        <v>#N/A</v>
      </c>
      <c r="E885" t="e">
        <f>VLOOKUP(A886,[1]timesData!$B:$P,4,FALSE)</f>
        <v>#N/A</v>
      </c>
      <c r="F885" t="e">
        <f>VLOOKUP(A886,[1]timesData!$B:$P,5,FALSE)</f>
        <v>#N/A</v>
      </c>
      <c r="G885" t="e">
        <f>VLOOKUP(A886,[1]timesData!$B:$P,6,FALSE)</f>
        <v>#N/A</v>
      </c>
      <c r="H885" t="e">
        <f>VLOOKUP(A886,[1]timesData!$B:$P,7,FALSE)</f>
        <v>#N/A</v>
      </c>
      <c r="I885" t="e">
        <f>VLOOKUP(A886,[1]timesData!$B:$P,8,FALSE)</f>
        <v>#N/A</v>
      </c>
      <c r="J885" t="e">
        <f>VLOOKUP(A886,[1]timesData!$B:$P,9,FALSE)</f>
        <v>#N/A</v>
      </c>
      <c r="K885" t="e">
        <f>VLOOKUP(A886,[1]timesData!$B:$P,10,FALSE)</f>
        <v>#N/A</v>
      </c>
      <c r="L885" t="e">
        <f>VLOOKUP(A886,[1]timesData!$B:$P,11,FALSE)</f>
        <v>#N/A</v>
      </c>
      <c r="M885" t="e">
        <f>VLOOKUP(A886,[1]timesData!$B:$P,12,FALSE)</f>
        <v>#N/A</v>
      </c>
      <c r="N885" t="e">
        <f>VLOOKUP(A886,[1]timesData!$B:$P,13,FALSE)</f>
        <v>#N/A</v>
      </c>
      <c r="O885">
        <f>VLOOKUP(A885,[2]cwurData!$B:$P,14,FALSE)</f>
        <v>294</v>
      </c>
      <c r="P885">
        <f>VLOOKUP(A885,[2]cwurData!$B:$N, 3, FALSE)</f>
        <v>114</v>
      </c>
      <c r="Q885">
        <f>VLOOKUP(A885,[2]cwurData!$B:$N, 4, FALSE)</f>
        <v>35</v>
      </c>
      <c r="R885">
        <f>VLOOKUP(A885,[2]cwurData!$B:$N, 5, FALSE)</f>
        <v>236</v>
      </c>
      <c r="S885">
        <f>VLOOKUP(A885,[2]cwurData!$B:$N, 6, FALSE)</f>
        <v>210</v>
      </c>
      <c r="T885">
        <f>VLOOKUP(A885,[2]cwurData!$B:$N, 7, FALSE)</f>
        <v>677</v>
      </c>
      <c r="U885">
        <f>VLOOKUP(A885,[2]cwurData!$B:$N, 8, FALSE)</f>
        <v>444</v>
      </c>
      <c r="V885">
        <f>VLOOKUP(A885,[2]cwurData!$B:$N, 9, FALSE)</f>
        <v>406</v>
      </c>
      <c r="W885">
        <f>VLOOKUP(A885,[2]cwurData!$B:$N, 10, FALSE)</f>
        <v>569</v>
      </c>
      <c r="X885">
        <f>VLOOKUP(A885,[2]cwurData!$B:$N, 11, FALSE)</f>
        <v>373</v>
      </c>
      <c r="Y885">
        <f>VLOOKUP(A885,[2]cwurData!$B:$N, 12, FALSE)</f>
        <v>46.41</v>
      </c>
      <c r="Z885">
        <f>VLOOKUP(A885,[2]cwurData!$B:$N, 13, FALSE)</f>
        <v>2014</v>
      </c>
    </row>
    <row r="886" spans="1:26" x14ac:dyDescent="0.3">
      <c r="A886" t="s">
        <v>885</v>
      </c>
      <c r="B886" t="str">
        <f>IFERROR(VLOOKUP(A886,[1]timesData!$B:$P,2,FALSE),VLOOKUP(A886,[2]cwurData!$B:$P,2,FALSE))</f>
        <v>Germany</v>
      </c>
      <c r="C886" t="e">
        <f>VLOOKUP(A886,[1]timesData!$B:$P,3,FALSE)</f>
        <v>#N/A</v>
      </c>
      <c r="D886" t="e">
        <f>VLOOKUP(A887,[1]timesData!$B:$P,3,FALSE)</f>
        <v>#N/A</v>
      </c>
      <c r="E886" t="e">
        <f>VLOOKUP(A887,[1]timesData!$B:$P,4,FALSE)</f>
        <v>#N/A</v>
      </c>
      <c r="F886" t="e">
        <f>VLOOKUP(A887,[1]timesData!$B:$P,5,FALSE)</f>
        <v>#N/A</v>
      </c>
      <c r="G886" t="e">
        <f>VLOOKUP(A887,[1]timesData!$B:$P,6,FALSE)</f>
        <v>#N/A</v>
      </c>
      <c r="H886" t="e">
        <f>VLOOKUP(A887,[1]timesData!$B:$P,7,FALSE)</f>
        <v>#N/A</v>
      </c>
      <c r="I886" t="e">
        <f>VLOOKUP(A887,[1]timesData!$B:$P,8,FALSE)</f>
        <v>#N/A</v>
      </c>
      <c r="J886" t="e">
        <f>VLOOKUP(A887,[1]timesData!$B:$P,9,FALSE)</f>
        <v>#N/A</v>
      </c>
      <c r="K886" t="e">
        <f>VLOOKUP(A887,[1]timesData!$B:$P,10,FALSE)</f>
        <v>#N/A</v>
      </c>
      <c r="L886" t="e">
        <f>VLOOKUP(A887,[1]timesData!$B:$P,11,FALSE)</f>
        <v>#N/A</v>
      </c>
      <c r="M886" t="e">
        <f>VLOOKUP(A887,[1]timesData!$B:$P,12,FALSE)</f>
        <v>#N/A</v>
      </c>
      <c r="N886" t="e">
        <f>VLOOKUP(A887,[1]timesData!$B:$P,13,FALSE)</f>
        <v>#N/A</v>
      </c>
      <c r="O886">
        <f>VLOOKUP(A886,[2]cwurData!$B:$P,14,FALSE)</f>
        <v>295</v>
      </c>
      <c r="P886">
        <f>VLOOKUP(A886,[2]cwurData!$B:$N, 3, FALSE)</f>
        <v>23</v>
      </c>
      <c r="Q886">
        <f>VLOOKUP(A886,[2]cwurData!$B:$N, 4, FALSE)</f>
        <v>355</v>
      </c>
      <c r="R886">
        <f>VLOOKUP(A886,[2]cwurData!$B:$N, 5, FALSE)</f>
        <v>478</v>
      </c>
      <c r="S886">
        <f>VLOOKUP(A886,[2]cwurData!$B:$N, 6, FALSE)</f>
        <v>210</v>
      </c>
      <c r="T886">
        <f>VLOOKUP(A886,[2]cwurData!$B:$N, 7, FALSE)</f>
        <v>324</v>
      </c>
      <c r="U886">
        <f>VLOOKUP(A886,[2]cwurData!$B:$N, 8, FALSE)</f>
        <v>252</v>
      </c>
      <c r="V886">
        <f>VLOOKUP(A886,[2]cwurData!$B:$N, 9, FALSE)</f>
        <v>363</v>
      </c>
      <c r="W886">
        <f>VLOOKUP(A886,[2]cwurData!$B:$N, 10, FALSE)</f>
        <v>211</v>
      </c>
      <c r="X886">
        <f>VLOOKUP(A886,[2]cwurData!$B:$N, 11, FALSE)</f>
        <v>280</v>
      </c>
      <c r="Y886">
        <f>VLOOKUP(A886,[2]cwurData!$B:$N, 12, FALSE)</f>
        <v>46.41</v>
      </c>
      <c r="Z886">
        <f>VLOOKUP(A886,[2]cwurData!$B:$N, 13, FALSE)</f>
        <v>2014</v>
      </c>
    </row>
    <row r="887" spans="1:26" x14ac:dyDescent="0.3">
      <c r="A887" t="s">
        <v>886</v>
      </c>
      <c r="B887" t="str">
        <f>IFERROR(VLOOKUP(A887,[1]timesData!$B:$P,2,FALSE),VLOOKUP(A887,[2]cwurData!$B:$P,2,FALSE))</f>
        <v>USA</v>
      </c>
      <c r="C887" t="e">
        <f>VLOOKUP(A887,[1]timesData!$B:$P,3,FALSE)</f>
        <v>#N/A</v>
      </c>
      <c r="D887" t="e">
        <f>VLOOKUP(A888,[1]timesData!$B:$P,3,FALSE)</f>
        <v>#N/A</v>
      </c>
      <c r="E887" t="e">
        <f>VLOOKUP(A888,[1]timesData!$B:$P,4,FALSE)</f>
        <v>#N/A</v>
      </c>
      <c r="F887" t="e">
        <f>VLOOKUP(A888,[1]timesData!$B:$P,5,FALSE)</f>
        <v>#N/A</v>
      </c>
      <c r="G887" t="e">
        <f>VLOOKUP(A888,[1]timesData!$B:$P,6,FALSE)</f>
        <v>#N/A</v>
      </c>
      <c r="H887" t="e">
        <f>VLOOKUP(A888,[1]timesData!$B:$P,7,FALSE)</f>
        <v>#N/A</v>
      </c>
      <c r="I887" t="e">
        <f>VLOOKUP(A888,[1]timesData!$B:$P,8,FALSE)</f>
        <v>#N/A</v>
      </c>
      <c r="J887" t="e">
        <f>VLOOKUP(A888,[1]timesData!$B:$P,9,FALSE)</f>
        <v>#N/A</v>
      </c>
      <c r="K887" t="e">
        <f>VLOOKUP(A888,[1]timesData!$B:$P,10,FALSE)</f>
        <v>#N/A</v>
      </c>
      <c r="L887" t="e">
        <f>VLOOKUP(A888,[1]timesData!$B:$P,11,FALSE)</f>
        <v>#N/A</v>
      </c>
      <c r="M887" t="e">
        <f>VLOOKUP(A888,[1]timesData!$B:$P,12,FALSE)</f>
        <v>#N/A</v>
      </c>
      <c r="N887" t="e">
        <f>VLOOKUP(A888,[1]timesData!$B:$P,13,FALSE)</f>
        <v>#N/A</v>
      </c>
      <c r="O887">
        <f>VLOOKUP(A887,[2]cwurData!$B:$P,14,FALSE)</f>
        <v>296</v>
      </c>
      <c r="P887">
        <f>VLOOKUP(A887,[2]cwurData!$B:$N, 3, FALSE)</f>
        <v>115</v>
      </c>
      <c r="Q887">
        <f>VLOOKUP(A887,[2]cwurData!$B:$N, 4, FALSE)</f>
        <v>355</v>
      </c>
      <c r="R887">
        <f>VLOOKUP(A887,[2]cwurData!$B:$N, 5, FALSE)</f>
        <v>267</v>
      </c>
      <c r="S887">
        <f>VLOOKUP(A887,[2]cwurData!$B:$N, 6, FALSE)</f>
        <v>122</v>
      </c>
      <c r="T887">
        <f>VLOOKUP(A887,[2]cwurData!$B:$N, 7, FALSE)</f>
        <v>293</v>
      </c>
      <c r="U887">
        <f>VLOOKUP(A887,[2]cwurData!$B:$N, 8, FALSE)</f>
        <v>221</v>
      </c>
      <c r="V887">
        <f>VLOOKUP(A887,[2]cwurData!$B:$N, 9, FALSE)</f>
        <v>310</v>
      </c>
      <c r="W887">
        <f>VLOOKUP(A887,[2]cwurData!$B:$N, 10, FALSE)</f>
        <v>295</v>
      </c>
      <c r="X887">
        <f>VLOOKUP(A887,[2]cwurData!$B:$N, 11, FALSE)</f>
        <v>170</v>
      </c>
      <c r="Y887">
        <f>VLOOKUP(A887,[2]cwurData!$B:$N, 12, FALSE)</f>
        <v>46.4</v>
      </c>
      <c r="Z887">
        <f>VLOOKUP(A887,[2]cwurData!$B:$N, 13, FALSE)</f>
        <v>2014</v>
      </c>
    </row>
    <row r="888" spans="1:26" x14ac:dyDescent="0.3">
      <c r="A888" t="s">
        <v>887</v>
      </c>
      <c r="B888" t="str">
        <f>IFERROR(VLOOKUP(A888,[1]timesData!$B:$P,2,FALSE),VLOOKUP(A888,[2]cwurData!$B:$P,2,FALSE))</f>
        <v>USA</v>
      </c>
      <c r="C888" t="e">
        <f>VLOOKUP(A888,[1]timesData!$B:$P,3,FALSE)</f>
        <v>#N/A</v>
      </c>
      <c r="D888" t="e">
        <f>VLOOKUP(A889,[1]timesData!$B:$P,3,FALSE)</f>
        <v>#N/A</v>
      </c>
      <c r="E888" t="e">
        <f>VLOOKUP(A889,[1]timesData!$B:$P,4,FALSE)</f>
        <v>#N/A</v>
      </c>
      <c r="F888" t="e">
        <f>VLOOKUP(A889,[1]timesData!$B:$P,5,FALSE)</f>
        <v>#N/A</v>
      </c>
      <c r="G888" t="e">
        <f>VLOOKUP(A889,[1]timesData!$B:$P,6,FALSE)</f>
        <v>#N/A</v>
      </c>
      <c r="H888" t="e">
        <f>VLOOKUP(A889,[1]timesData!$B:$P,7,FALSE)</f>
        <v>#N/A</v>
      </c>
      <c r="I888" t="e">
        <f>VLOOKUP(A889,[1]timesData!$B:$P,8,FALSE)</f>
        <v>#N/A</v>
      </c>
      <c r="J888" t="e">
        <f>VLOOKUP(A889,[1]timesData!$B:$P,9,FALSE)</f>
        <v>#N/A</v>
      </c>
      <c r="K888" t="e">
        <f>VLOOKUP(A889,[1]timesData!$B:$P,10,FALSE)</f>
        <v>#N/A</v>
      </c>
      <c r="L888" t="e">
        <f>VLOOKUP(A889,[1]timesData!$B:$P,11,FALSE)</f>
        <v>#N/A</v>
      </c>
      <c r="M888" t="e">
        <f>VLOOKUP(A889,[1]timesData!$B:$P,12,FALSE)</f>
        <v>#N/A</v>
      </c>
      <c r="N888" t="e">
        <f>VLOOKUP(A889,[1]timesData!$B:$P,13,FALSE)</f>
        <v>#N/A</v>
      </c>
      <c r="O888">
        <f>VLOOKUP(A888,[2]cwurData!$B:$P,14,FALSE)</f>
        <v>298</v>
      </c>
      <c r="P888">
        <f>VLOOKUP(A888,[2]cwurData!$B:$N, 3, FALSE)</f>
        <v>116</v>
      </c>
      <c r="Q888">
        <f>VLOOKUP(A888,[2]cwurData!$B:$N, 4, FALSE)</f>
        <v>355</v>
      </c>
      <c r="R888">
        <f>VLOOKUP(A888,[2]cwurData!$B:$N, 5, FALSE)</f>
        <v>440</v>
      </c>
      <c r="S888">
        <f>VLOOKUP(A888,[2]cwurData!$B:$N, 6, FALSE)</f>
        <v>182</v>
      </c>
      <c r="T888">
        <f>VLOOKUP(A888,[2]cwurData!$B:$N, 7, FALSE)</f>
        <v>262</v>
      </c>
      <c r="U888">
        <f>VLOOKUP(A888,[2]cwurData!$B:$N, 8, FALSE)</f>
        <v>353</v>
      </c>
      <c r="V888">
        <f>VLOOKUP(A888,[2]cwurData!$B:$N, 9, FALSE)</f>
        <v>130</v>
      </c>
      <c r="W888">
        <f>VLOOKUP(A888,[2]cwurData!$B:$N, 10, FALSE)</f>
        <v>266</v>
      </c>
      <c r="X888">
        <f>VLOOKUP(A888,[2]cwurData!$B:$N, 11, FALSE)</f>
        <v>737</v>
      </c>
      <c r="Y888">
        <f>VLOOKUP(A888,[2]cwurData!$B:$N, 12, FALSE)</f>
        <v>46.37</v>
      </c>
      <c r="Z888">
        <f>VLOOKUP(A888,[2]cwurData!$B:$N, 13, FALSE)</f>
        <v>2014</v>
      </c>
    </row>
    <row r="889" spans="1:26" x14ac:dyDescent="0.3">
      <c r="A889" t="s">
        <v>888</v>
      </c>
      <c r="B889" t="str">
        <f>IFERROR(VLOOKUP(A889,[1]timesData!$B:$P,2,FALSE),VLOOKUP(A889,[2]cwurData!$B:$P,2,FALSE))</f>
        <v>Germany</v>
      </c>
      <c r="C889" t="e">
        <f>VLOOKUP(A889,[1]timesData!$B:$P,3,FALSE)</f>
        <v>#N/A</v>
      </c>
      <c r="D889" t="e">
        <f>VLOOKUP(A890,[1]timesData!$B:$P,3,FALSE)</f>
        <v>#N/A</v>
      </c>
      <c r="E889" t="e">
        <f>VLOOKUP(A890,[1]timesData!$B:$P,4,FALSE)</f>
        <v>#N/A</v>
      </c>
      <c r="F889" t="e">
        <f>VLOOKUP(A890,[1]timesData!$B:$P,5,FALSE)</f>
        <v>#N/A</v>
      </c>
      <c r="G889" t="e">
        <f>VLOOKUP(A890,[1]timesData!$B:$P,6,FALSE)</f>
        <v>#N/A</v>
      </c>
      <c r="H889" t="e">
        <f>VLOOKUP(A890,[1]timesData!$B:$P,7,FALSE)</f>
        <v>#N/A</v>
      </c>
      <c r="I889" t="e">
        <f>VLOOKUP(A890,[1]timesData!$B:$P,8,FALSE)</f>
        <v>#N/A</v>
      </c>
      <c r="J889" t="e">
        <f>VLOOKUP(A890,[1]timesData!$B:$P,9,FALSE)</f>
        <v>#N/A</v>
      </c>
      <c r="K889" t="e">
        <f>VLOOKUP(A890,[1]timesData!$B:$P,10,FALSE)</f>
        <v>#N/A</v>
      </c>
      <c r="L889" t="e">
        <f>VLOOKUP(A890,[1]timesData!$B:$P,11,FALSE)</f>
        <v>#N/A</v>
      </c>
      <c r="M889" t="e">
        <f>VLOOKUP(A890,[1]timesData!$B:$P,12,FALSE)</f>
        <v>#N/A</v>
      </c>
      <c r="N889" t="e">
        <f>VLOOKUP(A890,[1]timesData!$B:$P,13,FALSE)</f>
        <v>#N/A</v>
      </c>
      <c r="O889">
        <f>VLOOKUP(A889,[2]cwurData!$B:$P,14,FALSE)</f>
        <v>299</v>
      </c>
      <c r="P889">
        <f>VLOOKUP(A889,[2]cwurData!$B:$N, 3, FALSE)</f>
        <v>25</v>
      </c>
      <c r="Q889">
        <f>VLOOKUP(A889,[2]cwurData!$B:$N, 4, FALSE)</f>
        <v>308</v>
      </c>
      <c r="R889">
        <f>VLOOKUP(A889,[2]cwurData!$B:$N, 5, FALSE)</f>
        <v>478</v>
      </c>
      <c r="S889">
        <f>VLOOKUP(A889,[2]cwurData!$B:$N, 6, FALSE)</f>
        <v>201</v>
      </c>
      <c r="T889">
        <f>VLOOKUP(A889,[2]cwurData!$B:$N, 7, FALSE)</f>
        <v>287</v>
      </c>
      <c r="U889">
        <f>VLOOKUP(A889,[2]cwurData!$B:$N, 8, FALSE)</f>
        <v>268</v>
      </c>
      <c r="V889">
        <f>VLOOKUP(A889,[2]cwurData!$B:$N, 9, FALSE)</f>
        <v>800</v>
      </c>
      <c r="W889">
        <f>VLOOKUP(A889,[2]cwurData!$B:$N, 10, FALSE)</f>
        <v>224</v>
      </c>
      <c r="X889">
        <f>VLOOKUP(A889,[2]cwurData!$B:$N, 11, FALSE)</f>
        <v>307</v>
      </c>
      <c r="Y889">
        <f>VLOOKUP(A889,[2]cwurData!$B:$N, 12, FALSE)</f>
        <v>46.36</v>
      </c>
      <c r="Z889">
        <f>VLOOKUP(A889,[2]cwurData!$B:$N, 13, FALSE)</f>
        <v>2014</v>
      </c>
    </row>
    <row r="890" spans="1:26" x14ac:dyDescent="0.3">
      <c r="A890" t="s">
        <v>889</v>
      </c>
      <c r="B890" t="str">
        <f>IFERROR(VLOOKUP(A890,[1]timesData!$B:$P,2,FALSE),VLOOKUP(A890,[2]cwurData!$B:$P,2,FALSE))</f>
        <v>United Kingdom</v>
      </c>
      <c r="C890" t="e">
        <f>VLOOKUP(A890,[1]timesData!$B:$P,3,FALSE)</f>
        <v>#N/A</v>
      </c>
      <c r="D890" t="e">
        <f>VLOOKUP(A891,[1]timesData!$B:$P,3,FALSE)</f>
        <v>#N/A</v>
      </c>
      <c r="E890" t="e">
        <f>VLOOKUP(A891,[1]timesData!$B:$P,4,FALSE)</f>
        <v>#N/A</v>
      </c>
      <c r="F890" t="e">
        <f>VLOOKUP(A891,[1]timesData!$B:$P,5,FALSE)</f>
        <v>#N/A</v>
      </c>
      <c r="G890" t="e">
        <f>VLOOKUP(A891,[1]timesData!$B:$P,6,FALSE)</f>
        <v>#N/A</v>
      </c>
      <c r="H890" t="e">
        <f>VLOOKUP(A891,[1]timesData!$B:$P,7,FALSE)</f>
        <v>#N/A</v>
      </c>
      <c r="I890" t="e">
        <f>VLOOKUP(A891,[1]timesData!$B:$P,8,FALSE)</f>
        <v>#N/A</v>
      </c>
      <c r="J890" t="e">
        <f>VLOOKUP(A891,[1]timesData!$B:$P,9,FALSE)</f>
        <v>#N/A</v>
      </c>
      <c r="K890" t="e">
        <f>VLOOKUP(A891,[1]timesData!$B:$P,10,FALSE)</f>
        <v>#N/A</v>
      </c>
      <c r="L890" t="e">
        <f>VLOOKUP(A891,[1]timesData!$B:$P,11,FALSE)</f>
        <v>#N/A</v>
      </c>
      <c r="M890" t="e">
        <f>VLOOKUP(A891,[1]timesData!$B:$P,12,FALSE)</f>
        <v>#N/A</v>
      </c>
      <c r="N890" t="e">
        <f>VLOOKUP(A891,[1]timesData!$B:$P,13,FALSE)</f>
        <v>#N/A</v>
      </c>
      <c r="O890">
        <f>VLOOKUP(A890,[2]cwurData!$B:$P,14,FALSE)</f>
        <v>306</v>
      </c>
      <c r="P890">
        <f>VLOOKUP(A890,[2]cwurData!$B:$N, 3, FALSE)</f>
        <v>26</v>
      </c>
      <c r="Q890">
        <f>VLOOKUP(A890,[2]cwurData!$B:$N, 4, FALSE)</f>
        <v>70</v>
      </c>
      <c r="R890">
        <f>VLOOKUP(A890,[2]cwurData!$B:$N, 5, FALSE)</f>
        <v>139</v>
      </c>
      <c r="S890">
        <f>VLOOKUP(A890,[2]cwurData!$B:$N, 6, FALSE)</f>
        <v>75</v>
      </c>
      <c r="T890">
        <f>VLOOKUP(A890,[2]cwurData!$B:$N, 7, FALSE)</f>
        <v>520</v>
      </c>
      <c r="U890">
        <f>VLOOKUP(A890,[2]cwurData!$B:$N, 8, FALSE)</f>
        <v>742</v>
      </c>
      <c r="V890">
        <f>VLOOKUP(A890,[2]cwurData!$B:$N, 9, FALSE)</f>
        <v>310</v>
      </c>
      <c r="W890">
        <f>VLOOKUP(A890,[2]cwurData!$B:$N, 10, FALSE)</f>
        <v>596</v>
      </c>
      <c r="X890">
        <f>VLOOKUP(A890,[2]cwurData!$B:$N, 11, FALSE)</f>
        <v>737</v>
      </c>
      <c r="Y890">
        <f>VLOOKUP(A890,[2]cwurData!$B:$N, 12, FALSE)</f>
        <v>46.3</v>
      </c>
      <c r="Z890">
        <f>VLOOKUP(A890,[2]cwurData!$B:$N, 13, FALSE)</f>
        <v>2014</v>
      </c>
    </row>
    <row r="891" spans="1:26" x14ac:dyDescent="0.3">
      <c r="A891" t="s">
        <v>890</v>
      </c>
      <c r="B891" t="str">
        <f>IFERROR(VLOOKUP(A891,[1]timesData!$B:$P,2,FALSE),VLOOKUP(A891,[2]cwurData!$B:$P,2,FALSE))</f>
        <v>USA</v>
      </c>
      <c r="C891" t="e">
        <f>VLOOKUP(A891,[1]timesData!$B:$P,3,FALSE)</f>
        <v>#N/A</v>
      </c>
      <c r="D891" t="e">
        <f>VLOOKUP(A892,[1]timesData!$B:$P,3,FALSE)</f>
        <v>#N/A</v>
      </c>
      <c r="E891" t="e">
        <f>VLOOKUP(A892,[1]timesData!$B:$P,4,FALSE)</f>
        <v>#N/A</v>
      </c>
      <c r="F891" t="e">
        <f>VLOOKUP(A892,[1]timesData!$B:$P,5,FALSE)</f>
        <v>#N/A</v>
      </c>
      <c r="G891" t="e">
        <f>VLOOKUP(A892,[1]timesData!$B:$P,6,FALSE)</f>
        <v>#N/A</v>
      </c>
      <c r="H891" t="e">
        <f>VLOOKUP(A892,[1]timesData!$B:$P,7,FALSE)</f>
        <v>#N/A</v>
      </c>
      <c r="I891" t="e">
        <f>VLOOKUP(A892,[1]timesData!$B:$P,8,FALSE)</f>
        <v>#N/A</v>
      </c>
      <c r="J891" t="e">
        <f>VLOOKUP(A892,[1]timesData!$B:$P,9,FALSE)</f>
        <v>#N/A</v>
      </c>
      <c r="K891" t="e">
        <f>VLOOKUP(A892,[1]timesData!$B:$P,10,FALSE)</f>
        <v>#N/A</v>
      </c>
      <c r="L891" t="e">
        <f>VLOOKUP(A892,[1]timesData!$B:$P,11,FALSE)</f>
        <v>#N/A</v>
      </c>
      <c r="M891" t="e">
        <f>VLOOKUP(A892,[1]timesData!$B:$P,12,FALSE)</f>
        <v>#N/A</v>
      </c>
      <c r="N891" t="e">
        <f>VLOOKUP(A892,[1]timesData!$B:$P,13,FALSE)</f>
        <v>#N/A</v>
      </c>
      <c r="O891">
        <f>VLOOKUP(A891,[2]cwurData!$B:$P,14,FALSE)</f>
        <v>307</v>
      </c>
      <c r="P891">
        <f>VLOOKUP(A891,[2]cwurData!$B:$N, 3, FALSE)</f>
        <v>117</v>
      </c>
      <c r="Q891">
        <f>VLOOKUP(A891,[2]cwurData!$B:$N, 4, FALSE)</f>
        <v>130</v>
      </c>
      <c r="R891">
        <f>VLOOKUP(A891,[2]cwurData!$B:$N, 5, FALSE)</f>
        <v>54</v>
      </c>
      <c r="S891">
        <f>VLOOKUP(A891,[2]cwurData!$B:$N, 6, FALSE)</f>
        <v>210</v>
      </c>
      <c r="T891">
        <f>VLOOKUP(A891,[2]cwurData!$B:$N, 7, FALSE)</f>
        <v>986</v>
      </c>
      <c r="U891">
        <f>VLOOKUP(A891,[2]cwurData!$B:$N, 8, FALSE)</f>
        <v>538</v>
      </c>
      <c r="V891">
        <f>VLOOKUP(A891,[2]cwurData!$B:$N, 9, FALSE)</f>
        <v>609</v>
      </c>
      <c r="W891">
        <f>VLOOKUP(A891,[2]cwurData!$B:$N, 10, FALSE)</f>
        <v>832</v>
      </c>
      <c r="X891">
        <f>VLOOKUP(A891,[2]cwurData!$B:$N, 11, FALSE)</f>
        <v>737</v>
      </c>
      <c r="Y891">
        <f>VLOOKUP(A891,[2]cwurData!$B:$N, 12, FALSE)</f>
        <v>46.3</v>
      </c>
      <c r="Z891">
        <f>VLOOKUP(A891,[2]cwurData!$B:$N, 13, FALSE)</f>
        <v>2014</v>
      </c>
    </row>
    <row r="892" spans="1:26" x14ac:dyDescent="0.3">
      <c r="A892" t="s">
        <v>891</v>
      </c>
      <c r="B892" t="str">
        <f>IFERROR(VLOOKUP(A892,[1]timesData!$B:$P,2,FALSE),VLOOKUP(A892,[2]cwurData!$B:$P,2,FALSE))</f>
        <v>Malaysia</v>
      </c>
      <c r="C892" t="e">
        <f>VLOOKUP(A892,[1]timesData!$B:$P,3,FALSE)</f>
        <v>#N/A</v>
      </c>
      <c r="D892" t="e">
        <f>VLOOKUP(A893,[1]timesData!$B:$P,3,FALSE)</f>
        <v>#N/A</v>
      </c>
      <c r="E892" t="e">
        <f>VLOOKUP(A893,[1]timesData!$B:$P,4,FALSE)</f>
        <v>#N/A</v>
      </c>
      <c r="F892" t="e">
        <f>VLOOKUP(A893,[1]timesData!$B:$P,5,FALSE)</f>
        <v>#N/A</v>
      </c>
      <c r="G892" t="e">
        <f>VLOOKUP(A893,[1]timesData!$B:$P,6,FALSE)</f>
        <v>#N/A</v>
      </c>
      <c r="H892" t="e">
        <f>VLOOKUP(A893,[1]timesData!$B:$P,7,FALSE)</f>
        <v>#N/A</v>
      </c>
      <c r="I892" t="e">
        <f>VLOOKUP(A893,[1]timesData!$B:$P,8,FALSE)</f>
        <v>#N/A</v>
      </c>
      <c r="J892" t="e">
        <f>VLOOKUP(A893,[1]timesData!$B:$P,9,FALSE)</f>
        <v>#N/A</v>
      </c>
      <c r="K892" t="e">
        <f>VLOOKUP(A893,[1]timesData!$B:$P,10,FALSE)</f>
        <v>#N/A</v>
      </c>
      <c r="L892" t="e">
        <f>VLOOKUP(A893,[1]timesData!$B:$P,11,FALSE)</f>
        <v>#N/A</v>
      </c>
      <c r="M892" t="e">
        <f>VLOOKUP(A893,[1]timesData!$B:$P,12,FALSE)</f>
        <v>#N/A</v>
      </c>
      <c r="N892" t="e">
        <f>VLOOKUP(A893,[1]timesData!$B:$P,13,FALSE)</f>
        <v>#N/A</v>
      </c>
      <c r="O892">
        <f>VLOOKUP(A892,[2]cwurData!$B:$P,14,FALSE)</f>
        <v>315</v>
      </c>
      <c r="P892">
        <f>VLOOKUP(A892,[2]cwurData!$B:$N, 3, FALSE)</f>
        <v>1</v>
      </c>
      <c r="Q892">
        <f>VLOOKUP(A892,[2]cwurData!$B:$N, 4, FALSE)</f>
        <v>355</v>
      </c>
      <c r="R892">
        <f>VLOOKUP(A892,[2]cwurData!$B:$N, 5, FALSE)</f>
        <v>478</v>
      </c>
      <c r="S892">
        <f>VLOOKUP(A892,[2]cwurData!$B:$N, 6, FALSE)</f>
        <v>210</v>
      </c>
      <c r="T892">
        <f>VLOOKUP(A892,[2]cwurData!$B:$N, 7, FALSE)</f>
        <v>700</v>
      </c>
      <c r="U892">
        <f>VLOOKUP(A892,[2]cwurData!$B:$N, 8, FALSE)</f>
        <v>877</v>
      </c>
      <c r="V892">
        <f>VLOOKUP(A892,[2]cwurData!$B:$N, 9, FALSE)</f>
        <v>609</v>
      </c>
      <c r="W892">
        <f>VLOOKUP(A892,[2]cwurData!$B:$N, 10, FALSE)</f>
        <v>819</v>
      </c>
      <c r="X892">
        <f>VLOOKUP(A892,[2]cwurData!$B:$N, 11, FALSE)</f>
        <v>42</v>
      </c>
      <c r="Y892">
        <f>VLOOKUP(A892,[2]cwurData!$B:$N, 12, FALSE)</f>
        <v>46.23</v>
      </c>
      <c r="Z892">
        <f>VLOOKUP(A892,[2]cwurData!$B:$N, 13, FALSE)</f>
        <v>2014</v>
      </c>
    </row>
    <row r="893" spans="1:26" x14ac:dyDescent="0.3">
      <c r="A893" t="s">
        <v>892</v>
      </c>
      <c r="B893" t="str">
        <f>IFERROR(VLOOKUP(A893,[1]timesData!$B:$P,2,FALSE),VLOOKUP(A893,[2]cwurData!$B:$P,2,FALSE))</f>
        <v>USA</v>
      </c>
      <c r="C893" t="e">
        <f>VLOOKUP(A893,[1]timesData!$B:$P,3,FALSE)</f>
        <v>#N/A</v>
      </c>
      <c r="D893" t="e">
        <f>VLOOKUP(A894,[1]timesData!$B:$P,3,FALSE)</f>
        <v>#N/A</v>
      </c>
      <c r="E893" t="e">
        <f>VLOOKUP(A894,[1]timesData!$B:$P,4,FALSE)</f>
        <v>#N/A</v>
      </c>
      <c r="F893" t="e">
        <f>VLOOKUP(A894,[1]timesData!$B:$P,5,FALSE)</f>
        <v>#N/A</v>
      </c>
      <c r="G893" t="e">
        <f>VLOOKUP(A894,[1]timesData!$B:$P,6,FALSE)</f>
        <v>#N/A</v>
      </c>
      <c r="H893" t="e">
        <f>VLOOKUP(A894,[1]timesData!$B:$P,7,FALSE)</f>
        <v>#N/A</v>
      </c>
      <c r="I893" t="e">
        <f>VLOOKUP(A894,[1]timesData!$B:$P,8,FALSE)</f>
        <v>#N/A</v>
      </c>
      <c r="J893" t="e">
        <f>VLOOKUP(A894,[1]timesData!$B:$P,9,FALSE)</f>
        <v>#N/A</v>
      </c>
      <c r="K893" t="e">
        <f>VLOOKUP(A894,[1]timesData!$B:$P,10,FALSE)</f>
        <v>#N/A</v>
      </c>
      <c r="L893" t="e">
        <f>VLOOKUP(A894,[1]timesData!$B:$P,11,FALSE)</f>
        <v>#N/A</v>
      </c>
      <c r="M893" t="e">
        <f>VLOOKUP(A894,[1]timesData!$B:$P,12,FALSE)</f>
        <v>#N/A</v>
      </c>
      <c r="N893" t="e">
        <f>VLOOKUP(A894,[1]timesData!$B:$P,13,FALSE)</f>
        <v>#N/A</v>
      </c>
      <c r="O893">
        <f>VLOOKUP(A893,[2]cwurData!$B:$P,14,FALSE)</f>
        <v>322</v>
      </c>
      <c r="P893">
        <f>VLOOKUP(A893,[2]cwurData!$B:$N, 3, FALSE)</f>
        <v>123</v>
      </c>
      <c r="Q893">
        <f>VLOOKUP(A893,[2]cwurData!$B:$N, 4, FALSE)</f>
        <v>355</v>
      </c>
      <c r="R893">
        <f>VLOOKUP(A893,[2]cwurData!$B:$N, 5, FALSE)</f>
        <v>389</v>
      </c>
      <c r="S893">
        <f>VLOOKUP(A893,[2]cwurData!$B:$N, 6, FALSE)</f>
        <v>210</v>
      </c>
      <c r="T893">
        <f>VLOOKUP(A893,[2]cwurData!$B:$N, 7, FALSE)</f>
        <v>335</v>
      </c>
      <c r="U893">
        <f>VLOOKUP(A893,[2]cwurData!$B:$N, 8, FALSE)</f>
        <v>383</v>
      </c>
      <c r="V893">
        <f>VLOOKUP(A893,[2]cwurData!$B:$N, 9, FALSE)</f>
        <v>406</v>
      </c>
      <c r="W893">
        <f>VLOOKUP(A893,[2]cwurData!$B:$N, 10, FALSE)</f>
        <v>295</v>
      </c>
      <c r="X893">
        <f>VLOOKUP(A893,[2]cwurData!$B:$N, 11, FALSE)</f>
        <v>138</v>
      </c>
      <c r="Y893">
        <f>VLOOKUP(A893,[2]cwurData!$B:$N, 12, FALSE)</f>
        <v>46.15</v>
      </c>
      <c r="Z893">
        <f>VLOOKUP(A893,[2]cwurData!$B:$N, 13, FALSE)</f>
        <v>2014</v>
      </c>
    </row>
    <row r="894" spans="1:26" x14ac:dyDescent="0.3">
      <c r="A894" t="s">
        <v>893</v>
      </c>
      <c r="B894" t="str">
        <f>IFERROR(VLOOKUP(A894,[1]timesData!$B:$P,2,FALSE),VLOOKUP(A894,[2]cwurData!$B:$P,2,FALSE))</f>
        <v>Italy</v>
      </c>
      <c r="C894" t="e">
        <f>VLOOKUP(A894,[1]timesData!$B:$P,3,FALSE)</f>
        <v>#N/A</v>
      </c>
      <c r="D894" t="e">
        <f>VLOOKUP(A895,[1]timesData!$B:$P,3,FALSE)</f>
        <v>#N/A</v>
      </c>
      <c r="E894" t="e">
        <f>VLOOKUP(A895,[1]timesData!$B:$P,4,FALSE)</f>
        <v>#N/A</v>
      </c>
      <c r="F894" t="e">
        <f>VLOOKUP(A895,[1]timesData!$B:$P,5,FALSE)</f>
        <v>#N/A</v>
      </c>
      <c r="G894" t="e">
        <f>VLOOKUP(A895,[1]timesData!$B:$P,6,FALSE)</f>
        <v>#N/A</v>
      </c>
      <c r="H894" t="e">
        <f>VLOOKUP(A895,[1]timesData!$B:$P,7,FALSE)</f>
        <v>#N/A</v>
      </c>
      <c r="I894" t="e">
        <f>VLOOKUP(A895,[1]timesData!$B:$P,8,FALSE)</f>
        <v>#N/A</v>
      </c>
      <c r="J894" t="e">
        <f>VLOOKUP(A895,[1]timesData!$B:$P,9,FALSE)</f>
        <v>#N/A</v>
      </c>
      <c r="K894" t="e">
        <f>VLOOKUP(A895,[1]timesData!$B:$P,10,FALSE)</f>
        <v>#N/A</v>
      </c>
      <c r="L894" t="e">
        <f>VLOOKUP(A895,[1]timesData!$B:$P,11,FALSE)</f>
        <v>#N/A</v>
      </c>
      <c r="M894" t="e">
        <f>VLOOKUP(A895,[1]timesData!$B:$P,12,FALSE)</f>
        <v>#N/A</v>
      </c>
      <c r="N894" t="e">
        <f>VLOOKUP(A895,[1]timesData!$B:$P,13,FALSE)</f>
        <v>#N/A</v>
      </c>
      <c r="O894">
        <f>VLOOKUP(A894,[2]cwurData!$B:$P,14,FALSE)</f>
        <v>325</v>
      </c>
      <c r="P894">
        <f>VLOOKUP(A894,[2]cwurData!$B:$N, 3, FALSE)</f>
        <v>9</v>
      </c>
      <c r="Q894">
        <f>VLOOKUP(A894,[2]cwurData!$B:$N, 4, FALSE)</f>
        <v>355</v>
      </c>
      <c r="R894">
        <f>VLOOKUP(A894,[2]cwurData!$B:$N, 5, FALSE)</f>
        <v>478</v>
      </c>
      <c r="S894">
        <f>VLOOKUP(A894,[2]cwurData!$B:$N, 6, FALSE)</f>
        <v>210</v>
      </c>
      <c r="T894">
        <f>VLOOKUP(A894,[2]cwurData!$B:$N, 7, FALSE)</f>
        <v>260</v>
      </c>
      <c r="U894">
        <f>VLOOKUP(A894,[2]cwurData!$B:$N, 8, FALSE)</f>
        <v>260</v>
      </c>
      <c r="V894">
        <f>VLOOKUP(A894,[2]cwurData!$B:$N, 9, FALSE)</f>
        <v>283</v>
      </c>
      <c r="W894">
        <f>VLOOKUP(A894,[2]cwurData!$B:$N, 10, FALSE)</f>
        <v>261</v>
      </c>
      <c r="X894">
        <f>VLOOKUP(A894,[2]cwurData!$B:$N, 11, FALSE)</f>
        <v>737</v>
      </c>
      <c r="Y894">
        <f>VLOOKUP(A894,[2]cwurData!$B:$N, 12, FALSE)</f>
        <v>46.13</v>
      </c>
      <c r="Z894">
        <f>VLOOKUP(A894,[2]cwurData!$B:$N, 13, FALSE)</f>
        <v>2014</v>
      </c>
    </row>
    <row r="895" spans="1:26" x14ac:dyDescent="0.3">
      <c r="A895" t="s">
        <v>894</v>
      </c>
      <c r="B895" t="str">
        <f>IFERROR(VLOOKUP(A895,[1]timesData!$B:$P,2,FALSE),VLOOKUP(A895,[2]cwurData!$B:$P,2,FALSE))</f>
        <v>Germany</v>
      </c>
      <c r="C895" t="e">
        <f>VLOOKUP(A895,[1]timesData!$B:$P,3,FALSE)</f>
        <v>#N/A</v>
      </c>
      <c r="D895" t="e">
        <f>VLOOKUP(A896,[1]timesData!$B:$P,3,FALSE)</f>
        <v>#N/A</v>
      </c>
      <c r="E895" t="e">
        <f>VLOOKUP(A896,[1]timesData!$B:$P,4,FALSE)</f>
        <v>#N/A</v>
      </c>
      <c r="F895" t="e">
        <f>VLOOKUP(A896,[1]timesData!$B:$P,5,FALSE)</f>
        <v>#N/A</v>
      </c>
      <c r="G895" t="e">
        <f>VLOOKUP(A896,[1]timesData!$B:$P,6,FALSE)</f>
        <v>#N/A</v>
      </c>
      <c r="H895" t="e">
        <f>VLOOKUP(A896,[1]timesData!$B:$P,7,FALSE)</f>
        <v>#N/A</v>
      </c>
      <c r="I895" t="e">
        <f>VLOOKUP(A896,[1]timesData!$B:$P,8,FALSE)</f>
        <v>#N/A</v>
      </c>
      <c r="J895" t="e">
        <f>VLOOKUP(A896,[1]timesData!$B:$P,9,FALSE)</f>
        <v>#N/A</v>
      </c>
      <c r="K895" t="e">
        <f>VLOOKUP(A896,[1]timesData!$B:$P,10,FALSE)</f>
        <v>#N/A</v>
      </c>
      <c r="L895" t="e">
        <f>VLOOKUP(A896,[1]timesData!$B:$P,11,FALSE)</f>
        <v>#N/A</v>
      </c>
      <c r="M895" t="e">
        <f>VLOOKUP(A896,[1]timesData!$B:$P,12,FALSE)</f>
        <v>#N/A</v>
      </c>
      <c r="N895" t="e">
        <f>VLOOKUP(A896,[1]timesData!$B:$P,13,FALSE)</f>
        <v>#N/A</v>
      </c>
      <c r="O895">
        <f>VLOOKUP(A895,[2]cwurData!$B:$P,14,FALSE)</f>
        <v>327</v>
      </c>
      <c r="P895">
        <f>VLOOKUP(A895,[2]cwurData!$B:$N, 3, FALSE)</f>
        <v>29</v>
      </c>
      <c r="Q895">
        <f>VLOOKUP(A895,[2]cwurData!$B:$N, 4, FALSE)</f>
        <v>55</v>
      </c>
      <c r="R895">
        <f>VLOOKUP(A895,[2]cwurData!$B:$N, 5, FALSE)</f>
        <v>258</v>
      </c>
      <c r="S895">
        <f>VLOOKUP(A895,[2]cwurData!$B:$N, 6, FALSE)</f>
        <v>210</v>
      </c>
      <c r="T895">
        <f>VLOOKUP(A895,[2]cwurData!$B:$N, 7, FALSE)</f>
        <v>374</v>
      </c>
      <c r="U895">
        <f>VLOOKUP(A895,[2]cwurData!$B:$N, 8, FALSE)</f>
        <v>417</v>
      </c>
      <c r="V895">
        <f>VLOOKUP(A895,[2]cwurData!$B:$N, 9, FALSE)</f>
        <v>493</v>
      </c>
      <c r="W895">
        <f>VLOOKUP(A895,[2]cwurData!$B:$N, 10, FALSE)</f>
        <v>420</v>
      </c>
      <c r="X895">
        <f>VLOOKUP(A895,[2]cwurData!$B:$N, 11, FALSE)</f>
        <v>227</v>
      </c>
      <c r="Y895">
        <f>VLOOKUP(A895,[2]cwurData!$B:$N, 12, FALSE)</f>
        <v>46.11</v>
      </c>
      <c r="Z895">
        <f>VLOOKUP(A895,[2]cwurData!$B:$N, 13, FALSE)</f>
        <v>2014</v>
      </c>
    </row>
    <row r="896" spans="1:26" x14ac:dyDescent="0.3">
      <c r="A896" t="s">
        <v>895</v>
      </c>
      <c r="B896" t="str">
        <f>IFERROR(VLOOKUP(A896,[1]timesData!$B:$P,2,FALSE),VLOOKUP(A896,[2]cwurData!$B:$P,2,FALSE))</f>
        <v>Italy</v>
      </c>
      <c r="C896" t="e">
        <f>VLOOKUP(A896,[1]timesData!$B:$P,3,FALSE)</f>
        <v>#N/A</v>
      </c>
      <c r="D896" t="e">
        <f>VLOOKUP(A897,[1]timesData!$B:$P,3,FALSE)</f>
        <v>#N/A</v>
      </c>
      <c r="E896" t="e">
        <f>VLOOKUP(A897,[1]timesData!$B:$P,4,FALSE)</f>
        <v>#N/A</v>
      </c>
      <c r="F896" t="e">
        <f>VLOOKUP(A897,[1]timesData!$B:$P,5,FALSE)</f>
        <v>#N/A</v>
      </c>
      <c r="G896" t="e">
        <f>VLOOKUP(A897,[1]timesData!$B:$P,6,FALSE)</f>
        <v>#N/A</v>
      </c>
      <c r="H896" t="e">
        <f>VLOOKUP(A897,[1]timesData!$B:$P,7,FALSE)</f>
        <v>#N/A</v>
      </c>
      <c r="I896" t="e">
        <f>VLOOKUP(A897,[1]timesData!$B:$P,8,FALSE)</f>
        <v>#N/A</v>
      </c>
      <c r="J896" t="e">
        <f>VLOOKUP(A897,[1]timesData!$B:$P,9,FALSE)</f>
        <v>#N/A</v>
      </c>
      <c r="K896" t="e">
        <f>VLOOKUP(A897,[1]timesData!$B:$P,10,FALSE)</f>
        <v>#N/A</v>
      </c>
      <c r="L896" t="e">
        <f>VLOOKUP(A897,[1]timesData!$B:$P,11,FALSE)</f>
        <v>#N/A</v>
      </c>
      <c r="M896" t="e">
        <f>VLOOKUP(A897,[1]timesData!$B:$P,12,FALSE)</f>
        <v>#N/A</v>
      </c>
      <c r="N896" t="e">
        <f>VLOOKUP(A897,[1]timesData!$B:$P,13,FALSE)</f>
        <v>#N/A</v>
      </c>
      <c r="O896">
        <f>VLOOKUP(A896,[2]cwurData!$B:$P,14,FALSE)</f>
        <v>333</v>
      </c>
      <c r="P896">
        <f>VLOOKUP(A896,[2]cwurData!$B:$N, 3, FALSE)</f>
        <v>10</v>
      </c>
      <c r="Q896">
        <f>VLOOKUP(A896,[2]cwurData!$B:$N, 4, FALSE)</f>
        <v>355</v>
      </c>
      <c r="R896">
        <f>VLOOKUP(A896,[2]cwurData!$B:$N, 5, FALSE)</f>
        <v>478</v>
      </c>
      <c r="S896">
        <f>VLOOKUP(A896,[2]cwurData!$B:$N, 6, FALSE)</f>
        <v>210</v>
      </c>
      <c r="T896">
        <f>VLOOKUP(A896,[2]cwurData!$B:$N, 7, FALSE)</f>
        <v>484</v>
      </c>
      <c r="U896">
        <f>VLOOKUP(A896,[2]cwurData!$B:$N, 8, FALSE)</f>
        <v>303</v>
      </c>
      <c r="V896">
        <f>VLOOKUP(A896,[2]cwurData!$B:$N, 9, FALSE)</f>
        <v>310</v>
      </c>
      <c r="W896">
        <f>VLOOKUP(A896,[2]cwurData!$B:$N, 10, FALSE)</f>
        <v>238</v>
      </c>
      <c r="X896">
        <f>VLOOKUP(A896,[2]cwurData!$B:$N, 11, FALSE)</f>
        <v>737</v>
      </c>
      <c r="Y896">
        <f>VLOOKUP(A896,[2]cwurData!$B:$N, 12, FALSE)</f>
        <v>46.06</v>
      </c>
      <c r="Z896">
        <f>VLOOKUP(A896,[2]cwurData!$B:$N, 13, FALSE)</f>
        <v>2014</v>
      </c>
    </row>
    <row r="897" spans="1:26" x14ac:dyDescent="0.3">
      <c r="A897" t="s">
        <v>896</v>
      </c>
      <c r="B897" t="str">
        <f>IFERROR(VLOOKUP(A897,[1]timesData!$B:$P,2,FALSE),VLOOKUP(A897,[2]cwurData!$B:$P,2,FALSE))</f>
        <v>USA</v>
      </c>
      <c r="C897" t="e">
        <f>VLOOKUP(A897,[1]timesData!$B:$P,3,FALSE)</f>
        <v>#N/A</v>
      </c>
      <c r="D897" t="e">
        <f>VLOOKUP(A898,[1]timesData!$B:$P,3,FALSE)</f>
        <v>#N/A</v>
      </c>
      <c r="E897" t="e">
        <f>VLOOKUP(A898,[1]timesData!$B:$P,4,FALSE)</f>
        <v>#N/A</v>
      </c>
      <c r="F897" t="e">
        <f>VLOOKUP(A898,[1]timesData!$B:$P,5,FALSE)</f>
        <v>#N/A</v>
      </c>
      <c r="G897" t="e">
        <f>VLOOKUP(A898,[1]timesData!$B:$P,6,FALSE)</f>
        <v>#N/A</v>
      </c>
      <c r="H897" t="e">
        <f>VLOOKUP(A898,[1]timesData!$B:$P,7,FALSE)</f>
        <v>#N/A</v>
      </c>
      <c r="I897" t="e">
        <f>VLOOKUP(A898,[1]timesData!$B:$P,8,FALSE)</f>
        <v>#N/A</v>
      </c>
      <c r="J897" t="e">
        <f>VLOOKUP(A898,[1]timesData!$B:$P,9,FALSE)</f>
        <v>#N/A</v>
      </c>
      <c r="K897" t="e">
        <f>VLOOKUP(A898,[1]timesData!$B:$P,10,FALSE)</f>
        <v>#N/A</v>
      </c>
      <c r="L897" t="e">
        <f>VLOOKUP(A898,[1]timesData!$B:$P,11,FALSE)</f>
        <v>#N/A</v>
      </c>
      <c r="M897" t="e">
        <f>VLOOKUP(A898,[1]timesData!$B:$P,12,FALSE)</f>
        <v>#N/A</v>
      </c>
      <c r="N897" t="e">
        <f>VLOOKUP(A898,[1]timesData!$B:$P,13,FALSE)</f>
        <v>#N/A</v>
      </c>
      <c r="O897">
        <f>VLOOKUP(A897,[2]cwurData!$B:$P,14,FALSE)</f>
        <v>335</v>
      </c>
      <c r="P897">
        <f>VLOOKUP(A897,[2]cwurData!$B:$N, 3, FALSE)</f>
        <v>125</v>
      </c>
      <c r="Q897">
        <f>VLOOKUP(A897,[2]cwurData!$B:$N, 4, FALSE)</f>
        <v>154</v>
      </c>
      <c r="R897">
        <f>VLOOKUP(A897,[2]cwurData!$B:$N, 5, FALSE)</f>
        <v>256</v>
      </c>
      <c r="S897">
        <f>VLOOKUP(A897,[2]cwurData!$B:$N, 6, FALSE)</f>
        <v>210</v>
      </c>
      <c r="T897">
        <f>VLOOKUP(A897,[2]cwurData!$B:$N, 7, FALSE)</f>
        <v>272</v>
      </c>
      <c r="U897">
        <f>VLOOKUP(A897,[2]cwurData!$B:$N, 8, FALSE)</f>
        <v>246</v>
      </c>
      <c r="V897">
        <f>VLOOKUP(A897,[2]cwurData!$B:$N, 9, FALSE)</f>
        <v>250</v>
      </c>
      <c r="W897">
        <f>VLOOKUP(A897,[2]cwurData!$B:$N, 10, FALSE)</f>
        <v>337</v>
      </c>
      <c r="X897">
        <f>VLOOKUP(A897,[2]cwurData!$B:$N, 11, FALSE)</f>
        <v>426</v>
      </c>
      <c r="Y897">
        <f>VLOOKUP(A897,[2]cwurData!$B:$N, 12, FALSE)</f>
        <v>46.02</v>
      </c>
      <c r="Z897">
        <f>VLOOKUP(A897,[2]cwurData!$B:$N, 13, FALSE)</f>
        <v>2014</v>
      </c>
    </row>
    <row r="898" spans="1:26" x14ac:dyDescent="0.3">
      <c r="A898" t="s">
        <v>897</v>
      </c>
      <c r="B898" t="str">
        <f>IFERROR(VLOOKUP(A898,[1]timesData!$B:$P,2,FALSE),VLOOKUP(A898,[2]cwurData!$B:$P,2,FALSE))</f>
        <v>Germany</v>
      </c>
      <c r="C898" t="e">
        <f>VLOOKUP(A898,[1]timesData!$B:$P,3,FALSE)</f>
        <v>#N/A</v>
      </c>
      <c r="D898" t="e">
        <f>VLOOKUP(A899,[1]timesData!$B:$P,3,FALSE)</f>
        <v>#N/A</v>
      </c>
      <c r="E898" t="e">
        <f>VLOOKUP(A899,[1]timesData!$B:$P,4,FALSE)</f>
        <v>#N/A</v>
      </c>
      <c r="F898" t="e">
        <f>VLOOKUP(A899,[1]timesData!$B:$P,5,FALSE)</f>
        <v>#N/A</v>
      </c>
      <c r="G898" t="e">
        <f>VLOOKUP(A899,[1]timesData!$B:$P,6,FALSE)</f>
        <v>#N/A</v>
      </c>
      <c r="H898" t="e">
        <f>VLOOKUP(A899,[1]timesData!$B:$P,7,FALSE)</f>
        <v>#N/A</v>
      </c>
      <c r="I898" t="e">
        <f>VLOOKUP(A899,[1]timesData!$B:$P,8,FALSE)</f>
        <v>#N/A</v>
      </c>
      <c r="J898" t="e">
        <f>VLOOKUP(A899,[1]timesData!$B:$P,9,FALSE)</f>
        <v>#N/A</v>
      </c>
      <c r="K898" t="e">
        <f>VLOOKUP(A899,[1]timesData!$B:$P,10,FALSE)</f>
        <v>#N/A</v>
      </c>
      <c r="L898" t="e">
        <f>VLOOKUP(A899,[1]timesData!$B:$P,11,FALSE)</f>
        <v>#N/A</v>
      </c>
      <c r="M898" t="e">
        <f>VLOOKUP(A899,[1]timesData!$B:$P,12,FALSE)</f>
        <v>#N/A</v>
      </c>
      <c r="N898" t="e">
        <f>VLOOKUP(A899,[1]timesData!$B:$P,13,FALSE)</f>
        <v>#N/A</v>
      </c>
      <c r="O898">
        <f>VLOOKUP(A898,[2]cwurData!$B:$P,14,FALSE)</f>
        <v>338</v>
      </c>
      <c r="P898">
        <f>VLOOKUP(A898,[2]cwurData!$B:$N, 3, FALSE)</f>
        <v>30</v>
      </c>
      <c r="Q898">
        <f>VLOOKUP(A898,[2]cwurData!$B:$N, 4, FALSE)</f>
        <v>355</v>
      </c>
      <c r="R898">
        <f>VLOOKUP(A898,[2]cwurData!$B:$N, 5, FALSE)</f>
        <v>382</v>
      </c>
      <c r="S898">
        <f>VLOOKUP(A898,[2]cwurData!$B:$N, 6, FALSE)</f>
        <v>210</v>
      </c>
      <c r="T898">
        <f>VLOOKUP(A898,[2]cwurData!$B:$N, 7, FALSE)</f>
        <v>303</v>
      </c>
      <c r="U898">
        <f>VLOOKUP(A898,[2]cwurData!$B:$N, 8, FALSE)</f>
        <v>248</v>
      </c>
      <c r="V898">
        <f>VLOOKUP(A898,[2]cwurData!$B:$N, 9, FALSE)</f>
        <v>310</v>
      </c>
      <c r="W898">
        <f>VLOOKUP(A898,[2]cwurData!$B:$N, 10, FALSE)</f>
        <v>277</v>
      </c>
      <c r="X898">
        <f>VLOOKUP(A898,[2]cwurData!$B:$N, 11, FALSE)</f>
        <v>737</v>
      </c>
      <c r="Y898">
        <f>VLOOKUP(A898,[2]cwurData!$B:$N, 12, FALSE)</f>
        <v>45.98</v>
      </c>
      <c r="Z898">
        <f>VLOOKUP(A898,[2]cwurData!$B:$N, 13, FALSE)</f>
        <v>2014</v>
      </c>
    </row>
    <row r="899" spans="1:26" x14ac:dyDescent="0.3">
      <c r="A899" t="s">
        <v>898</v>
      </c>
      <c r="B899" t="str">
        <f>IFERROR(VLOOKUP(A899,[1]timesData!$B:$P,2,FALSE),VLOOKUP(A899,[2]cwurData!$B:$P,2,FALSE))</f>
        <v>United Kingdom</v>
      </c>
      <c r="C899" t="e">
        <f>VLOOKUP(A899,[1]timesData!$B:$P,3,FALSE)</f>
        <v>#N/A</v>
      </c>
      <c r="D899" t="e">
        <f>VLOOKUP(A900,[1]timesData!$B:$P,3,FALSE)</f>
        <v>#N/A</v>
      </c>
      <c r="E899" t="e">
        <f>VLOOKUP(A900,[1]timesData!$B:$P,4,FALSE)</f>
        <v>#N/A</v>
      </c>
      <c r="F899" t="e">
        <f>VLOOKUP(A900,[1]timesData!$B:$P,5,FALSE)</f>
        <v>#N/A</v>
      </c>
      <c r="G899" t="e">
        <f>VLOOKUP(A900,[1]timesData!$B:$P,6,FALSE)</f>
        <v>#N/A</v>
      </c>
      <c r="H899" t="e">
        <f>VLOOKUP(A900,[1]timesData!$B:$P,7,FALSE)</f>
        <v>#N/A</v>
      </c>
      <c r="I899" t="e">
        <f>VLOOKUP(A900,[1]timesData!$B:$P,8,FALSE)</f>
        <v>#N/A</v>
      </c>
      <c r="J899" t="e">
        <f>VLOOKUP(A900,[1]timesData!$B:$P,9,FALSE)</f>
        <v>#N/A</v>
      </c>
      <c r="K899" t="e">
        <f>VLOOKUP(A900,[1]timesData!$B:$P,10,FALSE)</f>
        <v>#N/A</v>
      </c>
      <c r="L899" t="e">
        <f>VLOOKUP(A900,[1]timesData!$B:$P,11,FALSE)</f>
        <v>#N/A</v>
      </c>
      <c r="M899" t="e">
        <f>VLOOKUP(A900,[1]timesData!$B:$P,12,FALSE)</f>
        <v>#N/A</v>
      </c>
      <c r="N899" t="e">
        <f>VLOOKUP(A900,[1]timesData!$B:$P,13,FALSE)</f>
        <v>#N/A</v>
      </c>
      <c r="O899">
        <f>VLOOKUP(A899,[2]cwurData!$B:$P,14,FALSE)</f>
        <v>342</v>
      </c>
      <c r="P899">
        <f>VLOOKUP(A899,[2]cwurData!$B:$N, 3, FALSE)</f>
        <v>31</v>
      </c>
      <c r="Q899">
        <f>VLOOKUP(A899,[2]cwurData!$B:$N, 4, FALSE)</f>
        <v>169</v>
      </c>
      <c r="R899">
        <f>VLOOKUP(A899,[2]cwurData!$B:$N, 5, FALSE)</f>
        <v>399</v>
      </c>
      <c r="S899">
        <f>VLOOKUP(A899,[2]cwurData!$B:$N, 6, FALSE)</f>
        <v>210</v>
      </c>
      <c r="T899">
        <f>VLOOKUP(A899,[2]cwurData!$B:$N, 7, FALSE)</f>
        <v>308</v>
      </c>
      <c r="U899">
        <f>VLOOKUP(A899,[2]cwurData!$B:$N, 8, FALSE)</f>
        <v>284</v>
      </c>
      <c r="V899">
        <f>VLOOKUP(A899,[2]cwurData!$B:$N, 9, FALSE)</f>
        <v>283</v>
      </c>
      <c r="W899">
        <f>VLOOKUP(A899,[2]cwurData!$B:$N, 10, FALSE)</f>
        <v>295</v>
      </c>
      <c r="X899">
        <f>VLOOKUP(A899,[2]cwurData!$B:$N, 11, FALSE)</f>
        <v>737</v>
      </c>
      <c r="Y899">
        <f>VLOOKUP(A899,[2]cwurData!$B:$N, 12, FALSE)</f>
        <v>45.95</v>
      </c>
      <c r="Z899">
        <f>VLOOKUP(A899,[2]cwurData!$B:$N, 13, FALSE)</f>
        <v>2014</v>
      </c>
    </row>
    <row r="900" spans="1:26" x14ac:dyDescent="0.3">
      <c r="A900" t="s">
        <v>899</v>
      </c>
      <c r="B900" t="str">
        <f>IFERROR(VLOOKUP(A900,[1]timesData!$B:$P,2,FALSE),VLOOKUP(A900,[2]cwurData!$B:$P,2,FALSE))</f>
        <v>Germany</v>
      </c>
      <c r="C900" t="e">
        <f>VLOOKUP(A900,[1]timesData!$B:$P,3,FALSE)</f>
        <v>#N/A</v>
      </c>
      <c r="D900" t="e">
        <f>VLOOKUP(A901,[1]timesData!$B:$P,3,FALSE)</f>
        <v>#N/A</v>
      </c>
      <c r="E900" t="e">
        <f>VLOOKUP(A901,[1]timesData!$B:$P,4,FALSE)</f>
        <v>#N/A</v>
      </c>
      <c r="F900" t="e">
        <f>VLOOKUP(A901,[1]timesData!$B:$P,5,FALSE)</f>
        <v>#N/A</v>
      </c>
      <c r="G900" t="e">
        <f>VLOOKUP(A901,[1]timesData!$B:$P,6,FALSE)</f>
        <v>#N/A</v>
      </c>
      <c r="H900" t="e">
        <f>VLOOKUP(A901,[1]timesData!$B:$P,7,FALSE)</f>
        <v>#N/A</v>
      </c>
      <c r="I900" t="e">
        <f>VLOOKUP(A901,[1]timesData!$B:$P,8,FALSE)</f>
        <v>#N/A</v>
      </c>
      <c r="J900" t="e">
        <f>VLOOKUP(A901,[1]timesData!$B:$P,9,FALSE)</f>
        <v>#N/A</v>
      </c>
      <c r="K900" t="e">
        <f>VLOOKUP(A901,[1]timesData!$B:$P,10,FALSE)</f>
        <v>#N/A</v>
      </c>
      <c r="L900" t="e">
        <f>VLOOKUP(A901,[1]timesData!$B:$P,11,FALSE)</f>
        <v>#N/A</v>
      </c>
      <c r="M900" t="e">
        <f>VLOOKUP(A901,[1]timesData!$B:$P,12,FALSE)</f>
        <v>#N/A</v>
      </c>
      <c r="N900" t="e">
        <f>VLOOKUP(A901,[1]timesData!$B:$P,13,FALSE)</f>
        <v>#N/A</v>
      </c>
      <c r="O900">
        <f>VLOOKUP(A900,[2]cwurData!$B:$P,14,FALSE)</f>
        <v>343</v>
      </c>
      <c r="P900">
        <f>VLOOKUP(A900,[2]cwurData!$B:$N, 3, FALSE)</f>
        <v>31</v>
      </c>
      <c r="Q900">
        <f>VLOOKUP(A900,[2]cwurData!$B:$N, 4, FALSE)</f>
        <v>290</v>
      </c>
      <c r="R900">
        <f>VLOOKUP(A900,[2]cwurData!$B:$N, 5, FALSE)</f>
        <v>478</v>
      </c>
      <c r="S900">
        <f>VLOOKUP(A900,[2]cwurData!$B:$N, 6, FALSE)</f>
        <v>209</v>
      </c>
      <c r="T900">
        <f>VLOOKUP(A900,[2]cwurData!$B:$N, 7, FALSE)</f>
        <v>328</v>
      </c>
      <c r="U900">
        <f>VLOOKUP(A900,[2]cwurData!$B:$N, 8, FALSE)</f>
        <v>237</v>
      </c>
      <c r="V900">
        <f>VLOOKUP(A900,[2]cwurData!$B:$N, 9, FALSE)</f>
        <v>283</v>
      </c>
      <c r="W900">
        <f>VLOOKUP(A900,[2]cwurData!$B:$N, 10, FALSE)</f>
        <v>293</v>
      </c>
      <c r="X900">
        <f>VLOOKUP(A900,[2]cwurData!$B:$N, 11, FALSE)</f>
        <v>259</v>
      </c>
      <c r="Y900">
        <f>VLOOKUP(A900,[2]cwurData!$B:$N, 12, FALSE)</f>
        <v>45.92</v>
      </c>
      <c r="Z900">
        <f>VLOOKUP(A900,[2]cwurData!$B:$N, 13, FALSE)</f>
        <v>2014</v>
      </c>
    </row>
    <row r="901" spans="1:26" x14ac:dyDescent="0.3">
      <c r="A901" t="s">
        <v>900</v>
      </c>
      <c r="B901" t="str">
        <f>IFERROR(VLOOKUP(A901,[1]timesData!$B:$P,2,FALSE),VLOOKUP(A901,[2]cwurData!$B:$P,2,FALSE))</f>
        <v>United Kingdom</v>
      </c>
      <c r="C901" t="e">
        <f>VLOOKUP(A901,[1]timesData!$B:$P,3,FALSE)</f>
        <v>#N/A</v>
      </c>
      <c r="D901" t="e">
        <f>VLOOKUP(A902,[1]timesData!$B:$P,3,FALSE)</f>
        <v>#N/A</v>
      </c>
      <c r="E901" t="e">
        <f>VLOOKUP(A902,[1]timesData!$B:$P,4,FALSE)</f>
        <v>#N/A</v>
      </c>
      <c r="F901" t="e">
        <f>VLOOKUP(A902,[1]timesData!$B:$P,5,FALSE)</f>
        <v>#N/A</v>
      </c>
      <c r="G901" t="e">
        <f>VLOOKUP(A902,[1]timesData!$B:$P,6,FALSE)</f>
        <v>#N/A</v>
      </c>
      <c r="H901" t="e">
        <f>VLOOKUP(A902,[1]timesData!$B:$P,7,FALSE)</f>
        <v>#N/A</v>
      </c>
      <c r="I901" t="e">
        <f>VLOOKUP(A902,[1]timesData!$B:$P,8,FALSE)</f>
        <v>#N/A</v>
      </c>
      <c r="J901" t="e">
        <f>VLOOKUP(A902,[1]timesData!$B:$P,9,FALSE)</f>
        <v>#N/A</v>
      </c>
      <c r="K901" t="e">
        <f>VLOOKUP(A902,[1]timesData!$B:$P,10,FALSE)</f>
        <v>#N/A</v>
      </c>
      <c r="L901" t="e">
        <f>VLOOKUP(A902,[1]timesData!$B:$P,11,FALSE)</f>
        <v>#N/A</v>
      </c>
      <c r="M901" t="e">
        <f>VLOOKUP(A902,[1]timesData!$B:$P,12,FALSE)</f>
        <v>#N/A</v>
      </c>
      <c r="N901" t="e">
        <f>VLOOKUP(A902,[1]timesData!$B:$P,13,FALSE)</f>
        <v>#N/A</v>
      </c>
      <c r="O901">
        <f>VLOOKUP(A901,[2]cwurData!$B:$P,14,FALSE)</f>
        <v>345</v>
      </c>
      <c r="P901">
        <f>VLOOKUP(A901,[2]cwurData!$B:$N, 3, FALSE)</f>
        <v>32</v>
      </c>
      <c r="Q901">
        <f>VLOOKUP(A901,[2]cwurData!$B:$N, 4, FALSE)</f>
        <v>355</v>
      </c>
      <c r="R901">
        <f>VLOOKUP(A901,[2]cwurData!$B:$N, 5, FALSE)</f>
        <v>478</v>
      </c>
      <c r="S901">
        <f>VLOOKUP(A901,[2]cwurData!$B:$N, 6, FALSE)</f>
        <v>210</v>
      </c>
      <c r="T901">
        <f>VLOOKUP(A901,[2]cwurData!$B:$N, 7, FALSE)</f>
        <v>525</v>
      </c>
      <c r="U901">
        <f>VLOOKUP(A901,[2]cwurData!$B:$N, 8, FALSE)</f>
        <v>459</v>
      </c>
      <c r="V901">
        <f>VLOOKUP(A901,[2]cwurData!$B:$N, 9, FALSE)</f>
        <v>310</v>
      </c>
      <c r="W901">
        <f>VLOOKUP(A901,[2]cwurData!$B:$N, 10, FALSE)</f>
        <v>256</v>
      </c>
      <c r="X901">
        <f>VLOOKUP(A901,[2]cwurData!$B:$N, 11, FALSE)</f>
        <v>552</v>
      </c>
      <c r="Y901">
        <f>VLOOKUP(A901,[2]cwurData!$B:$N, 12, FALSE)</f>
        <v>45.91</v>
      </c>
      <c r="Z901">
        <f>VLOOKUP(A901,[2]cwurData!$B:$N, 13, FALSE)</f>
        <v>2014</v>
      </c>
    </row>
    <row r="902" spans="1:26" x14ac:dyDescent="0.3">
      <c r="A902" t="s">
        <v>901</v>
      </c>
      <c r="B902" t="str">
        <f>IFERROR(VLOOKUP(A902,[1]timesData!$B:$P,2,FALSE),VLOOKUP(A902,[2]cwurData!$B:$P,2,FALSE))</f>
        <v>China</v>
      </c>
      <c r="C902" t="e">
        <f>VLOOKUP(A902,[1]timesData!$B:$P,3,FALSE)</f>
        <v>#N/A</v>
      </c>
      <c r="D902" t="e">
        <f>VLOOKUP(A903,[1]timesData!$B:$P,3,FALSE)</f>
        <v>#N/A</v>
      </c>
      <c r="E902" t="e">
        <f>VLOOKUP(A903,[1]timesData!$B:$P,4,FALSE)</f>
        <v>#N/A</v>
      </c>
      <c r="F902" t="e">
        <f>VLOOKUP(A903,[1]timesData!$B:$P,5,FALSE)</f>
        <v>#N/A</v>
      </c>
      <c r="G902" t="e">
        <f>VLOOKUP(A903,[1]timesData!$B:$P,6,FALSE)</f>
        <v>#N/A</v>
      </c>
      <c r="H902" t="e">
        <f>VLOOKUP(A903,[1]timesData!$B:$P,7,FALSE)</f>
        <v>#N/A</v>
      </c>
      <c r="I902" t="e">
        <f>VLOOKUP(A903,[1]timesData!$B:$P,8,FALSE)</f>
        <v>#N/A</v>
      </c>
      <c r="J902" t="e">
        <f>VLOOKUP(A903,[1]timesData!$B:$P,9,FALSE)</f>
        <v>#N/A</v>
      </c>
      <c r="K902" t="e">
        <f>VLOOKUP(A903,[1]timesData!$B:$P,10,FALSE)</f>
        <v>#N/A</v>
      </c>
      <c r="L902" t="e">
        <f>VLOOKUP(A903,[1]timesData!$B:$P,11,FALSE)</f>
        <v>#N/A</v>
      </c>
      <c r="M902" t="e">
        <f>VLOOKUP(A903,[1]timesData!$B:$P,12,FALSE)</f>
        <v>#N/A</v>
      </c>
      <c r="N902" t="e">
        <f>VLOOKUP(A903,[1]timesData!$B:$P,13,FALSE)</f>
        <v>#N/A</v>
      </c>
      <c r="O902">
        <f>VLOOKUP(A902,[2]cwurData!$B:$P,14,FALSE)</f>
        <v>349</v>
      </c>
      <c r="P902">
        <f>VLOOKUP(A902,[2]cwurData!$B:$N, 3, FALSE)</f>
        <v>10</v>
      </c>
      <c r="Q902">
        <f>VLOOKUP(A902,[2]cwurData!$B:$N, 4, FALSE)</f>
        <v>318</v>
      </c>
      <c r="R902">
        <f>VLOOKUP(A902,[2]cwurData!$B:$N, 5, FALSE)</f>
        <v>168</v>
      </c>
      <c r="S902">
        <f>VLOOKUP(A902,[2]cwurData!$B:$N, 6, FALSE)</f>
        <v>210</v>
      </c>
      <c r="T902">
        <f>VLOOKUP(A902,[2]cwurData!$B:$N, 7, FALSE)</f>
        <v>311</v>
      </c>
      <c r="U902">
        <f>VLOOKUP(A902,[2]cwurData!$B:$N, 8, FALSE)</f>
        <v>456</v>
      </c>
      <c r="V902">
        <f>VLOOKUP(A902,[2]cwurData!$B:$N, 9, FALSE)</f>
        <v>493</v>
      </c>
      <c r="W902">
        <f>VLOOKUP(A902,[2]cwurData!$B:$N, 10, FALSE)</f>
        <v>361</v>
      </c>
      <c r="X902">
        <f>VLOOKUP(A902,[2]cwurData!$B:$N, 11, FALSE)</f>
        <v>280</v>
      </c>
      <c r="Y902">
        <f>VLOOKUP(A902,[2]cwurData!$B:$N, 12, FALSE)</f>
        <v>45.87</v>
      </c>
      <c r="Z902">
        <f>VLOOKUP(A902,[2]cwurData!$B:$N, 13, FALSE)</f>
        <v>2014</v>
      </c>
    </row>
    <row r="903" spans="1:26" x14ac:dyDescent="0.3">
      <c r="A903" t="s">
        <v>902</v>
      </c>
      <c r="B903" t="str">
        <f>IFERROR(VLOOKUP(A903,[1]timesData!$B:$P,2,FALSE),VLOOKUP(A903,[2]cwurData!$B:$P,2,FALSE))</f>
        <v>Germany</v>
      </c>
      <c r="C903" t="e">
        <f>VLOOKUP(A903,[1]timesData!$B:$P,3,FALSE)</f>
        <v>#N/A</v>
      </c>
      <c r="D903" t="e">
        <f>VLOOKUP(A904,[1]timesData!$B:$P,3,FALSE)</f>
        <v>#N/A</v>
      </c>
      <c r="E903" t="e">
        <f>VLOOKUP(A904,[1]timesData!$B:$P,4,FALSE)</f>
        <v>#N/A</v>
      </c>
      <c r="F903" t="e">
        <f>VLOOKUP(A904,[1]timesData!$B:$P,5,FALSE)</f>
        <v>#N/A</v>
      </c>
      <c r="G903" t="e">
        <f>VLOOKUP(A904,[1]timesData!$B:$P,6,FALSE)</f>
        <v>#N/A</v>
      </c>
      <c r="H903" t="e">
        <f>VLOOKUP(A904,[1]timesData!$B:$P,7,FALSE)</f>
        <v>#N/A</v>
      </c>
      <c r="I903" t="e">
        <f>VLOOKUP(A904,[1]timesData!$B:$P,8,FALSE)</f>
        <v>#N/A</v>
      </c>
      <c r="J903" t="e">
        <f>VLOOKUP(A904,[1]timesData!$B:$P,9,FALSE)</f>
        <v>#N/A</v>
      </c>
      <c r="K903" t="e">
        <f>VLOOKUP(A904,[1]timesData!$B:$P,10,FALSE)</f>
        <v>#N/A</v>
      </c>
      <c r="L903" t="e">
        <f>VLOOKUP(A904,[1]timesData!$B:$P,11,FALSE)</f>
        <v>#N/A</v>
      </c>
      <c r="M903" t="e">
        <f>VLOOKUP(A904,[1]timesData!$B:$P,12,FALSE)</f>
        <v>#N/A</v>
      </c>
      <c r="N903" t="e">
        <f>VLOOKUP(A904,[1]timesData!$B:$P,13,FALSE)</f>
        <v>#N/A</v>
      </c>
      <c r="O903">
        <f>VLOOKUP(A903,[2]cwurData!$B:$P,14,FALSE)</f>
        <v>358</v>
      </c>
      <c r="P903">
        <f>VLOOKUP(A903,[2]cwurData!$B:$N, 3, FALSE)</f>
        <v>32</v>
      </c>
      <c r="Q903">
        <f>VLOOKUP(A903,[2]cwurData!$B:$N, 4, FALSE)</f>
        <v>355</v>
      </c>
      <c r="R903">
        <f>VLOOKUP(A903,[2]cwurData!$B:$N, 5, FALSE)</f>
        <v>478</v>
      </c>
      <c r="S903">
        <f>VLOOKUP(A903,[2]cwurData!$B:$N, 6, FALSE)</f>
        <v>210</v>
      </c>
      <c r="T903">
        <f>VLOOKUP(A903,[2]cwurData!$B:$N, 7, FALSE)</f>
        <v>278</v>
      </c>
      <c r="U903">
        <f>VLOOKUP(A903,[2]cwurData!$B:$N, 8, FALSE)</f>
        <v>255</v>
      </c>
      <c r="V903">
        <f>VLOOKUP(A903,[2]cwurData!$B:$N, 9, FALSE)</f>
        <v>363</v>
      </c>
      <c r="W903">
        <f>VLOOKUP(A903,[2]cwurData!$B:$N, 10, FALSE)</f>
        <v>311</v>
      </c>
      <c r="X903">
        <f>VLOOKUP(A903,[2]cwurData!$B:$N, 11, FALSE)</f>
        <v>426</v>
      </c>
      <c r="Y903">
        <f>VLOOKUP(A903,[2]cwurData!$B:$N, 12, FALSE)</f>
        <v>45.79</v>
      </c>
      <c r="Z903">
        <f>VLOOKUP(A903,[2]cwurData!$B:$N, 13, FALSE)</f>
        <v>2014</v>
      </c>
    </row>
    <row r="904" spans="1:26" x14ac:dyDescent="0.3">
      <c r="A904" t="s">
        <v>903</v>
      </c>
      <c r="B904" t="str">
        <f>IFERROR(VLOOKUP(A904,[1]timesData!$B:$P,2,FALSE),VLOOKUP(A904,[2]cwurData!$B:$P,2,FALSE))</f>
        <v>Italy</v>
      </c>
      <c r="C904" t="e">
        <f>VLOOKUP(A904,[1]timesData!$B:$P,3,FALSE)</f>
        <v>#N/A</v>
      </c>
      <c r="D904" t="e">
        <f>VLOOKUP(A905,[1]timesData!$B:$P,3,FALSE)</f>
        <v>#N/A</v>
      </c>
      <c r="E904" t="e">
        <f>VLOOKUP(A905,[1]timesData!$B:$P,4,FALSE)</f>
        <v>#N/A</v>
      </c>
      <c r="F904" t="e">
        <f>VLOOKUP(A905,[1]timesData!$B:$P,5,FALSE)</f>
        <v>#N/A</v>
      </c>
      <c r="G904" t="e">
        <f>VLOOKUP(A905,[1]timesData!$B:$P,6,FALSE)</f>
        <v>#N/A</v>
      </c>
      <c r="H904" t="e">
        <f>VLOOKUP(A905,[1]timesData!$B:$P,7,FALSE)</f>
        <v>#N/A</v>
      </c>
      <c r="I904" t="e">
        <f>VLOOKUP(A905,[1]timesData!$B:$P,8,FALSE)</f>
        <v>#N/A</v>
      </c>
      <c r="J904" t="e">
        <f>VLOOKUP(A905,[1]timesData!$B:$P,9,FALSE)</f>
        <v>#N/A</v>
      </c>
      <c r="K904" t="e">
        <f>VLOOKUP(A905,[1]timesData!$B:$P,10,FALSE)</f>
        <v>#N/A</v>
      </c>
      <c r="L904" t="e">
        <f>VLOOKUP(A905,[1]timesData!$B:$P,11,FALSE)</f>
        <v>#N/A</v>
      </c>
      <c r="M904" t="e">
        <f>VLOOKUP(A905,[1]timesData!$B:$P,12,FALSE)</f>
        <v>#N/A</v>
      </c>
      <c r="N904" t="e">
        <f>VLOOKUP(A905,[1]timesData!$B:$P,13,FALSE)</f>
        <v>#N/A</v>
      </c>
      <c r="O904">
        <f>VLOOKUP(A904,[2]cwurData!$B:$P,14,FALSE)</f>
        <v>359</v>
      </c>
      <c r="P904">
        <f>VLOOKUP(A904,[2]cwurData!$B:$N, 3, FALSE)</f>
        <v>13</v>
      </c>
      <c r="Q904">
        <f>VLOOKUP(A904,[2]cwurData!$B:$N, 4, FALSE)</f>
        <v>355</v>
      </c>
      <c r="R904">
        <f>VLOOKUP(A904,[2]cwurData!$B:$N, 5, FALSE)</f>
        <v>478</v>
      </c>
      <c r="S904">
        <f>VLOOKUP(A904,[2]cwurData!$B:$N, 6, FALSE)</f>
        <v>210</v>
      </c>
      <c r="T904">
        <f>VLOOKUP(A904,[2]cwurData!$B:$N, 7, FALSE)</f>
        <v>367</v>
      </c>
      <c r="U904">
        <f>VLOOKUP(A904,[2]cwurData!$B:$N, 8, FALSE)</f>
        <v>341</v>
      </c>
      <c r="V904">
        <f>VLOOKUP(A904,[2]cwurData!$B:$N, 9, FALSE)</f>
        <v>406</v>
      </c>
      <c r="W904">
        <f>VLOOKUP(A904,[2]cwurData!$B:$N, 10, FALSE)</f>
        <v>281</v>
      </c>
      <c r="X904">
        <f>VLOOKUP(A904,[2]cwurData!$B:$N, 11, FALSE)</f>
        <v>637</v>
      </c>
      <c r="Y904">
        <f>VLOOKUP(A904,[2]cwurData!$B:$N, 12, FALSE)</f>
        <v>45.78</v>
      </c>
      <c r="Z904">
        <f>VLOOKUP(A904,[2]cwurData!$B:$N, 13, FALSE)</f>
        <v>2014</v>
      </c>
    </row>
    <row r="905" spans="1:26" x14ac:dyDescent="0.3">
      <c r="A905" t="s">
        <v>904</v>
      </c>
      <c r="B905" t="str">
        <f>IFERROR(VLOOKUP(A905,[1]timesData!$B:$P,2,FALSE),VLOOKUP(A905,[2]cwurData!$B:$P,2,FALSE))</f>
        <v>USA</v>
      </c>
      <c r="C905" t="e">
        <f>VLOOKUP(A905,[1]timesData!$B:$P,3,FALSE)</f>
        <v>#N/A</v>
      </c>
      <c r="D905" t="e">
        <f>VLOOKUP(A906,[1]timesData!$B:$P,3,FALSE)</f>
        <v>#N/A</v>
      </c>
      <c r="E905" t="e">
        <f>VLOOKUP(A906,[1]timesData!$B:$P,4,FALSE)</f>
        <v>#N/A</v>
      </c>
      <c r="F905" t="e">
        <f>VLOOKUP(A906,[1]timesData!$B:$P,5,FALSE)</f>
        <v>#N/A</v>
      </c>
      <c r="G905" t="e">
        <f>VLOOKUP(A906,[1]timesData!$B:$P,6,FALSE)</f>
        <v>#N/A</v>
      </c>
      <c r="H905" t="e">
        <f>VLOOKUP(A906,[1]timesData!$B:$P,7,FALSE)</f>
        <v>#N/A</v>
      </c>
      <c r="I905" t="e">
        <f>VLOOKUP(A906,[1]timesData!$B:$P,8,FALSE)</f>
        <v>#N/A</v>
      </c>
      <c r="J905" t="e">
        <f>VLOOKUP(A906,[1]timesData!$B:$P,9,FALSE)</f>
        <v>#N/A</v>
      </c>
      <c r="K905" t="e">
        <f>VLOOKUP(A906,[1]timesData!$B:$P,10,FALSE)</f>
        <v>#N/A</v>
      </c>
      <c r="L905" t="e">
        <f>VLOOKUP(A906,[1]timesData!$B:$P,11,FALSE)</f>
        <v>#N/A</v>
      </c>
      <c r="M905" t="e">
        <f>VLOOKUP(A906,[1]timesData!$B:$P,12,FALSE)</f>
        <v>#N/A</v>
      </c>
      <c r="N905" t="e">
        <f>VLOOKUP(A906,[1]timesData!$B:$P,13,FALSE)</f>
        <v>#N/A</v>
      </c>
      <c r="O905">
        <f>VLOOKUP(A905,[2]cwurData!$B:$P,14,FALSE)</f>
        <v>361</v>
      </c>
      <c r="P905">
        <f>VLOOKUP(A905,[2]cwurData!$B:$N, 3, FALSE)</f>
        <v>129</v>
      </c>
      <c r="Q905">
        <f>VLOOKUP(A905,[2]cwurData!$B:$N, 4, FALSE)</f>
        <v>355</v>
      </c>
      <c r="R905">
        <f>VLOOKUP(A905,[2]cwurData!$B:$N, 5, FALSE)</f>
        <v>82</v>
      </c>
      <c r="S905">
        <f>VLOOKUP(A905,[2]cwurData!$B:$N, 6, FALSE)</f>
        <v>210</v>
      </c>
      <c r="T905">
        <f>VLOOKUP(A905,[2]cwurData!$B:$N, 7, FALSE)</f>
        <v>639</v>
      </c>
      <c r="U905">
        <f>VLOOKUP(A905,[2]cwurData!$B:$N, 8, FALSE)</f>
        <v>442</v>
      </c>
      <c r="V905">
        <f>VLOOKUP(A905,[2]cwurData!$B:$N, 9, FALSE)</f>
        <v>310</v>
      </c>
      <c r="W905">
        <f>VLOOKUP(A905,[2]cwurData!$B:$N, 10, FALSE)</f>
        <v>523</v>
      </c>
      <c r="X905">
        <f>VLOOKUP(A905,[2]cwurData!$B:$N, 11, FALSE)</f>
        <v>637</v>
      </c>
      <c r="Y905">
        <f>VLOOKUP(A905,[2]cwurData!$B:$N, 12, FALSE)</f>
        <v>45.77</v>
      </c>
      <c r="Z905">
        <f>VLOOKUP(A905,[2]cwurData!$B:$N, 13, FALSE)</f>
        <v>2014</v>
      </c>
    </row>
    <row r="906" spans="1:26" x14ac:dyDescent="0.3">
      <c r="A906" t="s">
        <v>905</v>
      </c>
      <c r="B906" t="str">
        <f>IFERROR(VLOOKUP(A906,[1]timesData!$B:$P,2,FALSE),VLOOKUP(A906,[2]cwurData!$B:$P,2,FALSE))</f>
        <v>USA</v>
      </c>
      <c r="C906" t="e">
        <f>VLOOKUP(A906,[1]timesData!$B:$P,3,FALSE)</f>
        <v>#N/A</v>
      </c>
      <c r="D906" t="e">
        <f>VLOOKUP(A907,[1]timesData!$B:$P,3,FALSE)</f>
        <v>#N/A</v>
      </c>
      <c r="E906" t="e">
        <f>VLOOKUP(A907,[1]timesData!$B:$P,4,FALSE)</f>
        <v>#N/A</v>
      </c>
      <c r="F906" t="e">
        <f>VLOOKUP(A907,[1]timesData!$B:$P,5,FALSE)</f>
        <v>#N/A</v>
      </c>
      <c r="G906" t="e">
        <f>VLOOKUP(A907,[1]timesData!$B:$P,6,FALSE)</f>
        <v>#N/A</v>
      </c>
      <c r="H906" t="e">
        <f>VLOOKUP(A907,[1]timesData!$B:$P,7,FALSE)</f>
        <v>#N/A</v>
      </c>
      <c r="I906" t="e">
        <f>VLOOKUP(A907,[1]timesData!$B:$P,8,FALSE)</f>
        <v>#N/A</v>
      </c>
      <c r="J906" t="e">
        <f>VLOOKUP(A907,[1]timesData!$B:$P,9,FALSE)</f>
        <v>#N/A</v>
      </c>
      <c r="K906" t="e">
        <f>VLOOKUP(A907,[1]timesData!$B:$P,10,FALSE)</f>
        <v>#N/A</v>
      </c>
      <c r="L906" t="e">
        <f>VLOOKUP(A907,[1]timesData!$B:$P,11,FALSE)</f>
        <v>#N/A</v>
      </c>
      <c r="M906" t="e">
        <f>VLOOKUP(A907,[1]timesData!$B:$P,12,FALSE)</f>
        <v>#N/A</v>
      </c>
      <c r="N906" t="e">
        <f>VLOOKUP(A907,[1]timesData!$B:$P,13,FALSE)</f>
        <v>#N/A</v>
      </c>
      <c r="O906">
        <f>VLOOKUP(A906,[2]cwurData!$B:$P,14,FALSE)</f>
        <v>365</v>
      </c>
      <c r="P906">
        <f>VLOOKUP(A906,[2]cwurData!$B:$N, 3, FALSE)</f>
        <v>132</v>
      </c>
      <c r="Q906">
        <f>VLOOKUP(A906,[2]cwurData!$B:$N, 4, FALSE)</f>
        <v>221</v>
      </c>
      <c r="R906">
        <f>VLOOKUP(A906,[2]cwurData!$B:$N, 5, FALSE)</f>
        <v>111</v>
      </c>
      <c r="S906">
        <f>VLOOKUP(A906,[2]cwurData!$B:$N, 6, FALSE)</f>
        <v>210</v>
      </c>
      <c r="T906">
        <f>VLOOKUP(A906,[2]cwurData!$B:$N, 7, FALSE)</f>
        <v>427</v>
      </c>
      <c r="U906">
        <f>VLOOKUP(A906,[2]cwurData!$B:$N, 8, FALSE)</f>
        <v>623</v>
      </c>
      <c r="V906">
        <f>VLOOKUP(A906,[2]cwurData!$B:$N, 9, FALSE)</f>
        <v>310</v>
      </c>
      <c r="W906">
        <f>VLOOKUP(A906,[2]cwurData!$B:$N, 10, FALSE)</f>
        <v>472</v>
      </c>
      <c r="X906">
        <f>VLOOKUP(A906,[2]cwurData!$B:$N, 11, FALSE)</f>
        <v>307</v>
      </c>
      <c r="Y906">
        <f>VLOOKUP(A906,[2]cwurData!$B:$N, 12, FALSE)</f>
        <v>45.74</v>
      </c>
      <c r="Z906">
        <f>VLOOKUP(A906,[2]cwurData!$B:$N, 13, FALSE)</f>
        <v>2014</v>
      </c>
    </row>
    <row r="907" spans="1:26" x14ac:dyDescent="0.3">
      <c r="A907" t="s">
        <v>906</v>
      </c>
      <c r="B907" t="str">
        <f>IFERROR(VLOOKUP(A907,[1]timesData!$B:$P,2,FALSE),VLOOKUP(A907,[2]cwurData!$B:$P,2,FALSE))</f>
        <v>Italy</v>
      </c>
      <c r="C907" t="e">
        <f>VLOOKUP(A907,[1]timesData!$B:$P,3,FALSE)</f>
        <v>#N/A</v>
      </c>
      <c r="D907" t="e">
        <f>VLOOKUP(A908,[1]timesData!$B:$P,3,FALSE)</f>
        <v>#N/A</v>
      </c>
      <c r="E907" t="e">
        <f>VLOOKUP(A908,[1]timesData!$B:$P,4,FALSE)</f>
        <v>#N/A</v>
      </c>
      <c r="F907" t="e">
        <f>VLOOKUP(A908,[1]timesData!$B:$P,5,FALSE)</f>
        <v>#N/A</v>
      </c>
      <c r="G907" t="e">
        <f>VLOOKUP(A908,[1]timesData!$B:$P,6,FALSE)</f>
        <v>#N/A</v>
      </c>
      <c r="H907" t="e">
        <f>VLOOKUP(A908,[1]timesData!$B:$P,7,FALSE)</f>
        <v>#N/A</v>
      </c>
      <c r="I907" t="e">
        <f>VLOOKUP(A908,[1]timesData!$B:$P,8,FALSE)</f>
        <v>#N/A</v>
      </c>
      <c r="J907" t="e">
        <f>VLOOKUP(A908,[1]timesData!$B:$P,9,FALSE)</f>
        <v>#N/A</v>
      </c>
      <c r="K907" t="e">
        <f>VLOOKUP(A908,[1]timesData!$B:$P,10,FALSE)</f>
        <v>#N/A</v>
      </c>
      <c r="L907" t="e">
        <f>VLOOKUP(A908,[1]timesData!$B:$P,11,FALSE)</f>
        <v>#N/A</v>
      </c>
      <c r="M907" t="e">
        <f>VLOOKUP(A908,[1]timesData!$B:$P,12,FALSE)</f>
        <v>#N/A</v>
      </c>
      <c r="N907" t="e">
        <f>VLOOKUP(A908,[1]timesData!$B:$P,13,FALSE)</f>
        <v>#N/A</v>
      </c>
      <c r="O907">
        <f>VLOOKUP(A907,[2]cwurData!$B:$P,14,FALSE)</f>
        <v>368</v>
      </c>
      <c r="P907">
        <f>VLOOKUP(A907,[2]cwurData!$B:$N, 3, FALSE)</f>
        <v>15</v>
      </c>
      <c r="Q907">
        <f>VLOOKUP(A907,[2]cwurData!$B:$N, 4, FALSE)</f>
        <v>355</v>
      </c>
      <c r="R907">
        <f>VLOOKUP(A907,[2]cwurData!$B:$N, 5, FALSE)</f>
        <v>478</v>
      </c>
      <c r="S907">
        <f>VLOOKUP(A907,[2]cwurData!$B:$N, 6, FALSE)</f>
        <v>210</v>
      </c>
      <c r="T907">
        <f>VLOOKUP(A907,[2]cwurData!$B:$N, 7, FALSE)</f>
        <v>509</v>
      </c>
      <c r="U907">
        <f>VLOOKUP(A907,[2]cwurData!$B:$N, 8, FALSE)</f>
        <v>489</v>
      </c>
      <c r="V907">
        <f>VLOOKUP(A907,[2]cwurData!$B:$N, 9, FALSE)</f>
        <v>220</v>
      </c>
      <c r="W907">
        <f>VLOOKUP(A907,[2]cwurData!$B:$N, 10, FALSE)</f>
        <v>290</v>
      </c>
      <c r="X907">
        <f>VLOOKUP(A907,[2]cwurData!$B:$N, 11, FALSE)</f>
        <v>737</v>
      </c>
      <c r="Y907">
        <f>VLOOKUP(A907,[2]cwurData!$B:$N, 12, FALSE)</f>
        <v>45.71</v>
      </c>
      <c r="Z907">
        <f>VLOOKUP(A907,[2]cwurData!$B:$N, 13, FALSE)</f>
        <v>2014</v>
      </c>
    </row>
    <row r="908" spans="1:26" x14ac:dyDescent="0.3">
      <c r="A908" t="s">
        <v>907</v>
      </c>
      <c r="B908" t="str">
        <f>IFERROR(VLOOKUP(A908,[1]timesData!$B:$P,2,FALSE),VLOOKUP(A908,[2]cwurData!$B:$P,2,FALSE))</f>
        <v>USA</v>
      </c>
      <c r="C908" t="e">
        <f>VLOOKUP(A908,[1]timesData!$B:$P,3,FALSE)</f>
        <v>#N/A</v>
      </c>
      <c r="D908" t="e">
        <f>VLOOKUP(A909,[1]timesData!$B:$P,3,FALSE)</f>
        <v>#N/A</v>
      </c>
      <c r="E908" t="e">
        <f>VLOOKUP(A909,[1]timesData!$B:$P,4,FALSE)</f>
        <v>#N/A</v>
      </c>
      <c r="F908" t="e">
        <f>VLOOKUP(A909,[1]timesData!$B:$P,5,FALSE)</f>
        <v>#N/A</v>
      </c>
      <c r="G908" t="e">
        <f>VLOOKUP(A909,[1]timesData!$B:$P,6,FALSE)</f>
        <v>#N/A</v>
      </c>
      <c r="H908" t="e">
        <f>VLOOKUP(A909,[1]timesData!$B:$P,7,FALSE)</f>
        <v>#N/A</v>
      </c>
      <c r="I908" t="e">
        <f>VLOOKUP(A909,[1]timesData!$B:$P,8,FALSE)</f>
        <v>#N/A</v>
      </c>
      <c r="J908" t="e">
        <f>VLOOKUP(A909,[1]timesData!$B:$P,9,FALSE)</f>
        <v>#N/A</v>
      </c>
      <c r="K908" t="e">
        <f>VLOOKUP(A909,[1]timesData!$B:$P,10,FALSE)</f>
        <v>#N/A</v>
      </c>
      <c r="L908" t="e">
        <f>VLOOKUP(A909,[1]timesData!$B:$P,11,FALSE)</f>
        <v>#N/A</v>
      </c>
      <c r="M908" t="e">
        <f>VLOOKUP(A909,[1]timesData!$B:$P,12,FALSE)</f>
        <v>#N/A</v>
      </c>
      <c r="N908" t="e">
        <f>VLOOKUP(A909,[1]timesData!$B:$P,13,FALSE)</f>
        <v>#N/A</v>
      </c>
      <c r="O908">
        <f>VLOOKUP(A908,[2]cwurData!$B:$P,14,FALSE)</f>
        <v>369</v>
      </c>
      <c r="P908">
        <f>VLOOKUP(A908,[2]cwurData!$B:$N, 3, FALSE)</f>
        <v>133</v>
      </c>
      <c r="Q908">
        <f>VLOOKUP(A908,[2]cwurData!$B:$N, 4, FALSE)</f>
        <v>161</v>
      </c>
      <c r="R908">
        <f>VLOOKUP(A908,[2]cwurData!$B:$N, 5, FALSE)</f>
        <v>478</v>
      </c>
      <c r="S908">
        <f>VLOOKUP(A908,[2]cwurData!$B:$N, 6, FALSE)</f>
        <v>161</v>
      </c>
      <c r="T908">
        <f>VLOOKUP(A908,[2]cwurData!$B:$N, 7, FALSE)</f>
        <v>402</v>
      </c>
      <c r="U908">
        <f>VLOOKUP(A908,[2]cwurData!$B:$N, 8, FALSE)</f>
        <v>372</v>
      </c>
      <c r="V908">
        <f>VLOOKUP(A908,[2]cwurData!$B:$N, 9, FALSE)</f>
        <v>187</v>
      </c>
      <c r="W908">
        <f>VLOOKUP(A908,[2]cwurData!$B:$N, 10, FALSE)</f>
        <v>355</v>
      </c>
      <c r="X908">
        <f>VLOOKUP(A908,[2]cwurData!$B:$N, 11, FALSE)</f>
        <v>338</v>
      </c>
      <c r="Y908">
        <f>VLOOKUP(A908,[2]cwurData!$B:$N, 12, FALSE)</f>
        <v>45.7</v>
      </c>
      <c r="Z908">
        <f>VLOOKUP(A908,[2]cwurData!$B:$N, 13, FALSE)</f>
        <v>2014</v>
      </c>
    </row>
    <row r="909" spans="1:26" x14ac:dyDescent="0.3">
      <c r="A909" t="s">
        <v>908</v>
      </c>
      <c r="B909" t="str">
        <f>IFERROR(VLOOKUP(A909,[1]timesData!$B:$P,2,FALSE),VLOOKUP(A909,[2]cwurData!$B:$P,2,FALSE))</f>
        <v>USA</v>
      </c>
      <c r="C909" t="e">
        <f>VLOOKUP(A909,[1]timesData!$B:$P,3,FALSE)</f>
        <v>#N/A</v>
      </c>
      <c r="D909" t="e">
        <f>VLOOKUP(A910,[1]timesData!$B:$P,3,FALSE)</f>
        <v>#N/A</v>
      </c>
      <c r="E909" t="e">
        <f>VLOOKUP(A910,[1]timesData!$B:$P,4,FALSE)</f>
        <v>#N/A</v>
      </c>
      <c r="F909" t="e">
        <f>VLOOKUP(A910,[1]timesData!$B:$P,5,FALSE)</f>
        <v>#N/A</v>
      </c>
      <c r="G909" t="e">
        <f>VLOOKUP(A910,[1]timesData!$B:$P,6,FALSE)</f>
        <v>#N/A</v>
      </c>
      <c r="H909" t="e">
        <f>VLOOKUP(A910,[1]timesData!$B:$P,7,FALSE)</f>
        <v>#N/A</v>
      </c>
      <c r="I909" t="e">
        <f>VLOOKUP(A910,[1]timesData!$B:$P,8,FALSE)</f>
        <v>#N/A</v>
      </c>
      <c r="J909" t="e">
        <f>VLOOKUP(A910,[1]timesData!$B:$P,9,FALSE)</f>
        <v>#N/A</v>
      </c>
      <c r="K909" t="e">
        <f>VLOOKUP(A910,[1]timesData!$B:$P,10,FALSE)</f>
        <v>#N/A</v>
      </c>
      <c r="L909" t="e">
        <f>VLOOKUP(A910,[1]timesData!$B:$P,11,FALSE)</f>
        <v>#N/A</v>
      </c>
      <c r="M909" t="e">
        <f>VLOOKUP(A910,[1]timesData!$B:$P,12,FALSE)</f>
        <v>#N/A</v>
      </c>
      <c r="N909" t="e">
        <f>VLOOKUP(A910,[1]timesData!$B:$P,13,FALSE)</f>
        <v>#N/A</v>
      </c>
      <c r="O909">
        <f>VLOOKUP(A909,[2]cwurData!$B:$P,14,FALSE)</f>
        <v>372</v>
      </c>
      <c r="P909">
        <f>VLOOKUP(A909,[2]cwurData!$B:$N, 3, FALSE)</f>
        <v>134</v>
      </c>
      <c r="Q909">
        <f>VLOOKUP(A909,[2]cwurData!$B:$N, 4, FALSE)</f>
        <v>312</v>
      </c>
      <c r="R909">
        <f>VLOOKUP(A909,[2]cwurData!$B:$N, 5, FALSE)</f>
        <v>137</v>
      </c>
      <c r="S909">
        <f>VLOOKUP(A909,[2]cwurData!$B:$N, 6, FALSE)</f>
        <v>210</v>
      </c>
      <c r="T909">
        <f>VLOOKUP(A909,[2]cwurData!$B:$N, 7, FALSE)</f>
        <v>513</v>
      </c>
      <c r="U909">
        <f>VLOOKUP(A909,[2]cwurData!$B:$N, 8, FALSE)</f>
        <v>499</v>
      </c>
      <c r="V909">
        <f>VLOOKUP(A909,[2]cwurData!$B:$N, 9, FALSE)</f>
        <v>283</v>
      </c>
      <c r="W909">
        <f>VLOOKUP(A909,[2]cwurData!$B:$N, 10, FALSE)</f>
        <v>409</v>
      </c>
      <c r="X909">
        <f>VLOOKUP(A909,[2]cwurData!$B:$N, 11, FALSE)</f>
        <v>338</v>
      </c>
      <c r="Y909">
        <f>VLOOKUP(A909,[2]cwurData!$B:$N, 12, FALSE)</f>
        <v>45.69</v>
      </c>
      <c r="Z909">
        <f>VLOOKUP(A909,[2]cwurData!$B:$N, 13, FALSE)</f>
        <v>2014</v>
      </c>
    </row>
    <row r="910" spans="1:26" x14ac:dyDescent="0.3">
      <c r="A910" t="s">
        <v>909</v>
      </c>
      <c r="B910" t="str">
        <f>IFERROR(VLOOKUP(A910,[1]timesData!$B:$P,2,FALSE),VLOOKUP(A910,[2]cwurData!$B:$P,2,FALSE))</f>
        <v>Japan</v>
      </c>
      <c r="C910" t="e">
        <f>VLOOKUP(A910,[1]timesData!$B:$P,3,FALSE)</f>
        <v>#N/A</v>
      </c>
      <c r="D910" t="e">
        <f>VLOOKUP(A911,[1]timesData!$B:$P,3,FALSE)</f>
        <v>#N/A</v>
      </c>
      <c r="E910" t="e">
        <f>VLOOKUP(A911,[1]timesData!$B:$P,4,FALSE)</f>
        <v>#N/A</v>
      </c>
      <c r="F910" t="e">
        <f>VLOOKUP(A911,[1]timesData!$B:$P,5,FALSE)</f>
        <v>#N/A</v>
      </c>
      <c r="G910" t="e">
        <f>VLOOKUP(A911,[1]timesData!$B:$P,6,FALSE)</f>
        <v>#N/A</v>
      </c>
      <c r="H910" t="e">
        <f>VLOOKUP(A911,[1]timesData!$B:$P,7,FALSE)</f>
        <v>#N/A</v>
      </c>
      <c r="I910" t="e">
        <f>VLOOKUP(A911,[1]timesData!$B:$P,8,FALSE)</f>
        <v>#N/A</v>
      </c>
      <c r="J910" t="e">
        <f>VLOOKUP(A911,[1]timesData!$B:$P,9,FALSE)</f>
        <v>#N/A</v>
      </c>
      <c r="K910" t="e">
        <f>VLOOKUP(A911,[1]timesData!$B:$P,10,FALSE)</f>
        <v>#N/A</v>
      </c>
      <c r="L910" t="e">
        <f>VLOOKUP(A911,[1]timesData!$B:$P,11,FALSE)</f>
        <v>#N/A</v>
      </c>
      <c r="M910" t="e">
        <f>VLOOKUP(A911,[1]timesData!$B:$P,12,FALSE)</f>
        <v>#N/A</v>
      </c>
      <c r="N910" t="e">
        <f>VLOOKUP(A911,[1]timesData!$B:$P,13,FALSE)</f>
        <v>#N/A</v>
      </c>
      <c r="O910">
        <f>VLOOKUP(A910,[2]cwurData!$B:$P,14,FALSE)</f>
        <v>376</v>
      </c>
      <c r="P910">
        <f>VLOOKUP(A910,[2]cwurData!$B:$N, 3, FALSE)</f>
        <v>17</v>
      </c>
      <c r="Q910">
        <f>VLOOKUP(A910,[2]cwurData!$B:$N, 4, FALSE)</f>
        <v>355</v>
      </c>
      <c r="R910">
        <f>VLOOKUP(A910,[2]cwurData!$B:$N, 5, FALSE)</f>
        <v>478</v>
      </c>
      <c r="S910">
        <f>VLOOKUP(A910,[2]cwurData!$B:$N, 6, FALSE)</f>
        <v>210</v>
      </c>
      <c r="T910">
        <f>VLOOKUP(A910,[2]cwurData!$B:$N, 7, FALSE)</f>
        <v>442</v>
      </c>
      <c r="U910">
        <f>VLOOKUP(A910,[2]cwurData!$B:$N, 8, FALSE)</f>
        <v>299</v>
      </c>
      <c r="V910">
        <f>VLOOKUP(A910,[2]cwurData!$B:$N, 9, FALSE)</f>
        <v>609</v>
      </c>
      <c r="W910">
        <f>VLOOKUP(A910,[2]cwurData!$B:$N, 10, FALSE)</f>
        <v>306</v>
      </c>
      <c r="X910">
        <f>VLOOKUP(A910,[2]cwurData!$B:$N, 11, FALSE)</f>
        <v>307</v>
      </c>
      <c r="Y910">
        <f>VLOOKUP(A910,[2]cwurData!$B:$N, 12, FALSE)</f>
        <v>45.67</v>
      </c>
      <c r="Z910">
        <f>VLOOKUP(A910,[2]cwurData!$B:$N, 13, FALSE)</f>
        <v>2014</v>
      </c>
    </row>
    <row r="911" spans="1:26" x14ac:dyDescent="0.3">
      <c r="A911" t="s">
        <v>910</v>
      </c>
      <c r="B911" t="str">
        <f>IFERROR(VLOOKUP(A911,[1]timesData!$B:$P,2,FALSE),VLOOKUP(A911,[2]cwurData!$B:$P,2,FALSE))</f>
        <v>Argentina</v>
      </c>
      <c r="C911" t="e">
        <f>VLOOKUP(A911,[1]timesData!$B:$P,3,FALSE)</f>
        <v>#N/A</v>
      </c>
      <c r="D911" t="e">
        <f>VLOOKUP(A912,[1]timesData!$B:$P,3,FALSE)</f>
        <v>#N/A</v>
      </c>
      <c r="E911" t="e">
        <f>VLOOKUP(A912,[1]timesData!$B:$P,4,FALSE)</f>
        <v>#N/A</v>
      </c>
      <c r="F911" t="e">
        <f>VLOOKUP(A912,[1]timesData!$B:$P,5,FALSE)</f>
        <v>#N/A</v>
      </c>
      <c r="G911" t="e">
        <f>VLOOKUP(A912,[1]timesData!$B:$P,6,FALSE)</f>
        <v>#N/A</v>
      </c>
      <c r="H911" t="e">
        <f>VLOOKUP(A912,[1]timesData!$B:$P,7,FALSE)</f>
        <v>#N/A</v>
      </c>
      <c r="I911" t="e">
        <f>VLOOKUP(A912,[1]timesData!$B:$P,8,FALSE)</f>
        <v>#N/A</v>
      </c>
      <c r="J911" t="e">
        <f>VLOOKUP(A912,[1]timesData!$B:$P,9,FALSE)</f>
        <v>#N/A</v>
      </c>
      <c r="K911" t="e">
        <f>VLOOKUP(A912,[1]timesData!$B:$P,10,FALSE)</f>
        <v>#N/A</v>
      </c>
      <c r="L911" t="e">
        <f>VLOOKUP(A912,[1]timesData!$B:$P,11,FALSE)</f>
        <v>#N/A</v>
      </c>
      <c r="M911" t="e">
        <f>VLOOKUP(A912,[1]timesData!$B:$P,12,FALSE)</f>
        <v>#N/A</v>
      </c>
      <c r="N911" t="e">
        <f>VLOOKUP(A912,[1]timesData!$B:$P,13,FALSE)</f>
        <v>#N/A</v>
      </c>
      <c r="O911">
        <f>VLOOKUP(A911,[2]cwurData!$B:$P,14,FALSE)</f>
        <v>378</v>
      </c>
      <c r="P911">
        <f>VLOOKUP(A911,[2]cwurData!$B:$N, 3, FALSE)</f>
        <v>1</v>
      </c>
      <c r="Q911">
        <f>VLOOKUP(A911,[2]cwurData!$B:$N, 4, FALSE)</f>
        <v>192</v>
      </c>
      <c r="R911">
        <f>VLOOKUP(A911,[2]cwurData!$B:$N, 5, FALSE)</f>
        <v>477</v>
      </c>
      <c r="S911">
        <f>VLOOKUP(A911,[2]cwurData!$B:$N, 6, FALSE)</f>
        <v>176</v>
      </c>
      <c r="T911">
        <f>VLOOKUP(A911,[2]cwurData!$B:$N, 7, FALSE)</f>
        <v>268</v>
      </c>
      <c r="U911">
        <f>VLOOKUP(A911,[2]cwurData!$B:$N, 8, FALSE)</f>
        <v>348</v>
      </c>
      <c r="V911">
        <f>VLOOKUP(A911,[2]cwurData!$B:$N, 9, FALSE)</f>
        <v>363</v>
      </c>
      <c r="W911">
        <f>VLOOKUP(A911,[2]cwurData!$B:$N, 10, FALSE)</f>
        <v>349</v>
      </c>
      <c r="X911">
        <f>VLOOKUP(A911,[2]cwurData!$B:$N, 11, FALSE)</f>
        <v>737</v>
      </c>
      <c r="Y911">
        <f>VLOOKUP(A911,[2]cwurData!$B:$N, 12, FALSE)</f>
        <v>45.66</v>
      </c>
      <c r="Z911">
        <f>VLOOKUP(A911,[2]cwurData!$B:$N, 13, FALSE)</f>
        <v>2014</v>
      </c>
    </row>
    <row r="912" spans="1:26" x14ac:dyDescent="0.3">
      <c r="A912" t="s">
        <v>911</v>
      </c>
      <c r="B912" t="str">
        <f>IFERROR(VLOOKUP(A912,[1]timesData!$B:$P,2,FALSE),VLOOKUP(A912,[2]cwurData!$B:$P,2,FALSE))</f>
        <v>USA</v>
      </c>
      <c r="C912" t="e">
        <f>VLOOKUP(A912,[1]timesData!$B:$P,3,FALSE)</f>
        <v>#N/A</v>
      </c>
      <c r="D912" t="e">
        <f>VLOOKUP(A913,[1]timesData!$B:$P,3,FALSE)</f>
        <v>#N/A</v>
      </c>
      <c r="E912" t="e">
        <f>VLOOKUP(A913,[1]timesData!$B:$P,4,FALSE)</f>
        <v>#N/A</v>
      </c>
      <c r="F912" t="e">
        <f>VLOOKUP(A913,[1]timesData!$B:$P,5,FALSE)</f>
        <v>#N/A</v>
      </c>
      <c r="G912" t="e">
        <f>VLOOKUP(A913,[1]timesData!$B:$P,6,FALSE)</f>
        <v>#N/A</v>
      </c>
      <c r="H912" t="e">
        <f>VLOOKUP(A913,[1]timesData!$B:$P,7,FALSE)</f>
        <v>#N/A</v>
      </c>
      <c r="I912" t="e">
        <f>VLOOKUP(A913,[1]timesData!$B:$P,8,FALSE)</f>
        <v>#N/A</v>
      </c>
      <c r="J912" t="e">
        <f>VLOOKUP(A913,[1]timesData!$B:$P,9,FALSE)</f>
        <v>#N/A</v>
      </c>
      <c r="K912" t="e">
        <f>VLOOKUP(A913,[1]timesData!$B:$P,10,FALSE)</f>
        <v>#N/A</v>
      </c>
      <c r="L912" t="e">
        <f>VLOOKUP(A913,[1]timesData!$B:$P,11,FALSE)</f>
        <v>#N/A</v>
      </c>
      <c r="M912" t="e">
        <f>VLOOKUP(A913,[1]timesData!$B:$P,12,FALSE)</f>
        <v>#N/A</v>
      </c>
      <c r="N912" t="e">
        <f>VLOOKUP(A913,[1]timesData!$B:$P,13,FALSE)</f>
        <v>#N/A</v>
      </c>
      <c r="O912">
        <f>VLOOKUP(A912,[2]cwurData!$B:$P,14,FALSE)</f>
        <v>379</v>
      </c>
      <c r="P912">
        <f>VLOOKUP(A912,[2]cwurData!$B:$N, 3, FALSE)</f>
        <v>135</v>
      </c>
      <c r="Q912">
        <f>VLOOKUP(A912,[2]cwurData!$B:$N, 4, FALSE)</f>
        <v>355</v>
      </c>
      <c r="R912">
        <f>VLOOKUP(A912,[2]cwurData!$B:$N, 5, FALSE)</f>
        <v>478</v>
      </c>
      <c r="S912">
        <f>VLOOKUP(A912,[2]cwurData!$B:$N, 6, FALSE)</f>
        <v>210</v>
      </c>
      <c r="T912">
        <f>VLOOKUP(A912,[2]cwurData!$B:$N, 7, FALSE)</f>
        <v>365</v>
      </c>
      <c r="U912">
        <f>VLOOKUP(A912,[2]cwurData!$B:$N, 8, FALSE)</f>
        <v>294</v>
      </c>
      <c r="V912">
        <f>VLOOKUP(A912,[2]cwurData!$B:$N, 9, FALSE)</f>
        <v>363</v>
      </c>
      <c r="W912">
        <f>VLOOKUP(A912,[2]cwurData!$B:$N, 10, FALSE)</f>
        <v>334</v>
      </c>
      <c r="X912">
        <f>VLOOKUP(A912,[2]cwurData!$B:$N, 11, FALSE)</f>
        <v>227</v>
      </c>
      <c r="Y912">
        <f>VLOOKUP(A912,[2]cwurData!$B:$N, 12, FALSE)</f>
        <v>45.66</v>
      </c>
      <c r="Z912">
        <f>VLOOKUP(A912,[2]cwurData!$B:$N, 13, FALSE)</f>
        <v>2014</v>
      </c>
    </row>
    <row r="913" spans="1:26" x14ac:dyDescent="0.3">
      <c r="A913" t="s">
        <v>912</v>
      </c>
      <c r="B913" t="str">
        <f>IFERROR(VLOOKUP(A913,[1]timesData!$B:$P,2,FALSE),VLOOKUP(A913,[2]cwurData!$B:$P,2,FALSE))</f>
        <v>Germany</v>
      </c>
      <c r="C913" t="e">
        <f>VLOOKUP(A913,[1]timesData!$B:$P,3,FALSE)</f>
        <v>#N/A</v>
      </c>
      <c r="D913" t="e">
        <f>VLOOKUP(A914,[1]timesData!$B:$P,3,FALSE)</f>
        <v>#N/A</v>
      </c>
      <c r="E913" t="e">
        <f>VLOOKUP(A914,[1]timesData!$B:$P,4,FALSE)</f>
        <v>#N/A</v>
      </c>
      <c r="F913" t="e">
        <f>VLOOKUP(A914,[1]timesData!$B:$P,5,FALSE)</f>
        <v>#N/A</v>
      </c>
      <c r="G913" t="e">
        <f>VLOOKUP(A914,[1]timesData!$B:$P,6,FALSE)</f>
        <v>#N/A</v>
      </c>
      <c r="H913" t="e">
        <f>VLOOKUP(A914,[1]timesData!$B:$P,7,FALSE)</f>
        <v>#N/A</v>
      </c>
      <c r="I913" t="e">
        <f>VLOOKUP(A914,[1]timesData!$B:$P,8,FALSE)</f>
        <v>#N/A</v>
      </c>
      <c r="J913" t="e">
        <f>VLOOKUP(A914,[1]timesData!$B:$P,9,FALSE)</f>
        <v>#N/A</v>
      </c>
      <c r="K913" t="e">
        <f>VLOOKUP(A914,[1]timesData!$B:$P,10,FALSE)</f>
        <v>#N/A</v>
      </c>
      <c r="L913" t="e">
        <f>VLOOKUP(A914,[1]timesData!$B:$P,11,FALSE)</f>
        <v>#N/A</v>
      </c>
      <c r="M913" t="e">
        <f>VLOOKUP(A914,[1]timesData!$B:$P,12,FALSE)</f>
        <v>#N/A</v>
      </c>
      <c r="N913" t="e">
        <f>VLOOKUP(A914,[1]timesData!$B:$P,13,FALSE)</f>
        <v>#N/A</v>
      </c>
      <c r="O913">
        <f>VLOOKUP(A913,[2]cwurData!$B:$P,14,FALSE)</f>
        <v>382</v>
      </c>
      <c r="P913">
        <f>VLOOKUP(A913,[2]cwurData!$B:$N, 3, FALSE)</f>
        <v>34</v>
      </c>
      <c r="Q913">
        <f>VLOOKUP(A913,[2]cwurData!$B:$N, 4, FALSE)</f>
        <v>355</v>
      </c>
      <c r="R913">
        <f>VLOOKUP(A913,[2]cwurData!$B:$N, 5, FALSE)</f>
        <v>370</v>
      </c>
      <c r="S913">
        <f>VLOOKUP(A913,[2]cwurData!$B:$N, 6, FALSE)</f>
        <v>210</v>
      </c>
      <c r="T913">
        <f>VLOOKUP(A913,[2]cwurData!$B:$N, 7, FALSE)</f>
        <v>390</v>
      </c>
      <c r="U913">
        <f>VLOOKUP(A913,[2]cwurData!$B:$N, 8, FALSE)</f>
        <v>402</v>
      </c>
      <c r="V913">
        <f>VLOOKUP(A913,[2]cwurData!$B:$N, 9, FALSE)</f>
        <v>493</v>
      </c>
      <c r="W913">
        <f>VLOOKUP(A913,[2]cwurData!$B:$N, 10, FALSE)</f>
        <v>326</v>
      </c>
      <c r="X913">
        <f>VLOOKUP(A913,[2]cwurData!$B:$N, 11, FALSE)</f>
        <v>307</v>
      </c>
      <c r="Y913">
        <f>VLOOKUP(A913,[2]cwurData!$B:$N, 12, FALSE)</f>
        <v>45.65</v>
      </c>
      <c r="Z913">
        <f>VLOOKUP(A913,[2]cwurData!$B:$N, 13, FALSE)</f>
        <v>2014</v>
      </c>
    </row>
    <row r="914" spans="1:26" x14ac:dyDescent="0.3">
      <c r="A914" t="s">
        <v>913</v>
      </c>
      <c r="B914" t="str">
        <f>IFERROR(VLOOKUP(A914,[1]timesData!$B:$P,2,FALSE),VLOOKUP(A914,[2]cwurData!$B:$P,2,FALSE))</f>
        <v>China</v>
      </c>
      <c r="C914" t="e">
        <f>VLOOKUP(A914,[1]timesData!$B:$P,3,FALSE)</f>
        <v>#N/A</v>
      </c>
      <c r="D914" t="e">
        <f>VLOOKUP(A915,[1]timesData!$B:$P,3,FALSE)</f>
        <v>#N/A</v>
      </c>
      <c r="E914" t="e">
        <f>VLOOKUP(A915,[1]timesData!$B:$P,4,FALSE)</f>
        <v>#N/A</v>
      </c>
      <c r="F914" t="e">
        <f>VLOOKUP(A915,[1]timesData!$B:$P,5,FALSE)</f>
        <v>#N/A</v>
      </c>
      <c r="G914" t="e">
        <f>VLOOKUP(A915,[1]timesData!$B:$P,6,FALSE)</f>
        <v>#N/A</v>
      </c>
      <c r="H914" t="e">
        <f>VLOOKUP(A915,[1]timesData!$B:$P,7,FALSE)</f>
        <v>#N/A</v>
      </c>
      <c r="I914" t="e">
        <f>VLOOKUP(A915,[1]timesData!$B:$P,8,FALSE)</f>
        <v>#N/A</v>
      </c>
      <c r="J914" t="e">
        <f>VLOOKUP(A915,[1]timesData!$B:$P,9,FALSE)</f>
        <v>#N/A</v>
      </c>
      <c r="K914" t="e">
        <f>VLOOKUP(A915,[1]timesData!$B:$P,10,FALSE)</f>
        <v>#N/A</v>
      </c>
      <c r="L914" t="e">
        <f>VLOOKUP(A915,[1]timesData!$B:$P,11,FALSE)</f>
        <v>#N/A</v>
      </c>
      <c r="M914" t="e">
        <f>VLOOKUP(A915,[1]timesData!$B:$P,12,FALSE)</f>
        <v>#N/A</v>
      </c>
      <c r="N914" t="e">
        <f>VLOOKUP(A915,[1]timesData!$B:$P,13,FALSE)</f>
        <v>#N/A</v>
      </c>
      <c r="O914">
        <f>VLOOKUP(A914,[2]cwurData!$B:$P,14,FALSE)</f>
        <v>385</v>
      </c>
      <c r="P914">
        <f>VLOOKUP(A914,[2]cwurData!$B:$N, 3, FALSE)</f>
        <v>13</v>
      </c>
      <c r="Q914">
        <f>VLOOKUP(A914,[2]cwurData!$B:$N, 4, FALSE)</f>
        <v>51</v>
      </c>
      <c r="R914">
        <f>VLOOKUP(A914,[2]cwurData!$B:$N, 5, FALSE)</f>
        <v>478</v>
      </c>
      <c r="S914">
        <f>VLOOKUP(A914,[2]cwurData!$B:$N, 6, FALSE)</f>
        <v>210</v>
      </c>
      <c r="T914">
        <f>VLOOKUP(A914,[2]cwurData!$B:$N, 7, FALSE)</f>
        <v>408</v>
      </c>
      <c r="U914">
        <f>VLOOKUP(A914,[2]cwurData!$B:$N, 8, FALSE)</f>
        <v>490</v>
      </c>
      <c r="V914">
        <f>VLOOKUP(A914,[2]cwurData!$B:$N, 9, FALSE)</f>
        <v>406</v>
      </c>
      <c r="W914">
        <f>VLOOKUP(A914,[2]cwurData!$B:$N, 10, FALSE)</f>
        <v>504</v>
      </c>
      <c r="X914">
        <f>VLOOKUP(A914,[2]cwurData!$B:$N, 11, FALSE)</f>
        <v>737</v>
      </c>
      <c r="Y914">
        <f>VLOOKUP(A914,[2]cwurData!$B:$N, 12, FALSE)</f>
        <v>45.61</v>
      </c>
      <c r="Z914">
        <f>VLOOKUP(A914,[2]cwurData!$B:$N, 13, FALSE)</f>
        <v>2014</v>
      </c>
    </row>
    <row r="915" spans="1:26" x14ac:dyDescent="0.3">
      <c r="A915" t="s">
        <v>914</v>
      </c>
      <c r="B915" t="str">
        <f>IFERROR(VLOOKUP(A915,[1]timesData!$B:$P,2,FALSE),VLOOKUP(A915,[2]cwurData!$B:$P,2,FALSE))</f>
        <v>United Kingdom</v>
      </c>
      <c r="C915" t="e">
        <f>VLOOKUP(A915,[1]timesData!$B:$P,3,FALSE)</f>
        <v>#N/A</v>
      </c>
      <c r="D915" t="e">
        <f>VLOOKUP(A916,[1]timesData!$B:$P,3,FALSE)</f>
        <v>#N/A</v>
      </c>
      <c r="E915" t="e">
        <f>VLOOKUP(A916,[1]timesData!$B:$P,4,FALSE)</f>
        <v>#N/A</v>
      </c>
      <c r="F915" t="e">
        <f>VLOOKUP(A916,[1]timesData!$B:$P,5,FALSE)</f>
        <v>#N/A</v>
      </c>
      <c r="G915" t="e">
        <f>VLOOKUP(A916,[1]timesData!$B:$P,6,FALSE)</f>
        <v>#N/A</v>
      </c>
      <c r="H915" t="e">
        <f>VLOOKUP(A916,[1]timesData!$B:$P,7,FALSE)</f>
        <v>#N/A</v>
      </c>
      <c r="I915" t="e">
        <f>VLOOKUP(A916,[1]timesData!$B:$P,8,FALSE)</f>
        <v>#N/A</v>
      </c>
      <c r="J915" t="e">
        <f>VLOOKUP(A916,[1]timesData!$B:$P,9,FALSE)</f>
        <v>#N/A</v>
      </c>
      <c r="K915" t="e">
        <f>VLOOKUP(A916,[1]timesData!$B:$P,10,FALSE)</f>
        <v>#N/A</v>
      </c>
      <c r="L915" t="e">
        <f>VLOOKUP(A916,[1]timesData!$B:$P,11,FALSE)</f>
        <v>#N/A</v>
      </c>
      <c r="M915" t="e">
        <f>VLOOKUP(A916,[1]timesData!$B:$P,12,FALSE)</f>
        <v>#N/A</v>
      </c>
      <c r="N915" t="e">
        <f>VLOOKUP(A916,[1]timesData!$B:$P,13,FALSE)</f>
        <v>#N/A</v>
      </c>
      <c r="O915">
        <f>VLOOKUP(A915,[2]cwurData!$B:$P,14,FALSE)</f>
        <v>397</v>
      </c>
      <c r="P915">
        <f>VLOOKUP(A915,[2]cwurData!$B:$N, 3, FALSE)</f>
        <v>35</v>
      </c>
      <c r="Q915">
        <f>VLOOKUP(A915,[2]cwurData!$B:$N, 4, FALSE)</f>
        <v>355</v>
      </c>
      <c r="R915">
        <f>VLOOKUP(A915,[2]cwurData!$B:$N, 5, FALSE)</f>
        <v>71</v>
      </c>
      <c r="S915">
        <f>VLOOKUP(A915,[2]cwurData!$B:$N, 6, FALSE)</f>
        <v>210</v>
      </c>
      <c r="T915">
        <f>VLOOKUP(A915,[2]cwurData!$B:$N, 7, FALSE)</f>
        <v>728</v>
      </c>
      <c r="U915">
        <f>VLOOKUP(A915,[2]cwurData!$B:$N, 8, FALSE)</f>
        <v>731</v>
      </c>
      <c r="V915">
        <f>VLOOKUP(A915,[2]cwurData!$B:$N, 9, FALSE)</f>
        <v>800</v>
      </c>
      <c r="W915">
        <f>VLOOKUP(A915,[2]cwurData!$B:$N, 10, FALSE)</f>
        <v>769</v>
      </c>
      <c r="X915">
        <f>VLOOKUP(A915,[2]cwurData!$B:$N, 11, FALSE)</f>
        <v>737</v>
      </c>
      <c r="Y915">
        <f>VLOOKUP(A915,[2]cwurData!$B:$N, 12, FALSE)</f>
        <v>45.56</v>
      </c>
      <c r="Z915">
        <f>VLOOKUP(A915,[2]cwurData!$B:$N, 13, FALSE)</f>
        <v>2014</v>
      </c>
    </row>
    <row r="916" spans="1:26" x14ac:dyDescent="0.3">
      <c r="A916" t="s">
        <v>915</v>
      </c>
      <c r="B916" t="str">
        <f>IFERROR(VLOOKUP(A916,[1]timesData!$B:$P,2,FALSE),VLOOKUP(A916,[2]cwurData!$B:$P,2,FALSE))</f>
        <v>China</v>
      </c>
      <c r="C916" t="e">
        <f>VLOOKUP(A916,[1]timesData!$B:$P,3,FALSE)</f>
        <v>#N/A</v>
      </c>
      <c r="D916" t="e">
        <f>VLOOKUP(A917,[1]timesData!$B:$P,3,FALSE)</f>
        <v>#N/A</v>
      </c>
      <c r="E916" t="e">
        <f>VLOOKUP(A917,[1]timesData!$B:$P,4,FALSE)</f>
        <v>#N/A</v>
      </c>
      <c r="F916" t="e">
        <f>VLOOKUP(A917,[1]timesData!$B:$P,5,FALSE)</f>
        <v>#N/A</v>
      </c>
      <c r="G916" t="e">
        <f>VLOOKUP(A917,[1]timesData!$B:$P,6,FALSE)</f>
        <v>#N/A</v>
      </c>
      <c r="H916" t="e">
        <f>VLOOKUP(A917,[1]timesData!$B:$P,7,FALSE)</f>
        <v>#N/A</v>
      </c>
      <c r="I916" t="e">
        <f>VLOOKUP(A917,[1]timesData!$B:$P,8,FALSE)</f>
        <v>#N/A</v>
      </c>
      <c r="J916" t="e">
        <f>VLOOKUP(A917,[1]timesData!$B:$P,9,FALSE)</f>
        <v>#N/A</v>
      </c>
      <c r="K916" t="e">
        <f>VLOOKUP(A917,[1]timesData!$B:$P,10,FALSE)</f>
        <v>#N/A</v>
      </c>
      <c r="L916" t="e">
        <f>VLOOKUP(A917,[1]timesData!$B:$P,11,FALSE)</f>
        <v>#N/A</v>
      </c>
      <c r="M916" t="e">
        <f>VLOOKUP(A917,[1]timesData!$B:$P,12,FALSE)</f>
        <v>#N/A</v>
      </c>
      <c r="N916" t="e">
        <f>VLOOKUP(A917,[1]timesData!$B:$P,13,FALSE)</f>
        <v>#N/A</v>
      </c>
      <c r="O916">
        <f>VLOOKUP(A916,[2]cwurData!$B:$P,14,FALSE)</f>
        <v>399</v>
      </c>
      <c r="P916">
        <f>VLOOKUP(A916,[2]cwurData!$B:$N, 3, FALSE)</f>
        <v>15</v>
      </c>
      <c r="Q916">
        <f>VLOOKUP(A916,[2]cwurData!$B:$N, 4, FALSE)</f>
        <v>355</v>
      </c>
      <c r="R916">
        <f>VLOOKUP(A916,[2]cwurData!$B:$N, 5, FALSE)</f>
        <v>127</v>
      </c>
      <c r="S916">
        <f>VLOOKUP(A916,[2]cwurData!$B:$N, 6, FALSE)</f>
        <v>210</v>
      </c>
      <c r="T916">
        <f>VLOOKUP(A916,[2]cwurData!$B:$N, 7, FALSE)</f>
        <v>307</v>
      </c>
      <c r="U916">
        <f>VLOOKUP(A916,[2]cwurData!$B:$N, 8, FALSE)</f>
        <v>595</v>
      </c>
      <c r="V916">
        <f>VLOOKUP(A916,[2]cwurData!$B:$N, 9, FALSE)</f>
        <v>800</v>
      </c>
      <c r="W916">
        <f>VLOOKUP(A916,[2]cwurData!$B:$N, 10, FALSE)</f>
        <v>642</v>
      </c>
      <c r="X916">
        <f>VLOOKUP(A916,[2]cwurData!$B:$N, 11, FALSE)</f>
        <v>181</v>
      </c>
      <c r="Y916">
        <f>VLOOKUP(A916,[2]cwurData!$B:$N, 12, FALSE)</f>
        <v>45.55</v>
      </c>
      <c r="Z916">
        <f>VLOOKUP(A916,[2]cwurData!$B:$N, 13, FALSE)</f>
        <v>2014</v>
      </c>
    </row>
    <row r="917" spans="1:26" x14ac:dyDescent="0.3">
      <c r="A917" t="s">
        <v>916</v>
      </c>
      <c r="B917" t="str">
        <f>IFERROR(VLOOKUP(A917,[1]timesData!$B:$P,2,FALSE),VLOOKUP(A917,[2]cwurData!$B:$P,2,FALSE))</f>
        <v>USA</v>
      </c>
      <c r="C917" t="e">
        <f>VLOOKUP(A917,[1]timesData!$B:$P,3,FALSE)</f>
        <v>#N/A</v>
      </c>
      <c r="D917" t="e">
        <f>VLOOKUP(A918,[1]timesData!$B:$P,3,FALSE)</f>
        <v>#N/A</v>
      </c>
      <c r="E917" t="e">
        <f>VLOOKUP(A918,[1]timesData!$B:$P,4,FALSE)</f>
        <v>#N/A</v>
      </c>
      <c r="F917" t="e">
        <f>VLOOKUP(A918,[1]timesData!$B:$P,5,FALSE)</f>
        <v>#N/A</v>
      </c>
      <c r="G917" t="e">
        <f>VLOOKUP(A918,[1]timesData!$B:$P,6,FALSE)</f>
        <v>#N/A</v>
      </c>
      <c r="H917" t="e">
        <f>VLOOKUP(A918,[1]timesData!$B:$P,7,FALSE)</f>
        <v>#N/A</v>
      </c>
      <c r="I917" t="e">
        <f>VLOOKUP(A918,[1]timesData!$B:$P,8,FALSE)</f>
        <v>#N/A</v>
      </c>
      <c r="J917" t="e">
        <f>VLOOKUP(A918,[1]timesData!$B:$P,9,FALSE)</f>
        <v>#N/A</v>
      </c>
      <c r="K917" t="e">
        <f>VLOOKUP(A918,[1]timesData!$B:$P,10,FALSE)</f>
        <v>#N/A</v>
      </c>
      <c r="L917" t="e">
        <f>VLOOKUP(A918,[1]timesData!$B:$P,11,FALSE)</f>
        <v>#N/A</v>
      </c>
      <c r="M917" t="e">
        <f>VLOOKUP(A918,[1]timesData!$B:$P,12,FALSE)</f>
        <v>#N/A</v>
      </c>
      <c r="N917" t="e">
        <f>VLOOKUP(A918,[1]timesData!$B:$P,13,FALSE)</f>
        <v>#N/A</v>
      </c>
      <c r="O917">
        <f>VLOOKUP(A917,[2]cwurData!$B:$P,14,FALSE)</f>
        <v>401</v>
      </c>
      <c r="P917">
        <f>VLOOKUP(A917,[2]cwurData!$B:$N, 3, FALSE)</f>
        <v>137</v>
      </c>
      <c r="Q917">
        <f>VLOOKUP(A917,[2]cwurData!$B:$N, 4, FALSE)</f>
        <v>355</v>
      </c>
      <c r="R917">
        <f>VLOOKUP(A917,[2]cwurData!$B:$N, 5, FALSE)</f>
        <v>468</v>
      </c>
      <c r="S917">
        <f>VLOOKUP(A917,[2]cwurData!$B:$N, 6, FALSE)</f>
        <v>210</v>
      </c>
      <c r="T917">
        <f>VLOOKUP(A917,[2]cwurData!$B:$N, 7, FALSE)</f>
        <v>388</v>
      </c>
      <c r="U917">
        <f>VLOOKUP(A917,[2]cwurData!$B:$N, 8, FALSE)</f>
        <v>391</v>
      </c>
      <c r="V917">
        <f>VLOOKUP(A917,[2]cwurData!$B:$N, 9, FALSE)</f>
        <v>493</v>
      </c>
      <c r="W917">
        <f>VLOOKUP(A917,[2]cwurData!$B:$N, 10, FALSE)</f>
        <v>380</v>
      </c>
      <c r="X917">
        <f>VLOOKUP(A917,[2]cwurData!$B:$N, 11, FALSE)</f>
        <v>149</v>
      </c>
      <c r="Y917">
        <f>VLOOKUP(A917,[2]cwurData!$B:$N, 12, FALSE)</f>
        <v>45.55</v>
      </c>
      <c r="Z917">
        <f>VLOOKUP(A917,[2]cwurData!$B:$N, 13, FALSE)</f>
        <v>2014</v>
      </c>
    </row>
    <row r="918" spans="1:26" x14ac:dyDescent="0.3">
      <c r="A918" t="s">
        <v>917</v>
      </c>
      <c r="B918" t="str">
        <f>IFERROR(VLOOKUP(A918,[1]timesData!$B:$P,2,FALSE),VLOOKUP(A918,[2]cwurData!$B:$P,2,FALSE))</f>
        <v>France</v>
      </c>
      <c r="C918" t="e">
        <f>VLOOKUP(A918,[1]timesData!$B:$P,3,FALSE)</f>
        <v>#N/A</v>
      </c>
      <c r="D918" t="e">
        <f>VLOOKUP(A919,[1]timesData!$B:$P,3,FALSE)</f>
        <v>#N/A</v>
      </c>
      <c r="E918" t="e">
        <f>VLOOKUP(A919,[1]timesData!$B:$P,4,FALSE)</f>
        <v>#N/A</v>
      </c>
      <c r="F918" t="e">
        <f>VLOOKUP(A919,[1]timesData!$B:$P,5,FALSE)</f>
        <v>#N/A</v>
      </c>
      <c r="G918" t="e">
        <f>VLOOKUP(A919,[1]timesData!$B:$P,6,FALSE)</f>
        <v>#N/A</v>
      </c>
      <c r="H918" t="e">
        <f>VLOOKUP(A919,[1]timesData!$B:$P,7,FALSE)</f>
        <v>#N/A</v>
      </c>
      <c r="I918" t="e">
        <f>VLOOKUP(A919,[1]timesData!$B:$P,8,FALSE)</f>
        <v>#N/A</v>
      </c>
      <c r="J918" t="e">
        <f>VLOOKUP(A919,[1]timesData!$B:$P,9,FALSE)</f>
        <v>#N/A</v>
      </c>
      <c r="K918" t="e">
        <f>VLOOKUP(A919,[1]timesData!$B:$P,10,FALSE)</f>
        <v>#N/A</v>
      </c>
      <c r="L918" t="e">
        <f>VLOOKUP(A919,[1]timesData!$B:$P,11,FALSE)</f>
        <v>#N/A</v>
      </c>
      <c r="M918" t="e">
        <f>VLOOKUP(A919,[1]timesData!$B:$P,12,FALSE)</f>
        <v>#N/A</v>
      </c>
      <c r="N918" t="e">
        <f>VLOOKUP(A919,[1]timesData!$B:$P,13,FALSE)</f>
        <v>#N/A</v>
      </c>
      <c r="O918">
        <f>VLOOKUP(A918,[2]cwurData!$B:$P,14,FALSE)</f>
        <v>402</v>
      </c>
      <c r="P918">
        <f>VLOOKUP(A918,[2]cwurData!$B:$N, 3, FALSE)</f>
        <v>14</v>
      </c>
      <c r="Q918">
        <f>VLOOKUP(A918,[2]cwurData!$B:$N, 4, FALSE)</f>
        <v>213</v>
      </c>
      <c r="R918">
        <f>VLOOKUP(A918,[2]cwurData!$B:$N, 5, FALSE)</f>
        <v>301</v>
      </c>
      <c r="S918">
        <f>VLOOKUP(A918,[2]cwurData!$B:$N, 6, FALSE)</f>
        <v>185</v>
      </c>
      <c r="T918">
        <f>VLOOKUP(A918,[2]cwurData!$B:$N, 7, FALSE)</f>
        <v>300</v>
      </c>
      <c r="U918">
        <f>VLOOKUP(A918,[2]cwurData!$B:$N, 8, FALSE)</f>
        <v>361</v>
      </c>
      <c r="V918">
        <f>VLOOKUP(A918,[2]cwurData!$B:$N, 9, FALSE)</f>
        <v>493</v>
      </c>
      <c r="W918">
        <f>VLOOKUP(A918,[2]cwurData!$B:$N, 10, FALSE)</f>
        <v>442</v>
      </c>
      <c r="X918">
        <f>VLOOKUP(A918,[2]cwurData!$B:$N, 11, FALSE)</f>
        <v>181</v>
      </c>
      <c r="Y918">
        <f>VLOOKUP(A918,[2]cwurData!$B:$N, 12, FALSE)</f>
        <v>45.55</v>
      </c>
      <c r="Z918">
        <f>VLOOKUP(A918,[2]cwurData!$B:$N, 13, FALSE)</f>
        <v>2014</v>
      </c>
    </row>
    <row r="919" spans="1:26" x14ac:dyDescent="0.3">
      <c r="A919" t="s">
        <v>918</v>
      </c>
      <c r="B919" t="str">
        <f>IFERROR(VLOOKUP(A919,[1]timesData!$B:$P,2,FALSE),VLOOKUP(A919,[2]cwurData!$B:$P,2,FALSE))</f>
        <v>France</v>
      </c>
      <c r="C919" t="e">
        <f>VLOOKUP(A919,[1]timesData!$B:$P,3,FALSE)</f>
        <v>#N/A</v>
      </c>
      <c r="D919" t="e">
        <f>VLOOKUP(A920,[1]timesData!$B:$P,3,FALSE)</f>
        <v>#N/A</v>
      </c>
      <c r="E919" t="e">
        <f>VLOOKUP(A920,[1]timesData!$B:$P,4,FALSE)</f>
        <v>#N/A</v>
      </c>
      <c r="F919" t="e">
        <f>VLOOKUP(A920,[1]timesData!$B:$P,5,FALSE)</f>
        <v>#N/A</v>
      </c>
      <c r="G919" t="e">
        <f>VLOOKUP(A920,[1]timesData!$B:$P,6,FALSE)</f>
        <v>#N/A</v>
      </c>
      <c r="H919" t="e">
        <f>VLOOKUP(A920,[1]timesData!$B:$P,7,FALSE)</f>
        <v>#N/A</v>
      </c>
      <c r="I919" t="e">
        <f>VLOOKUP(A920,[1]timesData!$B:$P,8,FALSE)</f>
        <v>#N/A</v>
      </c>
      <c r="J919" t="e">
        <f>VLOOKUP(A920,[1]timesData!$B:$P,9,FALSE)</f>
        <v>#N/A</v>
      </c>
      <c r="K919" t="e">
        <f>VLOOKUP(A920,[1]timesData!$B:$P,10,FALSE)</f>
        <v>#N/A</v>
      </c>
      <c r="L919" t="e">
        <f>VLOOKUP(A920,[1]timesData!$B:$P,11,FALSE)</f>
        <v>#N/A</v>
      </c>
      <c r="M919" t="e">
        <f>VLOOKUP(A920,[1]timesData!$B:$P,12,FALSE)</f>
        <v>#N/A</v>
      </c>
      <c r="N919" t="e">
        <f>VLOOKUP(A920,[1]timesData!$B:$P,13,FALSE)</f>
        <v>#N/A</v>
      </c>
      <c r="O919">
        <f>VLOOKUP(A919,[2]cwurData!$B:$P,14,FALSE)</f>
        <v>403</v>
      </c>
      <c r="P919">
        <f>VLOOKUP(A919,[2]cwurData!$B:$N, 3, FALSE)</f>
        <v>15</v>
      </c>
      <c r="Q919">
        <f>VLOOKUP(A919,[2]cwurData!$B:$N, 4, FALSE)</f>
        <v>355</v>
      </c>
      <c r="R919">
        <f>VLOOKUP(A919,[2]cwurData!$B:$N, 5, FALSE)</f>
        <v>478</v>
      </c>
      <c r="S919">
        <f>VLOOKUP(A919,[2]cwurData!$B:$N, 6, FALSE)</f>
        <v>210</v>
      </c>
      <c r="T919">
        <f>VLOOKUP(A919,[2]cwurData!$B:$N, 7, FALSE)</f>
        <v>440</v>
      </c>
      <c r="U919">
        <f>VLOOKUP(A919,[2]cwurData!$B:$N, 8, FALSE)</f>
        <v>385</v>
      </c>
      <c r="V919">
        <f>VLOOKUP(A919,[2]cwurData!$B:$N, 9, FALSE)</f>
        <v>363</v>
      </c>
      <c r="W919">
        <f>VLOOKUP(A919,[2]cwurData!$B:$N, 10, FALSE)</f>
        <v>322</v>
      </c>
      <c r="X919">
        <f>VLOOKUP(A919,[2]cwurData!$B:$N, 11, FALSE)</f>
        <v>426</v>
      </c>
      <c r="Y919">
        <f>VLOOKUP(A919,[2]cwurData!$B:$N, 12, FALSE)</f>
        <v>45.54</v>
      </c>
      <c r="Z919">
        <f>VLOOKUP(A919,[2]cwurData!$B:$N, 13, FALSE)</f>
        <v>2014</v>
      </c>
    </row>
    <row r="920" spans="1:26" x14ac:dyDescent="0.3">
      <c r="A920" t="s">
        <v>919</v>
      </c>
      <c r="B920" t="str">
        <f>IFERROR(VLOOKUP(A920,[1]timesData!$B:$P,2,FALSE),VLOOKUP(A920,[2]cwurData!$B:$P,2,FALSE))</f>
        <v>USA</v>
      </c>
      <c r="C920" t="e">
        <f>VLOOKUP(A920,[1]timesData!$B:$P,3,FALSE)</f>
        <v>#N/A</v>
      </c>
      <c r="D920" t="e">
        <f>VLOOKUP(A921,[1]timesData!$B:$P,3,FALSE)</f>
        <v>#N/A</v>
      </c>
      <c r="E920" t="e">
        <f>VLOOKUP(A921,[1]timesData!$B:$P,4,FALSE)</f>
        <v>#N/A</v>
      </c>
      <c r="F920" t="e">
        <f>VLOOKUP(A921,[1]timesData!$B:$P,5,FALSE)</f>
        <v>#N/A</v>
      </c>
      <c r="G920" t="e">
        <f>VLOOKUP(A921,[1]timesData!$B:$P,6,FALSE)</f>
        <v>#N/A</v>
      </c>
      <c r="H920" t="e">
        <f>VLOOKUP(A921,[1]timesData!$B:$P,7,FALSE)</f>
        <v>#N/A</v>
      </c>
      <c r="I920" t="e">
        <f>VLOOKUP(A921,[1]timesData!$B:$P,8,FALSE)</f>
        <v>#N/A</v>
      </c>
      <c r="J920" t="e">
        <f>VLOOKUP(A921,[1]timesData!$B:$P,9,FALSE)</f>
        <v>#N/A</v>
      </c>
      <c r="K920" t="e">
        <f>VLOOKUP(A921,[1]timesData!$B:$P,10,FALSE)</f>
        <v>#N/A</v>
      </c>
      <c r="L920" t="e">
        <f>VLOOKUP(A921,[1]timesData!$B:$P,11,FALSE)</f>
        <v>#N/A</v>
      </c>
      <c r="M920" t="e">
        <f>VLOOKUP(A921,[1]timesData!$B:$P,12,FALSE)</f>
        <v>#N/A</v>
      </c>
      <c r="N920" t="e">
        <f>VLOOKUP(A921,[1]timesData!$B:$P,13,FALSE)</f>
        <v>#N/A</v>
      </c>
      <c r="O920">
        <f>VLOOKUP(A920,[2]cwurData!$B:$P,14,FALSE)</f>
        <v>404</v>
      </c>
      <c r="P920">
        <f>VLOOKUP(A920,[2]cwurData!$B:$N, 3, FALSE)</f>
        <v>138</v>
      </c>
      <c r="Q920">
        <f>VLOOKUP(A920,[2]cwurData!$B:$N, 4, FALSE)</f>
        <v>355</v>
      </c>
      <c r="R920">
        <f>VLOOKUP(A920,[2]cwurData!$B:$N, 5, FALSE)</f>
        <v>346</v>
      </c>
      <c r="S920">
        <f>VLOOKUP(A920,[2]cwurData!$B:$N, 6, FALSE)</f>
        <v>131</v>
      </c>
      <c r="T920">
        <f>VLOOKUP(A920,[2]cwurData!$B:$N, 7, FALSE)</f>
        <v>511</v>
      </c>
      <c r="U920">
        <f>VLOOKUP(A920,[2]cwurData!$B:$N, 8, FALSE)</f>
        <v>277</v>
      </c>
      <c r="V920">
        <f>VLOOKUP(A920,[2]cwurData!$B:$N, 9, FALSE)</f>
        <v>200</v>
      </c>
      <c r="W920">
        <f>VLOOKUP(A920,[2]cwurData!$B:$N, 10, FALSE)</f>
        <v>366</v>
      </c>
      <c r="X920">
        <f>VLOOKUP(A920,[2]cwurData!$B:$N, 11, FALSE)</f>
        <v>637</v>
      </c>
      <c r="Y920">
        <f>VLOOKUP(A920,[2]cwurData!$B:$N, 12, FALSE)</f>
        <v>45.53</v>
      </c>
      <c r="Z920">
        <f>VLOOKUP(A920,[2]cwurData!$B:$N, 13, FALSE)</f>
        <v>2014</v>
      </c>
    </row>
    <row r="921" spans="1:26" x14ac:dyDescent="0.3">
      <c r="A921" t="s">
        <v>920</v>
      </c>
      <c r="B921" t="str">
        <f>IFERROR(VLOOKUP(A921,[1]timesData!$B:$P,2,FALSE),VLOOKUP(A921,[2]cwurData!$B:$P,2,FALSE))</f>
        <v>France</v>
      </c>
      <c r="C921" t="e">
        <f>VLOOKUP(A921,[1]timesData!$B:$P,3,FALSE)</f>
        <v>#N/A</v>
      </c>
      <c r="D921" t="e">
        <f>VLOOKUP(A922,[1]timesData!$B:$P,3,FALSE)</f>
        <v>#N/A</v>
      </c>
      <c r="E921" t="e">
        <f>VLOOKUP(A922,[1]timesData!$B:$P,4,FALSE)</f>
        <v>#N/A</v>
      </c>
      <c r="F921" t="e">
        <f>VLOOKUP(A922,[1]timesData!$B:$P,5,FALSE)</f>
        <v>#N/A</v>
      </c>
      <c r="G921" t="e">
        <f>VLOOKUP(A922,[1]timesData!$B:$P,6,FALSE)</f>
        <v>#N/A</v>
      </c>
      <c r="H921" t="e">
        <f>VLOOKUP(A922,[1]timesData!$B:$P,7,FALSE)</f>
        <v>#N/A</v>
      </c>
      <c r="I921" t="e">
        <f>VLOOKUP(A922,[1]timesData!$B:$P,8,FALSE)</f>
        <v>#N/A</v>
      </c>
      <c r="J921" t="e">
        <f>VLOOKUP(A922,[1]timesData!$B:$P,9,FALSE)</f>
        <v>#N/A</v>
      </c>
      <c r="K921" t="e">
        <f>VLOOKUP(A922,[1]timesData!$B:$P,10,FALSE)</f>
        <v>#N/A</v>
      </c>
      <c r="L921" t="e">
        <f>VLOOKUP(A922,[1]timesData!$B:$P,11,FALSE)</f>
        <v>#N/A</v>
      </c>
      <c r="M921" t="e">
        <f>VLOOKUP(A922,[1]timesData!$B:$P,12,FALSE)</f>
        <v>#N/A</v>
      </c>
      <c r="N921" t="e">
        <f>VLOOKUP(A922,[1]timesData!$B:$P,13,FALSE)</f>
        <v>#N/A</v>
      </c>
      <c r="O921">
        <f>VLOOKUP(A921,[2]cwurData!$B:$P,14,FALSE)</f>
        <v>405</v>
      </c>
      <c r="P921">
        <f>VLOOKUP(A921,[2]cwurData!$B:$N, 3, FALSE)</f>
        <v>16</v>
      </c>
      <c r="Q921">
        <f>VLOOKUP(A921,[2]cwurData!$B:$N, 4, FALSE)</f>
        <v>355</v>
      </c>
      <c r="R921">
        <f>VLOOKUP(A921,[2]cwurData!$B:$N, 5, FALSE)</f>
        <v>478</v>
      </c>
      <c r="S921">
        <f>VLOOKUP(A921,[2]cwurData!$B:$N, 6, FALSE)</f>
        <v>210</v>
      </c>
      <c r="T921">
        <f>VLOOKUP(A921,[2]cwurData!$B:$N, 7, FALSE)</f>
        <v>452</v>
      </c>
      <c r="U921">
        <f>VLOOKUP(A921,[2]cwurData!$B:$N, 8, FALSE)</f>
        <v>240</v>
      </c>
      <c r="V921">
        <f>VLOOKUP(A921,[2]cwurData!$B:$N, 9, FALSE)</f>
        <v>283</v>
      </c>
      <c r="W921">
        <f>VLOOKUP(A921,[2]cwurData!$B:$N, 10, FALSE)</f>
        <v>326</v>
      </c>
      <c r="X921">
        <f>VLOOKUP(A921,[2]cwurData!$B:$N, 11, FALSE)</f>
        <v>637</v>
      </c>
      <c r="Y921">
        <f>VLOOKUP(A921,[2]cwurData!$B:$N, 12, FALSE)</f>
        <v>45.53</v>
      </c>
      <c r="Z921">
        <f>VLOOKUP(A921,[2]cwurData!$B:$N, 13, FALSE)</f>
        <v>2014</v>
      </c>
    </row>
    <row r="922" spans="1:26" x14ac:dyDescent="0.3">
      <c r="A922" t="s">
        <v>921</v>
      </c>
      <c r="B922" t="str">
        <f>IFERROR(VLOOKUP(A922,[1]timesData!$B:$P,2,FALSE),VLOOKUP(A922,[2]cwurData!$B:$P,2,FALSE))</f>
        <v>United Kingdom</v>
      </c>
      <c r="C922" t="e">
        <f>VLOOKUP(A922,[1]timesData!$B:$P,3,FALSE)</f>
        <v>#N/A</v>
      </c>
      <c r="D922" t="e">
        <f>VLOOKUP(A923,[1]timesData!$B:$P,3,FALSE)</f>
        <v>#N/A</v>
      </c>
      <c r="E922" t="e">
        <f>VLOOKUP(A923,[1]timesData!$B:$P,4,FALSE)</f>
        <v>#N/A</v>
      </c>
      <c r="F922" t="e">
        <f>VLOOKUP(A923,[1]timesData!$B:$P,5,FALSE)</f>
        <v>#N/A</v>
      </c>
      <c r="G922" t="e">
        <f>VLOOKUP(A923,[1]timesData!$B:$P,6,FALSE)</f>
        <v>#N/A</v>
      </c>
      <c r="H922" t="e">
        <f>VLOOKUP(A923,[1]timesData!$B:$P,7,FALSE)</f>
        <v>#N/A</v>
      </c>
      <c r="I922" t="e">
        <f>VLOOKUP(A923,[1]timesData!$B:$P,8,FALSE)</f>
        <v>#N/A</v>
      </c>
      <c r="J922" t="e">
        <f>VLOOKUP(A923,[1]timesData!$B:$P,9,FALSE)</f>
        <v>#N/A</v>
      </c>
      <c r="K922" t="e">
        <f>VLOOKUP(A923,[1]timesData!$B:$P,10,FALSE)</f>
        <v>#N/A</v>
      </c>
      <c r="L922" t="e">
        <f>VLOOKUP(A923,[1]timesData!$B:$P,11,FALSE)</f>
        <v>#N/A</v>
      </c>
      <c r="M922" t="e">
        <f>VLOOKUP(A923,[1]timesData!$B:$P,12,FALSE)</f>
        <v>#N/A</v>
      </c>
      <c r="N922" t="e">
        <f>VLOOKUP(A923,[1]timesData!$B:$P,13,FALSE)</f>
        <v>#N/A</v>
      </c>
      <c r="O922">
        <f>VLOOKUP(A922,[2]cwurData!$B:$P,14,FALSE)</f>
        <v>409</v>
      </c>
      <c r="P922">
        <f>VLOOKUP(A922,[2]cwurData!$B:$N, 3, FALSE)</f>
        <v>36</v>
      </c>
      <c r="Q922">
        <f>VLOOKUP(A922,[2]cwurData!$B:$N, 4, FALSE)</f>
        <v>355</v>
      </c>
      <c r="R922">
        <f>VLOOKUP(A922,[2]cwurData!$B:$N, 5, FALSE)</f>
        <v>147</v>
      </c>
      <c r="S922">
        <f>VLOOKUP(A922,[2]cwurData!$B:$N, 6, FALSE)</f>
        <v>210</v>
      </c>
      <c r="T922">
        <f>VLOOKUP(A922,[2]cwurData!$B:$N, 7, FALSE)</f>
        <v>486</v>
      </c>
      <c r="U922">
        <f>VLOOKUP(A922,[2]cwurData!$B:$N, 8, FALSE)</f>
        <v>612</v>
      </c>
      <c r="V922">
        <f>VLOOKUP(A922,[2]cwurData!$B:$N, 9, FALSE)</f>
        <v>609</v>
      </c>
      <c r="W922">
        <f>VLOOKUP(A922,[2]cwurData!$B:$N, 10, FALSE)</f>
        <v>420</v>
      </c>
      <c r="X922">
        <f>VLOOKUP(A922,[2]cwurData!$B:$N, 11, FALSE)</f>
        <v>481</v>
      </c>
      <c r="Y922">
        <f>VLOOKUP(A922,[2]cwurData!$B:$N, 12, FALSE)</f>
        <v>45.5</v>
      </c>
      <c r="Z922">
        <f>VLOOKUP(A922,[2]cwurData!$B:$N, 13, FALSE)</f>
        <v>2014</v>
      </c>
    </row>
    <row r="923" spans="1:26" x14ac:dyDescent="0.3">
      <c r="A923" t="s">
        <v>922</v>
      </c>
      <c r="B923" t="str">
        <f>IFERROR(VLOOKUP(A923,[1]timesData!$B:$P,2,FALSE),VLOOKUP(A923,[2]cwurData!$B:$P,2,FALSE))</f>
        <v>China</v>
      </c>
      <c r="C923" t="e">
        <f>VLOOKUP(A923,[1]timesData!$B:$P,3,FALSE)</f>
        <v>#N/A</v>
      </c>
      <c r="D923" t="e">
        <f>VLOOKUP(A924,[1]timesData!$B:$P,3,FALSE)</f>
        <v>#N/A</v>
      </c>
      <c r="E923" t="e">
        <f>VLOOKUP(A924,[1]timesData!$B:$P,4,FALSE)</f>
        <v>#N/A</v>
      </c>
      <c r="F923" t="e">
        <f>VLOOKUP(A924,[1]timesData!$B:$P,5,FALSE)</f>
        <v>#N/A</v>
      </c>
      <c r="G923" t="e">
        <f>VLOOKUP(A924,[1]timesData!$B:$P,6,FALSE)</f>
        <v>#N/A</v>
      </c>
      <c r="H923" t="e">
        <f>VLOOKUP(A924,[1]timesData!$B:$P,7,FALSE)</f>
        <v>#N/A</v>
      </c>
      <c r="I923" t="e">
        <f>VLOOKUP(A924,[1]timesData!$B:$P,8,FALSE)</f>
        <v>#N/A</v>
      </c>
      <c r="J923" t="e">
        <f>VLOOKUP(A924,[1]timesData!$B:$P,9,FALSE)</f>
        <v>#N/A</v>
      </c>
      <c r="K923" t="e">
        <f>VLOOKUP(A924,[1]timesData!$B:$P,10,FALSE)</f>
        <v>#N/A</v>
      </c>
      <c r="L923" t="e">
        <f>VLOOKUP(A924,[1]timesData!$B:$P,11,FALSE)</f>
        <v>#N/A</v>
      </c>
      <c r="M923" t="e">
        <f>VLOOKUP(A924,[1]timesData!$B:$P,12,FALSE)</f>
        <v>#N/A</v>
      </c>
      <c r="N923" t="e">
        <f>VLOOKUP(A924,[1]timesData!$B:$P,13,FALSE)</f>
        <v>#N/A</v>
      </c>
      <c r="O923">
        <f>VLOOKUP(A923,[2]cwurData!$B:$P,14,FALSE)</f>
        <v>412</v>
      </c>
      <c r="P923">
        <f>VLOOKUP(A923,[2]cwurData!$B:$N, 3, FALSE)</f>
        <v>17</v>
      </c>
      <c r="Q923">
        <f>VLOOKUP(A923,[2]cwurData!$B:$N, 4, FALSE)</f>
        <v>158</v>
      </c>
      <c r="R923">
        <f>VLOOKUP(A923,[2]cwurData!$B:$N, 5, FALSE)</f>
        <v>409</v>
      </c>
      <c r="S923">
        <f>VLOOKUP(A923,[2]cwurData!$B:$N, 6, FALSE)</f>
        <v>210</v>
      </c>
      <c r="T923">
        <f>VLOOKUP(A923,[2]cwurData!$B:$N, 7, FALSE)</f>
        <v>412</v>
      </c>
      <c r="U923">
        <f>VLOOKUP(A923,[2]cwurData!$B:$N, 8, FALSE)</f>
        <v>695</v>
      </c>
      <c r="V923">
        <f>VLOOKUP(A923,[2]cwurData!$B:$N, 9, FALSE)</f>
        <v>609</v>
      </c>
      <c r="W923">
        <f>VLOOKUP(A923,[2]cwurData!$B:$N, 10, FALSE)</f>
        <v>514</v>
      </c>
      <c r="X923">
        <f>VLOOKUP(A923,[2]cwurData!$B:$N, 11, FALSE)</f>
        <v>121</v>
      </c>
      <c r="Y923">
        <f>VLOOKUP(A923,[2]cwurData!$B:$N, 12, FALSE)</f>
        <v>45.49</v>
      </c>
      <c r="Z923">
        <f>VLOOKUP(A923,[2]cwurData!$B:$N, 13, FALSE)</f>
        <v>2014</v>
      </c>
    </row>
    <row r="924" spans="1:26" x14ac:dyDescent="0.3">
      <c r="A924" t="s">
        <v>923</v>
      </c>
      <c r="B924" t="str">
        <f>IFERROR(VLOOKUP(A924,[1]timesData!$B:$P,2,FALSE),VLOOKUP(A924,[2]cwurData!$B:$P,2,FALSE))</f>
        <v>USA</v>
      </c>
      <c r="C924" t="e">
        <f>VLOOKUP(A924,[1]timesData!$B:$P,3,FALSE)</f>
        <v>#N/A</v>
      </c>
      <c r="D924" t="e">
        <f>VLOOKUP(A925,[1]timesData!$B:$P,3,FALSE)</f>
        <v>#N/A</v>
      </c>
      <c r="E924" t="e">
        <f>VLOOKUP(A925,[1]timesData!$B:$P,4,FALSE)</f>
        <v>#N/A</v>
      </c>
      <c r="F924" t="e">
        <f>VLOOKUP(A925,[1]timesData!$B:$P,5,FALSE)</f>
        <v>#N/A</v>
      </c>
      <c r="G924" t="e">
        <f>VLOOKUP(A925,[1]timesData!$B:$P,6,FALSE)</f>
        <v>#N/A</v>
      </c>
      <c r="H924" t="e">
        <f>VLOOKUP(A925,[1]timesData!$B:$P,7,FALSE)</f>
        <v>#N/A</v>
      </c>
      <c r="I924" t="e">
        <f>VLOOKUP(A925,[1]timesData!$B:$P,8,FALSE)</f>
        <v>#N/A</v>
      </c>
      <c r="J924" t="e">
        <f>VLOOKUP(A925,[1]timesData!$B:$P,9,FALSE)</f>
        <v>#N/A</v>
      </c>
      <c r="K924" t="e">
        <f>VLOOKUP(A925,[1]timesData!$B:$P,10,FALSE)</f>
        <v>#N/A</v>
      </c>
      <c r="L924" t="e">
        <f>VLOOKUP(A925,[1]timesData!$B:$P,11,FALSE)</f>
        <v>#N/A</v>
      </c>
      <c r="M924" t="e">
        <f>VLOOKUP(A925,[1]timesData!$B:$P,12,FALSE)</f>
        <v>#N/A</v>
      </c>
      <c r="N924" t="e">
        <f>VLOOKUP(A925,[1]timesData!$B:$P,13,FALSE)</f>
        <v>#N/A</v>
      </c>
      <c r="O924">
        <f>VLOOKUP(A924,[2]cwurData!$B:$P,14,FALSE)</f>
        <v>415</v>
      </c>
      <c r="P924">
        <f>VLOOKUP(A924,[2]cwurData!$B:$N, 3, FALSE)</f>
        <v>139</v>
      </c>
      <c r="Q924">
        <f>VLOOKUP(A924,[2]cwurData!$B:$N, 4, FALSE)</f>
        <v>288</v>
      </c>
      <c r="R924">
        <f>VLOOKUP(A924,[2]cwurData!$B:$N, 5, FALSE)</f>
        <v>444</v>
      </c>
      <c r="S924">
        <f>VLOOKUP(A924,[2]cwurData!$B:$N, 6, FALSE)</f>
        <v>210</v>
      </c>
      <c r="T924">
        <f>VLOOKUP(A924,[2]cwurData!$B:$N, 7, FALSE)</f>
        <v>495</v>
      </c>
      <c r="U924">
        <f>VLOOKUP(A924,[2]cwurData!$B:$N, 8, FALSE)</f>
        <v>423</v>
      </c>
      <c r="V924">
        <f>VLOOKUP(A924,[2]cwurData!$B:$N, 9, FALSE)</f>
        <v>283</v>
      </c>
      <c r="W924">
        <f>VLOOKUP(A924,[2]cwurData!$B:$N, 10, FALSE)</f>
        <v>415</v>
      </c>
      <c r="X924">
        <f>VLOOKUP(A924,[2]cwurData!$B:$N, 11, FALSE)</f>
        <v>149</v>
      </c>
      <c r="Y924">
        <f>VLOOKUP(A924,[2]cwurData!$B:$N, 12, FALSE)</f>
        <v>45.47</v>
      </c>
      <c r="Z924">
        <f>VLOOKUP(A924,[2]cwurData!$B:$N, 13, FALSE)</f>
        <v>2014</v>
      </c>
    </row>
    <row r="925" spans="1:26" x14ac:dyDescent="0.3">
      <c r="A925" t="s">
        <v>924</v>
      </c>
      <c r="B925" t="str">
        <f>IFERROR(VLOOKUP(A925,[1]timesData!$B:$P,2,FALSE),VLOOKUP(A925,[2]cwurData!$B:$P,2,FALSE))</f>
        <v>USA</v>
      </c>
      <c r="C925" t="e">
        <f>VLOOKUP(A925,[1]timesData!$B:$P,3,FALSE)</f>
        <v>#N/A</v>
      </c>
      <c r="D925" t="e">
        <f>VLOOKUP(A926,[1]timesData!$B:$P,3,FALSE)</f>
        <v>#N/A</v>
      </c>
      <c r="E925" t="e">
        <f>VLOOKUP(A926,[1]timesData!$B:$P,4,FALSE)</f>
        <v>#N/A</v>
      </c>
      <c r="F925" t="e">
        <f>VLOOKUP(A926,[1]timesData!$B:$P,5,FALSE)</f>
        <v>#N/A</v>
      </c>
      <c r="G925" t="e">
        <f>VLOOKUP(A926,[1]timesData!$B:$P,6,FALSE)</f>
        <v>#N/A</v>
      </c>
      <c r="H925" t="e">
        <f>VLOOKUP(A926,[1]timesData!$B:$P,7,FALSE)</f>
        <v>#N/A</v>
      </c>
      <c r="I925" t="e">
        <f>VLOOKUP(A926,[1]timesData!$B:$P,8,FALSE)</f>
        <v>#N/A</v>
      </c>
      <c r="J925" t="e">
        <f>VLOOKUP(A926,[1]timesData!$B:$P,9,FALSE)</f>
        <v>#N/A</v>
      </c>
      <c r="K925" t="e">
        <f>VLOOKUP(A926,[1]timesData!$B:$P,10,FALSE)</f>
        <v>#N/A</v>
      </c>
      <c r="L925" t="e">
        <f>VLOOKUP(A926,[1]timesData!$B:$P,11,FALSE)</f>
        <v>#N/A</v>
      </c>
      <c r="M925" t="e">
        <f>VLOOKUP(A926,[1]timesData!$B:$P,12,FALSE)</f>
        <v>#N/A</v>
      </c>
      <c r="N925" t="e">
        <f>VLOOKUP(A926,[1]timesData!$B:$P,13,FALSE)</f>
        <v>#N/A</v>
      </c>
      <c r="O925">
        <f>VLOOKUP(A925,[2]cwurData!$B:$P,14,FALSE)</f>
        <v>423</v>
      </c>
      <c r="P925">
        <f>VLOOKUP(A925,[2]cwurData!$B:$N, 3, FALSE)</f>
        <v>140</v>
      </c>
      <c r="Q925">
        <f>VLOOKUP(A925,[2]cwurData!$B:$N, 4, FALSE)</f>
        <v>355</v>
      </c>
      <c r="R925">
        <f>VLOOKUP(A925,[2]cwurData!$B:$N, 5, FALSE)</f>
        <v>478</v>
      </c>
      <c r="S925">
        <f>VLOOKUP(A925,[2]cwurData!$B:$N, 6, FALSE)</f>
        <v>210</v>
      </c>
      <c r="T925">
        <f>VLOOKUP(A925,[2]cwurData!$B:$N, 7, FALSE)</f>
        <v>579</v>
      </c>
      <c r="U925">
        <f>VLOOKUP(A925,[2]cwurData!$B:$N, 8, FALSE)</f>
        <v>471</v>
      </c>
      <c r="V925">
        <f>VLOOKUP(A925,[2]cwurData!$B:$N, 9, FALSE)</f>
        <v>310</v>
      </c>
      <c r="W925">
        <f>VLOOKUP(A925,[2]cwurData!$B:$N, 10, FALSE)</f>
        <v>334</v>
      </c>
      <c r="X925">
        <f>VLOOKUP(A925,[2]cwurData!$B:$N, 11, FALSE)</f>
        <v>737</v>
      </c>
      <c r="Y925">
        <f>VLOOKUP(A925,[2]cwurData!$B:$N, 12, FALSE)</f>
        <v>45.43</v>
      </c>
      <c r="Z925">
        <f>VLOOKUP(A925,[2]cwurData!$B:$N, 13, FALSE)</f>
        <v>2014</v>
      </c>
    </row>
    <row r="926" spans="1:26" x14ac:dyDescent="0.3">
      <c r="A926" t="s">
        <v>925</v>
      </c>
      <c r="B926" t="str">
        <f>IFERROR(VLOOKUP(A926,[1]timesData!$B:$P,2,FALSE),VLOOKUP(A926,[2]cwurData!$B:$P,2,FALSE))</f>
        <v>South Korea</v>
      </c>
      <c r="C926" t="e">
        <f>VLOOKUP(A926,[1]timesData!$B:$P,3,FALSE)</f>
        <v>#N/A</v>
      </c>
      <c r="D926" t="e">
        <f>VLOOKUP(A927,[1]timesData!$B:$P,3,FALSE)</f>
        <v>#N/A</v>
      </c>
      <c r="E926" t="e">
        <f>VLOOKUP(A927,[1]timesData!$B:$P,4,FALSE)</f>
        <v>#N/A</v>
      </c>
      <c r="F926" t="e">
        <f>VLOOKUP(A927,[1]timesData!$B:$P,5,FALSE)</f>
        <v>#N/A</v>
      </c>
      <c r="G926" t="e">
        <f>VLOOKUP(A927,[1]timesData!$B:$P,6,FALSE)</f>
        <v>#N/A</v>
      </c>
      <c r="H926" t="e">
        <f>VLOOKUP(A927,[1]timesData!$B:$P,7,FALSE)</f>
        <v>#N/A</v>
      </c>
      <c r="I926" t="e">
        <f>VLOOKUP(A927,[1]timesData!$B:$P,8,FALSE)</f>
        <v>#N/A</v>
      </c>
      <c r="J926" t="e">
        <f>VLOOKUP(A927,[1]timesData!$B:$P,9,FALSE)</f>
        <v>#N/A</v>
      </c>
      <c r="K926" t="e">
        <f>VLOOKUP(A927,[1]timesData!$B:$P,10,FALSE)</f>
        <v>#N/A</v>
      </c>
      <c r="L926" t="e">
        <f>VLOOKUP(A927,[1]timesData!$B:$P,11,FALSE)</f>
        <v>#N/A</v>
      </c>
      <c r="M926" t="e">
        <f>VLOOKUP(A927,[1]timesData!$B:$P,12,FALSE)</f>
        <v>#N/A</v>
      </c>
      <c r="N926" t="e">
        <f>VLOOKUP(A927,[1]timesData!$B:$P,13,FALSE)</f>
        <v>#N/A</v>
      </c>
      <c r="O926">
        <f>VLOOKUP(A926,[2]cwurData!$B:$P,14,FALSE)</f>
        <v>429</v>
      </c>
      <c r="P926">
        <f>VLOOKUP(A926,[2]cwurData!$B:$N, 3, FALSE)</f>
        <v>15</v>
      </c>
      <c r="Q926">
        <f>VLOOKUP(A926,[2]cwurData!$B:$N, 4, FALSE)</f>
        <v>355</v>
      </c>
      <c r="R926">
        <f>VLOOKUP(A926,[2]cwurData!$B:$N, 5, FALSE)</f>
        <v>478</v>
      </c>
      <c r="S926">
        <f>VLOOKUP(A926,[2]cwurData!$B:$N, 6, FALSE)</f>
        <v>210</v>
      </c>
      <c r="T926">
        <f>VLOOKUP(A926,[2]cwurData!$B:$N, 7, FALSE)</f>
        <v>626</v>
      </c>
      <c r="U926">
        <f>VLOOKUP(A926,[2]cwurData!$B:$N, 8, FALSE)</f>
        <v>663</v>
      </c>
      <c r="V926">
        <f>VLOOKUP(A926,[2]cwurData!$B:$N, 9, FALSE)</f>
        <v>800</v>
      </c>
      <c r="W926">
        <f>VLOOKUP(A926,[2]cwurData!$B:$N, 10, FALSE)</f>
        <v>618</v>
      </c>
      <c r="X926">
        <f>VLOOKUP(A926,[2]cwurData!$B:$N, 11, FALSE)</f>
        <v>84</v>
      </c>
      <c r="Y926">
        <f>VLOOKUP(A926,[2]cwurData!$B:$N, 12, FALSE)</f>
        <v>45.43</v>
      </c>
      <c r="Z926">
        <f>VLOOKUP(A926,[2]cwurData!$B:$N, 13, FALSE)</f>
        <v>2014</v>
      </c>
    </row>
    <row r="927" spans="1:26" x14ac:dyDescent="0.3">
      <c r="A927" t="s">
        <v>926</v>
      </c>
      <c r="B927" t="str">
        <f>IFERROR(VLOOKUP(A927,[1]timesData!$B:$P,2,FALSE),VLOOKUP(A927,[2]cwurData!$B:$P,2,FALSE))</f>
        <v>Italy</v>
      </c>
      <c r="C927" t="e">
        <f>VLOOKUP(A927,[1]timesData!$B:$P,3,FALSE)</f>
        <v>#N/A</v>
      </c>
      <c r="D927" t="e">
        <f>VLOOKUP(A928,[1]timesData!$B:$P,3,FALSE)</f>
        <v>#N/A</v>
      </c>
      <c r="E927" t="e">
        <f>VLOOKUP(A928,[1]timesData!$B:$P,4,FALSE)</f>
        <v>#N/A</v>
      </c>
      <c r="F927" t="e">
        <f>VLOOKUP(A928,[1]timesData!$B:$P,5,FALSE)</f>
        <v>#N/A</v>
      </c>
      <c r="G927" t="e">
        <f>VLOOKUP(A928,[1]timesData!$B:$P,6,FALSE)</f>
        <v>#N/A</v>
      </c>
      <c r="H927" t="e">
        <f>VLOOKUP(A928,[1]timesData!$B:$P,7,FALSE)</f>
        <v>#N/A</v>
      </c>
      <c r="I927" t="e">
        <f>VLOOKUP(A928,[1]timesData!$B:$P,8,FALSE)</f>
        <v>#N/A</v>
      </c>
      <c r="J927" t="e">
        <f>VLOOKUP(A928,[1]timesData!$B:$P,9,FALSE)</f>
        <v>#N/A</v>
      </c>
      <c r="K927" t="e">
        <f>VLOOKUP(A928,[1]timesData!$B:$P,10,FALSE)</f>
        <v>#N/A</v>
      </c>
      <c r="L927" t="e">
        <f>VLOOKUP(A928,[1]timesData!$B:$P,11,FALSE)</f>
        <v>#N/A</v>
      </c>
      <c r="M927" t="e">
        <f>VLOOKUP(A928,[1]timesData!$B:$P,12,FALSE)</f>
        <v>#N/A</v>
      </c>
      <c r="N927" t="e">
        <f>VLOOKUP(A928,[1]timesData!$B:$P,13,FALSE)</f>
        <v>#N/A</v>
      </c>
      <c r="O927">
        <f>VLOOKUP(A927,[2]cwurData!$B:$P,14,FALSE)</f>
        <v>431</v>
      </c>
      <c r="P927">
        <f>VLOOKUP(A927,[2]cwurData!$B:$N, 3, FALSE)</f>
        <v>21</v>
      </c>
      <c r="Q927">
        <f>VLOOKUP(A927,[2]cwurData!$B:$N, 4, FALSE)</f>
        <v>355</v>
      </c>
      <c r="R927">
        <f>VLOOKUP(A927,[2]cwurData!$B:$N, 5, FALSE)</f>
        <v>478</v>
      </c>
      <c r="S927">
        <f>VLOOKUP(A927,[2]cwurData!$B:$N, 6, FALSE)</f>
        <v>210</v>
      </c>
      <c r="T927">
        <f>VLOOKUP(A927,[2]cwurData!$B:$N, 7, FALSE)</f>
        <v>404</v>
      </c>
      <c r="U927">
        <f>VLOOKUP(A927,[2]cwurData!$B:$N, 8, FALSE)</f>
        <v>328</v>
      </c>
      <c r="V927">
        <f>VLOOKUP(A927,[2]cwurData!$B:$N, 9, FALSE)</f>
        <v>406</v>
      </c>
      <c r="W927">
        <f>VLOOKUP(A927,[2]cwurData!$B:$N, 10, FALSE)</f>
        <v>355</v>
      </c>
      <c r="X927">
        <f>VLOOKUP(A927,[2]cwurData!$B:$N, 11, FALSE)</f>
        <v>280</v>
      </c>
      <c r="Y927">
        <f>VLOOKUP(A927,[2]cwurData!$B:$N, 12, FALSE)</f>
        <v>45.41</v>
      </c>
      <c r="Z927">
        <f>VLOOKUP(A927,[2]cwurData!$B:$N, 13, FALSE)</f>
        <v>2014</v>
      </c>
    </row>
    <row r="928" spans="1:26" x14ac:dyDescent="0.3">
      <c r="A928" t="s">
        <v>927</v>
      </c>
      <c r="B928" t="str">
        <f>IFERROR(VLOOKUP(A928,[1]timesData!$B:$P,2,FALSE),VLOOKUP(A928,[2]cwurData!$B:$P,2,FALSE))</f>
        <v>France</v>
      </c>
      <c r="C928" t="e">
        <f>VLOOKUP(A928,[1]timesData!$B:$P,3,FALSE)</f>
        <v>#N/A</v>
      </c>
      <c r="D928" t="e">
        <f>VLOOKUP(A929,[1]timesData!$B:$P,3,FALSE)</f>
        <v>#N/A</v>
      </c>
      <c r="E928" t="e">
        <f>VLOOKUP(A929,[1]timesData!$B:$P,4,FALSE)</f>
        <v>#N/A</v>
      </c>
      <c r="F928" t="e">
        <f>VLOOKUP(A929,[1]timesData!$B:$P,5,FALSE)</f>
        <v>#N/A</v>
      </c>
      <c r="G928" t="e">
        <f>VLOOKUP(A929,[1]timesData!$B:$P,6,FALSE)</f>
        <v>#N/A</v>
      </c>
      <c r="H928" t="e">
        <f>VLOOKUP(A929,[1]timesData!$B:$P,7,FALSE)</f>
        <v>#N/A</v>
      </c>
      <c r="I928" t="e">
        <f>VLOOKUP(A929,[1]timesData!$B:$P,8,FALSE)</f>
        <v>#N/A</v>
      </c>
      <c r="J928" t="e">
        <f>VLOOKUP(A929,[1]timesData!$B:$P,9,FALSE)</f>
        <v>#N/A</v>
      </c>
      <c r="K928" t="e">
        <f>VLOOKUP(A929,[1]timesData!$B:$P,10,FALSE)</f>
        <v>#N/A</v>
      </c>
      <c r="L928" t="e">
        <f>VLOOKUP(A929,[1]timesData!$B:$P,11,FALSE)</f>
        <v>#N/A</v>
      </c>
      <c r="M928" t="e">
        <f>VLOOKUP(A929,[1]timesData!$B:$P,12,FALSE)</f>
        <v>#N/A</v>
      </c>
      <c r="N928" t="e">
        <f>VLOOKUP(A929,[1]timesData!$B:$P,13,FALSE)</f>
        <v>#N/A</v>
      </c>
      <c r="O928">
        <f>VLOOKUP(A928,[2]cwurData!$B:$P,14,FALSE)</f>
        <v>432</v>
      </c>
      <c r="P928">
        <f>VLOOKUP(A928,[2]cwurData!$B:$N, 3, FALSE)</f>
        <v>17</v>
      </c>
      <c r="Q928">
        <f>VLOOKUP(A928,[2]cwurData!$B:$N, 4, FALSE)</f>
        <v>355</v>
      </c>
      <c r="R928">
        <f>VLOOKUP(A928,[2]cwurData!$B:$N, 5, FALSE)</f>
        <v>478</v>
      </c>
      <c r="S928">
        <f>VLOOKUP(A928,[2]cwurData!$B:$N, 6, FALSE)</f>
        <v>210</v>
      </c>
      <c r="T928">
        <f>VLOOKUP(A928,[2]cwurData!$B:$N, 7, FALSE)</f>
        <v>327</v>
      </c>
      <c r="U928">
        <f>VLOOKUP(A928,[2]cwurData!$B:$N, 8, FALSE)</f>
        <v>228</v>
      </c>
      <c r="V928">
        <f>VLOOKUP(A928,[2]cwurData!$B:$N, 9, FALSE)</f>
        <v>406</v>
      </c>
      <c r="W928">
        <f>VLOOKUP(A928,[2]cwurData!$B:$N, 10, FALSE)</f>
        <v>361</v>
      </c>
      <c r="X928">
        <f>VLOOKUP(A928,[2]cwurData!$B:$N, 11, FALSE)</f>
        <v>426</v>
      </c>
      <c r="Y928">
        <f>VLOOKUP(A928,[2]cwurData!$B:$N, 12, FALSE)</f>
        <v>45.41</v>
      </c>
      <c r="Z928">
        <f>VLOOKUP(A928,[2]cwurData!$B:$N, 13, FALSE)</f>
        <v>2014</v>
      </c>
    </row>
    <row r="929" spans="1:26" x14ac:dyDescent="0.3">
      <c r="A929" t="s">
        <v>928</v>
      </c>
      <c r="B929" t="str">
        <f>IFERROR(VLOOKUP(A929,[1]timesData!$B:$P,2,FALSE),VLOOKUP(A929,[2]cwurData!$B:$P,2,FALSE))</f>
        <v>Brazil</v>
      </c>
      <c r="C929" t="e">
        <f>VLOOKUP(A929,[1]timesData!$B:$P,3,FALSE)</f>
        <v>#N/A</v>
      </c>
      <c r="D929" t="e">
        <f>VLOOKUP(A930,[1]timesData!$B:$P,3,FALSE)</f>
        <v>#N/A</v>
      </c>
      <c r="E929" t="e">
        <f>VLOOKUP(A930,[1]timesData!$B:$P,4,FALSE)</f>
        <v>#N/A</v>
      </c>
      <c r="F929" t="e">
        <f>VLOOKUP(A930,[1]timesData!$B:$P,5,FALSE)</f>
        <v>#N/A</v>
      </c>
      <c r="G929" t="e">
        <f>VLOOKUP(A930,[1]timesData!$B:$P,6,FALSE)</f>
        <v>#N/A</v>
      </c>
      <c r="H929" t="e">
        <f>VLOOKUP(A930,[1]timesData!$B:$P,7,FALSE)</f>
        <v>#N/A</v>
      </c>
      <c r="I929" t="e">
        <f>VLOOKUP(A930,[1]timesData!$B:$P,8,FALSE)</f>
        <v>#N/A</v>
      </c>
      <c r="J929" t="e">
        <f>VLOOKUP(A930,[1]timesData!$B:$P,9,FALSE)</f>
        <v>#N/A</v>
      </c>
      <c r="K929" t="e">
        <f>VLOOKUP(A930,[1]timesData!$B:$P,10,FALSE)</f>
        <v>#N/A</v>
      </c>
      <c r="L929" t="e">
        <f>VLOOKUP(A930,[1]timesData!$B:$P,11,FALSE)</f>
        <v>#N/A</v>
      </c>
      <c r="M929" t="e">
        <f>VLOOKUP(A930,[1]timesData!$B:$P,12,FALSE)</f>
        <v>#N/A</v>
      </c>
      <c r="N929" t="e">
        <f>VLOOKUP(A930,[1]timesData!$B:$P,13,FALSE)</f>
        <v>#N/A</v>
      </c>
      <c r="O929">
        <f>VLOOKUP(A929,[2]cwurData!$B:$P,14,FALSE)</f>
        <v>437</v>
      </c>
      <c r="P929">
        <f>VLOOKUP(A929,[2]cwurData!$B:$N, 3, FALSE)</f>
        <v>3</v>
      </c>
      <c r="Q929">
        <f>VLOOKUP(A929,[2]cwurData!$B:$N, 4, FALSE)</f>
        <v>355</v>
      </c>
      <c r="R929">
        <f>VLOOKUP(A929,[2]cwurData!$B:$N, 5, FALSE)</f>
        <v>478</v>
      </c>
      <c r="S929">
        <f>VLOOKUP(A929,[2]cwurData!$B:$N, 6, FALSE)</f>
        <v>210</v>
      </c>
      <c r="T929">
        <f>VLOOKUP(A929,[2]cwurData!$B:$N, 7, FALSE)</f>
        <v>297</v>
      </c>
      <c r="U929">
        <f>VLOOKUP(A929,[2]cwurData!$B:$N, 8, FALSE)</f>
        <v>534</v>
      </c>
      <c r="V929">
        <f>VLOOKUP(A929,[2]cwurData!$B:$N, 9, FALSE)</f>
        <v>406</v>
      </c>
      <c r="W929">
        <f>VLOOKUP(A929,[2]cwurData!$B:$N, 10, FALSE)</f>
        <v>386</v>
      </c>
      <c r="X929">
        <f>VLOOKUP(A929,[2]cwurData!$B:$N, 11, FALSE)</f>
        <v>227</v>
      </c>
      <c r="Y929">
        <f>VLOOKUP(A929,[2]cwurData!$B:$N, 12, FALSE)</f>
        <v>45.39</v>
      </c>
      <c r="Z929">
        <f>VLOOKUP(A929,[2]cwurData!$B:$N, 13, FALSE)</f>
        <v>2014</v>
      </c>
    </row>
    <row r="930" spans="1:26" x14ac:dyDescent="0.3">
      <c r="A930" t="s">
        <v>929</v>
      </c>
      <c r="B930" t="str">
        <f>IFERROR(VLOOKUP(A930,[1]timesData!$B:$P,2,FALSE),VLOOKUP(A930,[2]cwurData!$B:$P,2,FALSE))</f>
        <v>USA</v>
      </c>
      <c r="C930" t="e">
        <f>VLOOKUP(A930,[1]timesData!$B:$P,3,FALSE)</f>
        <v>#N/A</v>
      </c>
      <c r="D930" t="e">
        <f>VLOOKUP(A931,[1]timesData!$B:$P,3,FALSE)</f>
        <v>#N/A</v>
      </c>
      <c r="E930" t="e">
        <f>VLOOKUP(A931,[1]timesData!$B:$P,4,FALSE)</f>
        <v>#N/A</v>
      </c>
      <c r="F930" t="e">
        <f>VLOOKUP(A931,[1]timesData!$B:$P,5,FALSE)</f>
        <v>#N/A</v>
      </c>
      <c r="G930" t="e">
        <f>VLOOKUP(A931,[1]timesData!$B:$P,6,FALSE)</f>
        <v>#N/A</v>
      </c>
      <c r="H930" t="e">
        <f>VLOOKUP(A931,[1]timesData!$B:$P,7,FALSE)</f>
        <v>#N/A</v>
      </c>
      <c r="I930" t="e">
        <f>VLOOKUP(A931,[1]timesData!$B:$P,8,FALSE)</f>
        <v>#N/A</v>
      </c>
      <c r="J930" t="e">
        <f>VLOOKUP(A931,[1]timesData!$B:$P,9,FALSE)</f>
        <v>#N/A</v>
      </c>
      <c r="K930" t="e">
        <f>VLOOKUP(A931,[1]timesData!$B:$P,10,FALSE)</f>
        <v>#N/A</v>
      </c>
      <c r="L930" t="e">
        <f>VLOOKUP(A931,[1]timesData!$B:$P,11,FALSE)</f>
        <v>#N/A</v>
      </c>
      <c r="M930" t="e">
        <f>VLOOKUP(A931,[1]timesData!$B:$P,12,FALSE)</f>
        <v>#N/A</v>
      </c>
      <c r="N930" t="e">
        <f>VLOOKUP(A931,[1]timesData!$B:$P,13,FALSE)</f>
        <v>#N/A</v>
      </c>
      <c r="O930">
        <f>VLOOKUP(A930,[2]cwurData!$B:$P,14,FALSE)</f>
        <v>439</v>
      </c>
      <c r="P930">
        <f>VLOOKUP(A930,[2]cwurData!$B:$N, 3, FALSE)</f>
        <v>142</v>
      </c>
      <c r="Q930">
        <f>VLOOKUP(A930,[2]cwurData!$B:$N, 4, FALSE)</f>
        <v>314</v>
      </c>
      <c r="R930">
        <f>VLOOKUP(A930,[2]cwurData!$B:$N, 5, FALSE)</f>
        <v>180</v>
      </c>
      <c r="S930">
        <f>VLOOKUP(A930,[2]cwurData!$B:$N, 6, FALSE)</f>
        <v>210</v>
      </c>
      <c r="T930">
        <f>VLOOKUP(A930,[2]cwurData!$B:$N, 7, FALSE)</f>
        <v>441</v>
      </c>
      <c r="U930">
        <f>VLOOKUP(A930,[2]cwurData!$B:$N, 8, FALSE)</f>
        <v>419</v>
      </c>
      <c r="V930">
        <f>VLOOKUP(A930,[2]cwurData!$B:$N, 9, FALSE)</f>
        <v>406</v>
      </c>
      <c r="W930">
        <f>VLOOKUP(A930,[2]cwurData!$B:$N, 10, FALSE)</f>
        <v>430</v>
      </c>
      <c r="X930">
        <f>VLOOKUP(A930,[2]cwurData!$B:$N, 11, FALSE)</f>
        <v>637</v>
      </c>
      <c r="Y930">
        <f>VLOOKUP(A930,[2]cwurData!$B:$N, 12, FALSE)</f>
        <v>45.39</v>
      </c>
      <c r="Z930">
        <f>VLOOKUP(A930,[2]cwurData!$B:$N, 13, FALSE)</f>
        <v>2014</v>
      </c>
    </row>
    <row r="931" spans="1:26" x14ac:dyDescent="0.3">
      <c r="A931" t="s">
        <v>930</v>
      </c>
      <c r="B931" t="str">
        <f>IFERROR(VLOOKUP(A931,[1]timesData!$B:$P,2,FALSE),VLOOKUP(A931,[2]cwurData!$B:$P,2,FALSE))</f>
        <v>USA</v>
      </c>
      <c r="C931" t="e">
        <f>VLOOKUP(A931,[1]timesData!$B:$P,3,FALSE)</f>
        <v>#N/A</v>
      </c>
      <c r="D931" t="e">
        <f>VLOOKUP(A932,[1]timesData!$B:$P,3,FALSE)</f>
        <v>#N/A</v>
      </c>
      <c r="E931" t="e">
        <f>VLOOKUP(A932,[1]timesData!$B:$P,4,FALSE)</f>
        <v>#N/A</v>
      </c>
      <c r="F931" t="e">
        <f>VLOOKUP(A932,[1]timesData!$B:$P,5,FALSE)</f>
        <v>#N/A</v>
      </c>
      <c r="G931" t="e">
        <f>VLOOKUP(A932,[1]timesData!$B:$P,6,FALSE)</f>
        <v>#N/A</v>
      </c>
      <c r="H931" t="e">
        <f>VLOOKUP(A932,[1]timesData!$B:$P,7,FALSE)</f>
        <v>#N/A</v>
      </c>
      <c r="I931" t="e">
        <f>VLOOKUP(A932,[1]timesData!$B:$P,8,FALSE)</f>
        <v>#N/A</v>
      </c>
      <c r="J931" t="e">
        <f>VLOOKUP(A932,[1]timesData!$B:$P,9,FALSE)</f>
        <v>#N/A</v>
      </c>
      <c r="K931" t="e">
        <f>VLOOKUP(A932,[1]timesData!$B:$P,10,FALSE)</f>
        <v>#N/A</v>
      </c>
      <c r="L931" t="e">
        <f>VLOOKUP(A932,[1]timesData!$B:$P,11,FALSE)</f>
        <v>#N/A</v>
      </c>
      <c r="M931" t="e">
        <f>VLOOKUP(A932,[1]timesData!$B:$P,12,FALSE)</f>
        <v>#N/A</v>
      </c>
      <c r="N931" t="e">
        <f>VLOOKUP(A932,[1]timesData!$B:$P,13,FALSE)</f>
        <v>#N/A</v>
      </c>
      <c r="O931">
        <f>VLOOKUP(A931,[2]cwurData!$B:$P,14,FALSE)</f>
        <v>441</v>
      </c>
      <c r="P931">
        <f>VLOOKUP(A931,[2]cwurData!$B:$N, 3, FALSE)</f>
        <v>143</v>
      </c>
      <c r="Q931">
        <f>VLOOKUP(A931,[2]cwurData!$B:$N, 4, FALSE)</f>
        <v>355</v>
      </c>
      <c r="R931">
        <f>VLOOKUP(A931,[2]cwurData!$B:$N, 5, FALSE)</f>
        <v>478</v>
      </c>
      <c r="S931">
        <f>VLOOKUP(A931,[2]cwurData!$B:$N, 6, FALSE)</f>
        <v>210</v>
      </c>
      <c r="T931">
        <f>VLOOKUP(A931,[2]cwurData!$B:$N, 7, FALSE)</f>
        <v>384</v>
      </c>
      <c r="U931">
        <f>VLOOKUP(A931,[2]cwurData!$B:$N, 8, FALSE)</f>
        <v>478</v>
      </c>
      <c r="V931">
        <f>VLOOKUP(A931,[2]cwurData!$B:$N, 9, FALSE)</f>
        <v>220</v>
      </c>
      <c r="W931">
        <f>VLOOKUP(A931,[2]cwurData!$B:$N, 10, FALSE)</f>
        <v>361</v>
      </c>
      <c r="X931">
        <f>VLOOKUP(A931,[2]cwurData!$B:$N, 11, FALSE)</f>
        <v>552</v>
      </c>
      <c r="Y931">
        <f>VLOOKUP(A931,[2]cwurData!$B:$N, 12, FALSE)</f>
        <v>45.38</v>
      </c>
      <c r="Z931">
        <f>VLOOKUP(A931,[2]cwurData!$B:$N, 13, FALSE)</f>
        <v>2014</v>
      </c>
    </row>
    <row r="932" spans="1:26" x14ac:dyDescent="0.3">
      <c r="A932" t="s">
        <v>931</v>
      </c>
      <c r="B932" t="str">
        <f>IFERROR(VLOOKUP(A932,[1]timesData!$B:$P,2,FALSE),VLOOKUP(A932,[2]cwurData!$B:$P,2,FALSE))</f>
        <v>USA</v>
      </c>
      <c r="C932" t="e">
        <f>VLOOKUP(A932,[1]timesData!$B:$P,3,FALSE)</f>
        <v>#N/A</v>
      </c>
      <c r="D932" t="e">
        <f>VLOOKUP(A933,[1]timesData!$B:$P,3,FALSE)</f>
        <v>#N/A</v>
      </c>
      <c r="E932" t="e">
        <f>VLOOKUP(A933,[1]timesData!$B:$P,4,FALSE)</f>
        <v>#N/A</v>
      </c>
      <c r="F932" t="e">
        <f>VLOOKUP(A933,[1]timesData!$B:$P,5,FALSE)</f>
        <v>#N/A</v>
      </c>
      <c r="G932" t="e">
        <f>VLOOKUP(A933,[1]timesData!$B:$P,6,FALSE)</f>
        <v>#N/A</v>
      </c>
      <c r="H932" t="e">
        <f>VLOOKUP(A933,[1]timesData!$B:$P,7,FALSE)</f>
        <v>#N/A</v>
      </c>
      <c r="I932" t="e">
        <f>VLOOKUP(A933,[1]timesData!$B:$P,8,FALSE)</f>
        <v>#N/A</v>
      </c>
      <c r="J932" t="e">
        <f>VLOOKUP(A933,[1]timesData!$B:$P,9,FALSE)</f>
        <v>#N/A</v>
      </c>
      <c r="K932" t="e">
        <f>VLOOKUP(A933,[1]timesData!$B:$P,10,FALSE)</f>
        <v>#N/A</v>
      </c>
      <c r="L932" t="e">
        <f>VLOOKUP(A933,[1]timesData!$B:$P,11,FALSE)</f>
        <v>#N/A</v>
      </c>
      <c r="M932" t="e">
        <f>VLOOKUP(A933,[1]timesData!$B:$P,12,FALSE)</f>
        <v>#N/A</v>
      </c>
      <c r="N932" t="e">
        <f>VLOOKUP(A933,[1]timesData!$B:$P,13,FALSE)</f>
        <v>#N/A</v>
      </c>
      <c r="O932">
        <f>VLOOKUP(A932,[2]cwurData!$B:$P,14,FALSE)</f>
        <v>442</v>
      </c>
      <c r="P932">
        <f>VLOOKUP(A932,[2]cwurData!$B:$N, 3, FALSE)</f>
        <v>144</v>
      </c>
      <c r="Q932">
        <f>VLOOKUP(A932,[2]cwurData!$B:$N, 4, FALSE)</f>
        <v>355</v>
      </c>
      <c r="R932">
        <f>VLOOKUP(A932,[2]cwurData!$B:$N, 5, FALSE)</f>
        <v>478</v>
      </c>
      <c r="S932">
        <f>VLOOKUP(A932,[2]cwurData!$B:$N, 6, FALSE)</f>
        <v>210</v>
      </c>
      <c r="T932">
        <f>VLOOKUP(A932,[2]cwurData!$B:$N, 7, FALSE)</f>
        <v>488</v>
      </c>
      <c r="U932">
        <f>VLOOKUP(A932,[2]cwurData!$B:$N, 8, FALSE)</f>
        <v>542</v>
      </c>
      <c r="V932">
        <f>VLOOKUP(A932,[2]cwurData!$B:$N, 9, FALSE)</f>
        <v>609</v>
      </c>
      <c r="W932">
        <f>VLOOKUP(A932,[2]cwurData!$B:$N, 10, FALSE)</f>
        <v>349</v>
      </c>
      <c r="X932">
        <f>VLOOKUP(A932,[2]cwurData!$B:$N, 11, FALSE)</f>
        <v>280</v>
      </c>
      <c r="Y932">
        <f>VLOOKUP(A932,[2]cwurData!$B:$N, 12, FALSE)</f>
        <v>45.37</v>
      </c>
      <c r="Z932">
        <f>VLOOKUP(A932,[2]cwurData!$B:$N, 13, FALSE)</f>
        <v>2014</v>
      </c>
    </row>
    <row r="933" spans="1:26" x14ac:dyDescent="0.3">
      <c r="A933" t="s">
        <v>932</v>
      </c>
      <c r="B933" t="str">
        <f>IFERROR(VLOOKUP(A933,[1]timesData!$B:$P,2,FALSE),VLOOKUP(A933,[2]cwurData!$B:$P,2,FALSE))</f>
        <v>Japan</v>
      </c>
      <c r="C933" t="e">
        <f>VLOOKUP(A933,[1]timesData!$B:$P,3,FALSE)</f>
        <v>#N/A</v>
      </c>
      <c r="D933" t="e">
        <f>VLOOKUP(A934,[1]timesData!$B:$P,3,FALSE)</f>
        <v>#N/A</v>
      </c>
      <c r="E933" t="e">
        <f>VLOOKUP(A934,[1]timesData!$B:$P,4,FALSE)</f>
        <v>#N/A</v>
      </c>
      <c r="F933" t="e">
        <f>VLOOKUP(A934,[1]timesData!$B:$P,5,FALSE)</f>
        <v>#N/A</v>
      </c>
      <c r="G933" t="e">
        <f>VLOOKUP(A934,[1]timesData!$B:$P,6,FALSE)</f>
        <v>#N/A</v>
      </c>
      <c r="H933" t="e">
        <f>VLOOKUP(A934,[1]timesData!$B:$P,7,FALSE)</f>
        <v>#N/A</v>
      </c>
      <c r="I933" t="e">
        <f>VLOOKUP(A934,[1]timesData!$B:$P,8,FALSE)</f>
        <v>#N/A</v>
      </c>
      <c r="J933" t="e">
        <f>VLOOKUP(A934,[1]timesData!$B:$P,9,FALSE)</f>
        <v>#N/A</v>
      </c>
      <c r="K933" t="e">
        <f>VLOOKUP(A934,[1]timesData!$B:$P,10,FALSE)</f>
        <v>#N/A</v>
      </c>
      <c r="L933" t="e">
        <f>VLOOKUP(A934,[1]timesData!$B:$P,11,FALSE)</f>
        <v>#N/A</v>
      </c>
      <c r="M933" t="e">
        <f>VLOOKUP(A934,[1]timesData!$B:$P,12,FALSE)</f>
        <v>#N/A</v>
      </c>
      <c r="N933" t="e">
        <f>VLOOKUP(A934,[1]timesData!$B:$P,13,FALSE)</f>
        <v>#N/A</v>
      </c>
      <c r="O933">
        <f>VLOOKUP(A933,[2]cwurData!$B:$P,14,FALSE)</f>
        <v>444</v>
      </c>
      <c r="P933">
        <f>VLOOKUP(A933,[2]cwurData!$B:$N, 3, FALSE)</f>
        <v>23</v>
      </c>
      <c r="Q933">
        <f>VLOOKUP(A933,[2]cwurData!$B:$N, 4, FALSE)</f>
        <v>109</v>
      </c>
      <c r="R933">
        <f>VLOOKUP(A933,[2]cwurData!$B:$N, 5, FALSE)</f>
        <v>478</v>
      </c>
      <c r="S933">
        <f>VLOOKUP(A933,[2]cwurData!$B:$N, 6, FALSE)</f>
        <v>210</v>
      </c>
      <c r="T933">
        <f>VLOOKUP(A933,[2]cwurData!$B:$N, 7, FALSE)</f>
        <v>603</v>
      </c>
      <c r="U933">
        <f>VLOOKUP(A933,[2]cwurData!$B:$N, 8, FALSE)</f>
        <v>455</v>
      </c>
      <c r="V933">
        <f>VLOOKUP(A933,[2]cwurData!$B:$N, 9, FALSE)</f>
        <v>493</v>
      </c>
      <c r="W933">
        <f>VLOOKUP(A933,[2]cwurData!$B:$N, 10, FALSE)</f>
        <v>504</v>
      </c>
      <c r="X933">
        <f>VLOOKUP(A933,[2]cwurData!$B:$N, 11, FALSE)</f>
        <v>149</v>
      </c>
      <c r="Y933">
        <f>VLOOKUP(A933,[2]cwurData!$B:$N, 12, FALSE)</f>
        <v>45.36</v>
      </c>
      <c r="Z933">
        <f>VLOOKUP(A933,[2]cwurData!$B:$N, 13, FALSE)</f>
        <v>2014</v>
      </c>
    </row>
    <row r="934" spans="1:26" x14ac:dyDescent="0.3">
      <c r="A934" t="s">
        <v>933</v>
      </c>
      <c r="B934" t="str">
        <f>IFERROR(VLOOKUP(A934,[1]timesData!$B:$P,2,FALSE),VLOOKUP(A934,[2]cwurData!$B:$P,2,FALSE))</f>
        <v>USA</v>
      </c>
      <c r="C934" t="e">
        <f>VLOOKUP(A934,[1]timesData!$B:$P,3,FALSE)</f>
        <v>#N/A</v>
      </c>
      <c r="D934" t="e">
        <f>VLOOKUP(A935,[1]timesData!$B:$P,3,FALSE)</f>
        <v>#N/A</v>
      </c>
      <c r="E934" t="e">
        <f>VLOOKUP(A935,[1]timesData!$B:$P,4,FALSE)</f>
        <v>#N/A</v>
      </c>
      <c r="F934" t="e">
        <f>VLOOKUP(A935,[1]timesData!$B:$P,5,FALSE)</f>
        <v>#N/A</v>
      </c>
      <c r="G934" t="e">
        <f>VLOOKUP(A935,[1]timesData!$B:$P,6,FALSE)</f>
        <v>#N/A</v>
      </c>
      <c r="H934" t="e">
        <f>VLOOKUP(A935,[1]timesData!$B:$P,7,FALSE)</f>
        <v>#N/A</v>
      </c>
      <c r="I934" t="e">
        <f>VLOOKUP(A935,[1]timesData!$B:$P,8,FALSE)</f>
        <v>#N/A</v>
      </c>
      <c r="J934" t="e">
        <f>VLOOKUP(A935,[1]timesData!$B:$P,9,FALSE)</f>
        <v>#N/A</v>
      </c>
      <c r="K934" t="e">
        <f>VLOOKUP(A935,[1]timesData!$B:$P,10,FALSE)</f>
        <v>#N/A</v>
      </c>
      <c r="L934" t="e">
        <f>VLOOKUP(A935,[1]timesData!$B:$P,11,FALSE)</f>
        <v>#N/A</v>
      </c>
      <c r="M934" t="e">
        <f>VLOOKUP(A935,[1]timesData!$B:$P,12,FALSE)</f>
        <v>#N/A</v>
      </c>
      <c r="N934" t="e">
        <f>VLOOKUP(A935,[1]timesData!$B:$P,13,FALSE)</f>
        <v>#N/A</v>
      </c>
      <c r="O934">
        <f>VLOOKUP(A934,[2]cwurData!$B:$P,14,FALSE)</f>
        <v>446</v>
      </c>
      <c r="P934">
        <f>VLOOKUP(A934,[2]cwurData!$B:$N, 3, FALSE)</f>
        <v>146</v>
      </c>
      <c r="Q934">
        <f>VLOOKUP(A934,[2]cwurData!$B:$N, 4, FALSE)</f>
        <v>355</v>
      </c>
      <c r="R934">
        <f>VLOOKUP(A934,[2]cwurData!$B:$N, 5, FALSE)</f>
        <v>350</v>
      </c>
      <c r="S934">
        <f>VLOOKUP(A934,[2]cwurData!$B:$N, 6, FALSE)</f>
        <v>210</v>
      </c>
      <c r="T934">
        <f>VLOOKUP(A934,[2]cwurData!$B:$N, 7, FALSE)</f>
        <v>538</v>
      </c>
      <c r="U934">
        <f>VLOOKUP(A934,[2]cwurData!$B:$N, 8, FALSE)</f>
        <v>414</v>
      </c>
      <c r="V934">
        <f>VLOOKUP(A934,[2]cwurData!$B:$N, 9, FALSE)</f>
        <v>609</v>
      </c>
      <c r="W934">
        <f>VLOOKUP(A934,[2]cwurData!$B:$N, 10, FALSE)</f>
        <v>349</v>
      </c>
      <c r="X934">
        <f>VLOOKUP(A934,[2]cwurData!$B:$N, 11, FALSE)</f>
        <v>737</v>
      </c>
      <c r="Y934">
        <f>VLOOKUP(A934,[2]cwurData!$B:$N, 12, FALSE)</f>
        <v>45.36</v>
      </c>
      <c r="Z934">
        <f>VLOOKUP(A934,[2]cwurData!$B:$N, 13, FALSE)</f>
        <v>2014</v>
      </c>
    </row>
    <row r="935" spans="1:26" x14ac:dyDescent="0.3">
      <c r="A935" t="s">
        <v>934</v>
      </c>
      <c r="B935" t="str">
        <f>IFERROR(VLOOKUP(A935,[1]timesData!$B:$P,2,FALSE),VLOOKUP(A935,[2]cwurData!$B:$P,2,FALSE))</f>
        <v>Austria</v>
      </c>
      <c r="C935" t="e">
        <f>VLOOKUP(A935,[1]timesData!$B:$P,3,FALSE)</f>
        <v>#N/A</v>
      </c>
      <c r="D935" t="e">
        <f>VLOOKUP(A936,[1]timesData!$B:$P,3,FALSE)</f>
        <v>#N/A</v>
      </c>
      <c r="E935" t="e">
        <f>VLOOKUP(A936,[1]timesData!$B:$P,4,FALSE)</f>
        <v>#N/A</v>
      </c>
      <c r="F935" t="e">
        <f>VLOOKUP(A936,[1]timesData!$B:$P,5,FALSE)</f>
        <v>#N/A</v>
      </c>
      <c r="G935" t="e">
        <f>VLOOKUP(A936,[1]timesData!$B:$P,6,FALSE)</f>
        <v>#N/A</v>
      </c>
      <c r="H935" t="e">
        <f>VLOOKUP(A936,[1]timesData!$B:$P,7,FALSE)</f>
        <v>#N/A</v>
      </c>
      <c r="I935" t="e">
        <f>VLOOKUP(A936,[1]timesData!$B:$P,8,FALSE)</f>
        <v>#N/A</v>
      </c>
      <c r="J935" t="e">
        <f>VLOOKUP(A936,[1]timesData!$B:$P,9,FALSE)</f>
        <v>#N/A</v>
      </c>
      <c r="K935" t="e">
        <f>VLOOKUP(A936,[1]timesData!$B:$P,10,FALSE)</f>
        <v>#N/A</v>
      </c>
      <c r="L935" t="e">
        <f>VLOOKUP(A936,[1]timesData!$B:$P,11,FALSE)</f>
        <v>#N/A</v>
      </c>
      <c r="M935" t="e">
        <f>VLOOKUP(A936,[1]timesData!$B:$P,12,FALSE)</f>
        <v>#N/A</v>
      </c>
      <c r="N935" t="e">
        <f>VLOOKUP(A936,[1]timesData!$B:$P,13,FALSE)</f>
        <v>#N/A</v>
      </c>
      <c r="O935">
        <f>VLOOKUP(A935,[2]cwurData!$B:$P,14,FALSE)</f>
        <v>452</v>
      </c>
      <c r="P935">
        <f>VLOOKUP(A935,[2]cwurData!$B:$N, 3, FALSE)</f>
        <v>5</v>
      </c>
      <c r="Q935">
        <f>VLOOKUP(A935,[2]cwurData!$B:$N, 4, FALSE)</f>
        <v>355</v>
      </c>
      <c r="R935">
        <f>VLOOKUP(A935,[2]cwurData!$B:$N, 5, FALSE)</f>
        <v>478</v>
      </c>
      <c r="S935">
        <f>VLOOKUP(A935,[2]cwurData!$B:$N, 6, FALSE)</f>
        <v>210</v>
      </c>
      <c r="T935">
        <f>VLOOKUP(A935,[2]cwurData!$B:$N, 7, FALSE)</f>
        <v>482</v>
      </c>
      <c r="U935">
        <f>VLOOKUP(A935,[2]cwurData!$B:$N, 8, FALSE)</f>
        <v>401</v>
      </c>
      <c r="V935">
        <f>VLOOKUP(A935,[2]cwurData!$B:$N, 9, FALSE)</f>
        <v>800</v>
      </c>
      <c r="W935">
        <f>VLOOKUP(A935,[2]cwurData!$B:$N, 10, FALSE)</f>
        <v>349</v>
      </c>
      <c r="X935">
        <f>VLOOKUP(A935,[2]cwurData!$B:$N, 11, FALSE)</f>
        <v>637</v>
      </c>
      <c r="Y935">
        <f>VLOOKUP(A935,[2]cwurData!$B:$N, 12, FALSE)</f>
        <v>45.29</v>
      </c>
      <c r="Z935">
        <f>VLOOKUP(A935,[2]cwurData!$B:$N, 13, FALSE)</f>
        <v>2014</v>
      </c>
    </row>
    <row r="936" spans="1:26" x14ac:dyDescent="0.3">
      <c r="A936" t="s">
        <v>935</v>
      </c>
      <c r="B936" t="str">
        <f>IFERROR(VLOOKUP(A936,[1]timesData!$B:$P,2,FALSE),VLOOKUP(A936,[2]cwurData!$B:$P,2,FALSE))</f>
        <v>China</v>
      </c>
      <c r="C936" t="e">
        <f>VLOOKUP(A936,[1]timesData!$B:$P,3,FALSE)</f>
        <v>#N/A</v>
      </c>
      <c r="D936" t="e">
        <f>VLOOKUP(A937,[1]timesData!$B:$P,3,FALSE)</f>
        <v>#N/A</v>
      </c>
      <c r="E936" t="e">
        <f>VLOOKUP(A937,[1]timesData!$B:$P,4,FALSE)</f>
        <v>#N/A</v>
      </c>
      <c r="F936" t="e">
        <f>VLOOKUP(A937,[1]timesData!$B:$P,5,FALSE)</f>
        <v>#N/A</v>
      </c>
      <c r="G936" t="e">
        <f>VLOOKUP(A937,[1]timesData!$B:$P,6,FALSE)</f>
        <v>#N/A</v>
      </c>
      <c r="H936" t="e">
        <f>VLOOKUP(A937,[1]timesData!$B:$P,7,FALSE)</f>
        <v>#N/A</v>
      </c>
      <c r="I936" t="e">
        <f>VLOOKUP(A937,[1]timesData!$B:$P,8,FALSE)</f>
        <v>#N/A</v>
      </c>
      <c r="J936" t="e">
        <f>VLOOKUP(A937,[1]timesData!$B:$P,9,FALSE)</f>
        <v>#N/A</v>
      </c>
      <c r="K936" t="e">
        <f>VLOOKUP(A937,[1]timesData!$B:$P,10,FALSE)</f>
        <v>#N/A</v>
      </c>
      <c r="L936" t="e">
        <f>VLOOKUP(A937,[1]timesData!$B:$P,11,FALSE)</f>
        <v>#N/A</v>
      </c>
      <c r="M936" t="e">
        <f>VLOOKUP(A937,[1]timesData!$B:$P,12,FALSE)</f>
        <v>#N/A</v>
      </c>
      <c r="N936" t="e">
        <f>VLOOKUP(A937,[1]timesData!$B:$P,13,FALSE)</f>
        <v>#N/A</v>
      </c>
      <c r="O936">
        <f>VLOOKUP(A936,[2]cwurData!$B:$P,14,FALSE)</f>
        <v>457</v>
      </c>
      <c r="P936">
        <f>VLOOKUP(A936,[2]cwurData!$B:$N, 3, FALSE)</f>
        <v>20</v>
      </c>
      <c r="Q936">
        <f>VLOOKUP(A936,[2]cwurData!$B:$N, 4, FALSE)</f>
        <v>355</v>
      </c>
      <c r="R936">
        <f>VLOOKUP(A936,[2]cwurData!$B:$N, 5, FALSE)</f>
        <v>466</v>
      </c>
      <c r="S936">
        <f>VLOOKUP(A936,[2]cwurData!$B:$N, 6, FALSE)</f>
        <v>210</v>
      </c>
      <c r="T936">
        <f>VLOOKUP(A936,[2]cwurData!$B:$N, 7, FALSE)</f>
        <v>245</v>
      </c>
      <c r="U936">
        <f>VLOOKUP(A936,[2]cwurData!$B:$N, 8, FALSE)</f>
        <v>588</v>
      </c>
      <c r="V936">
        <f>VLOOKUP(A936,[2]cwurData!$B:$N, 9, FALSE)</f>
        <v>493</v>
      </c>
      <c r="W936">
        <f>VLOOKUP(A936,[2]cwurData!$B:$N, 10, FALSE)</f>
        <v>437</v>
      </c>
      <c r="X936">
        <f>VLOOKUP(A936,[2]cwurData!$B:$N, 11, FALSE)</f>
        <v>481</v>
      </c>
      <c r="Y936">
        <f>VLOOKUP(A936,[2]cwurData!$B:$N, 12, FALSE)</f>
        <v>45.27</v>
      </c>
      <c r="Z936">
        <f>VLOOKUP(A936,[2]cwurData!$B:$N, 13, FALSE)</f>
        <v>2014</v>
      </c>
    </row>
    <row r="937" spans="1:26" x14ac:dyDescent="0.3">
      <c r="A937" t="s">
        <v>936</v>
      </c>
      <c r="B937" t="str">
        <f>IFERROR(VLOOKUP(A937,[1]timesData!$B:$P,2,FALSE),VLOOKUP(A937,[2]cwurData!$B:$P,2,FALSE))</f>
        <v>USA</v>
      </c>
      <c r="C937" t="e">
        <f>VLOOKUP(A937,[1]timesData!$B:$P,3,FALSE)</f>
        <v>#N/A</v>
      </c>
      <c r="D937" t="e">
        <f>VLOOKUP(A938,[1]timesData!$B:$P,3,FALSE)</f>
        <v>#N/A</v>
      </c>
      <c r="E937" t="e">
        <f>VLOOKUP(A938,[1]timesData!$B:$P,4,FALSE)</f>
        <v>#N/A</v>
      </c>
      <c r="F937" t="e">
        <f>VLOOKUP(A938,[1]timesData!$B:$P,5,FALSE)</f>
        <v>#N/A</v>
      </c>
      <c r="G937" t="e">
        <f>VLOOKUP(A938,[1]timesData!$B:$P,6,FALSE)</f>
        <v>#N/A</v>
      </c>
      <c r="H937" t="e">
        <f>VLOOKUP(A938,[1]timesData!$B:$P,7,FALSE)</f>
        <v>#N/A</v>
      </c>
      <c r="I937" t="e">
        <f>VLOOKUP(A938,[1]timesData!$B:$P,8,FALSE)</f>
        <v>#N/A</v>
      </c>
      <c r="J937" t="e">
        <f>VLOOKUP(A938,[1]timesData!$B:$P,9,FALSE)</f>
        <v>#N/A</v>
      </c>
      <c r="K937" t="e">
        <f>VLOOKUP(A938,[1]timesData!$B:$P,10,FALSE)</f>
        <v>#N/A</v>
      </c>
      <c r="L937" t="e">
        <f>VLOOKUP(A938,[1]timesData!$B:$P,11,FALSE)</f>
        <v>#N/A</v>
      </c>
      <c r="M937" t="e">
        <f>VLOOKUP(A938,[1]timesData!$B:$P,12,FALSE)</f>
        <v>#N/A</v>
      </c>
      <c r="N937" t="e">
        <f>VLOOKUP(A938,[1]timesData!$B:$P,13,FALSE)</f>
        <v>#N/A</v>
      </c>
      <c r="O937">
        <f>VLOOKUP(A937,[2]cwurData!$B:$P,14,FALSE)</f>
        <v>460</v>
      </c>
      <c r="P937">
        <f>VLOOKUP(A937,[2]cwurData!$B:$N, 3, FALSE)</f>
        <v>148</v>
      </c>
      <c r="Q937">
        <f>VLOOKUP(A937,[2]cwurData!$B:$N, 4, FALSE)</f>
        <v>355</v>
      </c>
      <c r="R937">
        <f>VLOOKUP(A937,[2]cwurData!$B:$N, 5, FALSE)</f>
        <v>347</v>
      </c>
      <c r="S937">
        <f>VLOOKUP(A937,[2]cwurData!$B:$N, 6, FALSE)</f>
        <v>210</v>
      </c>
      <c r="T937">
        <f>VLOOKUP(A937,[2]cwurData!$B:$N, 7, FALSE)</f>
        <v>516</v>
      </c>
      <c r="U937">
        <f>VLOOKUP(A937,[2]cwurData!$B:$N, 8, FALSE)</f>
        <v>325</v>
      </c>
      <c r="V937">
        <f>VLOOKUP(A937,[2]cwurData!$B:$N, 9, FALSE)</f>
        <v>250</v>
      </c>
      <c r="W937">
        <f>VLOOKUP(A937,[2]cwurData!$B:$N, 10, FALSE)</f>
        <v>380</v>
      </c>
      <c r="X937">
        <f>VLOOKUP(A937,[2]cwurData!$B:$N, 11, FALSE)</f>
        <v>637</v>
      </c>
      <c r="Y937">
        <f>VLOOKUP(A937,[2]cwurData!$B:$N, 12, FALSE)</f>
        <v>45.26</v>
      </c>
      <c r="Z937">
        <f>VLOOKUP(A937,[2]cwurData!$B:$N, 13, FALSE)</f>
        <v>2014</v>
      </c>
    </row>
    <row r="938" spans="1:26" x14ac:dyDescent="0.3">
      <c r="A938" t="s">
        <v>937</v>
      </c>
      <c r="B938" t="str">
        <f>IFERROR(VLOOKUP(A938,[1]timesData!$B:$P,2,FALSE),VLOOKUP(A938,[2]cwurData!$B:$P,2,FALSE))</f>
        <v>China</v>
      </c>
      <c r="C938" t="e">
        <f>VLOOKUP(A938,[1]timesData!$B:$P,3,FALSE)</f>
        <v>#N/A</v>
      </c>
      <c r="D938" t="e">
        <f>VLOOKUP(A939,[1]timesData!$B:$P,3,FALSE)</f>
        <v>#N/A</v>
      </c>
      <c r="E938" t="e">
        <f>VLOOKUP(A939,[1]timesData!$B:$P,4,FALSE)</f>
        <v>#N/A</v>
      </c>
      <c r="F938" t="e">
        <f>VLOOKUP(A939,[1]timesData!$B:$P,5,FALSE)</f>
        <v>#N/A</v>
      </c>
      <c r="G938" t="e">
        <f>VLOOKUP(A939,[1]timesData!$B:$P,6,FALSE)</f>
        <v>#N/A</v>
      </c>
      <c r="H938" t="e">
        <f>VLOOKUP(A939,[1]timesData!$B:$P,7,FALSE)</f>
        <v>#N/A</v>
      </c>
      <c r="I938" t="e">
        <f>VLOOKUP(A939,[1]timesData!$B:$P,8,FALSE)</f>
        <v>#N/A</v>
      </c>
      <c r="J938" t="e">
        <f>VLOOKUP(A939,[1]timesData!$B:$P,9,FALSE)</f>
        <v>#N/A</v>
      </c>
      <c r="K938" t="e">
        <f>VLOOKUP(A939,[1]timesData!$B:$P,10,FALSE)</f>
        <v>#N/A</v>
      </c>
      <c r="L938" t="e">
        <f>VLOOKUP(A939,[1]timesData!$B:$P,11,FALSE)</f>
        <v>#N/A</v>
      </c>
      <c r="M938" t="e">
        <f>VLOOKUP(A939,[1]timesData!$B:$P,12,FALSE)</f>
        <v>#N/A</v>
      </c>
      <c r="N938" t="e">
        <f>VLOOKUP(A939,[1]timesData!$B:$P,13,FALSE)</f>
        <v>#N/A</v>
      </c>
      <c r="O938">
        <f>VLOOKUP(A938,[2]cwurData!$B:$P,14,FALSE)</f>
        <v>465</v>
      </c>
      <c r="P938">
        <f>VLOOKUP(A938,[2]cwurData!$B:$N, 3, FALSE)</f>
        <v>21</v>
      </c>
      <c r="Q938">
        <f>VLOOKUP(A938,[2]cwurData!$B:$N, 4, FALSE)</f>
        <v>355</v>
      </c>
      <c r="R938">
        <f>VLOOKUP(A938,[2]cwurData!$B:$N, 5, FALSE)</f>
        <v>162</v>
      </c>
      <c r="S938">
        <f>VLOOKUP(A938,[2]cwurData!$B:$N, 6, FALSE)</f>
        <v>210</v>
      </c>
      <c r="T938">
        <f>VLOOKUP(A938,[2]cwurData!$B:$N, 7, FALSE)</f>
        <v>330</v>
      </c>
      <c r="U938">
        <f>VLOOKUP(A938,[2]cwurData!$B:$N, 8, FALSE)</f>
        <v>855</v>
      </c>
      <c r="V938">
        <f>VLOOKUP(A938,[2]cwurData!$B:$N, 9, FALSE)</f>
        <v>609</v>
      </c>
      <c r="W938">
        <f>VLOOKUP(A938,[2]cwurData!$B:$N, 10, FALSE)</f>
        <v>596</v>
      </c>
      <c r="X938">
        <f>VLOOKUP(A938,[2]cwurData!$B:$N, 11, FALSE)</f>
        <v>373</v>
      </c>
      <c r="Y938">
        <f>VLOOKUP(A938,[2]cwurData!$B:$N, 12, FALSE)</f>
        <v>45.24</v>
      </c>
      <c r="Z938">
        <f>VLOOKUP(A938,[2]cwurData!$B:$N, 13, FALSE)</f>
        <v>2014</v>
      </c>
    </row>
    <row r="939" spans="1:26" x14ac:dyDescent="0.3">
      <c r="A939" t="s">
        <v>938</v>
      </c>
      <c r="B939" t="str">
        <f>IFERROR(VLOOKUP(A939,[1]timesData!$B:$P,2,FALSE),VLOOKUP(A939,[2]cwurData!$B:$P,2,FALSE))</f>
        <v>USA</v>
      </c>
      <c r="C939" t="e">
        <f>VLOOKUP(A939,[1]timesData!$B:$P,3,FALSE)</f>
        <v>#N/A</v>
      </c>
      <c r="D939" t="e">
        <f>VLOOKUP(A940,[1]timesData!$B:$P,3,FALSE)</f>
        <v>#N/A</v>
      </c>
      <c r="E939" t="e">
        <f>VLOOKUP(A940,[1]timesData!$B:$P,4,FALSE)</f>
        <v>#N/A</v>
      </c>
      <c r="F939" t="e">
        <f>VLOOKUP(A940,[1]timesData!$B:$P,5,FALSE)</f>
        <v>#N/A</v>
      </c>
      <c r="G939" t="e">
        <f>VLOOKUP(A940,[1]timesData!$B:$P,6,FALSE)</f>
        <v>#N/A</v>
      </c>
      <c r="H939" t="e">
        <f>VLOOKUP(A940,[1]timesData!$B:$P,7,FALSE)</f>
        <v>#N/A</v>
      </c>
      <c r="I939" t="e">
        <f>VLOOKUP(A940,[1]timesData!$B:$P,8,FALSE)</f>
        <v>#N/A</v>
      </c>
      <c r="J939" t="e">
        <f>VLOOKUP(A940,[1]timesData!$B:$P,9,FALSE)</f>
        <v>#N/A</v>
      </c>
      <c r="K939" t="e">
        <f>VLOOKUP(A940,[1]timesData!$B:$P,10,FALSE)</f>
        <v>#N/A</v>
      </c>
      <c r="L939" t="e">
        <f>VLOOKUP(A940,[1]timesData!$B:$P,11,FALSE)</f>
        <v>#N/A</v>
      </c>
      <c r="M939" t="e">
        <f>VLOOKUP(A940,[1]timesData!$B:$P,12,FALSE)</f>
        <v>#N/A</v>
      </c>
      <c r="N939" t="e">
        <f>VLOOKUP(A940,[1]timesData!$B:$P,13,FALSE)</f>
        <v>#N/A</v>
      </c>
      <c r="O939">
        <f>VLOOKUP(A939,[2]cwurData!$B:$P,14,FALSE)</f>
        <v>469</v>
      </c>
      <c r="P939">
        <f>VLOOKUP(A939,[2]cwurData!$B:$N, 3, FALSE)</f>
        <v>151</v>
      </c>
      <c r="Q939">
        <f>VLOOKUP(A939,[2]cwurData!$B:$N, 4, FALSE)</f>
        <v>355</v>
      </c>
      <c r="R939">
        <f>VLOOKUP(A939,[2]cwurData!$B:$N, 5, FALSE)</f>
        <v>379</v>
      </c>
      <c r="S939">
        <f>VLOOKUP(A939,[2]cwurData!$B:$N, 6, FALSE)</f>
        <v>148</v>
      </c>
      <c r="T939">
        <f>VLOOKUP(A939,[2]cwurData!$B:$N, 7, FALSE)</f>
        <v>451</v>
      </c>
      <c r="U939">
        <f>VLOOKUP(A939,[2]cwurData!$B:$N, 8, FALSE)</f>
        <v>211</v>
      </c>
      <c r="V939">
        <f>VLOOKUP(A939,[2]cwurData!$B:$N, 9, FALSE)</f>
        <v>363</v>
      </c>
      <c r="W939">
        <f>VLOOKUP(A939,[2]cwurData!$B:$N, 10, FALSE)</f>
        <v>452</v>
      </c>
      <c r="X939">
        <f>VLOOKUP(A939,[2]cwurData!$B:$N, 11, FALSE)</f>
        <v>373</v>
      </c>
      <c r="Y939">
        <f>VLOOKUP(A939,[2]cwurData!$B:$N, 12, FALSE)</f>
        <v>45.22</v>
      </c>
      <c r="Z939">
        <f>VLOOKUP(A939,[2]cwurData!$B:$N, 13, FALSE)</f>
        <v>2014</v>
      </c>
    </row>
    <row r="940" spans="1:26" x14ac:dyDescent="0.3">
      <c r="A940" t="s">
        <v>939</v>
      </c>
      <c r="B940" t="str">
        <f>IFERROR(VLOOKUP(A940,[1]timesData!$B:$P,2,FALSE),VLOOKUP(A940,[2]cwurData!$B:$P,2,FALSE))</f>
        <v>USA</v>
      </c>
      <c r="C940" t="e">
        <f>VLOOKUP(A940,[1]timesData!$B:$P,3,FALSE)</f>
        <v>#N/A</v>
      </c>
      <c r="D940" t="e">
        <f>VLOOKUP(A941,[1]timesData!$B:$P,3,FALSE)</f>
        <v>#N/A</v>
      </c>
      <c r="E940" t="e">
        <f>VLOOKUP(A941,[1]timesData!$B:$P,4,FALSE)</f>
        <v>#N/A</v>
      </c>
      <c r="F940" t="e">
        <f>VLOOKUP(A941,[1]timesData!$B:$P,5,FALSE)</f>
        <v>#N/A</v>
      </c>
      <c r="G940" t="e">
        <f>VLOOKUP(A941,[1]timesData!$B:$P,6,FALSE)</f>
        <v>#N/A</v>
      </c>
      <c r="H940" t="e">
        <f>VLOOKUP(A941,[1]timesData!$B:$P,7,FALSE)</f>
        <v>#N/A</v>
      </c>
      <c r="I940" t="e">
        <f>VLOOKUP(A941,[1]timesData!$B:$P,8,FALSE)</f>
        <v>#N/A</v>
      </c>
      <c r="J940" t="e">
        <f>VLOOKUP(A941,[1]timesData!$B:$P,9,FALSE)</f>
        <v>#N/A</v>
      </c>
      <c r="K940" t="e">
        <f>VLOOKUP(A941,[1]timesData!$B:$P,10,FALSE)</f>
        <v>#N/A</v>
      </c>
      <c r="L940" t="e">
        <f>VLOOKUP(A941,[1]timesData!$B:$P,11,FALSE)</f>
        <v>#N/A</v>
      </c>
      <c r="M940" t="e">
        <f>VLOOKUP(A941,[1]timesData!$B:$P,12,FALSE)</f>
        <v>#N/A</v>
      </c>
      <c r="N940" t="e">
        <f>VLOOKUP(A941,[1]timesData!$B:$P,13,FALSE)</f>
        <v>#N/A</v>
      </c>
      <c r="O940">
        <f>VLOOKUP(A940,[2]cwurData!$B:$P,14,FALSE)</f>
        <v>470</v>
      </c>
      <c r="P940">
        <f>VLOOKUP(A940,[2]cwurData!$B:$N, 3, FALSE)</f>
        <v>152</v>
      </c>
      <c r="Q940">
        <f>VLOOKUP(A940,[2]cwurData!$B:$N, 4, FALSE)</f>
        <v>355</v>
      </c>
      <c r="R940">
        <f>VLOOKUP(A940,[2]cwurData!$B:$N, 5, FALSE)</f>
        <v>349</v>
      </c>
      <c r="S940">
        <f>VLOOKUP(A940,[2]cwurData!$B:$N, 6, FALSE)</f>
        <v>210</v>
      </c>
      <c r="T940">
        <f>VLOOKUP(A940,[2]cwurData!$B:$N, 7, FALSE)</f>
        <v>643</v>
      </c>
      <c r="U940">
        <f>VLOOKUP(A940,[2]cwurData!$B:$N, 8, FALSE)</f>
        <v>521</v>
      </c>
      <c r="V940">
        <f>VLOOKUP(A940,[2]cwurData!$B:$N, 9, FALSE)</f>
        <v>406</v>
      </c>
      <c r="W940">
        <f>VLOOKUP(A940,[2]cwurData!$B:$N, 10, FALSE)</f>
        <v>372</v>
      </c>
      <c r="X940">
        <f>VLOOKUP(A940,[2]cwurData!$B:$N, 11, FALSE)</f>
        <v>737</v>
      </c>
      <c r="Y940">
        <f>VLOOKUP(A940,[2]cwurData!$B:$N, 12, FALSE)</f>
        <v>45.22</v>
      </c>
      <c r="Z940">
        <f>VLOOKUP(A940,[2]cwurData!$B:$N, 13, FALSE)</f>
        <v>2014</v>
      </c>
    </row>
    <row r="941" spans="1:26" x14ac:dyDescent="0.3">
      <c r="A941" t="s">
        <v>940</v>
      </c>
      <c r="B941" t="str">
        <f>IFERROR(VLOOKUP(A941,[1]timesData!$B:$P,2,FALSE),VLOOKUP(A941,[2]cwurData!$B:$P,2,FALSE))</f>
        <v>USA</v>
      </c>
      <c r="C941" t="e">
        <f>VLOOKUP(A941,[1]timesData!$B:$P,3,FALSE)</f>
        <v>#N/A</v>
      </c>
      <c r="D941" t="e">
        <f>VLOOKUP(A942,[1]timesData!$B:$P,3,FALSE)</f>
        <v>#N/A</v>
      </c>
      <c r="E941" t="e">
        <f>VLOOKUP(A942,[1]timesData!$B:$P,4,FALSE)</f>
        <v>#N/A</v>
      </c>
      <c r="F941" t="e">
        <f>VLOOKUP(A942,[1]timesData!$B:$P,5,FALSE)</f>
        <v>#N/A</v>
      </c>
      <c r="G941" t="e">
        <f>VLOOKUP(A942,[1]timesData!$B:$P,6,FALSE)</f>
        <v>#N/A</v>
      </c>
      <c r="H941" t="e">
        <f>VLOOKUP(A942,[1]timesData!$B:$P,7,FALSE)</f>
        <v>#N/A</v>
      </c>
      <c r="I941" t="e">
        <f>VLOOKUP(A942,[1]timesData!$B:$P,8,FALSE)</f>
        <v>#N/A</v>
      </c>
      <c r="J941" t="e">
        <f>VLOOKUP(A942,[1]timesData!$B:$P,9,FALSE)</f>
        <v>#N/A</v>
      </c>
      <c r="K941" t="e">
        <f>VLOOKUP(A942,[1]timesData!$B:$P,10,FALSE)</f>
        <v>#N/A</v>
      </c>
      <c r="L941" t="e">
        <f>VLOOKUP(A942,[1]timesData!$B:$P,11,FALSE)</f>
        <v>#N/A</v>
      </c>
      <c r="M941" t="e">
        <f>VLOOKUP(A942,[1]timesData!$B:$P,12,FALSE)</f>
        <v>#N/A</v>
      </c>
      <c r="N941" t="e">
        <f>VLOOKUP(A942,[1]timesData!$B:$P,13,FALSE)</f>
        <v>#N/A</v>
      </c>
      <c r="O941">
        <f>VLOOKUP(A941,[2]cwurData!$B:$P,14,FALSE)</f>
        <v>473</v>
      </c>
      <c r="P941">
        <f>VLOOKUP(A941,[2]cwurData!$B:$N, 3, FALSE)</f>
        <v>153</v>
      </c>
      <c r="Q941">
        <f>VLOOKUP(A941,[2]cwurData!$B:$N, 4, FALSE)</f>
        <v>355</v>
      </c>
      <c r="R941">
        <f>VLOOKUP(A941,[2]cwurData!$B:$N, 5, FALSE)</f>
        <v>351</v>
      </c>
      <c r="S941">
        <f>VLOOKUP(A941,[2]cwurData!$B:$N, 6, FALSE)</f>
        <v>210</v>
      </c>
      <c r="T941">
        <f>VLOOKUP(A941,[2]cwurData!$B:$N, 7, FALSE)</f>
        <v>578</v>
      </c>
      <c r="U941">
        <f>VLOOKUP(A941,[2]cwurData!$B:$N, 8, FALSE)</f>
        <v>566</v>
      </c>
      <c r="V941">
        <f>VLOOKUP(A941,[2]cwurData!$B:$N, 9, FALSE)</f>
        <v>220</v>
      </c>
      <c r="W941">
        <f>VLOOKUP(A941,[2]cwurData!$B:$N, 10, FALSE)</f>
        <v>395</v>
      </c>
      <c r="X941">
        <f>VLOOKUP(A941,[2]cwurData!$B:$N, 11, FALSE)</f>
        <v>637</v>
      </c>
      <c r="Y941">
        <f>VLOOKUP(A941,[2]cwurData!$B:$N, 12, FALSE)</f>
        <v>45.21</v>
      </c>
      <c r="Z941">
        <f>VLOOKUP(A941,[2]cwurData!$B:$N, 13, FALSE)</f>
        <v>2014</v>
      </c>
    </row>
    <row r="942" spans="1:26" x14ac:dyDescent="0.3">
      <c r="A942" t="s">
        <v>1235</v>
      </c>
      <c r="B942" t="str">
        <f>IFERROR(VLOOKUP(A942,[1]timesData!$B:$P,2,FALSE),VLOOKUP(A942,[2]cwurData!$B:$P,2,FALSE))</f>
        <v>USA</v>
      </c>
      <c r="C942" t="e">
        <f>VLOOKUP(A942,[1]timesData!$B:$P,3,FALSE)</f>
        <v>#N/A</v>
      </c>
      <c r="D942" t="e">
        <f>VLOOKUP(A943,[1]timesData!$B:$P,3,FALSE)</f>
        <v>#N/A</v>
      </c>
      <c r="E942" t="e">
        <f>VLOOKUP(A943,[1]timesData!$B:$P,4,FALSE)</f>
        <v>#N/A</v>
      </c>
      <c r="F942" t="e">
        <f>VLOOKUP(A943,[1]timesData!$B:$P,5,FALSE)</f>
        <v>#N/A</v>
      </c>
      <c r="G942" t="e">
        <f>VLOOKUP(A943,[1]timesData!$B:$P,6,FALSE)</f>
        <v>#N/A</v>
      </c>
      <c r="H942" t="e">
        <f>VLOOKUP(A943,[1]timesData!$B:$P,7,FALSE)</f>
        <v>#N/A</v>
      </c>
      <c r="I942" t="e">
        <f>VLOOKUP(A943,[1]timesData!$B:$P,8,FALSE)</f>
        <v>#N/A</v>
      </c>
      <c r="J942" t="e">
        <f>VLOOKUP(A943,[1]timesData!$B:$P,9,FALSE)</f>
        <v>#N/A</v>
      </c>
      <c r="K942" t="e">
        <f>VLOOKUP(A943,[1]timesData!$B:$P,10,FALSE)</f>
        <v>#N/A</v>
      </c>
      <c r="L942" t="e">
        <f>VLOOKUP(A943,[1]timesData!$B:$P,11,FALSE)</f>
        <v>#N/A</v>
      </c>
      <c r="M942" t="e">
        <f>VLOOKUP(A943,[1]timesData!$B:$P,12,FALSE)</f>
        <v>#N/A</v>
      </c>
      <c r="N942" t="e">
        <f>VLOOKUP(A943,[1]timesData!$B:$P,13,FALSE)</f>
        <v>#N/A</v>
      </c>
      <c r="O942">
        <f>VLOOKUP(A942,[2]cwurData!$B:$P,14,FALSE)</f>
        <v>476</v>
      </c>
      <c r="P942">
        <f>VLOOKUP(A942,[2]cwurData!$B:$N, 3, FALSE)</f>
        <v>153</v>
      </c>
      <c r="Q942">
        <f>VLOOKUP(A942,[2]cwurData!$B:$N, 4, FALSE)</f>
        <v>367</v>
      </c>
      <c r="R942">
        <f>VLOOKUP(A942,[2]cwurData!$B:$N, 5, FALSE)</f>
        <v>567</v>
      </c>
      <c r="S942">
        <f>VLOOKUP(A942,[2]cwurData!$B:$N, 6, FALSE)</f>
        <v>218</v>
      </c>
      <c r="T942">
        <f>VLOOKUP(A942,[2]cwurData!$B:$N, 7, FALSE)</f>
        <v>580</v>
      </c>
      <c r="U942">
        <f>VLOOKUP(A942,[2]cwurData!$B:$N, 8, FALSE)</f>
        <v>461</v>
      </c>
      <c r="V942">
        <f>VLOOKUP(A942,[2]cwurData!$B:$N, 9, FALSE)</f>
        <v>511</v>
      </c>
      <c r="W942">
        <f>VLOOKUP(A942,[2]cwurData!$B:$N, 10, FALSE)</f>
        <v>375</v>
      </c>
      <c r="X942">
        <f>VLOOKUP(A942,[2]cwurData!$B:$N, 11, FALSE)</f>
        <v>482</v>
      </c>
      <c r="Y942">
        <f>VLOOKUP(A942,[2]cwurData!$B:$N, 12, FALSE)</f>
        <v>44.86</v>
      </c>
      <c r="Z942">
        <f>VLOOKUP(A942,[2]cwurData!$B:$N, 13, FALSE)</f>
        <v>2015</v>
      </c>
    </row>
    <row r="943" spans="1:26" x14ac:dyDescent="0.3">
      <c r="A943" t="s">
        <v>941</v>
      </c>
      <c r="B943" t="str">
        <f>IFERROR(VLOOKUP(A943,[1]timesData!$B:$P,2,FALSE),VLOOKUP(A943,[2]cwurData!$B:$P,2,FALSE))</f>
        <v>USA</v>
      </c>
      <c r="C943" t="e">
        <f>VLOOKUP(A943,[1]timesData!$B:$P,3,FALSE)</f>
        <v>#N/A</v>
      </c>
      <c r="D943" t="e">
        <f>VLOOKUP(A944,[1]timesData!$B:$P,3,FALSE)</f>
        <v>#N/A</v>
      </c>
      <c r="E943" t="e">
        <f>VLOOKUP(A944,[1]timesData!$B:$P,4,FALSE)</f>
        <v>#N/A</v>
      </c>
      <c r="F943" t="e">
        <f>VLOOKUP(A944,[1]timesData!$B:$P,5,FALSE)</f>
        <v>#N/A</v>
      </c>
      <c r="G943" t="e">
        <f>VLOOKUP(A944,[1]timesData!$B:$P,6,FALSE)</f>
        <v>#N/A</v>
      </c>
      <c r="H943" t="e">
        <f>VLOOKUP(A944,[1]timesData!$B:$P,7,FALSE)</f>
        <v>#N/A</v>
      </c>
      <c r="I943" t="e">
        <f>VLOOKUP(A944,[1]timesData!$B:$P,8,FALSE)</f>
        <v>#N/A</v>
      </c>
      <c r="J943" t="e">
        <f>VLOOKUP(A944,[1]timesData!$B:$P,9,FALSE)</f>
        <v>#N/A</v>
      </c>
      <c r="K943" t="e">
        <f>VLOOKUP(A944,[1]timesData!$B:$P,10,FALSE)</f>
        <v>#N/A</v>
      </c>
      <c r="L943" t="e">
        <f>VLOOKUP(A944,[1]timesData!$B:$P,11,FALSE)</f>
        <v>#N/A</v>
      </c>
      <c r="M943" t="e">
        <f>VLOOKUP(A944,[1]timesData!$B:$P,12,FALSE)</f>
        <v>#N/A</v>
      </c>
      <c r="N943" t="e">
        <f>VLOOKUP(A944,[1]timesData!$B:$P,13,FALSE)</f>
        <v>#N/A</v>
      </c>
      <c r="O943">
        <f>VLOOKUP(A943,[2]cwurData!$B:$P,14,FALSE)</f>
        <v>477</v>
      </c>
      <c r="P943">
        <f>VLOOKUP(A943,[2]cwurData!$B:$N, 3, FALSE)</f>
        <v>154</v>
      </c>
      <c r="Q943">
        <f>VLOOKUP(A943,[2]cwurData!$B:$N, 4, FALSE)</f>
        <v>189</v>
      </c>
      <c r="R943">
        <f>VLOOKUP(A943,[2]cwurData!$B:$N, 5, FALSE)</f>
        <v>260</v>
      </c>
      <c r="S943">
        <f>VLOOKUP(A943,[2]cwurData!$B:$N, 6, FALSE)</f>
        <v>210</v>
      </c>
      <c r="T943">
        <f>VLOOKUP(A943,[2]cwurData!$B:$N, 7, FALSE)</f>
        <v>506</v>
      </c>
      <c r="U943">
        <f>VLOOKUP(A943,[2]cwurData!$B:$N, 8, FALSE)</f>
        <v>513</v>
      </c>
      <c r="V943">
        <f>VLOOKUP(A943,[2]cwurData!$B:$N, 9, FALSE)</f>
        <v>310</v>
      </c>
      <c r="W943">
        <f>VLOOKUP(A943,[2]cwurData!$B:$N, 10, FALSE)</f>
        <v>482</v>
      </c>
      <c r="X943">
        <f>VLOOKUP(A943,[2]cwurData!$B:$N, 11, FALSE)</f>
        <v>373</v>
      </c>
      <c r="Y943">
        <f>VLOOKUP(A943,[2]cwurData!$B:$N, 12, FALSE)</f>
        <v>45.2</v>
      </c>
      <c r="Z943">
        <f>VLOOKUP(A943,[2]cwurData!$B:$N, 13, FALSE)</f>
        <v>2014</v>
      </c>
    </row>
    <row r="944" spans="1:26" x14ac:dyDescent="0.3">
      <c r="A944" t="s">
        <v>942</v>
      </c>
      <c r="B944" t="str">
        <f>IFERROR(VLOOKUP(A944,[1]timesData!$B:$P,2,FALSE),VLOOKUP(A944,[2]cwurData!$B:$P,2,FALSE))</f>
        <v>USA</v>
      </c>
      <c r="C944" t="e">
        <f>VLOOKUP(A944,[1]timesData!$B:$P,3,FALSE)</f>
        <v>#N/A</v>
      </c>
      <c r="D944" t="e">
        <f>VLOOKUP(A945,[1]timesData!$B:$P,3,FALSE)</f>
        <v>#N/A</v>
      </c>
      <c r="E944" t="e">
        <f>VLOOKUP(A945,[1]timesData!$B:$P,4,FALSE)</f>
        <v>#N/A</v>
      </c>
      <c r="F944" t="e">
        <f>VLOOKUP(A945,[1]timesData!$B:$P,5,FALSE)</f>
        <v>#N/A</v>
      </c>
      <c r="G944" t="e">
        <f>VLOOKUP(A945,[1]timesData!$B:$P,6,FALSE)</f>
        <v>#N/A</v>
      </c>
      <c r="H944" t="e">
        <f>VLOOKUP(A945,[1]timesData!$B:$P,7,FALSE)</f>
        <v>#N/A</v>
      </c>
      <c r="I944" t="e">
        <f>VLOOKUP(A945,[1]timesData!$B:$P,8,FALSE)</f>
        <v>#N/A</v>
      </c>
      <c r="J944" t="e">
        <f>VLOOKUP(A945,[1]timesData!$B:$P,9,FALSE)</f>
        <v>#N/A</v>
      </c>
      <c r="K944" t="e">
        <f>VLOOKUP(A945,[1]timesData!$B:$P,10,FALSE)</f>
        <v>#N/A</v>
      </c>
      <c r="L944" t="e">
        <f>VLOOKUP(A945,[1]timesData!$B:$P,11,FALSE)</f>
        <v>#N/A</v>
      </c>
      <c r="M944" t="e">
        <f>VLOOKUP(A945,[1]timesData!$B:$P,12,FALSE)</f>
        <v>#N/A</v>
      </c>
      <c r="N944" t="e">
        <f>VLOOKUP(A945,[1]timesData!$B:$P,13,FALSE)</f>
        <v>#N/A</v>
      </c>
      <c r="O944">
        <f>VLOOKUP(A944,[2]cwurData!$B:$P,14,FALSE)</f>
        <v>480</v>
      </c>
      <c r="P944">
        <f>VLOOKUP(A944,[2]cwurData!$B:$N, 3, FALSE)</f>
        <v>155</v>
      </c>
      <c r="Q944">
        <f>VLOOKUP(A944,[2]cwurData!$B:$N, 4, FALSE)</f>
        <v>355</v>
      </c>
      <c r="R944">
        <f>VLOOKUP(A944,[2]cwurData!$B:$N, 5, FALSE)</f>
        <v>277</v>
      </c>
      <c r="S944">
        <f>VLOOKUP(A944,[2]cwurData!$B:$N, 6, FALSE)</f>
        <v>210</v>
      </c>
      <c r="T944">
        <f>VLOOKUP(A944,[2]cwurData!$B:$N, 7, FALSE)</f>
        <v>392</v>
      </c>
      <c r="U944">
        <f>VLOOKUP(A944,[2]cwurData!$B:$N, 8, FALSE)</f>
        <v>508</v>
      </c>
      <c r="V944">
        <f>VLOOKUP(A944,[2]cwurData!$B:$N, 9, FALSE)</f>
        <v>250</v>
      </c>
      <c r="W944">
        <f>VLOOKUP(A944,[2]cwurData!$B:$N, 10, FALSE)</f>
        <v>460</v>
      </c>
      <c r="X944">
        <f>VLOOKUP(A944,[2]cwurData!$B:$N, 11, FALSE)</f>
        <v>552</v>
      </c>
      <c r="Y944">
        <f>VLOOKUP(A944,[2]cwurData!$B:$N, 12, FALSE)</f>
        <v>45.19</v>
      </c>
      <c r="Z944">
        <f>VLOOKUP(A944,[2]cwurData!$B:$N, 13, FALSE)</f>
        <v>2014</v>
      </c>
    </row>
    <row r="945" spans="1:26" x14ac:dyDescent="0.3">
      <c r="A945" t="s">
        <v>943</v>
      </c>
      <c r="B945" t="str">
        <f>IFERROR(VLOOKUP(A945,[1]timesData!$B:$P,2,FALSE),VLOOKUP(A945,[2]cwurData!$B:$P,2,FALSE))</f>
        <v>Germany</v>
      </c>
      <c r="C945" t="e">
        <f>VLOOKUP(A945,[1]timesData!$B:$P,3,FALSE)</f>
        <v>#N/A</v>
      </c>
      <c r="D945" t="e">
        <f>VLOOKUP(A946,[1]timesData!$B:$P,3,FALSE)</f>
        <v>#N/A</v>
      </c>
      <c r="E945" t="e">
        <f>VLOOKUP(A946,[1]timesData!$B:$P,4,FALSE)</f>
        <v>#N/A</v>
      </c>
      <c r="F945" t="e">
        <f>VLOOKUP(A946,[1]timesData!$B:$P,5,FALSE)</f>
        <v>#N/A</v>
      </c>
      <c r="G945" t="e">
        <f>VLOOKUP(A946,[1]timesData!$B:$P,6,FALSE)</f>
        <v>#N/A</v>
      </c>
      <c r="H945" t="e">
        <f>VLOOKUP(A946,[1]timesData!$B:$P,7,FALSE)</f>
        <v>#N/A</v>
      </c>
      <c r="I945" t="e">
        <f>VLOOKUP(A946,[1]timesData!$B:$P,8,FALSE)</f>
        <v>#N/A</v>
      </c>
      <c r="J945" t="e">
        <f>VLOOKUP(A946,[1]timesData!$B:$P,9,FALSE)</f>
        <v>#N/A</v>
      </c>
      <c r="K945" t="e">
        <f>VLOOKUP(A946,[1]timesData!$B:$P,10,FALSE)</f>
        <v>#N/A</v>
      </c>
      <c r="L945" t="e">
        <f>VLOOKUP(A946,[1]timesData!$B:$P,11,FALSE)</f>
        <v>#N/A</v>
      </c>
      <c r="M945" t="e">
        <f>VLOOKUP(A946,[1]timesData!$B:$P,12,FALSE)</f>
        <v>#N/A</v>
      </c>
      <c r="N945" t="e">
        <f>VLOOKUP(A946,[1]timesData!$B:$P,13,FALSE)</f>
        <v>#N/A</v>
      </c>
      <c r="O945">
        <f>VLOOKUP(A945,[2]cwurData!$B:$P,14,FALSE)</f>
        <v>481</v>
      </c>
      <c r="P945">
        <f>VLOOKUP(A945,[2]cwurData!$B:$N, 3, FALSE)</f>
        <v>37</v>
      </c>
      <c r="Q945">
        <f>VLOOKUP(A945,[2]cwurData!$B:$N, 4, FALSE)</f>
        <v>352</v>
      </c>
      <c r="R945">
        <f>VLOOKUP(A945,[2]cwurData!$B:$N, 5, FALSE)</f>
        <v>478</v>
      </c>
      <c r="S945">
        <f>VLOOKUP(A945,[2]cwurData!$B:$N, 6, FALSE)</f>
        <v>210</v>
      </c>
      <c r="T945">
        <f>VLOOKUP(A945,[2]cwurData!$B:$N, 7, FALSE)</f>
        <v>433</v>
      </c>
      <c r="U945">
        <f>VLOOKUP(A945,[2]cwurData!$B:$N, 8, FALSE)</f>
        <v>615</v>
      </c>
      <c r="V945">
        <f>VLOOKUP(A945,[2]cwurData!$B:$N, 9, FALSE)</f>
        <v>800</v>
      </c>
      <c r="W945">
        <f>VLOOKUP(A945,[2]cwurData!$B:$N, 10, FALSE)</f>
        <v>380</v>
      </c>
      <c r="X945">
        <f>VLOOKUP(A945,[2]cwurData!$B:$N, 11, FALSE)</f>
        <v>338</v>
      </c>
      <c r="Y945">
        <f>VLOOKUP(A945,[2]cwurData!$B:$N, 12, FALSE)</f>
        <v>45.19</v>
      </c>
      <c r="Z945">
        <f>VLOOKUP(A945,[2]cwurData!$B:$N, 13, FALSE)</f>
        <v>2014</v>
      </c>
    </row>
    <row r="946" spans="1:26" x14ac:dyDescent="0.3">
      <c r="A946" t="s">
        <v>944</v>
      </c>
      <c r="B946" t="str">
        <f>IFERROR(VLOOKUP(A946,[1]timesData!$B:$P,2,FALSE),VLOOKUP(A946,[2]cwurData!$B:$P,2,FALSE))</f>
        <v>USA</v>
      </c>
      <c r="C946" t="e">
        <f>VLOOKUP(A946,[1]timesData!$B:$P,3,FALSE)</f>
        <v>#N/A</v>
      </c>
      <c r="D946" t="e">
        <f>VLOOKUP(A947,[1]timesData!$B:$P,3,FALSE)</f>
        <v>#N/A</v>
      </c>
      <c r="E946" t="e">
        <f>VLOOKUP(A947,[1]timesData!$B:$P,4,FALSE)</f>
        <v>#N/A</v>
      </c>
      <c r="F946" t="e">
        <f>VLOOKUP(A947,[1]timesData!$B:$P,5,FALSE)</f>
        <v>#N/A</v>
      </c>
      <c r="G946" t="e">
        <f>VLOOKUP(A947,[1]timesData!$B:$P,6,FALSE)</f>
        <v>#N/A</v>
      </c>
      <c r="H946" t="e">
        <f>VLOOKUP(A947,[1]timesData!$B:$P,7,FALSE)</f>
        <v>#N/A</v>
      </c>
      <c r="I946" t="e">
        <f>VLOOKUP(A947,[1]timesData!$B:$P,8,FALSE)</f>
        <v>#N/A</v>
      </c>
      <c r="J946" t="e">
        <f>VLOOKUP(A947,[1]timesData!$B:$P,9,FALSE)</f>
        <v>#N/A</v>
      </c>
      <c r="K946" t="e">
        <f>VLOOKUP(A947,[1]timesData!$B:$P,10,FALSE)</f>
        <v>#N/A</v>
      </c>
      <c r="L946" t="e">
        <f>VLOOKUP(A947,[1]timesData!$B:$P,11,FALSE)</f>
        <v>#N/A</v>
      </c>
      <c r="M946" t="e">
        <f>VLOOKUP(A947,[1]timesData!$B:$P,12,FALSE)</f>
        <v>#N/A</v>
      </c>
      <c r="N946" t="e">
        <f>VLOOKUP(A947,[1]timesData!$B:$P,13,FALSE)</f>
        <v>#N/A</v>
      </c>
      <c r="O946">
        <f>VLOOKUP(A946,[2]cwurData!$B:$P,14,FALSE)</f>
        <v>482</v>
      </c>
      <c r="P946">
        <f>VLOOKUP(A946,[2]cwurData!$B:$N, 3, FALSE)</f>
        <v>156</v>
      </c>
      <c r="Q946">
        <f>VLOOKUP(A946,[2]cwurData!$B:$N, 4, FALSE)</f>
        <v>355</v>
      </c>
      <c r="R946">
        <f>VLOOKUP(A946,[2]cwurData!$B:$N, 5, FALSE)</f>
        <v>421</v>
      </c>
      <c r="S946">
        <f>VLOOKUP(A946,[2]cwurData!$B:$N, 6, FALSE)</f>
        <v>210</v>
      </c>
      <c r="T946">
        <f>VLOOKUP(A946,[2]cwurData!$B:$N, 7, FALSE)</f>
        <v>637</v>
      </c>
      <c r="U946">
        <f>VLOOKUP(A946,[2]cwurData!$B:$N, 8, FALSE)</f>
        <v>660</v>
      </c>
      <c r="V946">
        <f>VLOOKUP(A946,[2]cwurData!$B:$N, 9, FALSE)</f>
        <v>609</v>
      </c>
      <c r="W946">
        <f>VLOOKUP(A946,[2]cwurData!$B:$N, 10, FALSE)</f>
        <v>596</v>
      </c>
      <c r="X946">
        <f>VLOOKUP(A946,[2]cwurData!$B:$N, 11, FALSE)</f>
        <v>121</v>
      </c>
      <c r="Y946">
        <f>VLOOKUP(A946,[2]cwurData!$B:$N, 12, FALSE)</f>
        <v>45.18</v>
      </c>
      <c r="Z946">
        <f>VLOOKUP(A946,[2]cwurData!$B:$N, 13, FALSE)</f>
        <v>2014</v>
      </c>
    </row>
    <row r="947" spans="1:26" x14ac:dyDescent="0.3">
      <c r="A947" t="s">
        <v>945</v>
      </c>
      <c r="B947" t="str">
        <f>IFERROR(VLOOKUP(A947,[1]timesData!$B:$P,2,FALSE),VLOOKUP(A947,[2]cwurData!$B:$P,2,FALSE))</f>
        <v>USA</v>
      </c>
      <c r="C947" t="e">
        <f>VLOOKUP(A947,[1]timesData!$B:$P,3,FALSE)</f>
        <v>#N/A</v>
      </c>
      <c r="D947" t="e">
        <f>VLOOKUP(A948,[1]timesData!$B:$P,3,FALSE)</f>
        <v>#N/A</v>
      </c>
      <c r="E947" t="e">
        <f>VLOOKUP(A948,[1]timesData!$B:$P,4,FALSE)</f>
        <v>#N/A</v>
      </c>
      <c r="F947" t="e">
        <f>VLOOKUP(A948,[1]timesData!$B:$P,5,FALSE)</f>
        <v>#N/A</v>
      </c>
      <c r="G947" t="e">
        <f>VLOOKUP(A948,[1]timesData!$B:$P,6,FALSE)</f>
        <v>#N/A</v>
      </c>
      <c r="H947" t="e">
        <f>VLOOKUP(A948,[1]timesData!$B:$P,7,FALSE)</f>
        <v>#N/A</v>
      </c>
      <c r="I947" t="e">
        <f>VLOOKUP(A948,[1]timesData!$B:$P,8,FALSE)</f>
        <v>#N/A</v>
      </c>
      <c r="J947" t="e">
        <f>VLOOKUP(A948,[1]timesData!$B:$P,9,FALSE)</f>
        <v>#N/A</v>
      </c>
      <c r="K947" t="e">
        <f>VLOOKUP(A948,[1]timesData!$B:$P,10,FALSE)</f>
        <v>#N/A</v>
      </c>
      <c r="L947" t="e">
        <f>VLOOKUP(A948,[1]timesData!$B:$P,11,FALSE)</f>
        <v>#N/A</v>
      </c>
      <c r="M947" t="e">
        <f>VLOOKUP(A948,[1]timesData!$B:$P,12,FALSE)</f>
        <v>#N/A</v>
      </c>
      <c r="N947" t="e">
        <f>VLOOKUP(A948,[1]timesData!$B:$P,13,FALSE)</f>
        <v>#N/A</v>
      </c>
      <c r="O947">
        <f>VLOOKUP(A947,[2]cwurData!$B:$P,14,FALSE)</f>
        <v>488</v>
      </c>
      <c r="P947">
        <f>VLOOKUP(A947,[2]cwurData!$B:$N, 3, FALSE)</f>
        <v>158</v>
      </c>
      <c r="Q947">
        <f>VLOOKUP(A947,[2]cwurData!$B:$N, 4, FALSE)</f>
        <v>283</v>
      </c>
      <c r="R947">
        <f>VLOOKUP(A947,[2]cwurData!$B:$N, 5, FALSE)</f>
        <v>141</v>
      </c>
      <c r="S947">
        <f>VLOOKUP(A947,[2]cwurData!$B:$N, 6, FALSE)</f>
        <v>210</v>
      </c>
      <c r="T947">
        <f>VLOOKUP(A947,[2]cwurData!$B:$N, 7, FALSE)</f>
        <v>906</v>
      </c>
      <c r="U947">
        <f>VLOOKUP(A947,[2]cwurData!$B:$N, 8, FALSE)</f>
        <v>487</v>
      </c>
      <c r="V947">
        <f>VLOOKUP(A947,[2]cwurData!$B:$N, 9, FALSE)</f>
        <v>493</v>
      </c>
      <c r="W947">
        <f>VLOOKUP(A947,[2]cwurData!$B:$N, 10, FALSE)</f>
        <v>628</v>
      </c>
      <c r="X947">
        <f>VLOOKUP(A947,[2]cwurData!$B:$N, 11, FALSE)</f>
        <v>552</v>
      </c>
      <c r="Y947">
        <f>VLOOKUP(A947,[2]cwurData!$B:$N, 12, FALSE)</f>
        <v>45.16</v>
      </c>
      <c r="Z947">
        <f>VLOOKUP(A947,[2]cwurData!$B:$N, 13, FALSE)</f>
        <v>2014</v>
      </c>
    </row>
    <row r="948" spans="1:26" x14ac:dyDescent="0.3">
      <c r="A948" t="s">
        <v>946</v>
      </c>
      <c r="B948" t="str">
        <f>IFERROR(VLOOKUP(A948,[1]timesData!$B:$P,2,FALSE),VLOOKUP(A948,[2]cwurData!$B:$P,2,FALSE))</f>
        <v>Malaysia</v>
      </c>
      <c r="C948" t="e">
        <f>VLOOKUP(A948,[1]timesData!$B:$P,3,FALSE)</f>
        <v>#N/A</v>
      </c>
      <c r="D948" t="e">
        <f>VLOOKUP(A949,[1]timesData!$B:$P,3,FALSE)</f>
        <v>#N/A</v>
      </c>
      <c r="E948" t="e">
        <f>VLOOKUP(A949,[1]timesData!$B:$P,4,FALSE)</f>
        <v>#N/A</v>
      </c>
      <c r="F948" t="e">
        <f>VLOOKUP(A949,[1]timesData!$B:$P,5,FALSE)</f>
        <v>#N/A</v>
      </c>
      <c r="G948" t="e">
        <f>VLOOKUP(A949,[1]timesData!$B:$P,6,FALSE)</f>
        <v>#N/A</v>
      </c>
      <c r="H948" t="e">
        <f>VLOOKUP(A949,[1]timesData!$B:$P,7,FALSE)</f>
        <v>#N/A</v>
      </c>
      <c r="I948" t="e">
        <f>VLOOKUP(A949,[1]timesData!$B:$P,8,FALSE)</f>
        <v>#N/A</v>
      </c>
      <c r="J948" t="e">
        <f>VLOOKUP(A949,[1]timesData!$B:$P,9,FALSE)</f>
        <v>#N/A</v>
      </c>
      <c r="K948" t="e">
        <f>VLOOKUP(A949,[1]timesData!$B:$P,10,FALSE)</f>
        <v>#N/A</v>
      </c>
      <c r="L948" t="e">
        <f>VLOOKUP(A949,[1]timesData!$B:$P,11,FALSE)</f>
        <v>#N/A</v>
      </c>
      <c r="M948" t="e">
        <f>VLOOKUP(A949,[1]timesData!$B:$P,12,FALSE)</f>
        <v>#N/A</v>
      </c>
      <c r="N948" t="e">
        <f>VLOOKUP(A949,[1]timesData!$B:$P,13,FALSE)</f>
        <v>#N/A</v>
      </c>
      <c r="O948">
        <f>VLOOKUP(A948,[2]cwurData!$B:$P,14,FALSE)</f>
        <v>492</v>
      </c>
      <c r="P948">
        <f>VLOOKUP(A948,[2]cwurData!$B:$N, 3, FALSE)</f>
        <v>2</v>
      </c>
      <c r="Q948">
        <f>VLOOKUP(A948,[2]cwurData!$B:$N, 4, FALSE)</f>
        <v>355</v>
      </c>
      <c r="R948">
        <f>VLOOKUP(A948,[2]cwurData!$B:$N, 5, FALSE)</f>
        <v>115</v>
      </c>
      <c r="S948">
        <f>VLOOKUP(A948,[2]cwurData!$B:$N, 6, FALSE)</f>
        <v>210</v>
      </c>
      <c r="T948">
        <f>VLOOKUP(A948,[2]cwurData!$B:$N, 7, FALSE)</f>
        <v>670</v>
      </c>
      <c r="U948">
        <f>VLOOKUP(A948,[2]cwurData!$B:$N, 8, FALSE)</f>
        <v>910</v>
      </c>
      <c r="V948">
        <f>VLOOKUP(A948,[2]cwurData!$B:$N, 9, FALSE)</f>
        <v>493</v>
      </c>
      <c r="W948">
        <f>VLOOKUP(A948,[2]cwurData!$B:$N, 10, FALSE)</f>
        <v>769</v>
      </c>
      <c r="X948">
        <f>VLOOKUP(A948,[2]cwurData!$B:$N, 11, FALSE)</f>
        <v>426</v>
      </c>
      <c r="Y948">
        <f>VLOOKUP(A948,[2]cwurData!$B:$N, 12, FALSE)</f>
        <v>45.15</v>
      </c>
      <c r="Z948">
        <f>VLOOKUP(A948,[2]cwurData!$B:$N, 13, FALSE)</f>
        <v>2014</v>
      </c>
    </row>
    <row r="949" spans="1:26" x14ac:dyDescent="0.3">
      <c r="A949" t="s">
        <v>947</v>
      </c>
      <c r="B949" t="str">
        <f>IFERROR(VLOOKUP(A949,[1]timesData!$B:$P,2,FALSE),VLOOKUP(A949,[2]cwurData!$B:$P,2,FALSE))</f>
        <v>France</v>
      </c>
      <c r="C949" t="e">
        <f>VLOOKUP(A949,[1]timesData!$B:$P,3,FALSE)</f>
        <v>#N/A</v>
      </c>
      <c r="D949" t="e">
        <f>VLOOKUP(A950,[1]timesData!$B:$P,3,FALSE)</f>
        <v>#N/A</v>
      </c>
      <c r="E949" t="e">
        <f>VLOOKUP(A950,[1]timesData!$B:$P,4,FALSE)</f>
        <v>#N/A</v>
      </c>
      <c r="F949" t="e">
        <f>VLOOKUP(A950,[1]timesData!$B:$P,5,FALSE)</f>
        <v>#N/A</v>
      </c>
      <c r="G949" t="e">
        <f>VLOOKUP(A950,[1]timesData!$B:$P,6,FALSE)</f>
        <v>#N/A</v>
      </c>
      <c r="H949" t="e">
        <f>VLOOKUP(A950,[1]timesData!$B:$P,7,FALSE)</f>
        <v>#N/A</v>
      </c>
      <c r="I949" t="e">
        <f>VLOOKUP(A950,[1]timesData!$B:$P,8,FALSE)</f>
        <v>#N/A</v>
      </c>
      <c r="J949" t="e">
        <f>VLOOKUP(A950,[1]timesData!$B:$P,9,FALSE)</f>
        <v>#N/A</v>
      </c>
      <c r="K949" t="e">
        <f>VLOOKUP(A950,[1]timesData!$B:$P,10,FALSE)</f>
        <v>#N/A</v>
      </c>
      <c r="L949" t="e">
        <f>VLOOKUP(A950,[1]timesData!$B:$P,11,FALSE)</f>
        <v>#N/A</v>
      </c>
      <c r="M949" t="e">
        <f>VLOOKUP(A950,[1]timesData!$B:$P,12,FALSE)</f>
        <v>#N/A</v>
      </c>
      <c r="N949" t="e">
        <f>VLOOKUP(A950,[1]timesData!$B:$P,13,FALSE)</f>
        <v>#N/A</v>
      </c>
      <c r="O949">
        <f>VLOOKUP(A949,[2]cwurData!$B:$P,14,FALSE)</f>
        <v>495</v>
      </c>
      <c r="P949">
        <f>VLOOKUP(A949,[2]cwurData!$B:$N, 3, FALSE)</f>
        <v>20</v>
      </c>
      <c r="Q949">
        <f>VLOOKUP(A949,[2]cwurData!$B:$N, 4, FALSE)</f>
        <v>355</v>
      </c>
      <c r="R949">
        <f>VLOOKUP(A949,[2]cwurData!$B:$N, 5, FALSE)</f>
        <v>478</v>
      </c>
      <c r="S949">
        <f>VLOOKUP(A949,[2]cwurData!$B:$N, 6, FALSE)</f>
        <v>210</v>
      </c>
      <c r="T949">
        <f>VLOOKUP(A949,[2]cwurData!$B:$N, 7, FALSE)</f>
        <v>340</v>
      </c>
      <c r="U949">
        <f>VLOOKUP(A949,[2]cwurData!$B:$N, 8, FALSE)</f>
        <v>525</v>
      </c>
      <c r="V949">
        <f>VLOOKUP(A949,[2]cwurData!$B:$N, 9, FALSE)</f>
        <v>609</v>
      </c>
      <c r="W949">
        <f>VLOOKUP(A949,[2]cwurData!$B:$N, 10, FALSE)</f>
        <v>430</v>
      </c>
      <c r="X949">
        <f>VLOOKUP(A949,[2]cwurData!$B:$N, 11, FALSE)</f>
        <v>307</v>
      </c>
      <c r="Y949">
        <f>VLOOKUP(A949,[2]cwurData!$B:$N, 12, FALSE)</f>
        <v>45.14</v>
      </c>
      <c r="Z949">
        <f>VLOOKUP(A949,[2]cwurData!$B:$N, 13, FALSE)</f>
        <v>2014</v>
      </c>
    </row>
    <row r="950" spans="1:26" x14ac:dyDescent="0.3">
      <c r="A950" t="s">
        <v>948</v>
      </c>
      <c r="B950" t="str">
        <f>IFERROR(VLOOKUP(A950,[1]timesData!$B:$P,2,FALSE),VLOOKUP(A950,[2]cwurData!$B:$P,2,FALSE))</f>
        <v>Germany</v>
      </c>
      <c r="C950" t="e">
        <f>VLOOKUP(A950,[1]timesData!$B:$P,3,FALSE)</f>
        <v>#N/A</v>
      </c>
      <c r="D950" t="e">
        <f>VLOOKUP(A951,[1]timesData!$B:$P,3,FALSE)</f>
        <v>#N/A</v>
      </c>
      <c r="E950" t="e">
        <f>VLOOKUP(A951,[1]timesData!$B:$P,4,FALSE)</f>
        <v>#N/A</v>
      </c>
      <c r="F950" t="e">
        <f>VLOOKUP(A951,[1]timesData!$B:$P,5,FALSE)</f>
        <v>#N/A</v>
      </c>
      <c r="G950" t="e">
        <f>VLOOKUP(A951,[1]timesData!$B:$P,6,FALSE)</f>
        <v>#N/A</v>
      </c>
      <c r="H950" t="e">
        <f>VLOOKUP(A951,[1]timesData!$B:$P,7,FALSE)</f>
        <v>#N/A</v>
      </c>
      <c r="I950" t="e">
        <f>VLOOKUP(A951,[1]timesData!$B:$P,8,FALSE)</f>
        <v>#N/A</v>
      </c>
      <c r="J950" t="e">
        <f>VLOOKUP(A951,[1]timesData!$B:$P,9,FALSE)</f>
        <v>#N/A</v>
      </c>
      <c r="K950" t="e">
        <f>VLOOKUP(A951,[1]timesData!$B:$P,10,FALSE)</f>
        <v>#N/A</v>
      </c>
      <c r="L950" t="e">
        <f>VLOOKUP(A951,[1]timesData!$B:$P,11,FALSE)</f>
        <v>#N/A</v>
      </c>
      <c r="M950" t="e">
        <f>VLOOKUP(A951,[1]timesData!$B:$P,12,FALSE)</f>
        <v>#N/A</v>
      </c>
      <c r="N950" t="e">
        <f>VLOOKUP(A951,[1]timesData!$B:$P,13,FALSE)</f>
        <v>#N/A</v>
      </c>
      <c r="O950">
        <f>VLOOKUP(A950,[2]cwurData!$B:$P,14,FALSE)</f>
        <v>497</v>
      </c>
      <c r="P950">
        <f>VLOOKUP(A950,[2]cwurData!$B:$N, 3, FALSE)</f>
        <v>39</v>
      </c>
      <c r="Q950">
        <f>VLOOKUP(A950,[2]cwurData!$B:$N, 4, FALSE)</f>
        <v>355</v>
      </c>
      <c r="R950">
        <f>VLOOKUP(A950,[2]cwurData!$B:$N, 5, FALSE)</f>
        <v>392</v>
      </c>
      <c r="S950">
        <f>VLOOKUP(A950,[2]cwurData!$B:$N, 6, FALSE)</f>
        <v>210</v>
      </c>
      <c r="T950">
        <f>VLOOKUP(A950,[2]cwurData!$B:$N, 7, FALSE)</f>
        <v>431</v>
      </c>
      <c r="U950">
        <f>VLOOKUP(A950,[2]cwurData!$B:$N, 8, FALSE)</f>
        <v>527</v>
      </c>
      <c r="V950">
        <f>VLOOKUP(A950,[2]cwurData!$B:$N, 9, FALSE)</f>
        <v>406</v>
      </c>
      <c r="W950">
        <f>VLOOKUP(A950,[2]cwurData!$B:$N, 10, FALSE)</f>
        <v>452</v>
      </c>
      <c r="X950">
        <f>VLOOKUP(A950,[2]cwurData!$B:$N, 11, FALSE)</f>
        <v>259</v>
      </c>
      <c r="Y950">
        <f>VLOOKUP(A950,[2]cwurData!$B:$N, 12, FALSE)</f>
        <v>45.14</v>
      </c>
      <c r="Z950">
        <f>VLOOKUP(A950,[2]cwurData!$B:$N, 13, FALSE)</f>
        <v>2014</v>
      </c>
    </row>
    <row r="951" spans="1:26" x14ac:dyDescent="0.3">
      <c r="A951" t="s">
        <v>949</v>
      </c>
      <c r="B951" t="str">
        <f>IFERROR(VLOOKUP(A951,[1]timesData!$B:$P,2,FALSE),VLOOKUP(A951,[2]cwurData!$B:$P,2,FALSE))</f>
        <v>Germany</v>
      </c>
      <c r="C951" t="e">
        <f>VLOOKUP(A951,[1]timesData!$B:$P,3,FALSE)</f>
        <v>#N/A</v>
      </c>
      <c r="D951" t="e">
        <f>VLOOKUP(A952,[1]timesData!$B:$P,3,FALSE)</f>
        <v>#N/A</v>
      </c>
      <c r="E951" t="e">
        <f>VLOOKUP(A952,[1]timesData!$B:$P,4,FALSE)</f>
        <v>#N/A</v>
      </c>
      <c r="F951" t="e">
        <f>VLOOKUP(A952,[1]timesData!$B:$P,5,FALSE)</f>
        <v>#N/A</v>
      </c>
      <c r="G951" t="e">
        <f>VLOOKUP(A952,[1]timesData!$B:$P,6,FALSE)</f>
        <v>#N/A</v>
      </c>
      <c r="H951" t="e">
        <f>VLOOKUP(A952,[1]timesData!$B:$P,7,FALSE)</f>
        <v>#N/A</v>
      </c>
      <c r="I951" t="e">
        <f>VLOOKUP(A952,[1]timesData!$B:$P,8,FALSE)</f>
        <v>#N/A</v>
      </c>
      <c r="J951" t="e">
        <f>VLOOKUP(A952,[1]timesData!$B:$P,9,FALSE)</f>
        <v>#N/A</v>
      </c>
      <c r="K951" t="e">
        <f>VLOOKUP(A952,[1]timesData!$B:$P,10,FALSE)</f>
        <v>#N/A</v>
      </c>
      <c r="L951" t="e">
        <f>VLOOKUP(A952,[1]timesData!$B:$P,11,FALSE)</f>
        <v>#N/A</v>
      </c>
      <c r="M951" t="e">
        <f>VLOOKUP(A952,[1]timesData!$B:$P,12,FALSE)</f>
        <v>#N/A</v>
      </c>
      <c r="N951" t="e">
        <f>VLOOKUP(A952,[1]timesData!$B:$P,13,FALSE)</f>
        <v>#N/A</v>
      </c>
      <c r="O951">
        <f>VLOOKUP(A951,[2]cwurData!$B:$P,14,FALSE)</f>
        <v>500</v>
      </c>
      <c r="P951">
        <f>VLOOKUP(A951,[2]cwurData!$B:$N, 3, FALSE)</f>
        <v>40</v>
      </c>
      <c r="Q951">
        <f>VLOOKUP(A951,[2]cwurData!$B:$N, 4, FALSE)</f>
        <v>355</v>
      </c>
      <c r="R951">
        <f>VLOOKUP(A951,[2]cwurData!$B:$N, 5, FALSE)</f>
        <v>478</v>
      </c>
      <c r="S951">
        <f>VLOOKUP(A951,[2]cwurData!$B:$N, 6, FALSE)</f>
        <v>210</v>
      </c>
      <c r="T951">
        <f>VLOOKUP(A951,[2]cwurData!$B:$N, 7, FALSE)</f>
        <v>483</v>
      </c>
      <c r="U951">
        <f>VLOOKUP(A951,[2]cwurData!$B:$N, 8, FALSE)</f>
        <v>619</v>
      </c>
      <c r="V951">
        <f>VLOOKUP(A951,[2]cwurData!$B:$N, 9, FALSE)</f>
        <v>493</v>
      </c>
      <c r="W951">
        <f>VLOOKUP(A951,[2]cwurData!$B:$N, 10, FALSE)</f>
        <v>420</v>
      </c>
      <c r="X951">
        <f>VLOOKUP(A951,[2]cwurData!$B:$N, 11, FALSE)</f>
        <v>259</v>
      </c>
      <c r="Y951">
        <f>VLOOKUP(A951,[2]cwurData!$B:$N, 12, FALSE)</f>
        <v>45.11</v>
      </c>
      <c r="Z951">
        <f>VLOOKUP(A951,[2]cwurData!$B:$N, 13, FALSE)</f>
        <v>2014</v>
      </c>
    </row>
    <row r="952" spans="1:26" x14ac:dyDescent="0.3">
      <c r="A952" t="s">
        <v>950</v>
      </c>
      <c r="B952" t="str">
        <f>IFERROR(VLOOKUP(A952,[1]timesData!$B:$P,2,FALSE),VLOOKUP(A952,[2]cwurData!$B:$P,2,FALSE))</f>
        <v>USA</v>
      </c>
      <c r="C952" t="e">
        <f>VLOOKUP(A952,[1]timesData!$B:$P,3,FALSE)</f>
        <v>#N/A</v>
      </c>
      <c r="D952" t="e">
        <f>VLOOKUP(A953,[1]timesData!$B:$P,3,FALSE)</f>
        <v>#N/A</v>
      </c>
      <c r="E952" t="e">
        <f>VLOOKUP(A953,[1]timesData!$B:$P,4,FALSE)</f>
        <v>#N/A</v>
      </c>
      <c r="F952" t="e">
        <f>VLOOKUP(A953,[1]timesData!$B:$P,5,FALSE)</f>
        <v>#N/A</v>
      </c>
      <c r="G952" t="e">
        <f>VLOOKUP(A953,[1]timesData!$B:$P,6,FALSE)</f>
        <v>#N/A</v>
      </c>
      <c r="H952" t="e">
        <f>VLOOKUP(A953,[1]timesData!$B:$P,7,FALSE)</f>
        <v>#N/A</v>
      </c>
      <c r="I952" t="e">
        <f>VLOOKUP(A953,[1]timesData!$B:$P,8,FALSE)</f>
        <v>#N/A</v>
      </c>
      <c r="J952" t="e">
        <f>VLOOKUP(A953,[1]timesData!$B:$P,9,FALSE)</f>
        <v>#N/A</v>
      </c>
      <c r="K952" t="e">
        <f>VLOOKUP(A953,[1]timesData!$B:$P,10,FALSE)</f>
        <v>#N/A</v>
      </c>
      <c r="L952" t="e">
        <f>VLOOKUP(A953,[1]timesData!$B:$P,11,FALSE)</f>
        <v>#N/A</v>
      </c>
      <c r="M952" t="e">
        <f>VLOOKUP(A953,[1]timesData!$B:$P,12,FALSE)</f>
        <v>#N/A</v>
      </c>
      <c r="N952" t="e">
        <f>VLOOKUP(A953,[1]timesData!$B:$P,13,FALSE)</f>
        <v>#N/A</v>
      </c>
      <c r="O952">
        <f>VLOOKUP(A952,[2]cwurData!$B:$P,14,FALSE)</f>
        <v>504</v>
      </c>
      <c r="P952">
        <f>VLOOKUP(A952,[2]cwurData!$B:$N, 3, FALSE)</f>
        <v>161</v>
      </c>
      <c r="Q952">
        <f>VLOOKUP(A952,[2]cwurData!$B:$N, 4, FALSE)</f>
        <v>141</v>
      </c>
      <c r="R952">
        <f>VLOOKUP(A952,[2]cwurData!$B:$N, 5, FALSE)</f>
        <v>157</v>
      </c>
      <c r="S952">
        <f>VLOOKUP(A952,[2]cwurData!$B:$N, 6, FALSE)</f>
        <v>210</v>
      </c>
      <c r="T952">
        <f>VLOOKUP(A952,[2]cwurData!$B:$N, 7, FALSE)</f>
        <v>580</v>
      </c>
      <c r="U952">
        <f>VLOOKUP(A952,[2]cwurData!$B:$N, 8, FALSE)</f>
        <v>617</v>
      </c>
      <c r="V952">
        <f>VLOOKUP(A952,[2]cwurData!$B:$N, 9, FALSE)</f>
        <v>609</v>
      </c>
      <c r="W952">
        <f>VLOOKUP(A952,[2]cwurData!$B:$N, 10, FALSE)</f>
        <v>739</v>
      </c>
      <c r="X952">
        <f>VLOOKUP(A952,[2]cwurData!$B:$N, 11, FALSE)</f>
        <v>481</v>
      </c>
      <c r="Y952">
        <f>VLOOKUP(A952,[2]cwurData!$B:$N, 12, FALSE)</f>
        <v>45.11</v>
      </c>
      <c r="Z952">
        <f>VLOOKUP(A952,[2]cwurData!$B:$N, 13, FALSE)</f>
        <v>2014</v>
      </c>
    </row>
    <row r="953" spans="1:26" x14ac:dyDescent="0.3">
      <c r="A953" t="s">
        <v>951</v>
      </c>
      <c r="B953" t="str">
        <f>IFERROR(VLOOKUP(A953,[1]timesData!$B:$P,2,FALSE),VLOOKUP(A953,[2]cwurData!$B:$P,2,FALSE))</f>
        <v>Germany</v>
      </c>
      <c r="C953" t="e">
        <f>VLOOKUP(A953,[1]timesData!$B:$P,3,FALSE)</f>
        <v>#N/A</v>
      </c>
      <c r="D953" t="e">
        <f>VLOOKUP(A954,[1]timesData!$B:$P,3,FALSE)</f>
        <v>#N/A</v>
      </c>
      <c r="E953" t="e">
        <f>VLOOKUP(A954,[1]timesData!$B:$P,4,FALSE)</f>
        <v>#N/A</v>
      </c>
      <c r="F953" t="e">
        <f>VLOOKUP(A954,[1]timesData!$B:$P,5,FALSE)</f>
        <v>#N/A</v>
      </c>
      <c r="G953" t="e">
        <f>VLOOKUP(A954,[1]timesData!$B:$P,6,FALSE)</f>
        <v>#N/A</v>
      </c>
      <c r="H953" t="e">
        <f>VLOOKUP(A954,[1]timesData!$B:$P,7,FALSE)</f>
        <v>#N/A</v>
      </c>
      <c r="I953" t="e">
        <f>VLOOKUP(A954,[1]timesData!$B:$P,8,FALSE)</f>
        <v>#N/A</v>
      </c>
      <c r="J953" t="e">
        <f>VLOOKUP(A954,[1]timesData!$B:$P,9,FALSE)</f>
        <v>#N/A</v>
      </c>
      <c r="K953" t="e">
        <f>VLOOKUP(A954,[1]timesData!$B:$P,10,FALSE)</f>
        <v>#N/A</v>
      </c>
      <c r="L953" t="e">
        <f>VLOOKUP(A954,[1]timesData!$B:$P,11,FALSE)</f>
        <v>#N/A</v>
      </c>
      <c r="M953" t="e">
        <f>VLOOKUP(A954,[1]timesData!$B:$P,12,FALSE)</f>
        <v>#N/A</v>
      </c>
      <c r="N953" t="e">
        <f>VLOOKUP(A954,[1]timesData!$B:$P,13,FALSE)</f>
        <v>#N/A</v>
      </c>
      <c r="O953">
        <f>VLOOKUP(A953,[2]cwurData!$B:$P,14,FALSE)</f>
        <v>508</v>
      </c>
      <c r="P953">
        <f>VLOOKUP(A953,[2]cwurData!$B:$N, 3, FALSE)</f>
        <v>41</v>
      </c>
      <c r="Q953">
        <f>VLOOKUP(A953,[2]cwurData!$B:$N, 4, FALSE)</f>
        <v>345</v>
      </c>
      <c r="R953">
        <f>VLOOKUP(A953,[2]cwurData!$B:$N, 5, FALSE)</f>
        <v>478</v>
      </c>
      <c r="S953">
        <f>VLOOKUP(A953,[2]cwurData!$B:$N, 6, FALSE)</f>
        <v>202</v>
      </c>
      <c r="T953">
        <f>VLOOKUP(A953,[2]cwurData!$B:$N, 7, FALSE)</f>
        <v>385</v>
      </c>
      <c r="U953">
        <f>VLOOKUP(A953,[2]cwurData!$B:$N, 8, FALSE)</f>
        <v>340</v>
      </c>
      <c r="V953">
        <f>VLOOKUP(A953,[2]cwurData!$B:$N, 9, FALSE)</f>
        <v>800</v>
      </c>
      <c r="W953">
        <f>VLOOKUP(A953,[2]cwurData!$B:$N, 10, FALSE)</f>
        <v>409</v>
      </c>
      <c r="X953">
        <f>VLOOKUP(A953,[2]cwurData!$B:$N, 11, FALSE)</f>
        <v>737</v>
      </c>
      <c r="Y953">
        <f>VLOOKUP(A953,[2]cwurData!$B:$N, 12, FALSE)</f>
        <v>45.1</v>
      </c>
      <c r="Z953">
        <f>VLOOKUP(A953,[2]cwurData!$B:$N, 13, FALSE)</f>
        <v>2014</v>
      </c>
    </row>
    <row r="954" spans="1:26" x14ac:dyDescent="0.3">
      <c r="A954" t="s">
        <v>952</v>
      </c>
      <c r="B954" t="str">
        <f>IFERROR(VLOOKUP(A954,[1]timesData!$B:$P,2,FALSE),VLOOKUP(A954,[2]cwurData!$B:$P,2,FALSE))</f>
        <v>Japan</v>
      </c>
      <c r="C954" t="e">
        <f>VLOOKUP(A954,[1]timesData!$B:$P,3,FALSE)</f>
        <v>#N/A</v>
      </c>
      <c r="D954" t="e">
        <f>VLOOKUP(A955,[1]timesData!$B:$P,3,FALSE)</f>
        <v>#N/A</v>
      </c>
      <c r="E954" t="e">
        <f>VLOOKUP(A955,[1]timesData!$B:$P,4,FALSE)</f>
        <v>#N/A</v>
      </c>
      <c r="F954" t="e">
        <f>VLOOKUP(A955,[1]timesData!$B:$P,5,FALSE)</f>
        <v>#N/A</v>
      </c>
      <c r="G954" t="e">
        <f>VLOOKUP(A955,[1]timesData!$B:$P,6,FALSE)</f>
        <v>#N/A</v>
      </c>
      <c r="H954" t="e">
        <f>VLOOKUP(A955,[1]timesData!$B:$P,7,FALSE)</f>
        <v>#N/A</v>
      </c>
      <c r="I954" t="e">
        <f>VLOOKUP(A955,[1]timesData!$B:$P,8,FALSE)</f>
        <v>#N/A</v>
      </c>
      <c r="J954" t="e">
        <f>VLOOKUP(A955,[1]timesData!$B:$P,9,FALSE)</f>
        <v>#N/A</v>
      </c>
      <c r="K954" t="e">
        <f>VLOOKUP(A955,[1]timesData!$B:$P,10,FALSE)</f>
        <v>#N/A</v>
      </c>
      <c r="L954" t="e">
        <f>VLOOKUP(A955,[1]timesData!$B:$P,11,FALSE)</f>
        <v>#N/A</v>
      </c>
      <c r="M954" t="e">
        <f>VLOOKUP(A955,[1]timesData!$B:$P,12,FALSE)</f>
        <v>#N/A</v>
      </c>
      <c r="N954" t="e">
        <f>VLOOKUP(A955,[1]timesData!$B:$P,13,FALSE)</f>
        <v>#N/A</v>
      </c>
      <c r="O954">
        <f>VLOOKUP(A954,[2]cwurData!$B:$P,14,FALSE)</f>
        <v>509</v>
      </c>
      <c r="P954">
        <f>VLOOKUP(A954,[2]cwurData!$B:$N, 3, FALSE)</f>
        <v>29</v>
      </c>
      <c r="Q954">
        <f>VLOOKUP(A954,[2]cwurData!$B:$N, 4, FALSE)</f>
        <v>355</v>
      </c>
      <c r="R954">
        <f>VLOOKUP(A954,[2]cwurData!$B:$N, 5, FALSE)</f>
        <v>478</v>
      </c>
      <c r="S954">
        <f>VLOOKUP(A954,[2]cwurData!$B:$N, 6, FALSE)</f>
        <v>210</v>
      </c>
      <c r="T954">
        <f>VLOOKUP(A954,[2]cwurData!$B:$N, 7, FALSE)</f>
        <v>607</v>
      </c>
      <c r="U954">
        <f>VLOOKUP(A954,[2]cwurData!$B:$N, 8, FALSE)</f>
        <v>269</v>
      </c>
      <c r="V954">
        <f>VLOOKUP(A954,[2]cwurData!$B:$N, 9, FALSE)</f>
        <v>493</v>
      </c>
      <c r="W954">
        <f>VLOOKUP(A954,[2]cwurData!$B:$N, 10, FALSE)</f>
        <v>386</v>
      </c>
      <c r="X954">
        <f>VLOOKUP(A954,[2]cwurData!$B:$N, 11, FALSE)</f>
        <v>737</v>
      </c>
      <c r="Y954">
        <f>VLOOKUP(A954,[2]cwurData!$B:$N, 12, FALSE)</f>
        <v>45.09</v>
      </c>
      <c r="Z954">
        <f>VLOOKUP(A954,[2]cwurData!$B:$N, 13, FALSE)</f>
        <v>2014</v>
      </c>
    </row>
    <row r="955" spans="1:26" x14ac:dyDescent="0.3">
      <c r="A955" t="s">
        <v>953</v>
      </c>
      <c r="B955" t="str">
        <f>IFERROR(VLOOKUP(A955,[1]timesData!$B:$P,2,FALSE),VLOOKUP(A955,[2]cwurData!$B:$P,2,FALSE))</f>
        <v>South Korea</v>
      </c>
      <c r="C955" t="e">
        <f>VLOOKUP(A955,[1]timesData!$B:$P,3,FALSE)</f>
        <v>#N/A</v>
      </c>
      <c r="D955" t="e">
        <f>VLOOKUP(A956,[1]timesData!$B:$P,3,FALSE)</f>
        <v>#N/A</v>
      </c>
      <c r="E955" t="e">
        <f>VLOOKUP(A956,[1]timesData!$B:$P,4,FALSE)</f>
        <v>#N/A</v>
      </c>
      <c r="F955" t="e">
        <f>VLOOKUP(A956,[1]timesData!$B:$P,5,FALSE)</f>
        <v>#N/A</v>
      </c>
      <c r="G955" t="e">
        <f>VLOOKUP(A956,[1]timesData!$B:$P,6,FALSE)</f>
        <v>#N/A</v>
      </c>
      <c r="H955" t="e">
        <f>VLOOKUP(A956,[1]timesData!$B:$P,7,FALSE)</f>
        <v>#N/A</v>
      </c>
      <c r="I955" t="e">
        <f>VLOOKUP(A956,[1]timesData!$B:$P,8,FALSE)</f>
        <v>#N/A</v>
      </c>
      <c r="J955" t="e">
        <f>VLOOKUP(A956,[1]timesData!$B:$P,9,FALSE)</f>
        <v>#N/A</v>
      </c>
      <c r="K955" t="e">
        <f>VLOOKUP(A956,[1]timesData!$B:$P,10,FALSE)</f>
        <v>#N/A</v>
      </c>
      <c r="L955" t="e">
        <f>VLOOKUP(A956,[1]timesData!$B:$P,11,FALSE)</f>
        <v>#N/A</v>
      </c>
      <c r="M955" t="e">
        <f>VLOOKUP(A956,[1]timesData!$B:$P,12,FALSE)</f>
        <v>#N/A</v>
      </c>
      <c r="N955" t="e">
        <f>VLOOKUP(A956,[1]timesData!$B:$P,13,FALSE)</f>
        <v>#N/A</v>
      </c>
      <c r="O955">
        <f>VLOOKUP(A955,[2]cwurData!$B:$P,14,FALSE)</f>
        <v>513</v>
      </c>
      <c r="P955">
        <f>VLOOKUP(A955,[2]cwurData!$B:$N, 3, FALSE)</f>
        <v>19</v>
      </c>
      <c r="Q955">
        <f>VLOOKUP(A955,[2]cwurData!$B:$N, 4, FALSE)</f>
        <v>355</v>
      </c>
      <c r="R955">
        <f>VLOOKUP(A955,[2]cwurData!$B:$N, 5, FALSE)</f>
        <v>395</v>
      </c>
      <c r="S955">
        <f>VLOOKUP(A955,[2]cwurData!$B:$N, 6, FALSE)</f>
        <v>210</v>
      </c>
      <c r="T955">
        <f>VLOOKUP(A955,[2]cwurData!$B:$N, 7, FALSE)</f>
        <v>954</v>
      </c>
      <c r="U955">
        <f>VLOOKUP(A955,[2]cwurData!$B:$N, 8, FALSE)</f>
        <v>915</v>
      </c>
      <c r="V955">
        <f>VLOOKUP(A955,[2]cwurData!$B:$N, 9, FALSE)</f>
        <v>800</v>
      </c>
      <c r="W955">
        <f>VLOOKUP(A955,[2]cwurData!$B:$N, 10, FALSE)</f>
        <v>979</v>
      </c>
      <c r="X955">
        <f>VLOOKUP(A955,[2]cwurData!$B:$N, 11, FALSE)</f>
        <v>89</v>
      </c>
      <c r="Y955">
        <f>VLOOKUP(A955,[2]cwurData!$B:$N, 12, FALSE)</f>
        <v>45.07</v>
      </c>
      <c r="Z955">
        <f>VLOOKUP(A955,[2]cwurData!$B:$N, 13, FALSE)</f>
        <v>2014</v>
      </c>
    </row>
    <row r="956" spans="1:26" x14ac:dyDescent="0.3">
      <c r="A956" t="s">
        <v>954</v>
      </c>
      <c r="B956" t="str">
        <f>IFERROR(VLOOKUP(A956,[1]timesData!$B:$P,2,FALSE),VLOOKUP(A956,[2]cwurData!$B:$P,2,FALSE))</f>
        <v>Canada</v>
      </c>
      <c r="C956" t="e">
        <f>VLOOKUP(A956,[1]timesData!$B:$P,3,FALSE)</f>
        <v>#N/A</v>
      </c>
      <c r="D956" t="e">
        <f>VLOOKUP(A957,[1]timesData!$B:$P,3,FALSE)</f>
        <v>#N/A</v>
      </c>
      <c r="E956" t="e">
        <f>VLOOKUP(A957,[1]timesData!$B:$P,4,FALSE)</f>
        <v>#N/A</v>
      </c>
      <c r="F956" t="e">
        <f>VLOOKUP(A957,[1]timesData!$B:$P,5,FALSE)</f>
        <v>#N/A</v>
      </c>
      <c r="G956" t="e">
        <f>VLOOKUP(A957,[1]timesData!$B:$P,6,FALSE)</f>
        <v>#N/A</v>
      </c>
      <c r="H956" t="e">
        <f>VLOOKUP(A957,[1]timesData!$B:$P,7,FALSE)</f>
        <v>#N/A</v>
      </c>
      <c r="I956" t="e">
        <f>VLOOKUP(A957,[1]timesData!$B:$P,8,FALSE)</f>
        <v>#N/A</v>
      </c>
      <c r="J956" t="e">
        <f>VLOOKUP(A957,[1]timesData!$B:$P,9,FALSE)</f>
        <v>#N/A</v>
      </c>
      <c r="K956" t="e">
        <f>VLOOKUP(A957,[1]timesData!$B:$P,10,FALSE)</f>
        <v>#N/A</v>
      </c>
      <c r="L956" t="e">
        <f>VLOOKUP(A957,[1]timesData!$B:$P,11,FALSE)</f>
        <v>#N/A</v>
      </c>
      <c r="M956" t="e">
        <f>VLOOKUP(A957,[1]timesData!$B:$P,12,FALSE)</f>
        <v>#N/A</v>
      </c>
      <c r="N956" t="e">
        <f>VLOOKUP(A957,[1]timesData!$B:$P,13,FALSE)</f>
        <v>#N/A</v>
      </c>
      <c r="O956">
        <f>VLOOKUP(A956,[2]cwurData!$B:$P,14,FALSE)</f>
        <v>517</v>
      </c>
      <c r="P956">
        <f>VLOOKUP(A956,[2]cwurData!$B:$N, 3, FALSE)</f>
        <v>21</v>
      </c>
      <c r="Q956">
        <f>VLOOKUP(A956,[2]cwurData!$B:$N, 4, FALSE)</f>
        <v>355</v>
      </c>
      <c r="R956">
        <f>VLOOKUP(A956,[2]cwurData!$B:$N, 5, FALSE)</f>
        <v>478</v>
      </c>
      <c r="S956">
        <f>VLOOKUP(A956,[2]cwurData!$B:$N, 6, FALSE)</f>
        <v>210</v>
      </c>
      <c r="T956">
        <f>VLOOKUP(A956,[2]cwurData!$B:$N, 7, FALSE)</f>
        <v>446</v>
      </c>
      <c r="U956">
        <f>VLOOKUP(A956,[2]cwurData!$B:$N, 8, FALSE)</f>
        <v>437</v>
      </c>
      <c r="V956">
        <f>VLOOKUP(A956,[2]cwurData!$B:$N, 9, FALSE)</f>
        <v>406</v>
      </c>
      <c r="W956">
        <f>VLOOKUP(A956,[2]cwurData!$B:$N, 10, FALSE)</f>
        <v>415</v>
      </c>
      <c r="X956">
        <f>VLOOKUP(A956,[2]cwurData!$B:$N, 11, FALSE)</f>
        <v>637</v>
      </c>
      <c r="Y956">
        <f>VLOOKUP(A956,[2]cwurData!$B:$N, 12, FALSE)</f>
        <v>45.05</v>
      </c>
      <c r="Z956">
        <f>VLOOKUP(A956,[2]cwurData!$B:$N, 13, FALSE)</f>
        <v>2014</v>
      </c>
    </row>
    <row r="957" spans="1:26" x14ac:dyDescent="0.3">
      <c r="A957" t="s">
        <v>955</v>
      </c>
      <c r="B957" t="str">
        <f>IFERROR(VLOOKUP(A957,[1]timesData!$B:$P,2,FALSE),VLOOKUP(A957,[2]cwurData!$B:$P,2,FALSE))</f>
        <v>Spain</v>
      </c>
      <c r="C957" t="e">
        <f>VLOOKUP(A957,[1]timesData!$B:$P,3,FALSE)</f>
        <v>#N/A</v>
      </c>
      <c r="D957" t="e">
        <f>VLOOKUP(A958,[1]timesData!$B:$P,3,FALSE)</f>
        <v>#N/A</v>
      </c>
      <c r="E957" t="e">
        <f>VLOOKUP(A958,[1]timesData!$B:$P,4,FALSE)</f>
        <v>#N/A</v>
      </c>
      <c r="F957" t="e">
        <f>VLOOKUP(A958,[1]timesData!$B:$P,5,FALSE)</f>
        <v>#N/A</v>
      </c>
      <c r="G957" t="e">
        <f>VLOOKUP(A958,[1]timesData!$B:$P,6,FALSE)</f>
        <v>#N/A</v>
      </c>
      <c r="H957" t="e">
        <f>VLOOKUP(A958,[1]timesData!$B:$P,7,FALSE)</f>
        <v>#N/A</v>
      </c>
      <c r="I957" t="e">
        <f>VLOOKUP(A958,[1]timesData!$B:$P,8,FALSE)</f>
        <v>#N/A</v>
      </c>
      <c r="J957" t="e">
        <f>VLOOKUP(A958,[1]timesData!$B:$P,9,FALSE)</f>
        <v>#N/A</v>
      </c>
      <c r="K957" t="e">
        <f>VLOOKUP(A958,[1]timesData!$B:$P,10,FALSE)</f>
        <v>#N/A</v>
      </c>
      <c r="L957" t="e">
        <f>VLOOKUP(A958,[1]timesData!$B:$P,11,FALSE)</f>
        <v>#N/A</v>
      </c>
      <c r="M957" t="e">
        <f>VLOOKUP(A958,[1]timesData!$B:$P,12,FALSE)</f>
        <v>#N/A</v>
      </c>
      <c r="N957" t="e">
        <f>VLOOKUP(A958,[1]timesData!$B:$P,13,FALSE)</f>
        <v>#N/A</v>
      </c>
      <c r="O957">
        <f>VLOOKUP(A957,[2]cwurData!$B:$P,14,FALSE)</f>
        <v>519</v>
      </c>
      <c r="P957">
        <f>VLOOKUP(A957,[2]cwurData!$B:$N, 3, FALSE)</f>
        <v>14</v>
      </c>
      <c r="Q957">
        <f>VLOOKUP(A957,[2]cwurData!$B:$N, 4, FALSE)</f>
        <v>355</v>
      </c>
      <c r="R957">
        <f>VLOOKUP(A957,[2]cwurData!$B:$N, 5, FALSE)</f>
        <v>478</v>
      </c>
      <c r="S957">
        <f>VLOOKUP(A957,[2]cwurData!$B:$N, 6, FALSE)</f>
        <v>210</v>
      </c>
      <c r="T957">
        <f>VLOOKUP(A957,[2]cwurData!$B:$N, 7, FALSE)</f>
        <v>428</v>
      </c>
      <c r="U957">
        <f>VLOOKUP(A957,[2]cwurData!$B:$N, 8, FALSE)</f>
        <v>755</v>
      </c>
      <c r="V957">
        <f>VLOOKUP(A957,[2]cwurData!$B:$N, 9, FALSE)</f>
        <v>609</v>
      </c>
      <c r="W957">
        <f>VLOOKUP(A957,[2]cwurData!$B:$N, 10, FALSE)</f>
        <v>724</v>
      </c>
      <c r="X957">
        <f>VLOOKUP(A957,[2]cwurData!$B:$N, 11, FALSE)</f>
        <v>121</v>
      </c>
      <c r="Y957">
        <f>VLOOKUP(A957,[2]cwurData!$B:$N, 12, FALSE)</f>
        <v>45.04</v>
      </c>
      <c r="Z957">
        <f>VLOOKUP(A957,[2]cwurData!$B:$N, 13, FALSE)</f>
        <v>2014</v>
      </c>
    </row>
    <row r="958" spans="1:26" x14ac:dyDescent="0.3">
      <c r="A958" t="s">
        <v>956</v>
      </c>
      <c r="B958" t="str">
        <f>IFERROR(VLOOKUP(A958,[1]timesData!$B:$P,2,FALSE),VLOOKUP(A958,[2]cwurData!$B:$P,2,FALSE))</f>
        <v>USA</v>
      </c>
      <c r="C958" t="e">
        <f>VLOOKUP(A958,[1]timesData!$B:$P,3,FALSE)</f>
        <v>#N/A</v>
      </c>
      <c r="D958" t="e">
        <f>VLOOKUP(A959,[1]timesData!$B:$P,3,FALSE)</f>
        <v>#N/A</v>
      </c>
      <c r="E958" t="e">
        <f>VLOOKUP(A959,[1]timesData!$B:$P,4,FALSE)</f>
        <v>#N/A</v>
      </c>
      <c r="F958" t="e">
        <f>VLOOKUP(A959,[1]timesData!$B:$P,5,FALSE)</f>
        <v>#N/A</v>
      </c>
      <c r="G958" t="e">
        <f>VLOOKUP(A959,[1]timesData!$B:$P,6,FALSE)</f>
        <v>#N/A</v>
      </c>
      <c r="H958" t="e">
        <f>VLOOKUP(A959,[1]timesData!$B:$P,7,FALSE)</f>
        <v>#N/A</v>
      </c>
      <c r="I958" t="e">
        <f>VLOOKUP(A959,[1]timesData!$B:$P,8,FALSE)</f>
        <v>#N/A</v>
      </c>
      <c r="J958" t="e">
        <f>VLOOKUP(A959,[1]timesData!$B:$P,9,FALSE)</f>
        <v>#N/A</v>
      </c>
      <c r="K958" t="e">
        <f>VLOOKUP(A959,[1]timesData!$B:$P,10,FALSE)</f>
        <v>#N/A</v>
      </c>
      <c r="L958" t="e">
        <f>VLOOKUP(A959,[1]timesData!$B:$P,11,FALSE)</f>
        <v>#N/A</v>
      </c>
      <c r="M958" t="e">
        <f>VLOOKUP(A959,[1]timesData!$B:$P,12,FALSE)</f>
        <v>#N/A</v>
      </c>
      <c r="N958" t="e">
        <f>VLOOKUP(A959,[1]timesData!$B:$P,13,FALSE)</f>
        <v>#N/A</v>
      </c>
      <c r="O958">
        <f>VLOOKUP(A958,[2]cwurData!$B:$P,14,FALSE)</f>
        <v>521</v>
      </c>
      <c r="P958">
        <f>VLOOKUP(A958,[2]cwurData!$B:$N, 3, FALSE)</f>
        <v>165</v>
      </c>
      <c r="Q958">
        <f>VLOOKUP(A958,[2]cwurData!$B:$N, 4, FALSE)</f>
        <v>355</v>
      </c>
      <c r="R958">
        <f>VLOOKUP(A958,[2]cwurData!$B:$N, 5, FALSE)</f>
        <v>478</v>
      </c>
      <c r="S958">
        <f>VLOOKUP(A958,[2]cwurData!$B:$N, 6, FALSE)</f>
        <v>210</v>
      </c>
      <c r="T958">
        <f>VLOOKUP(A958,[2]cwurData!$B:$N, 7, FALSE)</f>
        <v>726</v>
      </c>
      <c r="U958">
        <f>VLOOKUP(A958,[2]cwurData!$B:$N, 8, FALSE)</f>
        <v>594</v>
      </c>
      <c r="V958">
        <f>VLOOKUP(A958,[2]cwurData!$B:$N, 9, FALSE)</f>
        <v>493</v>
      </c>
      <c r="W958">
        <f>VLOOKUP(A958,[2]cwurData!$B:$N, 10, FALSE)</f>
        <v>402</v>
      </c>
      <c r="X958">
        <f>VLOOKUP(A958,[2]cwurData!$B:$N, 11, FALSE)</f>
        <v>481</v>
      </c>
      <c r="Y958">
        <f>VLOOKUP(A958,[2]cwurData!$B:$N, 12, FALSE)</f>
        <v>45.04</v>
      </c>
      <c r="Z958">
        <f>VLOOKUP(A958,[2]cwurData!$B:$N, 13, FALSE)</f>
        <v>2014</v>
      </c>
    </row>
    <row r="959" spans="1:26" x14ac:dyDescent="0.3">
      <c r="A959" t="s">
        <v>957</v>
      </c>
      <c r="B959" t="str">
        <f>IFERROR(VLOOKUP(A959,[1]timesData!$B:$P,2,FALSE),VLOOKUP(A959,[2]cwurData!$B:$P,2,FALSE))</f>
        <v>USA</v>
      </c>
      <c r="C959" t="e">
        <f>VLOOKUP(A959,[1]timesData!$B:$P,3,FALSE)</f>
        <v>#N/A</v>
      </c>
      <c r="D959" t="e">
        <f>VLOOKUP(A960,[1]timesData!$B:$P,3,FALSE)</f>
        <v>#N/A</v>
      </c>
      <c r="E959" t="e">
        <f>VLOOKUP(A960,[1]timesData!$B:$P,4,FALSE)</f>
        <v>#N/A</v>
      </c>
      <c r="F959" t="e">
        <f>VLOOKUP(A960,[1]timesData!$B:$P,5,FALSE)</f>
        <v>#N/A</v>
      </c>
      <c r="G959" t="e">
        <f>VLOOKUP(A960,[1]timesData!$B:$P,6,FALSE)</f>
        <v>#N/A</v>
      </c>
      <c r="H959" t="e">
        <f>VLOOKUP(A960,[1]timesData!$B:$P,7,FALSE)</f>
        <v>#N/A</v>
      </c>
      <c r="I959" t="e">
        <f>VLOOKUP(A960,[1]timesData!$B:$P,8,FALSE)</f>
        <v>#N/A</v>
      </c>
      <c r="J959" t="e">
        <f>VLOOKUP(A960,[1]timesData!$B:$P,9,FALSE)</f>
        <v>#N/A</v>
      </c>
      <c r="K959" t="e">
        <f>VLOOKUP(A960,[1]timesData!$B:$P,10,FALSE)</f>
        <v>#N/A</v>
      </c>
      <c r="L959" t="e">
        <f>VLOOKUP(A960,[1]timesData!$B:$P,11,FALSE)</f>
        <v>#N/A</v>
      </c>
      <c r="M959" t="e">
        <f>VLOOKUP(A960,[1]timesData!$B:$P,12,FALSE)</f>
        <v>#N/A</v>
      </c>
      <c r="N959" t="e">
        <f>VLOOKUP(A960,[1]timesData!$B:$P,13,FALSE)</f>
        <v>#N/A</v>
      </c>
      <c r="O959">
        <f>VLOOKUP(A959,[2]cwurData!$B:$P,14,FALSE)</f>
        <v>522</v>
      </c>
      <c r="P959">
        <f>VLOOKUP(A959,[2]cwurData!$B:$N, 3, FALSE)</f>
        <v>166</v>
      </c>
      <c r="Q959">
        <f>VLOOKUP(A959,[2]cwurData!$B:$N, 4, FALSE)</f>
        <v>355</v>
      </c>
      <c r="R959">
        <f>VLOOKUP(A959,[2]cwurData!$B:$N, 5, FALSE)</f>
        <v>478</v>
      </c>
      <c r="S959">
        <f>VLOOKUP(A959,[2]cwurData!$B:$N, 6, FALSE)</f>
        <v>150</v>
      </c>
      <c r="T959">
        <f>VLOOKUP(A959,[2]cwurData!$B:$N, 7, FALSE)</f>
        <v>736</v>
      </c>
      <c r="U959">
        <f>VLOOKUP(A959,[2]cwurData!$B:$N, 8, FALSE)</f>
        <v>411</v>
      </c>
      <c r="V959">
        <f>VLOOKUP(A959,[2]cwurData!$B:$N, 9, FALSE)</f>
        <v>609</v>
      </c>
      <c r="W959">
        <f>VLOOKUP(A959,[2]cwurData!$B:$N, 10, FALSE)</f>
        <v>442</v>
      </c>
      <c r="X959">
        <f>VLOOKUP(A959,[2]cwurData!$B:$N, 11, FALSE)</f>
        <v>737</v>
      </c>
      <c r="Y959">
        <f>VLOOKUP(A959,[2]cwurData!$B:$N, 12, FALSE)</f>
        <v>45.03</v>
      </c>
      <c r="Z959">
        <f>VLOOKUP(A959,[2]cwurData!$B:$N, 13, FALSE)</f>
        <v>2014</v>
      </c>
    </row>
    <row r="960" spans="1:26" x14ac:dyDescent="0.3">
      <c r="A960" t="s">
        <v>958</v>
      </c>
      <c r="B960" t="str">
        <f>IFERROR(VLOOKUP(A960,[1]timesData!$B:$P,2,FALSE),VLOOKUP(A960,[2]cwurData!$B:$P,2,FALSE))</f>
        <v>France</v>
      </c>
      <c r="C960" t="e">
        <f>VLOOKUP(A960,[1]timesData!$B:$P,3,FALSE)</f>
        <v>#N/A</v>
      </c>
      <c r="D960" t="e">
        <f>VLOOKUP(A961,[1]timesData!$B:$P,3,FALSE)</f>
        <v>#N/A</v>
      </c>
      <c r="E960" t="e">
        <f>VLOOKUP(A961,[1]timesData!$B:$P,4,FALSE)</f>
        <v>#N/A</v>
      </c>
      <c r="F960" t="e">
        <f>VLOOKUP(A961,[1]timesData!$B:$P,5,FALSE)</f>
        <v>#N/A</v>
      </c>
      <c r="G960" t="e">
        <f>VLOOKUP(A961,[1]timesData!$B:$P,6,FALSE)</f>
        <v>#N/A</v>
      </c>
      <c r="H960" t="e">
        <f>VLOOKUP(A961,[1]timesData!$B:$P,7,FALSE)</f>
        <v>#N/A</v>
      </c>
      <c r="I960" t="e">
        <f>VLOOKUP(A961,[1]timesData!$B:$P,8,FALSE)</f>
        <v>#N/A</v>
      </c>
      <c r="J960" t="e">
        <f>VLOOKUP(A961,[1]timesData!$B:$P,9,FALSE)</f>
        <v>#N/A</v>
      </c>
      <c r="K960" t="e">
        <f>VLOOKUP(A961,[1]timesData!$B:$P,10,FALSE)</f>
        <v>#N/A</v>
      </c>
      <c r="L960" t="e">
        <f>VLOOKUP(A961,[1]timesData!$B:$P,11,FALSE)</f>
        <v>#N/A</v>
      </c>
      <c r="M960" t="e">
        <f>VLOOKUP(A961,[1]timesData!$B:$P,12,FALSE)</f>
        <v>#N/A</v>
      </c>
      <c r="N960" t="e">
        <f>VLOOKUP(A961,[1]timesData!$B:$P,13,FALSE)</f>
        <v>#N/A</v>
      </c>
      <c r="O960">
        <f>VLOOKUP(A960,[2]cwurData!$B:$P,14,FALSE)</f>
        <v>523</v>
      </c>
      <c r="P960">
        <f>VLOOKUP(A960,[2]cwurData!$B:$N, 3, FALSE)</f>
        <v>21</v>
      </c>
      <c r="Q960">
        <f>VLOOKUP(A960,[2]cwurData!$B:$N, 4, FALSE)</f>
        <v>355</v>
      </c>
      <c r="R960">
        <f>VLOOKUP(A960,[2]cwurData!$B:$N, 5, FALSE)</f>
        <v>108</v>
      </c>
      <c r="S960">
        <f>VLOOKUP(A960,[2]cwurData!$B:$N, 6, FALSE)</f>
        <v>210</v>
      </c>
      <c r="T960">
        <f>VLOOKUP(A960,[2]cwurData!$B:$N, 7, FALSE)</f>
        <v>995</v>
      </c>
      <c r="U960">
        <f>VLOOKUP(A960,[2]cwurData!$B:$N, 8, FALSE)</f>
        <v>837</v>
      </c>
      <c r="V960">
        <f>VLOOKUP(A960,[2]cwurData!$B:$N, 9, FALSE)</f>
        <v>800</v>
      </c>
      <c r="W960">
        <f>VLOOKUP(A960,[2]cwurData!$B:$N, 10, FALSE)</f>
        <v>923</v>
      </c>
      <c r="X960">
        <f>VLOOKUP(A960,[2]cwurData!$B:$N, 11, FALSE)</f>
        <v>637</v>
      </c>
      <c r="Y960">
        <f>VLOOKUP(A960,[2]cwurData!$B:$N, 12, FALSE)</f>
        <v>45.03</v>
      </c>
      <c r="Z960">
        <f>VLOOKUP(A960,[2]cwurData!$B:$N, 13, FALSE)</f>
        <v>2014</v>
      </c>
    </row>
    <row r="961" spans="1:26" x14ac:dyDescent="0.3">
      <c r="A961" t="s">
        <v>959</v>
      </c>
      <c r="B961" t="str">
        <f>IFERROR(VLOOKUP(A961,[1]timesData!$B:$P,2,FALSE),VLOOKUP(A961,[2]cwurData!$B:$P,2,FALSE))</f>
        <v>USA</v>
      </c>
      <c r="C961" t="e">
        <f>VLOOKUP(A961,[1]timesData!$B:$P,3,FALSE)</f>
        <v>#N/A</v>
      </c>
      <c r="D961" t="e">
        <f>VLOOKUP(A962,[1]timesData!$B:$P,3,FALSE)</f>
        <v>#N/A</v>
      </c>
      <c r="E961" t="e">
        <f>VLOOKUP(A962,[1]timesData!$B:$P,4,FALSE)</f>
        <v>#N/A</v>
      </c>
      <c r="F961" t="e">
        <f>VLOOKUP(A962,[1]timesData!$B:$P,5,FALSE)</f>
        <v>#N/A</v>
      </c>
      <c r="G961" t="e">
        <f>VLOOKUP(A962,[1]timesData!$B:$P,6,FALSE)</f>
        <v>#N/A</v>
      </c>
      <c r="H961" t="e">
        <f>VLOOKUP(A962,[1]timesData!$B:$P,7,FALSE)</f>
        <v>#N/A</v>
      </c>
      <c r="I961" t="e">
        <f>VLOOKUP(A962,[1]timesData!$B:$P,8,FALSE)</f>
        <v>#N/A</v>
      </c>
      <c r="J961" t="e">
        <f>VLOOKUP(A962,[1]timesData!$B:$P,9,FALSE)</f>
        <v>#N/A</v>
      </c>
      <c r="K961" t="e">
        <f>VLOOKUP(A962,[1]timesData!$B:$P,10,FALSE)</f>
        <v>#N/A</v>
      </c>
      <c r="L961" t="e">
        <f>VLOOKUP(A962,[1]timesData!$B:$P,11,FALSE)</f>
        <v>#N/A</v>
      </c>
      <c r="M961" t="e">
        <f>VLOOKUP(A962,[1]timesData!$B:$P,12,FALSE)</f>
        <v>#N/A</v>
      </c>
      <c r="N961" t="e">
        <f>VLOOKUP(A962,[1]timesData!$B:$P,13,FALSE)</f>
        <v>#N/A</v>
      </c>
      <c r="O961">
        <f>VLOOKUP(A961,[2]cwurData!$B:$P,14,FALSE)</f>
        <v>524</v>
      </c>
      <c r="P961">
        <f>VLOOKUP(A961,[2]cwurData!$B:$N, 3, FALSE)</f>
        <v>167</v>
      </c>
      <c r="Q961">
        <f>VLOOKUP(A961,[2]cwurData!$B:$N, 4, FALSE)</f>
        <v>156</v>
      </c>
      <c r="R961">
        <f>VLOOKUP(A961,[2]cwurData!$B:$N, 5, FALSE)</f>
        <v>419</v>
      </c>
      <c r="S961">
        <f>VLOOKUP(A961,[2]cwurData!$B:$N, 6, FALSE)</f>
        <v>210</v>
      </c>
      <c r="T961">
        <f>VLOOKUP(A961,[2]cwurData!$B:$N, 7, FALSE)</f>
        <v>553</v>
      </c>
      <c r="U961">
        <f>VLOOKUP(A961,[2]cwurData!$B:$N, 8, FALSE)</f>
        <v>473</v>
      </c>
      <c r="V961">
        <f>VLOOKUP(A961,[2]cwurData!$B:$N, 9, FALSE)</f>
        <v>363</v>
      </c>
      <c r="W961">
        <f>VLOOKUP(A961,[2]cwurData!$B:$N, 10, FALSE)</f>
        <v>531</v>
      </c>
      <c r="X961">
        <f>VLOOKUP(A961,[2]cwurData!$B:$N, 11, FALSE)</f>
        <v>307</v>
      </c>
      <c r="Y961">
        <f>VLOOKUP(A961,[2]cwurData!$B:$N, 12, FALSE)</f>
        <v>45.03</v>
      </c>
      <c r="Z961">
        <f>VLOOKUP(A961,[2]cwurData!$B:$N, 13, FALSE)</f>
        <v>2014</v>
      </c>
    </row>
    <row r="962" spans="1:26" x14ac:dyDescent="0.3">
      <c r="A962" t="s">
        <v>960</v>
      </c>
      <c r="B962" t="str">
        <f>IFERROR(VLOOKUP(A962,[1]timesData!$B:$P,2,FALSE),VLOOKUP(A962,[2]cwurData!$B:$P,2,FALSE))</f>
        <v>France</v>
      </c>
      <c r="C962" t="e">
        <f>VLOOKUP(A962,[1]timesData!$B:$P,3,FALSE)</f>
        <v>#N/A</v>
      </c>
      <c r="D962" t="e">
        <f>VLOOKUP(A963,[1]timesData!$B:$P,3,FALSE)</f>
        <v>#N/A</v>
      </c>
      <c r="E962" t="e">
        <f>VLOOKUP(A963,[1]timesData!$B:$P,4,FALSE)</f>
        <v>#N/A</v>
      </c>
      <c r="F962" t="e">
        <f>VLOOKUP(A963,[1]timesData!$B:$P,5,FALSE)</f>
        <v>#N/A</v>
      </c>
      <c r="G962" t="e">
        <f>VLOOKUP(A963,[1]timesData!$B:$P,6,FALSE)</f>
        <v>#N/A</v>
      </c>
      <c r="H962" t="e">
        <f>VLOOKUP(A963,[1]timesData!$B:$P,7,FALSE)</f>
        <v>#N/A</v>
      </c>
      <c r="I962" t="e">
        <f>VLOOKUP(A963,[1]timesData!$B:$P,8,FALSE)</f>
        <v>#N/A</v>
      </c>
      <c r="J962" t="e">
        <f>VLOOKUP(A963,[1]timesData!$B:$P,9,FALSE)</f>
        <v>#N/A</v>
      </c>
      <c r="K962" t="e">
        <f>VLOOKUP(A963,[1]timesData!$B:$P,10,FALSE)</f>
        <v>#N/A</v>
      </c>
      <c r="L962" t="e">
        <f>VLOOKUP(A963,[1]timesData!$B:$P,11,FALSE)</f>
        <v>#N/A</v>
      </c>
      <c r="M962" t="e">
        <f>VLOOKUP(A963,[1]timesData!$B:$P,12,FALSE)</f>
        <v>#N/A</v>
      </c>
      <c r="N962" t="e">
        <f>VLOOKUP(A963,[1]timesData!$B:$P,13,FALSE)</f>
        <v>#N/A</v>
      </c>
      <c r="O962">
        <f>VLOOKUP(A962,[2]cwurData!$B:$P,14,FALSE)</f>
        <v>526</v>
      </c>
      <c r="P962">
        <f>VLOOKUP(A962,[2]cwurData!$B:$N, 3, FALSE)</f>
        <v>22</v>
      </c>
      <c r="Q962">
        <f>VLOOKUP(A962,[2]cwurData!$B:$N, 4, FALSE)</f>
        <v>355</v>
      </c>
      <c r="R962">
        <f>VLOOKUP(A962,[2]cwurData!$B:$N, 5, FALSE)</f>
        <v>478</v>
      </c>
      <c r="S962">
        <f>VLOOKUP(A962,[2]cwurData!$B:$N, 6, FALSE)</f>
        <v>210</v>
      </c>
      <c r="T962">
        <f>VLOOKUP(A962,[2]cwurData!$B:$N, 7, FALSE)</f>
        <v>429</v>
      </c>
      <c r="U962">
        <f>VLOOKUP(A962,[2]cwurData!$B:$N, 8, FALSE)</f>
        <v>324</v>
      </c>
      <c r="V962">
        <f>VLOOKUP(A962,[2]cwurData!$B:$N, 9, FALSE)</f>
        <v>493</v>
      </c>
      <c r="W962">
        <f>VLOOKUP(A962,[2]cwurData!$B:$N, 10, FALSE)</f>
        <v>430</v>
      </c>
      <c r="X962">
        <f>VLOOKUP(A962,[2]cwurData!$B:$N, 11, FALSE)</f>
        <v>737</v>
      </c>
      <c r="Y962">
        <f>VLOOKUP(A962,[2]cwurData!$B:$N, 12, FALSE)</f>
        <v>45.02</v>
      </c>
      <c r="Z962">
        <f>VLOOKUP(A962,[2]cwurData!$B:$N, 13, FALSE)</f>
        <v>2014</v>
      </c>
    </row>
    <row r="963" spans="1:26" x14ac:dyDescent="0.3">
      <c r="A963" t="s">
        <v>961</v>
      </c>
      <c r="B963" t="str">
        <f>IFERROR(VLOOKUP(A963,[1]timesData!$B:$P,2,FALSE),VLOOKUP(A963,[2]cwurData!$B:$P,2,FALSE))</f>
        <v>Germany</v>
      </c>
      <c r="C963" t="e">
        <f>VLOOKUP(A963,[1]timesData!$B:$P,3,FALSE)</f>
        <v>#N/A</v>
      </c>
      <c r="D963" t="e">
        <f>VLOOKUP(A964,[1]timesData!$B:$P,3,FALSE)</f>
        <v>#N/A</v>
      </c>
      <c r="E963" t="e">
        <f>VLOOKUP(A964,[1]timesData!$B:$P,4,FALSE)</f>
        <v>#N/A</v>
      </c>
      <c r="F963" t="e">
        <f>VLOOKUP(A964,[1]timesData!$B:$P,5,FALSE)</f>
        <v>#N/A</v>
      </c>
      <c r="G963" t="e">
        <f>VLOOKUP(A964,[1]timesData!$B:$P,6,FALSE)</f>
        <v>#N/A</v>
      </c>
      <c r="H963" t="e">
        <f>VLOOKUP(A964,[1]timesData!$B:$P,7,FALSE)</f>
        <v>#N/A</v>
      </c>
      <c r="I963" t="e">
        <f>VLOOKUP(A964,[1]timesData!$B:$P,8,FALSE)</f>
        <v>#N/A</v>
      </c>
      <c r="J963" t="e">
        <f>VLOOKUP(A964,[1]timesData!$B:$P,9,FALSE)</f>
        <v>#N/A</v>
      </c>
      <c r="K963" t="e">
        <f>VLOOKUP(A964,[1]timesData!$B:$P,10,FALSE)</f>
        <v>#N/A</v>
      </c>
      <c r="L963" t="e">
        <f>VLOOKUP(A964,[1]timesData!$B:$P,11,FALSE)</f>
        <v>#N/A</v>
      </c>
      <c r="M963" t="e">
        <f>VLOOKUP(A964,[1]timesData!$B:$P,12,FALSE)</f>
        <v>#N/A</v>
      </c>
      <c r="N963" t="e">
        <f>VLOOKUP(A964,[1]timesData!$B:$P,13,FALSE)</f>
        <v>#N/A</v>
      </c>
      <c r="O963">
        <f>VLOOKUP(A963,[2]cwurData!$B:$P,14,FALSE)</f>
        <v>530</v>
      </c>
      <c r="P963">
        <f>VLOOKUP(A963,[2]cwurData!$B:$N, 3, FALSE)</f>
        <v>42</v>
      </c>
      <c r="Q963">
        <f>VLOOKUP(A963,[2]cwurData!$B:$N, 4, FALSE)</f>
        <v>355</v>
      </c>
      <c r="R963">
        <f>VLOOKUP(A963,[2]cwurData!$B:$N, 5, FALSE)</f>
        <v>478</v>
      </c>
      <c r="S963">
        <f>VLOOKUP(A963,[2]cwurData!$B:$N, 6, FALSE)</f>
        <v>210</v>
      </c>
      <c r="T963">
        <f>VLOOKUP(A963,[2]cwurData!$B:$N, 7, FALSE)</f>
        <v>491</v>
      </c>
      <c r="U963">
        <f>VLOOKUP(A963,[2]cwurData!$B:$N, 8, FALSE)</f>
        <v>329</v>
      </c>
      <c r="V963">
        <f>VLOOKUP(A963,[2]cwurData!$B:$N, 9, FALSE)</f>
        <v>609</v>
      </c>
      <c r="W963">
        <f>VLOOKUP(A963,[2]cwurData!$B:$N, 10, FALSE)</f>
        <v>420</v>
      </c>
      <c r="X963">
        <f>VLOOKUP(A963,[2]cwurData!$B:$N, 11, FALSE)</f>
        <v>637</v>
      </c>
      <c r="Y963">
        <f>VLOOKUP(A963,[2]cwurData!$B:$N, 12, FALSE)</f>
        <v>45.01</v>
      </c>
      <c r="Z963">
        <f>VLOOKUP(A963,[2]cwurData!$B:$N, 13, FALSE)</f>
        <v>2014</v>
      </c>
    </row>
    <row r="964" spans="1:26" x14ac:dyDescent="0.3">
      <c r="A964" t="s">
        <v>962</v>
      </c>
      <c r="B964" t="str">
        <f>IFERROR(VLOOKUP(A964,[1]timesData!$B:$P,2,FALSE),VLOOKUP(A964,[2]cwurData!$B:$P,2,FALSE))</f>
        <v>Italy</v>
      </c>
      <c r="C964" t="e">
        <f>VLOOKUP(A964,[1]timesData!$B:$P,3,FALSE)</f>
        <v>#N/A</v>
      </c>
      <c r="D964" t="e">
        <f>VLOOKUP(A965,[1]timesData!$B:$P,3,FALSE)</f>
        <v>#N/A</v>
      </c>
      <c r="E964" t="e">
        <f>VLOOKUP(A965,[1]timesData!$B:$P,4,FALSE)</f>
        <v>#N/A</v>
      </c>
      <c r="F964" t="e">
        <f>VLOOKUP(A965,[1]timesData!$B:$P,5,FALSE)</f>
        <v>#N/A</v>
      </c>
      <c r="G964" t="e">
        <f>VLOOKUP(A965,[1]timesData!$B:$P,6,FALSE)</f>
        <v>#N/A</v>
      </c>
      <c r="H964" t="e">
        <f>VLOOKUP(A965,[1]timesData!$B:$P,7,FALSE)</f>
        <v>#N/A</v>
      </c>
      <c r="I964" t="e">
        <f>VLOOKUP(A965,[1]timesData!$B:$P,8,FALSE)</f>
        <v>#N/A</v>
      </c>
      <c r="J964" t="e">
        <f>VLOOKUP(A965,[1]timesData!$B:$P,9,FALSE)</f>
        <v>#N/A</v>
      </c>
      <c r="K964" t="e">
        <f>VLOOKUP(A965,[1]timesData!$B:$P,10,FALSE)</f>
        <v>#N/A</v>
      </c>
      <c r="L964" t="e">
        <f>VLOOKUP(A965,[1]timesData!$B:$P,11,FALSE)</f>
        <v>#N/A</v>
      </c>
      <c r="M964" t="e">
        <f>VLOOKUP(A965,[1]timesData!$B:$P,12,FALSE)</f>
        <v>#N/A</v>
      </c>
      <c r="N964" t="e">
        <f>VLOOKUP(A965,[1]timesData!$B:$P,13,FALSE)</f>
        <v>#N/A</v>
      </c>
      <c r="O964">
        <f>VLOOKUP(A964,[2]cwurData!$B:$P,14,FALSE)</f>
        <v>533</v>
      </c>
      <c r="P964">
        <f>VLOOKUP(A964,[2]cwurData!$B:$N, 3, FALSE)</f>
        <v>26</v>
      </c>
      <c r="Q964">
        <f>VLOOKUP(A964,[2]cwurData!$B:$N, 4, FALSE)</f>
        <v>355</v>
      </c>
      <c r="R964">
        <f>VLOOKUP(A964,[2]cwurData!$B:$N, 5, FALSE)</f>
        <v>478</v>
      </c>
      <c r="S964">
        <f>VLOOKUP(A964,[2]cwurData!$B:$N, 6, FALSE)</f>
        <v>210</v>
      </c>
      <c r="T964">
        <f>VLOOKUP(A964,[2]cwurData!$B:$N, 7, FALSE)</f>
        <v>583</v>
      </c>
      <c r="U964">
        <f>VLOOKUP(A964,[2]cwurData!$B:$N, 8, FALSE)</f>
        <v>397</v>
      </c>
      <c r="V964">
        <f>VLOOKUP(A964,[2]cwurData!$B:$N, 9, FALSE)</f>
        <v>609</v>
      </c>
      <c r="W964">
        <f>VLOOKUP(A964,[2]cwurData!$B:$N, 10, FALSE)</f>
        <v>415</v>
      </c>
      <c r="X964">
        <f>VLOOKUP(A964,[2]cwurData!$B:$N, 11, FALSE)</f>
        <v>552</v>
      </c>
      <c r="Y964">
        <f>VLOOKUP(A964,[2]cwurData!$B:$N, 12, FALSE)</f>
        <v>45.01</v>
      </c>
      <c r="Z964">
        <f>VLOOKUP(A964,[2]cwurData!$B:$N, 13, FALSE)</f>
        <v>2014</v>
      </c>
    </row>
    <row r="965" spans="1:26" x14ac:dyDescent="0.3">
      <c r="A965" t="s">
        <v>963</v>
      </c>
      <c r="B965" t="str">
        <f>IFERROR(VLOOKUP(A965,[1]timesData!$B:$P,2,FALSE),VLOOKUP(A965,[2]cwurData!$B:$P,2,FALSE))</f>
        <v>Germany</v>
      </c>
      <c r="C965" t="e">
        <f>VLOOKUP(A965,[1]timesData!$B:$P,3,FALSE)</f>
        <v>#N/A</v>
      </c>
      <c r="D965" t="e">
        <f>VLOOKUP(A966,[1]timesData!$B:$P,3,FALSE)</f>
        <v>#N/A</v>
      </c>
      <c r="E965" t="e">
        <f>VLOOKUP(A966,[1]timesData!$B:$P,4,FALSE)</f>
        <v>#N/A</v>
      </c>
      <c r="F965" t="e">
        <f>VLOOKUP(A966,[1]timesData!$B:$P,5,FALSE)</f>
        <v>#N/A</v>
      </c>
      <c r="G965" t="e">
        <f>VLOOKUP(A966,[1]timesData!$B:$P,6,FALSE)</f>
        <v>#N/A</v>
      </c>
      <c r="H965" t="e">
        <f>VLOOKUP(A966,[1]timesData!$B:$P,7,FALSE)</f>
        <v>#N/A</v>
      </c>
      <c r="I965" t="e">
        <f>VLOOKUP(A966,[1]timesData!$B:$P,8,FALSE)</f>
        <v>#N/A</v>
      </c>
      <c r="J965" t="e">
        <f>VLOOKUP(A966,[1]timesData!$B:$P,9,FALSE)</f>
        <v>#N/A</v>
      </c>
      <c r="K965" t="e">
        <f>VLOOKUP(A966,[1]timesData!$B:$P,10,FALSE)</f>
        <v>#N/A</v>
      </c>
      <c r="L965" t="e">
        <f>VLOOKUP(A966,[1]timesData!$B:$P,11,FALSE)</f>
        <v>#N/A</v>
      </c>
      <c r="M965" t="e">
        <f>VLOOKUP(A966,[1]timesData!$B:$P,12,FALSE)</f>
        <v>#N/A</v>
      </c>
      <c r="N965" t="e">
        <f>VLOOKUP(A966,[1]timesData!$B:$P,13,FALSE)</f>
        <v>#N/A</v>
      </c>
      <c r="O965">
        <f>VLOOKUP(A965,[2]cwurData!$B:$P,14,FALSE)</f>
        <v>536</v>
      </c>
      <c r="P965">
        <f>VLOOKUP(A965,[2]cwurData!$B:$N, 3, FALSE)</f>
        <v>43</v>
      </c>
      <c r="Q965">
        <f>VLOOKUP(A965,[2]cwurData!$B:$N, 4, FALSE)</f>
        <v>355</v>
      </c>
      <c r="R965">
        <f>VLOOKUP(A965,[2]cwurData!$B:$N, 5, FALSE)</f>
        <v>478</v>
      </c>
      <c r="S965">
        <f>VLOOKUP(A965,[2]cwurData!$B:$N, 6, FALSE)</f>
        <v>210</v>
      </c>
      <c r="T965">
        <f>VLOOKUP(A965,[2]cwurData!$B:$N, 7, FALSE)</f>
        <v>442</v>
      </c>
      <c r="U965">
        <f>VLOOKUP(A965,[2]cwurData!$B:$N, 8, FALSE)</f>
        <v>293</v>
      </c>
      <c r="V965">
        <f>VLOOKUP(A965,[2]cwurData!$B:$N, 9, FALSE)</f>
        <v>310</v>
      </c>
      <c r="W965">
        <f>VLOOKUP(A965,[2]cwurData!$B:$N, 10, FALSE)</f>
        <v>452</v>
      </c>
      <c r="X965">
        <f>VLOOKUP(A965,[2]cwurData!$B:$N, 11, FALSE)</f>
        <v>552</v>
      </c>
      <c r="Y965">
        <f>VLOOKUP(A965,[2]cwurData!$B:$N, 12, FALSE)</f>
        <v>44.99</v>
      </c>
      <c r="Z965">
        <f>VLOOKUP(A965,[2]cwurData!$B:$N, 13, FALSE)</f>
        <v>2014</v>
      </c>
    </row>
    <row r="966" spans="1:26" x14ac:dyDescent="0.3">
      <c r="A966" t="s">
        <v>964</v>
      </c>
      <c r="B966" t="str">
        <f>IFERROR(VLOOKUP(A966,[1]timesData!$B:$P,2,FALSE),VLOOKUP(A966,[2]cwurData!$B:$P,2,FALSE))</f>
        <v>USA</v>
      </c>
      <c r="C966" t="e">
        <f>VLOOKUP(A966,[1]timesData!$B:$P,3,FALSE)</f>
        <v>#N/A</v>
      </c>
      <c r="D966" t="e">
        <f>VLOOKUP(A967,[1]timesData!$B:$P,3,FALSE)</f>
        <v>#N/A</v>
      </c>
      <c r="E966" t="e">
        <f>VLOOKUP(A967,[1]timesData!$B:$P,4,FALSE)</f>
        <v>#N/A</v>
      </c>
      <c r="F966" t="e">
        <f>VLOOKUP(A967,[1]timesData!$B:$P,5,FALSE)</f>
        <v>#N/A</v>
      </c>
      <c r="G966" t="e">
        <f>VLOOKUP(A967,[1]timesData!$B:$P,6,FALSE)</f>
        <v>#N/A</v>
      </c>
      <c r="H966" t="e">
        <f>VLOOKUP(A967,[1]timesData!$B:$P,7,FALSE)</f>
        <v>#N/A</v>
      </c>
      <c r="I966" t="e">
        <f>VLOOKUP(A967,[1]timesData!$B:$P,8,FALSE)</f>
        <v>#N/A</v>
      </c>
      <c r="J966" t="e">
        <f>VLOOKUP(A967,[1]timesData!$B:$P,9,FALSE)</f>
        <v>#N/A</v>
      </c>
      <c r="K966" t="e">
        <f>VLOOKUP(A967,[1]timesData!$B:$P,10,FALSE)</f>
        <v>#N/A</v>
      </c>
      <c r="L966" t="e">
        <f>VLOOKUP(A967,[1]timesData!$B:$P,11,FALSE)</f>
        <v>#N/A</v>
      </c>
      <c r="M966" t="e">
        <f>VLOOKUP(A967,[1]timesData!$B:$P,12,FALSE)</f>
        <v>#N/A</v>
      </c>
      <c r="N966" t="e">
        <f>VLOOKUP(A967,[1]timesData!$B:$P,13,FALSE)</f>
        <v>#N/A</v>
      </c>
      <c r="O966">
        <f>VLOOKUP(A966,[2]cwurData!$B:$P,14,FALSE)</f>
        <v>537</v>
      </c>
      <c r="P966">
        <f>VLOOKUP(A966,[2]cwurData!$B:$N, 3, FALSE)</f>
        <v>168</v>
      </c>
      <c r="Q966">
        <f>VLOOKUP(A966,[2]cwurData!$B:$N, 4, FALSE)</f>
        <v>218</v>
      </c>
      <c r="R966">
        <f>VLOOKUP(A966,[2]cwurData!$B:$N, 5, FALSE)</f>
        <v>273</v>
      </c>
      <c r="S966">
        <f>VLOOKUP(A966,[2]cwurData!$B:$N, 6, FALSE)</f>
        <v>210</v>
      </c>
      <c r="T966">
        <f>VLOOKUP(A966,[2]cwurData!$B:$N, 7, FALSE)</f>
        <v>537</v>
      </c>
      <c r="U966">
        <f>VLOOKUP(A966,[2]cwurData!$B:$N, 8, FALSE)</f>
        <v>491</v>
      </c>
      <c r="V966">
        <f>VLOOKUP(A966,[2]cwurData!$B:$N, 9, FALSE)</f>
        <v>406</v>
      </c>
      <c r="W966">
        <f>VLOOKUP(A966,[2]cwurData!$B:$N, 10, FALSE)</f>
        <v>536</v>
      </c>
      <c r="X966">
        <f>VLOOKUP(A966,[2]cwurData!$B:$N, 11, FALSE)</f>
        <v>737</v>
      </c>
      <c r="Y966">
        <f>VLOOKUP(A966,[2]cwurData!$B:$N, 12, FALSE)</f>
        <v>44.99</v>
      </c>
      <c r="Z966">
        <f>VLOOKUP(A966,[2]cwurData!$B:$N, 13, FALSE)</f>
        <v>2014</v>
      </c>
    </row>
    <row r="967" spans="1:26" x14ac:dyDescent="0.3">
      <c r="A967" t="s">
        <v>965</v>
      </c>
      <c r="B967" t="str">
        <f>IFERROR(VLOOKUP(A967,[1]timesData!$B:$P,2,FALSE),VLOOKUP(A967,[2]cwurData!$B:$P,2,FALSE))</f>
        <v>USA</v>
      </c>
      <c r="C967" t="e">
        <f>VLOOKUP(A967,[1]timesData!$B:$P,3,FALSE)</f>
        <v>#N/A</v>
      </c>
      <c r="D967" t="e">
        <f>VLOOKUP(A968,[1]timesData!$B:$P,3,FALSE)</f>
        <v>#N/A</v>
      </c>
      <c r="E967" t="e">
        <f>VLOOKUP(A968,[1]timesData!$B:$P,4,FALSE)</f>
        <v>#N/A</v>
      </c>
      <c r="F967" t="e">
        <f>VLOOKUP(A968,[1]timesData!$B:$P,5,FALSE)</f>
        <v>#N/A</v>
      </c>
      <c r="G967" t="e">
        <f>VLOOKUP(A968,[1]timesData!$B:$P,6,FALSE)</f>
        <v>#N/A</v>
      </c>
      <c r="H967" t="e">
        <f>VLOOKUP(A968,[1]timesData!$B:$P,7,FALSE)</f>
        <v>#N/A</v>
      </c>
      <c r="I967" t="e">
        <f>VLOOKUP(A968,[1]timesData!$B:$P,8,FALSE)</f>
        <v>#N/A</v>
      </c>
      <c r="J967" t="e">
        <f>VLOOKUP(A968,[1]timesData!$B:$P,9,FALSE)</f>
        <v>#N/A</v>
      </c>
      <c r="K967" t="e">
        <f>VLOOKUP(A968,[1]timesData!$B:$P,10,FALSE)</f>
        <v>#N/A</v>
      </c>
      <c r="L967" t="e">
        <f>VLOOKUP(A968,[1]timesData!$B:$P,11,FALSE)</f>
        <v>#N/A</v>
      </c>
      <c r="M967" t="e">
        <f>VLOOKUP(A968,[1]timesData!$B:$P,12,FALSE)</f>
        <v>#N/A</v>
      </c>
      <c r="N967" t="e">
        <f>VLOOKUP(A968,[1]timesData!$B:$P,13,FALSE)</f>
        <v>#N/A</v>
      </c>
      <c r="O967">
        <f>VLOOKUP(A967,[2]cwurData!$B:$P,14,FALSE)</f>
        <v>538</v>
      </c>
      <c r="P967">
        <f>VLOOKUP(A967,[2]cwurData!$B:$N, 3, FALSE)</f>
        <v>169</v>
      </c>
      <c r="Q967">
        <f>VLOOKUP(A967,[2]cwurData!$B:$N, 4, FALSE)</f>
        <v>335</v>
      </c>
      <c r="R967">
        <f>VLOOKUP(A967,[2]cwurData!$B:$N, 5, FALSE)</f>
        <v>140</v>
      </c>
      <c r="S967">
        <f>VLOOKUP(A967,[2]cwurData!$B:$N, 6, FALSE)</f>
        <v>210</v>
      </c>
      <c r="T967">
        <f>VLOOKUP(A967,[2]cwurData!$B:$N, 7, FALSE)</f>
        <v>991</v>
      </c>
      <c r="U967">
        <f>VLOOKUP(A967,[2]cwurData!$B:$N, 8, FALSE)</f>
        <v>796</v>
      </c>
      <c r="V967">
        <f>VLOOKUP(A967,[2]cwurData!$B:$N, 9, FALSE)</f>
        <v>609</v>
      </c>
      <c r="W967">
        <f>VLOOKUP(A967,[2]cwurData!$B:$N, 10, FALSE)</f>
        <v>783</v>
      </c>
      <c r="X967">
        <f>VLOOKUP(A967,[2]cwurData!$B:$N, 11, FALSE)</f>
        <v>552</v>
      </c>
      <c r="Y967">
        <f>VLOOKUP(A967,[2]cwurData!$B:$N, 12, FALSE)</f>
        <v>44.99</v>
      </c>
      <c r="Z967">
        <f>VLOOKUP(A967,[2]cwurData!$B:$N, 13, FALSE)</f>
        <v>2014</v>
      </c>
    </row>
    <row r="968" spans="1:26" x14ac:dyDescent="0.3">
      <c r="A968" t="s">
        <v>966</v>
      </c>
      <c r="B968" t="str">
        <f>IFERROR(VLOOKUP(A968,[1]timesData!$B:$P,2,FALSE),VLOOKUP(A968,[2]cwurData!$B:$P,2,FALSE))</f>
        <v>Japan</v>
      </c>
      <c r="C968" t="e">
        <f>VLOOKUP(A968,[1]timesData!$B:$P,3,FALSE)</f>
        <v>#N/A</v>
      </c>
      <c r="D968" t="e">
        <f>VLOOKUP(A969,[1]timesData!$B:$P,3,FALSE)</f>
        <v>#N/A</v>
      </c>
      <c r="E968" t="e">
        <f>VLOOKUP(A969,[1]timesData!$B:$P,4,FALSE)</f>
        <v>#N/A</v>
      </c>
      <c r="F968" t="e">
        <f>VLOOKUP(A969,[1]timesData!$B:$P,5,FALSE)</f>
        <v>#N/A</v>
      </c>
      <c r="G968" t="e">
        <f>VLOOKUP(A969,[1]timesData!$B:$P,6,FALSE)</f>
        <v>#N/A</v>
      </c>
      <c r="H968" t="e">
        <f>VLOOKUP(A969,[1]timesData!$B:$P,7,FALSE)</f>
        <v>#N/A</v>
      </c>
      <c r="I968" t="e">
        <f>VLOOKUP(A969,[1]timesData!$B:$P,8,FALSE)</f>
        <v>#N/A</v>
      </c>
      <c r="J968" t="e">
        <f>VLOOKUP(A969,[1]timesData!$B:$P,9,FALSE)</f>
        <v>#N/A</v>
      </c>
      <c r="K968" t="e">
        <f>VLOOKUP(A969,[1]timesData!$B:$P,10,FALSE)</f>
        <v>#N/A</v>
      </c>
      <c r="L968" t="e">
        <f>VLOOKUP(A969,[1]timesData!$B:$P,11,FALSE)</f>
        <v>#N/A</v>
      </c>
      <c r="M968" t="e">
        <f>VLOOKUP(A969,[1]timesData!$B:$P,12,FALSE)</f>
        <v>#N/A</v>
      </c>
      <c r="N968" t="e">
        <f>VLOOKUP(A969,[1]timesData!$B:$P,13,FALSE)</f>
        <v>#N/A</v>
      </c>
      <c r="O968">
        <f>VLOOKUP(A968,[2]cwurData!$B:$P,14,FALSE)</f>
        <v>539</v>
      </c>
      <c r="P968">
        <f>VLOOKUP(A968,[2]cwurData!$B:$N, 3, FALSE)</f>
        <v>30</v>
      </c>
      <c r="Q968">
        <f>VLOOKUP(A968,[2]cwurData!$B:$N, 4, FALSE)</f>
        <v>307</v>
      </c>
      <c r="R968">
        <f>VLOOKUP(A968,[2]cwurData!$B:$N, 5, FALSE)</f>
        <v>474</v>
      </c>
      <c r="S968">
        <f>VLOOKUP(A968,[2]cwurData!$B:$N, 6, FALSE)</f>
        <v>210</v>
      </c>
      <c r="T968">
        <f>VLOOKUP(A968,[2]cwurData!$B:$N, 7, FALSE)</f>
        <v>573</v>
      </c>
      <c r="U968">
        <f>VLOOKUP(A968,[2]cwurData!$B:$N, 8, FALSE)</f>
        <v>611</v>
      </c>
      <c r="V968">
        <f>VLOOKUP(A968,[2]cwurData!$B:$N, 9, FALSE)</f>
        <v>800</v>
      </c>
      <c r="W968">
        <f>VLOOKUP(A968,[2]cwurData!$B:$N, 10, FALSE)</f>
        <v>642</v>
      </c>
      <c r="X968">
        <f>VLOOKUP(A968,[2]cwurData!$B:$N, 11, FALSE)</f>
        <v>149</v>
      </c>
      <c r="Y968">
        <f>VLOOKUP(A968,[2]cwurData!$B:$N, 12, FALSE)</f>
        <v>44.98</v>
      </c>
      <c r="Z968">
        <f>VLOOKUP(A968,[2]cwurData!$B:$N, 13, FALSE)</f>
        <v>2014</v>
      </c>
    </row>
    <row r="969" spans="1:26" x14ac:dyDescent="0.3">
      <c r="A969" t="s">
        <v>967</v>
      </c>
      <c r="B969" t="str">
        <f>IFERROR(VLOOKUP(A969,[1]timesData!$B:$P,2,FALSE),VLOOKUP(A969,[2]cwurData!$B:$P,2,FALSE))</f>
        <v>USA</v>
      </c>
      <c r="C969" t="e">
        <f>VLOOKUP(A969,[1]timesData!$B:$P,3,FALSE)</f>
        <v>#N/A</v>
      </c>
      <c r="D969" t="e">
        <f>VLOOKUP(A970,[1]timesData!$B:$P,3,FALSE)</f>
        <v>#N/A</v>
      </c>
      <c r="E969" t="e">
        <f>VLOOKUP(A970,[1]timesData!$B:$P,4,FALSE)</f>
        <v>#N/A</v>
      </c>
      <c r="F969" t="e">
        <f>VLOOKUP(A970,[1]timesData!$B:$P,5,FALSE)</f>
        <v>#N/A</v>
      </c>
      <c r="G969" t="e">
        <f>VLOOKUP(A970,[1]timesData!$B:$P,6,FALSE)</f>
        <v>#N/A</v>
      </c>
      <c r="H969" t="e">
        <f>VLOOKUP(A970,[1]timesData!$B:$P,7,FALSE)</f>
        <v>#N/A</v>
      </c>
      <c r="I969" t="e">
        <f>VLOOKUP(A970,[1]timesData!$B:$P,8,FALSE)</f>
        <v>#N/A</v>
      </c>
      <c r="J969" t="e">
        <f>VLOOKUP(A970,[1]timesData!$B:$P,9,FALSE)</f>
        <v>#N/A</v>
      </c>
      <c r="K969" t="e">
        <f>VLOOKUP(A970,[1]timesData!$B:$P,10,FALSE)</f>
        <v>#N/A</v>
      </c>
      <c r="L969" t="e">
        <f>VLOOKUP(A970,[1]timesData!$B:$P,11,FALSE)</f>
        <v>#N/A</v>
      </c>
      <c r="M969" t="e">
        <f>VLOOKUP(A970,[1]timesData!$B:$P,12,FALSE)</f>
        <v>#N/A</v>
      </c>
      <c r="N969" t="e">
        <f>VLOOKUP(A970,[1]timesData!$B:$P,13,FALSE)</f>
        <v>#N/A</v>
      </c>
      <c r="O969">
        <f>VLOOKUP(A969,[2]cwurData!$B:$P,14,FALSE)</f>
        <v>540</v>
      </c>
      <c r="P969">
        <f>VLOOKUP(A969,[2]cwurData!$B:$N, 3, FALSE)</f>
        <v>170</v>
      </c>
      <c r="Q969">
        <f>VLOOKUP(A969,[2]cwurData!$B:$N, 4, FALSE)</f>
        <v>355</v>
      </c>
      <c r="R969">
        <f>VLOOKUP(A969,[2]cwurData!$B:$N, 5, FALSE)</f>
        <v>344</v>
      </c>
      <c r="S969">
        <f>VLOOKUP(A969,[2]cwurData!$B:$N, 6, FALSE)</f>
        <v>210</v>
      </c>
      <c r="T969">
        <f>VLOOKUP(A969,[2]cwurData!$B:$N, 7, FALSE)</f>
        <v>557</v>
      </c>
      <c r="U969">
        <f>VLOOKUP(A969,[2]cwurData!$B:$N, 8, FALSE)</f>
        <v>354</v>
      </c>
      <c r="V969">
        <f>VLOOKUP(A969,[2]cwurData!$B:$N, 9, FALSE)</f>
        <v>363</v>
      </c>
      <c r="W969">
        <f>VLOOKUP(A969,[2]cwurData!$B:$N, 10, FALSE)</f>
        <v>472</v>
      </c>
      <c r="X969">
        <f>VLOOKUP(A969,[2]cwurData!$B:$N, 11, FALSE)</f>
        <v>637</v>
      </c>
      <c r="Y969">
        <f>VLOOKUP(A969,[2]cwurData!$B:$N, 12, FALSE)</f>
        <v>44.98</v>
      </c>
      <c r="Z969">
        <f>VLOOKUP(A969,[2]cwurData!$B:$N, 13, FALSE)</f>
        <v>2014</v>
      </c>
    </row>
    <row r="970" spans="1:26" x14ac:dyDescent="0.3">
      <c r="A970" t="s">
        <v>968</v>
      </c>
      <c r="B970" t="str">
        <f>IFERROR(VLOOKUP(A970,[1]timesData!$B:$P,2,FALSE),VLOOKUP(A970,[2]cwurData!$B:$P,2,FALSE))</f>
        <v>Japan</v>
      </c>
      <c r="C970" t="e">
        <f>VLOOKUP(A970,[1]timesData!$B:$P,3,FALSE)</f>
        <v>#N/A</v>
      </c>
      <c r="D970" t="e">
        <f>VLOOKUP(A971,[1]timesData!$B:$P,3,FALSE)</f>
        <v>#N/A</v>
      </c>
      <c r="E970" t="e">
        <f>VLOOKUP(A971,[1]timesData!$B:$P,4,FALSE)</f>
        <v>#N/A</v>
      </c>
      <c r="F970" t="e">
        <f>VLOOKUP(A971,[1]timesData!$B:$P,5,FALSE)</f>
        <v>#N/A</v>
      </c>
      <c r="G970" t="e">
        <f>VLOOKUP(A971,[1]timesData!$B:$P,6,FALSE)</f>
        <v>#N/A</v>
      </c>
      <c r="H970" t="e">
        <f>VLOOKUP(A971,[1]timesData!$B:$P,7,FALSE)</f>
        <v>#N/A</v>
      </c>
      <c r="I970" t="e">
        <f>VLOOKUP(A971,[1]timesData!$B:$P,8,FALSE)</f>
        <v>#N/A</v>
      </c>
      <c r="J970" t="e">
        <f>VLOOKUP(A971,[1]timesData!$B:$P,9,FALSE)</f>
        <v>#N/A</v>
      </c>
      <c r="K970" t="e">
        <f>VLOOKUP(A971,[1]timesData!$B:$P,10,FALSE)</f>
        <v>#N/A</v>
      </c>
      <c r="L970" t="e">
        <f>VLOOKUP(A971,[1]timesData!$B:$P,11,FALSE)</f>
        <v>#N/A</v>
      </c>
      <c r="M970" t="e">
        <f>VLOOKUP(A971,[1]timesData!$B:$P,12,FALSE)</f>
        <v>#N/A</v>
      </c>
      <c r="N970" t="e">
        <f>VLOOKUP(A971,[1]timesData!$B:$P,13,FALSE)</f>
        <v>#N/A</v>
      </c>
      <c r="O970">
        <f>VLOOKUP(A970,[2]cwurData!$B:$P,14,FALSE)</f>
        <v>542</v>
      </c>
      <c r="P970">
        <f>VLOOKUP(A970,[2]cwurData!$B:$N, 3, FALSE)</f>
        <v>31</v>
      </c>
      <c r="Q970">
        <f>VLOOKUP(A970,[2]cwurData!$B:$N, 4, FALSE)</f>
        <v>355</v>
      </c>
      <c r="R970">
        <f>VLOOKUP(A970,[2]cwurData!$B:$N, 5, FALSE)</f>
        <v>478</v>
      </c>
      <c r="S970">
        <f>VLOOKUP(A970,[2]cwurData!$B:$N, 6, FALSE)</f>
        <v>210</v>
      </c>
      <c r="T970">
        <f>VLOOKUP(A970,[2]cwurData!$B:$N, 7, FALSE)</f>
        <v>763</v>
      </c>
      <c r="U970">
        <f>VLOOKUP(A970,[2]cwurData!$B:$N, 8, FALSE)</f>
        <v>609</v>
      </c>
      <c r="V970">
        <f>VLOOKUP(A970,[2]cwurData!$B:$N, 9, FALSE)</f>
        <v>493</v>
      </c>
      <c r="W970">
        <f>VLOOKUP(A970,[2]cwurData!$B:$N, 10, FALSE)</f>
        <v>460</v>
      </c>
      <c r="X970">
        <f>VLOOKUP(A970,[2]cwurData!$B:$N, 11, FALSE)</f>
        <v>259</v>
      </c>
      <c r="Y970">
        <f>VLOOKUP(A970,[2]cwurData!$B:$N, 12, FALSE)</f>
        <v>44.98</v>
      </c>
      <c r="Z970">
        <f>VLOOKUP(A970,[2]cwurData!$B:$N, 13, FALSE)</f>
        <v>2014</v>
      </c>
    </row>
    <row r="971" spans="1:26" x14ac:dyDescent="0.3">
      <c r="A971" t="s">
        <v>969</v>
      </c>
      <c r="B971" t="str">
        <f>IFERROR(VLOOKUP(A971,[1]timesData!$B:$P,2,FALSE),VLOOKUP(A971,[2]cwurData!$B:$P,2,FALSE))</f>
        <v>Japan</v>
      </c>
      <c r="C971" t="e">
        <f>VLOOKUP(A971,[1]timesData!$B:$P,3,FALSE)</f>
        <v>#N/A</v>
      </c>
      <c r="D971" t="e">
        <f>VLOOKUP(A972,[1]timesData!$B:$P,3,FALSE)</f>
        <v>#N/A</v>
      </c>
      <c r="E971" t="e">
        <f>VLOOKUP(A972,[1]timesData!$B:$P,4,FALSE)</f>
        <v>#N/A</v>
      </c>
      <c r="F971" t="e">
        <f>VLOOKUP(A972,[1]timesData!$B:$P,5,FALSE)</f>
        <v>#N/A</v>
      </c>
      <c r="G971" t="e">
        <f>VLOOKUP(A972,[1]timesData!$B:$P,6,FALSE)</f>
        <v>#N/A</v>
      </c>
      <c r="H971" t="e">
        <f>VLOOKUP(A972,[1]timesData!$B:$P,7,FALSE)</f>
        <v>#N/A</v>
      </c>
      <c r="I971" t="e">
        <f>VLOOKUP(A972,[1]timesData!$B:$P,8,FALSE)</f>
        <v>#N/A</v>
      </c>
      <c r="J971" t="e">
        <f>VLOOKUP(A972,[1]timesData!$B:$P,9,FALSE)</f>
        <v>#N/A</v>
      </c>
      <c r="K971" t="e">
        <f>VLOOKUP(A972,[1]timesData!$B:$P,10,FALSE)</f>
        <v>#N/A</v>
      </c>
      <c r="L971" t="e">
        <f>VLOOKUP(A972,[1]timesData!$B:$P,11,FALSE)</f>
        <v>#N/A</v>
      </c>
      <c r="M971" t="e">
        <f>VLOOKUP(A972,[1]timesData!$B:$P,12,FALSE)</f>
        <v>#N/A</v>
      </c>
      <c r="N971" t="e">
        <f>VLOOKUP(A972,[1]timesData!$B:$P,13,FALSE)</f>
        <v>#N/A</v>
      </c>
      <c r="O971">
        <f>VLOOKUP(A971,[2]cwurData!$B:$P,14,FALSE)</f>
        <v>547</v>
      </c>
      <c r="P971">
        <f>VLOOKUP(A971,[2]cwurData!$B:$N, 3, FALSE)</f>
        <v>32</v>
      </c>
      <c r="Q971">
        <f>VLOOKUP(A971,[2]cwurData!$B:$N, 4, FALSE)</f>
        <v>355</v>
      </c>
      <c r="R971">
        <f>VLOOKUP(A971,[2]cwurData!$B:$N, 5, FALSE)</f>
        <v>478</v>
      </c>
      <c r="S971">
        <f>VLOOKUP(A971,[2]cwurData!$B:$N, 6, FALSE)</f>
        <v>210</v>
      </c>
      <c r="T971">
        <f>VLOOKUP(A971,[2]cwurData!$B:$N, 7, FALSE)</f>
        <v>715</v>
      </c>
      <c r="U971">
        <f>VLOOKUP(A971,[2]cwurData!$B:$N, 8, FALSE)</f>
        <v>304</v>
      </c>
      <c r="V971">
        <f>VLOOKUP(A971,[2]cwurData!$B:$N, 9, FALSE)</f>
        <v>493</v>
      </c>
      <c r="W971">
        <f>VLOOKUP(A971,[2]cwurData!$B:$N, 10, FALSE)</f>
        <v>437</v>
      </c>
      <c r="X971">
        <f>VLOOKUP(A971,[2]cwurData!$B:$N, 11, FALSE)</f>
        <v>426</v>
      </c>
      <c r="Y971">
        <f>VLOOKUP(A971,[2]cwurData!$B:$N, 12, FALSE)</f>
        <v>44.96</v>
      </c>
      <c r="Z971">
        <f>VLOOKUP(A971,[2]cwurData!$B:$N, 13, FALSE)</f>
        <v>2014</v>
      </c>
    </row>
    <row r="972" spans="1:26" x14ac:dyDescent="0.3">
      <c r="A972" t="s">
        <v>970</v>
      </c>
      <c r="B972" t="str">
        <f>IFERROR(VLOOKUP(A972,[1]timesData!$B:$P,2,FALSE),VLOOKUP(A972,[2]cwurData!$B:$P,2,FALSE))</f>
        <v>Japan</v>
      </c>
      <c r="C972" t="e">
        <f>VLOOKUP(A972,[1]timesData!$B:$P,3,FALSE)</f>
        <v>#N/A</v>
      </c>
      <c r="D972" t="e">
        <f>VLOOKUP(A973,[1]timesData!$B:$P,3,FALSE)</f>
        <v>#N/A</v>
      </c>
      <c r="E972" t="e">
        <f>VLOOKUP(A973,[1]timesData!$B:$P,4,FALSE)</f>
        <v>#N/A</v>
      </c>
      <c r="F972" t="e">
        <f>VLOOKUP(A973,[1]timesData!$B:$P,5,FALSE)</f>
        <v>#N/A</v>
      </c>
      <c r="G972" t="e">
        <f>VLOOKUP(A973,[1]timesData!$B:$P,6,FALSE)</f>
        <v>#N/A</v>
      </c>
      <c r="H972" t="e">
        <f>VLOOKUP(A973,[1]timesData!$B:$P,7,FALSE)</f>
        <v>#N/A</v>
      </c>
      <c r="I972" t="e">
        <f>VLOOKUP(A973,[1]timesData!$B:$P,8,FALSE)</f>
        <v>#N/A</v>
      </c>
      <c r="J972" t="e">
        <f>VLOOKUP(A973,[1]timesData!$B:$P,9,FALSE)</f>
        <v>#N/A</v>
      </c>
      <c r="K972" t="e">
        <f>VLOOKUP(A973,[1]timesData!$B:$P,10,FALSE)</f>
        <v>#N/A</v>
      </c>
      <c r="L972" t="e">
        <f>VLOOKUP(A973,[1]timesData!$B:$P,11,FALSE)</f>
        <v>#N/A</v>
      </c>
      <c r="M972" t="e">
        <f>VLOOKUP(A973,[1]timesData!$B:$P,12,FALSE)</f>
        <v>#N/A</v>
      </c>
      <c r="N972" t="e">
        <f>VLOOKUP(A973,[1]timesData!$B:$P,13,FALSE)</f>
        <v>#N/A</v>
      </c>
      <c r="O972">
        <f>VLOOKUP(A972,[2]cwurData!$B:$P,14,FALSE)</f>
        <v>555</v>
      </c>
      <c r="P972">
        <f>VLOOKUP(A972,[2]cwurData!$B:$N, 3, FALSE)</f>
        <v>33</v>
      </c>
      <c r="Q972">
        <f>VLOOKUP(A972,[2]cwurData!$B:$N, 4, FALSE)</f>
        <v>355</v>
      </c>
      <c r="R972">
        <f>VLOOKUP(A972,[2]cwurData!$B:$N, 5, FALSE)</f>
        <v>306</v>
      </c>
      <c r="S972">
        <f>VLOOKUP(A972,[2]cwurData!$B:$N, 6, FALSE)</f>
        <v>210</v>
      </c>
      <c r="T972">
        <f>VLOOKUP(A972,[2]cwurData!$B:$N, 7, FALSE)</f>
        <v>764</v>
      </c>
      <c r="U972">
        <f>VLOOKUP(A972,[2]cwurData!$B:$N, 8, FALSE)</f>
        <v>531</v>
      </c>
      <c r="V972">
        <f>VLOOKUP(A972,[2]cwurData!$B:$N, 9, FALSE)</f>
        <v>310</v>
      </c>
      <c r="W972">
        <f>VLOOKUP(A972,[2]cwurData!$B:$N, 10, FALSE)</f>
        <v>531</v>
      </c>
      <c r="X972">
        <f>VLOOKUP(A972,[2]cwurData!$B:$N, 11, FALSE)</f>
        <v>307</v>
      </c>
      <c r="Y972">
        <f>VLOOKUP(A972,[2]cwurData!$B:$N, 12, FALSE)</f>
        <v>44.94</v>
      </c>
      <c r="Z972">
        <f>VLOOKUP(A972,[2]cwurData!$B:$N, 13, FALSE)</f>
        <v>2014</v>
      </c>
    </row>
    <row r="973" spans="1:26" x14ac:dyDescent="0.3">
      <c r="A973" t="s">
        <v>971</v>
      </c>
      <c r="B973" t="str">
        <f>IFERROR(VLOOKUP(A973,[1]timesData!$B:$P,2,FALSE),VLOOKUP(A973,[2]cwurData!$B:$P,2,FALSE))</f>
        <v>France</v>
      </c>
      <c r="C973" t="e">
        <f>VLOOKUP(A973,[1]timesData!$B:$P,3,FALSE)</f>
        <v>#N/A</v>
      </c>
      <c r="D973" t="e">
        <f>VLOOKUP(A974,[1]timesData!$B:$P,3,FALSE)</f>
        <v>#N/A</v>
      </c>
      <c r="E973" t="e">
        <f>VLOOKUP(A974,[1]timesData!$B:$P,4,FALSE)</f>
        <v>#N/A</v>
      </c>
      <c r="F973" t="e">
        <f>VLOOKUP(A974,[1]timesData!$B:$P,5,FALSE)</f>
        <v>#N/A</v>
      </c>
      <c r="G973" t="e">
        <f>VLOOKUP(A974,[1]timesData!$B:$P,6,FALSE)</f>
        <v>#N/A</v>
      </c>
      <c r="H973" t="e">
        <f>VLOOKUP(A974,[1]timesData!$B:$P,7,FALSE)</f>
        <v>#N/A</v>
      </c>
      <c r="I973" t="e">
        <f>VLOOKUP(A974,[1]timesData!$B:$P,8,FALSE)</f>
        <v>#N/A</v>
      </c>
      <c r="J973" t="e">
        <f>VLOOKUP(A974,[1]timesData!$B:$P,9,FALSE)</f>
        <v>#N/A</v>
      </c>
      <c r="K973" t="e">
        <f>VLOOKUP(A974,[1]timesData!$B:$P,10,FALSE)</f>
        <v>#N/A</v>
      </c>
      <c r="L973" t="e">
        <f>VLOOKUP(A974,[1]timesData!$B:$P,11,FALSE)</f>
        <v>#N/A</v>
      </c>
      <c r="M973" t="e">
        <f>VLOOKUP(A974,[1]timesData!$B:$P,12,FALSE)</f>
        <v>#N/A</v>
      </c>
      <c r="N973" t="e">
        <f>VLOOKUP(A974,[1]timesData!$B:$P,13,FALSE)</f>
        <v>#N/A</v>
      </c>
      <c r="O973">
        <f>VLOOKUP(A973,[2]cwurData!$B:$P,14,FALSE)</f>
        <v>557</v>
      </c>
      <c r="P973">
        <f>VLOOKUP(A973,[2]cwurData!$B:$N, 3, FALSE)</f>
        <v>24</v>
      </c>
      <c r="Q973">
        <f>VLOOKUP(A973,[2]cwurData!$B:$N, 4, FALSE)</f>
        <v>355</v>
      </c>
      <c r="R973">
        <f>VLOOKUP(A973,[2]cwurData!$B:$N, 5, FALSE)</f>
        <v>478</v>
      </c>
      <c r="S973">
        <f>VLOOKUP(A973,[2]cwurData!$B:$N, 6, FALSE)</f>
        <v>210</v>
      </c>
      <c r="T973">
        <f>VLOOKUP(A973,[2]cwurData!$B:$N, 7, FALSE)</f>
        <v>505</v>
      </c>
      <c r="U973">
        <f>VLOOKUP(A973,[2]cwurData!$B:$N, 8, FALSE)</f>
        <v>453</v>
      </c>
      <c r="V973">
        <f>VLOOKUP(A973,[2]cwurData!$B:$N, 9, FALSE)</f>
        <v>406</v>
      </c>
      <c r="W973">
        <f>VLOOKUP(A973,[2]cwurData!$B:$N, 10, FALSE)</f>
        <v>452</v>
      </c>
      <c r="X973">
        <f>VLOOKUP(A973,[2]cwurData!$B:$N, 11, FALSE)</f>
        <v>552</v>
      </c>
      <c r="Y973">
        <f>VLOOKUP(A973,[2]cwurData!$B:$N, 12, FALSE)</f>
        <v>44.94</v>
      </c>
      <c r="Z973">
        <f>VLOOKUP(A973,[2]cwurData!$B:$N, 13, FALSE)</f>
        <v>2014</v>
      </c>
    </row>
    <row r="974" spans="1:26" x14ac:dyDescent="0.3">
      <c r="A974" t="s">
        <v>972</v>
      </c>
      <c r="B974" t="str">
        <f>IFERROR(VLOOKUP(A974,[1]timesData!$B:$P,2,FALSE),VLOOKUP(A974,[2]cwurData!$B:$P,2,FALSE))</f>
        <v>Norway</v>
      </c>
      <c r="C974" t="e">
        <f>VLOOKUP(A974,[1]timesData!$B:$P,3,FALSE)</f>
        <v>#N/A</v>
      </c>
      <c r="D974" t="e">
        <f>VLOOKUP(A975,[1]timesData!$B:$P,3,FALSE)</f>
        <v>#N/A</v>
      </c>
      <c r="E974" t="e">
        <f>VLOOKUP(A975,[1]timesData!$B:$P,4,FALSE)</f>
        <v>#N/A</v>
      </c>
      <c r="F974" t="e">
        <f>VLOOKUP(A975,[1]timesData!$B:$P,5,FALSE)</f>
        <v>#N/A</v>
      </c>
      <c r="G974" t="e">
        <f>VLOOKUP(A975,[1]timesData!$B:$P,6,FALSE)</f>
        <v>#N/A</v>
      </c>
      <c r="H974" t="e">
        <f>VLOOKUP(A975,[1]timesData!$B:$P,7,FALSE)</f>
        <v>#N/A</v>
      </c>
      <c r="I974" t="e">
        <f>VLOOKUP(A975,[1]timesData!$B:$P,8,FALSE)</f>
        <v>#N/A</v>
      </c>
      <c r="J974" t="e">
        <f>VLOOKUP(A975,[1]timesData!$B:$P,9,FALSE)</f>
        <v>#N/A</v>
      </c>
      <c r="K974" t="e">
        <f>VLOOKUP(A975,[1]timesData!$B:$P,10,FALSE)</f>
        <v>#N/A</v>
      </c>
      <c r="L974" t="e">
        <f>VLOOKUP(A975,[1]timesData!$B:$P,11,FALSE)</f>
        <v>#N/A</v>
      </c>
      <c r="M974" t="e">
        <f>VLOOKUP(A975,[1]timesData!$B:$P,12,FALSE)</f>
        <v>#N/A</v>
      </c>
      <c r="N974" t="e">
        <f>VLOOKUP(A975,[1]timesData!$B:$P,13,FALSE)</f>
        <v>#N/A</v>
      </c>
      <c r="O974">
        <f>VLOOKUP(A974,[2]cwurData!$B:$P,14,FALSE)</f>
        <v>558</v>
      </c>
      <c r="P974">
        <f>VLOOKUP(A974,[2]cwurData!$B:$N, 3, FALSE)</f>
        <v>4</v>
      </c>
      <c r="Q974">
        <f>VLOOKUP(A974,[2]cwurData!$B:$N, 4, FALSE)</f>
        <v>355</v>
      </c>
      <c r="R974">
        <f>VLOOKUP(A974,[2]cwurData!$B:$N, 5, FALSE)</f>
        <v>478</v>
      </c>
      <c r="S974">
        <f>VLOOKUP(A974,[2]cwurData!$B:$N, 6, FALSE)</f>
        <v>210</v>
      </c>
      <c r="T974">
        <f>VLOOKUP(A974,[2]cwurData!$B:$N, 7, FALSE)</f>
        <v>493</v>
      </c>
      <c r="U974">
        <f>VLOOKUP(A974,[2]cwurData!$B:$N, 8, FALSE)</f>
        <v>413</v>
      </c>
      <c r="V974">
        <f>VLOOKUP(A974,[2]cwurData!$B:$N, 9, FALSE)</f>
        <v>310</v>
      </c>
      <c r="W974">
        <f>VLOOKUP(A974,[2]cwurData!$B:$N, 10, FALSE)</f>
        <v>460</v>
      </c>
      <c r="X974">
        <f>VLOOKUP(A974,[2]cwurData!$B:$N, 11, FALSE)</f>
        <v>737</v>
      </c>
      <c r="Y974">
        <f>VLOOKUP(A974,[2]cwurData!$B:$N, 12, FALSE)</f>
        <v>44.94</v>
      </c>
      <c r="Z974">
        <f>VLOOKUP(A974,[2]cwurData!$B:$N, 13, FALSE)</f>
        <v>2014</v>
      </c>
    </row>
    <row r="975" spans="1:26" x14ac:dyDescent="0.3">
      <c r="A975" t="s">
        <v>973</v>
      </c>
      <c r="B975" t="str">
        <f>IFERROR(VLOOKUP(A975,[1]timesData!$B:$P,2,FALSE),VLOOKUP(A975,[2]cwurData!$B:$P,2,FALSE))</f>
        <v>USA</v>
      </c>
      <c r="C975" t="e">
        <f>VLOOKUP(A975,[1]timesData!$B:$P,3,FALSE)</f>
        <v>#N/A</v>
      </c>
      <c r="D975" t="e">
        <f>VLOOKUP(A976,[1]timesData!$B:$P,3,FALSE)</f>
        <v>#N/A</v>
      </c>
      <c r="E975" t="e">
        <f>VLOOKUP(A976,[1]timesData!$B:$P,4,FALSE)</f>
        <v>#N/A</v>
      </c>
      <c r="F975" t="e">
        <f>VLOOKUP(A976,[1]timesData!$B:$P,5,FALSE)</f>
        <v>#N/A</v>
      </c>
      <c r="G975" t="e">
        <f>VLOOKUP(A976,[1]timesData!$B:$P,6,FALSE)</f>
        <v>#N/A</v>
      </c>
      <c r="H975" t="e">
        <f>VLOOKUP(A976,[1]timesData!$B:$P,7,FALSE)</f>
        <v>#N/A</v>
      </c>
      <c r="I975" t="e">
        <f>VLOOKUP(A976,[1]timesData!$B:$P,8,FALSE)</f>
        <v>#N/A</v>
      </c>
      <c r="J975" t="e">
        <f>VLOOKUP(A976,[1]timesData!$B:$P,9,FALSE)</f>
        <v>#N/A</v>
      </c>
      <c r="K975" t="e">
        <f>VLOOKUP(A976,[1]timesData!$B:$P,10,FALSE)</f>
        <v>#N/A</v>
      </c>
      <c r="L975" t="e">
        <f>VLOOKUP(A976,[1]timesData!$B:$P,11,FALSE)</f>
        <v>#N/A</v>
      </c>
      <c r="M975" t="e">
        <f>VLOOKUP(A976,[1]timesData!$B:$P,12,FALSE)</f>
        <v>#N/A</v>
      </c>
      <c r="N975" t="e">
        <f>VLOOKUP(A976,[1]timesData!$B:$P,13,FALSE)</f>
        <v>#N/A</v>
      </c>
      <c r="O975">
        <f>VLOOKUP(A975,[2]cwurData!$B:$P,14,FALSE)</f>
        <v>559</v>
      </c>
      <c r="P975">
        <f>VLOOKUP(A975,[2]cwurData!$B:$N, 3, FALSE)</f>
        <v>172</v>
      </c>
      <c r="Q975">
        <f>VLOOKUP(A975,[2]cwurData!$B:$N, 4, FALSE)</f>
        <v>286</v>
      </c>
      <c r="R975">
        <f>VLOOKUP(A975,[2]cwurData!$B:$N, 5, FALSE)</f>
        <v>357</v>
      </c>
      <c r="S975">
        <f>VLOOKUP(A975,[2]cwurData!$B:$N, 6, FALSE)</f>
        <v>210</v>
      </c>
      <c r="T975">
        <f>VLOOKUP(A975,[2]cwurData!$B:$N, 7, FALSE)</f>
        <v>638</v>
      </c>
      <c r="U975">
        <f>VLOOKUP(A975,[2]cwurData!$B:$N, 8, FALSE)</f>
        <v>430</v>
      </c>
      <c r="V975">
        <f>VLOOKUP(A975,[2]cwurData!$B:$N, 9, FALSE)</f>
        <v>800</v>
      </c>
      <c r="W975">
        <f>VLOOKUP(A975,[2]cwurData!$B:$N, 10, FALSE)</f>
        <v>488</v>
      </c>
      <c r="X975">
        <f>VLOOKUP(A975,[2]cwurData!$B:$N, 11, FALSE)</f>
        <v>552</v>
      </c>
      <c r="Y975">
        <f>VLOOKUP(A975,[2]cwurData!$B:$N, 12, FALSE)</f>
        <v>44.93</v>
      </c>
      <c r="Z975">
        <f>VLOOKUP(A975,[2]cwurData!$B:$N, 13, FALSE)</f>
        <v>2014</v>
      </c>
    </row>
    <row r="976" spans="1:26" x14ac:dyDescent="0.3">
      <c r="A976" t="s">
        <v>974</v>
      </c>
      <c r="B976" t="str">
        <f>IFERROR(VLOOKUP(A976,[1]timesData!$B:$P,2,FALSE),VLOOKUP(A976,[2]cwurData!$B:$P,2,FALSE))</f>
        <v>China</v>
      </c>
      <c r="C976" t="e">
        <f>VLOOKUP(A976,[1]timesData!$B:$P,3,FALSE)</f>
        <v>#N/A</v>
      </c>
      <c r="D976" t="e">
        <f>VLOOKUP(A977,[1]timesData!$B:$P,3,FALSE)</f>
        <v>#N/A</v>
      </c>
      <c r="E976" t="e">
        <f>VLOOKUP(A977,[1]timesData!$B:$P,4,FALSE)</f>
        <v>#N/A</v>
      </c>
      <c r="F976" t="e">
        <f>VLOOKUP(A977,[1]timesData!$B:$P,5,FALSE)</f>
        <v>#N/A</v>
      </c>
      <c r="G976" t="e">
        <f>VLOOKUP(A977,[1]timesData!$B:$P,6,FALSE)</f>
        <v>#N/A</v>
      </c>
      <c r="H976" t="e">
        <f>VLOOKUP(A977,[1]timesData!$B:$P,7,FALSE)</f>
        <v>#N/A</v>
      </c>
      <c r="I976" t="e">
        <f>VLOOKUP(A977,[1]timesData!$B:$P,8,FALSE)</f>
        <v>#N/A</v>
      </c>
      <c r="J976" t="e">
        <f>VLOOKUP(A977,[1]timesData!$B:$P,9,FALSE)</f>
        <v>#N/A</v>
      </c>
      <c r="K976" t="e">
        <f>VLOOKUP(A977,[1]timesData!$B:$P,10,FALSE)</f>
        <v>#N/A</v>
      </c>
      <c r="L976" t="e">
        <f>VLOOKUP(A977,[1]timesData!$B:$P,11,FALSE)</f>
        <v>#N/A</v>
      </c>
      <c r="M976" t="e">
        <f>VLOOKUP(A977,[1]timesData!$B:$P,12,FALSE)</f>
        <v>#N/A</v>
      </c>
      <c r="N976" t="e">
        <f>VLOOKUP(A977,[1]timesData!$B:$P,13,FALSE)</f>
        <v>#N/A</v>
      </c>
      <c r="O976">
        <f>VLOOKUP(A976,[2]cwurData!$B:$P,14,FALSE)</f>
        <v>560</v>
      </c>
      <c r="P976">
        <f>VLOOKUP(A976,[2]cwurData!$B:$N, 3, FALSE)</f>
        <v>26</v>
      </c>
      <c r="Q976">
        <f>VLOOKUP(A976,[2]cwurData!$B:$N, 4, FALSE)</f>
        <v>355</v>
      </c>
      <c r="R976">
        <f>VLOOKUP(A976,[2]cwurData!$B:$N, 5, FALSE)</f>
        <v>254</v>
      </c>
      <c r="S976">
        <f>VLOOKUP(A976,[2]cwurData!$B:$N, 6, FALSE)</f>
        <v>210</v>
      </c>
      <c r="T976">
        <f>VLOOKUP(A976,[2]cwurData!$B:$N, 7, FALSE)</f>
        <v>523</v>
      </c>
      <c r="U976">
        <f>VLOOKUP(A976,[2]cwurData!$B:$N, 8, FALSE)</f>
        <v>881</v>
      </c>
      <c r="V976">
        <f>VLOOKUP(A976,[2]cwurData!$B:$N, 9, FALSE)</f>
        <v>609</v>
      </c>
      <c r="W976">
        <f>VLOOKUP(A976,[2]cwurData!$B:$N, 10, FALSE)</f>
        <v>800</v>
      </c>
      <c r="X976">
        <f>VLOOKUP(A976,[2]cwurData!$B:$N, 11, FALSE)</f>
        <v>170</v>
      </c>
      <c r="Y976">
        <f>VLOOKUP(A976,[2]cwurData!$B:$N, 12, FALSE)</f>
        <v>44.93</v>
      </c>
      <c r="Z976">
        <f>VLOOKUP(A976,[2]cwurData!$B:$N, 13, FALSE)</f>
        <v>2014</v>
      </c>
    </row>
    <row r="977" spans="1:26" x14ac:dyDescent="0.3">
      <c r="A977" t="s">
        <v>975</v>
      </c>
      <c r="B977" t="str">
        <f>IFERROR(VLOOKUP(A977,[1]timesData!$B:$P,2,FALSE),VLOOKUP(A977,[2]cwurData!$B:$P,2,FALSE))</f>
        <v>Croatia</v>
      </c>
      <c r="C977" t="e">
        <f>VLOOKUP(A977,[1]timesData!$B:$P,3,FALSE)</f>
        <v>#N/A</v>
      </c>
      <c r="D977" t="e">
        <f>VLOOKUP(A978,[1]timesData!$B:$P,3,FALSE)</f>
        <v>#N/A</v>
      </c>
      <c r="E977" t="e">
        <f>VLOOKUP(A978,[1]timesData!$B:$P,4,FALSE)</f>
        <v>#N/A</v>
      </c>
      <c r="F977" t="e">
        <f>VLOOKUP(A978,[1]timesData!$B:$P,5,FALSE)</f>
        <v>#N/A</v>
      </c>
      <c r="G977" t="e">
        <f>VLOOKUP(A978,[1]timesData!$B:$P,6,FALSE)</f>
        <v>#N/A</v>
      </c>
      <c r="H977" t="e">
        <f>VLOOKUP(A978,[1]timesData!$B:$P,7,FALSE)</f>
        <v>#N/A</v>
      </c>
      <c r="I977" t="e">
        <f>VLOOKUP(A978,[1]timesData!$B:$P,8,FALSE)</f>
        <v>#N/A</v>
      </c>
      <c r="J977" t="e">
        <f>VLOOKUP(A978,[1]timesData!$B:$P,9,FALSE)</f>
        <v>#N/A</v>
      </c>
      <c r="K977" t="e">
        <f>VLOOKUP(A978,[1]timesData!$B:$P,10,FALSE)</f>
        <v>#N/A</v>
      </c>
      <c r="L977" t="e">
        <f>VLOOKUP(A978,[1]timesData!$B:$P,11,FALSE)</f>
        <v>#N/A</v>
      </c>
      <c r="M977" t="e">
        <f>VLOOKUP(A978,[1]timesData!$B:$P,12,FALSE)</f>
        <v>#N/A</v>
      </c>
      <c r="N977" t="e">
        <f>VLOOKUP(A978,[1]timesData!$B:$P,13,FALSE)</f>
        <v>#N/A</v>
      </c>
      <c r="O977">
        <f>VLOOKUP(A977,[2]cwurData!$B:$P,14,FALSE)</f>
        <v>564</v>
      </c>
      <c r="P977">
        <f>VLOOKUP(A977,[2]cwurData!$B:$N, 3, FALSE)</f>
        <v>1</v>
      </c>
      <c r="Q977">
        <f>VLOOKUP(A977,[2]cwurData!$B:$N, 4, FALSE)</f>
        <v>355</v>
      </c>
      <c r="R977">
        <f>VLOOKUP(A977,[2]cwurData!$B:$N, 5, FALSE)</f>
        <v>478</v>
      </c>
      <c r="S977">
        <f>VLOOKUP(A977,[2]cwurData!$B:$N, 6, FALSE)</f>
        <v>210</v>
      </c>
      <c r="T977">
        <f>VLOOKUP(A977,[2]cwurData!$B:$N, 7, FALSE)</f>
        <v>572</v>
      </c>
      <c r="U977">
        <f>VLOOKUP(A977,[2]cwurData!$B:$N, 8, FALSE)</f>
        <v>528</v>
      </c>
      <c r="V977">
        <f>VLOOKUP(A977,[2]cwurData!$B:$N, 9, FALSE)</f>
        <v>406</v>
      </c>
      <c r="W977">
        <f>VLOOKUP(A977,[2]cwurData!$B:$N, 10, FALSE)</f>
        <v>460</v>
      </c>
      <c r="X977">
        <f>VLOOKUP(A977,[2]cwurData!$B:$N, 11, FALSE)</f>
        <v>426</v>
      </c>
      <c r="Y977">
        <f>VLOOKUP(A977,[2]cwurData!$B:$N, 12, FALSE)</f>
        <v>44.92</v>
      </c>
      <c r="Z977">
        <f>VLOOKUP(A977,[2]cwurData!$B:$N, 13, FALSE)</f>
        <v>2014</v>
      </c>
    </row>
    <row r="978" spans="1:26" x14ac:dyDescent="0.3">
      <c r="A978" t="s">
        <v>976</v>
      </c>
      <c r="B978" t="str">
        <f>IFERROR(VLOOKUP(A978,[1]timesData!$B:$P,2,FALSE),VLOOKUP(A978,[2]cwurData!$B:$P,2,FALSE))</f>
        <v>France</v>
      </c>
      <c r="C978" t="e">
        <f>VLOOKUP(A978,[1]timesData!$B:$P,3,FALSE)</f>
        <v>#N/A</v>
      </c>
      <c r="D978" t="e">
        <f>VLOOKUP(A979,[1]timesData!$B:$P,3,FALSE)</f>
        <v>#N/A</v>
      </c>
      <c r="E978" t="e">
        <f>VLOOKUP(A979,[1]timesData!$B:$P,4,FALSE)</f>
        <v>#N/A</v>
      </c>
      <c r="F978" t="e">
        <f>VLOOKUP(A979,[1]timesData!$B:$P,5,FALSE)</f>
        <v>#N/A</v>
      </c>
      <c r="G978" t="e">
        <f>VLOOKUP(A979,[1]timesData!$B:$P,6,FALSE)</f>
        <v>#N/A</v>
      </c>
      <c r="H978" t="e">
        <f>VLOOKUP(A979,[1]timesData!$B:$P,7,FALSE)</f>
        <v>#N/A</v>
      </c>
      <c r="I978" t="e">
        <f>VLOOKUP(A979,[1]timesData!$B:$P,8,FALSE)</f>
        <v>#N/A</v>
      </c>
      <c r="J978" t="e">
        <f>VLOOKUP(A979,[1]timesData!$B:$P,9,FALSE)</f>
        <v>#N/A</v>
      </c>
      <c r="K978" t="e">
        <f>VLOOKUP(A979,[1]timesData!$B:$P,10,FALSE)</f>
        <v>#N/A</v>
      </c>
      <c r="L978" t="e">
        <f>VLOOKUP(A979,[1]timesData!$B:$P,11,FALSE)</f>
        <v>#N/A</v>
      </c>
      <c r="M978" t="e">
        <f>VLOOKUP(A979,[1]timesData!$B:$P,12,FALSE)</f>
        <v>#N/A</v>
      </c>
      <c r="N978" t="e">
        <f>VLOOKUP(A979,[1]timesData!$B:$P,13,FALSE)</f>
        <v>#N/A</v>
      </c>
      <c r="O978">
        <f>VLOOKUP(A978,[2]cwurData!$B:$P,14,FALSE)</f>
        <v>566</v>
      </c>
      <c r="P978">
        <f>VLOOKUP(A978,[2]cwurData!$B:$N, 3, FALSE)</f>
        <v>26</v>
      </c>
      <c r="Q978">
        <f>VLOOKUP(A978,[2]cwurData!$B:$N, 4, FALSE)</f>
        <v>355</v>
      </c>
      <c r="R978">
        <f>VLOOKUP(A978,[2]cwurData!$B:$N, 5, FALSE)</f>
        <v>478</v>
      </c>
      <c r="S978">
        <f>VLOOKUP(A978,[2]cwurData!$B:$N, 6, FALSE)</f>
        <v>210</v>
      </c>
      <c r="T978">
        <f>VLOOKUP(A978,[2]cwurData!$B:$N, 7, FALSE)</f>
        <v>394</v>
      </c>
      <c r="U978">
        <f>VLOOKUP(A978,[2]cwurData!$B:$N, 8, FALSE)</f>
        <v>408</v>
      </c>
      <c r="V978">
        <f>VLOOKUP(A978,[2]cwurData!$B:$N, 9, FALSE)</f>
        <v>363</v>
      </c>
      <c r="W978">
        <f>VLOOKUP(A978,[2]cwurData!$B:$N, 10, FALSE)</f>
        <v>496</v>
      </c>
      <c r="X978">
        <f>VLOOKUP(A978,[2]cwurData!$B:$N, 11, FALSE)</f>
        <v>481</v>
      </c>
      <c r="Y978">
        <f>VLOOKUP(A978,[2]cwurData!$B:$N, 12, FALSE)</f>
        <v>44.92</v>
      </c>
      <c r="Z978">
        <f>VLOOKUP(A978,[2]cwurData!$B:$N, 13, FALSE)</f>
        <v>2014</v>
      </c>
    </row>
    <row r="979" spans="1:26" x14ac:dyDescent="0.3">
      <c r="A979" t="s">
        <v>977</v>
      </c>
      <c r="B979" t="str">
        <f>IFERROR(VLOOKUP(A979,[1]timesData!$B:$P,2,FALSE),VLOOKUP(A979,[2]cwurData!$B:$P,2,FALSE))</f>
        <v>France</v>
      </c>
      <c r="C979" t="e">
        <f>VLOOKUP(A979,[1]timesData!$B:$P,3,FALSE)</f>
        <v>#N/A</v>
      </c>
      <c r="D979" t="e">
        <f>VLOOKUP(A980,[1]timesData!$B:$P,3,FALSE)</f>
        <v>#N/A</v>
      </c>
      <c r="E979" t="e">
        <f>VLOOKUP(A980,[1]timesData!$B:$P,4,FALSE)</f>
        <v>#N/A</v>
      </c>
      <c r="F979" t="e">
        <f>VLOOKUP(A980,[1]timesData!$B:$P,5,FALSE)</f>
        <v>#N/A</v>
      </c>
      <c r="G979" t="e">
        <f>VLOOKUP(A980,[1]timesData!$B:$P,6,FALSE)</f>
        <v>#N/A</v>
      </c>
      <c r="H979" t="e">
        <f>VLOOKUP(A980,[1]timesData!$B:$P,7,FALSE)</f>
        <v>#N/A</v>
      </c>
      <c r="I979" t="e">
        <f>VLOOKUP(A980,[1]timesData!$B:$P,8,FALSE)</f>
        <v>#N/A</v>
      </c>
      <c r="J979" t="e">
        <f>VLOOKUP(A980,[1]timesData!$B:$P,9,FALSE)</f>
        <v>#N/A</v>
      </c>
      <c r="K979" t="e">
        <f>VLOOKUP(A980,[1]timesData!$B:$P,10,FALSE)</f>
        <v>#N/A</v>
      </c>
      <c r="L979" t="e">
        <f>VLOOKUP(A980,[1]timesData!$B:$P,11,FALSE)</f>
        <v>#N/A</v>
      </c>
      <c r="M979" t="e">
        <f>VLOOKUP(A980,[1]timesData!$B:$P,12,FALSE)</f>
        <v>#N/A</v>
      </c>
      <c r="N979" t="e">
        <f>VLOOKUP(A980,[1]timesData!$B:$P,13,FALSE)</f>
        <v>#N/A</v>
      </c>
      <c r="O979">
        <f>VLOOKUP(A979,[2]cwurData!$B:$P,14,FALSE)</f>
        <v>568</v>
      </c>
      <c r="P979">
        <f>VLOOKUP(A979,[2]cwurData!$B:$N, 3, FALSE)</f>
        <v>27</v>
      </c>
      <c r="Q979">
        <f>VLOOKUP(A979,[2]cwurData!$B:$N, 4, FALSE)</f>
        <v>355</v>
      </c>
      <c r="R979">
        <f>VLOOKUP(A979,[2]cwurData!$B:$N, 5, FALSE)</f>
        <v>201</v>
      </c>
      <c r="S979">
        <f>VLOOKUP(A979,[2]cwurData!$B:$N, 6, FALSE)</f>
        <v>210</v>
      </c>
      <c r="T979">
        <f>VLOOKUP(A979,[2]cwurData!$B:$N, 7, FALSE)</f>
        <v>499</v>
      </c>
      <c r="U979">
        <f>VLOOKUP(A979,[2]cwurData!$B:$N, 8, FALSE)</f>
        <v>705</v>
      </c>
      <c r="V979">
        <f>VLOOKUP(A979,[2]cwurData!$B:$N, 9, FALSE)</f>
        <v>800</v>
      </c>
      <c r="W979">
        <f>VLOOKUP(A979,[2]cwurData!$B:$N, 10, FALSE)</f>
        <v>663</v>
      </c>
      <c r="X979">
        <f>VLOOKUP(A979,[2]cwurData!$B:$N, 11, FALSE)</f>
        <v>737</v>
      </c>
      <c r="Y979">
        <f>VLOOKUP(A979,[2]cwurData!$B:$N, 12, FALSE)</f>
        <v>44.91</v>
      </c>
      <c r="Z979">
        <f>VLOOKUP(A979,[2]cwurData!$B:$N, 13, FALSE)</f>
        <v>2014</v>
      </c>
    </row>
    <row r="980" spans="1:26" x14ac:dyDescent="0.3">
      <c r="A980" t="s">
        <v>978</v>
      </c>
      <c r="B980" t="str">
        <f>IFERROR(VLOOKUP(A980,[1]timesData!$B:$P,2,FALSE),VLOOKUP(A980,[2]cwurData!$B:$P,2,FALSE))</f>
        <v>Japan</v>
      </c>
      <c r="C980" t="e">
        <f>VLOOKUP(A980,[1]timesData!$B:$P,3,FALSE)</f>
        <v>#N/A</v>
      </c>
      <c r="D980" t="e">
        <f>VLOOKUP(A981,[1]timesData!$B:$P,3,FALSE)</f>
        <v>#N/A</v>
      </c>
      <c r="E980" t="e">
        <f>VLOOKUP(A981,[1]timesData!$B:$P,4,FALSE)</f>
        <v>#N/A</v>
      </c>
      <c r="F980" t="e">
        <f>VLOOKUP(A981,[1]timesData!$B:$P,5,FALSE)</f>
        <v>#N/A</v>
      </c>
      <c r="G980" t="e">
        <f>VLOOKUP(A981,[1]timesData!$B:$P,6,FALSE)</f>
        <v>#N/A</v>
      </c>
      <c r="H980" t="e">
        <f>VLOOKUP(A981,[1]timesData!$B:$P,7,FALSE)</f>
        <v>#N/A</v>
      </c>
      <c r="I980" t="e">
        <f>VLOOKUP(A981,[1]timesData!$B:$P,8,FALSE)</f>
        <v>#N/A</v>
      </c>
      <c r="J980" t="e">
        <f>VLOOKUP(A981,[1]timesData!$B:$P,9,FALSE)</f>
        <v>#N/A</v>
      </c>
      <c r="K980" t="e">
        <f>VLOOKUP(A981,[1]timesData!$B:$P,10,FALSE)</f>
        <v>#N/A</v>
      </c>
      <c r="L980" t="e">
        <f>VLOOKUP(A981,[1]timesData!$B:$P,11,FALSE)</f>
        <v>#N/A</v>
      </c>
      <c r="M980" t="e">
        <f>VLOOKUP(A981,[1]timesData!$B:$P,12,FALSE)</f>
        <v>#N/A</v>
      </c>
      <c r="N980" t="e">
        <f>VLOOKUP(A981,[1]timesData!$B:$P,13,FALSE)</f>
        <v>#N/A</v>
      </c>
      <c r="O980">
        <f>VLOOKUP(A980,[2]cwurData!$B:$P,14,FALSE)</f>
        <v>570</v>
      </c>
      <c r="P980">
        <f>VLOOKUP(A980,[2]cwurData!$B:$N, 3, FALSE)</f>
        <v>34</v>
      </c>
      <c r="Q980">
        <f>VLOOKUP(A980,[2]cwurData!$B:$N, 4, FALSE)</f>
        <v>355</v>
      </c>
      <c r="R980">
        <f>VLOOKUP(A980,[2]cwurData!$B:$N, 5, FALSE)</f>
        <v>211</v>
      </c>
      <c r="S980">
        <f>VLOOKUP(A980,[2]cwurData!$B:$N, 6, FALSE)</f>
        <v>210</v>
      </c>
      <c r="T980">
        <f>VLOOKUP(A980,[2]cwurData!$B:$N, 7, FALSE)</f>
        <v>694</v>
      </c>
      <c r="U980">
        <f>VLOOKUP(A980,[2]cwurData!$B:$N, 8, FALSE)</f>
        <v>648</v>
      </c>
      <c r="V980">
        <f>VLOOKUP(A980,[2]cwurData!$B:$N, 9, FALSE)</f>
        <v>493</v>
      </c>
      <c r="W980">
        <f>VLOOKUP(A980,[2]cwurData!$B:$N, 10, FALSE)</f>
        <v>642</v>
      </c>
      <c r="X980">
        <f>VLOOKUP(A980,[2]cwurData!$B:$N, 11, FALSE)</f>
        <v>373</v>
      </c>
      <c r="Y980">
        <f>VLOOKUP(A980,[2]cwurData!$B:$N, 12, FALSE)</f>
        <v>44.9</v>
      </c>
      <c r="Z980">
        <f>VLOOKUP(A980,[2]cwurData!$B:$N, 13, FALSE)</f>
        <v>2014</v>
      </c>
    </row>
    <row r="981" spans="1:26" x14ac:dyDescent="0.3">
      <c r="A981" t="s">
        <v>979</v>
      </c>
      <c r="B981" t="str">
        <f>IFERROR(VLOOKUP(A981,[1]timesData!$B:$P,2,FALSE),VLOOKUP(A981,[2]cwurData!$B:$P,2,FALSE))</f>
        <v>China</v>
      </c>
      <c r="C981" t="e">
        <f>VLOOKUP(A981,[1]timesData!$B:$P,3,FALSE)</f>
        <v>#N/A</v>
      </c>
      <c r="D981" t="e">
        <f>VLOOKUP(A982,[1]timesData!$B:$P,3,FALSE)</f>
        <v>#N/A</v>
      </c>
      <c r="E981" t="e">
        <f>VLOOKUP(A982,[1]timesData!$B:$P,4,FALSE)</f>
        <v>#N/A</v>
      </c>
      <c r="F981" t="e">
        <f>VLOOKUP(A982,[1]timesData!$B:$P,5,FALSE)</f>
        <v>#N/A</v>
      </c>
      <c r="G981" t="e">
        <f>VLOOKUP(A982,[1]timesData!$B:$P,6,FALSE)</f>
        <v>#N/A</v>
      </c>
      <c r="H981" t="e">
        <f>VLOOKUP(A982,[1]timesData!$B:$P,7,FALSE)</f>
        <v>#N/A</v>
      </c>
      <c r="I981" t="e">
        <f>VLOOKUP(A982,[1]timesData!$B:$P,8,FALSE)</f>
        <v>#N/A</v>
      </c>
      <c r="J981" t="e">
        <f>VLOOKUP(A982,[1]timesData!$B:$P,9,FALSE)</f>
        <v>#N/A</v>
      </c>
      <c r="K981" t="e">
        <f>VLOOKUP(A982,[1]timesData!$B:$P,10,FALSE)</f>
        <v>#N/A</v>
      </c>
      <c r="L981" t="e">
        <f>VLOOKUP(A982,[1]timesData!$B:$P,11,FALSE)</f>
        <v>#N/A</v>
      </c>
      <c r="M981" t="e">
        <f>VLOOKUP(A982,[1]timesData!$B:$P,12,FALSE)</f>
        <v>#N/A</v>
      </c>
      <c r="N981" t="e">
        <f>VLOOKUP(A982,[1]timesData!$B:$P,13,FALSE)</f>
        <v>#N/A</v>
      </c>
      <c r="O981">
        <f>VLOOKUP(A981,[2]cwurData!$B:$P,14,FALSE)</f>
        <v>571</v>
      </c>
      <c r="P981">
        <f>VLOOKUP(A981,[2]cwurData!$B:$N, 3, FALSE)</f>
        <v>27</v>
      </c>
      <c r="Q981">
        <f>VLOOKUP(A981,[2]cwurData!$B:$N, 4, FALSE)</f>
        <v>355</v>
      </c>
      <c r="R981">
        <f>VLOOKUP(A981,[2]cwurData!$B:$N, 5, FALSE)</f>
        <v>478</v>
      </c>
      <c r="S981">
        <f>VLOOKUP(A981,[2]cwurData!$B:$N, 6, FALSE)</f>
        <v>210</v>
      </c>
      <c r="T981">
        <f>VLOOKUP(A981,[2]cwurData!$B:$N, 7, FALSE)</f>
        <v>389</v>
      </c>
      <c r="U981">
        <f>VLOOKUP(A981,[2]cwurData!$B:$N, 8, FALSE)</f>
        <v>667</v>
      </c>
      <c r="V981">
        <f>VLOOKUP(A981,[2]cwurData!$B:$N, 9, FALSE)</f>
        <v>493</v>
      </c>
      <c r="W981">
        <f>VLOOKUP(A981,[2]cwurData!$B:$N, 10, FALSE)</f>
        <v>496</v>
      </c>
      <c r="X981">
        <f>VLOOKUP(A981,[2]cwurData!$B:$N, 11, FALSE)</f>
        <v>481</v>
      </c>
      <c r="Y981">
        <f>VLOOKUP(A981,[2]cwurData!$B:$N, 12, FALSE)</f>
        <v>44.9</v>
      </c>
      <c r="Z981">
        <f>VLOOKUP(A981,[2]cwurData!$B:$N, 13, FALSE)</f>
        <v>2014</v>
      </c>
    </row>
    <row r="982" spans="1:26" x14ac:dyDescent="0.3">
      <c r="A982" t="s">
        <v>980</v>
      </c>
      <c r="B982" t="str">
        <f>IFERROR(VLOOKUP(A982,[1]timesData!$B:$P,2,FALSE),VLOOKUP(A982,[2]cwurData!$B:$P,2,FALSE))</f>
        <v>Japan</v>
      </c>
      <c r="C982" t="e">
        <f>VLOOKUP(A982,[1]timesData!$B:$P,3,FALSE)</f>
        <v>#N/A</v>
      </c>
      <c r="D982" t="e">
        <f>VLOOKUP(A983,[1]timesData!$B:$P,3,FALSE)</f>
        <v>#N/A</v>
      </c>
      <c r="E982" t="e">
        <f>VLOOKUP(A983,[1]timesData!$B:$P,4,FALSE)</f>
        <v>#N/A</v>
      </c>
      <c r="F982" t="e">
        <f>VLOOKUP(A983,[1]timesData!$B:$P,5,FALSE)</f>
        <v>#N/A</v>
      </c>
      <c r="G982" t="e">
        <f>VLOOKUP(A983,[1]timesData!$B:$P,6,FALSE)</f>
        <v>#N/A</v>
      </c>
      <c r="H982" t="e">
        <f>VLOOKUP(A983,[1]timesData!$B:$P,7,FALSE)</f>
        <v>#N/A</v>
      </c>
      <c r="I982" t="e">
        <f>VLOOKUP(A983,[1]timesData!$B:$P,8,FALSE)</f>
        <v>#N/A</v>
      </c>
      <c r="J982" t="e">
        <f>VLOOKUP(A983,[1]timesData!$B:$P,9,FALSE)</f>
        <v>#N/A</v>
      </c>
      <c r="K982" t="e">
        <f>VLOOKUP(A983,[1]timesData!$B:$P,10,FALSE)</f>
        <v>#N/A</v>
      </c>
      <c r="L982" t="e">
        <f>VLOOKUP(A983,[1]timesData!$B:$P,11,FALSE)</f>
        <v>#N/A</v>
      </c>
      <c r="M982" t="e">
        <f>VLOOKUP(A983,[1]timesData!$B:$P,12,FALSE)</f>
        <v>#N/A</v>
      </c>
      <c r="N982" t="e">
        <f>VLOOKUP(A983,[1]timesData!$B:$P,13,FALSE)</f>
        <v>#N/A</v>
      </c>
      <c r="O982">
        <f>VLOOKUP(A982,[2]cwurData!$B:$P,14,FALSE)</f>
        <v>573</v>
      </c>
      <c r="P982">
        <f>VLOOKUP(A982,[2]cwurData!$B:$N, 3, FALSE)</f>
        <v>35</v>
      </c>
      <c r="Q982">
        <f>VLOOKUP(A982,[2]cwurData!$B:$N, 4, FALSE)</f>
        <v>355</v>
      </c>
      <c r="R982">
        <f>VLOOKUP(A982,[2]cwurData!$B:$N, 5, FALSE)</f>
        <v>478</v>
      </c>
      <c r="S982">
        <f>VLOOKUP(A982,[2]cwurData!$B:$N, 6, FALSE)</f>
        <v>210</v>
      </c>
      <c r="T982">
        <f>VLOOKUP(A982,[2]cwurData!$B:$N, 7, FALSE)</f>
        <v>586</v>
      </c>
      <c r="U982">
        <f>VLOOKUP(A982,[2]cwurData!$B:$N, 8, FALSE)</f>
        <v>589</v>
      </c>
      <c r="V982">
        <f>VLOOKUP(A982,[2]cwurData!$B:$N, 9, FALSE)</f>
        <v>406</v>
      </c>
      <c r="W982">
        <f>VLOOKUP(A982,[2]cwurData!$B:$N, 10, FALSE)</f>
        <v>703</v>
      </c>
      <c r="X982">
        <f>VLOOKUP(A982,[2]cwurData!$B:$N, 11, FALSE)</f>
        <v>149</v>
      </c>
      <c r="Y982">
        <f>VLOOKUP(A982,[2]cwurData!$B:$N, 12, FALSE)</f>
        <v>44.89</v>
      </c>
      <c r="Z982">
        <f>VLOOKUP(A982,[2]cwurData!$B:$N, 13, FALSE)</f>
        <v>2014</v>
      </c>
    </row>
    <row r="983" spans="1:26" x14ac:dyDescent="0.3">
      <c r="A983" t="s">
        <v>981</v>
      </c>
      <c r="B983" t="str">
        <f>IFERROR(VLOOKUP(A983,[1]timesData!$B:$P,2,FALSE),VLOOKUP(A983,[2]cwurData!$B:$P,2,FALSE))</f>
        <v>Italy</v>
      </c>
      <c r="C983" t="e">
        <f>VLOOKUP(A983,[1]timesData!$B:$P,3,FALSE)</f>
        <v>#N/A</v>
      </c>
      <c r="D983" t="e">
        <f>VLOOKUP(A984,[1]timesData!$B:$P,3,FALSE)</f>
        <v>#N/A</v>
      </c>
      <c r="E983" t="e">
        <f>VLOOKUP(A984,[1]timesData!$B:$P,4,FALSE)</f>
        <v>#N/A</v>
      </c>
      <c r="F983" t="e">
        <f>VLOOKUP(A984,[1]timesData!$B:$P,5,FALSE)</f>
        <v>#N/A</v>
      </c>
      <c r="G983" t="e">
        <f>VLOOKUP(A984,[1]timesData!$B:$P,6,FALSE)</f>
        <v>#N/A</v>
      </c>
      <c r="H983" t="e">
        <f>VLOOKUP(A984,[1]timesData!$B:$P,7,FALSE)</f>
        <v>#N/A</v>
      </c>
      <c r="I983" t="e">
        <f>VLOOKUP(A984,[1]timesData!$B:$P,8,FALSE)</f>
        <v>#N/A</v>
      </c>
      <c r="J983" t="e">
        <f>VLOOKUP(A984,[1]timesData!$B:$P,9,FALSE)</f>
        <v>#N/A</v>
      </c>
      <c r="K983" t="e">
        <f>VLOOKUP(A984,[1]timesData!$B:$P,10,FALSE)</f>
        <v>#N/A</v>
      </c>
      <c r="L983" t="e">
        <f>VLOOKUP(A984,[1]timesData!$B:$P,11,FALSE)</f>
        <v>#N/A</v>
      </c>
      <c r="M983" t="e">
        <f>VLOOKUP(A984,[1]timesData!$B:$P,12,FALSE)</f>
        <v>#N/A</v>
      </c>
      <c r="N983" t="e">
        <f>VLOOKUP(A984,[1]timesData!$B:$P,13,FALSE)</f>
        <v>#N/A</v>
      </c>
      <c r="O983">
        <f>VLOOKUP(A983,[2]cwurData!$B:$P,14,FALSE)</f>
        <v>575</v>
      </c>
      <c r="P983">
        <f>VLOOKUP(A983,[2]cwurData!$B:$N, 3, FALSE)</f>
        <v>29</v>
      </c>
      <c r="Q983">
        <f>VLOOKUP(A983,[2]cwurData!$B:$N, 4, FALSE)</f>
        <v>355</v>
      </c>
      <c r="R983">
        <f>VLOOKUP(A983,[2]cwurData!$B:$N, 5, FALSE)</f>
        <v>478</v>
      </c>
      <c r="S983">
        <f>VLOOKUP(A983,[2]cwurData!$B:$N, 6, FALSE)</f>
        <v>210</v>
      </c>
      <c r="T983">
        <f>VLOOKUP(A983,[2]cwurData!$B:$N, 7, FALSE)</f>
        <v>544</v>
      </c>
      <c r="U983">
        <f>VLOOKUP(A983,[2]cwurData!$B:$N, 8, FALSE)</f>
        <v>598</v>
      </c>
      <c r="V983">
        <f>VLOOKUP(A983,[2]cwurData!$B:$N, 9, FALSE)</f>
        <v>609</v>
      </c>
      <c r="W983">
        <f>VLOOKUP(A983,[2]cwurData!$B:$N, 10, FALSE)</f>
        <v>460</v>
      </c>
      <c r="X983">
        <f>VLOOKUP(A983,[2]cwurData!$B:$N, 11, FALSE)</f>
        <v>737</v>
      </c>
      <c r="Y983">
        <f>VLOOKUP(A983,[2]cwurData!$B:$N, 12, FALSE)</f>
        <v>44.89</v>
      </c>
      <c r="Z983">
        <f>VLOOKUP(A983,[2]cwurData!$B:$N, 13, FALSE)</f>
        <v>2014</v>
      </c>
    </row>
    <row r="984" spans="1:26" x14ac:dyDescent="0.3">
      <c r="A984" t="s">
        <v>982</v>
      </c>
      <c r="B984" t="str">
        <f>IFERROR(VLOOKUP(A984,[1]timesData!$B:$P,2,FALSE),VLOOKUP(A984,[2]cwurData!$B:$P,2,FALSE))</f>
        <v>Italy</v>
      </c>
      <c r="C984" t="e">
        <f>VLOOKUP(A984,[1]timesData!$B:$P,3,FALSE)</f>
        <v>#N/A</v>
      </c>
      <c r="D984" t="e">
        <f>VLOOKUP(A985,[1]timesData!$B:$P,3,FALSE)</f>
        <v>#N/A</v>
      </c>
      <c r="E984" t="e">
        <f>VLOOKUP(A985,[1]timesData!$B:$P,4,FALSE)</f>
        <v>#N/A</v>
      </c>
      <c r="F984" t="e">
        <f>VLOOKUP(A985,[1]timesData!$B:$P,5,FALSE)</f>
        <v>#N/A</v>
      </c>
      <c r="G984" t="e">
        <f>VLOOKUP(A985,[1]timesData!$B:$P,6,FALSE)</f>
        <v>#N/A</v>
      </c>
      <c r="H984" t="e">
        <f>VLOOKUP(A985,[1]timesData!$B:$P,7,FALSE)</f>
        <v>#N/A</v>
      </c>
      <c r="I984" t="e">
        <f>VLOOKUP(A985,[1]timesData!$B:$P,8,FALSE)</f>
        <v>#N/A</v>
      </c>
      <c r="J984" t="e">
        <f>VLOOKUP(A985,[1]timesData!$B:$P,9,FALSE)</f>
        <v>#N/A</v>
      </c>
      <c r="K984" t="e">
        <f>VLOOKUP(A985,[1]timesData!$B:$P,10,FALSE)</f>
        <v>#N/A</v>
      </c>
      <c r="L984" t="e">
        <f>VLOOKUP(A985,[1]timesData!$B:$P,11,FALSE)</f>
        <v>#N/A</v>
      </c>
      <c r="M984" t="e">
        <f>VLOOKUP(A985,[1]timesData!$B:$P,12,FALSE)</f>
        <v>#N/A</v>
      </c>
      <c r="N984" t="e">
        <f>VLOOKUP(A985,[1]timesData!$B:$P,13,FALSE)</f>
        <v>#N/A</v>
      </c>
      <c r="O984">
        <f>VLOOKUP(A984,[2]cwurData!$B:$P,14,FALSE)</f>
        <v>578</v>
      </c>
      <c r="P984">
        <f>VLOOKUP(A984,[2]cwurData!$B:$N, 3, FALSE)</f>
        <v>30</v>
      </c>
      <c r="Q984">
        <f>VLOOKUP(A984,[2]cwurData!$B:$N, 4, FALSE)</f>
        <v>355</v>
      </c>
      <c r="R984">
        <f>VLOOKUP(A984,[2]cwurData!$B:$N, 5, FALSE)</f>
        <v>478</v>
      </c>
      <c r="S984">
        <f>VLOOKUP(A984,[2]cwurData!$B:$N, 6, FALSE)</f>
        <v>210</v>
      </c>
      <c r="T984">
        <f>VLOOKUP(A984,[2]cwurData!$B:$N, 7, FALSE)</f>
        <v>595</v>
      </c>
      <c r="U984">
        <f>VLOOKUP(A984,[2]cwurData!$B:$N, 8, FALSE)</f>
        <v>407</v>
      </c>
      <c r="V984">
        <f>VLOOKUP(A984,[2]cwurData!$B:$N, 9, FALSE)</f>
        <v>609</v>
      </c>
      <c r="W984">
        <f>VLOOKUP(A984,[2]cwurData!$B:$N, 10, FALSE)</f>
        <v>472</v>
      </c>
      <c r="X984">
        <f>VLOOKUP(A984,[2]cwurData!$B:$N, 11, FALSE)</f>
        <v>737</v>
      </c>
      <c r="Y984">
        <f>VLOOKUP(A984,[2]cwurData!$B:$N, 12, FALSE)</f>
        <v>44.87</v>
      </c>
      <c r="Z984">
        <f>VLOOKUP(A984,[2]cwurData!$B:$N, 13, FALSE)</f>
        <v>2014</v>
      </c>
    </row>
    <row r="985" spans="1:26" x14ac:dyDescent="0.3">
      <c r="A985" t="s">
        <v>983</v>
      </c>
      <c r="B985" t="str">
        <f>IFERROR(VLOOKUP(A985,[1]timesData!$B:$P,2,FALSE),VLOOKUP(A985,[2]cwurData!$B:$P,2,FALSE))</f>
        <v>Colombia</v>
      </c>
      <c r="C985" t="e">
        <f>VLOOKUP(A985,[1]timesData!$B:$P,3,FALSE)</f>
        <v>#N/A</v>
      </c>
      <c r="D985" t="e">
        <f>VLOOKUP(A986,[1]timesData!$B:$P,3,FALSE)</f>
        <v>#N/A</v>
      </c>
      <c r="E985" t="e">
        <f>VLOOKUP(A986,[1]timesData!$B:$P,4,FALSE)</f>
        <v>#N/A</v>
      </c>
      <c r="F985" t="e">
        <f>VLOOKUP(A986,[1]timesData!$B:$P,5,FALSE)</f>
        <v>#N/A</v>
      </c>
      <c r="G985" t="e">
        <f>VLOOKUP(A986,[1]timesData!$B:$P,6,FALSE)</f>
        <v>#N/A</v>
      </c>
      <c r="H985" t="e">
        <f>VLOOKUP(A986,[1]timesData!$B:$P,7,FALSE)</f>
        <v>#N/A</v>
      </c>
      <c r="I985" t="e">
        <f>VLOOKUP(A986,[1]timesData!$B:$P,8,FALSE)</f>
        <v>#N/A</v>
      </c>
      <c r="J985" t="e">
        <f>VLOOKUP(A986,[1]timesData!$B:$P,9,FALSE)</f>
        <v>#N/A</v>
      </c>
      <c r="K985" t="e">
        <f>VLOOKUP(A986,[1]timesData!$B:$P,10,FALSE)</f>
        <v>#N/A</v>
      </c>
      <c r="L985" t="e">
        <f>VLOOKUP(A986,[1]timesData!$B:$P,11,FALSE)</f>
        <v>#N/A</v>
      </c>
      <c r="M985" t="e">
        <f>VLOOKUP(A986,[1]timesData!$B:$P,12,FALSE)</f>
        <v>#N/A</v>
      </c>
      <c r="N985" t="e">
        <f>VLOOKUP(A986,[1]timesData!$B:$P,13,FALSE)</f>
        <v>#N/A</v>
      </c>
      <c r="O985">
        <f>VLOOKUP(A985,[2]cwurData!$B:$P,14,FALSE)</f>
        <v>587</v>
      </c>
      <c r="P985">
        <f>VLOOKUP(A985,[2]cwurData!$B:$N, 3, FALSE)</f>
        <v>1</v>
      </c>
      <c r="Q985">
        <f>VLOOKUP(A985,[2]cwurData!$B:$N, 4, FALSE)</f>
        <v>355</v>
      </c>
      <c r="R985">
        <f>VLOOKUP(A985,[2]cwurData!$B:$N, 5, FALSE)</f>
        <v>150</v>
      </c>
      <c r="S985">
        <f>VLOOKUP(A985,[2]cwurData!$B:$N, 6, FALSE)</f>
        <v>210</v>
      </c>
      <c r="T985">
        <f>VLOOKUP(A985,[2]cwurData!$B:$N, 7, FALSE)</f>
        <v>902</v>
      </c>
      <c r="U985">
        <f>VLOOKUP(A985,[2]cwurData!$B:$N, 8, FALSE)</f>
        <v>550</v>
      </c>
      <c r="V985">
        <f>VLOOKUP(A985,[2]cwurData!$B:$N, 9, FALSE)</f>
        <v>406</v>
      </c>
      <c r="W985">
        <f>VLOOKUP(A985,[2]cwurData!$B:$N, 10, FALSE)</f>
        <v>889</v>
      </c>
      <c r="X985">
        <f>VLOOKUP(A985,[2]cwurData!$B:$N, 11, FALSE)</f>
        <v>637</v>
      </c>
      <c r="Y985">
        <f>VLOOKUP(A985,[2]cwurData!$B:$N, 12, FALSE)</f>
        <v>44.85</v>
      </c>
      <c r="Z985">
        <f>VLOOKUP(A985,[2]cwurData!$B:$N, 13, FALSE)</f>
        <v>2014</v>
      </c>
    </row>
    <row r="986" spans="1:26" x14ac:dyDescent="0.3">
      <c r="A986" t="s">
        <v>984</v>
      </c>
      <c r="B986" t="str">
        <f>IFERROR(VLOOKUP(A986,[1]timesData!$B:$P,2,FALSE),VLOOKUP(A986,[2]cwurData!$B:$P,2,FALSE))</f>
        <v>USA</v>
      </c>
      <c r="C986" t="e">
        <f>VLOOKUP(A986,[1]timesData!$B:$P,3,FALSE)</f>
        <v>#N/A</v>
      </c>
      <c r="D986" t="e">
        <f>VLOOKUP(A987,[1]timesData!$B:$P,3,FALSE)</f>
        <v>#N/A</v>
      </c>
      <c r="E986" t="e">
        <f>VLOOKUP(A987,[1]timesData!$B:$P,4,FALSE)</f>
        <v>#N/A</v>
      </c>
      <c r="F986" t="e">
        <f>VLOOKUP(A987,[1]timesData!$B:$P,5,FALSE)</f>
        <v>#N/A</v>
      </c>
      <c r="G986" t="e">
        <f>VLOOKUP(A987,[1]timesData!$B:$P,6,FALSE)</f>
        <v>#N/A</v>
      </c>
      <c r="H986" t="e">
        <f>VLOOKUP(A987,[1]timesData!$B:$P,7,FALSE)</f>
        <v>#N/A</v>
      </c>
      <c r="I986" t="e">
        <f>VLOOKUP(A987,[1]timesData!$B:$P,8,FALSE)</f>
        <v>#N/A</v>
      </c>
      <c r="J986" t="e">
        <f>VLOOKUP(A987,[1]timesData!$B:$P,9,FALSE)</f>
        <v>#N/A</v>
      </c>
      <c r="K986" t="e">
        <f>VLOOKUP(A987,[1]timesData!$B:$P,10,FALSE)</f>
        <v>#N/A</v>
      </c>
      <c r="L986" t="e">
        <f>VLOOKUP(A987,[1]timesData!$B:$P,11,FALSE)</f>
        <v>#N/A</v>
      </c>
      <c r="M986" t="e">
        <f>VLOOKUP(A987,[1]timesData!$B:$P,12,FALSE)</f>
        <v>#N/A</v>
      </c>
      <c r="N986" t="e">
        <f>VLOOKUP(A987,[1]timesData!$B:$P,13,FALSE)</f>
        <v>#N/A</v>
      </c>
      <c r="O986">
        <f>VLOOKUP(A986,[2]cwurData!$B:$P,14,FALSE)</f>
        <v>590</v>
      </c>
      <c r="P986">
        <f>VLOOKUP(A986,[2]cwurData!$B:$N, 3, FALSE)</f>
        <v>174</v>
      </c>
      <c r="Q986">
        <f>VLOOKUP(A986,[2]cwurData!$B:$N, 4, FALSE)</f>
        <v>355</v>
      </c>
      <c r="R986">
        <f>VLOOKUP(A986,[2]cwurData!$B:$N, 5, FALSE)</f>
        <v>478</v>
      </c>
      <c r="S986">
        <f>VLOOKUP(A986,[2]cwurData!$B:$N, 6, FALSE)</f>
        <v>210</v>
      </c>
      <c r="T986">
        <f>VLOOKUP(A986,[2]cwurData!$B:$N, 7, FALSE)</f>
        <v>796</v>
      </c>
      <c r="U986">
        <f>VLOOKUP(A986,[2]cwurData!$B:$N, 8, FALSE)</f>
        <v>549</v>
      </c>
      <c r="V986">
        <f>VLOOKUP(A986,[2]cwurData!$B:$N, 9, FALSE)</f>
        <v>609</v>
      </c>
      <c r="W986">
        <f>VLOOKUP(A986,[2]cwurData!$B:$N, 10, FALSE)</f>
        <v>482</v>
      </c>
      <c r="X986">
        <f>VLOOKUP(A986,[2]cwurData!$B:$N, 11, FALSE)</f>
        <v>552</v>
      </c>
      <c r="Y986">
        <f>VLOOKUP(A986,[2]cwurData!$B:$N, 12, FALSE)</f>
        <v>44.84</v>
      </c>
      <c r="Z986">
        <f>VLOOKUP(A986,[2]cwurData!$B:$N, 13, FALSE)</f>
        <v>2014</v>
      </c>
    </row>
    <row r="987" spans="1:26" x14ac:dyDescent="0.3">
      <c r="A987" t="s">
        <v>985</v>
      </c>
      <c r="B987" t="str">
        <f>IFERROR(VLOOKUP(A987,[1]timesData!$B:$P,2,FALSE),VLOOKUP(A987,[2]cwurData!$B:$P,2,FALSE))</f>
        <v>USA</v>
      </c>
      <c r="C987" t="e">
        <f>VLOOKUP(A987,[1]timesData!$B:$P,3,FALSE)</f>
        <v>#N/A</v>
      </c>
      <c r="D987" t="e">
        <f>VLOOKUP(A988,[1]timesData!$B:$P,3,FALSE)</f>
        <v>#N/A</v>
      </c>
      <c r="E987" t="e">
        <f>VLOOKUP(A988,[1]timesData!$B:$P,4,FALSE)</f>
        <v>#N/A</v>
      </c>
      <c r="F987" t="e">
        <f>VLOOKUP(A988,[1]timesData!$B:$P,5,FALSE)</f>
        <v>#N/A</v>
      </c>
      <c r="G987" t="e">
        <f>VLOOKUP(A988,[1]timesData!$B:$P,6,FALSE)</f>
        <v>#N/A</v>
      </c>
      <c r="H987" t="e">
        <f>VLOOKUP(A988,[1]timesData!$B:$P,7,FALSE)</f>
        <v>#N/A</v>
      </c>
      <c r="I987" t="e">
        <f>VLOOKUP(A988,[1]timesData!$B:$P,8,FALSE)</f>
        <v>#N/A</v>
      </c>
      <c r="J987" t="e">
        <f>VLOOKUP(A988,[1]timesData!$B:$P,9,FALSE)</f>
        <v>#N/A</v>
      </c>
      <c r="K987" t="e">
        <f>VLOOKUP(A988,[1]timesData!$B:$P,10,FALSE)</f>
        <v>#N/A</v>
      </c>
      <c r="L987" t="e">
        <f>VLOOKUP(A988,[1]timesData!$B:$P,11,FALSE)</f>
        <v>#N/A</v>
      </c>
      <c r="M987" t="e">
        <f>VLOOKUP(A988,[1]timesData!$B:$P,12,FALSE)</f>
        <v>#N/A</v>
      </c>
      <c r="N987" t="e">
        <f>VLOOKUP(A988,[1]timesData!$B:$P,13,FALSE)</f>
        <v>#N/A</v>
      </c>
      <c r="O987">
        <f>VLOOKUP(A987,[2]cwurData!$B:$P,14,FALSE)</f>
        <v>591</v>
      </c>
      <c r="P987">
        <f>VLOOKUP(A987,[2]cwurData!$B:$N, 3, FALSE)</f>
        <v>175</v>
      </c>
      <c r="Q987">
        <f>VLOOKUP(A987,[2]cwurData!$B:$N, 4, FALSE)</f>
        <v>191</v>
      </c>
      <c r="R987">
        <f>VLOOKUP(A987,[2]cwurData!$B:$N, 5, FALSE)</f>
        <v>478</v>
      </c>
      <c r="S987">
        <f>VLOOKUP(A987,[2]cwurData!$B:$N, 6, FALSE)</f>
        <v>210</v>
      </c>
      <c r="T987">
        <f>VLOOKUP(A987,[2]cwurData!$B:$N, 7, FALSE)</f>
        <v>571</v>
      </c>
      <c r="U987">
        <f>VLOOKUP(A987,[2]cwurData!$B:$N, 8, FALSE)</f>
        <v>518</v>
      </c>
      <c r="V987">
        <f>VLOOKUP(A987,[2]cwurData!$B:$N, 9, FALSE)</f>
        <v>800</v>
      </c>
      <c r="W987">
        <f>VLOOKUP(A987,[2]cwurData!$B:$N, 10, FALSE)</f>
        <v>531</v>
      </c>
      <c r="X987">
        <f>VLOOKUP(A987,[2]cwurData!$B:$N, 11, FALSE)</f>
        <v>552</v>
      </c>
      <c r="Y987">
        <f>VLOOKUP(A987,[2]cwurData!$B:$N, 12, FALSE)</f>
        <v>44.83</v>
      </c>
      <c r="Z987">
        <f>VLOOKUP(A987,[2]cwurData!$B:$N, 13, FALSE)</f>
        <v>2014</v>
      </c>
    </row>
    <row r="988" spans="1:26" x14ac:dyDescent="0.3">
      <c r="A988" t="s">
        <v>986</v>
      </c>
      <c r="B988" t="str">
        <f>IFERROR(VLOOKUP(A988,[1]timesData!$B:$P,2,FALSE),VLOOKUP(A988,[2]cwurData!$B:$P,2,FALSE))</f>
        <v>India</v>
      </c>
      <c r="C988" t="e">
        <f>VLOOKUP(A988,[1]timesData!$B:$P,3,FALSE)</f>
        <v>#N/A</v>
      </c>
      <c r="D988" t="e">
        <f>VLOOKUP(A989,[1]timesData!$B:$P,3,FALSE)</f>
        <v>#N/A</v>
      </c>
      <c r="E988" t="e">
        <f>VLOOKUP(A989,[1]timesData!$B:$P,4,FALSE)</f>
        <v>#N/A</v>
      </c>
      <c r="F988" t="e">
        <f>VLOOKUP(A989,[1]timesData!$B:$P,5,FALSE)</f>
        <v>#N/A</v>
      </c>
      <c r="G988" t="e">
        <f>VLOOKUP(A989,[1]timesData!$B:$P,6,FALSE)</f>
        <v>#N/A</v>
      </c>
      <c r="H988" t="e">
        <f>VLOOKUP(A989,[1]timesData!$B:$P,7,FALSE)</f>
        <v>#N/A</v>
      </c>
      <c r="I988" t="e">
        <f>VLOOKUP(A989,[1]timesData!$B:$P,8,FALSE)</f>
        <v>#N/A</v>
      </c>
      <c r="J988" t="e">
        <f>VLOOKUP(A989,[1]timesData!$B:$P,9,FALSE)</f>
        <v>#N/A</v>
      </c>
      <c r="K988" t="e">
        <f>VLOOKUP(A989,[1]timesData!$B:$P,10,FALSE)</f>
        <v>#N/A</v>
      </c>
      <c r="L988" t="e">
        <f>VLOOKUP(A989,[1]timesData!$B:$P,11,FALSE)</f>
        <v>#N/A</v>
      </c>
      <c r="M988" t="e">
        <f>VLOOKUP(A989,[1]timesData!$B:$P,12,FALSE)</f>
        <v>#N/A</v>
      </c>
      <c r="N988" t="e">
        <f>VLOOKUP(A989,[1]timesData!$B:$P,13,FALSE)</f>
        <v>#N/A</v>
      </c>
      <c r="O988">
        <f>VLOOKUP(A988,[2]cwurData!$B:$P,14,FALSE)</f>
        <v>592</v>
      </c>
      <c r="P988">
        <f>VLOOKUP(A988,[2]cwurData!$B:$N, 3, FALSE)</f>
        <v>9</v>
      </c>
      <c r="Q988">
        <f>VLOOKUP(A988,[2]cwurData!$B:$N, 4, FALSE)</f>
        <v>355</v>
      </c>
      <c r="R988">
        <f>VLOOKUP(A988,[2]cwurData!$B:$N, 5, FALSE)</f>
        <v>478</v>
      </c>
      <c r="S988">
        <f>VLOOKUP(A988,[2]cwurData!$B:$N, 6, FALSE)</f>
        <v>210</v>
      </c>
      <c r="T988">
        <f>VLOOKUP(A988,[2]cwurData!$B:$N, 7, FALSE)</f>
        <v>458</v>
      </c>
      <c r="U988">
        <f>VLOOKUP(A988,[2]cwurData!$B:$N, 8, FALSE)</f>
        <v>420</v>
      </c>
      <c r="V988">
        <f>VLOOKUP(A988,[2]cwurData!$B:$N, 9, FALSE)</f>
        <v>310</v>
      </c>
      <c r="W988">
        <f>VLOOKUP(A988,[2]cwurData!$B:$N, 10, FALSE)</f>
        <v>523</v>
      </c>
      <c r="X988">
        <f>VLOOKUP(A988,[2]cwurData!$B:$N, 11, FALSE)</f>
        <v>737</v>
      </c>
      <c r="Y988">
        <f>VLOOKUP(A988,[2]cwurData!$B:$N, 12, FALSE)</f>
        <v>44.83</v>
      </c>
      <c r="Z988">
        <f>VLOOKUP(A988,[2]cwurData!$B:$N, 13, FALSE)</f>
        <v>2014</v>
      </c>
    </row>
    <row r="989" spans="1:26" x14ac:dyDescent="0.3">
      <c r="A989" t="s">
        <v>987</v>
      </c>
      <c r="B989" t="str">
        <f>IFERROR(VLOOKUP(A989,[1]timesData!$B:$P,2,FALSE),VLOOKUP(A989,[2]cwurData!$B:$P,2,FALSE))</f>
        <v>USA</v>
      </c>
      <c r="C989" t="e">
        <f>VLOOKUP(A989,[1]timesData!$B:$P,3,FALSE)</f>
        <v>#N/A</v>
      </c>
      <c r="D989" t="e">
        <f>VLOOKUP(A990,[1]timesData!$B:$P,3,FALSE)</f>
        <v>#N/A</v>
      </c>
      <c r="E989" t="e">
        <f>VLOOKUP(A990,[1]timesData!$B:$P,4,FALSE)</f>
        <v>#N/A</v>
      </c>
      <c r="F989" t="e">
        <f>VLOOKUP(A990,[1]timesData!$B:$P,5,FALSE)</f>
        <v>#N/A</v>
      </c>
      <c r="G989" t="e">
        <f>VLOOKUP(A990,[1]timesData!$B:$P,6,FALSE)</f>
        <v>#N/A</v>
      </c>
      <c r="H989" t="e">
        <f>VLOOKUP(A990,[1]timesData!$B:$P,7,FALSE)</f>
        <v>#N/A</v>
      </c>
      <c r="I989" t="e">
        <f>VLOOKUP(A990,[1]timesData!$B:$P,8,FALSE)</f>
        <v>#N/A</v>
      </c>
      <c r="J989" t="e">
        <f>VLOOKUP(A990,[1]timesData!$B:$P,9,FALSE)</f>
        <v>#N/A</v>
      </c>
      <c r="K989" t="e">
        <f>VLOOKUP(A990,[1]timesData!$B:$P,10,FALSE)</f>
        <v>#N/A</v>
      </c>
      <c r="L989" t="e">
        <f>VLOOKUP(A990,[1]timesData!$B:$P,11,FALSE)</f>
        <v>#N/A</v>
      </c>
      <c r="M989" t="e">
        <f>VLOOKUP(A990,[1]timesData!$B:$P,12,FALSE)</f>
        <v>#N/A</v>
      </c>
      <c r="N989" t="e">
        <f>VLOOKUP(A990,[1]timesData!$B:$P,13,FALSE)</f>
        <v>#N/A</v>
      </c>
      <c r="O989">
        <f>VLOOKUP(A989,[2]cwurData!$B:$P,14,FALSE)</f>
        <v>596</v>
      </c>
      <c r="P989">
        <f>VLOOKUP(A989,[2]cwurData!$B:$N, 3, FALSE)</f>
        <v>176</v>
      </c>
      <c r="Q989">
        <f>VLOOKUP(A989,[2]cwurData!$B:$N, 4, FALSE)</f>
        <v>355</v>
      </c>
      <c r="R989">
        <f>VLOOKUP(A989,[2]cwurData!$B:$N, 5, FALSE)</f>
        <v>259</v>
      </c>
      <c r="S989">
        <f>VLOOKUP(A989,[2]cwurData!$B:$N, 6, FALSE)</f>
        <v>210</v>
      </c>
      <c r="T989">
        <f>VLOOKUP(A989,[2]cwurData!$B:$N, 7, FALSE)</f>
        <v>671</v>
      </c>
      <c r="U989">
        <f>VLOOKUP(A989,[2]cwurData!$B:$N, 8, FALSE)</f>
        <v>602</v>
      </c>
      <c r="V989">
        <f>VLOOKUP(A989,[2]cwurData!$B:$N, 9, FALSE)</f>
        <v>363</v>
      </c>
      <c r="W989">
        <f>VLOOKUP(A989,[2]cwurData!$B:$N, 10, FALSE)</f>
        <v>642</v>
      </c>
      <c r="X989">
        <f>VLOOKUP(A989,[2]cwurData!$B:$N, 11, FALSE)</f>
        <v>481</v>
      </c>
      <c r="Y989">
        <f>VLOOKUP(A989,[2]cwurData!$B:$N, 12, FALSE)</f>
        <v>44.82</v>
      </c>
      <c r="Z989">
        <f>VLOOKUP(A989,[2]cwurData!$B:$N, 13, FALSE)</f>
        <v>2014</v>
      </c>
    </row>
    <row r="990" spans="1:26" x14ac:dyDescent="0.3">
      <c r="A990" t="s">
        <v>988</v>
      </c>
      <c r="B990" t="str">
        <f>IFERROR(VLOOKUP(A990,[1]timesData!$B:$P,2,FALSE),VLOOKUP(A990,[2]cwurData!$B:$P,2,FALSE))</f>
        <v>South Korea</v>
      </c>
      <c r="C990" t="e">
        <f>VLOOKUP(A990,[1]timesData!$B:$P,3,FALSE)</f>
        <v>#N/A</v>
      </c>
      <c r="D990" t="e">
        <f>VLOOKUP(A991,[1]timesData!$B:$P,3,FALSE)</f>
        <v>#N/A</v>
      </c>
      <c r="E990" t="e">
        <f>VLOOKUP(A991,[1]timesData!$B:$P,4,FALSE)</f>
        <v>#N/A</v>
      </c>
      <c r="F990" t="e">
        <f>VLOOKUP(A991,[1]timesData!$B:$P,5,FALSE)</f>
        <v>#N/A</v>
      </c>
      <c r="G990" t="e">
        <f>VLOOKUP(A991,[1]timesData!$B:$P,6,FALSE)</f>
        <v>#N/A</v>
      </c>
      <c r="H990" t="e">
        <f>VLOOKUP(A991,[1]timesData!$B:$P,7,FALSE)</f>
        <v>#N/A</v>
      </c>
      <c r="I990" t="e">
        <f>VLOOKUP(A991,[1]timesData!$B:$P,8,FALSE)</f>
        <v>#N/A</v>
      </c>
      <c r="J990" t="e">
        <f>VLOOKUP(A991,[1]timesData!$B:$P,9,FALSE)</f>
        <v>#N/A</v>
      </c>
      <c r="K990" t="e">
        <f>VLOOKUP(A991,[1]timesData!$B:$P,10,FALSE)</f>
        <v>#N/A</v>
      </c>
      <c r="L990" t="e">
        <f>VLOOKUP(A991,[1]timesData!$B:$P,11,FALSE)</f>
        <v>#N/A</v>
      </c>
      <c r="M990" t="e">
        <f>VLOOKUP(A991,[1]timesData!$B:$P,12,FALSE)</f>
        <v>#N/A</v>
      </c>
      <c r="N990" t="e">
        <f>VLOOKUP(A991,[1]timesData!$B:$P,13,FALSE)</f>
        <v>#N/A</v>
      </c>
      <c r="O990">
        <f>VLOOKUP(A990,[2]cwurData!$B:$P,14,FALSE)</f>
        <v>601</v>
      </c>
      <c r="P990">
        <f>VLOOKUP(A990,[2]cwurData!$B:$N, 3, FALSE)</f>
        <v>21</v>
      </c>
      <c r="Q990">
        <f>VLOOKUP(A990,[2]cwurData!$B:$N, 4, FALSE)</f>
        <v>355</v>
      </c>
      <c r="R990">
        <f>VLOOKUP(A990,[2]cwurData!$B:$N, 5, FALSE)</f>
        <v>478</v>
      </c>
      <c r="S990">
        <f>VLOOKUP(A990,[2]cwurData!$B:$N, 6, FALSE)</f>
        <v>210</v>
      </c>
      <c r="T990">
        <f>VLOOKUP(A990,[2]cwurData!$B:$N, 7, FALSE)</f>
        <v>896</v>
      </c>
      <c r="U990">
        <f>VLOOKUP(A990,[2]cwurData!$B:$N, 8, FALSE)</f>
        <v>934</v>
      </c>
      <c r="V990">
        <f>VLOOKUP(A990,[2]cwurData!$B:$N, 9, FALSE)</f>
        <v>609</v>
      </c>
      <c r="W990">
        <f>VLOOKUP(A990,[2]cwurData!$B:$N, 10, FALSE)</f>
        <v>897</v>
      </c>
      <c r="X990">
        <f>VLOOKUP(A990,[2]cwurData!$B:$N, 11, FALSE)</f>
        <v>121</v>
      </c>
      <c r="Y990">
        <f>VLOOKUP(A990,[2]cwurData!$B:$N, 12, FALSE)</f>
        <v>44.82</v>
      </c>
      <c r="Z990">
        <f>VLOOKUP(A990,[2]cwurData!$B:$N, 13, FALSE)</f>
        <v>2014</v>
      </c>
    </row>
    <row r="991" spans="1:26" x14ac:dyDescent="0.3">
      <c r="A991" t="s">
        <v>989</v>
      </c>
      <c r="B991" t="str">
        <f>IFERROR(VLOOKUP(A991,[1]timesData!$B:$P,2,FALSE),VLOOKUP(A991,[2]cwurData!$B:$P,2,FALSE))</f>
        <v>USA</v>
      </c>
      <c r="C991" t="e">
        <f>VLOOKUP(A991,[1]timesData!$B:$P,3,FALSE)</f>
        <v>#N/A</v>
      </c>
      <c r="D991" t="e">
        <f>VLOOKUP(A992,[1]timesData!$B:$P,3,FALSE)</f>
        <v>#N/A</v>
      </c>
      <c r="E991" t="e">
        <f>VLOOKUP(A992,[1]timesData!$B:$P,4,FALSE)</f>
        <v>#N/A</v>
      </c>
      <c r="F991" t="e">
        <f>VLOOKUP(A992,[1]timesData!$B:$P,5,FALSE)</f>
        <v>#N/A</v>
      </c>
      <c r="G991" t="e">
        <f>VLOOKUP(A992,[1]timesData!$B:$P,6,FALSE)</f>
        <v>#N/A</v>
      </c>
      <c r="H991" t="e">
        <f>VLOOKUP(A992,[1]timesData!$B:$P,7,FALSE)</f>
        <v>#N/A</v>
      </c>
      <c r="I991" t="e">
        <f>VLOOKUP(A992,[1]timesData!$B:$P,8,FALSE)</f>
        <v>#N/A</v>
      </c>
      <c r="J991" t="e">
        <f>VLOOKUP(A992,[1]timesData!$B:$P,9,FALSE)</f>
        <v>#N/A</v>
      </c>
      <c r="K991" t="e">
        <f>VLOOKUP(A992,[1]timesData!$B:$P,10,FALSE)</f>
        <v>#N/A</v>
      </c>
      <c r="L991" t="e">
        <f>VLOOKUP(A992,[1]timesData!$B:$P,11,FALSE)</f>
        <v>#N/A</v>
      </c>
      <c r="M991" t="e">
        <f>VLOOKUP(A992,[1]timesData!$B:$P,12,FALSE)</f>
        <v>#N/A</v>
      </c>
      <c r="N991" t="e">
        <f>VLOOKUP(A992,[1]timesData!$B:$P,13,FALSE)</f>
        <v>#N/A</v>
      </c>
      <c r="O991">
        <f>VLOOKUP(A991,[2]cwurData!$B:$P,14,FALSE)</f>
        <v>604</v>
      </c>
      <c r="P991">
        <f>VLOOKUP(A991,[2]cwurData!$B:$N, 3, FALSE)</f>
        <v>177</v>
      </c>
      <c r="Q991">
        <f>VLOOKUP(A991,[2]cwurData!$B:$N, 4, FALSE)</f>
        <v>341</v>
      </c>
      <c r="R991">
        <f>VLOOKUP(A991,[2]cwurData!$B:$N, 5, FALSE)</f>
        <v>478</v>
      </c>
      <c r="S991">
        <f>VLOOKUP(A991,[2]cwurData!$B:$N, 6, FALSE)</f>
        <v>210</v>
      </c>
      <c r="T991">
        <f>VLOOKUP(A991,[2]cwurData!$B:$N, 7, FALSE)</f>
        <v>699</v>
      </c>
      <c r="U991">
        <f>VLOOKUP(A991,[2]cwurData!$B:$N, 8, FALSE)</f>
        <v>320</v>
      </c>
      <c r="V991">
        <f>VLOOKUP(A991,[2]cwurData!$B:$N, 9, FALSE)</f>
        <v>493</v>
      </c>
      <c r="W991">
        <f>VLOOKUP(A991,[2]cwurData!$B:$N, 10, FALSE)</f>
        <v>504</v>
      </c>
      <c r="X991">
        <f>VLOOKUP(A991,[2]cwurData!$B:$N, 11, FALSE)</f>
        <v>552</v>
      </c>
      <c r="Y991">
        <f>VLOOKUP(A991,[2]cwurData!$B:$N, 12, FALSE)</f>
        <v>44.81</v>
      </c>
      <c r="Z991">
        <f>VLOOKUP(A991,[2]cwurData!$B:$N, 13, FALSE)</f>
        <v>2014</v>
      </c>
    </row>
    <row r="992" spans="1:26" x14ac:dyDescent="0.3">
      <c r="A992" t="s">
        <v>990</v>
      </c>
      <c r="B992" t="str">
        <f>IFERROR(VLOOKUP(A992,[1]timesData!$B:$P,2,FALSE),VLOOKUP(A992,[2]cwurData!$B:$P,2,FALSE))</f>
        <v>USA</v>
      </c>
      <c r="C992" t="e">
        <f>VLOOKUP(A992,[1]timesData!$B:$P,3,FALSE)</f>
        <v>#N/A</v>
      </c>
      <c r="D992" t="e">
        <f>VLOOKUP(A993,[1]timesData!$B:$P,3,FALSE)</f>
        <v>#N/A</v>
      </c>
      <c r="E992" t="e">
        <f>VLOOKUP(A993,[1]timesData!$B:$P,4,FALSE)</f>
        <v>#N/A</v>
      </c>
      <c r="F992" t="e">
        <f>VLOOKUP(A993,[1]timesData!$B:$P,5,FALSE)</f>
        <v>#N/A</v>
      </c>
      <c r="G992" t="e">
        <f>VLOOKUP(A993,[1]timesData!$B:$P,6,FALSE)</f>
        <v>#N/A</v>
      </c>
      <c r="H992" t="e">
        <f>VLOOKUP(A993,[1]timesData!$B:$P,7,FALSE)</f>
        <v>#N/A</v>
      </c>
      <c r="I992" t="e">
        <f>VLOOKUP(A993,[1]timesData!$B:$P,8,FALSE)</f>
        <v>#N/A</v>
      </c>
      <c r="J992" t="e">
        <f>VLOOKUP(A993,[1]timesData!$B:$P,9,FALSE)</f>
        <v>#N/A</v>
      </c>
      <c r="K992" t="e">
        <f>VLOOKUP(A993,[1]timesData!$B:$P,10,FALSE)</f>
        <v>#N/A</v>
      </c>
      <c r="L992" t="e">
        <f>VLOOKUP(A993,[1]timesData!$B:$P,11,FALSE)</f>
        <v>#N/A</v>
      </c>
      <c r="M992" t="e">
        <f>VLOOKUP(A993,[1]timesData!$B:$P,12,FALSE)</f>
        <v>#N/A</v>
      </c>
      <c r="N992" t="e">
        <f>VLOOKUP(A993,[1]timesData!$B:$P,13,FALSE)</f>
        <v>#N/A</v>
      </c>
      <c r="O992">
        <f>VLOOKUP(A992,[2]cwurData!$B:$P,14,FALSE)</f>
        <v>606</v>
      </c>
      <c r="P992">
        <f>VLOOKUP(A992,[2]cwurData!$B:$N, 3, FALSE)</f>
        <v>178</v>
      </c>
      <c r="Q992">
        <f>VLOOKUP(A992,[2]cwurData!$B:$N, 4, FALSE)</f>
        <v>355</v>
      </c>
      <c r="R992">
        <f>VLOOKUP(A992,[2]cwurData!$B:$N, 5, FALSE)</f>
        <v>229</v>
      </c>
      <c r="S992">
        <f>VLOOKUP(A992,[2]cwurData!$B:$N, 6, FALSE)</f>
        <v>210</v>
      </c>
      <c r="T992">
        <f>VLOOKUP(A992,[2]cwurData!$B:$N, 7, FALSE)</f>
        <v>731</v>
      </c>
      <c r="U992">
        <f>VLOOKUP(A992,[2]cwurData!$B:$N, 8, FALSE)</f>
        <v>610</v>
      </c>
      <c r="V992">
        <f>VLOOKUP(A992,[2]cwurData!$B:$N, 9, FALSE)</f>
        <v>800</v>
      </c>
      <c r="W992">
        <f>VLOOKUP(A992,[2]cwurData!$B:$N, 10, FALSE)</f>
        <v>675</v>
      </c>
      <c r="X992">
        <f>VLOOKUP(A992,[2]cwurData!$B:$N, 11, FALSE)</f>
        <v>737</v>
      </c>
      <c r="Y992">
        <f>VLOOKUP(A992,[2]cwurData!$B:$N, 12, FALSE)</f>
        <v>44.8</v>
      </c>
      <c r="Z992">
        <f>VLOOKUP(A992,[2]cwurData!$B:$N, 13, FALSE)</f>
        <v>2014</v>
      </c>
    </row>
    <row r="993" spans="1:26" x14ac:dyDescent="0.3">
      <c r="A993" t="s">
        <v>991</v>
      </c>
      <c r="B993" t="str">
        <f>IFERROR(VLOOKUP(A993,[1]timesData!$B:$P,2,FALSE),VLOOKUP(A993,[2]cwurData!$B:$P,2,FALSE))</f>
        <v>Belgium</v>
      </c>
      <c r="C993" t="e">
        <f>VLOOKUP(A993,[1]timesData!$B:$P,3,FALSE)</f>
        <v>#N/A</v>
      </c>
      <c r="D993" t="e">
        <f>VLOOKUP(A994,[1]timesData!$B:$P,3,FALSE)</f>
        <v>#N/A</v>
      </c>
      <c r="E993" t="e">
        <f>VLOOKUP(A994,[1]timesData!$B:$P,4,FALSE)</f>
        <v>#N/A</v>
      </c>
      <c r="F993" t="e">
        <f>VLOOKUP(A994,[1]timesData!$B:$P,5,FALSE)</f>
        <v>#N/A</v>
      </c>
      <c r="G993" t="e">
        <f>VLOOKUP(A994,[1]timesData!$B:$P,6,FALSE)</f>
        <v>#N/A</v>
      </c>
      <c r="H993" t="e">
        <f>VLOOKUP(A994,[1]timesData!$B:$P,7,FALSE)</f>
        <v>#N/A</v>
      </c>
      <c r="I993" t="e">
        <f>VLOOKUP(A994,[1]timesData!$B:$P,8,FALSE)</f>
        <v>#N/A</v>
      </c>
      <c r="J993" t="e">
        <f>VLOOKUP(A994,[1]timesData!$B:$P,9,FALSE)</f>
        <v>#N/A</v>
      </c>
      <c r="K993" t="e">
        <f>VLOOKUP(A994,[1]timesData!$B:$P,10,FALSE)</f>
        <v>#N/A</v>
      </c>
      <c r="L993" t="e">
        <f>VLOOKUP(A994,[1]timesData!$B:$P,11,FALSE)</f>
        <v>#N/A</v>
      </c>
      <c r="M993" t="e">
        <f>VLOOKUP(A994,[1]timesData!$B:$P,12,FALSE)</f>
        <v>#N/A</v>
      </c>
      <c r="N993" t="e">
        <f>VLOOKUP(A994,[1]timesData!$B:$P,13,FALSE)</f>
        <v>#N/A</v>
      </c>
      <c r="O993">
        <f>VLOOKUP(A993,[2]cwurData!$B:$P,14,FALSE)</f>
        <v>607</v>
      </c>
      <c r="P993">
        <f>VLOOKUP(A993,[2]cwurData!$B:$N, 3, FALSE)</f>
        <v>8</v>
      </c>
      <c r="Q993">
        <f>VLOOKUP(A993,[2]cwurData!$B:$N, 4, FALSE)</f>
        <v>143</v>
      </c>
      <c r="R993">
        <f>VLOOKUP(A993,[2]cwurData!$B:$N, 5, FALSE)</f>
        <v>312</v>
      </c>
      <c r="S993">
        <f>VLOOKUP(A993,[2]cwurData!$B:$N, 6, FALSE)</f>
        <v>210</v>
      </c>
      <c r="T993">
        <f>VLOOKUP(A993,[2]cwurData!$B:$N, 7, FALSE)</f>
        <v>830</v>
      </c>
      <c r="U993">
        <f>VLOOKUP(A993,[2]cwurData!$B:$N, 8, FALSE)</f>
        <v>713</v>
      </c>
      <c r="V993">
        <f>VLOOKUP(A993,[2]cwurData!$B:$N, 9, FALSE)</f>
        <v>609</v>
      </c>
      <c r="W993">
        <f>VLOOKUP(A993,[2]cwurData!$B:$N, 10, FALSE)</f>
        <v>675</v>
      </c>
      <c r="X993">
        <f>VLOOKUP(A993,[2]cwurData!$B:$N, 11, FALSE)</f>
        <v>637</v>
      </c>
      <c r="Y993">
        <f>VLOOKUP(A993,[2]cwurData!$B:$N, 12, FALSE)</f>
        <v>44.8</v>
      </c>
      <c r="Z993">
        <f>VLOOKUP(A993,[2]cwurData!$B:$N, 13, FALSE)</f>
        <v>2014</v>
      </c>
    </row>
    <row r="994" spans="1:26" x14ac:dyDescent="0.3">
      <c r="A994" t="s">
        <v>992</v>
      </c>
      <c r="B994" t="str">
        <f>IFERROR(VLOOKUP(A994,[1]timesData!$B:$P,2,FALSE),VLOOKUP(A994,[2]cwurData!$B:$P,2,FALSE))</f>
        <v>China</v>
      </c>
      <c r="C994" t="e">
        <f>VLOOKUP(A994,[1]timesData!$B:$P,3,FALSE)</f>
        <v>#N/A</v>
      </c>
      <c r="D994" t="e">
        <f>VLOOKUP(A995,[1]timesData!$B:$P,3,FALSE)</f>
        <v>#N/A</v>
      </c>
      <c r="E994" t="e">
        <f>VLOOKUP(A995,[1]timesData!$B:$P,4,FALSE)</f>
        <v>#N/A</v>
      </c>
      <c r="F994" t="e">
        <f>VLOOKUP(A995,[1]timesData!$B:$P,5,FALSE)</f>
        <v>#N/A</v>
      </c>
      <c r="G994" t="e">
        <f>VLOOKUP(A995,[1]timesData!$B:$P,6,FALSE)</f>
        <v>#N/A</v>
      </c>
      <c r="H994" t="e">
        <f>VLOOKUP(A995,[1]timesData!$B:$P,7,FALSE)</f>
        <v>#N/A</v>
      </c>
      <c r="I994" t="e">
        <f>VLOOKUP(A995,[1]timesData!$B:$P,8,FALSE)</f>
        <v>#N/A</v>
      </c>
      <c r="J994" t="e">
        <f>VLOOKUP(A995,[1]timesData!$B:$P,9,FALSE)</f>
        <v>#N/A</v>
      </c>
      <c r="K994" t="e">
        <f>VLOOKUP(A995,[1]timesData!$B:$P,10,FALSE)</f>
        <v>#N/A</v>
      </c>
      <c r="L994" t="e">
        <f>VLOOKUP(A995,[1]timesData!$B:$P,11,FALSE)</f>
        <v>#N/A</v>
      </c>
      <c r="M994" t="e">
        <f>VLOOKUP(A995,[1]timesData!$B:$P,12,FALSE)</f>
        <v>#N/A</v>
      </c>
      <c r="N994" t="e">
        <f>VLOOKUP(A995,[1]timesData!$B:$P,13,FALSE)</f>
        <v>#N/A</v>
      </c>
      <c r="O994">
        <f>VLOOKUP(A994,[2]cwurData!$B:$P,14,FALSE)</f>
        <v>610</v>
      </c>
      <c r="P994">
        <f>VLOOKUP(A994,[2]cwurData!$B:$N, 3, FALSE)</f>
        <v>30</v>
      </c>
      <c r="Q994">
        <f>VLOOKUP(A994,[2]cwurData!$B:$N, 4, FALSE)</f>
        <v>355</v>
      </c>
      <c r="R994">
        <f>VLOOKUP(A994,[2]cwurData!$B:$N, 5, FALSE)</f>
        <v>478</v>
      </c>
      <c r="S994">
        <f>VLOOKUP(A994,[2]cwurData!$B:$N, 6, FALSE)</f>
        <v>210</v>
      </c>
      <c r="T994">
        <f>VLOOKUP(A994,[2]cwurData!$B:$N, 7, FALSE)</f>
        <v>653</v>
      </c>
      <c r="U994">
        <f>VLOOKUP(A994,[2]cwurData!$B:$N, 8, FALSE)</f>
        <v>837</v>
      </c>
      <c r="V994">
        <f>VLOOKUP(A994,[2]cwurData!$B:$N, 9, FALSE)</f>
        <v>493</v>
      </c>
      <c r="W994">
        <f>VLOOKUP(A994,[2]cwurData!$B:$N, 10, FALSE)</f>
        <v>504</v>
      </c>
      <c r="X994">
        <f>VLOOKUP(A994,[2]cwurData!$B:$N, 11, FALSE)</f>
        <v>737</v>
      </c>
      <c r="Y994">
        <f>VLOOKUP(A994,[2]cwurData!$B:$N, 12, FALSE)</f>
        <v>44.79</v>
      </c>
      <c r="Z994">
        <f>VLOOKUP(A994,[2]cwurData!$B:$N, 13, FALSE)</f>
        <v>2014</v>
      </c>
    </row>
    <row r="995" spans="1:26" x14ac:dyDescent="0.3">
      <c r="A995" t="s">
        <v>993</v>
      </c>
      <c r="B995" t="str">
        <f>IFERROR(VLOOKUP(A995,[1]timesData!$B:$P,2,FALSE),VLOOKUP(A995,[2]cwurData!$B:$P,2,FALSE))</f>
        <v>USA</v>
      </c>
      <c r="C995" t="e">
        <f>VLOOKUP(A995,[1]timesData!$B:$P,3,FALSE)</f>
        <v>#N/A</v>
      </c>
      <c r="D995" t="e">
        <f>VLOOKUP(A996,[1]timesData!$B:$P,3,FALSE)</f>
        <v>#N/A</v>
      </c>
      <c r="E995" t="e">
        <f>VLOOKUP(A996,[1]timesData!$B:$P,4,FALSE)</f>
        <v>#N/A</v>
      </c>
      <c r="F995" t="e">
        <f>VLOOKUP(A996,[1]timesData!$B:$P,5,FALSE)</f>
        <v>#N/A</v>
      </c>
      <c r="G995" t="e">
        <f>VLOOKUP(A996,[1]timesData!$B:$P,6,FALSE)</f>
        <v>#N/A</v>
      </c>
      <c r="H995" t="e">
        <f>VLOOKUP(A996,[1]timesData!$B:$P,7,FALSE)</f>
        <v>#N/A</v>
      </c>
      <c r="I995" t="e">
        <f>VLOOKUP(A996,[1]timesData!$B:$P,8,FALSE)</f>
        <v>#N/A</v>
      </c>
      <c r="J995" t="e">
        <f>VLOOKUP(A996,[1]timesData!$B:$P,9,FALSE)</f>
        <v>#N/A</v>
      </c>
      <c r="K995" t="e">
        <f>VLOOKUP(A996,[1]timesData!$B:$P,10,FALSE)</f>
        <v>#N/A</v>
      </c>
      <c r="L995" t="e">
        <f>VLOOKUP(A996,[1]timesData!$B:$P,11,FALSE)</f>
        <v>#N/A</v>
      </c>
      <c r="M995" t="e">
        <f>VLOOKUP(A996,[1]timesData!$B:$P,12,FALSE)</f>
        <v>#N/A</v>
      </c>
      <c r="N995" t="e">
        <f>VLOOKUP(A996,[1]timesData!$B:$P,13,FALSE)</f>
        <v>#N/A</v>
      </c>
      <c r="O995">
        <f>VLOOKUP(A995,[2]cwurData!$B:$P,14,FALSE)</f>
        <v>616</v>
      </c>
      <c r="P995">
        <f>VLOOKUP(A995,[2]cwurData!$B:$N, 3, FALSE)</f>
        <v>179</v>
      </c>
      <c r="Q995">
        <f>VLOOKUP(A995,[2]cwurData!$B:$N, 4, FALSE)</f>
        <v>355</v>
      </c>
      <c r="R995">
        <f>VLOOKUP(A995,[2]cwurData!$B:$N, 5, FALSE)</f>
        <v>478</v>
      </c>
      <c r="S995">
        <f>VLOOKUP(A995,[2]cwurData!$B:$N, 6, FALSE)</f>
        <v>210</v>
      </c>
      <c r="T995">
        <f>VLOOKUP(A995,[2]cwurData!$B:$N, 7, FALSE)</f>
        <v>907</v>
      </c>
      <c r="U995">
        <f>VLOOKUP(A995,[2]cwurData!$B:$N, 8, FALSE)</f>
        <v>806</v>
      </c>
      <c r="V995">
        <f>VLOOKUP(A995,[2]cwurData!$B:$N, 9, FALSE)</f>
        <v>493</v>
      </c>
      <c r="W995">
        <f>VLOOKUP(A995,[2]cwurData!$B:$N, 10, FALSE)</f>
        <v>504</v>
      </c>
      <c r="X995">
        <f>VLOOKUP(A995,[2]cwurData!$B:$N, 11, FALSE)</f>
        <v>737</v>
      </c>
      <c r="Y995">
        <f>VLOOKUP(A995,[2]cwurData!$B:$N, 12, FALSE)</f>
        <v>44.78</v>
      </c>
      <c r="Z995">
        <f>VLOOKUP(A995,[2]cwurData!$B:$N, 13, FALSE)</f>
        <v>2014</v>
      </c>
    </row>
    <row r="996" spans="1:26" x14ac:dyDescent="0.3">
      <c r="A996" t="s">
        <v>994</v>
      </c>
      <c r="B996" t="str">
        <f>IFERROR(VLOOKUP(A996,[1]timesData!$B:$P,2,FALSE),VLOOKUP(A996,[2]cwurData!$B:$P,2,FALSE))</f>
        <v>France</v>
      </c>
      <c r="C996" t="e">
        <f>VLOOKUP(A996,[1]timesData!$B:$P,3,FALSE)</f>
        <v>#N/A</v>
      </c>
      <c r="D996" t="e">
        <f>VLOOKUP(A997,[1]timesData!$B:$P,3,FALSE)</f>
        <v>#N/A</v>
      </c>
      <c r="E996" t="e">
        <f>VLOOKUP(A997,[1]timesData!$B:$P,4,FALSE)</f>
        <v>#N/A</v>
      </c>
      <c r="F996" t="e">
        <f>VLOOKUP(A997,[1]timesData!$B:$P,5,FALSE)</f>
        <v>#N/A</v>
      </c>
      <c r="G996" t="e">
        <f>VLOOKUP(A997,[1]timesData!$B:$P,6,FALSE)</f>
        <v>#N/A</v>
      </c>
      <c r="H996" t="e">
        <f>VLOOKUP(A997,[1]timesData!$B:$P,7,FALSE)</f>
        <v>#N/A</v>
      </c>
      <c r="I996" t="e">
        <f>VLOOKUP(A997,[1]timesData!$B:$P,8,FALSE)</f>
        <v>#N/A</v>
      </c>
      <c r="J996" t="e">
        <f>VLOOKUP(A997,[1]timesData!$B:$P,9,FALSE)</f>
        <v>#N/A</v>
      </c>
      <c r="K996" t="e">
        <f>VLOOKUP(A997,[1]timesData!$B:$P,10,FALSE)</f>
        <v>#N/A</v>
      </c>
      <c r="L996" t="e">
        <f>VLOOKUP(A997,[1]timesData!$B:$P,11,FALSE)</f>
        <v>#N/A</v>
      </c>
      <c r="M996" t="e">
        <f>VLOOKUP(A997,[1]timesData!$B:$P,12,FALSE)</f>
        <v>#N/A</v>
      </c>
      <c r="N996" t="e">
        <f>VLOOKUP(A997,[1]timesData!$B:$P,13,FALSE)</f>
        <v>#N/A</v>
      </c>
      <c r="O996">
        <f>VLOOKUP(A996,[2]cwurData!$B:$P,14,FALSE)</f>
        <v>617</v>
      </c>
      <c r="P996">
        <f>VLOOKUP(A996,[2]cwurData!$B:$N, 3, FALSE)</f>
        <v>28</v>
      </c>
      <c r="Q996">
        <f>VLOOKUP(A996,[2]cwurData!$B:$N, 4, FALSE)</f>
        <v>355</v>
      </c>
      <c r="R996">
        <f>VLOOKUP(A996,[2]cwurData!$B:$N, 5, FALSE)</f>
        <v>435</v>
      </c>
      <c r="S996">
        <f>VLOOKUP(A996,[2]cwurData!$B:$N, 6, FALSE)</f>
        <v>210</v>
      </c>
      <c r="T996">
        <f>VLOOKUP(A996,[2]cwurData!$B:$N, 7, FALSE)</f>
        <v>710</v>
      </c>
      <c r="U996">
        <f>VLOOKUP(A996,[2]cwurData!$B:$N, 8, FALSE)</f>
        <v>581</v>
      </c>
      <c r="V996">
        <f>VLOOKUP(A996,[2]cwurData!$B:$N, 9, FALSE)</f>
        <v>800</v>
      </c>
      <c r="W996">
        <f>VLOOKUP(A996,[2]cwurData!$B:$N, 10, FALSE)</f>
        <v>536</v>
      </c>
      <c r="X996">
        <f>VLOOKUP(A996,[2]cwurData!$B:$N, 11, FALSE)</f>
        <v>737</v>
      </c>
      <c r="Y996">
        <f>VLOOKUP(A996,[2]cwurData!$B:$N, 12, FALSE)</f>
        <v>44.77</v>
      </c>
      <c r="Z996">
        <f>VLOOKUP(A996,[2]cwurData!$B:$N, 13, FALSE)</f>
        <v>2014</v>
      </c>
    </row>
    <row r="997" spans="1:26" x14ac:dyDescent="0.3">
      <c r="A997" t="s">
        <v>995</v>
      </c>
      <c r="B997" t="str">
        <f>IFERROR(VLOOKUP(A997,[1]timesData!$B:$P,2,FALSE),VLOOKUP(A997,[2]cwurData!$B:$P,2,FALSE))</f>
        <v>Italy</v>
      </c>
      <c r="C997" t="e">
        <f>VLOOKUP(A997,[1]timesData!$B:$P,3,FALSE)</f>
        <v>#N/A</v>
      </c>
      <c r="D997" t="e">
        <f>VLOOKUP(A998,[1]timesData!$B:$P,3,FALSE)</f>
        <v>#N/A</v>
      </c>
      <c r="E997" t="e">
        <f>VLOOKUP(A998,[1]timesData!$B:$P,4,FALSE)</f>
        <v>#N/A</v>
      </c>
      <c r="F997" t="e">
        <f>VLOOKUP(A998,[1]timesData!$B:$P,5,FALSE)</f>
        <v>#N/A</v>
      </c>
      <c r="G997" t="e">
        <f>VLOOKUP(A998,[1]timesData!$B:$P,6,FALSE)</f>
        <v>#N/A</v>
      </c>
      <c r="H997" t="e">
        <f>VLOOKUP(A998,[1]timesData!$B:$P,7,FALSE)</f>
        <v>#N/A</v>
      </c>
      <c r="I997" t="e">
        <f>VLOOKUP(A998,[1]timesData!$B:$P,8,FALSE)</f>
        <v>#N/A</v>
      </c>
      <c r="J997" t="e">
        <f>VLOOKUP(A998,[1]timesData!$B:$P,9,FALSE)</f>
        <v>#N/A</v>
      </c>
      <c r="K997" t="e">
        <f>VLOOKUP(A998,[1]timesData!$B:$P,10,FALSE)</f>
        <v>#N/A</v>
      </c>
      <c r="L997" t="e">
        <f>VLOOKUP(A998,[1]timesData!$B:$P,11,FALSE)</f>
        <v>#N/A</v>
      </c>
      <c r="M997" t="e">
        <f>VLOOKUP(A998,[1]timesData!$B:$P,12,FALSE)</f>
        <v>#N/A</v>
      </c>
      <c r="N997" t="e">
        <f>VLOOKUP(A998,[1]timesData!$B:$P,13,FALSE)</f>
        <v>#N/A</v>
      </c>
      <c r="O997">
        <f>VLOOKUP(A997,[2]cwurData!$B:$P,14,FALSE)</f>
        <v>618</v>
      </c>
      <c r="P997">
        <f>VLOOKUP(A997,[2]cwurData!$B:$N, 3, FALSE)</f>
        <v>34</v>
      </c>
      <c r="Q997">
        <f>VLOOKUP(A997,[2]cwurData!$B:$N, 4, FALSE)</f>
        <v>355</v>
      </c>
      <c r="R997">
        <f>VLOOKUP(A997,[2]cwurData!$B:$N, 5, FALSE)</f>
        <v>478</v>
      </c>
      <c r="S997">
        <f>VLOOKUP(A997,[2]cwurData!$B:$N, 6, FALSE)</f>
        <v>210</v>
      </c>
      <c r="T997">
        <f>VLOOKUP(A997,[2]cwurData!$B:$N, 7, FALSE)</f>
        <v>617</v>
      </c>
      <c r="U997">
        <f>VLOOKUP(A997,[2]cwurData!$B:$N, 8, FALSE)</f>
        <v>643</v>
      </c>
      <c r="V997">
        <f>VLOOKUP(A997,[2]cwurData!$B:$N, 9, FALSE)</f>
        <v>800</v>
      </c>
      <c r="W997">
        <f>VLOOKUP(A997,[2]cwurData!$B:$N, 10, FALSE)</f>
        <v>514</v>
      </c>
      <c r="X997">
        <f>VLOOKUP(A997,[2]cwurData!$B:$N, 11, FALSE)</f>
        <v>737</v>
      </c>
      <c r="Y997">
        <f>VLOOKUP(A997,[2]cwurData!$B:$N, 12, FALSE)</f>
        <v>44.77</v>
      </c>
      <c r="Z997">
        <f>VLOOKUP(A997,[2]cwurData!$B:$N, 13, FALSE)</f>
        <v>2014</v>
      </c>
    </row>
    <row r="998" spans="1:26" x14ac:dyDescent="0.3">
      <c r="A998" t="s">
        <v>996</v>
      </c>
      <c r="B998" t="str">
        <f>IFERROR(VLOOKUP(A998,[1]timesData!$B:$P,2,FALSE),VLOOKUP(A998,[2]cwurData!$B:$P,2,FALSE))</f>
        <v>France</v>
      </c>
      <c r="C998" t="e">
        <f>VLOOKUP(A998,[1]timesData!$B:$P,3,FALSE)</f>
        <v>#N/A</v>
      </c>
      <c r="D998" t="e">
        <f>VLOOKUP(A999,[1]timesData!$B:$P,3,FALSE)</f>
        <v>#N/A</v>
      </c>
      <c r="E998" t="e">
        <f>VLOOKUP(A999,[1]timesData!$B:$P,4,FALSE)</f>
        <v>#N/A</v>
      </c>
      <c r="F998" t="e">
        <f>VLOOKUP(A999,[1]timesData!$B:$P,5,FALSE)</f>
        <v>#N/A</v>
      </c>
      <c r="G998" t="e">
        <f>VLOOKUP(A999,[1]timesData!$B:$P,6,FALSE)</f>
        <v>#N/A</v>
      </c>
      <c r="H998" t="e">
        <f>VLOOKUP(A999,[1]timesData!$B:$P,7,FALSE)</f>
        <v>#N/A</v>
      </c>
      <c r="I998" t="e">
        <f>VLOOKUP(A999,[1]timesData!$B:$P,8,FALSE)</f>
        <v>#N/A</v>
      </c>
      <c r="J998" t="e">
        <f>VLOOKUP(A999,[1]timesData!$B:$P,9,FALSE)</f>
        <v>#N/A</v>
      </c>
      <c r="K998" t="e">
        <f>VLOOKUP(A999,[1]timesData!$B:$P,10,FALSE)</f>
        <v>#N/A</v>
      </c>
      <c r="L998" t="e">
        <f>VLOOKUP(A999,[1]timesData!$B:$P,11,FALSE)</f>
        <v>#N/A</v>
      </c>
      <c r="M998" t="e">
        <f>VLOOKUP(A999,[1]timesData!$B:$P,12,FALSE)</f>
        <v>#N/A</v>
      </c>
      <c r="N998" t="e">
        <f>VLOOKUP(A999,[1]timesData!$B:$P,13,FALSE)</f>
        <v>#N/A</v>
      </c>
      <c r="O998">
        <f>VLOOKUP(A998,[2]cwurData!$B:$P,14,FALSE)</f>
        <v>622</v>
      </c>
      <c r="P998">
        <f>VLOOKUP(A998,[2]cwurData!$B:$N, 3, FALSE)</f>
        <v>29</v>
      </c>
      <c r="Q998">
        <f>VLOOKUP(A998,[2]cwurData!$B:$N, 4, FALSE)</f>
        <v>236</v>
      </c>
      <c r="R998">
        <f>VLOOKUP(A998,[2]cwurData!$B:$N, 5, FALSE)</f>
        <v>478</v>
      </c>
      <c r="S998">
        <f>VLOOKUP(A998,[2]cwurData!$B:$N, 6, FALSE)</f>
        <v>143</v>
      </c>
      <c r="T998">
        <f>VLOOKUP(A998,[2]cwurData!$B:$N, 7, FALSE)</f>
        <v>615</v>
      </c>
      <c r="U998">
        <f>VLOOKUP(A998,[2]cwurData!$B:$N, 8, FALSE)</f>
        <v>480</v>
      </c>
      <c r="V998">
        <f>VLOOKUP(A998,[2]cwurData!$B:$N, 9, FALSE)</f>
        <v>609</v>
      </c>
      <c r="W998">
        <f>VLOOKUP(A998,[2]cwurData!$B:$N, 10, FALSE)</f>
        <v>675</v>
      </c>
      <c r="X998">
        <f>VLOOKUP(A998,[2]cwurData!$B:$N, 11, FALSE)</f>
        <v>481</v>
      </c>
      <c r="Y998">
        <f>VLOOKUP(A998,[2]cwurData!$B:$N, 12, FALSE)</f>
        <v>44.77</v>
      </c>
      <c r="Z998">
        <f>VLOOKUP(A998,[2]cwurData!$B:$N, 13, FALSE)</f>
        <v>2014</v>
      </c>
    </row>
    <row r="999" spans="1:26" x14ac:dyDescent="0.3">
      <c r="A999" t="s">
        <v>997</v>
      </c>
      <c r="B999" t="str">
        <f>IFERROR(VLOOKUP(A999,[1]timesData!$B:$P,2,FALSE),VLOOKUP(A999,[2]cwurData!$B:$P,2,FALSE))</f>
        <v>USA</v>
      </c>
      <c r="C999" t="e">
        <f>VLOOKUP(A999,[1]timesData!$B:$P,3,FALSE)</f>
        <v>#N/A</v>
      </c>
      <c r="D999" t="e">
        <f>VLOOKUP(A1000,[1]timesData!$B:$P,3,FALSE)</f>
        <v>#N/A</v>
      </c>
      <c r="E999" t="e">
        <f>VLOOKUP(A1000,[1]timesData!$B:$P,4,FALSE)</f>
        <v>#N/A</v>
      </c>
      <c r="F999" t="e">
        <f>VLOOKUP(A1000,[1]timesData!$B:$P,5,FALSE)</f>
        <v>#N/A</v>
      </c>
      <c r="G999" t="e">
        <f>VLOOKUP(A1000,[1]timesData!$B:$P,6,FALSE)</f>
        <v>#N/A</v>
      </c>
      <c r="H999" t="e">
        <f>VLOOKUP(A1000,[1]timesData!$B:$P,7,FALSE)</f>
        <v>#N/A</v>
      </c>
      <c r="I999" t="e">
        <f>VLOOKUP(A1000,[1]timesData!$B:$P,8,FALSE)</f>
        <v>#N/A</v>
      </c>
      <c r="J999" t="e">
        <f>VLOOKUP(A1000,[1]timesData!$B:$P,9,FALSE)</f>
        <v>#N/A</v>
      </c>
      <c r="K999" t="e">
        <f>VLOOKUP(A1000,[1]timesData!$B:$P,10,FALSE)</f>
        <v>#N/A</v>
      </c>
      <c r="L999" t="e">
        <f>VLOOKUP(A1000,[1]timesData!$B:$P,11,FALSE)</f>
        <v>#N/A</v>
      </c>
      <c r="M999" t="e">
        <f>VLOOKUP(A1000,[1]timesData!$B:$P,12,FALSE)</f>
        <v>#N/A</v>
      </c>
      <c r="N999" t="e">
        <f>VLOOKUP(A1000,[1]timesData!$B:$P,13,FALSE)</f>
        <v>#N/A</v>
      </c>
      <c r="O999">
        <f>VLOOKUP(A999,[2]cwurData!$B:$P,14,FALSE)</f>
        <v>623</v>
      </c>
      <c r="P999">
        <f>VLOOKUP(A999,[2]cwurData!$B:$N, 3, FALSE)</f>
        <v>181</v>
      </c>
      <c r="Q999">
        <f>VLOOKUP(A999,[2]cwurData!$B:$N, 4, FALSE)</f>
        <v>142</v>
      </c>
      <c r="R999">
        <f>VLOOKUP(A999,[2]cwurData!$B:$N, 5, FALSE)</f>
        <v>478</v>
      </c>
      <c r="S999">
        <f>VLOOKUP(A999,[2]cwurData!$B:$N, 6, FALSE)</f>
        <v>210</v>
      </c>
      <c r="T999">
        <f>VLOOKUP(A999,[2]cwurData!$B:$N, 7, FALSE)</f>
        <v>993</v>
      </c>
      <c r="U999">
        <f>VLOOKUP(A999,[2]cwurData!$B:$N, 8, FALSE)</f>
        <v>753</v>
      </c>
      <c r="V999">
        <f>VLOOKUP(A999,[2]cwurData!$B:$N, 9, FALSE)</f>
        <v>609</v>
      </c>
      <c r="W999">
        <f>VLOOKUP(A999,[2]cwurData!$B:$N, 10, FALSE)</f>
        <v>605</v>
      </c>
      <c r="X999">
        <f>VLOOKUP(A999,[2]cwurData!$B:$N, 11, FALSE)</f>
        <v>737</v>
      </c>
      <c r="Y999">
        <f>VLOOKUP(A999,[2]cwurData!$B:$N, 12, FALSE)</f>
        <v>44.76</v>
      </c>
      <c r="Z999">
        <f>VLOOKUP(A999,[2]cwurData!$B:$N, 13, FALSE)</f>
        <v>2014</v>
      </c>
    </row>
    <row r="1000" spans="1:26" x14ac:dyDescent="0.3">
      <c r="A1000" t="s">
        <v>998</v>
      </c>
      <c r="B1000" t="str">
        <f>IFERROR(VLOOKUP(A1000,[1]timesData!$B:$P,2,FALSE),VLOOKUP(A1000,[2]cwurData!$B:$P,2,FALSE))</f>
        <v>Brazil</v>
      </c>
      <c r="C1000" t="e">
        <f>VLOOKUP(A1000,[1]timesData!$B:$P,3,FALSE)</f>
        <v>#N/A</v>
      </c>
      <c r="D1000" t="e">
        <f>VLOOKUP(A1001,[1]timesData!$B:$P,3,FALSE)</f>
        <v>#N/A</v>
      </c>
      <c r="E1000" t="e">
        <f>VLOOKUP(A1001,[1]timesData!$B:$P,4,FALSE)</f>
        <v>#N/A</v>
      </c>
      <c r="F1000" t="e">
        <f>VLOOKUP(A1001,[1]timesData!$B:$P,5,FALSE)</f>
        <v>#N/A</v>
      </c>
      <c r="G1000" t="e">
        <f>VLOOKUP(A1001,[1]timesData!$B:$P,6,FALSE)</f>
        <v>#N/A</v>
      </c>
      <c r="H1000" t="e">
        <f>VLOOKUP(A1001,[1]timesData!$B:$P,7,FALSE)</f>
        <v>#N/A</v>
      </c>
      <c r="I1000" t="e">
        <f>VLOOKUP(A1001,[1]timesData!$B:$P,8,FALSE)</f>
        <v>#N/A</v>
      </c>
      <c r="J1000" t="e">
        <f>VLOOKUP(A1001,[1]timesData!$B:$P,9,FALSE)</f>
        <v>#N/A</v>
      </c>
      <c r="K1000" t="e">
        <f>VLOOKUP(A1001,[1]timesData!$B:$P,10,FALSE)</f>
        <v>#N/A</v>
      </c>
      <c r="L1000" t="e">
        <f>VLOOKUP(A1001,[1]timesData!$B:$P,11,FALSE)</f>
        <v>#N/A</v>
      </c>
      <c r="M1000" t="e">
        <f>VLOOKUP(A1001,[1]timesData!$B:$P,12,FALSE)</f>
        <v>#N/A</v>
      </c>
      <c r="N1000" t="e">
        <f>VLOOKUP(A1001,[1]timesData!$B:$P,13,FALSE)</f>
        <v>#N/A</v>
      </c>
      <c r="O1000">
        <f>VLOOKUP(A1000,[2]cwurData!$B:$P,14,FALSE)</f>
        <v>626</v>
      </c>
      <c r="P1000">
        <f>VLOOKUP(A1000,[2]cwurData!$B:$N, 3, FALSE)</f>
        <v>6</v>
      </c>
      <c r="Q1000">
        <f>VLOOKUP(A1000,[2]cwurData!$B:$N, 4, FALSE)</f>
        <v>355</v>
      </c>
      <c r="R1000">
        <f>VLOOKUP(A1000,[2]cwurData!$B:$N, 5, FALSE)</f>
        <v>478</v>
      </c>
      <c r="S1000">
        <f>VLOOKUP(A1000,[2]cwurData!$B:$N, 6, FALSE)</f>
        <v>210</v>
      </c>
      <c r="T1000">
        <f>VLOOKUP(A1000,[2]cwurData!$B:$N, 7, FALSE)</f>
        <v>515</v>
      </c>
      <c r="U1000">
        <f>VLOOKUP(A1000,[2]cwurData!$B:$N, 8, FALSE)</f>
        <v>616</v>
      </c>
      <c r="V1000">
        <f>VLOOKUP(A1000,[2]cwurData!$B:$N, 9, FALSE)</f>
        <v>406</v>
      </c>
      <c r="W1000">
        <f>VLOOKUP(A1000,[2]cwurData!$B:$N, 10, FALSE)</f>
        <v>536</v>
      </c>
      <c r="X1000">
        <f>VLOOKUP(A1000,[2]cwurData!$B:$N, 11, FALSE)</f>
        <v>737</v>
      </c>
      <c r="Y1000">
        <f>VLOOKUP(A1000,[2]cwurData!$B:$N, 12, FALSE)</f>
        <v>44.76</v>
      </c>
      <c r="Z1000">
        <f>VLOOKUP(A1000,[2]cwurData!$B:$N, 13, FALSE)</f>
        <v>2014</v>
      </c>
    </row>
    <row r="1001" spans="1:26" x14ac:dyDescent="0.3">
      <c r="A1001" t="s">
        <v>999</v>
      </c>
      <c r="B1001" t="str">
        <f>IFERROR(VLOOKUP(A1001,[1]timesData!$B:$P,2,FALSE),VLOOKUP(A1001,[2]cwurData!$B:$P,2,FALSE))</f>
        <v>South Korea</v>
      </c>
      <c r="C1001" t="e">
        <f>VLOOKUP(A1001,[1]timesData!$B:$P,3,FALSE)</f>
        <v>#N/A</v>
      </c>
      <c r="D1001" t="e">
        <f>VLOOKUP(A1002,[1]timesData!$B:$P,3,FALSE)</f>
        <v>#N/A</v>
      </c>
      <c r="E1001" t="e">
        <f>VLOOKUP(A1002,[1]timesData!$B:$P,4,FALSE)</f>
        <v>#N/A</v>
      </c>
      <c r="F1001" t="e">
        <f>VLOOKUP(A1002,[1]timesData!$B:$P,5,FALSE)</f>
        <v>#N/A</v>
      </c>
      <c r="G1001" t="e">
        <f>VLOOKUP(A1002,[1]timesData!$B:$P,6,FALSE)</f>
        <v>#N/A</v>
      </c>
      <c r="H1001" t="e">
        <f>VLOOKUP(A1002,[1]timesData!$B:$P,7,FALSE)</f>
        <v>#N/A</v>
      </c>
      <c r="I1001" t="e">
        <f>VLOOKUP(A1002,[1]timesData!$B:$P,8,FALSE)</f>
        <v>#N/A</v>
      </c>
      <c r="J1001" t="e">
        <f>VLOOKUP(A1002,[1]timesData!$B:$P,9,FALSE)</f>
        <v>#N/A</v>
      </c>
      <c r="K1001" t="e">
        <f>VLOOKUP(A1002,[1]timesData!$B:$P,10,FALSE)</f>
        <v>#N/A</v>
      </c>
      <c r="L1001" t="e">
        <f>VLOOKUP(A1002,[1]timesData!$B:$P,11,FALSE)</f>
        <v>#N/A</v>
      </c>
      <c r="M1001" t="e">
        <f>VLOOKUP(A1002,[1]timesData!$B:$P,12,FALSE)</f>
        <v>#N/A</v>
      </c>
      <c r="N1001" t="e">
        <f>VLOOKUP(A1002,[1]timesData!$B:$P,13,FALSE)</f>
        <v>#N/A</v>
      </c>
      <c r="O1001">
        <f>VLOOKUP(A1001,[2]cwurData!$B:$P,14,FALSE)</f>
        <v>629</v>
      </c>
      <c r="P1001">
        <f>VLOOKUP(A1001,[2]cwurData!$B:$N, 3, FALSE)</f>
        <v>24</v>
      </c>
      <c r="Q1001">
        <f>VLOOKUP(A1001,[2]cwurData!$B:$N, 4, FALSE)</f>
        <v>355</v>
      </c>
      <c r="R1001">
        <f>VLOOKUP(A1001,[2]cwurData!$B:$N, 5, FALSE)</f>
        <v>478</v>
      </c>
      <c r="S1001">
        <f>VLOOKUP(A1001,[2]cwurData!$B:$N, 6, FALSE)</f>
        <v>210</v>
      </c>
      <c r="T1001">
        <f>VLOOKUP(A1001,[2]cwurData!$B:$N, 7, FALSE)</f>
        <v>598</v>
      </c>
      <c r="U1001">
        <f>VLOOKUP(A1001,[2]cwurData!$B:$N, 8, FALSE)</f>
        <v>798</v>
      </c>
      <c r="V1001">
        <f>VLOOKUP(A1001,[2]cwurData!$B:$N, 9, FALSE)</f>
        <v>800</v>
      </c>
      <c r="W1001">
        <f>VLOOKUP(A1001,[2]cwurData!$B:$N, 10, FALSE)</f>
        <v>628</v>
      </c>
      <c r="X1001">
        <f>VLOOKUP(A1001,[2]cwurData!$B:$N, 11, FALSE)</f>
        <v>227</v>
      </c>
      <c r="Y1001">
        <f>VLOOKUP(A1001,[2]cwurData!$B:$N, 12, FALSE)</f>
        <v>44.74</v>
      </c>
      <c r="Z1001">
        <f>VLOOKUP(A1001,[2]cwurData!$B:$N, 13, FALSE)</f>
        <v>2014</v>
      </c>
    </row>
    <row r="1002" spans="1:26" x14ac:dyDescent="0.3">
      <c r="A1002" t="s">
        <v>1000</v>
      </c>
      <c r="B1002" t="str">
        <f>IFERROR(VLOOKUP(A1002,[1]timesData!$B:$P,2,FALSE),VLOOKUP(A1002,[2]cwurData!$B:$P,2,FALSE))</f>
        <v>United Kingdom</v>
      </c>
      <c r="C1002" t="e">
        <f>VLOOKUP(A1002,[1]timesData!$B:$P,3,FALSE)</f>
        <v>#N/A</v>
      </c>
      <c r="D1002" t="e">
        <f>VLOOKUP(A1003,[1]timesData!$B:$P,3,FALSE)</f>
        <v>#N/A</v>
      </c>
      <c r="E1002" t="e">
        <f>VLOOKUP(A1003,[1]timesData!$B:$P,4,FALSE)</f>
        <v>#N/A</v>
      </c>
      <c r="F1002" t="e">
        <f>VLOOKUP(A1003,[1]timesData!$B:$P,5,FALSE)</f>
        <v>#N/A</v>
      </c>
      <c r="G1002" t="e">
        <f>VLOOKUP(A1003,[1]timesData!$B:$P,6,FALSE)</f>
        <v>#N/A</v>
      </c>
      <c r="H1002" t="e">
        <f>VLOOKUP(A1003,[1]timesData!$B:$P,7,FALSE)</f>
        <v>#N/A</v>
      </c>
      <c r="I1002" t="e">
        <f>VLOOKUP(A1003,[1]timesData!$B:$P,8,FALSE)</f>
        <v>#N/A</v>
      </c>
      <c r="J1002" t="e">
        <f>VLOOKUP(A1003,[1]timesData!$B:$P,9,FALSE)</f>
        <v>#N/A</v>
      </c>
      <c r="K1002" t="e">
        <f>VLOOKUP(A1003,[1]timesData!$B:$P,10,FALSE)</f>
        <v>#N/A</v>
      </c>
      <c r="L1002" t="e">
        <f>VLOOKUP(A1003,[1]timesData!$B:$P,11,FALSE)</f>
        <v>#N/A</v>
      </c>
      <c r="M1002" t="e">
        <f>VLOOKUP(A1003,[1]timesData!$B:$P,12,FALSE)</f>
        <v>#N/A</v>
      </c>
      <c r="N1002" t="e">
        <f>VLOOKUP(A1003,[1]timesData!$B:$P,13,FALSE)</f>
        <v>#N/A</v>
      </c>
      <c r="O1002">
        <f>VLOOKUP(A1002,[2]cwurData!$B:$P,14,FALSE)</f>
        <v>630</v>
      </c>
      <c r="P1002">
        <f>VLOOKUP(A1002,[2]cwurData!$B:$N, 3, FALSE)</f>
        <v>47</v>
      </c>
      <c r="Q1002">
        <f>VLOOKUP(A1002,[2]cwurData!$B:$N, 4, FALSE)</f>
        <v>355</v>
      </c>
      <c r="R1002">
        <f>VLOOKUP(A1002,[2]cwurData!$B:$N, 5, FALSE)</f>
        <v>478</v>
      </c>
      <c r="S1002">
        <f>VLOOKUP(A1002,[2]cwurData!$B:$N, 6, FALSE)</f>
        <v>210</v>
      </c>
      <c r="T1002">
        <f>VLOOKUP(A1002,[2]cwurData!$B:$N, 7, FALSE)</f>
        <v>613</v>
      </c>
      <c r="U1002">
        <f>VLOOKUP(A1002,[2]cwurData!$B:$N, 8, FALSE)</f>
        <v>301</v>
      </c>
      <c r="V1002">
        <f>VLOOKUP(A1002,[2]cwurData!$B:$N, 9, FALSE)</f>
        <v>800</v>
      </c>
      <c r="W1002">
        <f>VLOOKUP(A1002,[2]cwurData!$B:$N, 10, FALSE)</f>
        <v>536</v>
      </c>
      <c r="X1002">
        <f>VLOOKUP(A1002,[2]cwurData!$B:$N, 11, FALSE)</f>
        <v>637</v>
      </c>
      <c r="Y1002">
        <f>VLOOKUP(A1002,[2]cwurData!$B:$N, 12, FALSE)</f>
        <v>44.74</v>
      </c>
      <c r="Z1002">
        <f>VLOOKUP(A1002,[2]cwurData!$B:$N, 13, FALSE)</f>
        <v>2014</v>
      </c>
    </row>
    <row r="1003" spans="1:26" x14ac:dyDescent="0.3">
      <c r="A1003" t="s">
        <v>1001</v>
      </c>
      <c r="B1003" t="str">
        <f>IFERROR(VLOOKUP(A1003,[1]timesData!$B:$P,2,FALSE),VLOOKUP(A1003,[2]cwurData!$B:$P,2,FALSE))</f>
        <v>Portugal</v>
      </c>
      <c r="C1003" t="e">
        <f>VLOOKUP(A1003,[1]timesData!$B:$P,3,FALSE)</f>
        <v>#N/A</v>
      </c>
      <c r="D1003" t="e">
        <f>VLOOKUP(A1004,[1]timesData!$B:$P,3,FALSE)</f>
        <v>#N/A</v>
      </c>
      <c r="E1003" t="e">
        <f>VLOOKUP(A1004,[1]timesData!$B:$P,4,FALSE)</f>
        <v>#N/A</v>
      </c>
      <c r="F1003" t="e">
        <f>VLOOKUP(A1004,[1]timesData!$B:$P,5,FALSE)</f>
        <v>#N/A</v>
      </c>
      <c r="G1003" t="e">
        <f>VLOOKUP(A1004,[1]timesData!$B:$P,6,FALSE)</f>
        <v>#N/A</v>
      </c>
      <c r="H1003" t="e">
        <f>VLOOKUP(A1004,[1]timesData!$B:$P,7,FALSE)</f>
        <v>#N/A</v>
      </c>
      <c r="I1003" t="e">
        <f>VLOOKUP(A1004,[1]timesData!$B:$P,8,FALSE)</f>
        <v>#N/A</v>
      </c>
      <c r="J1003" t="e">
        <f>VLOOKUP(A1004,[1]timesData!$B:$P,9,FALSE)</f>
        <v>#N/A</v>
      </c>
      <c r="K1003" t="e">
        <f>VLOOKUP(A1004,[1]timesData!$B:$P,10,FALSE)</f>
        <v>#N/A</v>
      </c>
      <c r="L1003" t="e">
        <f>VLOOKUP(A1004,[1]timesData!$B:$P,11,FALSE)</f>
        <v>#N/A</v>
      </c>
      <c r="M1003" t="e">
        <f>VLOOKUP(A1004,[1]timesData!$B:$P,12,FALSE)</f>
        <v>#N/A</v>
      </c>
      <c r="N1003" t="e">
        <f>VLOOKUP(A1004,[1]timesData!$B:$P,13,FALSE)</f>
        <v>#N/A</v>
      </c>
      <c r="O1003">
        <f>VLOOKUP(A1003,[2]cwurData!$B:$P,14,FALSE)</f>
        <v>632</v>
      </c>
      <c r="P1003">
        <f>VLOOKUP(A1003,[2]cwurData!$B:$N, 3, FALSE)</f>
        <v>5</v>
      </c>
      <c r="Q1003">
        <f>VLOOKUP(A1003,[2]cwurData!$B:$N, 4, FALSE)</f>
        <v>355</v>
      </c>
      <c r="R1003">
        <f>VLOOKUP(A1003,[2]cwurData!$B:$N, 5, FALSE)</f>
        <v>478</v>
      </c>
      <c r="S1003">
        <f>VLOOKUP(A1003,[2]cwurData!$B:$N, 6, FALSE)</f>
        <v>210</v>
      </c>
      <c r="T1003">
        <f>VLOOKUP(A1003,[2]cwurData!$B:$N, 7, FALSE)</f>
        <v>506</v>
      </c>
      <c r="U1003">
        <f>VLOOKUP(A1003,[2]cwurData!$B:$N, 8, FALSE)</f>
        <v>515</v>
      </c>
      <c r="V1003">
        <f>VLOOKUP(A1003,[2]cwurData!$B:$N, 9, FALSE)</f>
        <v>609</v>
      </c>
      <c r="W1003">
        <f>VLOOKUP(A1003,[2]cwurData!$B:$N, 10, FALSE)</f>
        <v>543</v>
      </c>
      <c r="X1003">
        <f>VLOOKUP(A1003,[2]cwurData!$B:$N, 11, FALSE)</f>
        <v>552</v>
      </c>
      <c r="Y1003">
        <f>VLOOKUP(A1003,[2]cwurData!$B:$N, 12, FALSE)</f>
        <v>44.74</v>
      </c>
      <c r="Z1003">
        <f>VLOOKUP(A1003,[2]cwurData!$B:$N, 13, FALSE)</f>
        <v>2014</v>
      </c>
    </row>
    <row r="1004" spans="1:26" x14ac:dyDescent="0.3">
      <c r="A1004" t="s">
        <v>1002</v>
      </c>
      <c r="B1004" t="str">
        <f>IFERROR(VLOOKUP(A1004,[1]timesData!$B:$P,2,FALSE),VLOOKUP(A1004,[2]cwurData!$B:$P,2,FALSE))</f>
        <v>USA</v>
      </c>
      <c r="C1004" t="e">
        <f>VLOOKUP(A1004,[1]timesData!$B:$P,3,FALSE)</f>
        <v>#N/A</v>
      </c>
      <c r="D1004" t="e">
        <f>VLOOKUP(A1005,[1]timesData!$B:$P,3,FALSE)</f>
        <v>#N/A</v>
      </c>
      <c r="E1004" t="e">
        <f>VLOOKUP(A1005,[1]timesData!$B:$P,4,FALSE)</f>
        <v>#N/A</v>
      </c>
      <c r="F1004" t="e">
        <f>VLOOKUP(A1005,[1]timesData!$B:$P,5,FALSE)</f>
        <v>#N/A</v>
      </c>
      <c r="G1004" t="e">
        <f>VLOOKUP(A1005,[1]timesData!$B:$P,6,FALSE)</f>
        <v>#N/A</v>
      </c>
      <c r="H1004" t="e">
        <f>VLOOKUP(A1005,[1]timesData!$B:$P,7,FALSE)</f>
        <v>#N/A</v>
      </c>
      <c r="I1004" t="e">
        <f>VLOOKUP(A1005,[1]timesData!$B:$P,8,FALSE)</f>
        <v>#N/A</v>
      </c>
      <c r="J1004" t="e">
        <f>VLOOKUP(A1005,[1]timesData!$B:$P,9,FALSE)</f>
        <v>#N/A</v>
      </c>
      <c r="K1004" t="e">
        <f>VLOOKUP(A1005,[1]timesData!$B:$P,10,FALSE)</f>
        <v>#N/A</v>
      </c>
      <c r="L1004" t="e">
        <f>VLOOKUP(A1005,[1]timesData!$B:$P,11,FALSE)</f>
        <v>#N/A</v>
      </c>
      <c r="M1004" t="e">
        <f>VLOOKUP(A1005,[1]timesData!$B:$P,12,FALSE)</f>
        <v>#N/A</v>
      </c>
      <c r="N1004" t="e">
        <f>VLOOKUP(A1005,[1]timesData!$B:$P,13,FALSE)</f>
        <v>#N/A</v>
      </c>
      <c r="O1004">
        <f>VLOOKUP(A1004,[2]cwurData!$B:$P,14,FALSE)</f>
        <v>633</v>
      </c>
      <c r="P1004">
        <f>VLOOKUP(A1004,[2]cwurData!$B:$N, 3, FALSE)</f>
        <v>182</v>
      </c>
      <c r="Q1004">
        <f>VLOOKUP(A1004,[2]cwurData!$B:$N, 4, FALSE)</f>
        <v>355</v>
      </c>
      <c r="R1004">
        <f>VLOOKUP(A1004,[2]cwurData!$B:$N, 5, FALSE)</f>
        <v>478</v>
      </c>
      <c r="S1004">
        <f>VLOOKUP(A1004,[2]cwurData!$B:$N, 6, FALSE)</f>
        <v>210</v>
      </c>
      <c r="T1004">
        <f>VLOOKUP(A1004,[2]cwurData!$B:$N, 7, FALSE)</f>
        <v>664</v>
      </c>
      <c r="U1004">
        <f>VLOOKUP(A1004,[2]cwurData!$B:$N, 8, FALSE)</f>
        <v>445</v>
      </c>
      <c r="V1004">
        <f>VLOOKUP(A1004,[2]cwurData!$B:$N, 9, FALSE)</f>
        <v>493</v>
      </c>
      <c r="W1004">
        <f>VLOOKUP(A1004,[2]cwurData!$B:$N, 10, FALSE)</f>
        <v>543</v>
      </c>
      <c r="X1004">
        <f>VLOOKUP(A1004,[2]cwurData!$B:$N, 11, FALSE)</f>
        <v>426</v>
      </c>
      <c r="Y1004">
        <f>VLOOKUP(A1004,[2]cwurData!$B:$N, 12, FALSE)</f>
        <v>44.74</v>
      </c>
      <c r="Z1004">
        <f>VLOOKUP(A1004,[2]cwurData!$B:$N, 13, FALSE)</f>
        <v>2014</v>
      </c>
    </row>
    <row r="1005" spans="1:26" x14ac:dyDescent="0.3">
      <c r="A1005" t="s">
        <v>1003</v>
      </c>
      <c r="B1005" t="str">
        <f>IFERROR(VLOOKUP(A1005,[1]timesData!$B:$P,2,FALSE),VLOOKUP(A1005,[2]cwurData!$B:$P,2,FALSE))</f>
        <v>Germany</v>
      </c>
      <c r="C1005" t="e">
        <f>VLOOKUP(A1005,[1]timesData!$B:$P,3,FALSE)</f>
        <v>#N/A</v>
      </c>
      <c r="D1005" t="e">
        <f>VLOOKUP(A1006,[1]timesData!$B:$P,3,FALSE)</f>
        <v>#N/A</v>
      </c>
      <c r="E1005" t="e">
        <f>VLOOKUP(A1006,[1]timesData!$B:$P,4,FALSE)</f>
        <v>#N/A</v>
      </c>
      <c r="F1005" t="e">
        <f>VLOOKUP(A1006,[1]timesData!$B:$P,5,FALSE)</f>
        <v>#N/A</v>
      </c>
      <c r="G1005" t="e">
        <f>VLOOKUP(A1006,[1]timesData!$B:$P,6,FALSE)</f>
        <v>#N/A</v>
      </c>
      <c r="H1005" t="e">
        <f>VLOOKUP(A1006,[1]timesData!$B:$P,7,FALSE)</f>
        <v>#N/A</v>
      </c>
      <c r="I1005" t="e">
        <f>VLOOKUP(A1006,[1]timesData!$B:$P,8,FALSE)</f>
        <v>#N/A</v>
      </c>
      <c r="J1005" t="e">
        <f>VLOOKUP(A1006,[1]timesData!$B:$P,9,FALSE)</f>
        <v>#N/A</v>
      </c>
      <c r="K1005" t="e">
        <f>VLOOKUP(A1006,[1]timesData!$B:$P,10,FALSE)</f>
        <v>#N/A</v>
      </c>
      <c r="L1005" t="e">
        <f>VLOOKUP(A1006,[1]timesData!$B:$P,11,FALSE)</f>
        <v>#N/A</v>
      </c>
      <c r="M1005" t="e">
        <f>VLOOKUP(A1006,[1]timesData!$B:$P,12,FALSE)</f>
        <v>#N/A</v>
      </c>
      <c r="N1005" t="e">
        <f>VLOOKUP(A1006,[1]timesData!$B:$P,13,FALSE)</f>
        <v>#N/A</v>
      </c>
      <c r="O1005">
        <f>VLOOKUP(A1005,[2]cwurData!$B:$P,14,FALSE)</f>
        <v>634</v>
      </c>
      <c r="P1005">
        <f>VLOOKUP(A1005,[2]cwurData!$B:$N, 3, FALSE)</f>
        <v>45</v>
      </c>
      <c r="Q1005">
        <f>VLOOKUP(A1005,[2]cwurData!$B:$N, 4, FALSE)</f>
        <v>207</v>
      </c>
      <c r="R1005">
        <f>VLOOKUP(A1005,[2]cwurData!$B:$N, 5, FALSE)</f>
        <v>478</v>
      </c>
      <c r="S1005">
        <f>VLOOKUP(A1005,[2]cwurData!$B:$N, 6, FALSE)</f>
        <v>210</v>
      </c>
      <c r="T1005">
        <f>VLOOKUP(A1005,[2]cwurData!$B:$N, 7, FALSE)</f>
        <v>541</v>
      </c>
      <c r="U1005">
        <f>VLOOKUP(A1005,[2]cwurData!$B:$N, 8, FALSE)</f>
        <v>369</v>
      </c>
      <c r="V1005">
        <f>VLOOKUP(A1005,[2]cwurData!$B:$N, 9, FALSE)</f>
        <v>609</v>
      </c>
      <c r="W1005">
        <f>VLOOKUP(A1005,[2]cwurData!$B:$N, 10, FALSE)</f>
        <v>605</v>
      </c>
      <c r="X1005">
        <f>VLOOKUP(A1005,[2]cwurData!$B:$N, 11, FALSE)</f>
        <v>481</v>
      </c>
      <c r="Y1005">
        <f>VLOOKUP(A1005,[2]cwurData!$B:$N, 12, FALSE)</f>
        <v>44.74</v>
      </c>
      <c r="Z1005">
        <f>VLOOKUP(A1005,[2]cwurData!$B:$N, 13, FALSE)</f>
        <v>2014</v>
      </c>
    </row>
    <row r="1006" spans="1:26" x14ac:dyDescent="0.3">
      <c r="A1006" t="s">
        <v>1004</v>
      </c>
      <c r="B1006" t="str">
        <f>IFERROR(VLOOKUP(A1006,[1]timesData!$B:$P,2,FALSE),VLOOKUP(A1006,[2]cwurData!$B:$P,2,FALSE))</f>
        <v>USA</v>
      </c>
      <c r="C1006" t="e">
        <f>VLOOKUP(A1006,[1]timesData!$B:$P,3,FALSE)</f>
        <v>#N/A</v>
      </c>
      <c r="D1006" t="e">
        <f>VLOOKUP(A1007,[1]timesData!$B:$P,3,FALSE)</f>
        <v>#N/A</v>
      </c>
      <c r="E1006" t="e">
        <f>VLOOKUP(A1007,[1]timesData!$B:$P,4,FALSE)</f>
        <v>#N/A</v>
      </c>
      <c r="F1006" t="e">
        <f>VLOOKUP(A1007,[1]timesData!$B:$P,5,FALSE)</f>
        <v>#N/A</v>
      </c>
      <c r="G1006" t="e">
        <f>VLOOKUP(A1007,[1]timesData!$B:$P,6,FALSE)</f>
        <v>#N/A</v>
      </c>
      <c r="H1006" t="e">
        <f>VLOOKUP(A1007,[1]timesData!$B:$P,7,FALSE)</f>
        <v>#N/A</v>
      </c>
      <c r="I1006" t="e">
        <f>VLOOKUP(A1007,[1]timesData!$B:$P,8,FALSE)</f>
        <v>#N/A</v>
      </c>
      <c r="J1006" t="e">
        <f>VLOOKUP(A1007,[1]timesData!$B:$P,9,FALSE)</f>
        <v>#N/A</v>
      </c>
      <c r="K1006" t="e">
        <f>VLOOKUP(A1007,[1]timesData!$B:$P,10,FALSE)</f>
        <v>#N/A</v>
      </c>
      <c r="L1006" t="e">
        <f>VLOOKUP(A1007,[1]timesData!$B:$P,11,FALSE)</f>
        <v>#N/A</v>
      </c>
      <c r="M1006" t="e">
        <f>VLOOKUP(A1007,[1]timesData!$B:$P,12,FALSE)</f>
        <v>#N/A</v>
      </c>
      <c r="N1006" t="e">
        <f>VLOOKUP(A1007,[1]timesData!$B:$P,13,FALSE)</f>
        <v>#N/A</v>
      </c>
      <c r="O1006">
        <f>VLOOKUP(A1006,[2]cwurData!$B:$P,14,FALSE)</f>
        <v>639</v>
      </c>
      <c r="P1006">
        <f>VLOOKUP(A1006,[2]cwurData!$B:$N, 3, FALSE)</f>
        <v>185</v>
      </c>
      <c r="Q1006">
        <f>VLOOKUP(A1006,[2]cwurData!$B:$N, 4, FALSE)</f>
        <v>355</v>
      </c>
      <c r="R1006">
        <f>VLOOKUP(A1006,[2]cwurData!$B:$N, 5, FALSE)</f>
        <v>213</v>
      </c>
      <c r="S1006">
        <f>VLOOKUP(A1006,[2]cwurData!$B:$N, 6, FALSE)</f>
        <v>210</v>
      </c>
      <c r="T1006">
        <f>VLOOKUP(A1006,[2]cwurData!$B:$N, 7, FALSE)</f>
        <v>931</v>
      </c>
      <c r="U1006">
        <f>VLOOKUP(A1006,[2]cwurData!$B:$N, 8, FALSE)</f>
        <v>864</v>
      </c>
      <c r="V1006">
        <f>VLOOKUP(A1006,[2]cwurData!$B:$N, 9, FALSE)</f>
        <v>406</v>
      </c>
      <c r="W1006">
        <f>VLOOKUP(A1006,[2]cwurData!$B:$N, 10, FALSE)</f>
        <v>769</v>
      </c>
      <c r="X1006">
        <f>VLOOKUP(A1006,[2]cwurData!$B:$N, 11, FALSE)</f>
        <v>737</v>
      </c>
      <c r="Y1006">
        <f>VLOOKUP(A1006,[2]cwurData!$B:$N, 12, FALSE)</f>
        <v>44.73</v>
      </c>
      <c r="Z1006">
        <f>VLOOKUP(A1006,[2]cwurData!$B:$N, 13, FALSE)</f>
        <v>2014</v>
      </c>
    </row>
    <row r="1007" spans="1:26" x14ac:dyDescent="0.3">
      <c r="A1007" t="s">
        <v>1005</v>
      </c>
      <c r="B1007" t="str">
        <f>IFERROR(VLOOKUP(A1007,[1]timesData!$B:$P,2,FALSE),VLOOKUP(A1007,[2]cwurData!$B:$P,2,FALSE))</f>
        <v>Austria</v>
      </c>
      <c r="C1007" t="e">
        <f>VLOOKUP(A1007,[1]timesData!$B:$P,3,FALSE)</f>
        <v>#N/A</v>
      </c>
      <c r="D1007" t="e">
        <f>VLOOKUP(A1008,[1]timesData!$B:$P,3,FALSE)</f>
        <v>#N/A</v>
      </c>
      <c r="E1007" t="e">
        <f>VLOOKUP(A1008,[1]timesData!$B:$P,4,FALSE)</f>
        <v>#N/A</v>
      </c>
      <c r="F1007" t="e">
        <f>VLOOKUP(A1008,[1]timesData!$B:$P,5,FALSE)</f>
        <v>#N/A</v>
      </c>
      <c r="G1007" t="e">
        <f>VLOOKUP(A1008,[1]timesData!$B:$P,6,FALSE)</f>
        <v>#N/A</v>
      </c>
      <c r="H1007" t="e">
        <f>VLOOKUP(A1008,[1]timesData!$B:$P,7,FALSE)</f>
        <v>#N/A</v>
      </c>
      <c r="I1007" t="e">
        <f>VLOOKUP(A1008,[1]timesData!$B:$P,8,FALSE)</f>
        <v>#N/A</v>
      </c>
      <c r="J1007" t="e">
        <f>VLOOKUP(A1008,[1]timesData!$B:$P,9,FALSE)</f>
        <v>#N/A</v>
      </c>
      <c r="K1007" t="e">
        <f>VLOOKUP(A1008,[1]timesData!$B:$P,10,FALSE)</f>
        <v>#N/A</v>
      </c>
      <c r="L1007" t="e">
        <f>VLOOKUP(A1008,[1]timesData!$B:$P,11,FALSE)</f>
        <v>#N/A</v>
      </c>
      <c r="M1007" t="e">
        <f>VLOOKUP(A1008,[1]timesData!$B:$P,12,FALSE)</f>
        <v>#N/A</v>
      </c>
      <c r="N1007" t="e">
        <f>VLOOKUP(A1008,[1]timesData!$B:$P,13,FALSE)</f>
        <v>#N/A</v>
      </c>
      <c r="O1007">
        <f>VLOOKUP(A1007,[2]cwurData!$B:$P,14,FALSE)</f>
        <v>643</v>
      </c>
      <c r="P1007">
        <f>VLOOKUP(A1007,[2]cwurData!$B:$N, 3, FALSE)</f>
        <v>7</v>
      </c>
      <c r="Q1007">
        <f>VLOOKUP(A1007,[2]cwurData!$B:$N, 4, FALSE)</f>
        <v>355</v>
      </c>
      <c r="R1007">
        <f>VLOOKUP(A1007,[2]cwurData!$B:$N, 5, FALSE)</f>
        <v>478</v>
      </c>
      <c r="S1007">
        <f>VLOOKUP(A1007,[2]cwurData!$B:$N, 6, FALSE)</f>
        <v>210</v>
      </c>
      <c r="T1007">
        <f>VLOOKUP(A1007,[2]cwurData!$B:$N, 7, FALSE)</f>
        <v>622</v>
      </c>
      <c r="U1007">
        <f>VLOOKUP(A1007,[2]cwurData!$B:$N, 8, FALSE)</f>
        <v>673</v>
      </c>
      <c r="V1007">
        <f>VLOOKUP(A1007,[2]cwurData!$B:$N, 9, FALSE)</f>
        <v>800</v>
      </c>
      <c r="W1007">
        <f>VLOOKUP(A1007,[2]cwurData!$B:$N, 10, FALSE)</f>
        <v>543</v>
      </c>
      <c r="X1007">
        <f>VLOOKUP(A1007,[2]cwurData!$B:$N, 11, FALSE)</f>
        <v>481</v>
      </c>
      <c r="Y1007">
        <f>VLOOKUP(A1007,[2]cwurData!$B:$N, 12, FALSE)</f>
        <v>44.72</v>
      </c>
      <c r="Z1007">
        <f>VLOOKUP(A1007,[2]cwurData!$B:$N, 13, FALSE)</f>
        <v>2014</v>
      </c>
    </row>
    <row r="1008" spans="1:26" x14ac:dyDescent="0.3">
      <c r="A1008" t="s">
        <v>1006</v>
      </c>
      <c r="B1008" t="str">
        <f>IFERROR(VLOOKUP(A1008,[1]timesData!$B:$P,2,FALSE),VLOOKUP(A1008,[2]cwurData!$B:$P,2,FALSE))</f>
        <v>USA</v>
      </c>
      <c r="C1008" t="e">
        <f>VLOOKUP(A1008,[1]timesData!$B:$P,3,FALSE)</f>
        <v>#N/A</v>
      </c>
      <c r="D1008" t="e">
        <f>VLOOKUP(A1009,[1]timesData!$B:$P,3,FALSE)</f>
        <v>#N/A</v>
      </c>
      <c r="E1008" t="e">
        <f>VLOOKUP(A1009,[1]timesData!$B:$P,4,FALSE)</f>
        <v>#N/A</v>
      </c>
      <c r="F1008" t="e">
        <f>VLOOKUP(A1009,[1]timesData!$B:$P,5,FALSE)</f>
        <v>#N/A</v>
      </c>
      <c r="G1008" t="e">
        <f>VLOOKUP(A1009,[1]timesData!$B:$P,6,FALSE)</f>
        <v>#N/A</v>
      </c>
      <c r="H1008" t="e">
        <f>VLOOKUP(A1009,[1]timesData!$B:$P,7,FALSE)</f>
        <v>#N/A</v>
      </c>
      <c r="I1008" t="e">
        <f>VLOOKUP(A1009,[1]timesData!$B:$P,8,FALSE)</f>
        <v>#N/A</v>
      </c>
      <c r="J1008" t="e">
        <f>VLOOKUP(A1009,[1]timesData!$B:$P,9,FALSE)</f>
        <v>#N/A</v>
      </c>
      <c r="K1008" t="e">
        <f>VLOOKUP(A1009,[1]timesData!$B:$P,10,FALSE)</f>
        <v>#N/A</v>
      </c>
      <c r="L1008" t="e">
        <f>VLOOKUP(A1009,[1]timesData!$B:$P,11,FALSE)</f>
        <v>#N/A</v>
      </c>
      <c r="M1008" t="e">
        <f>VLOOKUP(A1009,[1]timesData!$B:$P,12,FALSE)</f>
        <v>#N/A</v>
      </c>
      <c r="N1008" t="e">
        <f>VLOOKUP(A1009,[1]timesData!$B:$P,13,FALSE)</f>
        <v>#N/A</v>
      </c>
      <c r="O1008">
        <f>VLOOKUP(A1008,[2]cwurData!$B:$P,14,FALSE)</f>
        <v>646</v>
      </c>
      <c r="P1008">
        <f>VLOOKUP(A1008,[2]cwurData!$B:$N, 3, FALSE)</f>
        <v>188</v>
      </c>
      <c r="Q1008">
        <f>VLOOKUP(A1008,[2]cwurData!$B:$N, 4, FALSE)</f>
        <v>355</v>
      </c>
      <c r="R1008">
        <f>VLOOKUP(A1008,[2]cwurData!$B:$N, 5, FALSE)</f>
        <v>478</v>
      </c>
      <c r="S1008">
        <f>VLOOKUP(A1008,[2]cwurData!$B:$N, 6, FALSE)</f>
        <v>210</v>
      </c>
      <c r="T1008">
        <f>VLOOKUP(A1008,[2]cwurData!$B:$N, 7, FALSE)</f>
        <v>748</v>
      </c>
      <c r="U1008">
        <f>VLOOKUP(A1008,[2]cwurData!$B:$N, 8, FALSE)</f>
        <v>593</v>
      </c>
      <c r="V1008">
        <f>VLOOKUP(A1008,[2]cwurData!$B:$N, 9, FALSE)</f>
        <v>406</v>
      </c>
      <c r="W1008">
        <f>VLOOKUP(A1008,[2]cwurData!$B:$N, 10, FALSE)</f>
        <v>543</v>
      </c>
      <c r="X1008">
        <f>VLOOKUP(A1008,[2]cwurData!$B:$N, 11, FALSE)</f>
        <v>552</v>
      </c>
      <c r="Y1008">
        <f>VLOOKUP(A1008,[2]cwurData!$B:$N, 12, FALSE)</f>
        <v>44.72</v>
      </c>
      <c r="Z1008">
        <f>VLOOKUP(A1008,[2]cwurData!$B:$N, 13, FALSE)</f>
        <v>2014</v>
      </c>
    </row>
    <row r="1009" spans="1:26" x14ac:dyDescent="0.3">
      <c r="A1009" t="s">
        <v>1007</v>
      </c>
      <c r="B1009" t="str">
        <f>IFERROR(VLOOKUP(A1009,[1]timesData!$B:$P,2,FALSE),VLOOKUP(A1009,[2]cwurData!$B:$P,2,FALSE))</f>
        <v>Canada</v>
      </c>
      <c r="C1009" t="e">
        <f>VLOOKUP(A1009,[1]timesData!$B:$P,3,FALSE)</f>
        <v>#N/A</v>
      </c>
      <c r="D1009" t="e">
        <f>VLOOKUP(A1010,[1]timesData!$B:$P,3,FALSE)</f>
        <v>#N/A</v>
      </c>
      <c r="E1009" t="e">
        <f>VLOOKUP(A1010,[1]timesData!$B:$P,4,FALSE)</f>
        <v>#N/A</v>
      </c>
      <c r="F1009" t="e">
        <f>VLOOKUP(A1010,[1]timesData!$B:$P,5,FALSE)</f>
        <v>#N/A</v>
      </c>
      <c r="G1009" t="e">
        <f>VLOOKUP(A1010,[1]timesData!$B:$P,6,FALSE)</f>
        <v>#N/A</v>
      </c>
      <c r="H1009" t="e">
        <f>VLOOKUP(A1010,[1]timesData!$B:$P,7,FALSE)</f>
        <v>#N/A</v>
      </c>
      <c r="I1009" t="e">
        <f>VLOOKUP(A1010,[1]timesData!$B:$P,8,FALSE)</f>
        <v>#N/A</v>
      </c>
      <c r="J1009" t="e">
        <f>VLOOKUP(A1010,[1]timesData!$B:$P,9,FALSE)</f>
        <v>#N/A</v>
      </c>
      <c r="K1009" t="e">
        <f>VLOOKUP(A1010,[1]timesData!$B:$P,10,FALSE)</f>
        <v>#N/A</v>
      </c>
      <c r="L1009" t="e">
        <f>VLOOKUP(A1010,[1]timesData!$B:$P,11,FALSE)</f>
        <v>#N/A</v>
      </c>
      <c r="M1009" t="e">
        <f>VLOOKUP(A1010,[1]timesData!$B:$P,12,FALSE)</f>
        <v>#N/A</v>
      </c>
      <c r="N1009" t="e">
        <f>VLOOKUP(A1010,[1]timesData!$B:$P,13,FALSE)</f>
        <v>#N/A</v>
      </c>
      <c r="O1009">
        <f>VLOOKUP(A1009,[2]cwurData!$B:$P,14,FALSE)</f>
        <v>649</v>
      </c>
      <c r="P1009">
        <f>VLOOKUP(A1009,[2]cwurData!$B:$N, 3, FALSE)</f>
        <v>23</v>
      </c>
      <c r="Q1009">
        <f>VLOOKUP(A1009,[2]cwurData!$B:$N, 4, FALSE)</f>
        <v>355</v>
      </c>
      <c r="R1009">
        <f>VLOOKUP(A1009,[2]cwurData!$B:$N, 5, FALSE)</f>
        <v>239</v>
      </c>
      <c r="S1009">
        <f>VLOOKUP(A1009,[2]cwurData!$B:$N, 6, FALSE)</f>
        <v>210</v>
      </c>
      <c r="T1009">
        <f>VLOOKUP(A1009,[2]cwurData!$B:$N, 7, FALSE)</f>
        <v>758</v>
      </c>
      <c r="U1009">
        <f>VLOOKUP(A1009,[2]cwurData!$B:$N, 8, FALSE)</f>
        <v>910</v>
      </c>
      <c r="V1009">
        <f>VLOOKUP(A1009,[2]cwurData!$B:$N, 9, FALSE)</f>
        <v>800</v>
      </c>
      <c r="W1009">
        <f>VLOOKUP(A1009,[2]cwurData!$B:$N, 10, FALSE)</f>
        <v>756</v>
      </c>
      <c r="X1009">
        <f>VLOOKUP(A1009,[2]cwurData!$B:$N, 11, FALSE)</f>
        <v>481</v>
      </c>
      <c r="Y1009">
        <f>VLOOKUP(A1009,[2]cwurData!$B:$N, 12, FALSE)</f>
        <v>44.72</v>
      </c>
      <c r="Z1009">
        <f>VLOOKUP(A1009,[2]cwurData!$B:$N, 13, FALSE)</f>
        <v>2014</v>
      </c>
    </row>
    <row r="1010" spans="1:26" x14ac:dyDescent="0.3">
      <c r="A1010" t="s">
        <v>1008</v>
      </c>
      <c r="B1010" t="str">
        <f>IFERROR(VLOOKUP(A1010,[1]timesData!$B:$P,2,FALSE),VLOOKUP(A1010,[2]cwurData!$B:$P,2,FALSE))</f>
        <v>Spain</v>
      </c>
      <c r="C1010" t="e">
        <f>VLOOKUP(A1010,[1]timesData!$B:$P,3,FALSE)</f>
        <v>#N/A</v>
      </c>
      <c r="D1010" t="e">
        <f>VLOOKUP(A1011,[1]timesData!$B:$P,3,FALSE)</f>
        <v>#N/A</v>
      </c>
      <c r="E1010" t="e">
        <f>VLOOKUP(A1011,[1]timesData!$B:$P,4,FALSE)</f>
        <v>#N/A</v>
      </c>
      <c r="F1010" t="e">
        <f>VLOOKUP(A1011,[1]timesData!$B:$P,5,FALSE)</f>
        <v>#N/A</v>
      </c>
      <c r="G1010" t="e">
        <f>VLOOKUP(A1011,[1]timesData!$B:$P,6,FALSE)</f>
        <v>#N/A</v>
      </c>
      <c r="H1010" t="e">
        <f>VLOOKUP(A1011,[1]timesData!$B:$P,7,FALSE)</f>
        <v>#N/A</v>
      </c>
      <c r="I1010" t="e">
        <f>VLOOKUP(A1011,[1]timesData!$B:$P,8,FALSE)</f>
        <v>#N/A</v>
      </c>
      <c r="J1010" t="e">
        <f>VLOOKUP(A1011,[1]timesData!$B:$P,9,FALSE)</f>
        <v>#N/A</v>
      </c>
      <c r="K1010" t="e">
        <f>VLOOKUP(A1011,[1]timesData!$B:$P,10,FALSE)</f>
        <v>#N/A</v>
      </c>
      <c r="L1010" t="e">
        <f>VLOOKUP(A1011,[1]timesData!$B:$P,11,FALSE)</f>
        <v>#N/A</v>
      </c>
      <c r="M1010" t="e">
        <f>VLOOKUP(A1011,[1]timesData!$B:$P,12,FALSE)</f>
        <v>#N/A</v>
      </c>
      <c r="N1010" t="e">
        <f>VLOOKUP(A1011,[1]timesData!$B:$P,13,FALSE)</f>
        <v>#N/A</v>
      </c>
      <c r="O1010">
        <f>VLOOKUP(A1010,[2]cwurData!$B:$P,14,FALSE)</f>
        <v>650</v>
      </c>
      <c r="P1010">
        <f>VLOOKUP(A1010,[2]cwurData!$B:$N, 3, FALSE)</f>
        <v>20</v>
      </c>
      <c r="Q1010">
        <f>VLOOKUP(A1010,[2]cwurData!$B:$N, 4, FALSE)</f>
        <v>355</v>
      </c>
      <c r="R1010">
        <f>VLOOKUP(A1010,[2]cwurData!$B:$N, 5, FALSE)</f>
        <v>478</v>
      </c>
      <c r="S1010">
        <f>VLOOKUP(A1010,[2]cwurData!$B:$N, 6, FALSE)</f>
        <v>210</v>
      </c>
      <c r="T1010">
        <f>VLOOKUP(A1010,[2]cwurData!$B:$N, 7, FALSE)</f>
        <v>575</v>
      </c>
      <c r="U1010">
        <f>VLOOKUP(A1010,[2]cwurData!$B:$N, 8, FALSE)</f>
        <v>646</v>
      </c>
      <c r="V1010">
        <f>VLOOKUP(A1010,[2]cwurData!$B:$N, 9, FALSE)</f>
        <v>493</v>
      </c>
      <c r="W1010">
        <f>VLOOKUP(A1010,[2]cwurData!$B:$N, 10, FALSE)</f>
        <v>554</v>
      </c>
      <c r="X1010">
        <f>VLOOKUP(A1010,[2]cwurData!$B:$N, 11, FALSE)</f>
        <v>552</v>
      </c>
      <c r="Y1010">
        <f>VLOOKUP(A1010,[2]cwurData!$B:$N, 12, FALSE)</f>
        <v>44.71</v>
      </c>
      <c r="Z1010">
        <f>VLOOKUP(A1010,[2]cwurData!$B:$N, 13, FALSE)</f>
        <v>2014</v>
      </c>
    </row>
    <row r="1011" spans="1:26" x14ac:dyDescent="0.3">
      <c r="A1011" t="s">
        <v>1009</v>
      </c>
      <c r="B1011" t="str">
        <f>IFERROR(VLOOKUP(A1011,[1]timesData!$B:$P,2,FALSE),VLOOKUP(A1011,[2]cwurData!$B:$P,2,FALSE))</f>
        <v>Japan</v>
      </c>
      <c r="C1011" t="e">
        <f>VLOOKUP(A1011,[1]timesData!$B:$P,3,FALSE)</f>
        <v>#N/A</v>
      </c>
      <c r="D1011" t="e">
        <f>VLOOKUP(A1012,[1]timesData!$B:$P,3,FALSE)</f>
        <v>#N/A</v>
      </c>
      <c r="E1011" t="e">
        <f>VLOOKUP(A1012,[1]timesData!$B:$P,4,FALSE)</f>
        <v>#N/A</v>
      </c>
      <c r="F1011" t="e">
        <f>VLOOKUP(A1012,[1]timesData!$B:$P,5,FALSE)</f>
        <v>#N/A</v>
      </c>
      <c r="G1011" t="e">
        <f>VLOOKUP(A1012,[1]timesData!$B:$P,6,FALSE)</f>
        <v>#N/A</v>
      </c>
      <c r="H1011" t="e">
        <f>VLOOKUP(A1012,[1]timesData!$B:$P,7,FALSE)</f>
        <v>#N/A</v>
      </c>
      <c r="I1011" t="e">
        <f>VLOOKUP(A1012,[1]timesData!$B:$P,8,FALSE)</f>
        <v>#N/A</v>
      </c>
      <c r="J1011" t="e">
        <f>VLOOKUP(A1012,[1]timesData!$B:$P,9,FALSE)</f>
        <v>#N/A</v>
      </c>
      <c r="K1011" t="e">
        <f>VLOOKUP(A1012,[1]timesData!$B:$P,10,FALSE)</f>
        <v>#N/A</v>
      </c>
      <c r="L1011" t="e">
        <f>VLOOKUP(A1012,[1]timesData!$B:$P,11,FALSE)</f>
        <v>#N/A</v>
      </c>
      <c r="M1011" t="e">
        <f>VLOOKUP(A1012,[1]timesData!$B:$P,12,FALSE)</f>
        <v>#N/A</v>
      </c>
      <c r="N1011" t="e">
        <f>VLOOKUP(A1012,[1]timesData!$B:$P,13,FALSE)</f>
        <v>#N/A</v>
      </c>
      <c r="O1011">
        <f>VLOOKUP(A1011,[2]cwurData!$B:$P,14,FALSE)</f>
        <v>652</v>
      </c>
      <c r="P1011">
        <f>VLOOKUP(A1011,[2]cwurData!$B:$N, 3, FALSE)</f>
        <v>41</v>
      </c>
      <c r="Q1011">
        <f>VLOOKUP(A1011,[2]cwurData!$B:$N, 4, FALSE)</f>
        <v>355</v>
      </c>
      <c r="R1011">
        <f>VLOOKUP(A1011,[2]cwurData!$B:$N, 5, FALSE)</f>
        <v>478</v>
      </c>
      <c r="S1011">
        <f>VLOOKUP(A1011,[2]cwurData!$B:$N, 6, FALSE)</f>
        <v>210</v>
      </c>
      <c r="T1011">
        <f>VLOOKUP(A1011,[2]cwurData!$B:$N, 7, FALSE)</f>
        <v>599</v>
      </c>
      <c r="U1011">
        <f>VLOOKUP(A1011,[2]cwurData!$B:$N, 8, FALSE)</f>
        <v>519</v>
      </c>
      <c r="V1011">
        <f>VLOOKUP(A1011,[2]cwurData!$B:$N, 9, FALSE)</f>
        <v>493</v>
      </c>
      <c r="W1011">
        <f>VLOOKUP(A1011,[2]cwurData!$B:$N, 10, FALSE)</f>
        <v>596</v>
      </c>
      <c r="X1011">
        <f>VLOOKUP(A1011,[2]cwurData!$B:$N, 11, FALSE)</f>
        <v>338</v>
      </c>
      <c r="Y1011">
        <f>VLOOKUP(A1011,[2]cwurData!$B:$N, 12, FALSE)</f>
        <v>44.71</v>
      </c>
      <c r="Z1011">
        <f>VLOOKUP(A1011,[2]cwurData!$B:$N, 13, FALSE)</f>
        <v>2014</v>
      </c>
    </row>
    <row r="1012" spans="1:26" x14ac:dyDescent="0.3">
      <c r="A1012" t="s">
        <v>1010</v>
      </c>
      <c r="B1012" t="str">
        <f>IFERROR(VLOOKUP(A1012,[1]timesData!$B:$P,2,FALSE),VLOOKUP(A1012,[2]cwurData!$B:$P,2,FALSE))</f>
        <v>Japan</v>
      </c>
      <c r="C1012" t="e">
        <f>VLOOKUP(A1012,[1]timesData!$B:$P,3,FALSE)</f>
        <v>#N/A</v>
      </c>
      <c r="D1012" t="e">
        <f>VLOOKUP(A1013,[1]timesData!$B:$P,3,FALSE)</f>
        <v>#N/A</v>
      </c>
      <c r="E1012" t="e">
        <f>VLOOKUP(A1013,[1]timesData!$B:$P,4,FALSE)</f>
        <v>#N/A</v>
      </c>
      <c r="F1012" t="e">
        <f>VLOOKUP(A1013,[1]timesData!$B:$P,5,FALSE)</f>
        <v>#N/A</v>
      </c>
      <c r="G1012" t="e">
        <f>VLOOKUP(A1013,[1]timesData!$B:$P,6,FALSE)</f>
        <v>#N/A</v>
      </c>
      <c r="H1012" t="e">
        <f>VLOOKUP(A1013,[1]timesData!$B:$P,7,FALSE)</f>
        <v>#N/A</v>
      </c>
      <c r="I1012" t="e">
        <f>VLOOKUP(A1013,[1]timesData!$B:$P,8,FALSE)</f>
        <v>#N/A</v>
      </c>
      <c r="J1012" t="e">
        <f>VLOOKUP(A1013,[1]timesData!$B:$P,9,FALSE)</f>
        <v>#N/A</v>
      </c>
      <c r="K1012" t="e">
        <f>VLOOKUP(A1013,[1]timesData!$B:$P,10,FALSE)</f>
        <v>#N/A</v>
      </c>
      <c r="L1012" t="e">
        <f>VLOOKUP(A1013,[1]timesData!$B:$P,11,FALSE)</f>
        <v>#N/A</v>
      </c>
      <c r="M1012" t="e">
        <f>VLOOKUP(A1013,[1]timesData!$B:$P,12,FALSE)</f>
        <v>#N/A</v>
      </c>
      <c r="N1012" t="e">
        <f>VLOOKUP(A1013,[1]timesData!$B:$P,13,FALSE)</f>
        <v>#N/A</v>
      </c>
      <c r="O1012">
        <f>VLOOKUP(A1012,[2]cwurData!$B:$P,14,FALSE)</f>
        <v>658</v>
      </c>
      <c r="P1012">
        <f>VLOOKUP(A1012,[2]cwurData!$B:$N, 3, FALSE)</f>
        <v>43</v>
      </c>
      <c r="Q1012">
        <f>VLOOKUP(A1012,[2]cwurData!$B:$N, 4, FALSE)</f>
        <v>355</v>
      </c>
      <c r="R1012">
        <f>VLOOKUP(A1012,[2]cwurData!$B:$N, 5, FALSE)</f>
        <v>478</v>
      </c>
      <c r="S1012">
        <f>VLOOKUP(A1012,[2]cwurData!$B:$N, 6, FALSE)</f>
        <v>210</v>
      </c>
      <c r="T1012">
        <f>VLOOKUP(A1012,[2]cwurData!$B:$N, 7, FALSE)</f>
        <v>655</v>
      </c>
      <c r="U1012">
        <f>VLOOKUP(A1012,[2]cwurData!$B:$N, 8, FALSE)</f>
        <v>721</v>
      </c>
      <c r="V1012">
        <f>VLOOKUP(A1012,[2]cwurData!$B:$N, 9, FALSE)</f>
        <v>493</v>
      </c>
      <c r="W1012">
        <f>VLOOKUP(A1012,[2]cwurData!$B:$N, 10, FALSE)</f>
        <v>585</v>
      </c>
      <c r="X1012">
        <f>VLOOKUP(A1012,[2]cwurData!$B:$N, 11, FALSE)</f>
        <v>373</v>
      </c>
      <c r="Y1012">
        <f>VLOOKUP(A1012,[2]cwurData!$B:$N, 12, FALSE)</f>
        <v>44.7</v>
      </c>
      <c r="Z1012">
        <f>VLOOKUP(A1012,[2]cwurData!$B:$N, 13, FALSE)</f>
        <v>2014</v>
      </c>
    </row>
    <row r="1013" spans="1:26" x14ac:dyDescent="0.3">
      <c r="A1013" t="s">
        <v>1011</v>
      </c>
      <c r="B1013" t="str">
        <f>IFERROR(VLOOKUP(A1013,[1]timesData!$B:$P,2,FALSE),VLOOKUP(A1013,[2]cwurData!$B:$P,2,FALSE))</f>
        <v>USA</v>
      </c>
      <c r="C1013" t="e">
        <f>VLOOKUP(A1013,[1]timesData!$B:$P,3,FALSE)</f>
        <v>#N/A</v>
      </c>
      <c r="D1013" t="e">
        <f>VLOOKUP(A1014,[1]timesData!$B:$P,3,FALSE)</f>
        <v>#N/A</v>
      </c>
      <c r="E1013" t="e">
        <f>VLOOKUP(A1014,[1]timesData!$B:$P,4,FALSE)</f>
        <v>#N/A</v>
      </c>
      <c r="F1013" t="e">
        <f>VLOOKUP(A1014,[1]timesData!$B:$P,5,FALSE)</f>
        <v>#N/A</v>
      </c>
      <c r="G1013" t="e">
        <f>VLOOKUP(A1014,[1]timesData!$B:$P,6,FALSE)</f>
        <v>#N/A</v>
      </c>
      <c r="H1013" t="e">
        <f>VLOOKUP(A1014,[1]timesData!$B:$P,7,FALSE)</f>
        <v>#N/A</v>
      </c>
      <c r="I1013" t="e">
        <f>VLOOKUP(A1014,[1]timesData!$B:$P,8,FALSE)</f>
        <v>#N/A</v>
      </c>
      <c r="J1013" t="e">
        <f>VLOOKUP(A1014,[1]timesData!$B:$P,9,FALSE)</f>
        <v>#N/A</v>
      </c>
      <c r="K1013" t="e">
        <f>VLOOKUP(A1014,[1]timesData!$B:$P,10,FALSE)</f>
        <v>#N/A</v>
      </c>
      <c r="L1013" t="e">
        <f>VLOOKUP(A1014,[1]timesData!$B:$P,11,FALSE)</f>
        <v>#N/A</v>
      </c>
      <c r="M1013" t="e">
        <f>VLOOKUP(A1014,[1]timesData!$B:$P,12,FALSE)</f>
        <v>#N/A</v>
      </c>
      <c r="N1013" t="e">
        <f>VLOOKUP(A1014,[1]timesData!$B:$P,13,FALSE)</f>
        <v>#N/A</v>
      </c>
      <c r="O1013">
        <f>VLOOKUP(A1013,[2]cwurData!$B:$P,14,FALSE)</f>
        <v>659</v>
      </c>
      <c r="P1013">
        <f>VLOOKUP(A1013,[2]cwurData!$B:$N, 3, FALSE)</f>
        <v>189</v>
      </c>
      <c r="Q1013">
        <f>VLOOKUP(A1013,[2]cwurData!$B:$N, 4, FALSE)</f>
        <v>355</v>
      </c>
      <c r="R1013">
        <f>VLOOKUP(A1013,[2]cwurData!$B:$N, 5, FALSE)</f>
        <v>353</v>
      </c>
      <c r="S1013">
        <f>VLOOKUP(A1013,[2]cwurData!$B:$N, 6, FALSE)</f>
        <v>210</v>
      </c>
      <c r="T1013">
        <f>VLOOKUP(A1013,[2]cwurData!$B:$N, 7, FALSE)</f>
        <v>649</v>
      </c>
      <c r="U1013">
        <f>VLOOKUP(A1013,[2]cwurData!$B:$N, 8, FALSE)</f>
        <v>373</v>
      </c>
      <c r="V1013">
        <f>VLOOKUP(A1013,[2]cwurData!$B:$N, 9, FALSE)</f>
        <v>406</v>
      </c>
      <c r="W1013">
        <f>VLOOKUP(A1013,[2]cwurData!$B:$N, 10, FALSE)</f>
        <v>628</v>
      </c>
      <c r="X1013">
        <f>VLOOKUP(A1013,[2]cwurData!$B:$N, 11, FALSE)</f>
        <v>737</v>
      </c>
      <c r="Y1013">
        <f>VLOOKUP(A1013,[2]cwurData!$B:$N, 12, FALSE)</f>
        <v>44.7</v>
      </c>
      <c r="Z1013">
        <f>VLOOKUP(A1013,[2]cwurData!$B:$N, 13, FALSE)</f>
        <v>2014</v>
      </c>
    </row>
    <row r="1014" spans="1:26" x14ac:dyDescent="0.3">
      <c r="A1014" t="s">
        <v>1012</v>
      </c>
      <c r="B1014" t="str">
        <f>IFERROR(VLOOKUP(A1014,[1]timesData!$B:$P,2,FALSE),VLOOKUP(A1014,[2]cwurData!$B:$P,2,FALSE))</f>
        <v>Spain</v>
      </c>
      <c r="C1014" t="e">
        <f>VLOOKUP(A1014,[1]timesData!$B:$P,3,FALSE)</f>
        <v>#N/A</v>
      </c>
      <c r="D1014" t="e">
        <f>VLOOKUP(A1015,[1]timesData!$B:$P,3,FALSE)</f>
        <v>#N/A</v>
      </c>
      <c r="E1014" t="e">
        <f>VLOOKUP(A1015,[1]timesData!$B:$P,4,FALSE)</f>
        <v>#N/A</v>
      </c>
      <c r="F1014" t="e">
        <f>VLOOKUP(A1015,[1]timesData!$B:$P,5,FALSE)</f>
        <v>#N/A</v>
      </c>
      <c r="G1014" t="e">
        <f>VLOOKUP(A1015,[1]timesData!$B:$P,6,FALSE)</f>
        <v>#N/A</v>
      </c>
      <c r="H1014" t="e">
        <f>VLOOKUP(A1015,[1]timesData!$B:$P,7,FALSE)</f>
        <v>#N/A</v>
      </c>
      <c r="I1014" t="e">
        <f>VLOOKUP(A1015,[1]timesData!$B:$P,8,FALSE)</f>
        <v>#N/A</v>
      </c>
      <c r="J1014" t="e">
        <f>VLOOKUP(A1015,[1]timesData!$B:$P,9,FALSE)</f>
        <v>#N/A</v>
      </c>
      <c r="K1014" t="e">
        <f>VLOOKUP(A1015,[1]timesData!$B:$P,10,FALSE)</f>
        <v>#N/A</v>
      </c>
      <c r="L1014" t="e">
        <f>VLOOKUP(A1015,[1]timesData!$B:$P,11,FALSE)</f>
        <v>#N/A</v>
      </c>
      <c r="M1014" t="e">
        <f>VLOOKUP(A1015,[1]timesData!$B:$P,12,FALSE)</f>
        <v>#N/A</v>
      </c>
      <c r="N1014" t="e">
        <f>VLOOKUP(A1015,[1]timesData!$B:$P,13,FALSE)</f>
        <v>#N/A</v>
      </c>
      <c r="O1014">
        <f>VLOOKUP(A1014,[2]cwurData!$B:$P,14,FALSE)</f>
        <v>660</v>
      </c>
      <c r="P1014">
        <f>VLOOKUP(A1014,[2]cwurData!$B:$N, 3, FALSE)</f>
        <v>21</v>
      </c>
      <c r="Q1014">
        <f>VLOOKUP(A1014,[2]cwurData!$B:$N, 4, FALSE)</f>
        <v>355</v>
      </c>
      <c r="R1014">
        <f>VLOOKUP(A1014,[2]cwurData!$B:$N, 5, FALSE)</f>
        <v>478</v>
      </c>
      <c r="S1014">
        <f>VLOOKUP(A1014,[2]cwurData!$B:$N, 6, FALSE)</f>
        <v>210</v>
      </c>
      <c r="T1014">
        <f>VLOOKUP(A1014,[2]cwurData!$B:$N, 7, FALSE)</f>
        <v>657</v>
      </c>
      <c r="U1014">
        <f>VLOOKUP(A1014,[2]cwurData!$B:$N, 8, FALSE)</f>
        <v>797</v>
      </c>
      <c r="V1014">
        <f>VLOOKUP(A1014,[2]cwurData!$B:$N, 9, FALSE)</f>
        <v>800</v>
      </c>
      <c r="W1014">
        <f>VLOOKUP(A1014,[2]cwurData!$B:$N, 10, FALSE)</f>
        <v>675</v>
      </c>
      <c r="X1014">
        <f>VLOOKUP(A1014,[2]cwurData!$B:$N, 11, FALSE)</f>
        <v>227</v>
      </c>
      <c r="Y1014">
        <f>VLOOKUP(A1014,[2]cwurData!$B:$N, 12, FALSE)</f>
        <v>44.7</v>
      </c>
      <c r="Z1014">
        <f>VLOOKUP(A1014,[2]cwurData!$B:$N, 13, FALSE)</f>
        <v>2014</v>
      </c>
    </row>
    <row r="1015" spans="1:26" x14ac:dyDescent="0.3">
      <c r="A1015" t="s">
        <v>1013</v>
      </c>
      <c r="B1015" t="str">
        <f>IFERROR(VLOOKUP(A1015,[1]timesData!$B:$P,2,FALSE),VLOOKUP(A1015,[2]cwurData!$B:$P,2,FALSE))</f>
        <v>France</v>
      </c>
      <c r="C1015" t="e">
        <f>VLOOKUP(A1015,[1]timesData!$B:$P,3,FALSE)</f>
        <v>#N/A</v>
      </c>
      <c r="D1015" t="e">
        <f>VLOOKUP(A1016,[1]timesData!$B:$P,3,FALSE)</f>
        <v>#N/A</v>
      </c>
      <c r="E1015" t="e">
        <f>VLOOKUP(A1016,[1]timesData!$B:$P,4,FALSE)</f>
        <v>#N/A</v>
      </c>
      <c r="F1015" t="e">
        <f>VLOOKUP(A1016,[1]timesData!$B:$P,5,FALSE)</f>
        <v>#N/A</v>
      </c>
      <c r="G1015" t="e">
        <f>VLOOKUP(A1016,[1]timesData!$B:$P,6,FALSE)</f>
        <v>#N/A</v>
      </c>
      <c r="H1015" t="e">
        <f>VLOOKUP(A1016,[1]timesData!$B:$P,7,FALSE)</f>
        <v>#N/A</v>
      </c>
      <c r="I1015" t="e">
        <f>VLOOKUP(A1016,[1]timesData!$B:$P,8,FALSE)</f>
        <v>#N/A</v>
      </c>
      <c r="J1015" t="e">
        <f>VLOOKUP(A1016,[1]timesData!$B:$P,9,FALSE)</f>
        <v>#N/A</v>
      </c>
      <c r="K1015" t="e">
        <f>VLOOKUP(A1016,[1]timesData!$B:$P,10,FALSE)</f>
        <v>#N/A</v>
      </c>
      <c r="L1015" t="e">
        <f>VLOOKUP(A1016,[1]timesData!$B:$P,11,FALSE)</f>
        <v>#N/A</v>
      </c>
      <c r="M1015" t="e">
        <f>VLOOKUP(A1016,[1]timesData!$B:$P,12,FALSE)</f>
        <v>#N/A</v>
      </c>
      <c r="N1015" t="e">
        <f>VLOOKUP(A1016,[1]timesData!$B:$P,13,FALSE)</f>
        <v>#N/A</v>
      </c>
      <c r="O1015">
        <f>VLOOKUP(A1015,[2]cwurData!$B:$P,14,FALSE)</f>
        <v>662</v>
      </c>
      <c r="P1015">
        <f>VLOOKUP(A1015,[2]cwurData!$B:$N, 3, FALSE)</f>
        <v>31</v>
      </c>
      <c r="Q1015">
        <f>VLOOKUP(A1015,[2]cwurData!$B:$N, 4, FALSE)</f>
        <v>355</v>
      </c>
      <c r="R1015">
        <f>VLOOKUP(A1015,[2]cwurData!$B:$N, 5, FALSE)</f>
        <v>478</v>
      </c>
      <c r="S1015">
        <f>VLOOKUP(A1015,[2]cwurData!$B:$N, 6, FALSE)</f>
        <v>210</v>
      </c>
      <c r="T1015">
        <f>VLOOKUP(A1015,[2]cwurData!$B:$N, 7, FALSE)</f>
        <v>854</v>
      </c>
      <c r="U1015">
        <f>VLOOKUP(A1015,[2]cwurData!$B:$N, 8, FALSE)</f>
        <v>624</v>
      </c>
      <c r="V1015">
        <f>VLOOKUP(A1015,[2]cwurData!$B:$N, 9, FALSE)</f>
        <v>800</v>
      </c>
      <c r="W1015">
        <f>VLOOKUP(A1015,[2]cwurData!$B:$N, 10, FALSE)</f>
        <v>543</v>
      </c>
      <c r="X1015">
        <f>VLOOKUP(A1015,[2]cwurData!$B:$N, 11, FALSE)</f>
        <v>637</v>
      </c>
      <c r="Y1015">
        <f>VLOOKUP(A1015,[2]cwurData!$B:$N, 12, FALSE)</f>
        <v>44.69</v>
      </c>
      <c r="Z1015">
        <f>VLOOKUP(A1015,[2]cwurData!$B:$N, 13, FALSE)</f>
        <v>2014</v>
      </c>
    </row>
    <row r="1016" spans="1:26" x14ac:dyDescent="0.3">
      <c r="A1016" t="s">
        <v>1014</v>
      </c>
      <c r="B1016" t="str">
        <f>IFERROR(VLOOKUP(A1016,[1]timesData!$B:$P,2,FALSE),VLOOKUP(A1016,[2]cwurData!$B:$P,2,FALSE))</f>
        <v>Japan</v>
      </c>
      <c r="C1016" t="e">
        <f>VLOOKUP(A1016,[1]timesData!$B:$P,3,FALSE)</f>
        <v>#N/A</v>
      </c>
      <c r="D1016" t="e">
        <f>VLOOKUP(A1017,[1]timesData!$B:$P,3,FALSE)</f>
        <v>#N/A</v>
      </c>
      <c r="E1016" t="e">
        <f>VLOOKUP(A1017,[1]timesData!$B:$P,4,FALSE)</f>
        <v>#N/A</v>
      </c>
      <c r="F1016" t="e">
        <f>VLOOKUP(A1017,[1]timesData!$B:$P,5,FALSE)</f>
        <v>#N/A</v>
      </c>
      <c r="G1016" t="e">
        <f>VLOOKUP(A1017,[1]timesData!$B:$P,6,FALSE)</f>
        <v>#N/A</v>
      </c>
      <c r="H1016" t="e">
        <f>VLOOKUP(A1017,[1]timesData!$B:$P,7,FALSE)</f>
        <v>#N/A</v>
      </c>
      <c r="I1016" t="e">
        <f>VLOOKUP(A1017,[1]timesData!$B:$P,8,FALSE)</f>
        <v>#N/A</v>
      </c>
      <c r="J1016" t="e">
        <f>VLOOKUP(A1017,[1]timesData!$B:$P,9,FALSE)</f>
        <v>#N/A</v>
      </c>
      <c r="K1016" t="e">
        <f>VLOOKUP(A1017,[1]timesData!$B:$P,10,FALSE)</f>
        <v>#N/A</v>
      </c>
      <c r="L1016" t="e">
        <f>VLOOKUP(A1017,[1]timesData!$B:$P,11,FALSE)</f>
        <v>#N/A</v>
      </c>
      <c r="M1016" t="e">
        <f>VLOOKUP(A1017,[1]timesData!$B:$P,12,FALSE)</f>
        <v>#N/A</v>
      </c>
      <c r="N1016" t="e">
        <f>VLOOKUP(A1017,[1]timesData!$B:$P,13,FALSE)</f>
        <v>#N/A</v>
      </c>
      <c r="O1016">
        <f>VLOOKUP(A1016,[2]cwurData!$B:$P,14,FALSE)</f>
        <v>666</v>
      </c>
      <c r="P1016">
        <f>VLOOKUP(A1016,[2]cwurData!$B:$N, 3, FALSE)</f>
        <v>44</v>
      </c>
      <c r="Q1016">
        <f>VLOOKUP(A1016,[2]cwurData!$B:$N, 4, FALSE)</f>
        <v>355</v>
      </c>
      <c r="R1016">
        <f>VLOOKUP(A1016,[2]cwurData!$B:$N, 5, FALSE)</f>
        <v>478</v>
      </c>
      <c r="S1016">
        <f>VLOOKUP(A1016,[2]cwurData!$B:$N, 6, FALSE)</f>
        <v>210</v>
      </c>
      <c r="T1016">
        <f>VLOOKUP(A1016,[2]cwurData!$B:$N, 7, FALSE)</f>
        <v>929</v>
      </c>
      <c r="U1016">
        <f>VLOOKUP(A1016,[2]cwurData!$B:$N, 8, FALSE)</f>
        <v>823</v>
      </c>
      <c r="V1016">
        <f>VLOOKUP(A1016,[2]cwurData!$B:$N, 9, FALSE)</f>
        <v>609</v>
      </c>
      <c r="W1016">
        <f>VLOOKUP(A1016,[2]cwurData!$B:$N, 10, FALSE)</f>
        <v>618</v>
      </c>
      <c r="X1016">
        <f>VLOOKUP(A1016,[2]cwurData!$B:$N, 11, FALSE)</f>
        <v>280</v>
      </c>
      <c r="Y1016">
        <f>VLOOKUP(A1016,[2]cwurData!$B:$N, 12, FALSE)</f>
        <v>44.69</v>
      </c>
      <c r="Z1016">
        <f>VLOOKUP(A1016,[2]cwurData!$B:$N, 13, FALSE)</f>
        <v>2014</v>
      </c>
    </row>
    <row r="1017" spans="1:26" x14ac:dyDescent="0.3">
      <c r="A1017" t="s">
        <v>1015</v>
      </c>
      <c r="B1017" t="str">
        <f>IFERROR(VLOOKUP(A1017,[1]timesData!$B:$P,2,FALSE),VLOOKUP(A1017,[2]cwurData!$B:$P,2,FALSE))</f>
        <v>India</v>
      </c>
      <c r="C1017" t="e">
        <f>VLOOKUP(A1017,[1]timesData!$B:$P,3,FALSE)</f>
        <v>#N/A</v>
      </c>
      <c r="D1017" t="e">
        <f>VLOOKUP(A1018,[1]timesData!$B:$P,3,FALSE)</f>
        <v>#N/A</v>
      </c>
      <c r="E1017" t="e">
        <f>VLOOKUP(A1018,[1]timesData!$B:$P,4,FALSE)</f>
        <v>#N/A</v>
      </c>
      <c r="F1017" t="e">
        <f>VLOOKUP(A1018,[1]timesData!$B:$P,5,FALSE)</f>
        <v>#N/A</v>
      </c>
      <c r="G1017" t="e">
        <f>VLOOKUP(A1018,[1]timesData!$B:$P,6,FALSE)</f>
        <v>#N/A</v>
      </c>
      <c r="H1017" t="e">
        <f>VLOOKUP(A1018,[1]timesData!$B:$P,7,FALSE)</f>
        <v>#N/A</v>
      </c>
      <c r="I1017" t="e">
        <f>VLOOKUP(A1018,[1]timesData!$B:$P,8,FALSE)</f>
        <v>#N/A</v>
      </c>
      <c r="J1017" t="e">
        <f>VLOOKUP(A1018,[1]timesData!$B:$P,9,FALSE)</f>
        <v>#N/A</v>
      </c>
      <c r="K1017" t="e">
        <f>VLOOKUP(A1018,[1]timesData!$B:$P,10,FALSE)</f>
        <v>#N/A</v>
      </c>
      <c r="L1017" t="e">
        <f>VLOOKUP(A1018,[1]timesData!$B:$P,11,FALSE)</f>
        <v>#N/A</v>
      </c>
      <c r="M1017" t="e">
        <f>VLOOKUP(A1018,[1]timesData!$B:$P,12,FALSE)</f>
        <v>#N/A</v>
      </c>
      <c r="N1017" t="e">
        <f>VLOOKUP(A1018,[1]timesData!$B:$P,13,FALSE)</f>
        <v>#N/A</v>
      </c>
      <c r="O1017">
        <f>VLOOKUP(A1017,[2]cwurData!$B:$P,14,FALSE)</f>
        <v>667</v>
      </c>
      <c r="P1017">
        <f>VLOOKUP(A1017,[2]cwurData!$B:$N, 3, FALSE)</f>
        <v>11</v>
      </c>
      <c r="Q1017">
        <f>VLOOKUP(A1017,[2]cwurData!$B:$N, 4, FALSE)</f>
        <v>237</v>
      </c>
      <c r="R1017">
        <f>VLOOKUP(A1017,[2]cwurData!$B:$N, 5, FALSE)</f>
        <v>285</v>
      </c>
      <c r="S1017">
        <f>VLOOKUP(A1017,[2]cwurData!$B:$N, 6, FALSE)</f>
        <v>210</v>
      </c>
      <c r="T1017">
        <f>VLOOKUP(A1017,[2]cwurData!$B:$N, 7, FALSE)</f>
        <v>746</v>
      </c>
      <c r="U1017">
        <f>VLOOKUP(A1017,[2]cwurData!$B:$N, 8, FALSE)</f>
        <v>927</v>
      </c>
      <c r="V1017">
        <f>VLOOKUP(A1017,[2]cwurData!$B:$N, 9, FALSE)</f>
        <v>363</v>
      </c>
      <c r="W1017">
        <f>VLOOKUP(A1017,[2]cwurData!$B:$N, 10, FALSE)</f>
        <v>756</v>
      </c>
      <c r="X1017">
        <f>VLOOKUP(A1017,[2]cwurData!$B:$N, 11, FALSE)</f>
        <v>737</v>
      </c>
      <c r="Y1017">
        <f>VLOOKUP(A1017,[2]cwurData!$B:$N, 12, FALSE)</f>
        <v>44.69</v>
      </c>
      <c r="Z1017">
        <f>VLOOKUP(A1017,[2]cwurData!$B:$N, 13, FALSE)</f>
        <v>2014</v>
      </c>
    </row>
    <row r="1018" spans="1:26" x14ac:dyDescent="0.3">
      <c r="A1018" t="s">
        <v>1016</v>
      </c>
      <c r="B1018" t="str">
        <f>IFERROR(VLOOKUP(A1018,[1]timesData!$B:$P,2,FALSE),VLOOKUP(A1018,[2]cwurData!$B:$P,2,FALSE))</f>
        <v>Saudi Arabia</v>
      </c>
      <c r="C1018" t="e">
        <f>VLOOKUP(A1018,[1]timesData!$B:$P,3,FALSE)</f>
        <v>#N/A</v>
      </c>
      <c r="D1018" t="e">
        <f>VLOOKUP(A1019,[1]timesData!$B:$P,3,FALSE)</f>
        <v>#N/A</v>
      </c>
      <c r="E1018" t="e">
        <f>VLOOKUP(A1019,[1]timesData!$B:$P,4,FALSE)</f>
        <v>#N/A</v>
      </c>
      <c r="F1018" t="e">
        <f>VLOOKUP(A1019,[1]timesData!$B:$P,5,FALSE)</f>
        <v>#N/A</v>
      </c>
      <c r="G1018" t="e">
        <f>VLOOKUP(A1019,[1]timesData!$B:$P,6,FALSE)</f>
        <v>#N/A</v>
      </c>
      <c r="H1018" t="e">
        <f>VLOOKUP(A1019,[1]timesData!$B:$P,7,FALSE)</f>
        <v>#N/A</v>
      </c>
      <c r="I1018" t="e">
        <f>VLOOKUP(A1019,[1]timesData!$B:$P,8,FALSE)</f>
        <v>#N/A</v>
      </c>
      <c r="J1018" t="e">
        <f>VLOOKUP(A1019,[1]timesData!$B:$P,9,FALSE)</f>
        <v>#N/A</v>
      </c>
      <c r="K1018" t="e">
        <f>VLOOKUP(A1019,[1]timesData!$B:$P,10,FALSE)</f>
        <v>#N/A</v>
      </c>
      <c r="L1018" t="e">
        <f>VLOOKUP(A1019,[1]timesData!$B:$P,11,FALSE)</f>
        <v>#N/A</v>
      </c>
      <c r="M1018" t="e">
        <f>VLOOKUP(A1019,[1]timesData!$B:$P,12,FALSE)</f>
        <v>#N/A</v>
      </c>
      <c r="N1018" t="e">
        <f>VLOOKUP(A1019,[1]timesData!$B:$P,13,FALSE)</f>
        <v>#N/A</v>
      </c>
      <c r="O1018">
        <f>VLOOKUP(A1018,[2]cwurData!$B:$P,14,FALSE)</f>
        <v>668</v>
      </c>
      <c r="P1018">
        <f>VLOOKUP(A1018,[2]cwurData!$B:$N, 3, FALSE)</f>
        <v>2</v>
      </c>
      <c r="Q1018">
        <f>VLOOKUP(A1018,[2]cwurData!$B:$N, 4, FALSE)</f>
        <v>355</v>
      </c>
      <c r="R1018">
        <f>VLOOKUP(A1018,[2]cwurData!$B:$N, 5, FALSE)</f>
        <v>478</v>
      </c>
      <c r="S1018">
        <f>VLOOKUP(A1018,[2]cwurData!$B:$N, 6, FALSE)</f>
        <v>117</v>
      </c>
      <c r="T1018">
        <f>VLOOKUP(A1018,[2]cwurData!$B:$N, 7, FALSE)</f>
        <v>799</v>
      </c>
      <c r="U1018">
        <f>VLOOKUP(A1018,[2]cwurData!$B:$N, 8, FALSE)</f>
        <v>640</v>
      </c>
      <c r="V1018">
        <f>VLOOKUP(A1018,[2]cwurData!$B:$N, 9, FALSE)</f>
        <v>800</v>
      </c>
      <c r="W1018">
        <f>VLOOKUP(A1018,[2]cwurData!$B:$N, 10, FALSE)</f>
        <v>989</v>
      </c>
      <c r="X1018">
        <f>VLOOKUP(A1018,[2]cwurData!$B:$N, 11, FALSE)</f>
        <v>159</v>
      </c>
      <c r="Y1018">
        <f>VLOOKUP(A1018,[2]cwurData!$B:$N, 12, FALSE)</f>
        <v>44.69</v>
      </c>
      <c r="Z1018">
        <f>VLOOKUP(A1018,[2]cwurData!$B:$N, 13, FALSE)</f>
        <v>2014</v>
      </c>
    </row>
    <row r="1019" spans="1:26" x14ac:dyDescent="0.3">
      <c r="A1019" t="s">
        <v>1017</v>
      </c>
      <c r="B1019" t="str">
        <f>IFERROR(VLOOKUP(A1019,[1]timesData!$B:$P,2,FALSE),VLOOKUP(A1019,[2]cwurData!$B:$P,2,FALSE))</f>
        <v>China</v>
      </c>
      <c r="C1019" t="e">
        <f>VLOOKUP(A1019,[1]timesData!$B:$P,3,FALSE)</f>
        <v>#N/A</v>
      </c>
      <c r="D1019" t="e">
        <f>VLOOKUP(A1020,[1]timesData!$B:$P,3,FALSE)</f>
        <v>#N/A</v>
      </c>
      <c r="E1019" t="e">
        <f>VLOOKUP(A1020,[1]timesData!$B:$P,4,FALSE)</f>
        <v>#N/A</v>
      </c>
      <c r="F1019" t="e">
        <f>VLOOKUP(A1020,[1]timesData!$B:$P,5,FALSE)</f>
        <v>#N/A</v>
      </c>
      <c r="G1019" t="e">
        <f>VLOOKUP(A1020,[1]timesData!$B:$P,6,FALSE)</f>
        <v>#N/A</v>
      </c>
      <c r="H1019" t="e">
        <f>VLOOKUP(A1020,[1]timesData!$B:$P,7,FALSE)</f>
        <v>#N/A</v>
      </c>
      <c r="I1019" t="e">
        <f>VLOOKUP(A1020,[1]timesData!$B:$P,8,FALSE)</f>
        <v>#N/A</v>
      </c>
      <c r="J1019" t="e">
        <f>VLOOKUP(A1020,[1]timesData!$B:$P,9,FALSE)</f>
        <v>#N/A</v>
      </c>
      <c r="K1019" t="e">
        <f>VLOOKUP(A1020,[1]timesData!$B:$P,10,FALSE)</f>
        <v>#N/A</v>
      </c>
      <c r="L1019" t="e">
        <f>VLOOKUP(A1020,[1]timesData!$B:$P,11,FALSE)</f>
        <v>#N/A</v>
      </c>
      <c r="M1019" t="e">
        <f>VLOOKUP(A1020,[1]timesData!$B:$P,12,FALSE)</f>
        <v>#N/A</v>
      </c>
      <c r="N1019" t="e">
        <f>VLOOKUP(A1020,[1]timesData!$B:$P,13,FALSE)</f>
        <v>#N/A</v>
      </c>
      <c r="O1019">
        <f>VLOOKUP(A1019,[2]cwurData!$B:$P,14,FALSE)</f>
        <v>669</v>
      </c>
      <c r="P1019">
        <f>VLOOKUP(A1019,[2]cwurData!$B:$N, 3, FALSE)</f>
        <v>31</v>
      </c>
      <c r="Q1019">
        <f>VLOOKUP(A1019,[2]cwurData!$B:$N, 4, FALSE)</f>
        <v>355</v>
      </c>
      <c r="R1019">
        <f>VLOOKUP(A1019,[2]cwurData!$B:$N, 5, FALSE)</f>
        <v>478</v>
      </c>
      <c r="S1019">
        <f>VLOOKUP(A1019,[2]cwurData!$B:$N, 6, FALSE)</f>
        <v>210</v>
      </c>
      <c r="T1019">
        <f>VLOOKUP(A1019,[2]cwurData!$B:$N, 7, FALSE)</f>
        <v>716</v>
      </c>
      <c r="U1019">
        <f>VLOOKUP(A1019,[2]cwurData!$B:$N, 8, FALSE)</f>
        <v>774</v>
      </c>
      <c r="V1019">
        <f>VLOOKUP(A1019,[2]cwurData!$B:$N, 9, FALSE)</f>
        <v>609</v>
      </c>
      <c r="W1019">
        <f>VLOOKUP(A1019,[2]cwurData!$B:$N, 10, FALSE)</f>
        <v>554</v>
      </c>
      <c r="X1019">
        <f>VLOOKUP(A1019,[2]cwurData!$B:$N, 11, FALSE)</f>
        <v>737</v>
      </c>
      <c r="Y1019">
        <f>VLOOKUP(A1019,[2]cwurData!$B:$N, 12, FALSE)</f>
        <v>44.69</v>
      </c>
      <c r="Z1019">
        <f>VLOOKUP(A1019,[2]cwurData!$B:$N, 13, FALSE)</f>
        <v>2014</v>
      </c>
    </row>
    <row r="1020" spans="1:26" x14ac:dyDescent="0.3">
      <c r="A1020" t="s">
        <v>1018</v>
      </c>
      <c r="B1020" t="str">
        <f>IFERROR(VLOOKUP(A1020,[1]timesData!$B:$P,2,FALSE),VLOOKUP(A1020,[2]cwurData!$B:$P,2,FALSE))</f>
        <v>Canada</v>
      </c>
      <c r="C1020" t="e">
        <f>VLOOKUP(A1020,[1]timesData!$B:$P,3,FALSE)</f>
        <v>#N/A</v>
      </c>
      <c r="D1020" t="e">
        <f>VLOOKUP(A1021,[1]timesData!$B:$P,3,FALSE)</f>
        <v>#N/A</v>
      </c>
      <c r="E1020" t="e">
        <f>VLOOKUP(A1021,[1]timesData!$B:$P,4,FALSE)</f>
        <v>#N/A</v>
      </c>
      <c r="F1020" t="e">
        <f>VLOOKUP(A1021,[1]timesData!$B:$P,5,FALSE)</f>
        <v>#N/A</v>
      </c>
      <c r="G1020" t="e">
        <f>VLOOKUP(A1021,[1]timesData!$B:$P,6,FALSE)</f>
        <v>#N/A</v>
      </c>
      <c r="H1020" t="e">
        <f>VLOOKUP(A1021,[1]timesData!$B:$P,7,FALSE)</f>
        <v>#N/A</v>
      </c>
      <c r="I1020" t="e">
        <f>VLOOKUP(A1021,[1]timesData!$B:$P,8,FALSE)</f>
        <v>#N/A</v>
      </c>
      <c r="J1020" t="e">
        <f>VLOOKUP(A1021,[1]timesData!$B:$P,9,FALSE)</f>
        <v>#N/A</v>
      </c>
      <c r="K1020" t="e">
        <f>VLOOKUP(A1021,[1]timesData!$B:$P,10,FALSE)</f>
        <v>#N/A</v>
      </c>
      <c r="L1020" t="e">
        <f>VLOOKUP(A1021,[1]timesData!$B:$P,11,FALSE)</f>
        <v>#N/A</v>
      </c>
      <c r="M1020" t="e">
        <f>VLOOKUP(A1021,[1]timesData!$B:$P,12,FALSE)</f>
        <v>#N/A</v>
      </c>
      <c r="N1020" t="e">
        <f>VLOOKUP(A1021,[1]timesData!$B:$P,13,FALSE)</f>
        <v>#N/A</v>
      </c>
      <c r="O1020">
        <f>VLOOKUP(A1020,[2]cwurData!$B:$P,14,FALSE)</f>
        <v>671</v>
      </c>
      <c r="P1020">
        <f>VLOOKUP(A1020,[2]cwurData!$B:$N, 3, FALSE)</f>
        <v>25</v>
      </c>
      <c r="Q1020">
        <f>VLOOKUP(A1020,[2]cwurData!$B:$N, 4, FALSE)</f>
        <v>355</v>
      </c>
      <c r="R1020">
        <f>VLOOKUP(A1020,[2]cwurData!$B:$N, 5, FALSE)</f>
        <v>457</v>
      </c>
      <c r="S1020">
        <f>VLOOKUP(A1020,[2]cwurData!$B:$N, 6, FALSE)</f>
        <v>210</v>
      </c>
      <c r="T1020">
        <f>VLOOKUP(A1020,[2]cwurData!$B:$N, 7, FALSE)</f>
        <v>534</v>
      </c>
      <c r="U1020">
        <f>VLOOKUP(A1020,[2]cwurData!$B:$N, 8, FALSE)</f>
        <v>546</v>
      </c>
      <c r="V1020">
        <f>VLOOKUP(A1020,[2]cwurData!$B:$N, 9, FALSE)</f>
        <v>406</v>
      </c>
      <c r="W1020">
        <f>VLOOKUP(A1020,[2]cwurData!$B:$N, 10, FALSE)</f>
        <v>628</v>
      </c>
      <c r="X1020">
        <f>VLOOKUP(A1020,[2]cwurData!$B:$N, 11, FALSE)</f>
        <v>737</v>
      </c>
      <c r="Y1020">
        <f>VLOOKUP(A1020,[2]cwurData!$B:$N, 12, FALSE)</f>
        <v>44.68</v>
      </c>
      <c r="Z1020">
        <f>VLOOKUP(A1020,[2]cwurData!$B:$N, 13, FALSE)</f>
        <v>2014</v>
      </c>
    </row>
    <row r="1021" spans="1:26" x14ac:dyDescent="0.3">
      <c r="A1021" t="s">
        <v>1019</v>
      </c>
      <c r="B1021" t="str">
        <f>IFERROR(VLOOKUP(A1021,[1]timesData!$B:$P,2,FALSE),VLOOKUP(A1021,[2]cwurData!$B:$P,2,FALSE))</f>
        <v>USA</v>
      </c>
      <c r="C1021" t="e">
        <f>VLOOKUP(A1021,[1]timesData!$B:$P,3,FALSE)</f>
        <v>#N/A</v>
      </c>
      <c r="D1021" t="e">
        <f>VLOOKUP(A1022,[1]timesData!$B:$P,3,FALSE)</f>
        <v>#N/A</v>
      </c>
      <c r="E1021" t="e">
        <f>VLOOKUP(A1022,[1]timesData!$B:$P,4,FALSE)</f>
        <v>#N/A</v>
      </c>
      <c r="F1021" t="e">
        <f>VLOOKUP(A1022,[1]timesData!$B:$P,5,FALSE)</f>
        <v>#N/A</v>
      </c>
      <c r="G1021" t="e">
        <f>VLOOKUP(A1022,[1]timesData!$B:$P,6,FALSE)</f>
        <v>#N/A</v>
      </c>
      <c r="H1021" t="e">
        <f>VLOOKUP(A1022,[1]timesData!$B:$P,7,FALSE)</f>
        <v>#N/A</v>
      </c>
      <c r="I1021" t="e">
        <f>VLOOKUP(A1022,[1]timesData!$B:$P,8,FALSE)</f>
        <v>#N/A</v>
      </c>
      <c r="J1021" t="e">
        <f>VLOOKUP(A1022,[1]timesData!$B:$P,9,FALSE)</f>
        <v>#N/A</v>
      </c>
      <c r="K1021" t="e">
        <f>VLOOKUP(A1022,[1]timesData!$B:$P,10,FALSE)</f>
        <v>#N/A</v>
      </c>
      <c r="L1021" t="e">
        <f>VLOOKUP(A1022,[1]timesData!$B:$P,11,FALSE)</f>
        <v>#N/A</v>
      </c>
      <c r="M1021" t="e">
        <f>VLOOKUP(A1022,[1]timesData!$B:$P,12,FALSE)</f>
        <v>#N/A</v>
      </c>
      <c r="N1021" t="e">
        <f>VLOOKUP(A1022,[1]timesData!$B:$P,13,FALSE)</f>
        <v>#N/A</v>
      </c>
      <c r="O1021">
        <f>VLOOKUP(A1021,[2]cwurData!$B:$P,14,FALSE)</f>
        <v>674</v>
      </c>
      <c r="P1021">
        <f>VLOOKUP(A1021,[2]cwurData!$B:$N, 3, FALSE)</f>
        <v>193</v>
      </c>
      <c r="Q1021">
        <f>VLOOKUP(A1021,[2]cwurData!$B:$N, 4, FALSE)</f>
        <v>355</v>
      </c>
      <c r="R1021">
        <f>VLOOKUP(A1021,[2]cwurData!$B:$N, 5, FALSE)</f>
        <v>478</v>
      </c>
      <c r="S1021">
        <f>VLOOKUP(A1021,[2]cwurData!$B:$N, 6, FALSE)</f>
        <v>210</v>
      </c>
      <c r="T1021">
        <f>VLOOKUP(A1021,[2]cwurData!$B:$N, 7, FALSE)</f>
        <v>820</v>
      </c>
      <c r="U1021">
        <f>VLOOKUP(A1021,[2]cwurData!$B:$N, 8, FALSE)</f>
        <v>759</v>
      </c>
      <c r="V1021">
        <f>VLOOKUP(A1021,[2]cwurData!$B:$N, 9, FALSE)</f>
        <v>609</v>
      </c>
      <c r="W1021">
        <f>VLOOKUP(A1021,[2]cwurData!$B:$N, 10, FALSE)</f>
        <v>554</v>
      </c>
      <c r="X1021">
        <f>VLOOKUP(A1021,[2]cwurData!$B:$N, 11, FALSE)</f>
        <v>737</v>
      </c>
      <c r="Y1021">
        <f>VLOOKUP(A1021,[2]cwurData!$B:$N, 12, FALSE)</f>
        <v>44.68</v>
      </c>
      <c r="Z1021">
        <f>VLOOKUP(A1021,[2]cwurData!$B:$N, 13, FALSE)</f>
        <v>2014</v>
      </c>
    </row>
    <row r="1022" spans="1:26" x14ac:dyDescent="0.3">
      <c r="A1022" t="s">
        <v>1020</v>
      </c>
      <c r="B1022" t="str">
        <f>IFERROR(VLOOKUP(A1022,[1]timesData!$B:$P,2,FALSE),VLOOKUP(A1022,[2]cwurData!$B:$P,2,FALSE))</f>
        <v>Italy</v>
      </c>
      <c r="C1022" t="e">
        <f>VLOOKUP(A1022,[1]timesData!$B:$P,3,FALSE)</f>
        <v>#N/A</v>
      </c>
      <c r="D1022" t="e">
        <f>VLOOKUP(A1023,[1]timesData!$B:$P,3,FALSE)</f>
        <v>#N/A</v>
      </c>
      <c r="E1022" t="e">
        <f>VLOOKUP(A1023,[1]timesData!$B:$P,4,FALSE)</f>
        <v>#N/A</v>
      </c>
      <c r="F1022" t="e">
        <f>VLOOKUP(A1023,[1]timesData!$B:$P,5,FALSE)</f>
        <v>#N/A</v>
      </c>
      <c r="G1022" t="e">
        <f>VLOOKUP(A1023,[1]timesData!$B:$P,6,FALSE)</f>
        <v>#N/A</v>
      </c>
      <c r="H1022" t="e">
        <f>VLOOKUP(A1023,[1]timesData!$B:$P,7,FALSE)</f>
        <v>#N/A</v>
      </c>
      <c r="I1022" t="e">
        <f>VLOOKUP(A1023,[1]timesData!$B:$P,8,FALSE)</f>
        <v>#N/A</v>
      </c>
      <c r="J1022" t="e">
        <f>VLOOKUP(A1023,[1]timesData!$B:$P,9,FALSE)</f>
        <v>#N/A</v>
      </c>
      <c r="K1022" t="e">
        <f>VLOOKUP(A1023,[1]timesData!$B:$P,10,FALSE)</f>
        <v>#N/A</v>
      </c>
      <c r="L1022" t="e">
        <f>VLOOKUP(A1023,[1]timesData!$B:$P,11,FALSE)</f>
        <v>#N/A</v>
      </c>
      <c r="M1022" t="e">
        <f>VLOOKUP(A1023,[1]timesData!$B:$P,12,FALSE)</f>
        <v>#N/A</v>
      </c>
      <c r="N1022" t="e">
        <f>VLOOKUP(A1023,[1]timesData!$B:$P,13,FALSE)</f>
        <v>#N/A</v>
      </c>
      <c r="O1022">
        <f>VLOOKUP(A1022,[2]cwurData!$B:$P,14,FALSE)</f>
        <v>676</v>
      </c>
      <c r="P1022">
        <f>VLOOKUP(A1022,[2]cwurData!$B:$N, 3, FALSE)</f>
        <v>35</v>
      </c>
      <c r="Q1022">
        <f>VLOOKUP(A1022,[2]cwurData!$B:$N, 4, FALSE)</f>
        <v>355</v>
      </c>
      <c r="R1022">
        <f>VLOOKUP(A1022,[2]cwurData!$B:$N, 5, FALSE)</f>
        <v>478</v>
      </c>
      <c r="S1022">
        <f>VLOOKUP(A1022,[2]cwurData!$B:$N, 6, FALSE)</f>
        <v>210</v>
      </c>
      <c r="T1022">
        <f>VLOOKUP(A1022,[2]cwurData!$B:$N, 7, FALSE)</f>
        <v>685</v>
      </c>
      <c r="U1022">
        <f>VLOOKUP(A1022,[2]cwurData!$B:$N, 8, FALSE)</f>
        <v>600</v>
      </c>
      <c r="V1022">
        <f>VLOOKUP(A1022,[2]cwurData!$B:$N, 9, FALSE)</f>
        <v>609</v>
      </c>
      <c r="W1022">
        <f>VLOOKUP(A1022,[2]cwurData!$B:$N, 10, FALSE)</f>
        <v>569</v>
      </c>
      <c r="X1022">
        <f>VLOOKUP(A1022,[2]cwurData!$B:$N, 11, FALSE)</f>
        <v>737</v>
      </c>
      <c r="Y1022">
        <f>VLOOKUP(A1022,[2]cwurData!$B:$N, 12, FALSE)</f>
        <v>44.67</v>
      </c>
      <c r="Z1022">
        <f>VLOOKUP(A1022,[2]cwurData!$B:$N, 13, FALSE)</f>
        <v>2014</v>
      </c>
    </row>
    <row r="1023" spans="1:26" x14ac:dyDescent="0.3">
      <c r="A1023" t="s">
        <v>1021</v>
      </c>
      <c r="B1023" t="str">
        <f>IFERROR(VLOOKUP(A1023,[1]timesData!$B:$P,2,FALSE),VLOOKUP(A1023,[2]cwurData!$B:$P,2,FALSE))</f>
        <v>USA</v>
      </c>
      <c r="C1023" t="e">
        <f>VLOOKUP(A1023,[1]timesData!$B:$P,3,FALSE)</f>
        <v>#N/A</v>
      </c>
      <c r="D1023" t="e">
        <f>VLOOKUP(A1024,[1]timesData!$B:$P,3,FALSE)</f>
        <v>#N/A</v>
      </c>
      <c r="E1023" t="e">
        <f>VLOOKUP(A1024,[1]timesData!$B:$P,4,FALSE)</f>
        <v>#N/A</v>
      </c>
      <c r="F1023" t="e">
        <f>VLOOKUP(A1024,[1]timesData!$B:$P,5,FALSE)</f>
        <v>#N/A</v>
      </c>
      <c r="G1023" t="e">
        <f>VLOOKUP(A1024,[1]timesData!$B:$P,6,FALSE)</f>
        <v>#N/A</v>
      </c>
      <c r="H1023" t="e">
        <f>VLOOKUP(A1024,[1]timesData!$B:$P,7,FALSE)</f>
        <v>#N/A</v>
      </c>
      <c r="I1023" t="e">
        <f>VLOOKUP(A1024,[1]timesData!$B:$P,8,FALSE)</f>
        <v>#N/A</v>
      </c>
      <c r="J1023" t="e">
        <f>VLOOKUP(A1024,[1]timesData!$B:$P,9,FALSE)</f>
        <v>#N/A</v>
      </c>
      <c r="K1023" t="e">
        <f>VLOOKUP(A1024,[1]timesData!$B:$P,10,FALSE)</f>
        <v>#N/A</v>
      </c>
      <c r="L1023" t="e">
        <f>VLOOKUP(A1024,[1]timesData!$B:$P,11,FALSE)</f>
        <v>#N/A</v>
      </c>
      <c r="M1023" t="e">
        <f>VLOOKUP(A1024,[1]timesData!$B:$P,12,FALSE)</f>
        <v>#N/A</v>
      </c>
      <c r="N1023" t="e">
        <f>VLOOKUP(A1024,[1]timesData!$B:$P,13,FALSE)</f>
        <v>#N/A</v>
      </c>
      <c r="O1023">
        <f>VLOOKUP(A1023,[2]cwurData!$B:$P,14,FALSE)</f>
        <v>677</v>
      </c>
      <c r="P1023">
        <f>VLOOKUP(A1023,[2]cwurData!$B:$N, 3, FALSE)</f>
        <v>195</v>
      </c>
      <c r="Q1023">
        <f>VLOOKUP(A1023,[2]cwurData!$B:$N, 4, FALSE)</f>
        <v>355</v>
      </c>
      <c r="R1023">
        <f>VLOOKUP(A1023,[2]cwurData!$B:$N, 5, FALSE)</f>
        <v>412</v>
      </c>
      <c r="S1023">
        <f>VLOOKUP(A1023,[2]cwurData!$B:$N, 6, FALSE)</f>
        <v>210</v>
      </c>
      <c r="T1023">
        <f>VLOOKUP(A1023,[2]cwurData!$B:$N, 7, FALSE)</f>
        <v>619</v>
      </c>
      <c r="U1023">
        <f>VLOOKUP(A1023,[2]cwurData!$B:$N, 8, FALSE)</f>
        <v>457</v>
      </c>
      <c r="V1023">
        <f>VLOOKUP(A1023,[2]cwurData!$B:$N, 9, FALSE)</f>
        <v>800</v>
      </c>
      <c r="W1023">
        <f>VLOOKUP(A1023,[2]cwurData!$B:$N, 10, FALSE)</f>
        <v>628</v>
      </c>
      <c r="X1023">
        <f>VLOOKUP(A1023,[2]cwurData!$B:$N, 11, FALSE)</f>
        <v>737</v>
      </c>
      <c r="Y1023">
        <f>VLOOKUP(A1023,[2]cwurData!$B:$N, 12, FALSE)</f>
        <v>44.67</v>
      </c>
      <c r="Z1023">
        <f>VLOOKUP(A1023,[2]cwurData!$B:$N, 13, FALSE)</f>
        <v>2014</v>
      </c>
    </row>
    <row r="1024" spans="1:26" x14ac:dyDescent="0.3">
      <c r="A1024" t="s">
        <v>1022</v>
      </c>
      <c r="B1024" t="str">
        <f>IFERROR(VLOOKUP(A1024,[1]timesData!$B:$P,2,FALSE),VLOOKUP(A1024,[2]cwurData!$B:$P,2,FALSE))</f>
        <v>Italy</v>
      </c>
      <c r="C1024" t="e">
        <f>VLOOKUP(A1024,[1]timesData!$B:$P,3,FALSE)</f>
        <v>#N/A</v>
      </c>
      <c r="D1024" t="e">
        <f>VLOOKUP(A1025,[1]timesData!$B:$P,3,FALSE)</f>
        <v>#N/A</v>
      </c>
      <c r="E1024" t="e">
        <f>VLOOKUP(A1025,[1]timesData!$B:$P,4,FALSE)</f>
        <v>#N/A</v>
      </c>
      <c r="F1024" t="e">
        <f>VLOOKUP(A1025,[1]timesData!$B:$P,5,FALSE)</f>
        <v>#N/A</v>
      </c>
      <c r="G1024" t="e">
        <f>VLOOKUP(A1025,[1]timesData!$B:$P,6,FALSE)</f>
        <v>#N/A</v>
      </c>
      <c r="H1024" t="e">
        <f>VLOOKUP(A1025,[1]timesData!$B:$P,7,FALSE)</f>
        <v>#N/A</v>
      </c>
      <c r="I1024" t="e">
        <f>VLOOKUP(A1025,[1]timesData!$B:$P,8,FALSE)</f>
        <v>#N/A</v>
      </c>
      <c r="J1024" t="e">
        <f>VLOOKUP(A1025,[1]timesData!$B:$P,9,FALSE)</f>
        <v>#N/A</v>
      </c>
      <c r="K1024" t="e">
        <f>VLOOKUP(A1025,[1]timesData!$B:$P,10,FALSE)</f>
        <v>#N/A</v>
      </c>
      <c r="L1024" t="e">
        <f>VLOOKUP(A1025,[1]timesData!$B:$P,11,FALSE)</f>
        <v>#N/A</v>
      </c>
      <c r="M1024" t="e">
        <f>VLOOKUP(A1025,[1]timesData!$B:$P,12,FALSE)</f>
        <v>#N/A</v>
      </c>
      <c r="N1024" t="e">
        <f>VLOOKUP(A1025,[1]timesData!$B:$P,13,FALSE)</f>
        <v>#N/A</v>
      </c>
      <c r="O1024">
        <f>VLOOKUP(A1024,[2]cwurData!$B:$P,14,FALSE)</f>
        <v>680</v>
      </c>
      <c r="P1024">
        <f>VLOOKUP(A1024,[2]cwurData!$B:$N, 3, FALSE)</f>
        <v>36</v>
      </c>
      <c r="Q1024">
        <f>VLOOKUP(A1024,[2]cwurData!$B:$N, 4, FALSE)</f>
        <v>355</v>
      </c>
      <c r="R1024">
        <f>VLOOKUP(A1024,[2]cwurData!$B:$N, 5, FALSE)</f>
        <v>478</v>
      </c>
      <c r="S1024">
        <f>VLOOKUP(A1024,[2]cwurData!$B:$N, 6, FALSE)</f>
        <v>210</v>
      </c>
      <c r="T1024">
        <f>VLOOKUP(A1024,[2]cwurData!$B:$N, 7, FALSE)</f>
        <v>577</v>
      </c>
      <c r="U1024">
        <f>VLOOKUP(A1024,[2]cwurData!$B:$N, 8, FALSE)</f>
        <v>763</v>
      </c>
      <c r="V1024">
        <f>VLOOKUP(A1024,[2]cwurData!$B:$N, 9, FALSE)</f>
        <v>800</v>
      </c>
      <c r="W1024">
        <f>VLOOKUP(A1024,[2]cwurData!$B:$N, 10, FALSE)</f>
        <v>585</v>
      </c>
      <c r="X1024">
        <f>VLOOKUP(A1024,[2]cwurData!$B:$N, 11, FALSE)</f>
        <v>737</v>
      </c>
      <c r="Y1024">
        <f>VLOOKUP(A1024,[2]cwurData!$B:$N, 12, FALSE)</f>
        <v>44.67</v>
      </c>
      <c r="Z1024">
        <f>VLOOKUP(A1024,[2]cwurData!$B:$N, 13, FALSE)</f>
        <v>2014</v>
      </c>
    </row>
    <row r="1025" spans="1:26" x14ac:dyDescent="0.3">
      <c r="A1025" t="s">
        <v>1023</v>
      </c>
      <c r="B1025" t="str">
        <f>IFERROR(VLOOKUP(A1025,[1]timesData!$B:$P,2,FALSE),VLOOKUP(A1025,[2]cwurData!$B:$P,2,FALSE))</f>
        <v>France</v>
      </c>
      <c r="C1025" t="e">
        <f>VLOOKUP(A1025,[1]timesData!$B:$P,3,FALSE)</f>
        <v>#N/A</v>
      </c>
      <c r="D1025" t="e">
        <f>VLOOKUP(A1026,[1]timesData!$B:$P,3,FALSE)</f>
        <v>#N/A</v>
      </c>
      <c r="E1025" t="e">
        <f>VLOOKUP(A1026,[1]timesData!$B:$P,4,FALSE)</f>
        <v>#N/A</v>
      </c>
      <c r="F1025" t="e">
        <f>VLOOKUP(A1026,[1]timesData!$B:$P,5,FALSE)</f>
        <v>#N/A</v>
      </c>
      <c r="G1025" t="e">
        <f>VLOOKUP(A1026,[1]timesData!$B:$P,6,FALSE)</f>
        <v>#N/A</v>
      </c>
      <c r="H1025" t="e">
        <f>VLOOKUP(A1026,[1]timesData!$B:$P,7,FALSE)</f>
        <v>#N/A</v>
      </c>
      <c r="I1025" t="e">
        <f>VLOOKUP(A1026,[1]timesData!$B:$P,8,FALSE)</f>
        <v>#N/A</v>
      </c>
      <c r="J1025" t="e">
        <f>VLOOKUP(A1026,[1]timesData!$B:$P,9,FALSE)</f>
        <v>#N/A</v>
      </c>
      <c r="K1025" t="e">
        <f>VLOOKUP(A1026,[1]timesData!$B:$P,10,FALSE)</f>
        <v>#N/A</v>
      </c>
      <c r="L1025" t="e">
        <f>VLOOKUP(A1026,[1]timesData!$B:$P,11,FALSE)</f>
        <v>#N/A</v>
      </c>
      <c r="M1025" t="e">
        <f>VLOOKUP(A1026,[1]timesData!$B:$P,12,FALSE)</f>
        <v>#N/A</v>
      </c>
      <c r="N1025" t="e">
        <f>VLOOKUP(A1026,[1]timesData!$B:$P,13,FALSE)</f>
        <v>#N/A</v>
      </c>
      <c r="O1025">
        <f>VLOOKUP(A1025,[2]cwurData!$B:$P,14,FALSE)</f>
        <v>682</v>
      </c>
      <c r="P1025">
        <f>VLOOKUP(A1025,[2]cwurData!$B:$N, 3, FALSE)</f>
        <v>32</v>
      </c>
      <c r="Q1025">
        <f>VLOOKUP(A1025,[2]cwurData!$B:$N, 4, FALSE)</f>
        <v>188</v>
      </c>
      <c r="R1025">
        <f>VLOOKUP(A1025,[2]cwurData!$B:$N, 5, FALSE)</f>
        <v>478</v>
      </c>
      <c r="S1025">
        <f>VLOOKUP(A1025,[2]cwurData!$B:$N, 6, FALSE)</f>
        <v>210</v>
      </c>
      <c r="T1025">
        <f>VLOOKUP(A1025,[2]cwurData!$B:$N, 7, FALSE)</f>
        <v>684</v>
      </c>
      <c r="U1025">
        <f>VLOOKUP(A1025,[2]cwurData!$B:$N, 8, FALSE)</f>
        <v>503</v>
      </c>
      <c r="V1025">
        <f>VLOOKUP(A1025,[2]cwurData!$B:$N, 9, FALSE)</f>
        <v>609</v>
      </c>
      <c r="W1025">
        <f>VLOOKUP(A1025,[2]cwurData!$B:$N, 10, FALSE)</f>
        <v>663</v>
      </c>
      <c r="X1025">
        <f>VLOOKUP(A1025,[2]cwurData!$B:$N, 11, FALSE)</f>
        <v>481</v>
      </c>
      <c r="Y1025">
        <f>VLOOKUP(A1025,[2]cwurData!$B:$N, 12, FALSE)</f>
        <v>44.67</v>
      </c>
      <c r="Z1025">
        <f>VLOOKUP(A1025,[2]cwurData!$B:$N, 13, FALSE)</f>
        <v>2014</v>
      </c>
    </row>
    <row r="1026" spans="1:26" x14ac:dyDescent="0.3">
      <c r="A1026" t="s">
        <v>1024</v>
      </c>
      <c r="B1026" t="str">
        <f>IFERROR(VLOOKUP(A1026,[1]timesData!$B:$P,2,FALSE),VLOOKUP(A1026,[2]cwurData!$B:$P,2,FALSE))</f>
        <v>Brazil</v>
      </c>
      <c r="C1026" t="e">
        <f>VLOOKUP(A1026,[1]timesData!$B:$P,3,FALSE)</f>
        <v>#N/A</v>
      </c>
      <c r="D1026" t="e">
        <f>VLOOKUP(A1027,[1]timesData!$B:$P,3,FALSE)</f>
        <v>#N/A</v>
      </c>
      <c r="E1026" t="e">
        <f>VLOOKUP(A1027,[1]timesData!$B:$P,4,FALSE)</f>
        <v>#N/A</v>
      </c>
      <c r="F1026" t="e">
        <f>VLOOKUP(A1027,[1]timesData!$B:$P,5,FALSE)</f>
        <v>#N/A</v>
      </c>
      <c r="G1026" t="e">
        <f>VLOOKUP(A1027,[1]timesData!$B:$P,6,FALSE)</f>
        <v>#N/A</v>
      </c>
      <c r="H1026" t="e">
        <f>VLOOKUP(A1027,[1]timesData!$B:$P,7,FALSE)</f>
        <v>#N/A</v>
      </c>
      <c r="I1026" t="e">
        <f>VLOOKUP(A1027,[1]timesData!$B:$P,8,FALSE)</f>
        <v>#N/A</v>
      </c>
      <c r="J1026" t="e">
        <f>VLOOKUP(A1027,[1]timesData!$B:$P,9,FALSE)</f>
        <v>#N/A</v>
      </c>
      <c r="K1026" t="e">
        <f>VLOOKUP(A1027,[1]timesData!$B:$P,10,FALSE)</f>
        <v>#N/A</v>
      </c>
      <c r="L1026" t="e">
        <f>VLOOKUP(A1027,[1]timesData!$B:$P,11,FALSE)</f>
        <v>#N/A</v>
      </c>
      <c r="M1026" t="e">
        <f>VLOOKUP(A1027,[1]timesData!$B:$P,12,FALSE)</f>
        <v>#N/A</v>
      </c>
      <c r="N1026" t="e">
        <f>VLOOKUP(A1027,[1]timesData!$B:$P,13,FALSE)</f>
        <v>#N/A</v>
      </c>
      <c r="O1026">
        <f>VLOOKUP(A1026,[2]cwurData!$B:$P,14,FALSE)</f>
        <v>683</v>
      </c>
      <c r="P1026">
        <f>VLOOKUP(A1026,[2]cwurData!$B:$N, 3, FALSE)</f>
        <v>7</v>
      </c>
      <c r="Q1026">
        <f>VLOOKUP(A1026,[2]cwurData!$B:$N, 4, FALSE)</f>
        <v>355</v>
      </c>
      <c r="R1026">
        <f>VLOOKUP(A1026,[2]cwurData!$B:$N, 5, FALSE)</f>
        <v>478</v>
      </c>
      <c r="S1026">
        <f>VLOOKUP(A1026,[2]cwurData!$B:$N, 6, FALSE)</f>
        <v>210</v>
      </c>
      <c r="T1026">
        <f>VLOOKUP(A1026,[2]cwurData!$B:$N, 7, FALSE)</f>
        <v>352</v>
      </c>
      <c r="U1026">
        <f>VLOOKUP(A1026,[2]cwurData!$B:$N, 8, FALSE)</f>
        <v>655</v>
      </c>
      <c r="V1026">
        <f>VLOOKUP(A1026,[2]cwurData!$B:$N, 9, FALSE)</f>
        <v>493</v>
      </c>
      <c r="W1026">
        <f>VLOOKUP(A1026,[2]cwurData!$B:$N, 10, FALSE)</f>
        <v>690</v>
      </c>
      <c r="X1026">
        <f>VLOOKUP(A1026,[2]cwurData!$B:$N, 11, FALSE)</f>
        <v>552</v>
      </c>
      <c r="Y1026">
        <f>VLOOKUP(A1026,[2]cwurData!$B:$N, 12, FALSE)</f>
        <v>44.67</v>
      </c>
      <c r="Z1026">
        <f>VLOOKUP(A1026,[2]cwurData!$B:$N, 13, FALSE)</f>
        <v>2014</v>
      </c>
    </row>
    <row r="1027" spans="1:26" x14ac:dyDescent="0.3">
      <c r="A1027" t="s">
        <v>1025</v>
      </c>
      <c r="B1027" t="str">
        <f>IFERROR(VLOOKUP(A1027,[1]timesData!$B:$P,2,FALSE),VLOOKUP(A1027,[2]cwurData!$B:$P,2,FALSE))</f>
        <v>Japan</v>
      </c>
      <c r="C1027" t="e">
        <f>VLOOKUP(A1027,[1]timesData!$B:$P,3,FALSE)</f>
        <v>#N/A</v>
      </c>
      <c r="D1027" t="e">
        <f>VLOOKUP(A1028,[1]timesData!$B:$P,3,FALSE)</f>
        <v>#N/A</v>
      </c>
      <c r="E1027" t="e">
        <f>VLOOKUP(A1028,[1]timesData!$B:$P,4,FALSE)</f>
        <v>#N/A</v>
      </c>
      <c r="F1027" t="e">
        <f>VLOOKUP(A1028,[1]timesData!$B:$P,5,FALSE)</f>
        <v>#N/A</v>
      </c>
      <c r="G1027" t="e">
        <f>VLOOKUP(A1028,[1]timesData!$B:$P,6,FALSE)</f>
        <v>#N/A</v>
      </c>
      <c r="H1027" t="e">
        <f>VLOOKUP(A1028,[1]timesData!$B:$P,7,FALSE)</f>
        <v>#N/A</v>
      </c>
      <c r="I1027" t="e">
        <f>VLOOKUP(A1028,[1]timesData!$B:$P,8,FALSE)</f>
        <v>#N/A</v>
      </c>
      <c r="J1027" t="e">
        <f>VLOOKUP(A1028,[1]timesData!$B:$P,9,FALSE)</f>
        <v>#N/A</v>
      </c>
      <c r="K1027" t="e">
        <f>VLOOKUP(A1028,[1]timesData!$B:$P,10,FALSE)</f>
        <v>#N/A</v>
      </c>
      <c r="L1027" t="e">
        <f>VLOOKUP(A1028,[1]timesData!$B:$P,11,FALSE)</f>
        <v>#N/A</v>
      </c>
      <c r="M1027" t="e">
        <f>VLOOKUP(A1028,[1]timesData!$B:$P,12,FALSE)</f>
        <v>#N/A</v>
      </c>
      <c r="N1027" t="e">
        <f>VLOOKUP(A1028,[1]timesData!$B:$P,13,FALSE)</f>
        <v>#N/A</v>
      </c>
      <c r="O1027">
        <f>VLOOKUP(A1027,[2]cwurData!$B:$P,14,FALSE)</f>
        <v>684</v>
      </c>
      <c r="P1027">
        <f>VLOOKUP(A1027,[2]cwurData!$B:$N, 3, FALSE)</f>
        <v>45</v>
      </c>
      <c r="Q1027">
        <f>VLOOKUP(A1027,[2]cwurData!$B:$N, 4, FALSE)</f>
        <v>355</v>
      </c>
      <c r="R1027">
        <f>VLOOKUP(A1027,[2]cwurData!$B:$N, 5, FALSE)</f>
        <v>478</v>
      </c>
      <c r="S1027">
        <f>VLOOKUP(A1027,[2]cwurData!$B:$N, 6, FALSE)</f>
        <v>154</v>
      </c>
      <c r="T1027">
        <f>VLOOKUP(A1027,[2]cwurData!$B:$N, 7, FALSE)</f>
        <v>800</v>
      </c>
      <c r="U1027">
        <f>VLOOKUP(A1027,[2]cwurData!$B:$N, 8, FALSE)</f>
        <v>788</v>
      </c>
      <c r="V1027">
        <f>VLOOKUP(A1027,[2]cwurData!$B:$N, 9, FALSE)</f>
        <v>800</v>
      </c>
      <c r="W1027">
        <f>VLOOKUP(A1027,[2]cwurData!$B:$N, 10, FALSE)</f>
        <v>690</v>
      </c>
      <c r="X1027">
        <f>VLOOKUP(A1027,[2]cwurData!$B:$N, 11, FALSE)</f>
        <v>552</v>
      </c>
      <c r="Y1027">
        <f>VLOOKUP(A1027,[2]cwurData!$B:$N, 12, FALSE)</f>
        <v>44.67</v>
      </c>
      <c r="Z1027">
        <f>VLOOKUP(A1027,[2]cwurData!$B:$N, 13, FALSE)</f>
        <v>2014</v>
      </c>
    </row>
    <row r="1028" spans="1:26" x14ac:dyDescent="0.3">
      <c r="A1028" t="s">
        <v>1026</v>
      </c>
      <c r="B1028" t="str">
        <f>IFERROR(VLOOKUP(A1028,[1]timesData!$B:$P,2,FALSE),VLOOKUP(A1028,[2]cwurData!$B:$P,2,FALSE))</f>
        <v>China</v>
      </c>
      <c r="C1028" t="e">
        <f>VLOOKUP(A1028,[1]timesData!$B:$P,3,FALSE)</f>
        <v>#N/A</v>
      </c>
      <c r="D1028" t="e">
        <f>VLOOKUP(A1029,[1]timesData!$B:$P,3,FALSE)</f>
        <v>#N/A</v>
      </c>
      <c r="E1028" t="e">
        <f>VLOOKUP(A1029,[1]timesData!$B:$P,4,FALSE)</f>
        <v>#N/A</v>
      </c>
      <c r="F1028" t="e">
        <f>VLOOKUP(A1029,[1]timesData!$B:$P,5,FALSE)</f>
        <v>#N/A</v>
      </c>
      <c r="G1028" t="e">
        <f>VLOOKUP(A1029,[1]timesData!$B:$P,6,FALSE)</f>
        <v>#N/A</v>
      </c>
      <c r="H1028" t="e">
        <f>VLOOKUP(A1029,[1]timesData!$B:$P,7,FALSE)</f>
        <v>#N/A</v>
      </c>
      <c r="I1028" t="e">
        <f>VLOOKUP(A1029,[1]timesData!$B:$P,8,FALSE)</f>
        <v>#N/A</v>
      </c>
      <c r="J1028" t="e">
        <f>VLOOKUP(A1029,[1]timesData!$B:$P,9,FALSE)</f>
        <v>#N/A</v>
      </c>
      <c r="K1028" t="e">
        <f>VLOOKUP(A1029,[1]timesData!$B:$P,10,FALSE)</f>
        <v>#N/A</v>
      </c>
      <c r="L1028" t="e">
        <f>VLOOKUP(A1029,[1]timesData!$B:$P,11,FALSE)</f>
        <v>#N/A</v>
      </c>
      <c r="M1028" t="e">
        <f>VLOOKUP(A1029,[1]timesData!$B:$P,12,FALSE)</f>
        <v>#N/A</v>
      </c>
      <c r="N1028" t="e">
        <f>VLOOKUP(A1029,[1]timesData!$B:$P,13,FALSE)</f>
        <v>#N/A</v>
      </c>
      <c r="O1028">
        <f>VLOOKUP(A1028,[2]cwurData!$B:$P,14,FALSE)</f>
        <v>685</v>
      </c>
      <c r="P1028">
        <f>VLOOKUP(A1028,[2]cwurData!$B:$N, 3, FALSE)</f>
        <v>33</v>
      </c>
      <c r="Q1028">
        <f>VLOOKUP(A1028,[2]cwurData!$B:$N, 4, FALSE)</f>
        <v>355</v>
      </c>
      <c r="R1028">
        <f>VLOOKUP(A1028,[2]cwurData!$B:$N, 5, FALSE)</f>
        <v>405</v>
      </c>
      <c r="S1028">
        <f>VLOOKUP(A1028,[2]cwurData!$B:$N, 6, FALSE)</f>
        <v>210</v>
      </c>
      <c r="T1028">
        <f>VLOOKUP(A1028,[2]cwurData!$B:$N, 7, FALSE)</f>
        <v>619</v>
      </c>
      <c r="U1028">
        <f>VLOOKUP(A1028,[2]cwurData!$B:$N, 8, FALSE)</f>
        <v>974</v>
      </c>
      <c r="V1028">
        <f>VLOOKUP(A1028,[2]cwurData!$B:$N, 9, FALSE)</f>
        <v>800</v>
      </c>
      <c r="W1028">
        <f>VLOOKUP(A1028,[2]cwurData!$B:$N, 10, FALSE)</f>
        <v>749</v>
      </c>
      <c r="X1028">
        <f>VLOOKUP(A1028,[2]cwurData!$B:$N, 11, FALSE)</f>
        <v>259</v>
      </c>
      <c r="Y1028">
        <f>VLOOKUP(A1028,[2]cwurData!$B:$N, 12, FALSE)</f>
        <v>44.67</v>
      </c>
      <c r="Z1028">
        <f>VLOOKUP(A1028,[2]cwurData!$B:$N, 13, FALSE)</f>
        <v>2014</v>
      </c>
    </row>
    <row r="1029" spans="1:26" x14ac:dyDescent="0.3">
      <c r="A1029" t="s">
        <v>1027</v>
      </c>
      <c r="B1029" t="str">
        <f>IFERROR(VLOOKUP(A1029,[1]timesData!$B:$P,2,FALSE),VLOOKUP(A1029,[2]cwurData!$B:$P,2,FALSE))</f>
        <v>USA</v>
      </c>
      <c r="C1029" t="e">
        <f>VLOOKUP(A1029,[1]timesData!$B:$P,3,FALSE)</f>
        <v>#N/A</v>
      </c>
      <c r="D1029" t="e">
        <f>VLOOKUP(A1030,[1]timesData!$B:$P,3,FALSE)</f>
        <v>#N/A</v>
      </c>
      <c r="E1029" t="e">
        <f>VLOOKUP(A1030,[1]timesData!$B:$P,4,FALSE)</f>
        <v>#N/A</v>
      </c>
      <c r="F1029" t="e">
        <f>VLOOKUP(A1030,[1]timesData!$B:$P,5,FALSE)</f>
        <v>#N/A</v>
      </c>
      <c r="G1029" t="e">
        <f>VLOOKUP(A1030,[1]timesData!$B:$P,6,FALSE)</f>
        <v>#N/A</v>
      </c>
      <c r="H1029" t="e">
        <f>VLOOKUP(A1030,[1]timesData!$B:$P,7,FALSE)</f>
        <v>#N/A</v>
      </c>
      <c r="I1029" t="e">
        <f>VLOOKUP(A1030,[1]timesData!$B:$P,8,FALSE)</f>
        <v>#N/A</v>
      </c>
      <c r="J1029" t="e">
        <f>VLOOKUP(A1030,[1]timesData!$B:$P,9,FALSE)</f>
        <v>#N/A</v>
      </c>
      <c r="K1029" t="e">
        <f>VLOOKUP(A1030,[1]timesData!$B:$P,10,FALSE)</f>
        <v>#N/A</v>
      </c>
      <c r="L1029" t="e">
        <f>VLOOKUP(A1030,[1]timesData!$B:$P,11,FALSE)</f>
        <v>#N/A</v>
      </c>
      <c r="M1029" t="e">
        <f>VLOOKUP(A1030,[1]timesData!$B:$P,12,FALSE)</f>
        <v>#N/A</v>
      </c>
      <c r="N1029" t="e">
        <f>VLOOKUP(A1030,[1]timesData!$B:$P,13,FALSE)</f>
        <v>#N/A</v>
      </c>
      <c r="O1029">
        <f>VLOOKUP(A1029,[2]cwurData!$B:$P,14,FALSE)</f>
        <v>686</v>
      </c>
      <c r="P1029">
        <f>VLOOKUP(A1029,[2]cwurData!$B:$N, 3, FALSE)</f>
        <v>197</v>
      </c>
      <c r="Q1029">
        <f>VLOOKUP(A1029,[2]cwurData!$B:$N, 4, FALSE)</f>
        <v>355</v>
      </c>
      <c r="R1029">
        <f>VLOOKUP(A1029,[2]cwurData!$B:$N, 5, FALSE)</f>
        <v>478</v>
      </c>
      <c r="S1029">
        <f>VLOOKUP(A1029,[2]cwurData!$B:$N, 6, FALSE)</f>
        <v>210</v>
      </c>
      <c r="T1029">
        <f>VLOOKUP(A1029,[2]cwurData!$B:$N, 7, FALSE)</f>
        <v>855</v>
      </c>
      <c r="U1029">
        <f>VLOOKUP(A1029,[2]cwurData!$B:$N, 8, FALSE)</f>
        <v>498</v>
      </c>
      <c r="V1029">
        <f>VLOOKUP(A1029,[2]cwurData!$B:$N, 9, FALSE)</f>
        <v>609</v>
      </c>
      <c r="W1029">
        <f>VLOOKUP(A1029,[2]cwurData!$B:$N, 10, FALSE)</f>
        <v>569</v>
      </c>
      <c r="X1029">
        <f>VLOOKUP(A1029,[2]cwurData!$B:$N, 11, FALSE)</f>
        <v>737</v>
      </c>
      <c r="Y1029">
        <f>VLOOKUP(A1029,[2]cwurData!$B:$N, 12, FALSE)</f>
        <v>44.66</v>
      </c>
      <c r="Z1029">
        <f>VLOOKUP(A1029,[2]cwurData!$B:$N, 13, FALSE)</f>
        <v>2014</v>
      </c>
    </row>
    <row r="1030" spans="1:26" x14ac:dyDescent="0.3">
      <c r="A1030" t="s">
        <v>1028</v>
      </c>
      <c r="B1030" t="str">
        <f>IFERROR(VLOOKUP(A1030,[1]timesData!$B:$P,2,FALSE),VLOOKUP(A1030,[2]cwurData!$B:$P,2,FALSE))</f>
        <v>France</v>
      </c>
      <c r="C1030" t="e">
        <f>VLOOKUP(A1030,[1]timesData!$B:$P,3,FALSE)</f>
        <v>#N/A</v>
      </c>
      <c r="D1030" t="e">
        <f>VLOOKUP(A1031,[1]timesData!$B:$P,3,FALSE)</f>
        <v>#N/A</v>
      </c>
      <c r="E1030" t="e">
        <f>VLOOKUP(A1031,[1]timesData!$B:$P,4,FALSE)</f>
        <v>#N/A</v>
      </c>
      <c r="F1030" t="e">
        <f>VLOOKUP(A1031,[1]timesData!$B:$P,5,FALSE)</f>
        <v>#N/A</v>
      </c>
      <c r="G1030" t="e">
        <f>VLOOKUP(A1031,[1]timesData!$B:$P,6,FALSE)</f>
        <v>#N/A</v>
      </c>
      <c r="H1030" t="e">
        <f>VLOOKUP(A1031,[1]timesData!$B:$P,7,FALSE)</f>
        <v>#N/A</v>
      </c>
      <c r="I1030" t="e">
        <f>VLOOKUP(A1031,[1]timesData!$B:$P,8,FALSE)</f>
        <v>#N/A</v>
      </c>
      <c r="J1030" t="e">
        <f>VLOOKUP(A1031,[1]timesData!$B:$P,9,FALSE)</f>
        <v>#N/A</v>
      </c>
      <c r="K1030" t="e">
        <f>VLOOKUP(A1031,[1]timesData!$B:$P,10,FALSE)</f>
        <v>#N/A</v>
      </c>
      <c r="L1030" t="e">
        <f>VLOOKUP(A1031,[1]timesData!$B:$P,11,FALSE)</f>
        <v>#N/A</v>
      </c>
      <c r="M1030" t="e">
        <f>VLOOKUP(A1031,[1]timesData!$B:$P,12,FALSE)</f>
        <v>#N/A</v>
      </c>
      <c r="N1030" t="e">
        <f>VLOOKUP(A1031,[1]timesData!$B:$P,13,FALSE)</f>
        <v>#N/A</v>
      </c>
      <c r="O1030">
        <f>VLOOKUP(A1030,[2]cwurData!$B:$P,14,FALSE)</f>
        <v>689</v>
      </c>
      <c r="P1030">
        <f>VLOOKUP(A1030,[2]cwurData!$B:$N, 3, FALSE)</f>
        <v>33</v>
      </c>
      <c r="Q1030">
        <f>VLOOKUP(A1030,[2]cwurData!$B:$N, 4, FALSE)</f>
        <v>355</v>
      </c>
      <c r="R1030">
        <f>VLOOKUP(A1030,[2]cwurData!$B:$N, 5, FALSE)</f>
        <v>478</v>
      </c>
      <c r="S1030">
        <f>VLOOKUP(A1030,[2]cwurData!$B:$N, 6, FALSE)</f>
        <v>210</v>
      </c>
      <c r="T1030">
        <f>VLOOKUP(A1030,[2]cwurData!$B:$N, 7, FALSE)</f>
        <v>672</v>
      </c>
      <c r="U1030">
        <f>VLOOKUP(A1030,[2]cwurData!$B:$N, 8, FALSE)</f>
        <v>783</v>
      </c>
      <c r="V1030">
        <f>VLOOKUP(A1030,[2]cwurData!$B:$N, 9, FALSE)</f>
        <v>609</v>
      </c>
      <c r="W1030">
        <f>VLOOKUP(A1030,[2]cwurData!$B:$N, 10, FALSE)</f>
        <v>585</v>
      </c>
      <c r="X1030">
        <f>VLOOKUP(A1030,[2]cwurData!$B:$N, 11, FALSE)</f>
        <v>737</v>
      </c>
      <c r="Y1030">
        <f>VLOOKUP(A1030,[2]cwurData!$B:$N, 12, FALSE)</f>
        <v>44.66</v>
      </c>
      <c r="Z1030">
        <f>VLOOKUP(A1030,[2]cwurData!$B:$N, 13, FALSE)</f>
        <v>2014</v>
      </c>
    </row>
    <row r="1031" spans="1:26" x14ac:dyDescent="0.3">
      <c r="A1031" t="s">
        <v>1029</v>
      </c>
      <c r="B1031" t="str">
        <f>IFERROR(VLOOKUP(A1031,[1]timesData!$B:$P,2,FALSE),VLOOKUP(A1031,[2]cwurData!$B:$P,2,FALSE))</f>
        <v>Japan</v>
      </c>
      <c r="C1031" t="e">
        <f>VLOOKUP(A1031,[1]timesData!$B:$P,3,FALSE)</f>
        <v>#N/A</v>
      </c>
      <c r="D1031" t="e">
        <f>VLOOKUP(A1032,[1]timesData!$B:$P,3,FALSE)</f>
        <v>#N/A</v>
      </c>
      <c r="E1031" t="e">
        <f>VLOOKUP(A1032,[1]timesData!$B:$P,4,FALSE)</f>
        <v>#N/A</v>
      </c>
      <c r="F1031" t="e">
        <f>VLOOKUP(A1032,[1]timesData!$B:$P,5,FALSE)</f>
        <v>#N/A</v>
      </c>
      <c r="G1031" t="e">
        <f>VLOOKUP(A1032,[1]timesData!$B:$P,6,FALSE)</f>
        <v>#N/A</v>
      </c>
      <c r="H1031" t="e">
        <f>VLOOKUP(A1032,[1]timesData!$B:$P,7,FALSE)</f>
        <v>#N/A</v>
      </c>
      <c r="I1031" t="e">
        <f>VLOOKUP(A1032,[1]timesData!$B:$P,8,FALSE)</f>
        <v>#N/A</v>
      </c>
      <c r="J1031" t="e">
        <f>VLOOKUP(A1032,[1]timesData!$B:$P,9,FALSE)</f>
        <v>#N/A</v>
      </c>
      <c r="K1031" t="e">
        <f>VLOOKUP(A1032,[1]timesData!$B:$P,10,FALSE)</f>
        <v>#N/A</v>
      </c>
      <c r="L1031" t="e">
        <f>VLOOKUP(A1032,[1]timesData!$B:$P,11,FALSE)</f>
        <v>#N/A</v>
      </c>
      <c r="M1031" t="e">
        <f>VLOOKUP(A1032,[1]timesData!$B:$P,12,FALSE)</f>
        <v>#N/A</v>
      </c>
      <c r="N1031" t="e">
        <f>VLOOKUP(A1032,[1]timesData!$B:$P,13,FALSE)</f>
        <v>#N/A</v>
      </c>
      <c r="O1031">
        <f>VLOOKUP(A1031,[2]cwurData!$B:$P,14,FALSE)</f>
        <v>690</v>
      </c>
      <c r="P1031">
        <f>VLOOKUP(A1031,[2]cwurData!$B:$N, 3, FALSE)</f>
        <v>46</v>
      </c>
      <c r="Q1031">
        <f>VLOOKUP(A1031,[2]cwurData!$B:$N, 4, FALSE)</f>
        <v>355</v>
      </c>
      <c r="R1031">
        <f>VLOOKUP(A1031,[2]cwurData!$B:$N, 5, FALSE)</f>
        <v>323</v>
      </c>
      <c r="S1031">
        <f>VLOOKUP(A1031,[2]cwurData!$B:$N, 6, FALSE)</f>
        <v>210</v>
      </c>
      <c r="T1031">
        <f>VLOOKUP(A1031,[2]cwurData!$B:$N, 7, FALSE)</f>
        <v>659</v>
      </c>
      <c r="U1031">
        <f>VLOOKUP(A1031,[2]cwurData!$B:$N, 8, FALSE)</f>
        <v>736</v>
      </c>
      <c r="V1031">
        <f>VLOOKUP(A1031,[2]cwurData!$B:$N, 9, FALSE)</f>
        <v>609</v>
      </c>
      <c r="W1031">
        <f>VLOOKUP(A1031,[2]cwurData!$B:$N, 10, FALSE)</f>
        <v>675</v>
      </c>
      <c r="X1031">
        <f>VLOOKUP(A1031,[2]cwurData!$B:$N, 11, FALSE)</f>
        <v>737</v>
      </c>
      <c r="Y1031">
        <f>VLOOKUP(A1031,[2]cwurData!$B:$N, 12, FALSE)</f>
        <v>44.66</v>
      </c>
      <c r="Z1031">
        <f>VLOOKUP(A1031,[2]cwurData!$B:$N, 13, FALSE)</f>
        <v>2014</v>
      </c>
    </row>
    <row r="1032" spans="1:26" x14ac:dyDescent="0.3">
      <c r="A1032" t="s">
        <v>1030</v>
      </c>
      <c r="B1032" t="str">
        <f>IFERROR(VLOOKUP(A1032,[1]timesData!$B:$P,2,FALSE),VLOOKUP(A1032,[2]cwurData!$B:$P,2,FALSE))</f>
        <v>Japan</v>
      </c>
      <c r="C1032" t="e">
        <f>VLOOKUP(A1032,[1]timesData!$B:$P,3,FALSE)</f>
        <v>#N/A</v>
      </c>
      <c r="D1032" t="e">
        <f>VLOOKUP(A1033,[1]timesData!$B:$P,3,FALSE)</f>
        <v>#N/A</v>
      </c>
      <c r="E1032" t="e">
        <f>VLOOKUP(A1033,[1]timesData!$B:$P,4,FALSE)</f>
        <v>#N/A</v>
      </c>
      <c r="F1032" t="e">
        <f>VLOOKUP(A1033,[1]timesData!$B:$P,5,FALSE)</f>
        <v>#N/A</v>
      </c>
      <c r="G1032" t="e">
        <f>VLOOKUP(A1033,[1]timesData!$B:$P,6,FALSE)</f>
        <v>#N/A</v>
      </c>
      <c r="H1032" t="e">
        <f>VLOOKUP(A1033,[1]timesData!$B:$P,7,FALSE)</f>
        <v>#N/A</v>
      </c>
      <c r="I1032" t="e">
        <f>VLOOKUP(A1033,[1]timesData!$B:$P,8,FALSE)</f>
        <v>#N/A</v>
      </c>
      <c r="J1032" t="e">
        <f>VLOOKUP(A1033,[1]timesData!$B:$P,9,FALSE)</f>
        <v>#N/A</v>
      </c>
      <c r="K1032" t="e">
        <f>VLOOKUP(A1033,[1]timesData!$B:$P,10,FALSE)</f>
        <v>#N/A</v>
      </c>
      <c r="L1032" t="e">
        <f>VLOOKUP(A1033,[1]timesData!$B:$P,11,FALSE)</f>
        <v>#N/A</v>
      </c>
      <c r="M1032" t="e">
        <f>VLOOKUP(A1033,[1]timesData!$B:$P,12,FALSE)</f>
        <v>#N/A</v>
      </c>
      <c r="N1032" t="e">
        <f>VLOOKUP(A1033,[1]timesData!$B:$P,13,FALSE)</f>
        <v>#N/A</v>
      </c>
      <c r="O1032">
        <f>VLOOKUP(A1032,[2]cwurData!$B:$P,14,FALSE)</f>
        <v>694</v>
      </c>
      <c r="P1032">
        <f>VLOOKUP(A1032,[2]cwurData!$B:$N, 3, FALSE)</f>
        <v>47</v>
      </c>
      <c r="Q1032">
        <f>VLOOKUP(A1032,[2]cwurData!$B:$N, 4, FALSE)</f>
        <v>355</v>
      </c>
      <c r="R1032">
        <f>VLOOKUP(A1032,[2]cwurData!$B:$N, 5, FALSE)</f>
        <v>478</v>
      </c>
      <c r="S1032">
        <f>VLOOKUP(A1032,[2]cwurData!$B:$N, 6, FALSE)</f>
        <v>210</v>
      </c>
      <c r="T1032">
        <f>VLOOKUP(A1032,[2]cwurData!$B:$N, 7, FALSE)</f>
        <v>894</v>
      </c>
      <c r="U1032">
        <f>VLOOKUP(A1032,[2]cwurData!$B:$N, 8, FALSE)</f>
        <v>621</v>
      </c>
      <c r="V1032">
        <f>VLOOKUP(A1032,[2]cwurData!$B:$N, 9, FALSE)</f>
        <v>609</v>
      </c>
      <c r="W1032">
        <f>VLOOKUP(A1032,[2]cwurData!$B:$N, 10, FALSE)</f>
        <v>585</v>
      </c>
      <c r="X1032">
        <f>VLOOKUP(A1032,[2]cwurData!$B:$N, 11, FALSE)</f>
        <v>552</v>
      </c>
      <c r="Y1032">
        <f>VLOOKUP(A1032,[2]cwurData!$B:$N, 12, FALSE)</f>
        <v>44.65</v>
      </c>
      <c r="Z1032">
        <f>VLOOKUP(A1032,[2]cwurData!$B:$N, 13, FALSE)</f>
        <v>2014</v>
      </c>
    </row>
    <row r="1033" spans="1:26" x14ac:dyDescent="0.3">
      <c r="A1033" t="s">
        <v>1031</v>
      </c>
      <c r="B1033" t="str">
        <f>IFERROR(VLOOKUP(A1033,[1]timesData!$B:$P,2,FALSE),VLOOKUP(A1033,[2]cwurData!$B:$P,2,FALSE))</f>
        <v>Italy</v>
      </c>
      <c r="C1033" t="e">
        <f>VLOOKUP(A1033,[1]timesData!$B:$P,3,FALSE)</f>
        <v>#N/A</v>
      </c>
      <c r="D1033" t="e">
        <f>VLOOKUP(A1034,[1]timesData!$B:$P,3,FALSE)</f>
        <v>#N/A</v>
      </c>
      <c r="E1033" t="e">
        <f>VLOOKUP(A1034,[1]timesData!$B:$P,4,FALSE)</f>
        <v>#N/A</v>
      </c>
      <c r="F1033" t="e">
        <f>VLOOKUP(A1034,[1]timesData!$B:$P,5,FALSE)</f>
        <v>#N/A</v>
      </c>
      <c r="G1033" t="e">
        <f>VLOOKUP(A1034,[1]timesData!$B:$P,6,FALSE)</f>
        <v>#N/A</v>
      </c>
      <c r="H1033" t="e">
        <f>VLOOKUP(A1034,[1]timesData!$B:$P,7,FALSE)</f>
        <v>#N/A</v>
      </c>
      <c r="I1033" t="e">
        <f>VLOOKUP(A1034,[1]timesData!$B:$P,8,FALSE)</f>
        <v>#N/A</v>
      </c>
      <c r="J1033" t="e">
        <f>VLOOKUP(A1034,[1]timesData!$B:$P,9,FALSE)</f>
        <v>#N/A</v>
      </c>
      <c r="K1033" t="e">
        <f>VLOOKUP(A1034,[1]timesData!$B:$P,10,FALSE)</f>
        <v>#N/A</v>
      </c>
      <c r="L1033" t="e">
        <f>VLOOKUP(A1034,[1]timesData!$B:$P,11,FALSE)</f>
        <v>#N/A</v>
      </c>
      <c r="M1033" t="e">
        <f>VLOOKUP(A1034,[1]timesData!$B:$P,12,FALSE)</f>
        <v>#N/A</v>
      </c>
      <c r="N1033" t="e">
        <f>VLOOKUP(A1034,[1]timesData!$B:$P,13,FALSE)</f>
        <v>#N/A</v>
      </c>
      <c r="O1033">
        <f>VLOOKUP(A1033,[2]cwurData!$B:$P,14,FALSE)</f>
        <v>695</v>
      </c>
      <c r="P1033">
        <f>VLOOKUP(A1033,[2]cwurData!$B:$N, 3, FALSE)</f>
        <v>37</v>
      </c>
      <c r="Q1033">
        <f>VLOOKUP(A1033,[2]cwurData!$B:$N, 4, FALSE)</f>
        <v>355</v>
      </c>
      <c r="R1033">
        <f>VLOOKUP(A1033,[2]cwurData!$B:$N, 5, FALSE)</f>
        <v>478</v>
      </c>
      <c r="S1033">
        <f>VLOOKUP(A1033,[2]cwurData!$B:$N, 6, FALSE)</f>
        <v>210</v>
      </c>
      <c r="T1033">
        <f>VLOOKUP(A1033,[2]cwurData!$B:$N, 7, FALSE)</f>
        <v>632</v>
      </c>
      <c r="U1033">
        <f>VLOOKUP(A1033,[2]cwurData!$B:$N, 8, FALSE)</f>
        <v>607</v>
      </c>
      <c r="V1033">
        <f>VLOOKUP(A1033,[2]cwurData!$B:$N, 9, FALSE)</f>
        <v>406</v>
      </c>
      <c r="W1033">
        <f>VLOOKUP(A1033,[2]cwurData!$B:$N, 10, FALSE)</f>
        <v>605</v>
      </c>
      <c r="X1033">
        <f>VLOOKUP(A1033,[2]cwurData!$B:$N, 11, FALSE)</f>
        <v>637</v>
      </c>
      <c r="Y1033">
        <f>VLOOKUP(A1033,[2]cwurData!$B:$N, 12, FALSE)</f>
        <v>44.65</v>
      </c>
      <c r="Z1033">
        <f>VLOOKUP(A1033,[2]cwurData!$B:$N, 13, FALSE)</f>
        <v>2014</v>
      </c>
    </row>
    <row r="1034" spans="1:26" x14ac:dyDescent="0.3">
      <c r="A1034" t="s">
        <v>1032</v>
      </c>
      <c r="B1034" t="str">
        <f>IFERROR(VLOOKUP(A1034,[1]timesData!$B:$P,2,FALSE),VLOOKUP(A1034,[2]cwurData!$B:$P,2,FALSE))</f>
        <v>Finland</v>
      </c>
      <c r="C1034" t="e">
        <f>VLOOKUP(A1034,[1]timesData!$B:$P,3,FALSE)</f>
        <v>#N/A</v>
      </c>
      <c r="D1034" t="e">
        <f>VLOOKUP(A1035,[1]timesData!$B:$P,3,FALSE)</f>
        <v>#N/A</v>
      </c>
      <c r="E1034" t="e">
        <f>VLOOKUP(A1035,[1]timesData!$B:$P,4,FALSE)</f>
        <v>#N/A</v>
      </c>
      <c r="F1034" t="e">
        <f>VLOOKUP(A1035,[1]timesData!$B:$P,5,FALSE)</f>
        <v>#N/A</v>
      </c>
      <c r="G1034" t="e">
        <f>VLOOKUP(A1035,[1]timesData!$B:$P,6,FALSE)</f>
        <v>#N/A</v>
      </c>
      <c r="H1034" t="e">
        <f>VLOOKUP(A1035,[1]timesData!$B:$P,7,FALSE)</f>
        <v>#N/A</v>
      </c>
      <c r="I1034" t="e">
        <f>VLOOKUP(A1035,[1]timesData!$B:$P,8,FALSE)</f>
        <v>#N/A</v>
      </c>
      <c r="J1034" t="e">
        <f>VLOOKUP(A1035,[1]timesData!$B:$P,9,FALSE)</f>
        <v>#N/A</v>
      </c>
      <c r="K1034" t="e">
        <f>VLOOKUP(A1035,[1]timesData!$B:$P,10,FALSE)</f>
        <v>#N/A</v>
      </c>
      <c r="L1034" t="e">
        <f>VLOOKUP(A1035,[1]timesData!$B:$P,11,FALSE)</f>
        <v>#N/A</v>
      </c>
      <c r="M1034" t="e">
        <f>VLOOKUP(A1035,[1]timesData!$B:$P,12,FALSE)</f>
        <v>#N/A</v>
      </c>
      <c r="N1034" t="e">
        <f>VLOOKUP(A1035,[1]timesData!$B:$P,13,FALSE)</f>
        <v>#N/A</v>
      </c>
      <c r="O1034">
        <f>VLOOKUP(A1034,[2]cwurData!$B:$P,14,FALSE)</f>
        <v>698</v>
      </c>
      <c r="P1034">
        <f>VLOOKUP(A1034,[2]cwurData!$B:$N, 3, FALSE)</f>
        <v>9</v>
      </c>
      <c r="Q1034">
        <f>VLOOKUP(A1034,[2]cwurData!$B:$N, 4, FALSE)</f>
        <v>355</v>
      </c>
      <c r="R1034">
        <f>VLOOKUP(A1034,[2]cwurData!$B:$N, 5, FALSE)</f>
        <v>478</v>
      </c>
      <c r="S1034">
        <f>VLOOKUP(A1034,[2]cwurData!$B:$N, 6, FALSE)</f>
        <v>210</v>
      </c>
      <c r="T1034">
        <f>VLOOKUP(A1034,[2]cwurData!$B:$N, 7, FALSE)</f>
        <v>724</v>
      </c>
      <c r="U1034">
        <f>VLOOKUP(A1034,[2]cwurData!$B:$N, 8, FALSE)</f>
        <v>686</v>
      </c>
      <c r="V1034">
        <f>VLOOKUP(A1034,[2]cwurData!$B:$N, 9, FALSE)</f>
        <v>609</v>
      </c>
      <c r="W1034">
        <f>VLOOKUP(A1034,[2]cwurData!$B:$N, 10, FALSE)</f>
        <v>596</v>
      </c>
      <c r="X1034">
        <f>VLOOKUP(A1034,[2]cwurData!$B:$N, 11, FALSE)</f>
        <v>552</v>
      </c>
      <c r="Y1034">
        <f>VLOOKUP(A1034,[2]cwurData!$B:$N, 12, FALSE)</f>
        <v>44.65</v>
      </c>
      <c r="Z1034">
        <f>VLOOKUP(A1034,[2]cwurData!$B:$N, 13, FALSE)</f>
        <v>2014</v>
      </c>
    </row>
    <row r="1035" spans="1:26" x14ac:dyDescent="0.3">
      <c r="A1035" t="s">
        <v>1033</v>
      </c>
      <c r="B1035" t="str">
        <f>IFERROR(VLOOKUP(A1035,[1]timesData!$B:$P,2,FALSE),VLOOKUP(A1035,[2]cwurData!$B:$P,2,FALSE))</f>
        <v>USA</v>
      </c>
      <c r="C1035" t="e">
        <f>VLOOKUP(A1035,[1]timesData!$B:$P,3,FALSE)</f>
        <v>#N/A</v>
      </c>
      <c r="D1035" t="e">
        <f>VLOOKUP(A1036,[1]timesData!$B:$P,3,FALSE)</f>
        <v>#N/A</v>
      </c>
      <c r="E1035" t="e">
        <f>VLOOKUP(A1036,[1]timesData!$B:$P,4,FALSE)</f>
        <v>#N/A</v>
      </c>
      <c r="F1035" t="e">
        <f>VLOOKUP(A1036,[1]timesData!$B:$P,5,FALSE)</f>
        <v>#N/A</v>
      </c>
      <c r="G1035" t="e">
        <f>VLOOKUP(A1036,[1]timesData!$B:$P,6,FALSE)</f>
        <v>#N/A</v>
      </c>
      <c r="H1035" t="e">
        <f>VLOOKUP(A1036,[1]timesData!$B:$P,7,FALSE)</f>
        <v>#N/A</v>
      </c>
      <c r="I1035" t="e">
        <f>VLOOKUP(A1036,[1]timesData!$B:$P,8,FALSE)</f>
        <v>#N/A</v>
      </c>
      <c r="J1035" t="e">
        <f>VLOOKUP(A1036,[1]timesData!$B:$P,9,FALSE)</f>
        <v>#N/A</v>
      </c>
      <c r="K1035" t="e">
        <f>VLOOKUP(A1036,[1]timesData!$B:$P,10,FALSE)</f>
        <v>#N/A</v>
      </c>
      <c r="L1035" t="e">
        <f>VLOOKUP(A1036,[1]timesData!$B:$P,11,FALSE)</f>
        <v>#N/A</v>
      </c>
      <c r="M1035" t="e">
        <f>VLOOKUP(A1036,[1]timesData!$B:$P,12,FALSE)</f>
        <v>#N/A</v>
      </c>
      <c r="N1035" t="e">
        <f>VLOOKUP(A1036,[1]timesData!$B:$P,13,FALSE)</f>
        <v>#N/A</v>
      </c>
      <c r="O1035">
        <f>VLOOKUP(A1035,[2]cwurData!$B:$P,14,FALSE)</f>
        <v>702</v>
      </c>
      <c r="P1035">
        <f>VLOOKUP(A1035,[2]cwurData!$B:$N, 3, FALSE)</f>
        <v>199</v>
      </c>
      <c r="Q1035">
        <f>VLOOKUP(A1035,[2]cwurData!$B:$N, 4, FALSE)</f>
        <v>329</v>
      </c>
      <c r="R1035">
        <f>VLOOKUP(A1035,[2]cwurData!$B:$N, 5, FALSE)</f>
        <v>478</v>
      </c>
      <c r="S1035">
        <f>VLOOKUP(A1035,[2]cwurData!$B:$N, 6, FALSE)</f>
        <v>210</v>
      </c>
      <c r="T1035">
        <f>VLOOKUP(A1035,[2]cwurData!$B:$N, 7, FALSE)</f>
        <v>756</v>
      </c>
      <c r="U1035">
        <f>VLOOKUP(A1035,[2]cwurData!$B:$N, 8, FALSE)</f>
        <v>422</v>
      </c>
      <c r="V1035">
        <f>VLOOKUP(A1035,[2]cwurData!$B:$N, 9, FALSE)</f>
        <v>406</v>
      </c>
      <c r="W1035">
        <f>VLOOKUP(A1035,[2]cwurData!$B:$N, 10, FALSE)</f>
        <v>642</v>
      </c>
      <c r="X1035">
        <f>VLOOKUP(A1035,[2]cwurData!$B:$N, 11, FALSE)</f>
        <v>373</v>
      </c>
      <c r="Y1035">
        <f>VLOOKUP(A1035,[2]cwurData!$B:$N, 12, FALSE)</f>
        <v>44.64</v>
      </c>
      <c r="Z1035">
        <f>VLOOKUP(A1035,[2]cwurData!$B:$N, 13, FALSE)</f>
        <v>2014</v>
      </c>
    </row>
    <row r="1036" spans="1:26" x14ac:dyDescent="0.3">
      <c r="A1036" t="s">
        <v>1034</v>
      </c>
      <c r="B1036" t="str">
        <f>IFERROR(VLOOKUP(A1036,[1]timesData!$B:$P,2,FALSE),VLOOKUP(A1036,[2]cwurData!$B:$P,2,FALSE))</f>
        <v>USA</v>
      </c>
      <c r="C1036" t="e">
        <f>VLOOKUP(A1036,[1]timesData!$B:$P,3,FALSE)</f>
        <v>#N/A</v>
      </c>
      <c r="D1036" t="e">
        <f>VLOOKUP(A1037,[1]timesData!$B:$P,3,FALSE)</f>
        <v>#N/A</v>
      </c>
      <c r="E1036" t="e">
        <f>VLOOKUP(A1037,[1]timesData!$B:$P,4,FALSE)</f>
        <v>#N/A</v>
      </c>
      <c r="F1036" t="e">
        <f>VLOOKUP(A1037,[1]timesData!$B:$P,5,FALSE)</f>
        <v>#N/A</v>
      </c>
      <c r="G1036" t="e">
        <f>VLOOKUP(A1037,[1]timesData!$B:$P,6,FALSE)</f>
        <v>#N/A</v>
      </c>
      <c r="H1036" t="e">
        <f>VLOOKUP(A1037,[1]timesData!$B:$P,7,FALSE)</f>
        <v>#N/A</v>
      </c>
      <c r="I1036" t="e">
        <f>VLOOKUP(A1037,[1]timesData!$B:$P,8,FALSE)</f>
        <v>#N/A</v>
      </c>
      <c r="J1036" t="e">
        <f>VLOOKUP(A1037,[1]timesData!$B:$P,9,FALSE)</f>
        <v>#N/A</v>
      </c>
      <c r="K1036" t="e">
        <f>VLOOKUP(A1037,[1]timesData!$B:$P,10,FALSE)</f>
        <v>#N/A</v>
      </c>
      <c r="L1036" t="e">
        <f>VLOOKUP(A1037,[1]timesData!$B:$P,11,FALSE)</f>
        <v>#N/A</v>
      </c>
      <c r="M1036" t="e">
        <f>VLOOKUP(A1037,[1]timesData!$B:$P,12,FALSE)</f>
        <v>#N/A</v>
      </c>
      <c r="N1036" t="e">
        <f>VLOOKUP(A1037,[1]timesData!$B:$P,13,FALSE)</f>
        <v>#N/A</v>
      </c>
      <c r="O1036">
        <f>VLOOKUP(A1036,[2]cwurData!$B:$P,14,FALSE)</f>
        <v>704</v>
      </c>
      <c r="P1036">
        <f>VLOOKUP(A1036,[2]cwurData!$B:$N, 3, FALSE)</f>
        <v>200</v>
      </c>
      <c r="Q1036">
        <f>VLOOKUP(A1036,[2]cwurData!$B:$N, 4, FALSE)</f>
        <v>355</v>
      </c>
      <c r="R1036">
        <f>VLOOKUP(A1036,[2]cwurData!$B:$N, 5, FALSE)</f>
        <v>216</v>
      </c>
      <c r="S1036">
        <f>VLOOKUP(A1036,[2]cwurData!$B:$N, 6, FALSE)</f>
        <v>210</v>
      </c>
      <c r="T1036">
        <f>VLOOKUP(A1036,[2]cwurData!$B:$N, 7, FALSE)</f>
        <v>909</v>
      </c>
      <c r="U1036">
        <f>VLOOKUP(A1036,[2]cwurData!$B:$N, 8, FALSE)</f>
        <v>791</v>
      </c>
      <c r="V1036">
        <f>VLOOKUP(A1036,[2]cwurData!$B:$N, 9, FALSE)</f>
        <v>800</v>
      </c>
      <c r="W1036">
        <f>VLOOKUP(A1036,[2]cwurData!$B:$N, 10, FALSE)</f>
        <v>869</v>
      </c>
      <c r="X1036">
        <f>VLOOKUP(A1036,[2]cwurData!$B:$N, 11, FALSE)</f>
        <v>737</v>
      </c>
      <c r="Y1036">
        <f>VLOOKUP(A1036,[2]cwurData!$B:$N, 12, FALSE)</f>
        <v>44.64</v>
      </c>
      <c r="Z1036">
        <f>VLOOKUP(A1036,[2]cwurData!$B:$N, 13, FALSE)</f>
        <v>2014</v>
      </c>
    </row>
    <row r="1037" spans="1:26" x14ac:dyDescent="0.3">
      <c r="A1037" t="s">
        <v>1035</v>
      </c>
      <c r="B1037" t="str">
        <f>IFERROR(VLOOKUP(A1037,[1]timesData!$B:$P,2,FALSE),VLOOKUP(A1037,[2]cwurData!$B:$P,2,FALSE))</f>
        <v>Germany</v>
      </c>
      <c r="C1037" t="e">
        <f>VLOOKUP(A1037,[1]timesData!$B:$P,3,FALSE)</f>
        <v>#N/A</v>
      </c>
      <c r="D1037" t="e">
        <f>VLOOKUP(A1038,[1]timesData!$B:$P,3,FALSE)</f>
        <v>#N/A</v>
      </c>
      <c r="E1037" t="e">
        <f>VLOOKUP(A1038,[1]timesData!$B:$P,4,FALSE)</f>
        <v>#N/A</v>
      </c>
      <c r="F1037" t="e">
        <f>VLOOKUP(A1038,[1]timesData!$B:$P,5,FALSE)</f>
        <v>#N/A</v>
      </c>
      <c r="G1037" t="e">
        <f>VLOOKUP(A1038,[1]timesData!$B:$P,6,FALSE)</f>
        <v>#N/A</v>
      </c>
      <c r="H1037" t="e">
        <f>VLOOKUP(A1038,[1]timesData!$B:$P,7,FALSE)</f>
        <v>#N/A</v>
      </c>
      <c r="I1037" t="e">
        <f>VLOOKUP(A1038,[1]timesData!$B:$P,8,FALSE)</f>
        <v>#N/A</v>
      </c>
      <c r="J1037" t="e">
        <f>VLOOKUP(A1038,[1]timesData!$B:$P,9,FALSE)</f>
        <v>#N/A</v>
      </c>
      <c r="K1037" t="e">
        <f>VLOOKUP(A1038,[1]timesData!$B:$P,10,FALSE)</f>
        <v>#N/A</v>
      </c>
      <c r="L1037" t="e">
        <f>VLOOKUP(A1038,[1]timesData!$B:$P,11,FALSE)</f>
        <v>#N/A</v>
      </c>
      <c r="M1037" t="e">
        <f>VLOOKUP(A1038,[1]timesData!$B:$P,12,FALSE)</f>
        <v>#N/A</v>
      </c>
      <c r="N1037" t="e">
        <f>VLOOKUP(A1038,[1]timesData!$B:$P,13,FALSE)</f>
        <v>#N/A</v>
      </c>
      <c r="O1037">
        <f>VLOOKUP(A1037,[2]cwurData!$B:$P,14,FALSE)</f>
        <v>706</v>
      </c>
      <c r="P1037">
        <f>VLOOKUP(A1037,[2]cwurData!$B:$N, 3, FALSE)</f>
        <v>46</v>
      </c>
      <c r="Q1037">
        <f>VLOOKUP(A1037,[2]cwurData!$B:$N, 4, FALSE)</f>
        <v>355</v>
      </c>
      <c r="R1037">
        <f>VLOOKUP(A1037,[2]cwurData!$B:$N, 5, FALSE)</f>
        <v>478</v>
      </c>
      <c r="S1037">
        <f>VLOOKUP(A1037,[2]cwurData!$B:$N, 6, FALSE)</f>
        <v>210</v>
      </c>
      <c r="T1037">
        <f>VLOOKUP(A1037,[2]cwurData!$B:$N, 7, FALSE)</f>
        <v>652</v>
      </c>
      <c r="U1037">
        <f>VLOOKUP(A1037,[2]cwurData!$B:$N, 8, FALSE)</f>
        <v>483</v>
      </c>
      <c r="V1037">
        <f>VLOOKUP(A1037,[2]cwurData!$B:$N, 9, FALSE)</f>
        <v>800</v>
      </c>
      <c r="W1037">
        <f>VLOOKUP(A1037,[2]cwurData!$B:$N, 10, FALSE)</f>
        <v>605</v>
      </c>
      <c r="X1037">
        <f>VLOOKUP(A1037,[2]cwurData!$B:$N, 11, FALSE)</f>
        <v>737</v>
      </c>
      <c r="Y1037">
        <f>VLOOKUP(A1037,[2]cwurData!$B:$N, 12, FALSE)</f>
        <v>44.63</v>
      </c>
      <c r="Z1037">
        <f>VLOOKUP(A1037,[2]cwurData!$B:$N, 13, FALSE)</f>
        <v>2014</v>
      </c>
    </row>
    <row r="1038" spans="1:26" x14ac:dyDescent="0.3">
      <c r="A1038" t="s">
        <v>1036</v>
      </c>
      <c r="B1038" t="str">
        <f>IFERROR(VLOOKUP(A1038,[1]timesData!$B:$P,2,FALSE),VLOOKUP(A1038,[2]cwurData!$B:$P,2,FALSE))</f>
        <v>Spain</v>
      </c>
      <c r="C1038" t="e">
        <f>VLOOKUP(A1038,[1]timesData!$B:$P,3,FALSE)</f>
        <v>#N/A</v>
      </c>
      <c r="D1038" t="e">
        <f>VLOOKUP(A1039,[1]timesData!$B:$P,3,FALSE)</f>
        <v>#N/A</v>
      </c>
      <c r="E1038" t="e">
        <f>VLOOKUP(A1039,[1]timesData!$B:$P,4,FALSE)</f>
        <v>#N/A</v>
      </c>
      <c r="F1038" t="e">
        <f>VLOOKUP(A1039,[1]timesData!$B:$P,5,FALSE)</f>
        <v>#N/A</v>
      </c>
      <c r="G1038" t="e">
        <f>VLOOKUP(A1039,[1]timesData!$B:$P,6,FALSE)</f>
        <v>#N/A</v>
      </c>
      <c r="H1038" t="e">
        <f>VLOOKUP(A1039,[1]timesData!$B:$P,7,FALSE)</f>
        <v>#N/A</v>
      </c>
      <c r="I1038" t="e">
        <f>VLOOKUP(A1039,[1]timesData!$B:$P,8,FALSE)</f>
        <v>#N/A</v>
      </c>
      <c r="J1038" t="e">
        <f>VLOOKUP(A1039,[1]timesData!$B:$P,9,FALSE)</f>
        <v>#N/A</v>
      </c>
      <c r="K1038" t="e">
        <f>VLOOKUP(A1039,[1]timesData!$B:$P,10,FALSE)</f>
        <v>#N/A</v>
      </c>
      <c r="L1038" t="e">
        <f>VLOOKUP(A1039,[1]timesData!$B:$P,11,FALSE)</f>
        <v>#N/A</v>
      </c>
      <c r="M1038" t="e">
        <f>VLOOKUP(A1039,[1]timesData!$B:$P,12,FALSE)</f>
        <v>#N/A</v>
      </c>
      <c r="N1038" t="e">
        <f>VLOOKUP(A1039,[1]timesData!$B:$P,13,FALSE)</f>
        <v>#N/A</v>
      </c>
      <c r="O1038">
        <f>VLOOKUP(A1038,[2]cwurData!$B:$P,14,FALSE)</f>
        <v>708</v>
      </c>
      <c r="P1038">
        <f>VLOOKUP(A1038,[2]cwurData!$B:$N, 3, FALSE)</f>
        <v>23</v>
      </c>
      <c r="Q1038">
        <f>VLOOKUP(A1038,[2]cwurData!$B:$N, 4, FALSE)</f>
        <v>355</v>
      </c>
      <c r="R1038">
        <f>VLOOKUP(A1038,[2]cwurData!$B:$N, 5, FALSE)</f>
        <v>478</v>
      </c>
      <c r="S1038">
        <f>VLOOKUP(A1038,[2]cwurData!$B:$N, 6, FALSE)</f>
        <v>210</v>
      </c>
      <c r="T1038">
        <f>VLOOKUP(A1038,[2]cwurData!$B:$N, 7, FALSE)</f>
        <v>682</v>
      </c>
      <c r="U1038">
        <f>VLOOKUP(A1038,[2]cwurData!$B:$N, 8, FALSE)</f>
        <v>878</v>
      </c>
      <c r="V1038">
        <f>VLOOKUP(A1038,[2]cwurData!$B:$N, 9, FALSE)</f>
        <v>609</v>
      </c>
      <c r="W1038">
        <f>VLOOKUP(A1038,[2]cwurData!$B:$N, 10, FALSE)</f>
        <v>605</v>
      </c>
      <c r="X1038">
        <f>VLOOKUP(A1038,[2]cwurData!$B:$N, 11, FALSE)</f>
        <v>637</v>
      </c>
      <c r="Y1038">
        <f>VLOOKUP(A1038,[2]cwurData!$B:$N, 12, FALSE)</f>
        <v>44.63</v>
      </c>
      <c r="Z1038">
        <f>VLOOKUP(A1038,[2]cwurData!$B:$N, 13, FALSE)</f>
        <v>2014</v>
      </c>
    </row>
    <row r="1039" spans="1:26" x14ac:dyDescent="0.3">
      <c r="A1039" t="s">
        <v>1037</v>
      </c>
      <c r="B1039" t="str">
        <f>IFERROR(VLOOKUP(A1039,[1]timesData!$B:$P,2,FALSE),VLOOKUP(A1039,[2]cwurData!$B:$P,2,FALSE))</f>
        <v>Belgium</v>
      </c>
      <c r="C1039" t="e">
        <f>VLOOKUP(A1039,[1]timesData!$B:$P,3,FALSE)</f>
        <v>#N/A</v>
      </c>
      <c r="D1039" t="e">
        <f>VLOOKUP(A1040,[1]timesData!$B:$P,3,FALSE)</f>
        <v>#N/A</v>
      </c>
      <c r="E1039" t="e">
        <f>VLOOKUP(A1040,[1]timesData!$B:$P,4,FALSE)</f>
        <v>#N/A</v>
      </c>
      <c r="F1039" t="e">
        <f>VLOOKUP(A1040,[1]timesData!$B:$P,5,FALSE)</f>
        <v>#N/A</v>
      </c>
      <c r="G1039" t="e">
        <f>VLOOKUP(A1040,[1]timesData!$B:$P,6,FALSE)</f>
        <v>#N/A</v>
      </c>
      <c r="H1039" t="e">
        <f>VLOOKUP(A1040,[1]timesData!$B:$P,7,FALSE)</f>
        <v>#N/A</v>
      </c>
      <c r="I1039" t="e">
        <f>VLOOKUP(A1040,[1]timesData!$B:$P,8,FALSE)</f>
        <v>#N/A</v>
      </c>
      <c r="J1039" t="e">
        <f>VLOOKUP(A1040,[1]timesData!$B:$P,9,FALSE)</f>
        <v>#N/A</v>
      </c>
      <c r="K1039" t="e">
        <f>VLOOKUP(A1040,[1]timesData!$B:$P,10,FALSE)</f>
        <v>#N/A</v>
      </c>
      <c r="L1039" t="e">
        <f>VLOOKUP(A1040,[1]timesData!$B:$P,11,FALSE)</f>
        <v>#N/A</v>
      </c>
      <c r="M1039" t="e">
        <f>VLOOKUP(A1040,[1]timesData!$B:$P,12,FALSE)</f>
        <v>#N/A</v>
      </c>
      <c r="N1039" t="e">
        <f>VLOOKUP(A1040,[1]timesData!$B:$P,13,FALSE)</f>
        <v>#N/A</v>
      </c>
      <c r="O1039">
        <f>VLOOKUP(A1039,[2]cwurData!$B:$P,14,FALSE)</f>
        <v>709</v>
      </c>
      <c r="P1039">
        <f>VLOOKUP(A1039,[2]cwurData!$B:$N, 3, FALSE)</f>
        <v>9</v>
      </c>
      <c r="Q1039">
        <f>VLOOKUP(A1039,[2]cwurData!$B:$N, 4, FALSE)</f>
        <v>355</v>
      </c>
      <c r="R1039">
        <f>VLOOKUP(A1039,[2]cwurData!$B:$N, 5, FALSE)</f>
        <v>309</v>
      </c>
      <c r="S1039">
        <f>VLOOKUP(A1039,[2]cwurData!$B:$N, 6, FALSE)</f>
        <v>210</v>
      </c>
      <c r="T1039">
        <f>VLOOKUP(A1039,[2]cwurData!$B:$N, 7, FALSE)</f>
        <v>816</v>
      </c>
      <c r="U1039">
        <f>VLOOKUP(A1039,[2]cwurData!$B:$N, 8, FALSE)</f>
        <v>892</v>
      </c>
      <c r="V1039">
        <f>VLOOKUP(A1039,[2]cwurData!$B:$N, 9, FALSE)</f>
        <v>609</v>
      </c>
      <c r="W1039">
        <f>VLOOKUP(A1039,[2]cwurData!$B:$N, 10, FALSE)</f>
        <v>703</v>
      </c>
      <c r="X1039">
        <f>VLOOKUP(A1039,[2]cwurData!$B:$N, 11, FALSE)</f>
        <v>737</v>
      </c>
      <c r="Y1039">
        <f>VLOOKUP(A1039,[2]cwurData!$B:$N, 12, FALSE)</f>
        <v>44.63</v>
      </c>
      <c r="Z1039">
        <f>VLOOKUP(A1039,[2]cwurData!$B:$N, 13, FALSE)</f>
        <v>2014</v>
      </c>
    </row>
    <row r="1040" spans="1:26" x14ac:dyDescent="0.3">
      <c r="A1040" t="s">
        <v>1038</v>
      </c>
      <c r="B1040" t="str">
        <f>IFERROR(VLOOKUP(A1040,[1]timesData!$B:$P,2,FALSE),VLOOKUP(A1040,[2]cwurData!$B:$P,2,FALSE))</f>
        <v>China</v>
      </c>
      <c r="C1040" t="e">
        <f>VLOOKUP(A1040,[1]timesData!$B:$P,3,FALSE)</f>
        <v>#N/A</v>
      </c>
      <c r="D1040" t="e">
        <f>VLOOKUP(A1041,[1]timesData!$B:$P,3,FALSE)</f>
        <v>#N/A</v>
      </c>
      <c r="E1040" t="e">
        <f>VLOOKUP(A1041,[1]timesData!$B:$P,4,FALSE)</f>
        <v>#N/A</v>
      </c>
      <c r="F1040" t="e">
        <f>VLOOKUP(A1041,[1]timesData!$B:$P,5,FALSE)</f>
        <v>#N/A</v>
      </c>
      <c r="G1040" t="e">
        <f>VLOOKUP(A1041,[1]timesData!$B:$P,6,FALSE)</f>
        <v>#N/A</v>
      </c>
      <c r="H1040" t="e">
        <f>VLOOKUP(A1041,[1]timesData!$B:$P,7,FALSE)</f>
        <v>#N/A</v>
      </c>
      <c r="I1040" t="e">
        <f>VLOOKUP(A1041,[1]timesData!$B:$P,8,FALSE)</f>
        <v>#N/A</v>
      </c>
      <c r="J1040" t="e">
        <f>VLOOKUP(A1041,[1]timesData!$B:$P,9,FALSE)</f>
        <v>#N/A</v>
      </c>
      <c r="K1040" t="e">
        <f>VLOOKUP(A1041,[1]timesData!$B:$P,10,FALSE)</f>
        <v>#N/A</v>
      </c>
      <c r="L1040" t="e">
        <f>VLOOKUP(A1041,[1]timesData!$B:$P,11,FALSE)</f>
        <v>#N/A</v>
      </c>
      <c r="M1040" t="e">
        <f>VLOOKUP(A1041,[1]timesData!$B:$P,12,FALSE)</f>
        <v>#N/A</v>
      </c>
      <c r="N1040" t="e">
        <f>VLOOKUP(A1041,[1]timesData!$B:$P,13,FALSE)</f>
        <v>#N/A</v>
      </c>
      <c r="O1040">
        <f>VLOOKUP(A1040,[2]cwurData!$B:$P,14,FALSE)</f>
        <v>710</v>
      </c>
      <c r="P1040">
        <f>VLOOKUP(A1040,[2]cwurData!$B:$N, 3, FALSE)</f>
        <v>35</v>
      </c>
      <c r="Q1040">
        <f>VLOOKUP(A1040,[2]cwurData!$B:$N, 4, FALSE)</f>
        <v>355</v>
      </c>
      <c r="R1040">
        <f>VLOOKUP(A1040,[2]cwurData!$B:$N, 5, FALSE)</f>
        <v>243</v>
      </c>
      <c r="S1040">
        <f>VLOOKUP(A1040,[2]cwurData!$B:$N, 6, FALSE)</f>
        <v>210</v>
      </c>
      <c r="T1040">
        <f>VLOOKUP(A1040,[2]cwurData!$B:$N, 7, FALSE)</f>
        <v>852</v>
      </c>
      <c r="U1040">
        <f>VLOOKUP(A1040,[2]cwurData!$B:$N, 8, FALSE)</f>
        <v>938</v>
      </c>
      <c r="V1040">
        <f>VLOOKUP(A1040,[2]cwurData!$B:$N, 9, FALSE)</f>
        <v>406</v>
      </c>
      <c r="W1040">
        <f>VLOOKUP(A1040,[2]cwurData!$B:$N, 10, FALSE)</f>
        <v>843</v>
      </c>
      <c r="X1040">
        <f>VLOOKUP(A1040,[2]cwurData!$B:$N, 11, FALSE)</f>
        <v>637</v>
      </c>
      <c r="Y1040">
        <f>VLOOKUP(A1040,[2]cwurData!$B:$N, 12, FALSE)</f>
        <v>44.63</v>
      </c>
      <c r="Z1040">
        <f>VLOOKUP(A1040,[2]cwurData!$B:$N, 13, FALSE)</f>
        <v>2014</v>
      </c>
    </row>
    <row r="1041" spans="1:26" x14ac:dyDescent="0.3">
      <c r="A1041" t="s">
        <v>1039</v>
      </c>
      <c r="B1041" t="str">
        <f>IFERROR(VLOOKUP(A1041,[1]timesData!$B:$P,2,FALSE),VLOOKUP(A1041,[2]cwurData!$B:$P,2,FALSE))</f>
        <v>Austria</v>
      </c>
      <c r="C1041" t="e">
        <f>VLOOKUP(A1041,[1]timesData!$B:$P,3,FALSE)</f>
        <v>#N/A</v>
      </c>
      <c r="D1041" t="e">
        <f>VLOOKUP(A1042,[1]timesData!$B:$P,3,FALSE)</f>
        <v>#N/A</v>
      </c>
      <c r="E1041" t="e">
        <f>VLOOKUP(A1042,[1]timesData!$B:$P,4,FALSE)</f>
        <v>#N/A</v>
      </c>
      <c r="F1041" t="e">
        <f>VLOOKUP(A1042,[1]timesData!$B:$P,5,FALSE)</f>
        <v>#N/A</v>
      </c>
      <c r="G1041" t="e">
        <f>VLOOKUP(A1042,[1]timesData!$B:$P,6,FALSE)</f>
        <v>#N/A</v>
      </c>
      <c r="H1041" t="e">
        <f>VLOOKUP(A1042,[1]timesData!$B:$P,7,FALSE)</f>
        <v>#N/A</v>
      </c>
      <c r="I1041" t="e">
        <f>VLOOKUP(A1042,[1]timesData!$B:$P,8,FALSE)</f>
        <v>#N/A</v>
      </c>
      <c r="J1041" t="e">
        <f>VLOOKUP(A1042,[1]timesData!$B:$P,9,FALSE)</f>
        <v>#N/A</v>
      </c>
      <c r="K1041" t="e">
        <f>VLOOKUP(A1042,[1]timesData!$B:$P,10,FALSE)</f>
        <v>#N/A</v>
      </c>
      <c r="L1041" t="e">
        <f>VLOOKUP(A1042,[1]timesData!$B:$P,11,FALSE)</f>
        <v>#N/A</v>
      </c>
      <c r="M1041" t="e">
        <f>VLOOKUP(A1042,[1]timesData!$B:$P,12,FALSE)</f>
        <v>#N/A</v>
      </c>
      <c r="N1041" t="e">
        <f>VLOOKUP(A1042,[1]timesData!$B:$P,13,FALSE)</f>
        <v>#N/A</v>
      </c>
      <c r="O1041">
        <f>VLOOKUP(A1041,[2]cwurData!$B:$P,14,FALSE)</f>
        <v>711</v>
      </c>
      <c r="P1041">
        <f>VLOOKUP(A1041,[2]cwurData!$B:$N, 3, FALSE)</f>
        <v>9</v>
      </c>
      <c r="Q1041">
        <f>VLOOKUP(A1041,[2]cwurData!$B:$N, 4, FALSE)</f>
        <v>355</v>
      </c>
      <c r="R1041">
        <f>VLOOKUP(A1041,[2]cwurData!$B:$N, 5, FALSE)</f>
        <v>478</v>
      </c>
      <c r="S1041">
        <f>VLOOKUP(A1041,[2]cwurData!$B:$N, 6, FALSE)</f>
        <v>210</v>
      </c>
      <c r="T1041">
        <f>VLOOKUP(A1041,[2]cwurData!$B:$N, 7, FALSE)</f>
        <v>746</v>
      </c>
      <c r="U1041">
        <f>VLOOKUP(A1041,[2]cwurData!$B:$N, 8, FALSE)</f>
        <v>629</v>
      </c>
      <c r="V1041">
        <f>VLOOKUP(A1041,[2]cwurData!$B:$N, 9, FALSE)</f>
        <v>800</v>
      </c>
      <c r="W1041">
        <f>VLOOKUP(A1041,[2]cwurData!$B:$N, 10, FALSE)</f>
        <v>605</v>
      </c>
      <c r="X1041">
        <f>VLOOKUP(A1041,[2]cwurData!$B:$N, 11, FALSE)</f>
        <v>552</v>
      </c>
      <c r="Y1041">
        <f>VLOOKUP(A1041,[2]cwurData!$B:$N, 12, FALSE)</f>
        <v>44.63</v>
      </c>
      <c r="Z1041">
        <f>VLOOKUP(A1041,[2]cwurData!$B:$N, 13, FALSE)</f>
        <v>2014</v>
      </c>
    </row>
    <row r="1042" spans="1:26" x14ac:dyDescent="0.3">
      <c r="A1042" t="s">
        <v>1040</v>
      </c>
      <c r="B1042" t="str">
        <f>IFERROR(VLOOKUP(A1042,[1]timesData!$B:$P,2,FALSE),VLOOKUP(A1042,[2]cwurData!$B:$P,2,FALSE))</f>
        <v>China</v>
      </c>
      <c r="C1042" t="e">
        <f>VLOOKUP(A1042,[1]timesData!$B:$P,3,FALSE)</f>
        <v>#N/A</v>
      </c>
      <c r="D1042" t="e">
        <f>VLOOKUP(A1043,[1]timesData!$B:$P,3,FALSE)</f>
        <v>#N/A</v>
      </c>
      <c r="E1042" t="e">
        <f>VLOOKUP(A1043,[1]timesData!$B:$P,4,FALSE)</f>
        <v>#N/A</v>
      </c>
      <c r="F1042" t="e">
        <f>VLOOKUP(A1043,[1]timesData!$B:$P,5,FALSE)</f>
        <v>#N/A</v>
      </c>
      <c r="G1042" t="e">
        <f>VLOOKUP(A1043,[1]timesData!$B:$P,6,FALSE)</f>
        <v>#N/A</v>
      </c>
      <c r="H1042" t="e">
        <f>VLOOKUP(A1043,[1]timesData!$B:$P,7,FALSE)</f>
        <v>#N/A</v>
      </c>
      <c r="I1042" t="e">
        <f>VLOOKUP(A1043,[1]timesData!$B:$P,8,FALSE)</f>
        <v>#N/A</v>
      </c>
      <c r="J1042" t="e">
        <f>VLOOKUP(A1043,[1]timesData!$B:$P,9,FALSE)</f>
        <v>#N/A</v>
      </c>
      <c r="K1042" t="e">
        <f>VLOOKUP(A1043,[1]timesData!$B:$P,10,FALSE)</f>
        <v>#N/A</v>
      </c>
      <c r="L1042" t="e">
        <f>VLOOKUP(A1043,[1]timesData!$B:$P,11,FALSE)</f>
        <v>#N/A</v>
      </c>
      <c r="M1042" t="e">
        <f>VLOOKUP(A1043,[1]timesData!$B:$P,12,FALSE)</f>
        <v>#N/A</v>
      </c>
      <c r="N1042" t="e">
        <f>VLOOKUP(A1043,[1]timesData!$B:$P,13,FALSE)</f>
        <v>#N/A</v>
      </c>
      <c r="O1042">
        <f>VLOOKUP(A1042,[2]cwurData!$B:$P,14,FALSE)</f>
        <v>713</v>
      </c>
      <c r="P1042">
        <f>VLOOKUP(A1042,[2]cwurData!$B:$N, 3, FALSE)</f>
        <v>36</v>
      </c>
      <c r="Q1042">
        <f>VLOOKUP(A1042,[2]cwurData!$B:$N, 4, FALSE)</f>
        <v>355</v>
      </c>
      <c r="R1042">
        <f>VLOOKUP(A1042,[2]cwurData!$B:$N, 5, FALSE)</f>
        <v>478</v>
      </c>
      <c r="S1042">
        <f>VLOOKUP(A1042,[2]cwurData!$B:$N, 6, FALSE)</f>
        <v>210</v>
      </c>
      <c r="T1042">
        <f>VLOOKUP(A1042,[2]cwurData!$B:$N, 7, FALSE)</f>
        <v>466</v>
      </c>
      <c r="U1042">
        <f>VLOOKUP(A1042,[2]cwurData!$B:$N, 8, FALSE)</f>
        <v>799</v>
      </c>
      <c r="V1042">
        <f>VLOOKUP(A1042,[2]cwurData!$B:$N, 9, FALSE)</f>
        <v>800</v>
      </c>
      <c r="W1042">
        <f>VLOOKUP(A1042,[2]cwurData!$B:$N, 10, FALSE)</f>
        <v>642</v>
      </c>
      <c r="X1042">
        <f>VLOOKUP(A1042,[2]cwurData!$B:$N, 11, FALSE)</f>
        <v>737</v>
      </c>
      <c r="Y1042">
        <f>VLOOKUP(A1042,[2]cwurData!$B:$N, 12, FALSE)</f>
        <v>44.63</v>
      </c>
      <c r="Z1042">
        <f>VLOOKUP(A1042,[2]cwurData!$B:$N, 13, FALSE)</f>
        <v>2014</v>
      </c>
    </row>
    <row r="1043" spans="1:26" x14ac:dyDescent="0.3">
      <c r="A1043" t="s">
        <v>1041</v>
      </c>
      <c r="B1043" t="str">
        <f>IFERROR(VLOOKUP(A1043,[1]timesData!$B:$P,2,FALSE),VLOOKUP(A1043,[2]cwurData!$B:$P,2,FALSE))</f>
        <v>Spain</v>
      </c>
      <c r="C1043" t="e">
        <f>VLOOKUP(A1043,[1]timesData!$B:$P,3,FALSE)</f>
        <v>#N/A</v>
      </c>
      <c r="D1043" t="e">
        <f>VLOOKUP(A1044,[1]timesData!$B:$P,3,FALSE)</f>
        <v>#N/A</v>
      </c>
      <c r="E1043" t="e">
        <f>VLOOKUP(A1044,[1]timesData!$B:$P,4,FALSE)</f>
        <v>#N/A</v>
      </c>
      <c r="F1043" t="e">
        <f>VLOOKUP(A1044,[1]timesData!$B:$P,5,FALSE)</f>
        <v>#N/A</v>
      </c>
      <c r="G1043" t="e">
        <f>VLOOKUP(A1044,[1]timesData!$B:$P,6,FALSE)</f>
        <v>#N/A</v>
      </c>
      <c r="H1043" t="e">
        <f>VLOOKUP(A1044,[1]timesData!$B:$P,7,FALSE)</f>
        <v>#N/A</v>
      </c>
      <c r="I1043" t="e">
        <f>VLOOKUP(A1044,[1]timesData!$B:$P,8,FALSE)</f>
        <v>#N/A</v>
      </c>
      <c r="J1043" t="e">
        <f>VLOOKUP(A1044,[1]timesData!$B:$P,9,FALSE)</f>
        <v>#N/A</v>
      </c>
      <c r="K1043" t="e">
        <f>VLOOKUP(A1044,[1]timesData!$B:$P,10,FALSE)</f>
        <v>#N/A</v>
      </c>
      <c r="L1043" t="e">
        <f>VLOOKUP(A1044,[1]timesData!$B:$P,11,FALSE)</f>
        <v>#N/A</v>
      </c>
      <c r="M1043" t="e">
        <f>VLOOKUP(A1044,[1]timesData!$B:$P,12,FALSE)</f>
        <v>#N/A</v>
      </c>
      <c r="N1043" t="e">
        <f>VLOOKUP(A1044,[1]timesData!$B:$P,13,FALSE)</f>
        <v>#N/A</v>
      </c>
      <c r="O1043">
        <f>VLOOKUP(A1043,[2]cwurData!$B:$P,14,FALSE)</f>
        <v>714</v>
      </c>
      <c r="P1043">
        <f>VLOOKUP(A1043,[2]cwurData!$B:$N, 3, FALSE)</f>
        <v>24</v>
      </c>
      <c r="Q1043">
        <f>VLOOKUP(A1043,[2]cwurData!$B:$N, 4, FALSE)</f>
        <v>355</v>
      </c>
      <c r="R1043">
        <f>VLOOKUP(A1043,[2]cwurData!$B:$N, 5, FALSE)</f>
        <v>478</v>
      </c>
      <c r="S1043">
        <f>VLOOKUP(A1043,[2]cwurData!$B:$N, 6, FALSE)</f>
        <v>210</v>
      </c>
      <c r="T1043">
        <f>VLOOKUP(A1043,[2]cwurData!$B:$N, 7, FALSE)</f>
        <v>634</v>
      </c>
      <c r="U1043">
        <f>VLOOKUP(A1043,[2]cwurData!$B:$N, 8, FALSE)</f>
        <v>529</v>
      </c>
      <c r="V1043">
        <f>VLOOKUP(A1043,[2]cwurData!$B:$N, 9, FALSE)</f>
        <v>406</v>
      </c>
      <c r="W1043">
        <f>VLOOKUP(A1043,[2]cwurData!$B:$N, 10, FALSE)</f>
        <v>628</v>
      </c>
      <c r="X1043">
        <f>VLOOKUP(A1043,[2]cwurData!$B:$N, 11, FALSE)</f>
        <v>552</v>
      </c>
      <c r="Y1043">
        <f>VLOOKUP(A1043,[2]cwurData!$B:$N, 12, FALSE)</f>
        <v>44.63</v>
      </c>
      <c r="Z1043">
        <f>VLOOKUP(A1043,[2]cwurData!$B:$N, 13, FALSE)</f>
        <v>2014</v>
      </c>
    </row>
    <row r="1044" spans="1:26" x14ac:dyDescent="0.3">
      <c r="A1044" t="s">
        <v>1042</v>
      </c>
      <c r="B1044" t="str">
        <f>IFERROR(VLOOKUP(A1044,[1]timesData!$B:$P,2,FALSE),VLOOKUP(A1044,[2]cwurData!$B:$P,2,FALSE))</f>
        <v>China</v>
      </c>
      <c r="C1044" t="e">
        <f>VLOOKUP(A1044,[1]timesData!$B:$P,3,FALSE)</f>
        <v>#N/A</v>
      </c>
      <c r="D1044" t="e">
        <f>VLOOKUP(A1045,[1]timesData!$B:$P,3,FALSE)</f>
        <v>#N/A</v>
      </c>
      <c r="E1044" t="e">
        <f>VLOOKUP(A1045,[1]timesData!$B:$P,4,FALSE)</f>
        <v>#N/A</v>
      </c>
      <c r="F1044" t="e">
        <f>VLOOKUP(A1045,[1]timesData!$B:$P,5,FALSE)</f>
        <v>#N/A</v>
      </c>
      <c r="G1044" t="e">
        <f>VLOOKUP(A1045,[1]timesData!$B:$P,6,FALSE)</f>
        <v>#N/A</v>
      </c>
      <c r="H1044" t="e">
        <f>VLOOKUP(A1045,[1]timesData!$B:$P,7,FALSE)</f>
        <v>#N/A</v>
      </c>
      <c r="I1044" t="e">
        <f>VLOOKUP(A1045,[1]timesData!$B:$P,8,FALSE)</f>
        <v>#N/A</v>
      </c>
      <c r="J1044" t="e">
        <f>VLOOKUP(A1045,[1]timesData!$B:$P,9,FALSE)</f>
        <v>#N/A</v>
      </c>
      <c r="K1044" t="e">
        <f>VLOOKUP(A1045,[1]timesData!$B:$P,10,FALSE)</f>
        <v>#N/A</v>
      </c>
      <c r="L1044" t="e">
        <f>VLOOKUP(A1045,[1]timesData!$B:$P,11,FALSE)</f>
        <v>#N/A</v>
      </c>
      <c r="M1044" t="e">
        <f>VLOOKUP(A1045,[1]timesData!$B:$P,12,FALSE)</f>
        <v>#N/A</v>
      </c>
      <c r="N1044" t="e">
        <f>VLOOKUP(A1045,[1]timesData!$B:$P,13,FALSE)</f>
        <v>#N/A</v>
      </c>
      <c r="O1044">
        <f>VLOOKUP(A1044,[2]cwurData!$B:$P,14,FALSE)</f>
        <v>715</v>
      </c>
      <c r="P1044">
        <f>VLOOKUP(A1044,[2]cwurData!$B:$N, 3, FALSE)</f>
        <v>37</v>
      </c>
      <c r="Q1044">
        <f>VLOOKUP(A1044,[2]cwurData!$B:$N, 4, FALSE)</f>
        <v>355</v>
      </c>
      <c r="R1044">
        <f>VLOOKUP(A1044,[2]cwurData!$B:$N, 5, FALSE)</f>
        <v>420</v>
      </c>
      <c r="S1044">
        <f>VLOOKUP(A1044,[2]cwurData!$B:$N, 6, FALSE)</f>
        <v>210</v>
      </c>
      <c r="T1044">
        <f>VLOOKUP(A1044,[2]cwurData!$B:$N, 7, FALSE)</f>
        <v>786</v>
      </c>
      <c r="U1044">
        <f>VLOOKUP(A1044,[2]cwurData!$B:$N, 8, FALSE)</f>
        <v>974</v>
      </c>
      <c r="V1044">
        <f>VLOOKUP(A1044,[2]cwurData!$B:$N, 9, FALSE)</f>
        <v>609</v>
      </c>
      <c r="W1044">
        <f>VLOOKUP(A1044,[2]cwurData!$B:$N, 10, FALSE)</f>
        <v>769</v>
      </c>
      <c r="X1044">
        <f>VLOOKUP(A1044,[2]cwurData!$B:$N, 11, FALSE)</f>
        <v>259</v>
      </c>
      <c r="Y1044">
        <f>VLOOKUP(A1044,[2]cwurData!$B:$N, 12, FALSE)</f>
        <v>44.63</v>
      </c>
      <c r="Z1044">
        <f>VLOOKUP(A1044,[2]cwurData!$B:$N, 13, FALSE)</f>
        <v>2014</v>
      </c>
    </row>
    <row r="1045" spans="1:26" x14ac:dyDescent="0.3">
      <c r="A1045" t="s">
        <v>1043</v>
      </c>
      <c r="B1045" t="str">
        <f>IFERROR(VLOOKUP(A1045,[1]timesData!$B:$P,2,FALSE),VLOOKUP(A1045,[2]cwurData!$B:$P,2,FALSE))</f>
        <v>USA</v>
      </c>
      <c r="C1045" t="e">
        <f>VLOOKUP(A1045,[1]timesData!$B:$P,3,FALSE)</f>
        <v>#N/A</v>
      </c>
      <c r="D1045" t="e">
        <f>VLOOKUP(A1046,[1]timesData!$B:$P,3,FALSE)</f>
        <v>#N/A</v>
      </c>
      <c r="E1045" t="e">
        <f>VLOOKUP(A1046,[1]timesData!$B:$P,4,FALSE)</f>
        <v>#N/A</v>
      </c>
      <c r="F1045" t="e">
        <f>VLOOKUP(A1046,[1]timesData!$B:$P,5,FALSE)</f>
        <v>#N/A</v>
      </c>
      <c r="G1045" t="e">
        <f>VLOOKUP(A1046,[1]timesData!$B:$P,6,FALSE)</f>
        <v>#N/A</v>
      </c>
      <c r="H1045" t="e">
        <f>VLOOKUP(A1046,[1]timesData!$B:$P,7,FALSE)</f>
        <v>#N/A</v>
      </c>
      <c r="I1045" t="e">
        <f>VLOOKUP(A1046,[1]timesData!$B:$P,8,FALSE)</f>
        <v>#N/A</v>
      </c>
      <c r="J1045" t="e">
        <f>VLOOKUP(A1046,[1]timesData!$B:$P,9,FALSE)</f>
        <v>#N/A</v>
      </c>
      <c r="K1045" t="e">
        <f>VLOOKUP(A1046,[1]timesData!$B:$P,10,FALSE)</f>
        <v>#N/A</v>
      </c>
      <c r="L1045" t="e">
        <f>VLOOKUP(A1046,[1]timesData!$B:$P,11,FALSE)</f>
        <v>#N/A</v>
      </c>
      <c r="M1045" t="e">
        <f>VLOOKUP(A1046,[1]timesData!$B:$P,12,FALSE)</f>
        <v>#N/A</v>
      </c>
      <c r="N1045" t="e">
        <f>VLOOKUP(A1046,[1]timesData!$B:$P,13,FALSE)</f>
        <v>#N/A</v>
      </c>
      <c r="O1045">
        <f>VLOOKUP(A1045,[2]cwurData!$B:$P,14,FALSE)</f>
        <v>716</v>
      </c>
      <c r="P1045">
        <f>VLOOKUP(A1045,[2]cwurData!$B:$N, 3, FALSE)</f>
        <v>201</v>
      </c>
      <c r="Q1045">
        <f>VLOOKUP(A1045,[2]cwurData!$B:$N, 4, FALSE)</f>
        <v>355</v>
      </c>
      <c r="R1045">
        <f>VLOOKUP(A1045,[2]cwurData!$B:$N, 5, FALSE)</f>
        <v>390</v>
      </c>
      <c r="S1045">
        <f>VLOOKUP(A1045,[2]cwurData!$B:$N, 6, FALSE)</f>
        <v>210</v>
      </c>
      <c r="T1045">
        <f>VLOOKUP(A1045,[2]cwurData!$B:$N, 7, FALSE)</f>
        <v>782</v>
      </c>
      <c r="U1045">
        <f>VLOOKUP(A1045,[2]cwurData!$B:$N, 8, FALSE)</f>
        <v>592</v>
      </c>
      <c r="V1045">
        <f>VLOOKUP(A1045,[2]cwurData!$B:$N, 9, FALSE)</f>
        <v>609</v>
      </c>
      <c r="W1045">
        <f>VLOOKUP(A1045,[2]cwurData!$B:$N, 10, FALSE)</f>
        <v>724</v>
      </c>
      <c r="X1045">
        <f>VLOOKUP(A1045,[2]cwurData!$B:$N, 11, FALSE)</f>
        <v>338</v>
      </c>
      <c r="Y1045">
        <f>VLOOKUP(A1045,[2]cwurData!$B:$N, 12, FALSE)</f>
        <v>44.62</v>
      </c>
      <c r="Z1045">
        <f>VLOOKUP(A1045,[2]cwurData!$B:$N, 13, FALSE)</f>
        <v>2014</v>
      </c>
    </row>
    <row r="1046" spans="1:26" x14ac:dyDescent="0.3">
      <c r="A1046" t="s">
        <v>1044</v>
      </c>
      <c r="B1046" t="str">
        <f>IFERROR(VLOOKUP(A1046,[1]timesData!$B:$P,2,FALSE),VLOOKUP(A1046,[2]cwurData!$B:$P,2,FALSE))</f>
        <v>USA</v>
      </c>
      <c r="C1046" t="e">
        <f>VLOOKUP(A1046,[1]timesData!$B:$P,3,FALSE)</f>
        <v>#N/A</v>
      </c>
      <c r="D1046" t="e">
        <f>VLOOKUP(A1047,[1]timesData!$B:$P,3,FALSE)</f>
        <v>#N/A</v>
      </c>
      <c r="E1046" t="e">
        <f>VLOOKUP(A1047,[1]timesData!$B:$P,4,FALSE)</f>
        <v>#N/A</v>
      </c>
      <c r="F1046" t="e">
        <f>VLOOKUP(A1047,[1]timesData!$B:$P,5,FALSE)</f>
        <v>#N/A</v>
      </c>
      <c r="G1046" t="e">
        <f>VLOOKUP(A1047,[1]timesData!$B:$P,6,FALSE)</f>
        <v>#N/A</v>
      </c>
      <c r="H1046" t="e">
        <f>VLOOKUP(A1047,[1]timesData!$B:$P,7,FALSE)</f>
        <v>#N/A</v>
      </c>
      <c r="I1046" t="e">
        <f>VLOOKUP(A1047,[1]timesData!$B:$P,8,FALSE)</f>
        <v>#N/A</v>
      </c>
      <c r="J1046" t="e">
        <f>VLOOKUP(A1047,[1]timesData!$B:$P,9,FALSE)</f>
        <v>#N/A</v>
      </c>
      <c r="K1046" t="e">
        <f>VLOOKUP(A1047,[1]timesData!$B:$P,10,FALSE)</f>
        <v>#N/A</v>
      </c>
      <c r="L1046" t="e">
        <f>VLOOKUP(A1047,[1]timesData!$B:$P,11,FALSE)</f>
        <v>#N/A</v>
      </c>
      <c r="M1046" t="e">
        <f>VLOOKUP(A1047,[1]timesData!$B:$P,12,FALSE)</f>
        <v>#N/A</v>
      </c>
      <c r="N1046" t="e">
        <f>VLOOKUP(A1047,[1]timesData!$B:$P,13,FALSE)</f>
        <v>#N/A</v>
      </c>
      <c r="O1046">
        <f>VLOOKUP(A1046,[2]cwurData!$B:$P,14,FALSE)</f>
        <v>717</v>
      </c>
      <c r="P1046">
        <f>VLOOKUP(A1046,[2]cwurData!$B:$N, 3, FALSE)</f>
        <v>202</v>
      </c>
      <c r="Q1046">
        <f>VLOOKUP(A1046,[2]cwurData!$B:$N, 4, FALSE)</f>
        <v>258</v>
      </c>
      <c r="R1046">
        <f>VLOOKUP(A1046,[2]cwurData!$B:$N, 5, FALSE)</f>
        <v>478</v>
      </c>
      <c r="S1046">
        <f>VLOOKUP(A1046,[2]cwurData!$B:$N, 6, FALSE)</f>
        <v>210</v>
      </c>
      <c r="T1046">
        <f>VLOOKUP(A1046,[2]cwurData!$B:$N, 7, FALSE)</f>
        <v>876</v>
      </c>
      <c r="U1046">
        <f>VLOOKUP(A1046,[2]cwurData!$B:$N, 8, FALSE)</f>
        <v>496</v>
      </c>
      <c r="V1046">
        <f>VLOOKUP(A1046,[2]cwurData!$B:$N, 9, FALSE)</f>
        <v>800</v>
      </c>
      <c r="W1046">
        <f>VLOOKUP(A1046,[2]cwurData!$B:$N, 10, FALSE)</f>
        <v>628</v>
      </c>
      <c r="X1046">
        <f>VLOOKUP(A1046,[2]cwurData!$B:$N, 11, FALSE)</f>
        <v>737</v>
      </c>
      <c r="Y1046">
        <f>VLOOKUP(A1046,[2]cwurData!$B:$N, 12, FALSE)</f>
        <v>44.62</v>
      </c>
      <c r="Z1046">
        <f>VLOOKUP(A1046,[2]cwurData!$B:$N, 13, FALSE)</f>
        <v>2014</v>
      </c>
    </row>
    <row r="1047" spans="1:26" x14ac:dyDescent="0.3">
      <c r="A1047" t="s">
        <v>1045</v>
      </c>
      <c r="B1047" t="str">
        <f>IFERROR(VLOOKUP(A1047,[1]timesData!$B:$P,2,FALSE),VLOOKUP(A1047,[2]cwurData!$B:$P,2,FALSE))</f>
        <v>USA</v>
      </c>
      <c r="C1047" t="e">
        <f>VLOOKUP(A1047,[1]timesData!$B:$P,3,FALSE)</f>
        <v>#N/A</v>
      </c>
      <c r="D1047" t="e">
        <f>VLOOKUP(A1048,[1]timesData!$B:$P,3,FALSE)</f>
        <v>#N/A</v>
      </c>
      <c r="E1047" t="e">
        <f>VLOOKUP(A1048,[1]timesData!$B:$P,4,FALSE)</f>
        <v>#N/A</v>
      </c>
      <c r="F1047" t="e">
        <f>VLOOKUP(A1048,[1]timesData!$B:$P,5,FALSE)</f>
        <v>#N/A</v>
      </c>
      <c r="G1047" t="e">
        <f>VLOOKUP(A1048,[1]timesData!$B:$P,6,FALSE)</f>
        <v>#N/A</v>
      </c>
      <c r="H1047" t="e">
        <f>VLOOKUP(A1048,[1]timesData!$B:$P,7,FALSE)</f>
        <v>#N/A</v>
      </c>
      <c r="I1047" t="e">
        <f>VLOOKUP(A1048,[1]timesData!$B:$P,8,FALSE)</f>
        <v>#N/A</v>
      </c>
      <c r="J1047" t="e">
        <f>VLOOKUP(A1048,[1]timesData!$B:$P,9,FALSE)</f>
        <v>#N/A</v>
      </c>
      <c r="K1047" t="e">
        <f>VLOOKUP(A1048,[1]timesData!$B:$P,10,FALSE)</f>
        <v>#N/A</v>
      </c>
      <c r="L1047" t="e">
        <f>VLOOKUP(A1048,[1]timesData!$B:$P,11,FALSE)</f>
        <v>#N/A</v>
      </c>
      <c r="M1047" t="e">
        <f>VLOOKUP(A1048,[1]timesData!$B:$P,12,FALSE)</f>
        <v>#N/A</v>
      </c>
      <c r="N1047" t="e">
        <f>VLOOKUP(A1048,[1]timesData!$B:$P,13,FALSE)</f>
        <v>#N/A</v>
      </c>
      <c r="O1047">
        <f>VLOOKUP(A1047,[2]cwurData!$B:$P,14,FALSE)</f>
        <v>718</v>
      </c>
      <c r="P1047">
        <f>VLOOKUP(A1047,[2]cwurData!$B:$N, 3, FALSE)</f>
        <v>203</v>
      </c>
      <c r="Q1047">
        <f>VLOOKUP(A1047,[2]cwurData!$B:$N, 4, FALSE)</f>
        <v>355</v>
      </c>
      <c r="R1047">
        <f>VLOOKUP(A1047,[2]cwurData!$B:$N, 5, FALSE)</f>
        <v>411</v>
      </c>
      <c r="S1047">
        <f>VLOOKUP(A1047,[2]cwurData!$B:$N, 6, FALSE)</f>
        <v>210</v>
      </c>
      <c r="T1047">
        <f>VLOOKUP(A1047,[2]cwurData!$B:$N, 7, FALSE)</f>
        <v>686</v>
      </c>
      <c r="U1047">
        <f>VLOOKUP(A1047,[2]cwurData!$B:$N, 8, FALSE)</f>
        <v>676</v>
      </c>
      <c r="V1047">
        <f>VLOOKUP(A1047,[2]cwurData!$B:$N, 9, FALSE)</f>
        <v>800</v>
      </c>
      <c r="W1047">
        <f>VLOOKUP(A1047,[2]cwurData!$B:$N, 10, FALSE)</f>
        <v>690</v>
      </c>
      <c r="X1047">
        <f>VLOOKUP(A1047,[2]cwurData!$B:$N, 11, FALSE)</f>
        <v>481</v>
      </c>
      <c r="Y1047">
        <f>VLOOKUP(A1047,[2]cwurData!$B:$N, 12, FALSE)</f>
        <v>44.62</v>
      </c>
      <c r="Z1047">
        <f>VLOOKUP(A1047,[2]cwurData!$B:$N, 13, FALSE)</f>
        <v>2014</v>
      </c>
    </row>
    <row r="1048" spans="1:26" x14ac:dyDescent="0.3">
      <c r="A1048" t="s">
        <v>1046</v>
      </c>
      <c r="B1048" t="str">
        <f>IFERROR(VLOOKUP(A1048,[1]timesData!$B:$P,2,FALSE),VLOOKUP(A1048,[2]cwurData!$B:$P,2,FALSE))</f>
        <v>Germany</v>
      </c>
      <c r="C1048" t="e">
        <f>VLOOKUP(A1048,[1]timesData!$B:$P,3,FALSE)</f>
        <v>#N/A</v>
      </c>
      <c r="D1048" t="e">
        <f>VLOOKUP(A1049,[1]timesData!$B:$P,3,FALSE)</f>
        <v>#N/A</v>
      </c>
      <c r="E1048" t="e">
        <f>VLOOKUP(A1049,[1]timesData!$B:$P,4,FALSE)</f>
        <v>#N/A</v>
      </c>
      <c r="F1048" t="e">
        <f>VLOOKUP(A1049,[1]timesData!$B:$P,5,FALSE)</f>
        <v>#N/A</v>
      </c>
      <c r="G1048" t="e">
        <f>VLOOKUP(A1049,[1]timesData!$B:$P,6,FALSE)</f>
        <v>#N/A</v>
      </c>
      <c r="H1048" t="e">
        <f>VLOOKUP(A1049,[1]timesData!$B:$P,7,FALSE)</f>
        <v>#N/A</v>
      </c>
      <c r="I1048" t="e">
        <f>VLOOKUP(A1049,[1]timesData!$B:$P,8,FALSE)</f>
        <v>#N/A</v>
      </c>
      <c r="J1048" t="e">
        <f>VLOOKUP(A1049,[1]timesData!$B:$P,9,FALSE)</f>
        <v>#N/A</v>
      </c>
      <c r="K1048" t="e">
        <f>VLOOKUP(A1049,[1]timesData!$B:$P,10,FALSE)</f>
        <v>#N/A</v>
      </c>
      <c r="L1048" t="e">
        <f>VLOOKUP(A1049,[1]timesData!$B:$P,11,FALSE)</f>
        <v>#N/A</v>
      </c>
      <c r="M1048" t="e">
        <f>VLOOKUP(A1049,[1]timesData!$B:$P,12,FALSE)</f>
        <v>#N/A</v>
      </c>
      <c r="N1048" t="e">
        <f>VLOOKUP(A1049,[1]timesData!$B:$P,13,FALSE)</f>
        <v>#N/A</v>
      </c>
      <c r="O1048">
        <f>VLOOKUP(A1048,[2]cwurData!$B:$P,14,FALSE)</f>
        <v>719</v>
      </c>
      <c r="P1048">
        <f>VLOOKUP(A1048,[2]cwurData!$B:$N, 3, FALSE)</f>
        <v>47</v>
      </c>
      <c r="Q1048">
        <f>VLOOKUP(A1048,[2]cwurData!$B:$N, 4, FALSE)</f>
        <v>355</v>
      </c>
      <c r="R1048">
        <f>VLOOKUP(A1048,[2]cwurData!$B:$N, 5, FALSE)</f>
        <v>478</v>
      </c>
      <c r="S1048">
        <f>VLOOKUP(A1048,[2]cwurData!$B:$N, 6, FALSE)</f>
        <v>210</v>
      </c>
      <c r="T1048">
        <f>VLOOKUP(A1048,[2]cwurData!$B:$N, 7, FALSE)</f>
        <v>780</v>
      </c>
      <c r="U1048">
        <f>VLOOKUP(A1048,[2]cwurData!$B:$N, 8, FALSE)</f>
        <v>668</v>
      </c>
      <c r="V1048">
        <f>VLOOKUP(A1048,[2]cwurData!$B:$N, 9, FALSE)</f>
        <v>609</v>
      </c>
      <c r="W1048">
        <f>VLOOKUP(A1048,[2]cwurData!$B:$N, 10, FALSE)</f>
        <v>605</v>
      </c>
      <c r="X1048">
        <f>VLOOKUP(A1048,[2]cwurData!$B:$N, 11, FALSE)</f>
        <v>737</v>
      </c>
      <c r="Y1048">
        <f>VLOOKUP(A1048,[2]cwurData!$B:$N, 12, FALSE)</f>
        <v>44.62</v>
      </c>
      <c r="Z1048">
        <f>VLOOKUP(A1048,[2]cwurData!$B:$N, 13, FALSE)</f>
        <v>2014</v>
      </c>
    </row>
    <row r="1049" spans="1:26" x14ac:dyDescent="0.3">
      <c r="A1049" t="s">
        <v>1047</v>
      </c>
      <c r="B1049" t="str">
        <f>IFERROR(VLOOKUP(A1049,[1]timesData!$B:$P,2,FALSE),VLOOKUP(A1049,[2]cwurData!$B:$P,2,FALSE))</f>
        <v>USA</v>
      </c>
      <c r="C1049" t="e">
        <f>VLOOKUP(A1049,[1]timesData!$B:$P,3,FALSE)</f>
        <v>#N/A</v>
      </c>
      <c r="D1049" t="e">
        <f>VLOOKUP(A1050,[1]timesData!$B:$P,3,FALSE)</f>
        <v>#N/A</v>
      </c>
      <c r="E1049" t="e">
        <f>VLOOKUP(A1050,[1]timesData!$B:$P,4,FALSE)</f>
        <v>#N/A</v>
      </c>
      <c r="F1049" t="e">
        <f>VLOOKUP(A1050,[1]timesData!$B:$P,5,FALSE)</f>
        <v>#N/A</v>
      </c>
      <c r="G1049" t="e">
        <f>VLOOKUP(A1050,[1]timesData!$B:$P,6,FALSE)</f>
        <v>#N/A</v>
      </c>
      <c r="H1049" t="e">
        <f>VLOOKUP(A1050,[1]timesData!$B:$P,7,FALSE)</f>
        <v>#N/A</v>
      </c>
      <c r="I1049" t="e">
        <f>VLOOKUP(A1050,[1]timesData!$B:$P,8,FALSE)</f>
        <v>#N/A</v>
      </c>
      <c r="J1049" t="e">
        <f>VLOOKUP(A1050,[1]timesData!$B:$P,9,FALSE)</f>
        <v>#N/A</v>
      </c>
      <c r="K1049" t="e">
        <f>VLOOKUP(A1050,[1]timesData!$B:$P,10,FALSE)</f>
        <v>#N/A</v>
      </c>
      <c r="L1049" t="e">
        <f>VLOOKUP(A1050,[1]timesData!$B:$P,11,FALSE)</f>
        <v>#N/A</v>
      </c>
      <c r="M1049" t="e">
        <f>VLOOKUP(A1050,[1]timesData!$B:$P,12,FALSE)</f>
        <v>#N/A</v>
      </c>
      <c r="N1049" t="e">
        <f>VLOOKUP(A1050,[1]timesData!$B:$P,13,FALSE)</f>
        <v>#N/A</v>
      </c>
      <c r="O1049">
        <f>VLOOKUP(A1049,[2]cwurData!$B:$P,14,FALSE)</f>
        <v>720</v>
      </c>
      <c r="P1049">
        <f>VLOOKUP(A1049,[2]cwurData!$B:$N, 3, FALSE)</f>
        <v>204</v>
      </c>
      <c r="Q1049">
        <f>VLOOKUP(A1049,[2]cwurData!$B:$N, 4, FALSE)</f>
        <v>355</v>
      </c>
      <c r="R1049">
        <f>VLOOKUP(A1049,[2]cwurData!$B:$N, 5, FALSE)</f>
        <v>361</v>
      </c>
      <c r="S1049">
        <f>VLOOKUP(A1049,[2]cwurData!$B:$N, 6, FALSE)</f>
        <v>210</v>
      </c>
      <c r="T1049">
        <f>VLOOKUP(A1049,[2]cwurData!$B:$N, 7, FALSE)</f>
        <v>883</v>
      </c>
      <c r="U1049">
        <f>VLOOKUP(A1049,[2]cwurData!$B:$N, 8, FALSE)</f>
        <v>522</v>
      </c>
      <c r="V1049">
        <f>VLOOKUP(A1049,[2]cwurData!$B:$N, 9, FALSE)</f>
        <v>406</v>
      </c>
      <c r="W1049">
        <f>VLOOKUP(A1049,[2]cwurData!$B:$N, 10, FALSE)</f>
        <v>703</v>
      </c>
      <c r="X1049">
        <f>VLOOKUP(A1049,[2]cwurData!$B:$N, 11, FALSE)</f>
        <v>552</v>
      </c>
      <c r="Y1049">
        <f>VLOOKUP(A1049,[2]cwurData!$B:$N, 12, FALSE)</f>
        <v>44.62</v>
      </c>
      <c r="Z1049">
        <f>VLOOKUP(A1049,[2]cwurData!$B:$N, 13, FALSE)</f>
        <v>2014</v>
      </c>
    </row>
    <row r="1050" spans="1:26" x14ac:dyDescent="0.3">
      <c r="A1050" t="s">
        <v>1236</v>
      </c>
      <c r="B1050" t="str">
        <f>IFERROR(VLOOKUP(A1050,[1]timesData!$B:$P,2,FALSE),VLOOKUP(A1050,[2]cwurData!$B:$P,2,FALSE))</f>
        <v>France</v>
      </c>
      <c r="C1050" t="e">
        <f>VLOOKUP(A1050,[1]timesData!$B:$P,3,FALSE)</f>
        <v>#N/A</v>
      </c>
      <c r="D1050" t="e">
        <f>VLOOKUP(A1051,[1]timesData!$B:$P,3,FALSE)</f>
        <v>#N/A</v>
      </c>
      <c r="E1050" t="e">
        <f>VLOOKUP(A1051,[1]timesData!$B:$P,4,FALSE)</f>
        <v>#N/A</v>
      </c>
      <c r="F1050" t="e">
        <f>VLOOKUP(A1051,[1]timesData!$B:$P,5,FALSE)</f>
        <v>#N/A</v>
      </c>
      <c r="G1050" t="e">
        <f>VLOOKUP(A1051,[1]timesData!$B:$P,6,FALSE)</f>
        <v>#N/A</v>
      </c>
      <c r="H1050" t="e">
        <f>VLOOKUP(A1051,[1]timesData!$B:$P,7,FALSE)</f>
        <v>#N/A</v>
      </c>
      <c r="I1050" t="e">
        <f>VLOOKUP(A1051,[1]timesData!$B:$P,8,FALSE)</f>
        <v>#N/A</v>
      </c>
      <c r="J1050" t="e">
        <f>VLOOKUP(A1051,[1]timesData!$B:$P,9,FALSE)</f>
        <v>#N/A</v>
      </c>
      <c r="K1050" t="e">
        <f>VLOOKUP(A1051,[1]timesData!$B:$P,10,FALSE)</f>
        <v>#N/A</v>
      </c>
      <c r="L1050" t="e">
        <f>VLOOKUP(A1051,[1]timesData!$B:$P,11,FALSE)</f>
        <v>#N/A</v>
      </c>
      <c r="M1050" t="e">
        <f>VLOOKUP(A1051,[1]timesData!$B:$P,12,FALSE)</f>
        <v>#N/A</v>
      </c>
      <c r="N1050" t="e">
        <f>VLOOKUP(A1051,[1]timesData!$B:$P,13,FALSE)</f>
        <v>#N/A</v>
      </c>
      <c r="O1050">
        <f>VLOOKUP(A1050,[2]cwurData!$B:$P,14,FALSE)</f>
        <v>721</v>
      </c>
      <c r="P1050">
        <f>VLOOKUP(A1050,[2]cwurData!$B:$N, 3, FALSE)</f>
        <v>32</v>
      </c>
      <c r="Q1050">
        <f>VLOOKUP(A1050,[2]cwurData!$B:$N, 4, FALSE)</f>
        <v>121</v>
      </c>
      <c r="R1050">
        <f>VLOOKUP(A1050,[2]cwurData!$B:$N, 5, FALSE)</f>
        <v>323</v>
      </c>
      <c r="S1050">
        <f>VLOOKUP(A1050,[2]cwurData!$B:$N, 6, FALSE)</f>
        <v>218</v>
      </c>
      <c r="T1050">
        <f>VLOOKUP(A1050,[2]cwurData!$B:$N, 7, FALSE)</f>
        <v>895</v>
      </c>
      <c r="U1050">
        <f>VLOOKUP(A1050,[2]cwurData!$B:$N, 8, FALSE)</f>
        <v>776</v>
      </c>
      <c r="V1050">
        <f>VLOOKUP(A1050,[2]cwurData!$B:$N, 9, FALSE)</f>
        <v>428</v>
      </c>
      <c r="W1050">
        <f>VLOOKUP(A1050,[2]cwurData!$B:$N, 10, FALSE)</f>
        <v>826</v>
      </c>
      <c r="X1050">
        <f>VLOOKUP(A1050,[2]cwurData!$B:$N, 11, FALSE)</f>
        <v>871</v>
      </c>
      <c r="Y1050">
        <f>VLOOKUP(A1050,[2]cwurData!$B:$N, 12, FALSE)</f>
        <v>44.33</v>
      </c>
      <c r="Z1050">
        <f>VLOOKUP(A1050,[2]cwurData!$B:$N, 13, FALSE)</f>
        <v>2015</v>
      </c>
    </row>
    <row r="1051" spans="1:26" x14ac:dyDescent="0.3">
      <c r="A1051" t="s">
        <v>1048</v>
      </c>
      <c r="B1051" t="str">
        <f>IFERROR(VLOOKUP(A1051,[1]timesData!$B:$P,2,FALSE),VLOOKUP(A1051,[2]cwurData!$B:$P,2,FALSE))</f>
        <v>Japan</v>
      </c>
      <c r="C1051" t="e">
        <f>VLOOKUP(A1051,[1]timesData!$B:$P,3,FALSE)</f>
        <v>#N/A</v>
      </c>
      <c r="D1051" t="e">
        <f>VLOOKUP(A1052,[1]timesData!$B:$P,3,FALSE)</f>
        <v>#N/A</v>
      </c>
      <c r="E1051" t="e">
        <f>VLOOKUP(A1052,[1]timesData!$B:$P,4,FALSE)</f>
        <v>#N/A</v>
      </c>
      <c r="F1051" t="e">
        <f>VLOOKUP(A1052,[1]timesData!$B:$P,5,FALSE)</f>
        <v>#N/A</v>
      </c>
      <c r="G1051" t="e">
        <f>VLOOKUP(A1052,[1]timesData!$B:$P,6,FALSE)</f>
        <v>#N/A</v>
      </c>
      <c r="H1051" t="e">
        <f>VLOOKUP(A1052,[1]timesData!$B:$P,7,FALSE)</f>
        <v>#N/A</v>
      </c>
      <c r="I1051" t="e">
        <f>VLOOKUP(A1052,[1]timesData!$B:$P,8,FALSE)</f>
        <v>#N/A</v>
      </c>
      <c r="J1051" t="e">
        <f>VLOOKUP(A1052,[1]timesData!$B:$P,9,FALSE)</f>
        <v>#N/A</v>
      </c>
      <c r="K1051" t="e">
        <f>VLOOKUP(A1052,[1]timesData!$B:$P,10,FALSE)</f>
        <v>#N/A</v>
      </c>
      <c r="L1051" t="e">
        <f>VLOOKUP(A1052,[1]timesData!$B:$P,11,FALSE)</f>
        <v>#N/A</v>
      </c>
      <c r="M1051" t="e">
        <f>VLOOKUP(A1052,[1]timesData!$B:$P,12,FALSE)</f>
        <v>#N/A</v>
      </c>
      <c r="N1051" t="e">
        <f>VLOOKUP(A1052,[1]timesData!$B:$P,13,FALSE)</f>
        <v>#N/A</v>
      </c>
      <c r="O1051">
        <f>VLOOKUP(A1051,[2]cwurData!$B:$P,14,FALSE)</f>
        <v>721</v>
      </c>
      <c r="P1051">
        <f>VLOOKUP(A1051,[2]cwurData!$B:$N, 3, FALSE)</f>
        <v>48</v>
      </c>
      <c r="Q1051">
        <f>VLOOKUP(A1051,[2]cwurData!$B:$N, 4, FALSE)</f>
        <v>355</v>
      </c>
      <c r="R1051">
        <f>VLOOKUP(A1051,[2]cwurData!$B:$N, 5, FALSE)</f>
        <v>478</v>
      </c>
      <c r="S1051">
        <f>VLOOKUP(A1051,[2]cwurData!$B:$N, 6, FALSE)</f>
        <v>210</v>
      </c>
      <c r="T1051">
        <f>VLOOKUP(A1051,[2]cwurData!$B:$N, 7, FALSE)</f>
        <v>823</v>
      </c>
      <c r="U1051">
        <f>VLOOKUP(A1051,[2]cwurData!$B:$N, 8, FALSE)</f>
        <v>712</v>
      </c>
      <c r="V1051">
        <f>VLOOKUP(A1051,[2]cwurData!$B:$N, 9, FALSE)</f>
        <v>609</v>
      </c>
      <c r="W1051">
        <f>VLOOKUP(A1051,[2]cwurData!$B:$N, 10, FALSE)</f>
        <v>605</v>
      </c>
      <c r="X1051">
        <f>VLOOKUP(A1051,[2]cwurData!$B:$N, 11, FALSE)</f>
        <v>737</v>
      </c>
      <c r="Y1051">
        <f>VLOOKUP(A1051,[2]cwurData!$B:$N, 12, FALSE)</f>
        <v>44.62</v>
      </c>
      <c r="Z1051">
        <f>VLOOKUP(A1051,[2]cwurData!$B:$N, 13, FALSE)</f>
        <v>2014</v>
      </c>
    </row>
    <row r="1052" spans="1:26" x14ac:dyDescent="0.3">
      <c r="A1052" t="s">
        <v>1049</v>
      </c>
      <c r="B1052" t="str">
        <f>IFERROR(VLOOKUP(A1052,[1]timesData!$B:$P,2,FALSE),VLOOKUP(A1052,[2]cwurData!$B:$P,2,FALSE))</f>
        <v>Japan</v>
      </c>
      <c r="C1052" t="e">
        <f>VLOOKUP(A1052,[1]timesData!$B:$P,3,FALSE)</f>
        <v>#N/A</v>
      </c>
      <c r="D1052" t="e">
        <f>VLOOKUP(A1053,[1]timesData!$B:$P,3,FALSE)</f>
        <v>#N/A</v>
      </c>
      <c r="E1052" t="e">
        <f>VLOOKUP(A1053,[1]timesData!$B:$P,4,FALSE)</f>
        <v>#N/A</v>
      </c>
      <c r="F1052" t="e">
        <f>VLOOKUP(A1053,[1]timesData!$B:$P,5,FALSE)</f>
        <v>#N/A</v>
      </c>
      <c r="G1052" t="e">
        <f>VLOOKUP(A1053,[1]timesData!$B:$P,6,FALSE)</f>
        <v>#N/A</v>
      </c>
      <c r="H1052" t="e">
        <f>VLOOKUP(A1053,[1]timesData!$B:$P,7,FALSE)</f>
        <v>#N/A</v>
      </c>
      <c r="I1052" t="e">
        <f>VLOOKUP(A1053,[1]timesData!$B:$P,8,FALSE)</f>
        <v>#N/A</v>
      </c>
      <c r="J1052" t="e">
        <f>VLOOKUP(A1053,[1]timesData!$B:$P,9,FALSE)</f>
        <v>#N/A</v>
      </c>
      <c r="K1052" t="e">
        <f>VLOOKUP(A1053,[1]timesData!$B:$P,10,FALSE)</f>
        <v>#N/A</v>
      </c>
      <c r="L1052" t="e">
        <f>VLOOKUP(A1053,[1]timesData!$B:$P,11,FALSE)</f>
        <v>#N/A</v>
      </c>
      <c r="M1052" t="e">
        <f>VLOOKUP(A1053,[1]timesData!$B:$P,12,FALSE)</f>
        <v>#N/A</v>
      </c>
      <c r="N1052" t="e">
        <f>VLOOKUP(A1053,[1]timesData!$B:$P,13,FALSE)</f>
        <v>#N/A</v>
      </c>
      <c r="O1052">
        <f>VLOOKUP(A1052,[2]cwurData!$B:$P,14,FALSE)</f>
        <v>726</v>
      </c>
      <c r="P1052">
        <f>VLOOKUP(A1052,[2]cwurData!$B:$N, 3, FALSE)</f>
        <v>49</v>
      </c>
      <c r="Q1052">
        <f>VLOOKUP(A1052,[2]cwurData!$B:$N, 4, FALSE)</f>
        <v>355</v>
      </c>
      <c r="R1052">
        <f>VLOOKUP(A1052,[2]cwurData!$B:$N, 5, FALSE)</f>
        <v>478</v>
      </c>
      <c r="S1052">
        <f>VLOOKUP(A1052,[2]cwurData!$B:$N, 6, FALSE)</f>
        <v>210</v>
      </c>
      <c r="T1052">
        <f>VLOOKUP(A1052,[2]cwurData!$B:$N, 7, FALSE)</f>
        <v>706</v>
      </c>
      <c r="U1052">
        <f>VLOOKUP(A1052,[2]cwurData!$B:$N, 8, FALSE)</f>
        <v>510</v>
      </c>
      <c r="V1052">
        <f>VLOOKUP(A1052,[2]cwurData!$B:$N, 9, FALSE)</f>
        <v>800</v>
      </c>
      <c r="W1052">
        <f>VLOOKUP(A1052,[2]cwurData!$B:$N, 10, FALSE)</f>
        <v>618</v>
      </c>
      <c r="X1052">
        <f>VLOOKUP(A1052,[2]cwurData!$B:$N, 11, FALSE)</f>
        <v>737</v>
      </c>
      <c r="Y1052">
        <f>VLOOKUP(A1052,[2]cwurData!$B:$N, 12, FALSE)</f>
        <v>44.61</v>
      </c>
      <c r="Z1052">
        <f>VLOOKUP(A1052,[2]cwurData!$B:$N, 13, FALSE)</f>
        <v>2014</v>
      </c>
    </row>
    <row r="1053" spans="1:26" x14ac:dyDescent="0.3">
      <c r="A1053" t="s">
        <v>1050</v>
      </c>
      <c r="B1053" t="str">
        <f>IFERROR(VLOOKUP(A1053,[1]timesData!$B:$P,2,FALSE),VLOOKUP(A1053,[2]cwurData!$B:$P,2,FALSE))</f>
        <v>USA</v>
      </c>
      <c r="C1053" t="e">
        <f>VLOOKUP(A1053,[1]timesData!$B:$P,3,FALSE)</f>
        <v>#N/A</v>
      </c>
      <c r="D1053" t="e">
        <f>VLOOKUP(A1054,[1]timesData!$B:$P,3,FALSE)</f>
        <v>#N/A</v>
      </c>
      <c r="E1053" t="e">
        <f>VLOOKUP(A1054,[1]timesData!$B:$P,4,FALSE)</f>
        <v>#N/A</v>
      </c>
      <c r="F1053" t="e">
        <f>VLOOKUP(A1054,[1]timesData!$B:$P,5,FALSE)</f>
        <v>#N/A</v>
      </c>
      <c r="G1053" t="e">
        <f>VLOOKUP(A1054,[1]timesData!$B:$P,6,FALSE)</f>
        <v>#N/A</v>
      </c>
      <c r="H1053" t="e">
        <f>VLOOKUP(A1054,[1]timesData!$B:$P,7,FALSE)</f>
        <v>#N/A</v>
      </c>
      <c r="I1053" t="e">
        <f>VLOOKUP(A1054,[1]timesData!$B:$P,8,FALSE)</f>
        <v>#N/A</v>
      </c>
      <c r="J1053" t="e">
        <f>VLOOKUP(A1054,[1]timesData!$B:$P,9,FALSE)</f>
        <v>#N/A</v>
      </c>
      <c r="K1053" t="e">
        <f>VLOOKUP(A1054,[1]timesData!$B:$P,10,FALSE)</f>
        <v>#N/A</v>
      </c>
      <c r="L1053" t="e">
        <f>VLOOKUP(A1054,[1]timesData!$B:$P,11,FALSE)</f>
        <v>#N/A</v>
      </c>
      <c r="M1053" t="e">
        <f>VLOOKUP(A1054,[1]timesData!$B:$P,12,FALSE)</f>
        <v>#N/A</v>
      </c>
      <c r="N1053" t="e">
        <f>VLOOKUP(A1054,[1]timesData!$B:$P,13,FALSE)</f>
        <v>#N/A</v>
      </c>
      <c r="O1053">
        <f>VLOOKUP(A1053,[2]cwurData!$B:$P,14,FALSE)</f>
        <v>727</v>
      </c>
      <c r="P1053">
        <f>VLOOKUP(A1053,[2]cwurData!$B:$N, 3, FALSE)</f>
        <v>205</v>
      </c>
      <c r="Q1053">
        <f>VLOOKUP(A1053,[2]cwurData!$B:$N, 4, FALSE)</f>
        <v>355</v>
      </c>
      <c r="R1053">
        <f>VLOOKUP(A1053,[2]cwurData!$B:$N, 5, FALSE)</f>
        <v>264</v>
      </c>
      <c r="S1053">
        <f>VLOOKUP(A1053,[2]cwurData!$B:$N, 6, FALSE)</f>
        <v>210</v>
      </c>
      <c r="T1053">
        <f>VLOOKUP(A1053,[2]cwurData!$B:$N, 7, FALSE)</f>
        <v>749</v>
      </c>
      <c r="U1053">
        <f>VLOOKUP(A1053,[2]cwurData!$B:$N, 8, FALSE)</f>
        <v>671</v>
      </c>
      <c r="V1053">
        <f>VLOOKUP(A1053,[2]cwurData!$B:$N, 9, FALSE)</f>
        <v>493</v>
      </c>
      <c r="W1053">
        <f>VLOOKUP(A1053,[2]cwurData!$B:$N, 10, FALSE)</f>
        <v>832</v>
      </c>
      <c r="X1053">
        <f>VLOOKUP(A1053,[2]cwurData!$B:$N, 11, FALSE)</f>
        <v>637</v>
      </c>
      <c r="Y1053">
        <f>VLOOKUP(A1053,[2]cwurData!$B:$N, 12, FALSE)</f>
        <v>44.61</v>
      </c>
      <c r="Z1053">
        <f>VLOOKUP(A1053,[2]cwurData!$B:$N, 13, FALSE)</f>
        <v>2014</v>
      </c>
    </row>
    <row r="1054" spans="1:26" x14ac:dyDescent="0.3">
      <c r="A1054" t="s">
        <v>1051</v>
      </c>
      <c r="B1054" t="str">
        <f>IFERROR(VLOOKUP(A1054,[1]timesData!$B:$P,2,FALSE),VLOOKUP(A1054,[2]cwurData!$B:$P,2,FALSE))</f>
        <v>Italy</v>
      </c>
      <c r="C1054" t="e">
        <f>VLOOKUP(A1054,[1]timesData!$B:$P,3,FALSE)</f>
        <v>#N/A</v>
      </c>
      <c r="D1054" t="e">
        <f>VLOOKUP(A1055,[1]timesData!$B:$P,3,FALSE)</f>
        <v>#N/A</v>
      </c>
      <c r="E1054" t="e">
        <f>VLOOKUP(A1055,[1]timesData!$B:$P,4,FALSE)</f>
        <v>#N/A</v>
      </c>
      <c r="F1054" t="e">
        <f>VLOOKUP(A1055,[1]timesData!$B:$P,5,FALSE)</f>
        <v>#N/A</v>
      </c>
      <c r="G1054" t="e">
        <f>VLOOKUP(A1055,[1]timesData!$B:$P,6,FALSE)</f>
        <v>#N/A</v>
      </c>
      <c r="H1054" t="e">
        <f>VLOOKUP(A1055,[1]timesData!$B:$P,7,FALSE)</f>
        <v>#N/A</v>
      </c>
      <c r="I1054" t="e">
        <f>VLOOKUP(A1055,[1]timesData!$B:$P,8,FALSE)</f>
        <v>#N/A</v>
      </c>
      <c r="J1054" t="e">
        <f>VLOOKUP(A1055,[1]timesData!$B:$P,9,FALSE)</f>
        <v>#N/A</v>
      </c>
      <c r="K1054" t="e">
        <f>VLOOKUP(A1055,[1]timesData!$B:$P,10,FALSE)</f>
        <v>#N/A</v>
      </c>
      <c r="L1054" t="e">
        <f>VLOOKUP(A1055,[1]timesData!$B:$P,11,FALSE)</f>
        <v>#N/A</v>
      </c>
      <c r="M1054" t="e">
        <f>VLOOKUP(A1055,[1]timesData!$B:$P,12,FALSE)</f>
        <v>#N/A</v>
      </c>
      <c r="N1054" t="e">
        <f>VLOOKUP(A1055,[1]timesData!$B:$P,13,FALSE)</f>
        <v>#N/A</v>
      </c>
      <c r="O1054">
        <f>VLOOKUP(A1054,[2]cwurData!$B:$P,14,FALSE)</f>
        <v>728</v>
      </c>
      <c r="P1054">
        <f>VLOOKUP(A1054,[2]cwurData!$B:$N, 3, FALSE)</f>
        <v>39</v>
      </c>
      <c r="Q1054">
        <f>VLOOKUP(A1054,[2]cwurData!$B:$N, 4, FALSE)</f>
        <v>355</v>
      </c>
      <c r="R1054">
        <f>VLOOKUP(A1054,[2]cwurData!$B:$N, 5, FALSE)</f>
        <v>478</v>
      </c>
      <c r="S1054">
        <f>VLOOKUP(A1054,[2]cwurData!$B:$N, 6, FALSE)</f>
        <v>210</v>
      </c>
      <c r="T1054">
        <f>VLOOKUP(A1054,[2]cwurData!$B:$N, 7, FALSE)</f>
        <v>733</v>
      </c>
      <c r="U1054">
        <f>VLOOKUP(A1054,[2]cwurData!$B:$N, 8, FALSE)</f>
        <v>574</v>
      </c>
      <c r="V1054">
        <f>VLOOKUP(A1054,[2]cwurData!$B:$N, 9, FALSE)</f>
        <v>609</v>
      </c>
      <c r="W1054">
        <f>VLOOKUP(A1054,[2]cwurData!$B:$N, 10, FALSE)</f>
        <v>618</v>
      </c>
      <c r="X1054">
        <f>VLOOKUP(A1054,[2]cwurData!$B:$N, 11, FALSE)</f>
        <v>737</v>
      </c>
      <c r="Y1054">
        <f>VLOOKUP(A1054,[2]cwurData!$B:$N, 12, FALSE)</f>
        <v>44.61</v>
      </c>
      <c r="Z1054">
        <f>VLOOKUP(A1054,[2]cwurData!$B:$N, 13, FALSE)</f>
        <v>2014</v>
      </c>
    </row>
    <row r="1055" spans="1:26" x14ac:dyDescent="0.3">
      <c r="A1055" t="s">
        <v>1052</v>
      </c>
      <c r="B1055" t="str">
        <f>IFERROR(VLOOKUP(A1055,[1]timesData!$B:$P,2,FALSE),VLOOKUP(A1055,[2]cwurData!$B:$P,2,FALSE))</f>
        <v>Spain</v>
      </c>
      <c r="C1055" t="e">
        <f>VLOOKUP(A1055,[1]timesData!$B:$P,3,FALSE)</f>
        <v>#N/A</v>
      </c>
      <c r="D1055" t="e">
        <f>VLOOKUP(A1056,[1]timesData!$B:$P,3,FALSE)</f>
        <v>#N/A</v>
      </c>
      <c r="E1055" t="e">
        <f>VLOOKUP(A1056,[1]timesData!$B:$P,4,FALSE)</f>
        <v>#N/A</v>
      </c>
      <c r="F1055" t="e">
        <f>VLOOKUP(A1056,[1]timesData!$B:$P,5,FALSE)</f>
        <v>#N/A</v>
      </c>
      <c r="G1055" t="e">
        <f>VLOOKUP(A1056,[1]timesData!$B:$P,6,FALSE)</f>
        <v>#N/A</v>
      </c>
      <c r="H1055" t="e">
        <f>VLOOKUP(A1056,[1]timesData!$B:$P,7,FALSE)</f>
        <v>#N/A</v>
      </c>
      <c r="I1055" t="e">
        <f>VLOOKUP(A1056,[1]timesData!$B:$P,8,FALSE)</f>
        <v>#N/A</v>
      </c>
      <c r="J1055" t="e">
        <f>VLOOKUP(A1056,[1]timesData!$B:$P,9,FALSE)</f>
        <v>#N/A</v>
      </c>
      <c r="K1055" t="e">
        <f>VLOOKUP(A1056,[1]timesData!$B:$P,10,FALSE)</f>
        <v>#N/A</v>
      </c>
      <c r="L1055" t="e">
        <f>VLOOKUP(A1056,[1]timesData!$B:$P,11,FALSE)</f>
        <v>#N/A</v>
      </c>
      <c r="M1055" t="e">
        <f>VLOOKUP(A1056,[1]timesData!$B:$P,12,FALSE)</f>
        <v>#N/A</v>
      </c>
      <c r="N1055" t="e">
        <f>VLOOKUP(A1056,[1]timesData!$B:$P,13,FALSE)</f>
        <v>#N/A</v>
      </c>
      <c r="O1055">
        <f>VLOOKUP(A1055,[2]cwurData!$B:$P,14,FALSE)</f>
        <v>729</v>
      </c>
      <c r="P1055">
        <f>VLOOKUP(A1055,[2]cwurData!$B:$N, 3, FALSE)</f>
        <v>25</v>
      </c>
      <c r="Q1055">
        <f>VLOOKUP(A1055,[2]cwurData!$B:$N, 4, FALSE)</f>
        <v>355</v>
      </c>
      <c r="R1055">
        <f>VLOOKUP(A1055,[2]cwurData!$B:$N, 5, FALSE)</f>
        <v>478</v>
      </c>
      <c r="S1055">
        <f>VLOOKUP(A1055,[2]cwurData!$B:$N, 6, FALSE)</f>
        <v>210</v>
      </c>
      <c r="T1055">
        <f>VLOOKUP(A1055,[2]cwurData!$B:$N, 7, FALSE)</f>
        <v>596</v>
      </c>
      <c r="U1055">
        <f>VLOOKUP(A1055,[2]cwurData!$B:$N, 8, FALSE)</f>
        <v>637</v>
      </c>
      <c r="V1055">
        <f>VLOOKUP(A1055,[2]cwurData!$B:$N, 9, FALSE)</f>
        <v>406</v>
      </c>
      <c r="W1055">
        <f>VLOOKUP(A1055,[2]cwurData!$B:$N, 10, FALSE)</f>
        <v>663</v>
      </c>
      <c r="X1055">
        <f>VLOOKUP(A1055,[2]cwurData!$B:$N, 11, FALSE)</f>
        <v>481</v>
      </c>
      <c r="Y1055">
        <f>VLOOKUP(A1055,[2]cwurData!$B:$N, 12, FALSE)</f>
        <v>44.61</v>
      </c>
      <c r="Z1055">
        <f>VLOOKUP(A1055,[2]cwurData!$B:$N, 13, FALSE)</f>
        <v>2014</v>
      </c>
    </row>
    <row r="1056" spans="1:26" x14ac:dyDescent="0.3">
      <c r="A1056" t="s">
        <v>1053</v>
      </c>
      <c r="B1056" t="str">
        <f>IFERROR(VLOOKUP(A1056,[1]timesData!$B:$P,2,FALSE),VLOOKUP(A1056,[2]cwurData!$B:$P,2,FALSE))</f>
        <v>Spain</v>
      </c>
      <c r="C1056" t="e">
        <f>VLOOKUP(A1056,[1]timesData!$B:$P,3,FALSE)</f>
        <v>#N/A</v>
      </c>
      <c r="D1056" t="e">
        <f>VLOOKUP(A1057,[1]timesData!$B:$P,3,FALSE)</f>
        <v>#N/A</v>
      </c>
      <c r="E1056" t="e">
        <f>VLOOKUP(A1057,[1]timesData!$B:$P,4,FALSE)</f>
        <v>#N/A</v>
      </c>
      <c r="F1056" t="e">
        <f>VLOOKUP(A1057,[1]timesData!$B:$P,5,FALSE)</f>
        <v>#N/A</v>
      </c>
      <c r="G1056" t="e">
        <f>VLOOKUP(A1057,[1]timesData!$B:$P,6,FALSE)</f>
        <v>#N/A</v>
      </c>
      <c r="H1056" t="e">
        <f>VLOOKUP(A1057,[1]timesData!$B:$P,7,FALSE)</f>
        <v>#N/A</v>
      </c>
      <c r="I1056" t="e">
        <f>VLOOKUP(A1057,[1]timesData!$B:$P,8,FALSE)</f>
        <v>#N/A</v>
      </c>
      <c r="J1056" t="e">
        <f>VLOOKUP(A1057,[1]timesData!$B:$P,9,FALSE)</f>
        <v>#N/A</v>
      </c>
      <c r="K1056" t="e">
        <f>VLOOKUP(A1057,[1]timesData!$B:$P,10,FALSE)</f>
        <v>#N/A</v>
      </c>
      <c r="L1056" t="e">
        <f>VLOOKUP(A1057,[1]timesData!$B:$P,11,FALSE)</f>
        <v>#N/A</v>
      </c>
      <c r="M1056" t="e">
        <f>VLOOKUP(A1057,[1]timesData!$B:$P,12,FALSE)</f>
        <v>#N/A</v>
      </c>
      <c r="N1056" t="e">
        <f>VLOOKUP(A1057,[1]timesData!$B:$P,13,FALSE)</f>
        <v>#N/A</v>
      </c>
      <c r="O1056">
        <f>VLOOKUP(A1056,[2]cwurData!$B:$P,14,FALSE)</f>
        <v>730</v>
      </c>
      <c r="P1056">
        <f>VLOOKUP(A1056,[2]cwurData!$B:$N, 3, FALSE)</f>
        <v>26</v>
      </c>
      <c r="Q1056">
        <f>VLOOKUP(A1056,[2]cwurData!$B:$N, 4, FALSE)</f>
        <v>355</v>
      </c>
      <c r="R1056">
        <f>VLOOKUP(A1056,[2]cwurData!$B:$N, 5, FALSE)</f>
        <v>478</v>
      </c>
      <c r="S1056">
        <f>VLOOKUP(A1056,[2]cwurData!$B:$N, 6, FALSE)</f>
        <v>210</v>
      </c>
      <c r="T1056">
        <f>VLOOKUP(A1056,[2]cwurData!$B:$N, 7, FALSE)</f>
        <v>769</v>
      </c>
      <c r="U1056">
        <f>VLOOKUP(A1056,[2]cwurData!$B:$N, 8, FALSE)</f>
        <v>584</v>
      </c>
      <c r="V1056">
        <f>VLOOKUP(A1056,[2]cwurData!$B:$N, 9, FALSE)</f>
        <v>800</v>
      </c>
      <c r="W1056">
        <f>VLOOKUP(A1056,[2]cwurData!$B:$N, 10, FALSE)</f>
        <v>690</v>
      </c>
      <c r="X1056">
        <f>VLOOKUP(A1056,[2]cwurData!$B:$N, 11, FALSE)</f>
        <v>307</v>
      </c>
      <c r="Y1056">
        <f>VLOOKUP(A1056,[2]cwurData!$B:$N, 12, FALSE)</f>
        <v>44.61</v>
      </c>
      <c r="Z1056">
        <f>VLOOKUP(A1056,[2]cwurData!$B:$N, 13, FALSE)</f>
        <v>2014</v>
      </c>
    </row>
    <row r="1057" spans="1:26" x14ac:dyDescent="0.3">
      <c r="A1057" t="s">
        <v>1054</v>
      </c>
      <c r="B1057" t="str">
        <f>IFERROR(VLOOKUP(A1057,[1]timesData!$B:$P,2,FALSE),VLOOKUP(A1057,[2]cwurData!$B:$P,2,FALSE))</f>
        <v>China</v>
      </c>
      <c r="C1057" t="e">
        <f>VLOOKUP(A1057,[1]timesData!$B:$P,3,FALSE)</f>
        <v>#N/A</v>
      </c>
      <c r="D1057" t="e">
        <f>VLOOKUP(A1058,[1]timesData!$B:$P,3,FALSE)</f>
        <v>#N/A</v>
      </c>
      <c r="E1057" t="e">
        <f>VLOOKUP(A1058,[1]timesData!$B:$P,4,FALSE)</f>
        <v>#N/A</v>
      </c>
      <c r="F1057" t="e">
        <f>VLOOKUP(A1058,[1]timesData!$B:$P,5,FALSE)</f>
        <v>#N/A</v>
      </c>
      <c r="G1057" t="e">
        <f>VLOOKUP(A1058,[1]timesData!$B:$P,6,FALSE)</f>
        <v>#N/A</v>
      </c>
      <c r="H1057" t="e">
        <f>VLOOKUP(A1058,[1]timesData!$B:$P,7,FALSE)</f>
        <v>#N/A</v>
      </c>
      <c r="I1057" t="e">
        <f>VLOOKUP(A1058,[1]timesData!$B:$P,8,FALSE)</f>
        <v>#N/A</v>
      </c>
      <c r="J1057" t="e">
        <f>VLOOKUP(A1058,[1]timesData!$B:$P,9,FALSE)</f>
        <v>#N/A</v>
      </c>
      <c r="K1057" t="e">
        <f>VLOOKUP(A1058,[1]timesData!$B:$P,10,FALSE)</f>
        <v>#N/A</v>
      </c>
      <c r="L1057" t="e">
        <f>VLOOKUP(A1058,[1]timesData!$B:$P,11,FALSE)</f>
        <v>#N/A</v>
      </c>
      <c r="M1057" t="e">
        <f>VLOOKUP(A1058,[1]timesData!$B:$P,12,FALSE)</f>
        <v>#N/A</v>
      </c>
      <c r="N1057" t="e">
        <f>VLOOKUP(A1058,[1]timesData!$B:$P,13,FALSE)</f>
        <v>#N/A</v>
      </c>
      <c r="O1057">
        <f>VLOOKUP(A1057,[2]cwurData!$B:$P,14,FALSE)</f>
        <v>731</v>
      </c>
      <c r="P1057">
        <f>VLOOKUP(A1057,[2]cwurData!$B:$N, 3, FALSE)</f>
        <v>39</v>
      </c>
      <c r="Q1057">
        <f>VLOOKUP(A1057,[2]cwurData!$B:$N, 4, FALSE)</f>
        <v>355</v>
      </c>
      <c r="R1057">
        <f>VLOOKUP(A1057,[2]cwurData!$B:$N, 5, FALSE)</f>
        <v>478</v>
      </c>
      <c r="S1057">
        <f>VLOOKUP(A1057,[2]cwurData!$B:$N, 6, FALSE)</f>
        <v>210</v>
      </c>
      <c r="T1057">
        <f>VLOOKUP(A1057,[2]cwurData!$B:$N, 7, FALSE)</f>
        <v>833</v>
      </c>
      <c r="U1057">
        <f>VLOOKUP(A1057,[2]cwurData!$B:$N, 8, FALSE)</f>
        <v>952</v>
      </c>
      <c r="V1057">
        <f>VLOOKUP(A1057,[2]cwurData!$B:$N, 9, FALSE)</f>
        <v>250</v>
      </c>
      <c r="W1057">
        <f>VLOOKUP(A1057,[2]cwurData!$B:$N, 10, FALSE)</f>
        <v>690</v>
      </c>
      <c r="X1057">
        <f>VLOOKUP(A1057,[2]cwurData!$B:$N, 11, FALSE)</f>
        <v>481</v>
      </c>
      <c r="Y1057">
        <f>VLOOKUP(A1057,[2]cwurData!$B:$N, 12, FALSE)</f>
        <v>44.61</v>
      </c>
      <c r="Z1057">
        <f>VLOOKUP(A1057,[2]cwurData!$B:$N, 13, FALSE)</f>
        <v>2014</v>
      </c>
    </row>
    <row r="1058" spans="1:26" x14ac:dyDescent="0.3">
      <c r="A1058" t="s">
        <v>1055</v>
      </c>
      <c r="B1058" t="str">
        <f>IFERROR(VLOOKUP(A1058,[1]timesData!$B:$P,2,FALSE),VLOOKUP(A1058,[2]cwurData!$B:$P,2,FALSE))</f>
        <v>USA</v>
      </c>
      <c r="C1058" t="e">
        <f>VLOOKUP(A1058,[1]timesData!$B:$P,3,FALSE)</f>
        <v>#N/A</v>
      </c>
      <c r="D1058" t="e">
        <f>VLOOKUP(A1059,[1]timesData!$B:$P,3,FALSE)</f>
        <v>#N/A</v>
      </c>
      <c r="E1058" t="e">
        <f>VLOOKUP(A1059,[1]timesData!$B:$P,4,FALSE)</f>
        <v>#N/A</v>
      </c>
      <c r="F1058" t="e">
        <f>VLOOKUP(A1059,[1]timesData!$B:$P,5,FALSE)</f>
        <v>#N/A</v>
      </c>
      <c r="G1058" t="e">
        <f>VLOOKUP(A1059,[1]timesData!$B:$P,6,FALSE)</f>
        <v>#N/A</v>
      </c>
      <c r="H1058" t="e">
        <f>VLOOKUP(A1059,[1]timesData!$B:$P,7,FALSE)</f>
        <v>#N/A</v>
      </c>
      <c r="I1058" t="e">
        <f>VLOOKUP(A1059,[1]timesData!$B:$P,8,FALSE)</f>
        <v>#N/A</v>
      </c>
      <c r="J1058" t="e">
        <f>VLOOKUP(A1059,[1]timesData!$B:$P,9,FALSE)</f>
        <v>#N/A</v>
      </c>
      <c r="K1058" t="e">
        <f>VLOOKUP(A1059,[1]timesData!$B:$P,10,FALSE)</f>
        <v>#N/A</v>
      </c>
      <c r="L1058" t="e">
        <f>VLOOKUP(A1059,[1]timesData!$B:$P,11,FALSE)</f>
        <v>#N/A</v>
      </c>
      <c r="M1058" t="e">
        <f>VLOOKUP(A1059,[1]timesData!$B:$P,12,FALSE)</f>
        <v>#N/A</v>
      </c>
      <c r="N1058" t="e">
        <f>VLOOKUP(A1059,[1]timesData!$B:$P,13,FALSE)</f>
        <v>#N/A</v>
      </c>
      <c r="O1058">
        <f>VLOOKUP(A1058,[2]cwurData!$B:$P,14,FALSE)</f>
        <v>733</v>
      </c>
      <c r="P1058">
        <f>VLOOKUP(A1058,[2]cwurData!$B:$N, 3, FALSE)</f>
        <v>206</v>
      </c>
      <c r="Q1058">
        <f>VLOOKUP(A1058,[2]cwurData!$B:$N, 4, FALSE)</f>
        <v>355</v>
      </c>
      <c r="R1058">
        <f>VLOOKUP(A1058,[2]cwurData!$B:$N, 5, FALSE)</f>
        <v>478</v>
      </c>
      <c r="S1058">
        <f>VLOOKUP(A1058,[2]cwurData!$B:$N, 6, FALSE)</f>
        <v>210</v>
      </c>
      <c r="T1058">
        <f>VLOOKUP(A1058,[2]cwurData!$B:$N, 7, FALSE)</f>
        <v>886</v>
      </c>
      <c r="U1058">
        <f>VLOOKUP(A1058,[2]cwurData!$B:$N, 8, FALSE)</f>
        <v>443</v>
      </c>
      <c r="V1058">
        <f>VLOOKUP(A1058,[2]cwurData!$B:$N, 9, FALSE)</f>
        <v>800</v>
      </c>
      <c r="W1058">
        <f>VLOOKUP(A1058,[2]cwurData!$B:$N, 10, FALSE)</f>
        <v>618</v>
      </c>
      <c r="X1058">
        <f>VLOOKUP(A1058,[2]cwurData!$B:$N, 11, FALSE)</f>
        <v>737</v>
      </c>
      <c r="Y1058">
        <f>VLOOKUP(A1058,[2]cwurData!$B:$N, 12, FALSE)</f>
        <v>44.6</v>
      </c>
      <c r="Z1058">
        <f>VLOOKUP(A1058,[2]cwurData!$B:$N, 13, FALSE)</f>
        <v>2014</v>
      </c>
    </row>
    <row r="1059" spans="1:26" x14ac:dyDescent="0.3">
      <c r="A1059" t="s">
        <v>1056</v>
      </c>
      <c r="B1059" t="str">
        <f>IFERROR(VLOOKUP(A1059,[1]timesData!$B:$P,2,FALSE),VLOOKUP(A1059,[2]cwurData!$B:$P,2,FALSE))</f>
        <v>Japan</v>
      </c>
      <c r="C1059" t="e">
        <f>VLOOKUP(A1059,[1]timesData!$B:$P,3,FALSE)</f>
        <v>#N/A</v>
      </c>
      <c r="D1059" t="e">
        <f>VLOOKUP(A1060,[1]timesData!$B:$P,3,FALSE)</f>
        <v>#N/A</v>
      </c>
      <c r="E1059" t="e">
        <f>VLOOKUP(A1060,[1]timesData!$B:$P,4,FALSE)</f>
        <v>#N/A</v>
      </c>
      <c r="F1059" t="e">
        <f>VLOOKUP(A1060,[1]timesData!$B:$P,5,FALSE)</f>
        <v>#N/A</v>
      </c>
      <c r="G1059" t="e">
        <f>VLOOKUP(A1060,[1]timesData!$B:$P,6,FALSE)</f>
        <v>#N/A</v>
      </c>
      <c r="H1059" t="e">
        <f>VLOOKUP(A1060,[1]timesData!$B:$P,7,FALSE)</f>
        <v>#N/A</v>
      </c>
      <c r="I1059" t="e">
        <f>VLOOKUP(A1060,[1]timesData!$B:$P,8,FALSE)</f>
        <v>#N/A</v>
      </c>
      <c r="J1059" t="e">
        <f>VLOOKUP(A1060,[1]timesData!$B:$P,9,FALSE)</f>
        <v>#N/A</v>
      </c>
      <c r="K1059" t="e">
        <f>VLOOKUP(A1060,[1]timesData!$B:$P,10,FALSE)</f>
        <v>#N/A</v>
      </c>
      <c r="L1059" t="e">
        <f>VLOOKUP(A1060,[1]timesData!$B:$P,11,FALSE)</f>
        <v>#N/A</v>
      </c>
      <c r="M1059" t="e">
        <f>VLOOKUP(A1060,[1]timesData!$B:$P,12,FALSE)</f>
        <v>#N/A</v>
      </c>
      <c r="N1059" t="e">
        <f>VLOOKUP(A1060,[1]timesData!$B:$P,13,FALSE)</f>
        <v>#N/A</v>
      </c>
      <c r="O1059">
        <f>VLOOKUP(A1059,[2]cwurData!$B:$P,14,FALSE)</f>
        <v>734</v>
      </c>
      <c r="P1059">
        <f>VLOOKUP(A1059,[2]cwurData!$B:$N, 3, FALSE)</f>
        <v>50</v>
      </c>
      <c r="Q1059">
        <f>VLOOKUP(A1059,[2]cwurData!$B:$N, 4, FALSE)</f>
        <v>355</v>
      </c>
      <c r="R1059">
        <f>VLOOKUP(A1059,[2]cwurData!$B:$N, 5, FALSE)</f>
        <v>478</v>
      </c>
      <c r="S1059">
        <f>VLOOKUP(A1059,[2]cwurData!$B:$N, 6, FALSE)</f>
        <v>210</v>
      </c>
      <c r="T1059">
        <f>VLOOKUP(A1059,[2]cwurData!$B:$N, 7, FALSE)</f>
        <v>805</v>
      </c>
      <c r="U1059">
        <f>VLOOKUP(A1059,[2]cwurData!$B:$N, 8, FALSE)</f>
        <v>834</v>
      </c>
      <c r="V1059">
        <f>VLOOKUP(A1059,[2]cwurData!$B:$N, 9, FALSE)</f>
        <v>609</v>
      </c>
      <c r="W1059">
        <f>VLOOKUP(A1059,[2]cwurData!$B:$N, 10, FALSE)</f>
        <v>675</v>
      </c>
      <c r="X1059">
        <f>VLOOKUP(A1059,[2]cwurData!$B:$N, 11, FALSE)</f>
        <v>338</v>
      </c>
      <c r="Y1059">
        <f>VLOOKUP(A1059,[2]cwurData!$B:$N, 12, FALSE)</f>
        <v>44.6</v>
      </c>
      <c r="Z1059">
        <f>VLOOKUP(A1059,[2]cwurData!$B:$N, 13, FALSE)</f>
        <v>2014</v>
      </c>
    </row>
    <row r="1060" spans="1:26" x14ac:dyDescent="0.3">
      <c r="A1060" t="s">
        <v>1057</v>
      </c>
      <c r="B1060" t="str">
        <f>IFERROR(VLOOKUP(A1060,[1]timesData!$B:$P,2,FALSE),VLOOKUP(A1060,[2]cwurData!$B:$P,2,FALSE))</f>
        <v>USA</v>
      </c>
      <c r="C1060" t="e">
        <f>VLOOKUP(A1060,[1]timesData!$B:$P,3,FALSE)</f>
        <v>#N/A</v>
      </c>
      <c r="D1060" t="e">
        <f>VLOOKUP(A1061,[1]timesData!$B:$P,3,FALSE)</f>
        <v>#N/A</v>
      </c>
      <c r="E1060" t="e">
        <f>VLOOKUP(A1061,[1]timesData!$B:$P,4,FALSE)</f>
        <v>#N/A</v>
      </c>
      <c r="F1060" t="e">
        <f>VLOOKUP(A1061,[1]timesData!$B:$P,5,FALSE)</f>
        <v>#N/A</v>
      </c>
      <c r="G1060" t="e">
        <f>VLOOKUP(A1061,[1]timesData!$B:$P,6,FALSE)</f>
        <v>#N/A</v>
      </c>
      <c r="H1060" t="e">
        <f>VLOOKUP(A1061,[1]timesData!$B:$P,7,FALSE)</f>
        <v>#N/A</v>
      </c>
      <c r="I1060" t="e">
        <f>VLOOKUP(A1061,[1]timesData!$B:$P,8,FALSE)</f>
        <v>#N/A</v>
      </c>
      <c r="J1060" t="e">
        <f>VLOOKUP(A1061,[1]timesData!$B:$P,9,FALSE)</f>
        <v>#N/A</v>
      </c>
      <c r="K1060" t="e">
        <f>VLOOKUP(A1061,[1]timesData!$B:$P,10,FALSE)</f>
        <v>#N/A</v>
      </c>
      <c r="L1060" t="e">
        <f>VLOOKUP(A1061,[1]timesData!$B:$P,11,FALSE)</f>
        <v>#N/A</v>
      </c>
      <c r="M1060" t="e">
        <f>VLOOKUP(A1061,[1]timesData!$B:$P,12,FALSE)</f>
        <v>#N/A</v>
      </c>
      <c r="N1060" t="e">
        <f>VLOOKUP(A1061,[1]timesData!$B:$P,13,FALSE)</f>
        <v>#N/A</v>
      </c>
      <c r="O1060">
        <f>VLOOKUP(A1060,[2]cwurData!$B:$P,14,FALSE)</f>
        <v>736</v>
      </c>
      <c r="P1060">
        <f>VLOOKUP(A1060,[2]cwurData!$B:$N, 3, FALSE)</f>
        <v>207</v>
      </c>
      <c r="Q1060">
        <f>VLOOKUP(A1060,[2]cwurData!$B:$N, 4, FALSE)</f>
        <v>247</v>
      </c>
      <c r="R1060">
        <f>VLOOKUP(A1060,[2]cwurData!$B:$N, 5, FALSE)</f>
        <v>383</v>
      </c>
      <c r="S1060">
        <f>VLOOKUP(A1060,[2]cwurData!$B:$N, 6, FALSE)</f>
        <v>210</v>
      </c>
      <c r="T1060">
        <f>VLOOKUP(A1060,[2]cwurData!$B:$N, 7, FALSE)</f>
        <v>825</v>
      </c>
      <c r="U1060">
        <f>VLOOKUP(A1060,[2]cwurData!$B:$N, 8, FALSE)</f>
        <v>606</v>
      </c>
      <c r="V1060">
        <f>VLOOKUP(A1060,[2]cwurData!$B:$N, 9, FALSE)</f>
        <v>800</v>
      </c>
      <c r="W1060">
        <f>VLOOKUP(A1060,[2]cwurData!$B:$N, 10, FALSE)</f>
        <v>739</v>
      </c>
      <c r="X1060">
        <f>VLOOKUP(A1060,[2]cwurData!$B:$N, 11, FALSE)</f>
        <v>737</v>
      </c>
      <c r="Y1060">
        <f>VLOOKUP(A1060,[2]cwurData!$B:$N, 12, FALSE)</f>
        <v>44.6</v>
      </c>
      <c r="Z1060">
        <f>VLOOKUP(A1060,[2]cwurData!$B:$N, 13, FALSE)</f>
        <v>2014</v>
      </c>
    </row>
    <row r="1061" spans="1:26" x14ac:dyDescent="0.3">
      <c r="A1061" t="s">
        <v>1058</v>
      </c>
      <c r="B1061" t="str">
        <f>IFERROR(VLOOKUP(A1061,[1]timesData!$B:$P,2,FALSE),VLOOKUP(A1061,[2]cwurData!$B:$P,2,FALSE))</f>
        <v>United Kingdom</v>
      </c>
      <c r="C1061" t="e">
        <f>VLOOKUP(A1061,[1]timesData!$B:$P,3,FALSE)</f>
        <v>#N/A</v>
      </c>
      <c r="D1061" t="e">
        <f>VLOOKUP(A1062,[1]timesData!$B:$P,3,FALSE)</f>
        <v>#N/A</v>
      </c>
      <c r="E1061" t="e">
        <f>VLOOKUP(A1062,[1]timesData!$B:$P,4,FALSE)</f>
        <v>#N/A</v>
      </c>
      <c r="F1061" t="e">
        <f>VLOOKUP(A1062,[1]timesData!$B:$P,5,FALSE)</f>
        <v>#N/A</v>
      </c>
      <c r="G1061" t="e">
        <f>VLOOKUP(A1062,[1]timesData!$B:$P,6,FALSE)</f>
        <v>#N/A</v>
      </c>
      <c r="H1061" t="e">
        <f>VLOOKUP(A1062,[1]timesData!$B:$P,7,FALSE)</f>
        <v>#N/A</v>
      </c>
      <c r="I1061" t="e">
        <f>VLOOKUP(A1062,[1]timesData!$B:$P,8,FALSE)</f>
        <v>#N/A</v>
      </c>
      <c r="J1061" t="e">
        <f>VLOOKUP(A1062,[1]timesData!$B:$P,9,FALSE)</f>
        <v>#N/A</v>
      </c>
      <c r="K1061" t="e">
        <f>VLOOKUP(A1062,[1]timesData!$B:$P,10,FALSE)</f>
        <v>#N/A</v>
      </c>
      <c r="L1061" t="e">
        <f>VLOOKUP(A1062,[1]timesData!$B:$P,11,FALSE)</f>
        <v>#N/A</v>
      </c>
      <c r="M1061" t="e">
        <f>VLOOKUP(A1062,[1]timesData!$B:$P,12,FALSE)</f>
        <v>#N/A</v>
      </c>
      <c r="N1061" t="e">
        <f>VLOOKUP(A1062,[1]timesData!$B:$P,13,FALSE)</f>
        <v>#N/A</v>
      </c>
      <c r="O1061">
        <f>VLOOKUP(A1061,[2]cwurData!$B:$P,14,FALSE)</f>
        <v>738</v>
      </c>
      <c r="P1061">
        <f>VLOOKUP(A1061,[2]cwurData!$B:$N, 3, FALSE)</f>
        <v>58</v>
      </c>
      <c r="Q1061">
        <f>VLOOKUP(A1061,[2]cwurData!$B:$N, 4, FALSE)</f>
        <v>355</v>
      </c>
      <c r="R1061">
        <f>VLOOKUP(A1061,[2]cwurData!$B:$N, 5, FALSE)</f>
        <v>478</v>
      </c>
      <c r="S1061">
        <f>VLOOKUP(A1061,[2]cwurData!$B:$N, 6, FALSE)</f>
        <v>210</v>
      </c>
      <c r="T1061">
        <f>VLOOKUP(A1061,[2]cwurData!$B:$N, 7, FALSE)</f>
        <v>940</v>
      </c>
      <c r="U1061">
        <f>VLOOKUP(A1061,[2]cwurData!$B:$N, 8, FALSE)</f>
        <v>895</v>
      </c>
      <c r="V1061">
        <f>VLOOKUP(A1061,[2]cwurData!$B:$N, 9, FALSE)</f>
        <v>493</v>
      </c>
      <c r="W1061">
        <f>VLOOKUP(A1061,[2]cwurData!$B:$N, 10, FALSE)</f>
        <v>739</v>
      </c>
      <c r="X1061">
        <f>VLOOKUP(A1061,[2]cwurData!$B:$N, 11, FALSE)</f>
        <v>259</v>
      </c>
      <c r="Y1061">
        <f>VLOOKUP(A1061,[2]cwurData!$B:$N, 12, FALSE)</f>
        <v>44.6</v>
      </c>
      <c r="Z1061">
        <f>VLOOKUP(A1061,[2]cwurData!$B:$N, 13, FALSE)</f>
        <v>2014</v>
      </c>
    </row>
    <row r="1062" spans="1:26" x14ac:dyDescent="0.3">
      <c r="A1062" t="s">
        <v>1059</v>
      </c>
      <c r="B1062" t="str">
        <f>IFERROR(VLOOKUP(A1062,[1]timesData!$B:$P,2,FALSE),VLOOKUP(A1062,[2]cwurData!$B:$P,2,FALSE))</f>
        <v>France</v>
      </c>
      <c r="C1062" t="e">
        <f>VLOOKUP(A1062,[1]timesData!$B:$P,3,FALSE)</f>
        <v>#N/A</v>
      </c>
      <c r="D1062" t="e">
        <f>VLOOKUP(A1063,[1]timesData!$B:$P,3,FALSE)</f>
        <v>#N/A</v>
      </c>
      <c r="E1062" t="e">
        <f>VLOOKUP(A1063,[1]timesData!$B:$P,4,FALSE)</f>
        <v>#N/A</v>
      </c>
      <c r="F1062" t="e">
        <f>VLOOKUP(A1063,[1]timesData!$B:$P,5,FALSE)</f>
        <v>#N/A</v>
      </c>
      <c r="G1062" t="e">
        <f>VLOOKUP(A1063,[1]timesData!$B:$P,6,FALSE)</f>
        <v>#N/A</v>
      </c>
      <c r="H1062" t="e">
        <f>VLOOKUP(A1063,[1]timesData!$B:$P,7,FALSE)</f>
        <v>#N/A</v>
      </c>
      <c r="I1062" t="e">
        <f>VLOOKUP(A1063,[1]timesData!$B:$P,8,FALSE)</f>
        <v>#N/A</v>
      </c>
      <c r="J1062" t="e">
        <f>VLOOKUP(A1063,[1]timesData!$B:$P,9,FALSE)</f>
        <v>#N/A</v>
      </c>
      <c r="K1062" t="e">
        <f>VLOOKUP(A1063,[1]timesData!$B:$P,10,FALSE)</f>
        <v>#N/A</v>
      </c>
      <c r="L1062" t="e">
        <f>VLOOKUP(A1063,[1]timesData!$B:$P,11,FALSE)</f>
        <v>#N/A</v>
      </c>
      <c r="M1062" t="e">
        <f>VLOOKUP(A1063,[1]timesData!$B:$P,12,FALSE)</f>
        <v>#N/A</v>
      </c>
      <c r="N1062" t="e">
        <f>VLOOKUP(A1063,[1]timesData!$B:$P,13,FALSE)</f>
        <v>#N/A</v>
      </c>
      <c r="O1062">
        <f>VLOOKUP(A1062,[2]cwurData!$B:$P,14,FALSE)</f>
        <v>739</v>
      </c>
      <c r="P1062">
        <f>VLOOKUP(A1062,[2]cwurData!$B:$N, 3, FALSE)</f>
        <v>34</v>
      </c>
      <c r="Q1062">
        <f>VLOOKUP(A1062,[2]cwurData!$B:$N, 4, FALSE)</f>
        <v>355</v>
      </c>
      <c r="R1062">
        <f>VLOOKUP(A1062,[2]cwurData!$B:$N, 5, FALSE)</f>
        <v>478</v>
      </c>
      <c r="S1062">
        <f>VLOOKUP(A1062,[2]cwurData!$B:$N, 6, FALSE)</f>
        <v>210</v>
      </c>
      <c r="T1062">
        <f>VLOOKUP(A1062,[2]cwurData!$B:$N, 7, FALSE)</f>
        <v>998</v>
      </c>
      <c r="U1062">
        <f>VLOOKUP(A1062,[2]cwurData!$B:$N, 8, FALSE)</f>
        <v>363</v>
      </c>
      <c r="V1062">
        <f>VLOOKUP(A1062,[2]cwurData!$B:$N, 9, FALSE)</f>
        <v>609</v>
      </c>
      <c r="W1062">
        <f>VLOOKUP(A1062,[2]cwurData!$B:$N, 10, FALSE)</f>
        <v>628</v>
      </c>
      <c r="X1062">
        <f>VLOOKUP(A1062,[2]cwurData!$B:$N, 11, FALSE)</f>
        <v>737</v>
      </c>
      <c r="Y1062">
        <f>VLOOKUP(A1062,[2]cwurData!$B:$N, 12, FALSE)</f>
        <v>44.59</v>
      </c>
      <c r="Z1062">
        <f>VLOOKUP(A1062,[2]cwurData!$B:$N, 13, FALSE)</f>
        <v>2014</v>
      </c>
    </row>
    <row r="1063" spans="1:26" x14ac:dyDescent="0.3">
      <c r="A1063" t="s">
        <v>1060</v>
      </c>
      <c r="B1063" t="str">
        <f>IFERROR(VLOOKUP(A1063,[1]timesData!$B:$P,2,FALSE),VLOOKUP(A1063,[2]cwurData!$B:$P,2,FALSE))</f>
        <v>Italy</v>
      </c>
      <c r="C1063" t="e">
        <f>VLOOKUP(A1063,[1]timesData!$B:$P,3,FALSE)</f>
        <v>#N/A</v>
      </c>
      <c r="D1063" t="e">
        <f>VLOOKUP(A1064,[1]timesData!$B:$P,3,FALSE)</f>
        <v>#N/A</v>
      </c>
      <c r="E1063" t="e">
        <f>VLOOKUP(A1064,[1]timesData!$B:$P,4,FALSE)</f>
        <v>#N/A</v>
      </c>
      <c r="F1063" t="e">
        <f>VLOOKUP(A1064,[1]timesData!$B:$P,5,FALSE)</f>
        <v>#N/A</v>
      </c>
      <c r="G1063" t="e">
        <f>VLOOKUP(A1064,[1]timesData!$B:$P,6,FALSE)</f>
        <v>#N/A</v>
      </c>
      <c r="H1063" t="e">
        <f>VLOOKUP(A1064,[1]timesData!$B:$P,7,FALSE)</f>
        <v>#N/A</v>
      </c>
      <c r="I1063" t="e">
        <f>VLOOKUP(A1064,[1]timesData!$B:$P,8,FALSE)</f>
        <v>#N/A</v>
      </c>
      <c r="J1063" t="e">
        <f>VLOOKUP(A1064,[1]timesData!$B:$P,9,FALSE)</f>
        <v>#N/A</v>
      </c>
      <c r="K1063" t="e">
        <f>VLOOKUP(A1064,[1]timesData!$B:$P,10,FALSE)</f>
        <v>#N/A</v>
      </c>
      <c r="L1063" t="e">
        <f>VLOOKUP(A1064,[1]timesData!$B:$P,11,FALSE)</f>
        <v>#N/A</v>
      </c>
      <c r="M1063" t="e">
        <f>VLOOKUP(A1064,[1]timesData!$B:$P,12,FALSE)</f>
        <v>#N/A</v>
      </c>
      <c r="N1063" t="e">
        <f>VLOOKUP(A1064,[1]timesData!$B:$P,13,FALSE)</f>
        <v>#N/A</v>
      </c>
      <c r="O1063">
        <f>VLOOKUP(A1063,[2]cwurData!$B:$P,14,FALSE)</f>
        <v>740</v>
      </c>
      <c r="P1063">
        <f>VLOOKUP(A1063,[2]cwurData!$B:$N, 3, FALSE)</f>
        <v>40</v>
      </c>
      <c r="Q1063">
        <f>VLOOKUP(A1063,[2]cwurData!$B:$N, 4, FALSE)</f>
        <v>355</v>
      </c>
      <c r="R1063">
        <f>VLOOKUP(A1063,[2]cwurData!$B:$N, 5, FALSE)</f>
        <v>478</v>
      </c>
      <c r="S1063">
        <f>VLOOKUP(A1063,[2]cwurData!$B:$N, 6, FALSE)</f>
        <v>210</v>
      </c>
      <c r="T1063">
        <f>VLOOKUP(A1063,[2]cwurData!$B:$N, 7, FALSE)</f>
        <v>518</v>
      </c>
      <c r="U1063">
        <f>VLOOKUP(A1063,[2]cwurData!$B:$N, 8, FALSE)</f>
        <v>809</v>
      </c>
      <c r="V1063">
        <f>VLOOKUP(A1063,[2]cwurData!$B:$N, 9, FALSE)</f>
        <v>609</v>
      </c>
      <c r="W1063">
        <f>VLOOKUP(A1063,[2]cwurData!$B:$N, 10, FALSE)</f>
        <v>675</v>
      </c>
      <c r="X1063">
        <f>VLOOKUP(A1063,[2]cwurData!$B:$N, 11, FALSE)</f>
        <v>552</v>
      </c>
      <c r="Y1063">
        <f>VLOOKUP(A1063,[2]cwurData!$B:$N, 12, FALSE)</f>
        <v>44.59</v>
      </c>
      <c r="Z1063">
        <f>VLOOKUP(A1063,[2]cwurData!$B:$N, 13, FALSE)</f>
        <v>2014</v>
      </c>
    </row>
    <row r="1064" spans="1:26" x14ac:dyDescent="0.3">
      <c r="A1064" t="s">
        <v>1061</v>
      </c>
      <c r="B1064" t="str">
        <f>IFERROR(VLOOKUP(A1064,[1]timesData!$B:$P,2,FALSE),VLOOKUP(A1064,[2]cwurData!$B:$P,2,FALSE))</f>
        <v>Argentina</v>
      </c>
      <c r="C1064" t="e">
        <f>VLOOKUP(A1064,[1]timesData!$B:$P,3,FALSE)</f>
        <v>#N/A</v>
      </c>
      <c r="D1064" t="e">
        <f>VLOOKUP(A1065,[1]timesData!$B:$P,3,FALSE)</f>
        <v>#N/A</v>
      </c>
      <c r="E1064" t="e">
        <f>VLOOKUP(A1065,[1]timesData!$B:$P,4,FALSE)</f>
        <v>#N/A</v>
      </c>
      <c r="F1064" t="e">
        <f>VLOOKUP(A1065,[1]timesData!$B:$P,5,FALSE)</f>
        <v>#N/A</v>
      </c>
      <c r="G1064" t="e">
        <f>VLOOKUP(A1065,[1]timesData!$B:$P,6,FALSE)</f>
        <v>#N/A</v>
      </c>
      <c r="H1064" t="e">
        <f>VLOOKUP(A1065,[1]timesData!$B:$P,7,FALSE)</f>
        <v>#N/A</v>
      </c>
      <c r="I1064" t="e">
        <f>VLOOKUP(A1065,[1]timesData!$B:$P,8,FALSE)</f>
        <v>#N/A</v>
      </c>
      <c r="J1064" t="e">
        <f>VLOOKUP(A1065,[1]timesData!$B:$P,9,FALSE)</f>
        <v>#N/A</v>
      </c>
      <c r="K1064" t="e">
        <f>VLOOKUP(A1065,[1]timesData!$B:$P,10,FALSE)</f>
        <v>#N/A</v>
      </c>
      <c r="L1064" t="e">
        <f>VLOOKUP(A1065,[1]timesData!$B:$P,11,FALSE)</f>
        <v>#N/A</v>
      </c>
      <c r="M1064" t="e">
        <f>VLOOKUP(A1065,[1]timesData!$B:$P,12,FALSE)</f>
        <v>#N/A</v>
      </c>
      <c r="N1064" t="e">
        <f>VLOOKUP(A1065,[1]timesData!$B:$P,13,FALSE)</f>
        <v>#N/A</v>
      </c>
      <c r="O1064">
        <f>VLOOKUP(A1064,[2]cwurData!$B:$P,14,FALSE)</f>
        <v>741</v>
      </c>
      <c r="P1064">
        <f>VLOOKUP(A1064,[2]cwurData!$B:$N, 3, FALSE)</f>
        <v>2</v>
      </c>
      <c r="Q1064">
        <f>VLOOKUP(A1064,[2]cwurData!$B:$N, 4, FALSE)</f>
        <v>355</v>
      </c>
      <c r="R1064">
        <f>VLOOKUP(A1064,[2]cwurData!$B:$N, 5, FALSE)</f>
        <v>476</v>
      </c>
      <c r="S1064">
        <f>VLOOKUP(A1064,[2]cwurData!$B:$N, 6, FALSE)</f>
        <v>210</v>
      </c>
      <c r="T1064">
        <f>VLOOKUP(A1064,[2]cwurData!$B:$N, 7, FALSE)</f>
        <v>546</v>
      </c>
      <c r="U1064">
        <f>VLOOKUP(A1064,[2]cwurData!$B:$N, 8, FALSE)</f>
        <v>523</v>
      </c>
      <c r="V1064">
        <f>VLOOKUP(A1064,[2]cwurData!$B:$N, 9, FALSE)</f>
        <v>406</v>
      </c>
      <c r="W1064">
        <f>VLOOKUP(A1064,[2]cwurData!$B:$N, 10, FALSE)</f>
        <v>703</v>
      </c>
      <c r="X1064">
        <f>VLOOKUP(A1064,[2]cwurData!$B:$N, 11, FALSE)</f>
        <v>737</v>
      </c>
      <c r="Y1064">
        <f>VLOOKUP(A1064,[2]cwurData!$B:$N, 12, FALSE)</f>
        <v>44.59</v>
      </c>
      <c r="Z1064">
        <f>VLOOKUP(A1064,[2]cwurData!$B:$N, 13, FALSE)</f>
        <v>2014</v>
      </c>
    </row>
    <row r="1065" spans="1:26" x14ac:dyDescent="0.3">
      <c r="A1065" t="s">
        <v>1062</v>
      </c>
      <c r="B1065" t="str">
        <f>IFERROR(VLOOKUP(A1065,[1]timesData!$B:$P,2,FALSE),VLOOKUP(A1065,[2]cwurData!$B:$P,2,FALSE))</f>
        <v>Japan</v>
      </c>
      <c r="C1065" t="e">
        <f>VLOOKUP(A1065,[1]timesData!$B:$P,3,FALSE)</f>
        <v>#N/A</v>
      </c>
      <c r="D1065" t="e">
        <f>VLOOKUP(A1066,[1]timesData!$B:$P,3,FALSE)</f>
        <v>#N/A</v>
      </c>
      <c r="E1065" t="e">
        <f>VLOOKUP(A1066,[1]timesData!$B:$P,4,FALSE)</f>
        <v>#N/A</v>
      </c>
      <c r="F1065" t="e">
        <f>VLOOKUP(A1066,[1]timesData!$B:$P,5,FALSE)</f>
        <v>#N/A</v>
      </c>
      <c r="G1065" t="e">
        <f>VLOOKUP(A1066,[1]timesData!$B:$P,6,FALSE)</f>
        <v>#N/A</v>
      </c>
      <c r="H1065" t="e">
        <f>VLOOKUP(A1066,[1]timesData!$B:$P,7,FALSE)</f>
        <v>#N/A</v>
      </c>
      <c r="I1065" t="e">
        <f>VLOOKUP(A1066,[1]timesData!$B:$P,8,FALSE)</f>
        <v>#N/A</v>
      </c>
      <c r="J1065" t="e">
        <f>VLOOKUP(A1066,[1]timesData!$B:$P,9,FALSE)</f>
        <v>#N/A</v>
      </c>
      <c r="K1065" t="e">
        <f>VLOOKUP(A1066,[1]timesData!$B:$P,10,FALSE)</f>
        <v>#N/A</v>
      </c>
      <c r="L1065" t="e">
        <f>VLOOKUP(A1066,[1]timesData!$B:$P,11,FALSE)</f>
        <v>#N/A</v>
      </c>
      <c r="M1065" t="e">
        <f>VLOOKUP(A1066,[1]timesData!$B:$P,12,FALSE)</f>
        <v>#N/A</v>
      </c>
      <c r="N1065" t="e">
        <f>VLOOKUP(A1066,[1]timesData!$B:$P,13,FALSE)</f>
        <v>#N/A</v>
      </c>
      <c r="O1065">
        <f>VLOOKUP(A1065,[2]cwurData!$B:$P,14,FALSE)</f>
        <v>743</v>
      </c>
      <c r="P1065">
        <f>VLOOKUP(A1065,[2]cwurData!$B:$N, 3, FALSE)</f>
        <v>51</v>
      </c>
      <c r="Q1065">
        <f>VLOOKUP(A1065,[2]cwurData!$B:$N, 4, FALSE)</f>
        <v>355</v>
      </c>
      <c r="R1065">
        <f>VLOOKUP(A1065,[2]cwurData!$B:$N, 5, FALSE)</f>
        <v>478</v>
      </c>
      <c r="S1065">
        <f>VLOOKUP(A1065,[2]cwurData!$B:$N, 6, FALSE)</f>
        <v>210</v>
      </c>
      <c r="T1065">
        <f>VLOOKUP(A1065,[2]cwurData!$B:$N, 7, FALSE)</f>
        <v>719</v>
      </c>
      <c r="U1065">
        <f>VLOOKUP(A1065,[2]cwurData!$B:$N, 8, FALSE)</f>
        <v>735</v>
      </c>
      <c r="V1065">
        <f>VLOOKUP(A1065,[2]cwurData!$B:$N, 9, FALSE)</f>
        <v>609</v>
      </c>
      <c r="W1065">
        <f>VLOOKUP(A1065,[2]cwurData!$B:$N, 10, FALSE)</f>
        <v>716</v>
      </c>
      <c r="X1065">
        <f>VLOOKUP(A1065,[2]cwurData!$B:$N, 11, FALSE)</f>
        <v>307</v>
      </c>
      <c r="Y1065">
        <f>VLOOKUP(A1065,[2]cwurData!$B:$N, 12, FALSE)</f>
        <v>44.59</v>
      </c>
      <c r="Z1065">
        <f>VLOOKUP(A1065,[2]cwurData!$B:$N, 13, FALSE)</f>
        <v>2014</v>
      </c>
    </row>
    <row r="1066" spans="1:26" x14ac:dyDescent="0.3">
      <c r="A1066" t="s">
        <v>1063</v>
      </c>
      <c r="B1066" t="str">
        <f>IFERROR(VLOOKUP(A1066,[1]timesData!$B:$P,2,FALSE),VLOOKUP(A1066,[2]cwurData!$B:$P,2,FALSE))</f>
        <v>Japan</v>
      </c>
      <c r="C1066" t="e">
        <f>VLOOKUP(A1066,[1]timesData!$B:$P,3,FALSE)</f>
        <v>#N/A</v>
      </c>
      <c r="D1066" t="e">
        <f>VLOOKUP(A1067,[1]timesData!$B:$P,3,FALSE)</f>
        <v>#N/A</v>
      </c>
      <c r="E1066" t="e">
        <f>VLOOKUP(A1067,[1]timesData!$B:$P,4,FALSE)</f>
        <v>#N/A</v>
      </c>
      <c r="F1066" t="e">
        <f>VLOOKUP(A1067,[1]timesData!$B:$P,5,FALSE)</f>
        <v>#N/A</v>
      </c>
      <c r="G1066" t="e">
        <f>VLOOKUP(A1067,[1]timesData!$B:$P,6,FALSE)</f>
        <v>#N/A</v>
      </c>
      <c r="H1066" t="e">
        <f>VLOOKUP(A1067,[1]timesData!$B:$P,7,FALSE)</f>
        <v>#N/A</v>
      </c>
      <c r="I1066" t="e">
        <f>VLOOKUP(A1067,[1]timesData!$B:$P,8,FALSE)</f>
        <v>#N/A</v>
      </c>
      <c r="J1066" t="e">
        <f>VLOOKUP(A1067,[1]timesData!$B:$P,9,FALSE)</f>
        <v>#N/A</v>
      </c>
      <c r="K1066" t="e">
        <f>VLOOKUP(A1067,[1]timesData!$B:$P,10,FALSE)</f>
        <v>#N/A</v>
      </c>
      <c r="L1066" t="e">
        <f>VLOOKUP(A1067,[1]timesData!$B:$P,11,FALSE)</f>
        <v>#N/A</v>
      </c>
      <c r="M1066" t="e">
        <f>VLOOKUP(A1067,[1]timesData!$B:$P,12,FALSE)</f>
        <v>#N/A</v>
      </c>
      <c r="N1066" t="e">
        <f>VLOOKUP(A1067,[1]timesData!$B:$P,13,FALSE)</f>
        <v>#N/A</v>
      </c>
      <c r="O1066">
        <f>VLOOKUP(A1066,[2]cwurData!$B:$P,14,FALSE)</f>
        <v>744</v>
      </c>
      <c r="P1066">
        <f>VLOOKUP(A1066,[2]cwurData!$B:$N, 3, FALSE)</f>
        <v>52</v>
      </c>
      <c r="Q1066">
        <f>VLOOKUP(A1066,[2]cwurData!$B:$N, 4, FALSE)</f>
        <v>355</v>
      </c>
      <c r="R1066">
        <f>VLOOKUP(A1066,[2]cwurData!$B:$N, 5, FALSE)</f>
        <v>478</v>
      </c>
      <c r="S1066">
        <f>VLOOKUP(A1066,[2]cwurData!$B:$N, 6, FALSE)</f>
        <v>210</v>
      </c>
      <c r="T1066">
        <f>VLOOKUP(A1066,[2]cwurData!$B:$N, 7, FALSE)</f>
        <v>858</v>
      </c>
      <c r="U1066">
        <f>VLOOKUP(A1066,[2]cwurData!$B:$N, 8, FALSE)</f>
        <v>895</v>
      </c>
      <c r="V1066">
        <f>VLOOKUP(A1066,[2]cwurData!$B:$N, 9, FALSE)</f>
        <v>406</v>
      </c>
      <c r="W1066">
        <f>VLOOKUP(A1066,[2]cwurData!$B:$N, 10, FALSE)</f>
        <v>663</v>
      </c>
      <c r="X1066">
        <f>VLOOKUP(A1066,[2]cwurData!$B:$N, 11, FALSE)</f>
        <v>481</v>
      </c>
      <c r="Y1066">
        <f>VLOOKUP(A1066,[2]cwurData!$B:$N, 12, FALSE)</f>
        <v>44.59</v>
      </c>
      <c r="Z1066">
        <f>VLOOKUP(A1066,[2]cwurData!$B:$N, 13, FALSE)</f>
        <v>2014</v>
      </c>
    </row>
    <row r="1067" spans="1:26" x14ac:dyDescent="0.3">
      <c r="A1067" t="s">
        <v>1064</v>
      </c>
      <c r="B1067" t="str">
        <f>IFERROR(VLOOKUP(A1067,[1]timesData!$B:$P,2,FALSE),VLOOKUP(A1067,[2]cwurData!$B:$P,2,FALSE))</f>
        <v>USA</v>
      </c>
      <c r="C1067" t="e">
        <f>VLOOKUP(A1067,[1]timesData!$B:$P,3,FALSE)</f>
        <v>#N/A</v>
      </c>
      <c r="D1067" t="e">
        <f>VLOOKUP(A1068,[1]timesData!$B:$P,3,FALSE)</f>
        <v>#N/A</v>
      </c>
      <c r="E1067" t="e">
        <f>VLOOKUP(A1068,[1]timesData!$B:$P,4,FALSE)</f>
        <v>#N/A</v>
      </c>
      <c r="F1067" t="e">
        <f>VLOOKUP(A1068,[1]timesData!$B:$P,5,FALSE)</f>
        <v>#N/A</v>
      </c>
      <c r="G1067" t="e">
        <f>VLOOKUP(A1068,[1]timesData!$B:$P,6,FALSE)</f>
        <v>#N/A</v>
      </c>
      <c r="H1067" t="e">
        <f>VLOOKUP(A1068,[1]timesData!$B:$P,7,FALSE)</f>
        <v>#N/A</v>
      </c>
      <c r="I1067" t="e">
        <f>VLOOKUP(A1068,[1]timesData!$B:$P,8,FALSE)</f>
        <v>#N/A</v>
      </c>
      <c r="J1067" t="e">
        <f>VLOOKUP(A1068,[1]timesData!$B:$P,9,FALSE)</f>
        <v>#N/A</v>
      </c>
      <c r="K1067" t="e">
        <f>VLOOKUP(A1068,[1]timesData!$B:$P,10,FALSE)</f>
        <v>#N/A</v>
      </c>
      <c r="L1067" t="e">
        <f>VLOOKUP(A1068,[1]timesData!$B:$P,11,FALSE)</f>
        <v>#N/A</v>
      </c>
      <c r="M1067" t="e">
        <f>VLOOKUP(A1068,[1]timesData!$B:$P,12,FALSE)</f>
        <v>#N/A</v>
      </c>
      <c r="N1067" t="e">
        <f>VLOOKUP(A1068,[1]timesData!$B:$P,13,FALSE)</f>
        <v>#N/A</v>
      </c>
      <c r="O1067">
        <f>VLOOKUP(A1067,[2]cwurData!$B:$P,14,FALSE)</f>
        <v>746</v>
      </c>
      <c r="P1067">
        <f>VLOOKUP(A1067,[2]cwurData!$B:$N, 3, FALSE)</f>
        <v>208</v>
      </c>
      <c r="Q1067">
        <f>VLOOKUP(A1067,[2]cwurData!$B:$N, 4, FALSE)</f>
        <v>155</v>
      </c>
      <c r="R1067">
        <f>VLOOKUP(A1067,[2]cwurData!$B:$N, 5, FALSE)</f>
        <v>478</v>
      </c>
      <c r="S1067">
        <f>VLOOKUP(A1067,[2]cwurData!$B:$N, 6, FALSE)</f>
        <v>210</v>
      </c>
      <c r="T1067">
        <f>VLOOKUP(A1067,[2]cwurData!$B:$N, 7, FALSE)</f>
        <v>692</v>
      </c>
      <c r="U1067">
        <f>VLOOKUP(A1067,[2]cwurData!$B:$N, 8, FALSE)</f>
        <v>772</v>
      </c>
      <c r="V1067">
        <f>VLOOKUP(A1067,[2]cwurData!$B:$N, 9, FALSE)</f>
        <v>800</v>
      </c>
      <c r="W1067">
        <f>VLOOKUP(A1067,[2]cwurData!$B:$N, 10, FALSE)</f>
        <v>769</v>
      </c>
      <c r="X1067">
        <f>VLOOKUP(A1067,[2]cwurData!$B:$N, 11, FALSE)</f>
        <v>737</v>
      </c>
      <c r="Y1067">
        <f>VLOOKUP(A1067,[2]cwurData!$B:$N, 12, FALSE)</f>
        <v>44.59</v>
      </c>
      <c r="Z1067">
        <f>VLOOKUP(A1067,[2]cwurData!$B:$N, 13, FALSE)</f>
        <v>2014</v>
      </c>
    </row>
    <row r="1068" spans="1:26" x14ac:dyDescent="0.3">
      <c r="A1068" t="s">
        <v>1065</v>
      </c>
      <c r="B1068" t="str">
        <f>IFERROR(VLOOKUP(A1068,[1]timesData!$B:$P,2,FALSE),VLOOKUP(A1068,[2]cwurData!$B:$P,2,FALSE))</f>
        <v>USA</v>
      </c>
      <c r="C1068" t="e">
        <f>VLOOKUP(A1068,[1]timesData!$B:$P,3,FALSE)</f>
        <v>#N/A</v>
      </c>
      <c r="D1068" t="e">
        <f>VLOOKUP(A1069,[1]timesData!$B:$P,3,FALSE)</f>
        <v>#N/A</v>
      </c>
      <c r="E1068" t="e">
        <f>VLOOKUP(A1069,[1]timesData!$B:$P,4,FALSE)</f>
        <v>#N/A</v>
      </c>
      <c r="F1068" t="e">
        <f>VLOOKUP(A1069,[1]timesData!$B:$P,5,FALSE)</f>
        <v>#N/A</v>
      </c>
      <c r="G1068" t="e">
        <f>VLOOKUP(A1069,[1]timesData!$B:$P,6,FALSE)</f>
        <v>#N/A</v>
      </c>
      <c r="H1068" t="e">
        <f>VLOOKUP(A1069,[1]timesData!$B:$P,7,FALSE)</f>
        <v>#N/A</v>
      </c>
      <c r="I1068" t="e">
        <f>VLOOKUP(A1069,[1]timesData!$B:$P,8,FALSE)</f>
        <v>#N/A</v>
      </c>
      <c r="J1068" t="e">
        <f>VLOOKUP(A1069,[1]timesData!$B:$P,9,FALSE)</f>
        <v>#N/A</v>
      </c>
      <c r="K1068" t="e">
        <f>VLOOKUP(A1069,[1]timesData!$B:$P,10,FALSE)</f>
        <v>#N/A</v>
      </c>
      <c r="L1068" t="e">
        <f>VLOOKUP(A1069,[1]timesData!$B:$P,11,FALSE)</f>
        <v>#N/A</v>
      </c>
      <c r="M1068" t="e">
        <f>VLOOKUP(A1069,[1]timesData!$B:$P,12,FALSE)</f>
        <v>#N/A</v>
      </c>
      <c r="N1068" t="e">
        <f>VLOOKUP(A1069,[1]timesData!$B:$P,13,FALSE)</f>
        <v>#N/A</v>
      </c>
      <c r="O1068">
        <f>VLOOKUP(A1068,[2]cwurData!$B:$P,14,FALSE)</f>
        <v>747</v>
      </c>
      <c r="P1068">
        <f>VLOOKUP(A1068,[2]cwurData!$B:$N, 3, FALSE)</f>
        <v>209</v>
      </c>
      <c r="Q1068">
        <f>VLOOKUP(A1068,[2]cwurData!$B:$N, 4, FALSE)</f>
        <v>355</v>
      </c>
      <c r="R1068">
        <f>VLOOKUP(A1068,[2]cwurData!$B:$N, 5, FALSE)</f>
        <v>478</v>
      </c>
      <c r="S1068">
        <f>VLOOKUP(A1068,[2]cwurData!$B:$N, 6, FALSE)</f>
        <v>210</v>
      </c>
      <c r="T1068">
        <f>VLOOKUP(A1068,[2]cwurData!$B:$N, 7, FALSE)</f>
        <v>683</v>
      </c>
      <c r="U1068">
        <f>VLOOKUP(A1068,[2]cwurData!$B:$N, 8, FALSE)</f>
        <v>658</v>
      </c>
      <c r="V1068">
        <f>VLOOKUP(A1068,[2]cwurData!$B:$N, 9, FALSE)</f>
        <v>609</v>
      </c>
      <c r="W1068">
        <f>VLOOKUP(A1068,[2]cwurData!$B:$N, 10, FALSE)</f>
        <v>675</v>
      </c>
      <c r="X1068">
        <f>VLOOKUP(A1068,[2]cwurData!$B:$N, 11, FALSE)</f>
        <v>426</v>
      </c>
      <c r="Y1068">
        <f>VLOOKUP(A1068,[2]cwurData!$B:$N, 12, FALSE)</f>
        <v>44.59</v>
      </c>
      <c r="Z1068">
        <f>VLOOKUP(A1068,[2]cwurData!$B:$N, 13, FALSE)</f>
        <v>2014</v>
      </c>
    </row>
    <row r="1069" spans="1:26" x14ac:dyDescent="0.3">
      <c r="A1069" t="s">
        <v>1066</v>
      </c>
      <c r="B1069" t="str">
        <f>IFERROR(VLOOKUP(A1069,[1]timesData!$B:$P,2,FALSE),VLOOKUP(A1069,[2]cwurData!$B:$P,2,FALSE))</f>
        <v>USA</v>
      </c>
      <c r="C1069" t="e">
        <f>VLOOKUP(A1069,[1]timesData!$B:$P,3,FALSE)</f>
        <v>#N/A</v>
      </c>
      <c r="D1069" t="e">
        <f>VLOOKUP(A1070,[1]timesData!$B:$P,3,FALSE)</f>
        <v>#N/A</v>
      </c>
      <c r="E1069" t="e">
        <f>VLOOKUP(A1070,[1]timesData!$B:$P,4,FALSE)</f>
        <v>#N/A</v>
      </c>
      <c r="F1069" t="e">
        <f>VLOOKUP(A1070,[1]timesData!$B:$P,5,FALSE)</f>
        <v>#N/A</v>
      </c>
      <c r="G1069" t="e">
        <f>VLOOKUP(A1070,[1]timesData!$B:$P,6,FALSE)</f>
        <v>#N/A</v>
      </c>
      <c r="H1069" t="e">
        <f>VLOOKUP(A1070,[1]timesData!$B:$P,7,FALSE)</f>
        <v>#N/A</v>
      </c>
      <c r="I1069" t="e">
        <f>VLOOKUP(A1070,[1]timesData!$B:$P,8,FALSE)</f>
        <v>#N/A</v>
      </c>
      <c r="J1069" t="e">
        <f>VLOOKUP(A1070,[1]timesData!$B:$P,9,FALSE)</f>
        <v>#N/A</v>
      </c>
      <c r="K1069" t="e">
        <f>VLOOKUP(A1070,[1]timesData!$B:$P,10,FALSE)</f>
        <v>#N/A</v>
      </c>
      <c r="L1069" t="e">
        <f>VLOOKUP(A1070,[1]timesData!$B:$P,11,FALSE)</f>
        <v>#N/A</v>
      </c>
      <c r="M1069" t="e">
        <f>VLOOKUP(A1070,[1]timesData!$B:$P,12,FALSE)</f>
        <v>#N/A</v>
      </c>
      <c r="N1069" t="e">
        <f>VLOOKUP(A1070,[1]timesData!$B:$P,13,FALSE)</f>
        <v>#N/A</v>
      </c>
      <c r="O1069">
        <f>VLOOKUP(A1069,[2]cwurData!$B:$P,14,FALSE)</f>
        <v>748</v>
      </c>
      <c r="P1069">
        <f>VLOOKUP(A1069,[2]cwurData!$B:$N, 3, FALSE)</f>
        <v>210</v>
      </c>
      <c r="Q1069">
        <f>VLOOKUP(A1069,[2]cwurData!$B:$N, 4, FALSE)</f>
        <v>355</v>
      </c>
      <c r="R1069">
        <f>VLOOKUP(A1069,[2]cwurData!$B:$N, 5, FALSE)</f>
        <v>478</v>
      </c>
      <c r="S1069">
        <f>VLOOKUP(A1069,[2]cwurData!$B:$N, 6, FALSE)</f>
        <v>210</v>
      </c>
      <c r="T1069">
        <f>VLOOKUP(A1069,[2]cwurData!$B:$N, 7, FALSE)</f>
        <v>791</v>
      </c>
      <c r="U1069">
        <f>VLOOKUP(A1069,[2]cwurData!$B:$N, 8, FALSE)</f>
        <v>571</v>
      </c>
      <c r="V1069">
        <f>VLOOKUP(A1069,[2]cwurData!$B:$N, 9, FALSE)</f>
        <v>493</v>
      </c>
      <c r="W1069">
        <f>VLOOKUP(A1069,[2]cwurData!$B:$N, 10, FALSE)</f>
        <v>642</v>
      </c>
      <c r="X1069">
        <f>VLOOKUP(A1069,[2]cwurData!$B:$N, 11, FALSE)</f>
        <v>737</v>
      </c>
      <c r="Y1069">
        <f>VLOOKUP(A1069,[2]cwurData!$B:$N, 12, FALSE)</f>
        <v>44.58</v>
      </c>
      <c r="Z1069">
        <f>VLOOKUP(A1069,[2]cwurData!$B:$N, 13, FALSE)</f>
        <v>2014</v>
      </c>
    </row>
    <row r="1070" spans="1:26" x14ac:dyDescent="0.3">
      <c r="A1070" t="s">
        <v>1067</v>
      </c>
      <c r="B1070" t="str">
        <f>IFERROR(VLOOKUP(A1070,[1]timesData!$B:$P,2,FALSE),VLOOKUP(A1070,[2]cwurData!$B:$P,2,FALSE))</f>
        <v>France</v>
      </c>
      <c r="C1070" t="e">
        <f>VLOOKUP(A1070,[1]timesData!$B:$P,3,FALSE)</f>
        <v>#N/A</v>
      </c>
      <c r="D1070" t="e">
        <f>VLOOKUP(A1071,[1]timesData!$B:$P,3,FALSE)</f>
        <v>#N/A</v>
      </c>
      <c r="E1070" t="e">
        <f>VLOOKUP(A1071,[1]timesData!$B:$P,4,FALSE)</f>
        <v>#N/A</v>
      </c>
      <c r="F1070" t="e">
        <f>VLOOKUP(A1071,[1]timesData!$B:$P,5,FALSE)</f>
        <v>#N/A</v>
      </c>
      <c r="G1070" t="e">
        <f>VLOOKUP(A1071,[1]timesData!$B:$P,6,FALSE)</f>
        <v>#N/A</v>
      </c>
      <c r="H1070" t="e">
        <f>VLOOKUP(A1071,[1]timesData!$B:$P,7,FALSE)</f>
        <v>#N/A</v>
      </c>
      <c r="I1070" t="e">
        <f>VLOOKUP(A1071,[1]timesData!$B:$P,8,FALSE)</f>
        <v>#N/A</v>
      </c>
      <c r="J1070" t="e">
        <f>VLOOKUP(A1071,[1]timesData!$B:$P,9,FALSE)</f>
        <v>#N/A</v>
      </c>
      <c r="K1070" t="e">
        <f>VLOOKUP(A1071,[1]timesData!$B:$P,10,FALSE)</f>
        <v>#N/A</v>
      </c>
      <c r="L1070" t="e">
        <f>VLOOKUP(A1071,[1]timesData!$B:$P,11,FALSE)</f>
        <v>#N/A</v>
      </c>
      <c r="M1070" t="e">
        <f>VLOOKUP(A1071,[1]timesData!$B:$P,12,FALSE)</f>
        <v>#N/A</v>
      </c>
      <c r="N1070" t="e">
        <f>VLOOKUP(A1071,[1]timesData!$B:$P,13,FALSE)</f>
        <v>#N/A</v>
      </c>
      <c r="O1070">
        <f>VLOOKUP(A1070,[2]cwurData!$B:$P,14,FALSE)</f>
        <v>750</v>
      </c>
      <c r="P1070">
        <f>VLOOKUP(A1070,[2]cwurData!$B:$N, 3, FALSE)</f>
        <v>35</v>
      </c>
      <c r="Q1070">
        <f>VLOOKUP(A1070,[2]cwurData!$B:$N, 4, FALSE)</f>
        <v>355</v>
      </c>
      <c r="R1070">
        <f>VLOOKUP(A1070,[2]cwurData!$B:$N, 5, FALSE)</f>
        <v>478</v>
      </c>
      <c r="S1070">
        <f>VLOOKUP(A1070,[2]cwurData!$B:$N, 6, FALSE)</f>
        <v>210</v>
      </c>
      <c r="T1070">
        <f>VLOOKUP(A1070,[2]cwurData!$B:$N, 7, FALSE)</f>
        <v>829</v>
      </c>
      <c r="U1070">
        <f>VLOOKUP(A1070,[2]cwurData!$B:$N, 8, FALSE)</f>
        <v>486</v>
      </c>
      <c r="V1070">
        <f>VLOOKUP(A1070,[2]cwurData!$B:$N, 9, FALSE)</f>
        <v>493</v>
      </c>
      <c r="W1070">
        <f>VLOOKUP(A1070,[2]cwurData!$B:$N, 10, FALSE)</f>
        <v>642</v>
      </c>
      <c r="X1070">
        <f>VLOOKUP(A1070,[2]cwurData!$B:$N, 11, FALSE)</f>
        <v>737</v>
      </c>
      <c r="Y1070">
        <f>VLOOKUP(A1070,[2]cwurData!$B:$N, 12, FALSE)</f>
        <v>44.58</v>
      </c>
      <c r="Z1070">
        <f>VLOOKUP(A1070,[2]cwurData!$B:$N, 13, FALSE)</f>
        <v>2014</v>
      </c>
    </row>
    <row r="1071" spans="1:26" x14ac:dyDescent="0.3">
      <c r="A1071" t="s">
        <v>1068</v>
      </c>
      <c r="B1071" t="str">
        <f>IFERROR(VLOOKUP(A1071,[1]timesData!$B:$P,2,FALSE),VLOOKUP(A1071,[2]cwurData!$B:$P,2,FALSE))</f>
        <v>Japan</v>
      </c>
      <c r="C1071" t="e">
        <f>VLOOKUP(A1071,[1]timesData!$B:$P,3,FALSE)</f>
        <v>#N/A</v>
      </c>
      <c r="D1071" t="e">
        <f>VLOOKUP(A1072,[1]timesData!$B:$P,3,FALSE)</f>
        <v>#N/A</v>
      </c>
      <c r="E1071" t="e">
        <f>VLOOKUP(A1072,[1]timesData!$B:$P,4,FALSE)</f>
        <v>#N/A</v>
      </c>
      <c r="F1071" t="e">
        <f>VLOOKUP(A1072,[1]timesData!$B:$P,5,FALSE)</f>
        <v>#N/A</v>
      </c>
      <c r="G1071" t="e">
        <f>VLOOKUP(A1072,[1]timesData!$B:$P,6,FALSE)</f>
        <v>#N/A</v>
      </c>
      <c r="H1071" t="e">
        <f>VLOOKUP(A1072,[1]timesData!$B:$P,7,FALSE)</f>
        <v>#N/A</v>
      </c>
      <c r="I1071" t="e">
        <f>VLOOKUP(A1072,[1]timesData!$B:$P,8,FALSE)</f>
        <v>#N/A</v>
      </c>
      <c r="J1071" t="e">
        <f>VLOOKUP(A1072,[1]timesData!$B:$P,9,FALSE)</f>
        <v>#N/A</v>
      </c>
      <c r="K1071" t="e">
        <f>VLOOKUP(A1072,[1]timesData!$B:$P,10,FALSE)</f>
        <v>#N/A</v>
      </c>
      <c r="L1071" t="e">
        <f>VLOOKUP(A1072,[1]timesData!$B:$P,11,FALSE)</f>
        <v>#N/A</v>
      </c>
      <c r="M1071" t="e">
        <f>VLOOKUP(A1072,[1]timesData!$B:$P,12,FALSE)</f>
        <v>#N/A</v>
      </c>
      <c r="N1071" t="e">
        <f>VLOOKUP(A1072,[1]timesData!$B:$P,13,FALSE)</f>
        <v>#N/A</v>
      </c>
      <c r="O1071">
        <f>VLOOKUP(A1071,[2]cwurData!$B:$P,14,FALSE)</f>
        <v>752</v>
      </c>
      <c r="P1071">
        <f>VLOOKUP(A1071,[2]cwurData!$B:$N, 3, FALSE)</f>
        <v>54</v>
      </c>
      <c r="Q1071">
        <f>VLOOKUP(A1071,[2]cwurData!$B:$N, 4, FALSE)</f>
        <v>355</v>
      </c>
      <c r="R1071">
        <f>VLOOKUP(A1071,[2]cwurData!$B:$N, 5, FALSE)</f>
        <v>478</v>
      </c>
      <c r="S1071">
        <f>VLOOKUP(A1071,[2]cwurData!$B:$N, 6, FALSE)</f>
        <v>210</v>
      </c>
      <c r="T1071">
        <f>VLOOKUP(A1071,[2]cwurData!$B:$N, 7, FALSE)</f>
        <v>765</v>
      </c>
      <c r="U1071">
        <f>VLOOKUP(A1071,[2]cwurData!$B:$N, 8, FALSE)</f>
        <v>463</v>
      </c>
      <c r="V1071">
        <f>VLOOKUP(A1071,[2]cwurData!$B:$N, 9, FALSE)</f>
        <v>493</v>
      </c>
      <c r="W1071">
        <f>VLOOKUP(A1071,[2]cwurData!$B:$N, 10, FALSE)</f>
        <v>663</v>
      </c>
      <c r="X1071">
        <f>VLOOKUP(A1071,[2]cwurData!$B:$N, 11, FALSE)</f>
        <v>552</v>
      </c>
      <c r="Y1071">
        <f>VLOOKUP(A1071,[2]cwurData!$B:$N, 12, FALSE)</f>
        <v>44.58</v>
      </c>
      <c r="Z1071">
        <f>VLOOKUP(A1071,[2]cwurData!$B:$N, 13, FALSE)</f>
        <v>2014</v>
      </c>
    </row>
    <row r="1072" spans="1:26" x14ac:dyDescent="0.3">
      <c r="A1072" t="s">
        <v>1069</v>
      </c>
      <c r="B1072" t="str">
        <f>IFERROR(VLOOKUP(A1072,[1]timesData!$B:$P,2,FALSE),VLOOKUP(A1072,[2]cwurData!$B:$P,2,FALSE))</f>
        <v>USA</v>
      </c>
      <c r="C1072" t="e">
        <f>VLOOKUP(A1072,[1]timesData!$B:$P,3,FALSE)</f>
        <v>#N/A</v>
      </c>
      <c r="D1072" t="e">
        <f>VLOOKUP(A1073,[1]timesData!$B:$P,3,FALSE)</f>
        <v>#N/A</v>
      </c>
      <c r="E1072" t="e">
        <f>VLOOKUP(A1073,[1]timesData!$B:$P,4,FALSE)</f>
        <v>#N/A</v>
      </c>
      <c r="F1072" t="e">
        <f>VLOOKUP(A1073,[1]timesData!$B:$P,5,FALSE)</f>
        <v>#N/A</v>
      </c>
      <c r="G1072" t="e">
        <f>VLOOKUP(A1073,[1]timesData!$B:$P,6,FALSE)</f>
        <v>#N/A</v>
      </c>
      <c r="H1072" t="e">
        <f>VLOOKUP(A1073,[1]timesData!$B:$P,7,FALSE)</f>
        <v>#N/A</v>
      </c>
      <c r="I1072" t="e">
        <f>VLOOKUP(A1073,[1]timesData!$B:$P,8,FALSE)</f>
        <v>#N/A</v>
      </c>
      <c r="J1072" t="e">
        <f>VLOOKUP(A1073,[1]timesData!$B:$P,9,FALSE)</f>
        <v>#N/A</v>
      </c>
      <c r="K1072" t="e">
        <f>VLOOKUP(A1073,[1]timesData!$B:$P,10,FALSE)</f>
        <v>#N/A</v>
      </c>
      <c r="L1072" t="e">
        <f>VLOOKUP(A1073,[1]timesData!$B:$P,11,FALSE)</f>
        <v>#N/A</v>
      </c>
      <c r="M1072" t="e">
        <f>VLOOKUP(A1073,[1]timesData!$B:$P,12,FALSE)</f>
        <v>#N/A</v>
      </c>
      <c r="N1072" t="e">
        <f>VLOOKUP(A1073,[1]timesData!$B:$P,13,FALSE)</f>
        <v>#N/A</v>
      </c>
      <c r="O1072">
        <f>VLOOKUP(A1072,[2]cwurData!$B:$P,14,FALSE)</f>
        <v>753</v>
      </c>
      <c r="P1072">
        <f>VLOOKUP(A1072,[2]cwurData!$B:$N, 3, FALSE)</f>
        <v>211</v>
      </c>
      <c r="Q1072">
        <f>VLOOKUP(A1072,[2]cwurData!$B:$N, 4, FALSE)</f>
        <v>355</v>
      </c>
      <c r="R1072">
        <f>VLOOKUP(A1072,[2]cwurData!$B:$N, 5, FALSE)</f>
        <v>314</v>
      </c>
      <c r="S1072">
        <f>VLOOKUP(A1072,[2]cwurData!$B:$N, 6, FALSE)</f>
        <v>210</v>
      </c>
      <c r="T1072">
        <f>VLOOKUP(A1072,[2]cwurData!$B:$N, 7, FALSE)</f>
        <v>949</v>
      </c>
      <c r="U1072">
        <f>VLOOKUP(A1072,[2]cwurData!$B:$N, 8, FALSE)</f>
        <v>560</v>
      </c>
      <c r="V1072">
        <f>VLOOKUP(A1072,[2]cwurData!$B:$N, 9, FALSE)</f>
        <v>406</v>
      </c>
      <c r="W1072">
        <f>VLOOKUP(A1072,[2]cwurData!$B:$N, 10, FALSE)</f>
        <v>756</v>
      </c>
      <c r="X1072">
        <f>VLOOKUP(A1072,[2]cwurData!$B:$N, 11, FALSE)</f>
        <v>552</v>
      </c>
      <c r="Y1072">
        <f>VLOOKUP(A1072,[2]cwurData!$B:$N, 12, FALSE)</f>
        <v>44.58</v>
      </c>
      <c r="Z1072">
        <f>VLOOKUP(A1072,[2]cwurData!$B:$N, 13, FALSE)</f>
        <v>2014</v>
      </c>
    </row>
    <row r="1073" spans="1:26" x14ac:dyDescent="0.3">
      <c r="A1073" t="s">
        <v>1070</v>
      </c>
      <c r="B1073" t="str">
        <f>IFERROR(VLOOKUP(A1073,[1]timesData!$B:$P,2,FALSE),VLOOKUP(A1073,[2]cwurData!$B:$P,2,FALSE))</f>
        <v>Mexico</v>
      </c>
      <c r="C1073" t="e">
        <f>VLOOKUP(A1073,[1]timesData!$B:$P,3,FALSE)</f>
        <v>#N/A</v>
      </c>
      <c r="D1073" t="e">
        <f>VLOOKUP(A1074,[1]timesData!$B:$P,3,FALSE)</f>
        <v>#N/A</v>
      </c>
      <c r="E1073" t="e">
        <f>VLOOKUP(A1074,[1]timesData!$B:$P,4,FALSE)</f>
        <v>#N/A</v>
      </c>
      <c r="F1073" t="e">
        <f>VLOOKUP(A1074,[1]timesData!$B:$P,5,FALSE)</f>
        <v>#N/A</v>
      </c>
      <c r="G1073" t="e">
        <f>VLOOKUP(A1074,[1]timesData!$B:$P,6,FALSE)</f>
        <v>#N/A</v>
      </c>
      <c r="H1073" t="e">
        <f>VLOOKUP(A1074,[1]timesData!$B:$P,7,FALSE)</f>
        <v>#N/A</v>
      </c>
      <c r="I1073" t="e">
        <f>VLOOKUP(A1074,[1]timesData!$B:$P,8,FALSE)</f>
        <v>#N/A</v>
      </c>
      <c r="J1073" t="e">
        <f>VLOOKUP(A1074,[1]timesData!$B:$P,9,FALSE)</f>
        <v>#N/A</v>
      </c>
      <c r="K1073" t="e">
        <f>VLOOKUP(A1074,[1]timesData!$B:$P,10,FALSE)</f>
        <v>#N/A</v>
      </c>
      <c r="L1073" t="e">
        <f>VLOOKUP(A1074,[1]timesData!$B:$P,11,FALSE)</f>
        <v>#N/A</v>
      </c>
      <c r="M1073" t="e">
        <f>VLOOKUP(A1074,[1]timesData!$B:$P,12,FALSE)</f>
        <v>#N/A</v>
      </c>
      <c r="N1073" t="e">
        <f>VLOOKUP(A1074,[1]timesData!$B:$P,13,FALSE)</f>
        <v>#N/A</v>
      </c>
      <c r="O1073">
        <f>VLOOKUP(A1073,[2]cwurData!$B:$P,14,FALSE)</f>
        <v>755</v>
      </c>
      <c r="P1073">
        <f>VLOOKUP(A1073,[2]cwurData!$B:$N, 3, FALSE)</f>
        <v>2</v>
      </c>
      <c r="Q1073">
        <f>VLOOKUP(A1073,[2]cwurData!$B:$N, 4, FALSE)</f>
        <v>322</v>
      </c>
      <c r="R1073">
        <f>VLOOKUP(A1073,[2]cwurData!$B:$N, 5, FALSE)</f>
        <v>478</v>
      </c>
      <c r="S1073">
        <f>VLOOKUP(A1073,[2]cwurData!$B:$N, 6, FALSE)</f>
        <v>210</v>
      </c>
      <c r="T1073">
        <f>VLOOKUP(A1073,[2]cwurData!$B:$N, 7, FALSE)</f>
        <v>549</v>
      </c>
      <c r="U1073">
        <f>VLOOKUP(A1073,[2]cwurData!$B:$N, 8, FALSE)</f>
        <v>572</v>
      </c>
      <c r="V1073">
        <f>VLOOKUP(A1073,[2]cwurData!$B:$N, 9, FALSE)</f>
        <v>406</v>
      </c>
      <c r="W1073">
        <f>VLOOKUP(A1073,[2]cwurData!$B:$N, 10, FALSE)</f>
        <v>756</v>
      </c>
      <c r="X1073">
        <f>VLOOKUP(A1073,[2]cwurData!$B:$N, 11, FALSE)</f>
        <v>307</v>
      </c>
      <c r="Y1073">
        <f>VLOOKUP(A1073,[2]cwurData!$B:$N, 12, FALSE)</f>
        <v>44.58</v>
      </c>
      <c r="Z1073">
        <f>VLOOKUP(A1073,[2]cwurData!$B:$N, 13, FALSE)</f>
        <v>2014</v>
      </c>
    </row>
    <row r="1074" spans="1:26" x14ac:dyDescent="0.3">
      <c r="A1074" t="s">
        <v>1071</v>
      </c>
      <c r="B1074" t="str">
        <f>IFERROR(VLOOKUP(A1074,[1]timesData!$B:$P,2,FALSE),VLOOKUP(A1074,[2]cwurData!$B:$P,2,FALSE))</f>
        <v>Japan</v>
      </c>
      <c r="C1074" t="e">
        <f>VLOOKUP(A1074,[1]timesData!$B:$P,3,FALSE)</f>
        <v>#N/A</v>
      </c>
      <c r="D1074" t="e">
        <f>VLOOKUP(A1075,[1]timesData!$B:$P,3,FALSE)</f>
        <v>#N/A</v>
      </c>
      <c r="E1074" t="e">
        <f>VLOOKUP(A1075,[1]timesData!$B:$P,4,FALSE)</f>
        <v>#N/A</v>
      </c>
      <c r="F1074" t="e">
        <f>VLOOKUP(A1075,[1]timesData!$B:$P,5,FALSE)</f>
        <v>#N/A</v>
      </c>
      <c r="G1074" t="e">
        <f>VLOOKUP(A1075,[1]timesData!$B:$P,6,FALSE)</f>
        <v>#N/A</v>
      </c>
      <c r="H1074" t="e">
        <f>VLOOKUP(A1075,[1]timesData!$B:$P,7,FALSE)</f>
        <v>#N/A</v>
      </c>
      <c r="I1074" t="e">
        <f>VLOOKUP(A1075,[1]timesData!$B:$P,8,FALSE)</f>
        <v>#N/A</v>
      </c>
      <c r="J1074" t="e">
        <f>VLOOKUP(A1075,[1]timesData!$B:$P,9,FALSE)</f>
        <v>#N/A</v>
      </c>
      <c r="K1074" t="e">
        <f>VLOOKUP(A1075,[1]timesData!$B:$P,10,FALSE)</f>
        <v>#N/A</v>
      </c>
      <c r="L1074" t="e">
        <f>VLOOKUP(A1075,[1]timesData!$B:$P,11,FALSE)</f>
        <v>#N/A</v>
      </c>
      <c r="M1074" t="e">
        <f>VLOOKUP(A1075,[1]timesData!$B:$P,12,FALSE)</f>
        <v>#N/A</v>
      </c>
      <c r="N1074" t="e">
        <f>VLOOKUP(A1075,[1]timesData!$B:$P,13,FALSE)</f>
        <v>#N/A</v>
      </c>
      <c r="O1074">
        <f>VLOOKUP(A1074,[2]cwurData!$B:$P,14,FALSE)</f>
        <v>756</v>
      </c>
      <c r="P1074">
        <f>VLOOKUP(A1074,[2]cwurData!$B:$N, 3, FALSE)</f>
        <v>55</v>
      </c>
      <c r="Q1074">
        <f>VLOOKUP(A1074,[2]cwurData!$B:$N, 4, FALSE)</f>
        <v>355</v>
      </c>
      <c r="R1074">
        <f>VLOOKUP(A1074,[2]cwurData!$B:$N, 5, FALSE)</f>
        <v>478</v>
      </c>
      <c r="S1074">
        <f>VLOOKUP(A1074,[2]cwurData!$B:$N, 6, FALSE)</f>
        <v>210</v>
      </c>
      <c r="T1074">
        <f>VLOOKUP(A1074,[2]cwurData!$B:$N, 7, FALSE)</f>
        <v>975</v>
      </c>
      <c r="U1074">
        <f>VLOOKUP(A1074,[2]cwurData!$B:$N, 8, FALSE)</f>
        <v>711</v>
      </c>
      <c r="V1074">
        <f>VLOOKUP(A1074,[2]cwurData!$B:$N, 9, FALSE)</f>
        <v>609</v>
      </c>
      <c r="W1074">
        <f>VLOOKUP(A1074,[2]cwurData!$B:$N, 10, FALSE)</f>
        <v>642</v>
      </c>
      <c r="X1074">
        <f>VLOOKUP(A1074,[2]cwurData!$B:$N, 11, FALSE)</f>
        <v>637</v>
      </c>
      <c r="Y1074">
        <f>VLOOKUP(A1074,[2]cwurData!$B:$N, 12, FALSE)</f>
        <v>44.58</v>
      </c>
      <c r="Z1074">
        <f>VLOOKUP(A1074,[2]cwurData!$B:$N, 13, FALSE)</f>
        <v>2014</v>
      </c>
    </row>
    <row r="1075" spans="1:26" x14ac:dyDescent="0.3">
      <c r="A1075" t="s">
        <v>1072</v>
      </c>
      <c r="B1075" t="str">
        <f>IFERROR(VLOOKUP(A1075,[1]timesData!$B:$P,2,FALSE),VLOOKUP(A1075,[2]cwurData!$B:$P,2,FALSE))</f>
        <v>Spain</v>
      </c>
      <c r="C1075" t="e">
        <f>VLOOKUP(A1075,[1]timesData!$B:$P,3,FALSE)</f>
        <v>#N/A</v>
      </c>
      <c r="D1075" t="e">
        <f>VLOOKUP(A1076,[1]timesData!$B:$P,3,FALSE)</f>
        <v>#N/A</v>
      </c>
      <c r="E1075" t="e">
        <f>VLOOKUP(A1076,[1]timesData!$B:$P,4,FALSE)</f>
        <v>#N/A</v>
      </c>
      <c r="F1075" t="e">
        <f>VLOOKUP(A1076,[1]timesData!$B:$P,5,FALSE)</f>
        <v>#N/A</v>
      </c>
      <c r="G1075" t="e">
        <f>VLOOKUP(A1076,[1]timesData!$B:$P,6,FALSE)</f>
        <v>#N/A</v>
      </c>
      <c r="H1075" t="e">
        <f>VLOOKUP(A1076,[1]timesData!$B:$P,7,FALSE)</f>
        <v>#N/A</v>
      </c>
      <c r="I1075" t="e">
        <f>VLOOKUP(A1076,[1]timesData!$B:$P,8,FALSE)</f>
        <v>#N/A</v>
      </c>
      <c r="J1075" t="e">
        <f>VLOOKUP(A1076,[1]timesData!$B:$P,9,FALSE)</f>
        <v>#N/A</v>
      </c>
      <c r="K1075" t="e">
        <f>VLOOKUP(A1076,[1]timesData!$B:$P,10,FALSE)</f>
        <v>#N/A</v>
      </c>
      <c r="L1075" t="e">
        <f>VLOOKUP(A1076,[1]timesData!$B:$P,11,FALSE)</f>
        <v>#N/A</v>
      </c>
      <c r="M1075" t="e">
        <f>VLOOKUP(A1076,[1]timesData!$B:$P,12,FALSE)</f>
        <v>#N/A</v>
      </c>
      <c r="N1075" t="e">
        <f>VLOOKUP(A1076,[1]timesData!$B:$P,13,FALSE)</f>
        <v>#N/A</v>
      </c>
      <c r="O1075">
        <f>VLOOKUP(A1075,[2]cwurData!$B:$P,14,FALSE)</f>
        <v>757</v>
      </c>
      <c r="P1075">
        <f>VLOOKUP(A1075,[2]cwurData!$B:$N, 3, FALSE)</f>
        <v>27</v>
      </c>
      <c r="Q1075">
        <f>VLOOKUP(A1075,[2]cwurData!$B:$N, 4, FALSE)</f>
        <v>355</v>
      </c>
      <c r="R1075">
        <f>VLOOKUP(A1075,[2]cwurData!$B:$N, 5, FALSE)</f>
        <v>430</v>
      </c>
      <c r="S1075">
        <f>VLOOKUP(A1075,[2]cwurData!$B:$N, 6, FALSE)</f>
        <v>210</v>
      </c>
      <c r="T1075">
        <f>VLOOKUP(A1075,[2]cwurData!$B:$N, 7, FALSE)</f>
        <v>675</v>
      </c>
      <c r="U1075">
        <f>VLOOKUP(A1075,[2]cwurData!$B:$N, 8, FALSE)</f>
        <v>966</v>
      </c>
      <c r="V1075">
        <f>VLOOKUP(A1075,[2]cwurData!$B:$N, 9, FALSE)</f>
        <v>800</v>
      </c>
      <c r="W1075">
        <f>VLOOKUP(A1075,[2]cwurData!$B:$N, 10, FALSE)</f>
        <v>819</v>
      </c>
      <c r="X1075">
        <f>VLOOKUP(A1075,[2]cwurData!$B:$N, 11, FALSE)</f>
        <v>280</v>
      </c>
      <c r="Y1075">
        <f>VLOOKUP(A1075,[2]cwurData!$B:$N, 12, FALSE)</f>
        <v>44.57</v>
      </c>
      <c r="Z1075">
        <f>VLOOKUP(A1075,[2]cwurData!$B:$N, 13, FALSE)</f>
        <v>2014</v>
      </c>
    </row>
    <row r="1076" spans="1:26" x14ac:dyDescent="0.3">
      <c r="A1076" t="s">
        <v>1073</v>
      </c>
      <c r="B1076" t="str">
        <f>IFERROR(VLOOKUP(A1076,[1]timesData!$B:$P,2,FALSE),VLOOKUP(A1076,[2]cwurData!$B:$P,2,FALSE))</f>
        <v>Italy</v>
      </c>
      <c r="C1076" t="e">
        <f>VLOOKUP(A1076,[1]timesData!$B:$P,3,FALSE)</f>
        <v>#N/A</v>
      </c>
      <c r="D1076" t="e">
        <f>VLOOKUP(A1077,[1]timesData!$B:$P,3,FALSE)</f>
        <v>#N/A</v>
      </c>
      <c r="E1076" t="e">
        <f>VLOOKUP(A1077,[1]timesData!$B:$P,4,FALSE)</f>
        <v>#N/A</v>
      </c>
      <c r="F1076" t="e">
        <f>VLOOKUP(A1077,[1]timesData!$B:$P,5,FALSE)</f>
        <v>#N/A</v>
      </c>
      <c r="G1076" t="e">
        <f>VLOOKUP(A1077,[1]timesData!$B:$P,6,FALSE)</f>
        <v>#N/A</v>
      </c>
      <c r="H1076" t="e">
        <f>VLOOKUP(A1077,[1]timesData!$B:$P,7,FALSE)</f>
        <v>#N/A</v>
      </c>
      <c r="I1076" t="e">
        <f>VLOOKUP(A1077,[1]timesData!$B:$P,8,FALSE)</f>
        <v>#N/A</v>
      </c>
      <c r="J1076" t="e">
        <f>VLOOKUP(A1077,[1]timesData!$B:$P,9,FALSE)</f>
        <v>#N/A</v>
      </c>
      <c r="K1076" t="e">
        <f>VLOOKUP(A1077,[1]timesData!$B:$P,10,FALSE)</f>
        <v>#N/A</v>
      </c>
      <c r="L1076" t="e">
        <f>VLOOKUP(A1077,[1]timesData!$B:$P,11,FALSE)</f>
        <v>#N/A</v>
      </c>
      <c r="M1076" t="e">
        <f>VLOOKUP(A1077,[1]timesData!$B:$P,12,FALSE)</f>
        <v>#N/A</v>
      </c>
      <c r="N1076" t="e">
        <f>VLOOKUP(A1077,[1]timesData!$B:$P,13,FALSE)</f>
        <v>#N/A</v>
      </c>
      <c r="O1076">
        <f>VLOOKUP(A1076,[2]cwurData!$B:$P,14,FALSE)</f>
        <v>758</v>
      </c>
      <c r="P1076">
        <f>VLOOKUP(A1076,[2]cwurData!$B:$N, 3, FALSE)</f>
        <v>41</v>
      </c>
      <c r="Q1076">
        <f>VLOOKUP(A1076,[2]cwurData!$B:$N, 4, FALSE)</f>
        <v>355</v>
      </c>
      <c r="R1076">
        <f>VLOOKUP(A1076,[2]cwurData!$B:$N, 5, FALSE)</f>
        <v>478</v>
      </c>
      <c r="S1076">
        <f>VLOOKUP(A1076,[2]cwurData!$B:$N, 6, FALSE)</f>
        <v>210</v>
      </c>
      <c r="T1076">
        <f>VLOOKUP(A1076,[2]cwurData!$B:$N, 7, FALSE)</f>
        <v>566</v>
      </c>
      <c r="U1076">
        <f>VLOOKUP(A1076,[2]cwurData!$B:$N, 8, FALSE)</f>
        <v>816</v>
      </c>
      <c r="V1076">
        <f>VLOOKUP(A1076,[2]cwurData!$B:$N, 9, FALSE)</f>
        <v>406</v>
      </c>
      <c r="W1076">
        <f>VLOOKUP(A1076,[2]cwurData!$B:$N, 10, FALSE)</f>
        <v>690</v>
      </c>
      <c r="X1076">
        <f>VLOOKUP(A1076,[2]cwurData!$B:$N, 11, FALSE)</f>
        <v>737</v>
      </c>
      <c r="Y1076">
        <f>VLOOKUP(A1076,[2]cwurData!$B:$N, 12, FALSE)</f>
        <v>44.57</v>
      </c>
      <c r="Z1076">
        <f>VLOOKUP(A1076,[2]cwurData!$B:$N, 13, FALSE)</f>
        <v>2014</v>
      </c>
    </row>
    <row r="1077" spans="1:26" x14ac:dyDescent="0.3">
      <c r="A1077" t="s">
        <v>1074</v>
      </c>
      <c r="B1077" t="str">
        <f>IFERROR(VLOOKUP(A1077,[1]timesData!$B:$P,2,FALSE),VLOOKUP(A1077,[2]cwurData!$B:$P,2,FALSE))</f>
        <v>Germany</v>
      </c>
      <c r="C1077" t="e">
        <f>VLOOKUP(A1077,[1]timesData!$B:$P,3,FALSE)</f>
        <v>#N/A</v>
      </c>
      <c r="D1077" t="e">
        <f>VLOOKUP(A1078,[1]timesData!$B:$P,3,FALSE)</f>
        <v>#N/A</v>
      </c>
      <c r="E1077" t="e">
        <f>VLOOKUP(A1078,[1]timesData!$B:$P,4,FALSE)</f>
        <v>#N/A</v>
      </c>
      <c r="F1077" t="e">
        <f>VLOOKUP(A1078,[1]timesData!$B:$P,5,FALSE)</f>
        <v>#N/A</v>
      </c>
      <c r="G1077" t="e">
        <f>VLOOKUP(A1078,[1]timesData!$B:$P,6,FALSE)</f>
        <v>#N/A</v>
      </c>
      <c r="H1077" t="e">
        <f>VLOOKUP(A1078,[1]timesData!$B:$P,7,FALSE)</f>
        <v>#N/A</v>
      </c>
      <c r="I1077" t="e">
        <f>VLOOKUP(A1078,[1]timesData!$B:$P,8,FALSE)</f>
        <v>#N/A</v>
      </c>
      <c r="J1077" t="e">
        <f>VLOOKUP(A1078,[1]timesData!$B:$P,9,FALSE)</f>
        <v>#N/A</v>
      </c>
      <c r="K1077" t="e">
        <f>VLOOKUP(A1078,[1]timesData!$B:$P,10,FALSE)</f>
        <v>#N/A</v>
      </c>
      <c r="L1077" t="e">
        <f>VLOOKUP(A1078,[1]timesData!$B:$P,11,FALSE)</f>
        <v>#N/A</v>
      </c>
      <c r="M1077" t="e">
        <f>VLOOKUP(A1078,[1]timesData!$B:$P,12,FALSE)</f>
        <v>#N/A</v>
      </c>
      <c r="N1077" t="e">
        <f>VLOOKUP(A1078,[1]timesData!$B:$P,13,FALSE)</f>
        <v>#N/A</v>
      </c>
      <c r="O1077">
        <f>VLOOKUP(A1077,[2]cwurData!$B:$P,14,FALSE)</f>
        <v>759</v>
      </c>
      <c r="P1077">
        <f>VLOOKUP(A1077,[2]cwurData!$B:$N, 3, FALSE)</f>
        <v>48</v>
      </c>
      <c r="Q1077">
        <f>VLOOKUP(A1077,[2]cwurData!$B:$N, 4, FALSE)</f>
        <v>355</v>
      </c>
      <c r="R1077">
        <f>VLOOKUP(A1077,[2]cwurData!$B:$N, 5, FALSE)</f>
        <v>478</v>
      </c>
      <c r="S1077">
        <f>VLOOKUP(A1077,[2]cwurData!$B:$N, 6, FALSE)</f>
        <v>210</v>
      </c>
      <c r="T1077">
        <f>VLOOKUP(A1077,[2]cwurData!$B:$N, 7, FALSE)</f>
        <v>910</v>
      </c>
      <c r="U1077">
        <f>VLOOKUP(A1077,[2]cwurData!$B:$N, 8, FALSE)</f>
        <v>587</v>
      </c>
      <c r="V1077">
        <f>VLOOKUP(A1077,[2]cwurData!$B:$N, 9, FALSE)</f>
        <v>800</v>
      </c>
      <c r="W1077">
        <f>VLOOKUP(A1077,[2]cwurData!$B:$N, 10, FALSE)</f>
        <v>642</v>
      </c>
      <c r="X1077">
        <f>VLOOKUP(A1077,[2]cwurData!$B:$N, 11, FALSE)</f>
        <v>737</v>
      </c>
      <c r="Y1077">
        <f>VLOOKUP(A1077,[2]cwurData!$B:$N, 12, FALSE)</f>
        <v>44.57</v>
      </c>
      <c r="Z1077">
        <f>VLOOKUP(A1077,[2]cwurData!$B:$N, 13, FALSE)</f>
        <v>2014</v>
      </c>
    </row>
    <row r="1078" spans="1:26" x14ac:dyDescent="0.3">
      <c r="A1078" t="s">
        <v>1075</v>
      </c>
      <c r="B1078" t="str">
        <f>IFERROR(VLOOKUP(A1078,[1]timesData!$B:$P,2,FALSE),VLOOKUP(A1078,[2]cwurData!$B:$P,2,FALSE))</f>
        <v>Japan</v>
      </c>
      <c r="C1078" t="e">
        <f>VLOOKUP(A1078,[1]timesData!$B:$P,3,FALSE)</f>
        <v>#N/A</v>
      </c>
      <c r="D1078" t="e">
        <f>VLOOKUP(A1079,[1]timesData!$B:$P,3,FALSE)</f>
        <v>#N/A</v>
      </c>
      <c r="E1078" t="e">
        <f>VLOOKUP(A1079,[1]timesData!$B:$P,4,FALSE)</f>
        <v>#N/A</v>
      </c>
      <c r="F1078" t="e">
        <f>VLOOKUP(A1079,[1]timesData!$B:$P,5,FALSE)</f>
        <v>#N/A</v>
      </c>
      <c r="G1078" t="e">
        <f>VLOOKUP(A1079,[1]timesData!$B:$P,6,FALSE)</f>
        <v>#N/A</v>
      </c>
      <c r="H1078" t="e">
        <f>VLOOKUP(A1079,[1]timesData!$B:$P,7,FALSE)</f>
        <v>#N/A</v>
      </c>
      <c r="I1078" t="e">
        <f>VLOOKUP(A1079,[1]timesData!$B:$P,8,FALSE)</f>
        <v>#N/A</v>
      </c>
      <c r="J1078" t="e">
        <f>VLOOKUP(A1079,[1]timesData!$B:$P,9,FALSE)</f>
        <v>#N/A</v>
      </c>
      <c r="K1078" t="e">
        <f>VLOOKUP(A1079,[1]timesData!$B:$P,10,FALSE)</f>
        <v>#N/A</v>
      </c>
      <c r="L1078" t="e">
        <f>VLOOKUP(A1079,[1]timesData!$B:$P,11,FALSE)</f>
        <v>#N/A</v>
      </c>
      <c r="M1078" t="e">
        <f>VLOOKUP(A1079,[1]timesData!$B:$P,12,FALSE)</f>
        <v>#N/A</v>
      </c>
      <c r="N1078" t="e">
        <f>VLOOKUP(A1079,[1]timesData!$B:$P,13,FALSE)</f>
        <v>#N/A</v>
      </c>
      <c r="O1078">
        <f>VLOOKUP(A1078,[2]cwurData!$B:$P,14,FALSE)</f>
        <v>760</v>
      </c>
      <c r="P1078">
        <f>VLOOKUP(A1078,[2]cwurData!$B:$N, 3, FALSE)</f>
        <v>56</v>
      </c>
      <c r="Q1078">
        <f>VLOOKUP(A1078,[2]cwurData!$B:$N, 4, FALSE)</f>
        <v>355</v>
      </c>
      <c r="R1078">
        <f>VLOOKUP(A1078,[2]cwurData!$B:$N, 5, FALSE)</f>
        <v>478</v>
      </c>
      <c r="S1078">
        <f>VLOOKUP(A1078,[2]cwurData!$B:$N, 6, FALSE)</f>
        <v>210</v>
      </c>
      <c r="T1078">
        <f>VLOOKUP(A1078,[2]cwurData!$B:$N, 7, FALSE)</f>
        <v>981</v>
      </c>
      <c r="U1078">
        <f>VLOOKUP(A1078,[2]cwurData!$B:$N, 8, FALSE)</f>
        <v>727</v>
      </c>
      <c r="V1078">
        <f>VLOOKUP(A1078,[2]cwurData!$B:$N, 9, FALSE)</f>
        <v>800</v>
      </c>
      <c r="W1078">
        <f>VLOOKUP(A1078,[2]cwurData!$B:$N, 10, FALSE)</f>
        <v>642</v>
      </c>
      <c r="X1078">
        <f>VLOOKUP(A1078,[2]cwurData!$B:$N, 11, FALSE)</f>
        <v>737</v>
      </c>
      <c r="Y1078">
        <f>VLOOKUP(A1078,[2]cwurData!$B:$N, 12, FALSE)</f>
        <v>44.57</v>
      </c>
      <c r="Z1078">
        <f>VLOOKUP(A1078,[2]cwurData!$B:$N, 13, FALSE)</f>
        <v>2014</v>
      </c>
    </row>
    <row r="1079" spans="1:26" x14ac:dyDescent="0.3">
      <c r="A1079" t="s">
        <v>1076</v>
      </c>
      <c r="B1079" t="str">
        <f>IFERROR(VLOOKUP(A1079,[1]timesData!$B:$P,2,FALSE),VLOOKUP(A1079,[2]cwurData!$B:$P,2,FALSE))</f>
        <v>China</v>
      </c>
      <c r="C1079" t="e">
        <f>VLOOKUP(A1079,[1]timesData!$B:$P,3,FALSE)</f>
        <v>#N/A</v>
      </c>
      <c r="D1079" t="e">
        <f>VLOOKUP(A1080,[1]timesData!$B:$P,3,FALSE)</f>
        <v>#N/A</v>
      </c>
      <c r="E1079" t="e">
        <f>VLOOKUP(A1080,[1]timesData!$B:$P,4,FALSE)</f>
        <v>#N/A</v>
      </c>
      <c r="F1079" t="e">
        <f>VLOOKUP(A1080,[1]timesData!$B:$P,5,FALSE)</f>
        <v>#N/A</v>
      </c>
      <c r="G1079" t="e">
        <f>VLOOKUP(A1080,[1]timesData!$B:$P,6,FALSE)</f>
        <v>#N/A</v>
      </c>
      <c r="H1079" t="e">
        <f>VLOOKUP(A1080,[1]timesData!$B:$P,7,FALSE)</f>
        <v>#N/A</v>
      </c>
      <c r="I1079" t="e">
        <f>VLOOKUP(A1080,[1]timesData!$B:$P,8,FALSE)</f>
        <v>#N/A</v>
      </c>
      <c r="J1079" t="e">
        <f>VLOOKUP(A1080,[1]timesData!$B:$P,9,FALSE)</f>
        <v>#N/A</v>
      </c>
      <c r="K1079" t="e">
        <f>VLOOKUP(A1080,[1]timesData!$B:$P,10,FALSE)</f>
        <v>#N/A</v>
      </c>
      <c r="L1079" t="e">
        <f>VLOOKUP(A1080,[1]timesData!$B:$P,11,FALSE)</f>
        <v>#N/A</v>
      </c>
      <c r="M1079" t="e">
        <f>VLOOKUP(A1080,[1]timesData!$B:$P,12,FALSE)</f>
        <v>#N/A</v>
      </c>
      <c r="N1079" t="e">
        <f>VLOOKUP(A1080,[1]timesData!$B:$P,13,FALSE)</f>
        <v>#N/A</v>
      </c>
      <c r="O1079">
        <f>VLOOKUP(A1079,[2]cwurData!$B:$P,14,FALSE)</f>
        <v>761</v>
      </c>
      <c r="P1079">
        <f>VLOOKUP(A1079,[2]cwurData!$B:$N, 3, FALSE)</f>
        <v>41</v>
      </c>
      <c r="Q1079">
        <f>VLOOKUP(A1079,[2]cwurData!$B:$N, 4, FALSE)</f>
        <v>355</v>
      </c>
      <c r="R1079">
        <f>VLOOKUP(A1079,[2]cwurData!$B:$N, 5, FALSE)</f>
        <v>478</v>
      </c>
      <c r="S1079">
        <f>VLOOKUP(A1079,[2]cwurData!$B:$N, 6, FALSE)</f>
        <v>210</v>
      </c>
      <c r="T1079">
        <f>VLOOKUP(A1079,[2]cwurData!$B:$N, 7, FALSE)</f>
        <v>281</v>
      </c>
      <c r="U1079">
        <f>VLOOKUP(A1079,[2]cwurData!$B:$N, 8, FALSE)</f>
        <v>308</v>
      </c>
      <c r="V1079">
        <f>VLOOKUP(A1079,[2]cwurData!$B:$N, 9, FALSE)</f>
        <v>800</v>
      </c>
      <c r="W1079">
        <f>VLOOKUP(A1079,[2]cwurData!$B:$N, 10, FALSE)</f>
        <v>909</v>
      </c>
      <c r="X1079">
        <f>VLOOKUP(A1079,[2]cwurData!$B:$N, 11, FALSE)</f>
        <v>637</v>
      </c>
      <c r="Y1079">
        <f>VLOOKUP(A1079,[2]cwurData!$B:$N, 12, FALSE)</f>
        <v>44.57</v>
      </c>
      <c r="Z1079">
        <f>VLOOKUP(A1079,[2]cwurData!$B:$N, 13, FALSE)</f>
        <v>2014</v>
      </c>
    </row>
    <row r="1080" spans="1:26" x14ac:dyDescent="0.3">
      <c r="A1080" t="s">
        <v>1077</v>
      </c>
      <c r="B1080" t="str">
        <f>IFERROR(VLOOKUP(A1080,[1]timesData!$B:$P,2,FALSE),VLOOKUP(A1080,[2]cwurData!$B:$P,2,FALSE))</f>
        <v>Japan</v>
      </c>
      <c r="C1080" t="e">
        <f>VLOOKUP(A1080,[1]timesData!$B:$P,3,FALSE)</f>
        <v>#N/A</v>
      </c>
      <c r="D1080" t="e">
        <f>VLOOKUP(A1081,[1]timesData!$B:$P,3,FALSE)</f>
        <v>#N/A</v>
      </c>
      <c r="E1080" t="e">
        <f>VLOOKUP(A1081,[1]timesData!$B:$P,4,FALSE)</f>
        <v>#N/A</v>
      </c>
      <c r="F1080" t="e">
        <f>VLOOKUP(A1081,[1]timesData!$B:$P,5,FALSE)</f>
        <v>#N/A</v>
      </c>
      <c r="G1080" t="e">
        <f>VLOOKUP(A1081,[1]timesData!$B:$P,6,FALSE)</f>
        <v>#N/A</v>
      </c>
      <c r="H1080" t="e">
        <f>VLOOKUP(A1081,[1]timesData!$B:$P,7,FALSE)</f>
        <v>#N/A</v>
      </c>
      <c r="I1080" t="e">
        <f>VLOOKUP(A1081,[1]timesData!$B:$P,8,FALSE)</f>
        <v>#N/A</v>
      </c>
      <c r="J1080" t="e">
        <f>VLOOKUP(A1081,[1]timesData!$B:$P,9,FALSE)</f>
        <v>#N/A</v>
      </c>
      <c r="K1080" t="e">
        <f>VLOOKUP(A1081,[1]timesData!$B:$P,10,FALSE)</f>
        <v>#N/A</v>
      </c>
      <c r="L1080" t="e">
        <f>VLOOKUP(A1081,[1]timesData!$B:$P,11,FALSE)</f>
        <v>#N/A</v>
      </c>
      <c r="M1080" t="e">
        <f>VLOOKUP(A1081,[1]timesData!$B:$P,12,FALSE)</f>
        <v>#N/A</v>
      </c>
      <c r="N1080" t="e">
        <f>VLOOKUP(A1081,[1]timesData!$B:$P,13,FALSE)</f>
        <v>#N/A</v>
      </c>
      <c r="O1080">
        <f>VLOOKUP(A1080,[2]cwurData!$B:$P,14,FALSE)</f>
        <v>762</v>
      </c>
      <c r="P1080">
        <f>VLOOKUP(A1080,[2]cwurData!$B:$N, 3, FALSE)</f>
        <v>57</v>
      </c>
      <c r="Q1080">
        <f>VLOOKUP(A1080,[2]cwurData!$B:$N, 4, FALSE)</f>
        <v>355</v>
      </c>
      <c r="R1080">
        <f>VLOOKUP(A1080,[2]cwurData!$B:$N, 5, FALSE)</f>
        <v>478</v>
      </c>
      <c r="S1080">
        <f>VLOOKUP(A1080,[2]cwurData!$B:$N, 6, FALSE)</f>
        <v>210</v>
      </c>
      <c r="T1080">
        <f>VLOOKUP(A1080,[2]cwurData!$B:$N, 7, FALSE)</f>
        <v>760</v>
      </c>
      <c r="U1080">
        <f>VLOOKUP(A1080,[2]cwurData!$B:$N, 8, FALSE)</f>
        <v>719</v>
      </c>
      <c r="V1080">
        <f>VLOOKUP(A1080,[2]cwurData!$B:$N, 9, FALSE)</f>
        <v>609</v>
      </c>
      <c r="W1080">
        <f>VLOOKUP(A1080,[2]cwurData!$B:$N, 10, FALSE)</f>
        <v>675</v>
      </c>
      <c r="X1080">
        <f>VLOOKUP(A1080,[2]cwurData!$B:$N, 11, FALSE)</f>
        <v>481</v>
      </c>
      <c r="Y1080">
        <f>VLOOKUP(A1080,[2]cwurData!$B:$N, 12, FALSE)</f>
        <v>44.57</v>
      </c>
      <c r="Z1080">
        <f>VLOOKUP(A1080,[2]cwurData!$B:$N, 13, FALSE)</f>
        <v>2014</v>
      </c>
    </row>
    <row r="1081" spans="1:26" x14ac:dyDescent="0.3">
      <c r="A1081" t="s">
        <v>1078</v>
      </c>
      <c r="B1081" t="str">
        <f>IFERROR(VLOOKUP(A1081,[1]timesData!$B:$P,2,FALSE),VLOOKUP(A1081,[2]cwurData!$B:$P,2,FALSE))</f>
        <v>Spain</v>
      </c>
      <c r="C1081" t="e">
        <f>VLOOKUP(A1081,[1]timesData!$B:$P,3,FALSE)</f>
        <v>#N/A</v>
      </c>
      <c r="D1081" t="e">
        <f>VLOOKUP(A1082,[1]timesData!$B:$P,3,FALSE)</f>
        <v>#N/A</v>
      </c>
      <c r="E1081" t="e">
        <f>VLOOKUP(A1082,[1]timesData!$B:$P,4,FALSE)</f>
        <v>#N/A</v>
      </c>
      <c r="F1081" t="e">
        <f>VLOOKUP(A1082,[1]timesData!$B:$P,5,FALSE)</f>
        <v>#N/A</v>
      </c>
      <c r="G1081" t="e">
        <f>VLOOKUP(A1082,[1]timesData!$B:$P,6,FALSE)</f>
        <v>#N/A</v>
      </c>
      <c r="H1081" t="e">
        <f>VLOOKUP(A1082,[1]timesData!$B:$P,7,FALSE)</f>
        <v>#N/A</v>
      </c>
      <c r="I1081" t="e">
        <f>VLOOKUP(A1082,[1]timesData!$B:$P,8,FALSE)</f>
        <v>#N/A</v>
      </c>
      <c r="J1081" t="e">
        <f>VLOOKUP(A1082,[1]timesData!$B:$P,9,FALSE)</f>
        <v>#N/A</v>
      </c>
      <c r="K1081" t="e">
        <f>VLOOKUP(A1082,[1]timesData!$B:$P,10,FALSE)</f>
        <v>#N/A</v>
      </c>
      <c r="L1081" t="e">
        <f>VLOOKUP(A1082,[1]timesData!$B:$P,11,FALSE)</f>
        <v>#N/A</v>
      </c>
      <c r="M1081" t="e">
        <f>VLOOKUP(A1082,[1]timesData!$B:$P,12,FALSE)</f>
        <v>#N/A</v>
      </c>
      <c r="N1081" t="e">
        <f>VLOOKUP(A1082,[1]timesData!$B:$P,13,FALSE)</f>
        <v>#N/A</v>
      </c>
      <c r="O1081">
        <f>VLOOKUP(A1081,[2]cwurData!$B:$P,14,FALSE)</f>
        <v>763</v>
      </c>
      <c r="P1081">
        <f>VLOOKUP(A1081,[2]cwurData!$B:$N, 3, FALSE)</f>
        <v>28</v>
      </c>
      <c r="Q1081">
        <f>VLOOKUP(A1081,[2]cwurData!$B:$N, 4, FALSE)</f>
        <v>355</v>
      </c>
      <c r="R1081">
        <f>VLOOKUP(A1081,[2]cwurData!$B:$N, 5, FALSE)</f>
        <v>478</v>
      </c>
      <c r="S1081">
        <f>VLOOKUP(A1081,[2]cwurData!$B:$N, 6, FALSE)</f>
        <v>210</v>
      </c>
      <c r="T1081">
        <f>VLOOKUP(A1081,[2]cwurData!$B:$N, 7, FALSE)</f>
        <v>623</v>
      </c>
      <c r="U1081">
        <f>VLOOKUP(A1081,[2]cwurData!$B:$N, 8, FALSE)</f>
        <v>726</v>
      </c>
      <c r="V1081">
        <f>VLOOKUP(A1081,[2]cwurData!$B:$N, 9, FALSE)</f>
        <v>609</v>
      </c>
      <c r="W1081">
        <f>VLOOKUP(A1081,[2]cwurData!$B:$N, 10, FALSE)</f>
        <v>675</v>
      </c>
      <c r="X1081">
        <f>VLOOKUP(A1081,[2]cwurData!$B:$N, 11, FALSE)</f>
        <v>737</v>
      </c>
      <c r="Y1081">
        <f>VLOOKUP(A1081,[2]cwurData!$B:$N, 12, FALSE)</f>
        <v>44.57</v>
      </c>
      <c r="Z1081">
        <f>VLOOKUP(A1081,[2]cwurData!$B:$N, 13, FALSE)</f>
        <v>2014</v>
      </c>
    </row>
    <row r="1082" spans="1:26" x14ac:dyDescent="0.3">
      <c r="A1082" t="s">
        <v>1079</v>
      </c>
      <c r="B1082" t="str">
        <f>IFERROR(VLOOKUP(A1082,[1]timesData!$B:$P,2,FALSE),VLOOKUP(A1082,[2]cwurData!$B:$P,2,FALSE))</f>
        <v>Belgium</v>
      </c>
      <c r="C1082" t="e">
        <f>VLOOKUP(A1082,[1]timesData!$B:$P,3,FALSE)</f>
        <v>#N/A</v>
      </c>
      <c r="D1082" t="e">
        <f>VLOOKUP(A1083,[1]timesData!$B:$P,3,FALSE)</f>
        <v>#N/A</v>
      </c>
      <c r="E1082" t="e">
        <f>VLOOKUP(A1083,[1]timesData!$B:$P,4,FALSE)</f>
        <v>#N/A</v>
      </c>
      <c r="F1082" t="e">
        <f>VLOOKUP(A1083,[1]timesData!$B:$P,5,FALSE)</f>
        <v>#N/A</v>
      </c>
      <c r="G1082" t="e">
        <f>VLOOKUP(A1083,[1]timesData!$B:$P,6,FALSE)</f>
        <v>#N/A</v>
      </c>
      <c r="H1082" t="e">
        <f>VLOOKUP(A1083,[1]timesData!$B:$P,7,FALSE)</f>
        <v>#N/A</v>
      </c>
      <c r="I1082" t="e">
        <f>VLOOKUP(A1083,[1]timesData!$B:$P,8,FALSE)</f>
        <v>#N/A</v>
      </c>
      <c r="J1082" t="e">
        <f>VLOOKUP(A1083,[1]timesData!$B:$P,9,FALSE)</f>
        <v>#N/A</v>
      </c>
      <c r="K1082" t="e">
        <f>VLOOKUP(A1083,[1]timesData!$B:$P,10,FALSE)</f>
        <v>#N/A</v>
      </c>
      <c r="L1082" t="e">
        <f>VLOOKUP(A1083,[1]timesData!$B:$P,11,FALSE)</f>
        <v>#N/A</v>
      </c>
      <c r="M1082" t="e">
        <f>VLOOKUP(A1083,[1]timesData!$B:$P,12,FALSE)</f>
        <v>#N/A</v>
      </c>
      <c r="N1082" t="e">
        <f>VLOOKUP(A1083,[1]timesData!$B:$P,13,FALSE)</f>
        <v>#N/A</v>
      </c>
      <c r="O1082">
        <f>VLOOKUP(A1082,[2]cwurData!$B:$P,14,FALSE)</f>
        <v>764</v>
      </c>
      <c r="P1082">
        <f>VLOOKUP(A1082,[2]cwurData!$B:$N, 3, FALSE)</f>
        <v>10</v>
      </c>
      <c r="Q1082">
        <f>VLOOKUP(A1082,[2]cwurData!$B:$N, 4, FALSE)</f>
        <v>355</v>
      </c>
      <c r="R1082">
        <f>VLOOKUP(A1082,[2]cwurData!$B:$N, 5, FALSE)</f>
        <v>478</v>
      </c>
      <c r="S1082">
        <f>VLOOKUP(A1082,[2]cwurData!$B:$N, 6, FALSE)</f>
        <v>210</v>
      </c>
      <c r="T1082">
        <f>VLOOKUP(A1082,[2]cwurData!$B:$N, 7, FALSE)</f>
        <v>789</v>
      </c>
      <c r="U1082">
        <f>VLOOKUP(A1082,[2]cwurData!$B:$N, 8, FALSE)</f>
        <v>814</v>
      </c>
      <c r="V1082">
        <f>VLOOKUP(A1082,[2]cwurData!$B:$N, 9, FALSE)</f>
        <v>609</v>
      </c>
      <c r="W1082">
        <f>VLOOKUP(A1082,[2]cwurData!$B:$N, 10, FALSE)</f>
        <v>675</v>
      </c>
      <c r="X1082">
        <f>VLOOKUP(A1082,[2]cwurData!$B:$N, 11, FALSE)</f>
        <v>481</v>
      </c>
      <c r="Y1082">
        <f>VLOOKUP(A1082,[2]cwurData!$B:$N, 12, FALSE)</f>
        <v>44.57</v>
      </c>
      <c r="Z1082">
        <f>VLOOKUP(A1082,[2]cwurData!$B:$N, 13, FALSE)</f>
        <v>2014</v>
      </c>
    </row>
    <row r="1083" spans="1:26" x14ac:dyDescent="0.3">
      <c r="A1083" t="s">
        <v>1080</v>
      </c>
      <c r="B1083" t="str">
        <f>IFERROR(VLOOKUP(A1083,[1]timesData!$B:$P,2,FALSE),VLOOKUP(A1083,[2]cwurData!$B:$P,2,FALSE))</f>
        <v>Japan</v>
      </c>
      <c r="C1083" t="e">
        <f>VLOOKUP(A1083,[1]timesData!$B:$P,3,FALSE)</f>
        <v>#N/A</v>
      </c>
      <c r="D1083" t="e">
        <f>VLOOKUP(A1084,[1]timesData!$B:$P,3,FALSE)</f>
        <v>#N/A</v>
      </c>
      <c r="E1083" t="e">
        <f>VLOOKUP(A1084,[1]timesData!$B:$P,4,FALSE)</f>
        <v>#N/A</v>
      </c>
      <c r="F1083" t="e">
        <f>VLOOKUP(A1084,[1]timesData!$B:$P,5,FALSE)</f>
        <v>#N/A</v>
      </c>
      <c r="G1083" t="e">
        <f>VLOOKUP(A1084,[1]timesData!$B:$P,6,FALSE)</f>
        <v>#N/A</v>
      </c>
      <c r="H1083" t="e">
        <f>VLOOKUP(A1084,[1]timesData!$B:$P,7,FALSE)</f>
        <v>#N/A</v>
      </c>
      <c r="I1083" t="e">
        <f>VLOOKUP(A1084,[1]timesData!$B:$P,8,FALSE)</f>
        <v>#N/A</v>
      </c>
      <c r="J1083" t="e">
        <f>VLOOKUP(A1084,[1]timesData!$B:$P,9,FALSE)</f>
        <v>#N/A</v>
      </c>
      <c r="K1083" t="e">
        <f>VLOOKUP(A1084,[1]timesData!$B:$P,10,FALSE)</f>
        <v>#N/A</v>
      </c>
      <c r="L1083" t="e">
        <f>VLOOKUP(A1084,[1]timesData!$B:$P,11,FALSE)</f>
        <v>#N/A</v>
      </c>
      <c r="M1083" t="e">
        <f>VLOOKUP(A1084,[1]timesData!$B:$P,12,FALSE)</f>
        <v>#N/A</v>
      </c>
      <c r="N1083" t="e">
        <f>VLOOKUP(A1084,[1]timesData!$B:$P,13,FALSE)</f>
        <v>#N/A</v>
      </c>
      <c r="O1083">
        <f>VLOOKUP(A1083,[2]cwurData!$B:$P,14,FALSE)</f>
        <v>765</v>
      </c>
      <c r="P1083">
        <f>VLOOKUP(A1083,[2]cwurData!$B:$N, 3, FALSE)</f>
        <v>58</v>
      </c>
      <c r="Q1083">
        <f>VLOOKUP(A1083,[2]cwurData!$B:$N, 4, FALSE)</f>
        <v>355</v>
      </c>
      <c r="R1083">
        <f>VLOOKUP(A1083,[2]cwurData!$B:$N, 5, FALSE)</f>
        <v>478</v>
      </c>
      <c r="S1083">
        <f>VLOOKUP(A1083,[2]cwurData!$B:$N, 6, FALSE)</f>
        <v>210</v>
      </c>
      <c r="T1083">
        <f>VLOOKUP(A1083,[2]cwurData!$B:$N, 7, FALSE)</f>
        <v>773</v>
      </c>
      <c r="U1083">
        <f>VLOOKUP(A1083,[2]cwurData!$B:$N, 8, FALSE)</f>
        <v>757</v>
      </c>
      <c r="V1083">
        <f>VLOOKUP(A1083,[2]cwurData!$B:$N, 9, FALSE)</f>
        <v>800</v>
      </c>
      <c r="W1083">
        <f>VLOOKUP(A1083,[2]cwurData!$B:$N, 10, FALSE)</f>
        <v>675</v>
      </c>
      <c r="X1083">
        <f>VLOOKUP(A1083,[2]cwurData!$B:$N, 11, FALSE)</f>
        <v>481</v>
      </c>
      <c r="Y1083">
        <f>VLOOKUP(A1083,[2]cwurData!$B:$N, 12, FALSE)</f>
        <v>44.57</v>
      </c>
      <c r="Z1083">
        <f>VLOOKUP(A1083,[2]cwurData!$B:$N, 13, FALSE)</f>
        <v>2014</v>
      </c>
    </row>
    <row r="1084" spans="1:26" x14ac:dyDescent="0.3">
      <c r="A1084" t="s">
        <v>1081</v>
      </c>
      <c r="B1084" t="str">
        <f>IFERROR(VLOOKUP(A1084,[1]timesData!$B:$P,2,FALSE),VLOOKUP(A1084,[2]cwurData!$B:$P,2,FALSE))</f>
        <v>USA</v>
      </c>
      <c r="C1084" t="e">
        <f>VLOOKUP(A1084,[1]timesData!$B:$P,3,FALSE)</f>
        <v>#N/A</v>
      </c>
      <c r="D1084" t="e">
        <f>VLOOKUP(A1085,[1]timesData!$B:$P,3,FALSE)</f>
        <v>#N/A</v>
      </c>
      <c r="E1084" t="e">
        <f>VLOOKUP(A1085,[1]timesData!$B:$P,4,FALSE)</f>
        <v>#N/A</v>
      </c>
      <c r="F1084" t="e">
        <f>VLOOKUP(A1085,[1]timesData!$B:$P,5,FALSE)</f>
        <v>#N/A</v>
      </c>
      <c r="G1084" t="e">
        <f>VLOOKUP(A1085,[1]timesData!$B:$P,6,FALSE)</f>
        <v>#N/A</v>
      </c>
      <c r="H1084" t="e">
        <f>VLOOKUP(A1085,[1]timesData!$B:$P,7,FALSE)</f>
        <v>#N/A</v>
      </c>
      <c r="I1084" t="e">
        <f>VLOOKUP(A1085,[1]timesData!$B:$P,8,FALSE)</f>
        <v>#N/A</v>
      </c>
      <c r="J1084" t="e">
        <f>VLOOKUP(A1085,[1]timesData!$B:$P,9,FALSE)</f>
        <v>#N/A</v>
      </c>
      <c r="K1084" t="e">
        <f>VLOOKUP(A1085,[1]timesData!$B:$P,10,FALSE)</f>
        <v>#N/A</v>
      </c>
      <c r="L1084" t="e">
        <f>VLOOKUP(A1085,[1]timesData!$B:$P,11,FALSE)</f>
        <v>#N/A</v>
      </c>
      <c r="M1084" t="e">
        <f>VLOOKUP(A1085,[1]timesData!$B:$P,12,FALSE)</f>
        <v>#N/A</v>
      </c>
      <c r="N1084" t="e">
        <f>VLOOKUP(A1085,[1]timesData!$B:$P,13,FALSE)</f>
        <v>#N/A</v>
      </c>
      <c r="O1084">
        <f>VLOOKUP(A1084,[2]cwurData!$B:$P,14,FALSE)</f>
        <v>766</v>
      </c>
      <c r="P1084">
        <f>VLOOKUP(A1084,[2]cwurData!$B:$N, 3, FALSE)</f>
        <v>212</v>
      </c>
      <c r="Q1084">
        <f>VLOOKUP(A1084,[2]cwurData!$B:$N, 4, FALSE)</f>
        <v>355</v>
      </c>
      <c r="R1084">
        <f>VLOOKUP(A1084,[2]cwurData!$B:$N, 5, FALSE)</f>
        <v>305</v>
      </c>
      <c r="S1084">
        <f>VLOOKUP(A1084,[2]cwurData!$B:$N, 6, FALSE)</f>
        <v>210</v>
      </c>
      <c r="T1084">
        <f>VLOOKUP(A1084,[2]cwurData!$B:$N, 7, FALSE)</f>
        <v>943</v>
      </c>
      <c r="U1084">
        <f>VLOOKUP(A1084,[2]cwurData!$B:$N, 8, FALSE)</f>
        <v>966</v>
      </c>
      <c r="V1084">
        <f>VLOOKUP(A1084,[2]cwurData!$B:$N, 9, FALSE)</f>
        <v>800</v>
      </c>
      <c r="W1084">
        <f>VLOOKUP(A1084,[2]cwurData!$B:$N, 10, FALSE)</f>
        <v>769</v>
      </c>
      <c r="X1084">
        <f>VLOOKUP(A1084,[2]cwurData!$B:$N, 11, FALSE)</f>
        <v>552</v>
      </c>
      <c r="Y1084">
        <f>VLOOKUP(A1084,[2]cwurData!$B:$N, 12, FALSE)</f>
        <v>44.57</v>
      </c>
      <c r="Z1084">
        <f>VLOOKUP(A1084,[2]cwurData!$B:$N, 13, FALSE)</f>
        <v>2014</v>
      </c>
    </row>
    <row r="1085" spans="1:26" x14ac:dyDescent="0.3">
      <c r="A1085" t="s">
        <v>1082</v>
      </c>
      <c r="B1085" t="str">
        <f>IFERROR(VLOOKUP(A1085,[1]timesData!$B:$P,2,FALSE),VLOOKUP(A1085,[2]cwurData!$B:$P,2,FALSE))</f>
        <v>USA</v>
      </c>
      <c r="C1085" t="e">
        <f>VLOOKUP(A1085,[1]timesData!$B:$P,3,FALSE)</f>
        <v>#N/A</v>
      </c>
      <c r="D1085" t="e">
        <f>VLOOKUP(A1086,[1]timesData!$B:$P,3,FALSE)</f>
        <v>#N/A</v>
      </c>
      <c r="E1085" t="e">
        <f>VLOOKUP(A1086,[1]timesData!$B:$P,4,FALSE)</f>
        <v>#N/A</v>
      </c>
      <c r="F1085" t="e">
        <f>VLOOKUP(A1086,[1]timesData!$B:$P,5,FALSE)</f>
        <v>#N/A</v>
      </c>
      <c r="G1085" t="e">
        <f>VLOOKUP(A1086,[1]timesData!$B:$P,6,FALSE)</f>
        <v>#N/A</v>
      </c>
      <c r="H1085" t="e">
        <f>VLOOKUP(A1086,[1]timesData!$B:$P,7,FALSE)</f>
        <v>#N/A</v>
      </c>
      <c r="I1085" t="e">
        <f>VLOOKUP(A1086,[1]timesData!$B:$P,8,FALSE)</f>
        <v>#N/A</v>
      </c>
      <c r="J1085" t="e">
        <f>VLOOKUP(A1086,[1]timesData!$B:$P,9,FALSE)</f>
        <v>#N/A</v>
      </c>
      <c r="K1085" t="e">
        <f>VLOOKUP(A1086,[1]timesData!$B:$P,10,FALSE)</f>
        <v>#N/A</v>
      </c>
      <c r="L1085" t="e">
        <f>VLOOKUP(A1086,[1]timesData!$B:$P,11,FALSE)</f>
        <v>#N/A</v>
      </c>
      <c r="M1085" t="e">
        <f>VLOOKUP(A1086,[1]timesData!$B:$P,12,FALSE)</f>
        <v>#N/A</v>
      </c>
      <c r="N1085" t="e">
        <f>VLOOKUP(A1086,[1]timesData!$B:$P,13,FALSE)</f>
        <v>#N/A</v>
      </c>
      <c r="O1085">
        <f>VLOOKUP(A1085,[2]cwurData!$B:$P,14,FALSE)</f>
        <v>767</v>
      </c>
      <c r="P1085">
        <f>VLOOKUP(A1085,[2]cwurData!$B:$N, 3, FALSE)</f>
        <v>213</v>
      </c>
      <c r="Q1085">
        <f>VLOOKUP(A1085,[2]cwurData!$B:$N, 4, FALSE)</f>
        <v>355</v>
      </c>
      <c r="R1085">
        <f>VLOOKUP(A1085,[2]cwurData!$B:$N, 5, FALSE)</f>
        <v>478</v>
      </c>
      <c r="S1085">
        <f>VLOOKUP(A1085,[2]cwurData!$B:$N, 6, FALSE)</f>
        <v>210</v>
      </c>
      <c r="T1085">
        <f>VLOOKUP(A1085,[2]cwurData!$B:$N, 7, FALSE)</f>
        <v>966</v>
      </c>
      <c r="U1085">
        <f>VLOOKUP(A1085,[2]cwurData!$B:$N, 8, FALSE)</f>
        <v>739</v>
      </c>
      <c r="V1085">
        <f>VLOOKUP(A1085,[2]cwurData!$B:$N, 9, FALSE)</f>
        <v>800</v>
      </c>
      <c r="W1085">
        <f>VLOOKUP(A1085,[2]cwurData!$B:$N, 10, FALSE)</f>
        <v>724</v>
      </c>
      <c r="X1085">
        <f>VLOOKUP(A1085,[2]cwurData!$B:$N, 11, FALSE)</f>
        <v>307</v>
      </c>
      <c r="Y1085">
        <f>VLOOKUP(A1085,[2]cwurData!$B:$N, 12, FALSE)</f>
        <v>44.56</v>
      </c>
      <c r="Z1085">
        <f>VLOOKUP(A1085,[2]cwurData!$B:$N, 13, FALSE)</f>
        <v>2014</v>
      </c>
    </row>
    <row r="1086" spans="1:26" x14ac:dyDescent="0.3">
      <c r="A1086" t="s">
        <v>1083</v>
      </c>
      <c r="B1086" t="str">
        <f>IFERROR(VLOOKUP(A1086,[1]timesData!$B:$P,2,FALSE),VLOOKUP(A1086,[2]cwurData!$B:$P,2,FALSE))</f>
        <v>South Korea</v>
      </c>
      <c r="C1086" t="e">
        <f>VLOOKUP(A1086,[1]timesData!$B:$P,3,FALSE)</f>
        <v>#N/A</v>
      </c>
      <c r="D1086" t="e">
        <f>VLOOKUP(A1087,[1]timesData!$B:$P,3,FALSE)</f>
        <v>#N/A</v>
      </c>
      <c r="E1086" t="e">
        <f>VLOOKUP(A1087,[1]timesData!$B:$P,4,FALSE)</f>
        <v>#N/A</v>
      </c>
      <c r="F1086" t="e">
        <f>VLOOKUP(A1087,[1]timesData!$B:$P,5,FALSE)</f>
        <v>#N/A</v>
      </c>
      <c r="G1086" t="e">
        <f>VLOOKUP(A1087,[1]timesData!$B:$P,6,FALSE)</f>
        <v>#N/A</v>
      </c>
      <c r="H1086" t="e">
        <f>VLOOKUP(A1087,[1]timesData!$B:$P,7,FALSE)</f>
        <v>#N/A</v>
      </c>
      <c r="I1086" t="e">
        <f>VLOOKUP(A1087,[1]timesData!$B:$P,8,FALSE)</f>
        <v>#N/A</v>
      </c>
      <c r="J1086" t="e">
        <f>VLOOKUP(A1087,[1]timesData!$B:$P,9,FALSE)</f>
        <v>#N/A</v>
      </c>
      <c r="K1086" t="e">
        <f>VLOOKUP(A1087,[1]timesData!$B:$P,10,FALSE)</f>
        <v>#N/A</v>
      </c>
      <c r="L1086" t="e">
        <f>VLOOKUP(A1087,[1]timesData!$B:$P,11,FALSE)</f>
        <v>#N/A</v>
      </c>
      <c r="M1086" t="e">
        <f>VLOOKUP(A1087,[1]timesData!$B:$P,12,FALSE)</f>
        <v>#N/A</v>
      </c>
      <c r="N1086" t="e">
        <f>VLOOKUP(A1087,[1]timesData!$B:$P,13,FALSE)</f>
        <v>#N/A</v>
      </c>
      <c r="O1086">
        <f>VLOOKUP(A1086,[2]cwurData!$B:$P,14,FALSE)</f>
        <v>768</v>
      </c>
      <c r="P1086">
        <f>VLOOKUP(A1086,[2]cwurData!$B:$N, 3, FALSE)</f>
        <v>25</v>
      </c>
      <c r="Q1086">
        <f>VLOOKUP(A1086,[2]cwurData!$B:$N, 4, FALSE)</f>
        <v>355</v>
      </c>
      <c r="R1086">
        <f>VLOOKUP(A1086,[2]cwurData!$B:$N, 5, FALSE)</f>
        <v>478</v>
      </c>
      <c r="S1086">
        <f>VLOOKUP(A1086,[2]cwurData!$B:$N, 6, FALSE)</f>
        <v>210</v>
      </c>
      <c r="T1086">
        <f>VLOOKUP(A1086,[2]cwurData!$B:$N, 7, FALSE)</f>
        <v>828</v>
      </c>
      <c r="U1086">
        <f>VLOOKUP(A1086,[2]cwurData!$B:$N, 8, FALSE)</f>
        <v>902</v>
      </c>
      <c r="V1086">
        <f>VLOOKUP(A1086,[2]cwurData!$B:$N, 9, FALSE)</f>
        <v>800</v>
      </c>
      <c r="W1086">
        <f>VLOOKUP(A1086,[2]cwurData!$B:$N, 10, FALSE)</f>
        <v>800</v>
      </c>
      <c r="X1086">
        <f>VLOOKUP(A1086,[2]cwurData!$B:$N, 11, FALSE)</f>
        <v>227</v>
      </c>
      <c r="Y1086">
        <f>VLOOKUP(A1086,[2]cwurData!$B:$N, 12, FALSE)</f>
        <v>44.56</v>
      </c>
      <c r="Z1086">
        <f>VLOOKUP(A1086,[2]cwurData!$B:$N, 13, FALSE)</f>
        <v>2014</v>
      </c>
    </row>
    <row r="1087" spans="1:26" x14ac:dyDescent="0.3">
      <c r="A1087" t="s">
        <v>1084</v>
      </c>
      <c r="B1087" t="str">
        <f>IFERROR(VLOOKUP(A1087,[1]timesData!$B:$P,2,FALSE),VLOOKUP(A1087,[2]cwurData!$B:$P,2,FALSE))</f>
        <v>France</v>
      </c>
      <c r="C1087" t="e">
        <f>VLOOKUP(A1087,[1]timesData!$B:$P,3,FALSE)</f>
        <v>#N/A</v>
      </c>
      <c r="D1087" t="e">
        <f>VLOOKUP(A1088,[1]timesData!$B:$P,3,FALSE)</f>
        <v>#N/A</v>
      </c>
      <c r="E1087" t="e">
        <f>VLOOKUP(A1088,[1]timesData!$B:$P,4,FALSE)</f>
        <v>#N/A</v>
      </c>
      <c r="F1087" t="e">
        <f>VLOOKUP(A1088,[1]timesData!$B:$P,5,FALSE)</f>
        <v>#N/A</v>
      </c>
      <c r="G1087" t="e">
        <f>VLOOKUP(A1088,[1]timesData!$B:$P,6,FALSE)</f>
        <v>#N/A</v>
      </c>
      <c r="H1087" t="e">
        <f>VLOOKUP(A1088,[1]timesData!$B:$P,7,FALSE)</f>
        <v>#N/A</v>
      </c>
      <c r="I1087" t="e">
        <f>VLOOKUP(A1088,[1]timesData!$B:$P,8,FALSE)</f>
        <v>#N/A</v>
      </c>
      <c r="J1087" t="e">
        <f>VLOOKUP(A1088,[1]timesData!$B:$P,9,FALSE)</f>
        <v>#N/A</v>
      </c>
      <c r="K1087" t="e">
        <f>VLOOKUP(A1088,[1]timesData!$B:$P,10,FALSE)</f>
        <v>#N/A</v>
      </c>
      <c r="L1087" t="e">
        <f>VLOOKUP(A1088,[1]timesData!$B:$P,11,FALSE)</f>
        <v>#N/A</v>
      </c>
      <c r="M1087" t="e">
        <f>VLOOKUP(A1088,[1]timesData!$B:$P,12,FALSE)</f>
        <v>#N/A</v>
      </c>
      <c r="N1087" t="e">
        <f>VLOOKUP(A1088,[1]timesData!$B:$P,13,FALSE)</f>
        <v>#N/A</v>
      </c>
      <c r="O1087">
        <f>VLOOKUP(A1087,[2]cwurData!$B:$P,14,FALSE)</f>
        <v>769</v>
      </c>
      <c r="P1087">
        <f>VLOOKUP(A1087,[2]cwurData!$B:$N, 3, FALSE)</f>
        <v>36</v>
      </c>
      <c r="Q1087">
        <f>VLOOKUP(A1087,[2]cwurData!$B:$N, 4, FALSE)</f>
        <v>193</v>
      </c>
      <c r="R1087">
        <f>VLOOKUP(A1087,[2]cwurData!$B:$N, 5, FALSE)</f>
        <v>478</v>
      </c>
      <c r="S1087">
        <f>VLOOKUP(A1087,[2]cwurData!$B:$N, 6, FALSE)</f>
        <v>210</v>
      </c>
      <c r="T1087">
        <f>VLOOKUP(A1087,[2]cwurData!$B:$N, 7, FALSE)</f>
        <v>626</v>
      </c>
      <c r="U1087">
        <f>VLOOKUP(A1087,[2]cwurData!$B:$N, 8, FALSE)</f>
        <v>801</v>
      </c>
      <c r="V1087">
        <f>VLOOKUP(A1087,[2]cwurData!$B:$N, 9, FALSE)</f>
        <v>609</v>
      </c>
      <c r="W1087">
        <f>VLOOKUP(A1087,[2]cwurData!$B:$N, 10, FALSE)</f>
        <v>756</v>
      </c>
      <c r="X1087">
        <f>VLOOKUP(A1087,[2]cwurData!$B:$N, 11, FALSE)</f>
        <v>552</v>
      </c>
      <c r="Y1087">
        <f>VLOOKUP(A1087,[2]cwurData!$B:$N, 12, FALSE)</f>
        <v>44.56</v>
      </c>
      <c r="Z1087">
        <f>VLOOKUP(A1087,[2]cwurData!$B:$N, 13, FALSE)</f>
        <v>2014</v>
      </c>
    </row>
    <row r="1088" spans="1:26" x14ac:dyDescent="0.3">
      <c r="A1088" t="s">
        <v>1085</v>
      </c>
      <c r="B1088" t="str">
        <f>IFERROR(VLOOKUP(A1088,[1]timesData!$B:$P,2,FALSE),VLOOKUP(A1088,[2]cwurData!$B:$P,2,FALSE))</f>
        <v>Spain</v>
      </c>
      <c r="C1088" t="e">
        <f>VLOOKUP(A1088,[1]timesData!$B:$P,3,FALSE)</f>
        <v>#N/A</v>
      </c>
      <c r="D1088" t="e">
        <f>VLOOKUP(A1089,[1]timesData!$B:$P,3,FALSE)</f>
        <v>#N/A</v>
      </c>
      <c r="E1088" t="e">
        <f>VLOOKUP(A1089,[1]timesData!$B:$P,4,FALSE)</f>
        <v>#N/A</v>
      </c>
      <c r="F1088" t="e">
        <f>VLOOKUP(A1089,[1]timesData!$B:$P,5,FALSE)</f>
        <v>#N/A</v>
      </c>
      <c r="G1088" t="e">
        <f>VLOOKUP(A1089,[1]timesData!$B:$P,6,FALSE)</f>
        <v>#N/A</v>
      </c>
      <c r="H1088" t="e">
        <f>VLOOKUP(A1089,[1]timesData!$B:$P,7,FALSE)</f>
        <v>#N/A</v>
      </c>
      <c r="I1088" t="e">
        <f>VLOOKUP(A1089,[1]timesData!$B:$P,8,FALSE)</f>
        <v>#N/A</v>
      </c>
      <c r="J1088" t="e">
        <f>VLOOKUP(A1089,[1]timesData!$B:$P,9,FALSE)</f>
        <v>#N/A</v>
      </c>
      <c r="K1088" t="e">
        <f>VLOOKUP(A1089,[1]timesData!$B:$P,10,FALSE)</f>
        <v>#N/A</v>
      </c>
      <c r="L1088" t="e">
        <f>VLOOKUP(A1089,[1]timesData!$B:$P,11,FALSE)</f>
        <v>#N/A</v>
      </c>
      <c r="M1088" t="e">
        <f>VLOOKUP(A1089,[1]timesData!$B:$P,12,FALSE)</f>
        <v>#N/A</v>
      </c>
      <c r="N1088" t="e">
        <f>VLOOKUP(A1089,[1]timesData!$B:$P,13,FALSE)</f>
        <v>#N/A</v>
      </c>
      <c r="O1088">
        <f>VLOOKUP(A1088,[2]cwurData!$B:$P,14,FALSE)</f>
        <v>770</v>
      </c>
      <c r="P1088">
        <f>VLOOKUP(A1088,[2]cwurData!$B:$N, 3, FALSE)</f>
        <v>29</v>
      </c>
      <c r="Q1088">
        <f>VLOOKUP(A1088,[2]cwurData!$B:$N, 4, FALSE)</f>
        <v>355</v>
      </c>
      <c r="R1088">
        <f>VLOOKUP(A1088,[2]cwurData!$B:$N, 5, FALSE)</f>
        <v>478</v>
      </c>
      <c r="S1088">
        <f>VLOOKUP(A1088,[2]cwurData!$B:$N, 6, FALSE)</f>
        <v>210</v>
      </c>
      <c r="T1088">
        <f>VLOOKUP(A1088,[2]cwurData!$B:$N, 7, FALSE)</f>
        <v>631</v>
      </c>
      <c r="U1088">
        <f>VLOOKUP(A1088,[2]cwurData!$B:$N, 8, FALSE)</f>
        <v>754</v>
      </c>
      <c r="V1088">
        <f>VLOOKUP(A1088,[2]cwurData!$B:$N, 9, FALSE)</f>
        <v>609</v>
      </c>
      <c r="W1088">
        <f>VLOOKUP(A1088,[2]cwurData!$B:$N, 10, FALSE)</f>
        <v>690</v>
      </c>
      <c r="X1088">
        <f>VLOOKUP(A1088,[2]cwurData!$B:$N, 11, FALSE)</f>
        <v>552</v>
      </c>
      <c r="Y1088">
        <f>VLOOKUP(A1088,[2]cwurData!$B:$N, 12, FALSE)</f>
        <v>44.56</v>
      </c>
      <c r="Z1088">
        <f>VLOOKUP(A1088,[2]cwurData!$B:$N, 13, FALSE)</f>
        <v>2014</v>
      </c>
    </row>
    <row r="1089" spans="1:26" x14ac:dyDescent="0.3">
      <c r="A1089" t="s">
        <v>1086</v>
      </c>
      <c r="B1089" t="str">
        <f>IFERROR(VLOOKUP(A1089,[1]timesData!$B:$P,2,FALSE),VLOOKUP(A1089,[2]cwurData!$B:$P,2,FALSE))</f>
        <v>Japan</v>
      </c>
      <c r="C1089" t="e">
        <f>VLOOKUP(A1089,[1]timesData!$B:$P,3,FALSE)</f>
        <v>#N/A</v>
      </c>
      <c r="D1089" t="e">
        <f>VLOOKUP(A1090,[1]timesData!$B:$P,3,FALSE)</f>
        <v>#N/A</v>
      </c>
      <c r="E1089" t="e">
        <f>VLOOKUP(A1090,[1]timesData!$B:$P,4,FALSE)</f>
        <v>#N/A</v>
      </c>
      <c r="F1089" t="e">
        <f>VLOOKUP(A1090,[1]timesData!$B:$P,5,FALSE)</f>
        <v>#N/A</v>
      </c>
      <c r="G1089" t="e">
        <f>VLOOKUP(A1090,[1]timesData!$B:$P,6,FALSE)</f>
        <v>#N/A</v>
      </c>
      <c r="H1089" t="e">
        <f>VLOOKUP(A1090,[1]timesData!$B:$P,7,FALSE)</f>
        <v>#N/A</v>
      </c>
      <c r="I1089" t="e">
        <f>VLOOKUP(A1090,[1]timesData!$B:$P,8,FALSE)</f>
        <v>#N/A</v>
      </c>
      <c r="J1089" t="e">
        <f>VLOOKUP(A1090,[1]timesData!$B:$P,9,FALSE)</f>
        <v>#N/A</v>
      </c>
      <c r="K1089" t="e">
        <f>VLOOKUP(A1090,[1]timesData!$B:$P,10,FALSE)</f>
        <v>#N/A</v>
      </c>
      <c r="L1089" t="e">
        <f>VLOOKUP(A1090,[1]timesData!$B:$P,11,FALSE)</f>
        <v>#N/A</v>
      </c>
      <c r="M1089" t="e">
        <f>VLOOKUP(A1090,[1]timesData!$B:$P,12,FALSE)</f>
        <v>#N/A</v>
      </c>
      <c r="N1089" t="e">
        <f>VLOOKUP(A1090,[1]timesData!$B:$P,13,FALSE)</f>
        <v>#N/A</v>
      </c>
      <c r="O1089">
        <f>VLOOKUP(A1089,[2]cwurData!$B:$P,14,FALSE)</f>
        <v>772</v>
      </c>
      <c r="P1089">
        <f>VLOOKUP(A1089,[2]cwurData!$B:$N, 3, FALSE)</f>
        <v>59</v>
      </c>
      <c r="Q1089">
        <f>VLOOKUP(A1089,[2]cwurData!$B:$N, 4, FALSE)</f>
        <v>355</v>
      </c>
      <c r="R1089">
        <f>VLOOKUP(A1089,[2]cwurData!$B:$N, 5, FALSE)</f>
        <v>478</v>
      </c>
      <c r="S1089">
        <f>VLOOKUP(A1089,[2]cwurData!$B:$N, 6, FALSE)</f>
        <v>210</v>
      </c>
      <c r="T1089">
        <f>VLOOKUP(A1089,[2]cwurData!$B:$N, 7, FALSE)</f>
        <v>912</v>
      </c>
      <c r="U1089">
        <f>VLOOKUP(A1089,[2]cwurData!$B:$N, 8, FALSE)</f>
        <v>635</v>
      </c>
      <c r="V1089">
        <f>VLOOKUP(A1089,[2]cwurData!$B:$N, 9, FALSE)</f>
        <v>609</v>
      </c>
      <c r="W1089">
        <f>VLOOKUP(A1089,[2]cwurData!$B:$N, 10, FALSE)</f>
        <v>690</v>
      </c>
      <c r="X1089">
        <f>VLOOKUP(A1089,[2]cwurData!$B:$N, 11, FALSE)</f>
        <v>426</v>
      </c>
      <c r="Y1089">
        <f>VLOOKUP(A1089,[2]cwurData!$B:$N, 12, FALSE)</f>
        <v>44.56</v>
      </c>
      <c r="Z1089">
        <f>VLOOKUP(A1089,[2]cwurData!$B:$N, 13, FALSE)</f>
        <v>2014</v>
      </c>
    </row>
    <row r="1090" spans="1:26" x14ac:dyDescent="0.3">
      <c r="A1090" t="s">
        <v>1087</v>
      </c>
      <c r="B1090" t="str">
        <f>IFERROR(VLOOKUP(A1090,[1]timesData!$B:$P,2,FALSE),VLOOKUP(A1090,[2]cwurData!$B:$P,2,FALSE))</f>
        <v>Japan</v>
      </c>
      <c r="C1090" t="e">
        <f>VLOOKUP(A1090,[1]timesData!$B:$P,3,FALSE)</f>
        <v>#N/A</v>
      </c>
      <c r="D1090" t="e">
        <f>VLOOKUP(A1091,[1]timesData!$B:$P,3,FALSE)</f>
        <v>#N/A</v>
      </c>
      <c r="E1090" t="e">
        <f>VLOOKUP(A1091,[1]timesData!$B:$P,4,FALSE)</f>
        <v>#N/A</v>
      </c>
      <c r="F1090" t="e">
        <f>VLOOKUP(A1091,[1]timesData!$B:$P,5,FALSE)</f>
        <v>#N/A</v>
      </c>
      <c r="G1090" t="e">
        <f>VLOOKUP(A1091,[1]timesData!$B:$P,6,FALSE)</f>
        <v>#N/A</v>
      </c>
      <c r="H1090" t="e">
        <f>VLOOKUP(A1091,[1]timesData!$B:$P,7,FALSE)</f>
        <v>#N/A</v>
      </c>
      <c r="I1090" t="e">
        <f>VLOOKUP(A1091,[1]timesData!$B:$P,8,FALSE)</f>
        <v>#N/A</v>
      </c>
      <c r="J1090" t="e">
        <f>VLOOKUP(A1091,[1]timesData!$B:$P,9,FALSE)</f>
        <v>#N/A</v>
      </c>
      <c r="K1090" t="e">
        <f>VLOOKUP(A1091,[1]timesData!$B:$P,10,FALSE)</f>
        <v>#N/A</v>
      </c>
      <c r="L1090" t="e">
        <f>VLOOKUP(A1091,[1]timesData!$B:$P,11,FALSE)</f>
        <v>#N/A</v>
      </c>
      <c r="M1090" t="e">
        <f>VLOOKUP(A1091,[1]timesData!$B:$P,12,FALSE)</f>
        <v>#N/A</v>
      </c>
      <c r="N1090" t="e">
        <f>VLOOKUP(A1091,[1]timesData!$B:$P,13,FALSE)</f>
        <v>#N/A</v>
      </c>
      <c r="O1090">
        <f>VLOOKUP(A1090,[2]cwurData!$B:$P,14,FALSE)</f>
        <v>775</v>
      </c>
      <c r="P1090">
        <f>VLOOKUP(A1090,[2]cwurData!$B:$N, 3, FALSE)</f>
        <v>60</v>
      </c>
      <c r="Q1090">
        <f>VLOOKUP(A1090,[2]cwurData!$B:$N, 4, FALSE)</f>
        <v>140</v>
      </c>
      <c r="R1090">
        <f>VLOOKUP(A1090,[2]cwurData!$B:$N, 5, FALSE)</f>
        <v>478</v>
      </c>
      <c r="S1090">
        <f>VLOOKUP(A1090,[2]cwurData!$B:$N, 6, FALSE)</f>
        <v>210</v>
      </c>
      <c r="T1090">
        <f>VLOOKUP(A1090,[2]cwurData!$B:$N, 7, FALSE)</f>
        <v>846</v>
      </c>
      <c r="U1090">
        <f>VLOOKUP(A1090,[2]cwurData!$B:$N, 8, FALSE)</f>
        <v>866</v>
      </c>
      <c r="V1090">
        <f>VLOOKUP(A1090,[2]cwurData!$B:$N, 9, FALSE)</f>
        <v>609</v>
      </c>
      <c r="W1090">
        <f>VLOOKUP(A1090,[2]cwurData!$B:$N, 10, FALSE)</f>
        <v>874</v>
      </c>
      <c r="X1090">
        <f>VLOOKUP(A1090,[2]cwurData!$B:$N, 11, FALSE)</f>
        <v>373</v>
      </c>
      <c r="Y1090">
        <f>VLOOKUP(A1090,[2]cwurData!$B:$N, 12, FALSE)</f>
        <v>44.56</v>
      </c>
      <c r="Z1090">
        <f>VLOOKUP(A1090,[2]cwurData!$B:$N, 13, FALSE)</f>
        <v>2014</v>
      </c>
    </row>
    <row r="1091" spans="1:26" x14ac:dyDescent="0.3">
      <c r="A1091" t="s">
        <v>1088</v>
      </c>
      <c r="B1091" t="str">
        <f>IFERROR(VLOOKUP(A1091,[1]timesData!$B:$P,2,FALSE),VLOOKUP(A1091,[2]cwurData!$B:$P,2,FALSE))</f>
        <v>India</v>
      </c>
      <c r="C1091" t="e">
        <f>VLOOKUP(A1091,[1]timesData!$B:$P,3,FALSE)</f>
        <v>#N/A</v>
      </c>
      <c r="D1091" t="e">
        <f>VLOOKUP(A1092,[1]timesData!$B:$P,3,FALSE)</f>
        <v>#N/A</v>
      </c>
      <c r="E1091" t="e">
        <f>VLOOKUP(A1092,[1]timesData!$B:$P,4,FALSE)</f>
        <v>#N/A</v>
      </c>
      <c r="F1091" t="e">
        <f>VLOOKUP(A1092,[1]timesData!$B:$P,5,FALSE)</f>
        <v>#N/A</v>
      </c>
      <c r="G1091" t="e">
        <f>VLOOKUP(A1092,[1]timesData!$B:$P,6,FALSE)</f>
        <v>#N/A</v>
      </c>
      <c r="H1091" t="e">
        <f>VLOOKUP(A1092,[1]timesData!$B:$P,7,FALSE)</f>
        <v>#N/A</v>
      </c>
      <c r="I1091" t="e">
        <f>VLOOKUP(A1092,[1]timesData!$B:$P,8,FALSE)</f>
        <v>#N/A</v>
      </c>
      <c r="J1091" t="e">
        <f>VLOOKUP(A1092,[1]timesData!$B:$P,9,FALSE)</f>
        <v>#N/A</v>
      </c>
      <c r="K1091" t="e">
        <f>VLOOKUP(A1092,[1]timesData!$B:$P,10,FALSE)</f>
        <v>#N/A</v>
      </c>
      <c r="L1091" t="e">
        <f>VLOOKUP(A1092,[1]timesData!$B:$P,11,FALSE)</f>
        <v>#N/A</v>
      </c>
      <c r="M1091" t="e">
        <f>VLOOKUP(A1092,[1]timesData!$B:$P,12,FALSE)</f>
        <v>#N/A</v>
      </c>
      <c r="N1091" t="e">
        <f>VLOOKUP(A1092,[1]timesData!$B:$P,13,FALSE)</f>
        <v>#N/A</v>
      </c>
      <c r="O1091">
        <f>VLOOKUP(A1091,[2]cwurData!$B:$P,14,FALSE)</f>
        <v>777</v>
      </c>
      <c r="P1091">
        <f>VLOOKUP(A1091,[2]cwurData!$B:$N, 3, FALSE)</f>
        <v>12</v>
      </c>
      <c r="Q1091">
        <f>VLOOKUP(A1091,[2]cwurData!$B:$N, 4, FALSE)</f>
        <v>355</v>
      </c>
      <c r="R1091">
        <f>VLOOKUP(A1091,[2]cwurData!$B:$N, 5, FALSE)</f>
        <v>478</v>
      </c>
      <c r="S1091">
        <f>VLOOKUP(A1091,[2]cwurData!$B:$N, 6, FALSE)</f>
        <v>210</v>
      </c>
      <c r="T1091">
        <f>VLOOKUP(A1091,[2]cwurData!$B:$N, 7, FALSE)</f>
        <v>865</v>
      </c>
      <c r="U1091">
        <f>VLOOKUP(A1091,[2]cwurData!$B:$N, 8, FALSE)</f>
        <v>642</v>
      </c>
      <c r="V1091">
        <f>VLOOKUP(A1091,[2]cwurData!$B:$N, 9, FALSE)</f>
        <v>493</v>
      </c>
      <c r="W1091">
        <f>VLOOKUP(A1091,[2]cwurData!$B:$N, 10, FALSE)</f>
        <v>703</v>
      </c>
      <c r="X1091">
        <f>VLOOKUP(A1091,[2]cwurData!$B:$N, 11, FALSE)</f>
        <v>426</v>
      </c>
      <c r="Y1091">
        <f>VLOOKUP(A1091,[2]cwurData!$B:$N, 12, FALSE)</f>
        <v>44.55</v>
      </c>
      <c r="Z1091">
        <f>VLOOKUP(A1091,[2]cwurData!$B:$N, 13, FALSE)</f>
        <v>2014</v>
      </c>
    </row>
    <row r="1092" spans="1:26" x14ac:dyDescent="0.3">
      <c r="A1092" t="s">
        <v>1089</v>
      </c>
      <c r="B1092" t="str">
        <f>IFERROR(VLOOKUP(A1092,[1]timesData!$B:$P,2,FALSE),VLOOKUP(A1092,[2]cwurData!$B:$P,2,FALSE))</f>
        <v>Malaysia</v>
      </c>
      <c r="C1092" t="e">
        <f>VLOOKUP(A1092,[1]timesData!$B:$P,3,FALSE)</f>
        <v>#N/A</v>
      </c>
      <c r="D1092" t="e">
        <f>VLOOKUP(A1093,[1]timesData!$B:$P,3,FALSE)</f>
        <v>#N/A</v>
      </c>
      <c r="E1092" t="e">
        <f>VLOOKUP(A1093,[1]timesData!$B:$P,4,FALSE)</f>
        <v>#N/A</v>
      </c>
      <c r="F1092" t="e">
        <f>VLOOKUP(A1093,[1]timesData!$B:$P,5,FALSE)</f>
        <v>#N/A</v>
      </c>
      <c r="G1092" t="e">
        <f>VLOOKUP(A1093,[1]timesData!$B:$P,6,FALSE)</f>
        <v>#N/A</v>
      </c>
      <c r="H1092" t="e">
        <f>VLOOKUP(A1093,[1]timesData!$B:$P,7,FALSE)</f>
        <v>#N/A</v>
      </c>
      <c r="I1092" t="e">
        <f>VLOOKUP(A1093,[1]timesData!$B:$P,8,FALSE)</f>
        <v>#N/A</v>
      </c>
      <c r="J1092" t="e">
        <f>VLOOKUP(A1093,[1]timesData!$B:$P,9,FALSE)</f>
        <v>#N/A</v>
      </c>
      <c r="K1092" t="e">
        <f>VLOOKUP(A1093,[1]timesData!$B:$P,10,FALSE)</f>
        <v>#N/A</v>
      </c>
      <c r="L1092" t="e">
        <f>VLOOKUP(A1093,[1]timesData!$B:$P,11,FALSE)</f>
        <v>#N/A</v>
      </c>
      <c r="M1092" t="e">
        <f>VLOOKUP(A1093,[1]timesData!$B:$P,12,FALSE)</f>
        <v>#N/A</v>
      </c>
      <c r="N1092" t="e">
        <f>VLOOKUP(A1093,[1]timesData!$B:$P,13,FALSE)</f>
        <v>#N/A</v>
      </c>
      <c r="O1092">
        <f>VLOOKUP(A1092,[2]cwurData!$B:$P,14,FALSE)</f>
        <v>778</v>
      </c>
      <c r="P1092">
        <f>VLOOKUP(A1092,[2]cwurData!$B:$N, 3, FALSE)</f>
        <v>3</v>
      </c>
      <c r="Q1092">
        <f>VLOOKUP(A1092,[2]cwurData!$B:$N, 4, FALSE)</f>
        <v>355</v>
      </c>
      <c r="R1092">
        <f>VLOOKUP(A1092,[2]cwurData!$B:$N, 5, FALSE)</f>
        <v>478</v>
      </c>
      <c r="S1092">
        <f>VLOOKUP(A1092,[2]cwurData!$B:$N, 6, FALSE)</f>
        <v>210</v>
      </c>
      <c r="T1092">
        <f>VLOOKUP(A1092,[2]cwurData!$B:$N, 7, FALSE)</f>
        <v>932</v>
      </c>
      <c r="U1092">
        <f>VLOOKUP(A1092,[2]cwurData!$B:$N, 8, FALSE)</f>
        <v>897</v>
      </c>
      <c r="V1092">
        <f>VLOOKUP(A1092,[2]cwurData!$B:$N, 9, FALSE)</f>
        <v>800</v>
      </c>
      <c r="W1092">
        <f>VLOOKUP(A1092,[2]cwurData!$B:$N, 10, FALSE)</f>
        <v>979</v>
      </c>
      <c r="X1092">
        <f>VLOOKUP(A1092,[2]cwurData!$B:$N, 11, FALSE)</f>
        <v>159</v>
      </c>
      <c r="Y1092">
        <f>VLOOKUP(A1092,[2]cwurData!$B:$N, 12, FALSE)</f>
        <v>44.55</v>
      </c>
      <c r="Z1092">
        <f>VLOOKUP(A1092,[2]cwurData!$B:$N, 13, FALSE)</f>
        <v>2014</v>
      </c>
    </row>
    <row r="1093" spans="1:26" x14ac:dyDescent="0.3">
      <c r="A1093" t="s">
        <v>1090</v>
      </c>
      <c r="B1093" t="str">
        <f>IFERROR(VLOOKUP(A1093,[1]timesData!$B:$P,2,FALSE),VLOOKUP(A1093,[2]cwurData!$B:$P,2,FALSE))</f>
        <v>France</v>
      </c>
      <c r="C1093" t="e">
        <f>VLOOKUP(A1093,[1]timesData!$B:$P,3,FALSE)</f>
        <v>#N/A</v>
      </c>
      <c r="D1093" t="e">
        <f>VLOOKUP(A1094,[1]timesData!$B:$P,3,FALSE)</f>
        <v>#N/A</v>
      </c>
      <c r="E1093" t="e">
        <f>VLOOKUP(A1094,[1]timesData!$B:$P,4,FALSE)</f>
        <v>#N/A</v>
      </c>
      <c r="F1093" t="e">
        <f>VLOOKUP(A1094,[1]timesData!$B:$P,5,FALSE)</f>
        <v>#N/A</v>
      </c>
      <c r="G1093" t="e">
        <f>VLOOKUP(A1094,[1]timesData!$B:$P,6,FALSE)</f>
        <v>#N/A</v>
      </c>
      <c r="H1093" t="e">
        <f>VLOOKUP(A1094,[1]timesData!$B:$P,7,FALSE)</f>
        <v>#N/A</v>
      </c>
      <c r="I1093" t="e">
        <f>VLOOKUP(A1094,[1]timesData!$B:$P,8,FALSE)</f>
        <v>#N/A</v>
      </c>
      <c r="J1093" t="e">
        <f>VLOOKUP(A1094,[1]timesData!$B:$P,9,FALSE)</f>
        <v>#N/A</v>
      </c>
      <c r="K1093" t="e">
        <f>VLOOKUP(A1094,[1]timesData!$B:$P,10,FALSE)</f>
        <v>#N/A</v>
      </c>
      <c r="L1093" t="e">
        <f>VLOOKUP(A1094,[1]timesData!$B:$P,11,FALSE)</f>
        <v>#N/A</v>
      </c>
      <c r="M1093" t="e">
        <f>VLOOKUP(A1094,[1]timesData!$B:$P,12,FALSE)</f>
        <v>#N/A</v>
      </c>
      <c r="N1093" t="e">
        <f>VLOOKUP(A1094,[1]timesData!$B:$P,13,FALSE)</f>
        <v>#N/A</v>
      </c>
      <c r="O1093">
        <f>VLOOKUP(A1093,[2]cwurData!$B:$P,14,FALSE)</f>
        <v>779</v>
      </c>
      <c r="P1093">
        <f>VLOOKUP(A1093,[2]cwurData!$B:$N, 3, FALSE)</f>
        <v>37</v>
      </c>
      <c r="Q1093">
        <f>VLOOKUP(A1093,[2]cwurData!$B:$N, 4, FALSE)</f>
        <v>355</v>
      </c>
      <c r="R1093">
        <f>VLOOKUP(A1093,[2]cwurData!$B:$N, 5, FALSE)</f>
        <v>478</v>
      </c>
      <c r="S1093">
        <f>VLOOKUP(A1093,[2]cwurData!$B:$N, 6, FALSE)</f>
        <v>210</v>
      </c>
      <c r="T1093">
        <f>VLOOKUP(A1093,[2]cwurData!$B:$N, 7, FALSE)</f>
        <v>517</v>
      </c>
      <c r="U1093">
        <f>VLOOKUP(A1093,[2]cwurData!$B:$N, 8, FALSE)</f>
        <v>681</v>
      </c>
      <c r="V1093">
        <f>VLOOKUP(A1093,[2]cwurData!$B:$N, 9, FALSE)</f>
        <v>609</v>
      </c>
      <c r="W1093">
        <f>VLOOKUP(A1093,[2]cwurData!$B:$N, 10, FALSE)</f>
        <v>724</v>
      </c>
      <c r="X1093">
        <f>VLOOKUP(A1093,[2]cwurData!$B:$N, 11, FALSE)</f>
        <v>481</v>
      </c>
      <c r="Y1093">
        <f>VLOOKUP(A1093,[2]cwurData!$B:$N, 12, FALSE)</f>
        <v>44.55</v>
      </c>
      <c r="Z1093">
        <f>VLOOKUP(A1093,[2]cwurData!$B:$N, 13, FALSE)</f>
        <v>2014</v>
      </c>
    </row>
    <row r="1094" spans="1:26" x14ac:dyDescent="0.3">
      <c r="A1094" t="s">
        <v>1091</v>
      </c>
      <c r="B1094" t="str">
        <f>IFERROR(VLOOKUP(A1094,[1]timesData!$B:$P,2,FALSE),VLOOKUP(A1094,[2]cwurData!$B:$P,2,FALSE))</f>
        <v>France</v>
      </c>
      <c r="C1094" t="e">
        <f>VLOOKUP(A1094,[1]timesData!$B:$P,3,FALSE)</f>
        <v>#N/A</v>
      </c>
      <c r="D1094" t="e">
        <f>VLOOKUP(A1095,[1]timesData!$B:$P,3,FALSE)</f>
        <v>#N/A</v>
      </c>
      <c r="E1094" t="e">
        <f>VLOOKUP(A1095,[1]timesData!$B:$P,4,FALSE)</f>
        <v>#N/A</v>
      </c>
      <c r="F1094" t="e">
        <f>VLOOKUP(A1095,[1]timesData!$B:$P,5,FALSE)</f>
        <v>#N/A</v>
      </c>
      <c r="G1094" t="e">
        <f>VLOOKUP(A1095,[1]timesData!$B:$P,6,FALSE)</f>
        <v>#N/A</v>
      </c>
      <c r="H1094" t="e">
        <f>VLOOKUP(A1095,[1]timesData!$B:$P,7,FALSE)</f>
        <v>#N/A</v>
      </c>
      <c r="I1094" t="e">
        <f>VLOOKUP(A1095,[1]timesData!$B:$P,8,FALSE)</f>
        <v>#N/A</v>
      </c>
      <c r="J1094" t="e">
        <f>VLOOKUP(A1095,[1]timesData!$B:$P,9,FALSE)</f>
        <v>#N/A</v>
      </c>
      <c r="K1094" t="e">
        <f>VLOOKUP(A1095,[1]timesData!$B:$P,10,FALSE)</f>
        <v>#N/A</v>
      </c>
      <c r="L1094" t="e">
        <f>VLOOKUP(A1095,[1]timesData!$B:$P,11,FALSE)</f>
        <v>#N/A</v>
      </c>
      <c r="M1094" t="e">
        <f>VLOOKUP(A1095,[1]timesData!$B:$P,12,FALSE)</f>
        <v>#N/A</v>
      </c>
      <c r="N1094" t="e">
        <f>VLOOKUP(A1095,[1]timesData!$B:$P,13,FALSE)</f>
        <v>#N/A</v>
      </c>
      <c r="O1094">
        <f>VLOOKUP(A1094,[2]cwurData!$B:$P,14,FALSE)</f>
        <v>780</v>
      </c>
      <c r="P1094">
        <f>VLOOKUP(A1094,[2]cwurData!$B:$N, 3, FALSE)</f>
        <v>38</v>
      </c>
      <c r="Q1094">
        <f>VLOOKUP(A1094,[2]cwurData!$B:$N, 4, FALSE)</f>
        <v>144</v>
      </c>
      <c r="R1094">
        <f>VLOOKUP(A1094,[2]cwurData!$B:$N, 5, FALSE)</f>
        <v>478</v>
      </c>
      <c r="S1094">
        <f>VLOOKUP(A1094,[2]cwurData!$B:$N, 6, FALSE)</f>
        <v>210</v>
      </c>
      <c r="T1094">
        <f>VLOOKUP(A1094,[2]cwurData!$B:$N, 7, FALSE)</f>
        <v>957</v>
      </c>
      <c r="U1094">
        <f>VLOOKUP(A1094,[2]cwurData!$B:$N, 8, FALSE)</f>
        <v>563</v>
      </c>
      <c r="V1094">
        <f>VLOOKUP(A1094,[2]cwurData!$B:$N, 9, FALSE)</f>
        <v>609</v>
      </c>
      <c r="W1094">
        <f>VLOOKUP(A1094,[2]cwurData!$B:$N, 10, FALSE)</f>
        <v>832</v>
      </c>
      <c r="X1094">
        <f>VLOOKUP(A1094,[2]cwurData!$B:$N, 11, FALSE)</f>
        <v>737</v>
      </c>
      <c r="Y1094">
        <f>VLOOKUP(A1094,[2]cwurData!$B:$N, 12, FALSE)</f>
        <v>44.55</v>
      </c>
      <c r="Z1094">
        <f>VLOOKUP(A1094,[2]cwurData!$B:$N, 13, FALSE)</f>
        <v>2014</v>
      </c>
    </row>
    <row r="1095" spans="1:26" x14ac:dyDescent="0.3">
      <c r="A1095" t="s">
        <v>1092</v>
      </c>
      <c r="B1095" t="str">
        <f>IFERROR(VLOOKUP(A1095,[1]timesData!$B:$P,2,FALSE),VLOOKUP(A1095,[2]cwurData!$B:$P,2,FALSE))</f>
        <v>Japan</v>
      </c>
      <c r="C1095" t="e">
        <f>VLOOKUP(A1095,[1]timesData!$B:$P,3,FALSE)</f>
        <v>#N/A</v>
      </c>
      <c r="D1095" t="e">
        <f>VLOOKUP(A1096,[1]timesData!$B:$P,3,FALSE)</f>
        <v>#N/A</v>
      </c>
      <c r="E1095" t="e">
        <f>VLOOKUP(A1096,[1]timesData!$B:$P,4,FALSE)</f>
        <v>#N/A</v>
      </c>
      <c r="F1095" t="e">
        <f>VLOOKUP(A1096,[1]timesData!$B:$P,5,FALSE)</f>
        <v>#N/A</v>
      </c>
      <c r="G1095" t="e">
        <f>VLOOKUP(A1096,[1]timesData!$B:$P,6,FALSE)</f>
        <v>#N/A</v>
      </c>
      <c r="H1095" t="e">
        <f>VLOOKUP(A1096,[1]timesData!$B:$P,7,FALSE)</f>
        <v>#N/A</v>
      </c>
      <c r="I1095" t="e">
        <f>VLOOKUP(A1096,[1]timesData!$B:$P,8,FALSE)</f>
        <v>#N/A</v>
      </c>
      <c r="J1095" t="e">
        <f>VLOOKUP(A1096,[1]timesData!$B:$P,9,FALSE)</f>
        <v>#N/A</v>
      </c>
      <c r="K1095" t="e">
        <f>VLOOKUP(A1096,[1]timesData!$B:$P,10,FALSE)</f>
        <v>#N/A</v>
      </c>
      <c r="L1095" t="e">
        <f>VLOOKUP(A1096,[1]timesData!$B:$P,11,FALSE)</f>
        <v>#N/A</v>
      </c>
      <c r="M1095" t="e">
        <f>VLOOKUP(A1096,[1]timesData!$B:$P,12,FALSE)</f>
        <v>#N/A</v>
      </c>
      <c r="N1095" t="e">
        <f>VLOOKUP(A1096,[1]timesData!$B:$P,13,FALSE)</f>
        <v>#N/A</v>
      </c>
      <c r="O1095">
        <f>VLOOKUP(A1095,[2]cwurData!$B:$P,14,FALSE)</f>
        <v>781</v>
      </c>
      <c r="P1095">
        <f>VLOOKUP(A1095,[2]cwurData!$B:$N, 3, FALSE)</f>
        <v>61</v>
      </c>
      <c r="Q1095">
        <f>VLOOKUP(A1095,[2]cwurData!$B:$N, 4, FALSE)</f>
        <v>259</v>
      </c>
      <c r="R1095">
        <f>VLOOKUP(A1095,[2]cwurData!$B:$N, 5, FALSE)</f>
        <v>478</v>
      </c>
      <c r="S1095">
        <f>VLOOKUP(A1095,[2]cwurData!$B:$N, 6, FALSE)</f>
        <v>210</v>
      </c>
      <c r="T1095">
        <f>VLOOKUP(A1095,[2]cwurData!$B:$N, 7, FALSE)</f>
        <v>924</v>
      </c>
      <c r="U1095">
        <f>VLOOKUP(A1095,[2]cwurData!$B:$N, 8, FALSE)</f>
        <v>690</v>
      </c>
      <c r="V1095">
        <f>VLOOKUP(A1095,[2]cwurData!$B:$N, 9, FALSE)</f>
        <v>609</v>
      </c>
      <c r="W1095">
        <f>VLOOKUP(A1095,[2]cwurData!$B:$N, 10, FALSE)</f>
        <v>800</v>
      </c>
      <c r="X1095">
        <f>VLOOKUP(A1095,[2]cwurData!$B:$N, 11, FALSE)</f>
        <v>280</v>
      </c>
      <c r="Y1095">
        <f>VLOOKUP(A1095,[2]cwurData!$B:$N, 12, FALSE)</f>
        <v>44.55</v>
      </c>
      <c r="Z1095">
        <f>VLOOKUP(A1095,[2]cwurData!$B:$N, 13, FALSE)</f>
        <v>2014</v>
      </c>
    </row>
    <row r="1096" spans="1:26" x14ac:dyDescent="0.3">
      <c r="A1096" t="s">
        <v>1093</v>
      </c>
      <c r="B1096" t="str">
        <f>IFERROR(VLOOKUP(A1096,[1]timesData!$B:$P,2,FALSE),VLOOKUP(A1096,[2]cwurData!$B:$P,2,FALSE))</f>
        <v>China</v>
      </c>
      <c r="C1096" t="e">
        <f>VLOOKUP(A1096,[1]timesData!$B:$P,3,FALSE)</f>
        <v>#N/A</v>
      </c>
      <c r="D1096" t="e">
        <f>VLOOKUP(A1097,[1]timesData!$B:$P,3,FALSE)</f>
        <v>#N/A</v>
      </c>
      <c r="E1096" t="e">
        <f>VLOOKUP(A1097,[1]timesData!$B:$P,4,FALSE)</f>
        <v>#N/A</v>
      </c>
      <c r="F1096" t="e">
        <f>VLOOKUP(A1097,[1]timesData!$B:$P,5,FALSE)</f>
        <v>#N/A</v>
      </c>
      <c r="G1096" t="e">
        <f>VLOOKUP(A1097,[1]timesData!$B:$P,6,FALSE)</f>
        <v>#N/A</v>
      </c>
      <c r="H1096" t="e">
        <f>VLOOKUP(A1097,[1]timesData!$B:$P,7,FALSE)</f>
        <v>#N/A</v>
      </c>
      <c r="I1096" t="e">
        <f>VLOOKUP(A1097,[1]timesData!$B:$P,8,FALSE)</f>
        <v>#N/A</v>
      </c>
      <c r="J1096" t="e">
        <f>VLOOKUP(A1097,[1]timesData!$B:$P,9,FALSE)</f>
        <v>#N/A</v>
      </c>
      <c r="K1096" t="e">
        <f>VLOOKUP(A1097,[1]timesData!$B:$P,10,FALSE)</f>
        <v>#N/A</v>
      </c>
      <c r="L1096" t="e">
        <f>VLOOKUP(A1097,[1]timesData!$B:$P,11,FALSE)</f>
        <v>#N/A</v>
      </c>
      <c r="M1096" t="e">
        <f>VLOOKUP(A1097,[1]timesData!$B:$P,12,FALSE)</f>
        <v>#N/A</v>
      </c>
      <c r="N1096" t="e">
        <f>VLOOKUP(A1097,[1]timesData!$B:$P,13,FALSE)</f>
        <v>#N/A</v>
      </c>
      <c r="O1096">
        <f>VLOOKUP(A1096,[2]cwurData!$B:$P,14,FALSE)</f>
        <v>782</v>
      </c>
      <c r="P1096">
        <f>VLOOKUP(A1096,[2]cwurData!$B:$N, 3, FALSE)</f>
        <v>42</v>
      </c>
      <c r="Q1096">
        <f>VLOOKUP(A1096,[2]cwurData!$B:$N, 4, FALSE)</f>
        <v>355</v>
      </c>
      <c r="R1096">
        <f>VLOOKUP(A1096,[2]cwurData!$B:$N, 5, FALSE)</f>
        <v>478</v>
      </c>
      <c r="S1096">
        <f>VLOOKUP(A1096,[2]cwurData!$B:$N, 6, FALSE)</f>
        <v>210</v>
      </c>
      <c r="T1096">
        <f>VLOOKUP(A1096,[2]cwurData!$B:$N, 7, FALSE)</f>
        <v>641</v>
      </c>
      <c r="U1096">
        <f>VLOOKUP(A1096,[2]cwurData!$B:$N, 8, FALSE)</f>
        <v>725</v>
      </c>
      <c r="V1096">
        <f>VLOOKUP(A1096,[2]cwurData!$B:$N, 9, FALSE)</f>
        <v>609</v>
      </c>
      <c r="W1096">
        <f>VLOOKUP(A1096,[2]cwurData!$B:$N, 10, FALSE)</f>
        <v>756</v>
      </c>
      <c r="X1096">
        <f>VLOOKUP(A1096,[2]cwurData!$B:$N, 11, FALSE)</f>
        <v>307</v>
      </c>
      <c r="Y1096">
        <f>VLOOKUP(A1096,[2]cwurData!$B:$N, 12, FALSE)</f>
        <v>44.55</v>
      </c>
      <c r="Z1096">
        <f>VLOOKUP(A1096,[2]cwurData!$B:$N, 13, FALSE)</f>
        <v>2014</v>
      </c>
    </row>
    <row r="1097" spans="1:26" x14ac:dyDescent="0.3">
      <c r="A1097" t="s">
        <v>1094</v>
      </c>
      <c r="B1097" t="str">
        <f>IFERROR(VLOOKUP(A1097,[1]timesData!$B:$P,2,FALSE),VLOOKUP(A1097,[2]cwurData!$B:$P,2,FALSE))</f>
        <v>USA</v>
      </c>
      <c r="C1097" t="e">
        <f>VLOOKUP(A1097,[1]timesData!$B:$P,3,FALSE)</f>
        <v>#N/A</v>
      </c>
      <c r="D1097" t="e">
        <f>VLOOKUP(A1098,[1]timesData!$B:$P,3,FALSE)</f>
        <v>#N/A</v>
      </c>
      <c r="E1097" t="e">
        <f>VLOOKUP(A1098,[1]timesData!$B:$P,4,FALSE)</f>
        <v>#N/A</v>
      </c>
      <c r="F1097" t="e">
        <f>VLOOKUP(A1098,[1]timesData!$B:$P,5,FALSE)</f>
        <v>#N/A</v>
      </c>
      <c r="G1097" t="e">
        <f>VLOOKUP(A1098,[1]timesData!$B:$P,6,FALSE)</f>
        <v>#N/A</v>
      </c>
      <c r="H1097" t="e">
        <f>VLOOKUP(A1098,[1]timesData!$B:$P,7,FALSE)</f>
        <v>#N/A</v>
      </c>
      <c r="I1097" t="e">
        <f>VLOOKUP(A1098,[1]timesData!$B:$P,8,FALSE)</f>
        <v>#N/A</v>
      </c>
      <c r="J1097" t="e">
        <f>VLOOKUP(A1098,[1]timesData!$B:$P,9,FALSE)</f>
        <v>#N/A</v>
      </c>
      <c r="K1097" t="e">
        <f>VLOOKUP(A1098,[1]timesData!$B:$P,10,FALSE)</f>
        <v>#N/A</v>
      </c>
      <c r="L1097" t="e">
        <f>VLOOKUP(A1098,[1]timesData!$B:$P,11,FALSE)</f>
        <v>#N/A</v>
      </c>
      <c r="M1097" t="e">
        <f>VLOOKUP(A1098,[1]timesData!$B:$P,12,FALSE)</f>
        <v>#N/A</v>
      </c>
      <c r="N1097" t="e">
        <f>VLOOKUP(A1098,[1]timesData!$B:$P,13,FALSE)</f>
        <v>#N/A</v>
      </c>
      <c r="O1097">
        <f>VLOOKUP(A1097,[2]cwurData!$B:$P,14,FALSE)</f>
        <v>783</v>
      </c>
      <c r="P1097">
        <f>VLOOKUP(A1097,[2]cwurData!$B:$N, 3, FALSE)</f>
        <v>214</v>
      </c>
      <c r="Q1097">
        <f>VLOOKUP(A1097,[2]cwurData!$B:$N, 4, FALSE)</f>
        <v>355</v>
      </c>
      <c r="R1097">
        <f>VLOOKUP(A1097,[2]cwurData!$B:$N, 5, FALSE)</f>
        <v>478</v>
      </c>
      <c r="S1097">
        <f>VLOOKUP(A1097,[2]cwurData!$B:$N, 6, FALSE)</f>
        <v>210</v>
      </c>
      <c r="T1097">
        <f>VLOOKUP(A1097,[2]cwurData!$B:$N, 7, FALSE)</f>
        <v>934</v>
      </c>
      <c r="U1097">
        <f>VLOOKUP(A1097,[2]cwurData!$B:$N, 8, FALSE)</f>
        <v>416</v>
      </c>
      <c r="V1097">
        <f>VLOOKUP(A1097,[2]cwurData!$B:$N, 9, FALSE)</f>
        <v>609</v>
      </c>
      <c r="W1097">
        <f>VLOOKUP(A1097,[2]cwurData!$B:$N, 10, FALSE)</f>
        <v>690</v>
      </c>
      <c r="X1097">
        <f>VLOOKUP(A1097,[2]cwurData!$B:$N, 11, FALSE)</f>
        <v>552</v>
      </c>
      <c r="Y1097">
        <f>VLOOKUP(A1097,[2]cwurData!$B:$N, 12, FALSE)</f>
        <v>44.55</v>
      </c>
      <c r="Z1097">
        <f>VLOOKUP(A1097,[2]cwurData!$B:$N, 13, FALSE)</f>
        <v>2014</v>
      </c>
    </row>
    <row r="1098" spans="1:26" x14ac:dyDescent="0.3">
      <c r="A1098" t="s">
        <v>1095</v>
      </c>
      <c r="B1098" t="str">
        <f>IFERROR(VLOOKUP(A1098,[1]timesData!$B:$P,2,FALSE),VLOOKUP(A1098,[2]cwurData!$B:$P,2,FALSE))</f>
        <v>Canada</v>
      </c>
      <c r="C1098" t="e">
        <f>VLOOKUP(A1098,[1]timesData!$B:$P,3,FALSE)</f>
        <v>#N/A</v>
      </c>
      <c r="D1098" t="e">
        <f>VLOOKUP(A1099,[1]timesData!$B:$P,3,FALSE)</f>
        <v>#N/A</v>
      </c>
      <c r="E1098" t="e">
        <f>VLOOKUP(A1099,[1]timesData!$B:$P,4,FALSE)</f>
        <v>#N/A</v>
      </c>
      <c r="F1098" t="e">
        <f>VLOOKUP(A1099,[1]timesData!$B:$P,5,FALSE)</f>
        <v>#N/A</v>
      </c>
      <c r="G1098" t="e">
        <f>VLOOKUP(A1099,[1]timesData!$B:$P,6,FALSE)</f>
        <v>#N/A</v>
      </c>
      <c r="H1098" t="e">
        <f>VLOOKUP(A1099,[1]timesData!$B:$P,7,FALSE)</f>
        <v>#N/A</v>
      </c>
      <c r="I1098" t="e">
        <f>VLOOKUP(A1099,[1]timesData!$B:$P,8,FALSE)</f>
        <v>#N/A</v>
      </c>
      <c r="J1098" t="e">
        <f>VLOOKUP(A1099,[1]timesData!$B:$P,9,FALSE)</f>
        <v>#N/A</v>
      </c>
      <c r="K1098" t="e">
        <f>VLOOKUP(A1099,[1]timesData!$B:$P,10,FALSE)</f>
        <v>#N/A</v>
      </c>
      <c r="L1098" t="e">
        <f>VLOOKUP(A1099,[1]timesData!$B:$P,11,FALSE)</f>
        <v>#N/A</v>
      </c>
      <c r="M1098" t="e">
        <f>VLOOKUP(A1099,[1]timesData!$B:$P,12,FALSE)</f>
        <v>#N/A</v>
      </c>
      <c r="N1098" t="e">
        <f>VLOOKUP(A1099,[1]timesData!$B:$P,13,FALSE)</f>
        <v>#N/A</v>
      </c>
      <c r="O1098">
        <f>VLOOKUP(A1098,[2]cwurData!$B:$P,14,FALSE)</f>
        <v>784</v>
      </c>
      <c r="P1098">
        <f>VLOOKUP(A1098,[2]cwurData!$B:$N, 3, FALSE)</f>
        <v>26</v>
      </c>
      <c r="Q1098">
        <f>VLOOKUP(A1098,[2]cwurData!$B:$N, 4, FALSE)</f>
        <v>355</v>
      </c>
      <c r="R1098">
        <f>VLOOKUP(A1098,[2]cwurData!$B:$N, 5, FALSE)</f>
        <v>478</v>
      </c>
      <c r="S1098">
        <f>VLOOKUP(A1098,[2]cwurData!$B:$N, 6, FALSE)</f>
        <v>210</v>
      </c>
      <c r="T1098">
        <f>VLOOKUP(A1098,[2]cwurData!$B:$N, 7, FALSE)</f>
        <v>679</v>
      </c>
      <c r="U1098">
        <f>VLOOKUP(A1098,[2]cwurData!$B:$N, 8, FALSE)</f>
        <v>907</v>
      </c>
      <c r="V1098">
        <f>VLOOKUP(A1098,[2]cwurData!$B:$N, 9, FALSE)</f>
        <v>800</v>
      </c>
      <c r="W1098">
        <f>VLOOKUP(A1098,[2]cwurData!$B:$N, 10, FALSE)</f>
        <v>724</v>
      </c>
      <c r="X1098">
        <f>VLOOKUP(A1098,[2]cwurData!$B:$N, 11, FALSE)</f>
        <v>373</v>
      </c>
      <c r="Y1098">
        <f>VLOOKUP(A1098,[2]cwurData!$B:$N, 12, FALSE)</f>
        <v>44.55</v>
      </c>
      <c r="Z1098">
        <f>VLOOKUP(A1098,[2]cwurData!$B:$N, 13, FALSE)</f>
        <v>2014</v>
      </c>
    </row>
    <row r="1099" spans="1:26" x14ac:dyDescent="0.3">
      <c r="A1099" t="s">
        <v>1096</v>
      </c>
      <c r="B1099" t="str">
        <f>IFERROR(VLOOKUP(A1099,[1]timesData!$B:$P,2,FALSE),VLOOKUP(A1099,[2]cwurData!$B:$P,2,FALSE))</f>
        <v>Japan</v>
      </c>
      <c r="C1099" t="e">
        <f>VLOOKUP(A1099,[1]timesData!$B:$P,3,FALSE)</f>
        <v>#N/A</v>
      </c>
      <c r="D1099" t="e">
        <f>VLOOKUP(A1100,[1]timesData!$B:$P,3,FALSE)</f>
        <v>#N/A</v>
      </c>
      <c r="E1099" t="e">
        <f>VLOOKUP(A1100,[1]timesData!$B:$P,4,FALSE)</f>
        <v>#N/A</v>
      </c>
      <c r="F1099" t="e">
        <f>VLOOKUP(A1100,[1]timesData!$B:$P,5,FALSE)</f>
        <v>#N/A</v>
      </c>
      <c r="G1099" t="e">
        <f>VLOOKUP(A1100,[1]timesData!$B:$P,6,FALSE)</f>
        <v>#N/A</v>
      </c>
      <c r="H1099" t="e">
        <f>VLOOKUP(A1100,[1]timesData!$B:$P,7,FALSE)</f>
        <v>#N/A</v>
      </c>
      <c r="I1099" t="e">
        <f>VLOOKUP(A1100,[1]timesData!$B:$P,8,FALSE)</f>
        <v>#N/A</v>
      </c>
      <c r="J1099" t="e">
        <f>VLOOKUP(A1100,[1]timesData!$B:$P,9,FALSE)</f>
        <v>#N/A</v>
      </c>
      <c r="K1099" t="e">
        <f>VLOOKUP(A1100,[1]timesData!$B:$P,10,FALSE)</f>
        <v>#N/A</v>
      </c>
      <c r="L1099" t="e">
        <f>VLOOKUP(A1100,[1]timesData!$B:$P,11,FALSE)</f>
        <v>#N/A</v>
      </c>
      <c r="M1099" t="e">
        <f>VLOOKUP(A1100,[1]timesData!$B:$P,12,FALSE)</f>
        <v>#N/A</v>
      </c>
      <c r="N1099" t="e">
        <f>VLOOKUP(A1100,[1]timesData!$B:$P,13,FALSE)</f>
        <v>#N/A</v>
      </c>
      <c r="O1099">
        <f>VLOOKUP(A1099,[2]cwurData!$B:$P,14,FALSE)</f>
        <v>786</v>
      </c>
      <c r="P1099">
        <f>VLOOKUP(A1099,[2]cwurData!$B:$N, 3, FALSE)</f>
        <v>62</v>
      </c>
      <c r="Q1099">
        <f>VLOOKUP(A1099,[2]cwurData!$B:$N, 4, FALSE)</f>
        <v>355</v>
      </c>
      <c r="R1099">
        <f>VLOOKUP(A1099,[2]cwurData!$B:$N, 5, FALSE)</f>
        <v>478</v>
      </c>
      <c r="S1099">
        <f>VLOOKUP(A1099,[2]cwurData!$B:$N, 6, FALSE)</f>
        <v>210</v>
      </c>
      <c r="T1099">
        <f>VLOOKUP(A1099,[2]cwurData!$B:$N, 7, FALSE)</f>
        <v>972</v>
      </c>
      <c r="U1099">
        <f>VLOOKUP(A1099,[2]cwurData!$B:$N, 8, FALSE)</f>
        <v>852</v>
      </c>
      <c r="V1099">
        <f>VLOOKUP(A1099,[2]cwurData!$B:$N, 9, FALSE)</f>
        <v>800</v>
      </c>
      <c r="W1099">
        <f>VLOOKUP(A1099,[2]cwurData!$B:$N, 10, FALSE)</f>
        <v>783</v>
      </c>
      <c r="X1099">
        <f>VLOOKUP(A1099,[2]cwurData!$B:$N, 11, FALSE)</f>
        <v>259</v>
      </c>
      <c r="Y1099">
        <f>VLOOKUP(A1099,[2]cwurData!$B:$N, 12, FALSE)</f>
        <v>44.54</v>
      </c>
      <c r="Z1099">
        <f>VLOOKUP(A1099,[2]cwurData!$B:$N, 13, FALSE)</f>
        <v>2014</v>
      </c>
    </row>
    <row r="1100" spans="1:26" x14ac:dyDescent="0.3">
      <c r="A1100" t="s">
        <v>1237</v>
      </c>
      <c r="B1100" t="str">
        <f>IFERROR(VLOOKUP(A1100,[1]timesData!$B:$P,2,FALSE),VLOOKUP(A1100,[2]cwurData!$B:$P,2,FALSE))</f>
        <v>Germany</v>
      </c>
      <c r="C1100" t="e">
        <f>VLOOKUP(A1100,[1]timesData!$B:$P,3,FALSE)</f>
        <v>#N/A</v>
      </c>
      <c r="D1100" t="e">
        <f>VLOOKUP(A1101,[1]timesData!$B:$P,3,FALSE)</f>
        <v>#N/A</v>
      </c>
      <c r="E1100" t="e">
        <f>VLOOKUP(A1101,[1]timesData!$B:$P,4,FALSE)</f>
        <v>#N/A</v>
      </c>
      <c r="F1100" t="e">
        <f>VLOOKUP(A1101,[1]timesData!$B:$P,5,FALSE)</f>
        <v>#N/A</v>
      </c>
      <c r="G1100" t="e">
        <f>VLOOKUP(A1101,[1]timesData!$B:$P,6,FALSE)</f>
        <v>#N/A</v>
      </c>
      <c r="H1100" t="e">
        <f>VLOOKUP(A1101,[1]timesData!$B:$P,7,FALSE)</f>
        <v>#N/A</v>
      </c>
      <c r="I1100" t="e">
        <f>VLOOKUP(A1101,[1]timesData!$B:$P,8,FALSE)</f>
        <v>#N/A</v>
      </c>
      <c r="J1100" t="e">
        <f>VLOOKUP(A1101,[1]timesData!$B:$P,9,FALSE)</f>
        <v>#N/A</v>
      </c>
      <c r="K1100" t="e">
        <f>VLOOKUP(A1101,[1]timesData!$B:$P,10,FALSE)</f>
        <v>#N/A</v>
      </c>
      <c r="L1100" t="e">
        <f>VLOOKUP(A1101,[1]timesData!$B:$P,11,FALSE)</f>
        <v>#N/A</v>
      </c>
      <c r="M1100" t="e">
        <f>VLOOKUP(A1101,[1]timesData!$B:$P,12,FALSE)</f>
        <v>#N/A</v>
      </c>
      <c r="N1100" t="e">
        <f>VLOOKUP(A1101,[1]timesData!$B:$P,13,FALSE)</f>
        <v>#N/A</v>
      </c>
      <c r="O1100">
        <f>VLOOKUP(A1100,[2]cwurData!$B:$P,14,FALSE)</f>
        <v>787</v>
      </c>
      <c r="P1100">
        <f>VLOOKUP(A1100,[2]cwurData!$B:$N, 3, FALSE)</f>
        <v>50</v>
      </c>
      <c r="Q1100">
        <f>VLOOKUP(A1100,[2]cwurData!$B:$N, 4, FALSE)</f>
        <v>367</v>
      </c>
      <c r="R1100">
        <f>VLOOKUP(A1100,[2]cwurData!$B:$N, 5, FALSE)</f>
        <v>567</v>
      </c>
      <c r="S1100">
        <f>VLOOKUP(A1100,[2]cwurData!$B:$N, 6, FALSE)</f>
        <v>218</v>
      </c>
      <c r="T1100">
        <f>VLOOKUP(A1100,[2]cwurData!$B:$N, 7, FALSE)</f>
        <v>894</v>
      </c>
      <c r="U1100">
        <f>VLOOKUP(A1100,[2]cwurData!$B:$N, 8, FALSE)</f>
        <v>666</v>
      </c>
      <c r="V1100">
        <f>VLOOKUP(A1100,[2]cwurData!$B:$N, 9, FALSE)</f>
        <v>511</v>
      </c>
      <c r="W1100">
        <f>VLOOKUP(A1100,[2]cwurData!$B:$N, 10, FALSE)</f>
        <v>715</v>
      </c>
      <c r="X1100">
        <f>VLOOKUP(A1100,[2]cwurData!$B:$N, 11, FALSE)</f>
        <v>533</v>
      </c>
      <c r="Y1100">
        <f>VLOOKUP(A1100,[2]cwurData!$B:$N, 12, FALSE)</f>
        <v>44.26</v>
      </c>
      <c r="Z1100">
        <f>VLOOKUP(A1100,[2]cwurData!$B:$N, 13, FALSE)</f>
        <v>2015</v>
      </c>
    </row>
    <row r="1101" spans="1:26" x14ac:dyDescent="0.3">
      <c r="A1101" t="s">
        <v>1097</v>
      </c>
      <c r="B1101" t="str">
        <f>IFERROR(VLOOKUP(A1101,[1]timesData!$B:$P,2,FALSE),VLOOKUP(A1101,[2]cwurData!$B:$P,2,FALSE))</f>
        <v>Japan</v>
      </c>
      <c r="C1101" t="e">
        <f>VLOOKUP(A1101,[1]timesData!$B:$P,3,FALSE)</f>
        <v>#N/A</v>
      </c>
      <c r="D1101" t="e">
        <f>VLOOKUP(A1102,[1]timesData!$B:$P,3,FALSE)</f>
        <v>#N/A</v>
      </c>
      <c r="E1101" t="e">
        <f>VLOOKUP(A1102,[1]timesData!$B:$P,4,FALSE)</f>
        <v>#N/A</v>
      </c>
      <c r="F1101" t="e">
        <f>VLOOKUP(A1102,[1]timesData!$B:$P,5,FALSE)</f>
        <v>#N/A</v>
      </c>
      <c r="G1101" t="e">
        <f>VLOOKUP(A1102,[1]timesData!$B:$P,6,FALSE)</f>
        <v>#N/A</v>
      </c>
      <c r="H1101" t="e">
        <f>VLOOKUP(A1102,[1]timesData!$B:$P,7,FALSE)</f>
        <v>#N/A</v>
      </c>
      <c r="I1101" t="e">
        <f>VLOOKUP(A1102,[1]timesData!$B:$P,8,FALSE)</f>
        <v>#N/A</v>
      </c>
      <c r="J1101" t="e">
        <f>VLOOKUP(A1102,[1]timesData!$B:$P,9,FALSE)</f>
        <v>#N/A</v>
      </c>
      <c r="K1101" t="e">
        <f>VLOOKUP(A1102,[1]timesData!$B:$P,10,FALSE)</f>
        <v>#N/A</v>
      </c>
      <c r="L1101" t="e">
        <f>VLOOKUP(A1102,[1]timesData!$B:$P,11,FALSE)</f>
        <v>#N/A</v>
      </c>
      <c r="M1101" t="e">
        <f>VLOOKUP(A1102,[1]timesData!$B:$P,12,FALSE)</f>
        <v>#N/A</v>
      </c>
      <c r="N1101" t="e">
        <f>VLOOKUP(A1102,[1]timesData!$B:$P,13,FALSE)</f>
        <v>#N/A</v>
      </c>
      <c r="O1101">
        <f>VLOOKUP(A1101,[2]cwurData!$B:$P,14,FALSE)</f>
        <v>787</v>
      </c>
      <c r="P1101">
        <f>VLOOKUP(A1101,[2]cwurData!$B:$N, 3, FALSE)</f>
        <v>63</v>
      </c>
      <c r="Q1101">
        <f>VLOOKUP(A1101,[2]cwurData!$B:$N, 4, FALSE)</f>
        <v>355</v>
      </c>
      <c r="R1101">
        <f>VLOOKUP(A1101,[2]cwurData!$B:$N, 5, FALSE)</f>
        <v>310</v>
      </c>
      <c r="S1101">
        <f>VLOOKUP(A1101,[2]cwurData!$B:$N, 6, FALSE)</f>
        <v>210</v>
      </c>
      <c r="T1101">
        <f>VLOOKUP(A1101,[2]cwurData!$B:$N, 7, FALSE)</f>
        <v>775</v>
      </c>
      <c r="U1101">
        <f>VLOOKUP(A1101,[2]cwurData!$B:$N, 8, FALSE)</f>
        <v>948</v>
      </c>
      <c r="V1101">
        <f>VLOOKUP(A1101,[2]cwurData!$B:$N, 9, FALSE)</f>
        <v>609</v>
      </c>
      <c r="W1101">
        <f>VLOOKUP(A1101,[2]cwurData!$B:$N, 10, FALSE)</f>
        <v>897</v>
      </c>
      <c r="X1101">
        <f>VLOOKUP(A1101,[2]cwurData!$B:$N, 11, FALSE)</f>
        <v>280</v>
      </c>
      <c r="Y1101">
        <f>VLOOKUP(A1101,[2]cwurData!$B:$N, 12, FALSE)</f>
        <v>44.54</v>
      </c>
      <c r="Z1101">
        <f>VLOOKUP(A1101,[2]cwurData!$B:$N, 13, FALSE)</f>
        <v>2014</v>
      </c>
    </row>
    <row r="1102" spans="1:26" x14ac:dyDescent="0.3">
      <c r="A1102" t="s">
        <v>1098</v>
      </c>
      <c r="B1102" t="str">
        <f>IFERROR(VLOOKUP(A1102,[1]timesData!$B:$P,2,FALSE),VLOOKUP(A1102,[2]cwurData!$B:$P,2,FALSE))</f>
        <v>Turkey</v>
      </c>
      <c r="C1102" t="e">
        <f>VLOOKUP(A1102,[1]timesData!$B:$P,3,FALSE)</f>
        <v>#N/A</v>
      </c>
      <c r="D1102" t="e">
        <f>VLOOKUP(A1103,[1]timesData!$B:$P,3,FALSE)</f>
        <v>#N/A</v>
      </c>
      <c r="E1102" t="e">
        <f>VLOOKUP(A1103,[1]timesData!$B:$P,4,FALSE)</f>
        <v>#N/A</v>
      </c>
      <c r="F1102" t="e">
        <f>VLOOKUP(A1103,[1]timesData!$B:$P,5,FALSE)</f>
        <v>#N/A</v>
      </c>
      <c r="G1102" t="e">
        <f>VLOOKUP(A1103,[1]timesData!$B:$P,6,FALSE)</f>
        <v>#N/A</v>
      </c>
      <c r="H1102" t="e">
        <f>VLOOKUP(A1103,[1]timesData!$B:$P,7,FALSE)</f>
        <v>#N/A</v>
      </c>
      <c r="I1102" t="e">
        <f>VLOOKUP(A1103,[1]timesData!$B:$P,8,FALSE)</f>
        <v>#N/A</v>
      </c>
      <c r="J1102" t="e">
        <f>VLOOKUP(A1103,[1]timesData!$B:$P,9,FALSE)</f>
        <v>#N/A</v>
      </c>
      <c r="K1102" t="e">
        <f>VLOOKUP(A1103,[1]timesData!$B:$P,10,FALSE)</f>
        <v>#N/A</v>
      </c>
      <c r="L1102" t="e">
        <f>VLOOKUP(A1103,[1]timesData!$B:$P,11,FALSE)</f>
        <v>#N/A</v>
      </c>
      <c r="M1102" t="e">
        <f>VLOOKUP(A1103,[1]timesData!$B:$P,12,FALSE)</f>
        <v>#N/A</v>
      </c>
      <c r="N1102" t="e">
        <f>VLOOKUP(A1103,[1]timesData!$B:$P,13,FALSE)</f>
        <v>#N/A</v>
      </c>
      <c r="O1102">
        <f>VLOOKUP(A1102,[2]cwurData!$B:$P,14,FALSE)</f>
        <v>788</v>
      </c>
      <c r="P1102">
        <f>VLOOKUP(A1102,[2]cwurData!$B:$N, 3, FALSE)</f>
        <v>5</v>
      </c>
      <c r="Q1102">
        <f>VLOOKUP(A1102,[2]cwurData!$B:$N, 4, FALSE)</f>
        <v>355</v>
      </c>
      <c r="R1102">
        <f>VLOOKUP(A1102,[2]cwurData!$B:$N, 5, FALSE)</f>
        <v>461</v>
      </c>
      <c r="S1102">
        <f>VLOOKUP(A1102,[2]cwurData!$B:$N, 6, FALSE)</f>
        <v>210</v>
      </c>
      <c r="T1102">
        <f>VLOOKUP(A1102,[2]cwurData!$B:$N, 7, FALSE)</f>
        <v>751</v>
      </c>
      <c r="U1102">
        <f>VLOOKUP(A1102,[2]cwurData!$B:$N, 8, FALSE)</f>
        <v>723</v>
      </c>
      <c r="V1102">
        <f>VLOOKUP(A1102,[2]cwurData!$B:$N, 9, FALSE)</f>
        <v>493</v>
      </c>
      <c r="W1102">
        <f>VLOOKUP(A1102,[2]cwurData!$B:$N, 10, FALSE)</f>
        <v>739</v>
      </c>
      <c r="X1102">
        <f>VLOOKUP(A1102,[2]cwurData!$B:$N, 11, FALSE)</f>
        <v>737</v>
      </c>
      <c r="Y1102">
        <f>VLOOKUP(A1102,[2]cwurData!$B:$N, 12, FALSE)</f>
        <v>44.54</v>
      </c>
      <c r="Z1102">
        <f>VLOOKUP(A1102,[2]cwurData!$B:$N, 13, FALSE)</f>
        <v>2014</v>
      </c>
    </row>
    <row r="1103" spans="1:26" x14ac:dyDescent="0.3">
      <c r="A1103" t="s">
        <v>1099</v>
      </c>
      <c r="B1103" t="str">
        <f>IFERROR(VLOOKUP(A1103,[1]timesData!$B:$P,2,FALSE),VLOOKUP(A1103,[2]cwurData!$B:$P,2,FALSE))</f>
        <v>France</v>
      </c>
      <c r="C1103" t="e">
        <f>VLOOKUP(A1103,[1]timesData!$B:$P,3,FALSE)</f>
        <v>#N/A</v>
      </c>
      <c r="D1103" t="e">
        <f>VLOOKUP(A1104,[1]timesData!$B:$P,3,FALSE)</f>
        <v>#N/A</v>
      </c>
      <c r="E1103" t="e">
        <f>VLOOKUP(A1104,[1]timesData!$B:$P,4,FALSE)</f>
        <v>#N/A</v>
      </c>
      <c r="F1103" t="e">
        <f>VLOOKUP(A1104,[1]timesData!$B:$P,5,FALSE)</f>
        <v>#N/A</v>
      </c>
      <c r="G1103" t="e">
        <f>VLOOKUP(A1104,[1]timesData!$B:$P,6,FALSE)</f>
        <v>#N/A</v>
      </c>
      <c r="H1103" t="e">
        <f>VLOOKUP(A1104,[1]timesData!$B:$P,7,FALSE)</f>
        <v>#N/A</v>
      </c>
      <c r="I1103" t="e">
        <f>VLOOKUP(A1104,[1]timesData!$B:$P,8,FALSE)</f>
        <v>#N/A</v>
      </c>
      <c r="J1103" t="e">
        <f>VLOOKUP(A1104,[1]timesData!$B:$P,9,FALSE)</f>
        <v>#N/A</v>
      </c>
      <c r="K1103" t="e">
        <f>VLOOKUP(A1104,[1]timesData!$B:$P,10,FALSE)</f>
        <v>#N/A</v>
      </c>
      <c r="L1103" t="e">
        <f>VLOOKUP(A1104,[1]timesData!$B:$P,11,FALSE)</f>
        <v>#N/A</v>
      </c>
      <c r="M1103" t="e">
        <f>VLOOKUP(A1104,[1]timesData!$B:$P,12,FALSE)</f>
        <v>#N/A</v>
      </c>
      <c r="N1103" t="e">
        <f>VLOOKUP(A1104,[1]timesData!$B:$P,13,FALSE)</f>
        <v>#N/A</v>
      </c>
      <c r="O1103">
        <f>VLOOKUP(A1103,[2]cwurData!$B:$P,14,FALSE)</f>
        <v>792</v>
      </c>
      <c r="P1103">
        <f>VLOOKUP(A1103,[2]cwurData!$B:$N, 3, FALSE)</f>
        <v>40</v>
      </c>
      <c r="Q1103">
        <f>VLOOKUP(A1103,[2]cwurData!$B:$N, 4, FALSE)</f>
        <v>350</v>
      </c>
      <c r="R1103">
        <f>VLOOKUP(A1103,[2]cwurData!$B:$N, 5, FALSE)</f>
        <v>478</v>
      </c>
      <c r="S1103">
        <f>VLOOKUP(A1103,[2]cwurData!$B:$N, 6, FALSE)</f>
        <v>210</v>
      </c>
      <c r="T1103">
        <f>VLOOKUP(A1103,[2]cwurData!$B:$N, 7, FALSE)</f>
        <v>689</v>
      </c>
      <c r="U1103">
        <f>VLOOKUP(A1103,[2]cwurData!$B:$N, 8, FALSE)</f>
        <v>720</v>
      </c>
      <c r="V1103">
        <f>VLOOKUP(A1103,[2]cwurData!$B:$N, 9, FALSE)</f>
        <v>609</v>
      </c>
      <c r="W1103">
        <f>VLOOKUP(A1103,[2]cwurData!$B:$N, 10, FALSE)</f>
        <v>783</v>
      </c>
      <c r="X1103">
        <f>VLOOKUP(A1103,[2]cwurData!$B:$N, 11, FALSE)</f>
        <v>280</v>
      </c>
      <c r="Y1103">
        <f>VLOOKUP(A1103,[2]cwurData!$B:$N, 12, FALSE)</f>
        <v>44.54</v>
      </c>
      <c r="Z1103">
        <f>VLOOKUP(A1103,[2]cwurData!$B:$N, 13, FALSE)</f>
        <v>2014</v>
      </c>
    </row>
    <row r="1104" spans="1:26" x14ac:dyDescent="0.3">
      <c r="A1104" t="s">
        <v>1100</v>
      </c>
      <c r="B1104" t="str">
        <f>IFERROR(VLOOKUP(A1104,[1]timesData!$B:$P,2,FALSE),VLOOKUP(A1104,[2]cwurData!$B:$P,2,FALSE))</f>
        <v>USA</v>
      </c>
      <c r="C1104" t="e">
        <f>VLOOKUP(A1104,[1]timesData!$B:$P,3,FALSE)</f>
        <v>#N/A</v>
      </c>
      <c r="D1104" t="e">
        <f>VLOOKUP(A1105,[1]timesData!$B:$P,3,FALSE)</f>
        <v>#N/A</v>
      </c>
      <c r="E1104" t="e">
        <f>VLOOKUP(A1105,[1]timesData!$B:$P,4,FALSE)</f>
        <v>#N/A</v>
      </c>
      <c r="F1104" t="e">
        <f>VLOOKUP(A1105,[1]timesData!$B:$P,5,FALSE)</f>
        <v>#N/A</v>
      </c>
      <c r="G1104" t="e">
        <f>VLOOKUP(A1105,[1]timesData!$B:$P,6,FALSE)</f>
        <v>#N/A</v>
      </c>
      <c r="H1104" t="e">
        <f>VLOOKUP(A1105,[1]timesData!$B:$P,7,FALSE)</f>
        <v>#N/A</v>
      </c>
      <c r="I1104" t="e">
        <f>VLOOKUP(A1105,[1]timesData!$B:$P,8,FALSE)</f>
        <v>#N/A</v>
      </c>
      <c r="J1104" t="e">
        <f>VLOOKUP(A1105,[1]timesData!$B:$P,9,FALSE)</f>
        <v>#N/A</v>
      </c>
      <c r="K1104" t="e">
        <f>VLOOKUP(A1105,[1]timesData!$B:$P,10,FALSE)</f>
        <v>#N/A</v>
      </c>
      <c r="L1104" t="e">
        <f>VLOOKUP(A1105,[1]timesData!$B:$P,11,FALSE)</f>
        <v>#N/A</v>
      </c>
      <c r="M1104" t="e">
        <f>VLOOKUP(A1105,[1]timesData!$B:$P,12,FALSE)</f>
        <v>#N/A</v>
      </c>
      <c r="N1104" t="e">
        <f>VLOOKUP(A1105,[1]timesData!$B:$P,13,FALSE)</f>
        <v>#N/A</v>
      </c>
      <c r="O1104">
        <f>VLOOKUP(A1104,[2]cwurData!$B:$P,14,FALSE)</f>
        <v>793</v>
      </c>
      <c r="P1104">
        <f>VLOOKUP(A1104,[2]cwurData!$B:$N, 3, FALSE)</f>
        <v>215</v>
      </c>
      <c r="Q1104">
        <f>VLOOKUP(A1104,[2]cwurData!$B:$N, 4, FALSE)</f>
        <v>355</v>
      </c>
      <c r="R1104">
        <f>VLOOKUP(A1104,[2]cwurData!$B:$N, 5, FALSE)</f>
        <v>365</v>
      </c>
      <c r="S1104">
        <f>VLOOKUP(A1104,[2]cwurData!$B:$N, 6, FALSE)</f>
        <v>210</v>
      </c>
      <c r="T1104">
        <f>VLOOKUP(A1104,[2]cwurData!$B:$N, 7, FALSE)</f>
        <v>907</v>
      </c>
      <c r="U1104">
        <f>VLOOKUP(A1104,[2]cwurData!$B:$N, 8, FALSE)</f>
        <v>653</v>
      </c>
      <c r="V1104">
        <f>VLOOKUP(A1104,[2]cwurData!$B:$N, 9, FALSE)</f>
        <v>609</v>
      </c>
      <c r="W1104">
        <f>VLOOKUP(A1104,[2]cwurData!$B:$N, 10, FALSE)</f>
        <v>756</v>
      </c>
      <c r="X1104">
        <f>VLOOKUP(A1104,[2]cwurData!$B:$N, 11, FALSE)</f>
        <v>737</v>
      </c>
      <c r="Y1104">
        <f>VLOOKUP(A1104,[2]cwurData!$B:$N, 12, FALSE)</f>
        <v>44.54</v>
      </c>
      <c r="Z1104">
        <f>VLOOKUP(A1104,[2]cwurData!$B:$N, 13, FALSE)</f>
        <v>2014</v>
      </c>
    </row>
    <row r="1105" spans="1:26" x14ac:dyDescent="0.3">
      <c r="A1105" t="s">
        <v>1101</v>
      </c>
      <c r="B1105" t="str">
        <f>IFERROR(VLOOKUP(A1105,[1]timesData!$B:$P,2,FALSE),VLOOKUP(A1105,[2]cwurData!$B:$P,2,FALSE))</f>
        <v>Norway</v>
      </c>
      <c r="C1105" t="e">
        <f>VLOOKUP(A1105,[1]timesData!$B:$P,3,FALSE)</f>
        <v>#N/A</v>
      </c>
      <c r="D1105" t="e">
        <f>VLOOKUP(A1106,[1]timesData!$B:$P,3,FALSE)</f>
        <v>#N/A</v>
      </c>
      <c r="E1105" t="e">
        <f>VLOOKUP(A1106,[1]timesData!$B:$P,4,FALSE)</f>
        <v>#N/A</v>
      </c>
      <c r="F1105" t="e">
        <f>VLOOKUP(A1106,[1]timesData!$B:$P,5,FALSE)</f>
        <v>#N/A</v>
      </c>
      <c r="G1105" t="e">
        <f>VLOOKUP(A1106,[1]timesData!$B:$P,6,FALSE)</f>
        <v>#N/A</v>
      </c>
      <c r="H1105" t="e">
        <f>VLOOKUP(A1106,[1]timesData!$B:$P,7,FALSE)</f>
        <v>#N/A</v>
      </c>
      <c r="I1105" t="e">
        <f>VLOOKUP(A1106,[1]timesData!$B:$P,8,FALSE)</f>
        <v>#N/A</v>
      </c>
      <c r="J1105" t="e">
        <f>VLOOKUP(A1106,[1]timesData!$B:$P,9,FALSE)</f>
        <v>#N/A</v>
      </c>
      <c r="K1105" t="e">
        <f>VLOOKUP(A1106,[1]timesData!$B:$P,10,FALSE)</f>
        <v>#N/A</v>
      </c>
      <c r="L1105" t="e">
        <f>VLOOKUP(A1106,[1]timesData!$B:$P,11,FALSE)</f>
        <v>#N/A</v>
      </c>
      <c r="M1105" t="e">
        <f>VLOOKUP(A1106,[1]timesData!$B:$P,12,FALSE)</f>
        <v>#N/A</v>
      </c>
      <c r="N1105" t="e">
        <f>VLOOKUP(A1106,[1]timesData!$B:$P,13,FALSE)</f>
        <v>#N/A</v>
      </c>
      <c r="O1105">
        <f>VLOOKUP(A1105,[2]cwurData!$B:$P,14,FALSE)</f>
        <v>794</v>
      </c>
      <c r="P1105">
        <f>VLOOKUP(A1105,[2]cwurData!$B:$N, 3, FALSE)</f>
        <v>5</v>
      </c>
      <c r="Q1105">
        <f>VLOOKUP(A1105,[2]cwurData!$B:$N, 4, FALSE)</f>
        <v>355</v>
      </c>
      <c r="R1105">
        <f>VLOOKUP(A1105,[2]cwurData!$B:$N, 5, FALSE)</f>
        <v>478</v>
      </c>
      <c r="S1105">
        <f>VLOOKUP(A1105,[2]cwurData!$B:$N, 6, FALSE)</f>
        <v>210</v>
      </c>
      <c r="T1105">
        <f>VLOOKUP(A1105,[2]cwurData!$B:$N, 7, FALSE)</f>
        <v>757</v>
      </c>
      <c r="U1105">
        <f>VLOOKUP(A1105,[2]cwurData!$B:$N, 8, FALSE)</f>
        <v>578</v>
      </c>
      <c r="V1105">
        <f>VLOOKUP(A1105,[2]cwurData!$B:$N, 9, FALSE)</f>
        <v>493</v>
      </c>
      <c r="W1105">
        <f>VLOOKUP(A1105,[2]cwurData!$B:$N, 10, FALSE)</f>
        <v>703</v>
      </c>
      <c r="X1105">
        <f>VLOOKUP(A1105,[2]cwurData!$B:$N, 11, FALSE)</f>
        <v>637</v>
      </c>
      <c r="Y1105">
        <f>VLOOKUP(A1105,[2]cwurData!$B:$N, 12, FALSE)</f>
        <v>44.54</v>
      </c>
      <c r="Z1105">
        <f>VLOOKUP(A1105,[2]cwurData!$B:$N, 13, FALSE)</f>
        <v>2014</v>
      </c>
    </row>
    <row r="1106" spans="1:26" x14ac:dyDescent="0.3">
      <c r="A1106" t="s">
        <v>1102</v>
      </c>
      <c r="B1106" t="str">
        <f>IFERROR(VLOOKUP(A1106,[1]timesData!$B:$P,2,FALSE),VLOOKUP(A1106,[2]cwurData!$B:$P,2,FALSE))</f>
        <v>France</v>
      </c>
      <c r="C1106" t="e">
        <f>VLOOKUP(A1106,[1]timesData!$B:$P,3,FALSE)</f>
        <v>#N/A</v>
      </c>
      <c r="D1106" t="e">
        <f>VLOOKUP(A1107,[1]timesData!$B:$P,3,FALSE)</f>
        <v>#N/A</v>
      </c>
      <c r="E1106" t="e">
        <f>VLOOKUP(A1107,[1]timesData!$B:$P,4,FALSE)</f>
        <v>#N/A</v>
      </c>
      <c r="F1106" t="e">
        <f>VLOOKUP(A1107,[1]timesData!$B:$P,5,FALSE)</f>
        <v>#N/A</v>
      </c>
      <c r="G1106" t="e">
        <f>VLOOKUP(A1107,[1]timesData!$B:$P,6,FALSE)</f>
        <v>#N/A</v>
      </c>
      <c r="H1106" t="e">
        <f>VLOOKUP(A1107,[1]timesData!$B:$P,7,FALSE)</f>
        <v>#N/A</v>
      </c>
      <c r="I1106" t="e">
        <f>VLOOKUP(A1107,[1]timesData!$B:$P,8,FALSE)</f>
        <v>#N/A</v>
      </c>
      <c r="J1106" t="e">
        <f>VLOOKUP(A1107,[1]timesData!$B:$P,9,FALSE)</f>
        <v>#N/A</v>
      </c>
      <c r="K1106" t="e">
        <f>VLOOKUP(A1107,[1]timesData!$B:$P,10,FALSE)</f>
        <v>#N/A</v>
      </c>
      <c r="L1106" t="e">
        <f>VLOOKUP(A1107,[1]timesData!$B:$P,11,FALSE)</f>
        <v>#N/A</v>
      </c>
      <c r="M1106" t="e">
        <f>VLOOKUP(A1107,[1]timesData!$B:$P,12,FALSE)</f>
        <v>#N/A</v>
      </c>
      <c r="N1106" t="e">
        <f>VLOOKUP(A1107,[1]timesData!$B:$P,13,FALSE)</f>
        <v>#N/A</v>
      </c>
      <c r="O1106">
        <f>VLOOKUP(A1106,[2]cwurData!$B:$P,14,FALSE)</f>
        <v>795</v>
      </c>
      <c r="P1106">
        <f>VLOOKUP(A1106,[2]cwurData!$B:$N, 3, FALSE)</f>
        <v>41</v>
      </c>
      <c r="Q1106">
        <f>VLOOKUP(A1106,[2]cwurData!$B:$N, 4, FALSE)</f>
        <v>355</v>
      </c>
      <c r="R1106">
        <f>VLOOKUP(A1106,[2]cwurData!$B:$N, 5, FALSE)</f>
        <v>478</v>
      </c>
      <c r="S1106">
        <f>VLOOKUP(A1106,[2]cwurData!$B:$N, 6, FALSE)</f>
        <v>210</v>
      </c>
      <c r="T1106">
        <f>VLOOKUP(A1106,[2]cwurData!$B:$N, 7, FALSE)</f>
        <v>803</v>
      </c>
      <c r="U1106">
        <f>VLOOKUP(A1106,[2]cwurData!$B:$N, 8, FALSE)</f>
        <v>767</v>
      </c>
      <c r="V1106">
        <f>VLOOKUP(A1106,[2]cwurData!$B:$N, 9, FALSE)</f>
        <v>363</v>
      </c>
      <c r="W1106">
        <f>VLOOKUP(A1106,[2]cwurData!$B:$N, 10, FALSE)</f>
        <v>724</v>
      </c>
      <c r="X1106">
        <f>VLOOKUP(A1106,[2]cwurData!$B:$N, 11, FALSE)</f>
        <v>481</v>
      </c>
      <c r="Y1106">
        <f>VLOOKUP(A1106,[2]cwurData!$B:$N, 12, FALSE)</f>
        <v>44.54</v>
      </c>
      <c r="Z1106">
        <f>VLOOKUP(A1106,[2]cwurData!$B:$N, 13, FALSE)</f>
        <v>2014</v>
      </c>
    </row>
    <row r="1107" spans="1:26" x14ac:dyDescent="0.3">
      <c r="A1107" t="s">
        <v>1103</v>
      </c>
      <c r="B1107" t="str">
        <f>IFERROR(VLOOKUP(A1107,[1]timesData!$B:$P,2,FALSE),VLOOKUP(A1107,[2]cwurData!$B:$P,2,FALSE))</f>
        <v>Chile</v>
      </c>
      <c r="C1107" t="e">
        <f>VLOOKUP(A1107,[1]timesData!$B:$P,3,FALSE)</f>
        <v>#N/A</v>
      </c>
      <c r="D1107" t="e">
        <f>VLOOKUP(A1108,[1]timesData!$B:$P,3,FALSE)</f>
        <v>#N/A</v>
      </c>
      <c r="E1107" t="e">
        <f>VLOOKUP(A1108,[1]timesData!$B:$P,4,FALSE)</f>
        <v>#N/A</v>
      </c>
      <c r="F1107" t="e">
        <f>VLOOKUP(A1108,[1]timesData!$B:$P,5,FALSE)</f>
        <v>#N/A</v>
      </c>
      <c r="G1107" t="e">
        <f>VLOOKUP(A1108,[1]timesData!$B:$P,6,FALSE)</f>
        <v>#N/A</v>
      </c>
      <c r="H1107" t="e">
        <f>VLOOKUP(A1108,[1]timesData!$B:$P,7,FALSE)</f>
        <v>#N/A</v>
      </c>
      <c r="I1107" t="e">
        <f>VLOOKUP(A1108,[1]timesData!$B:$P,8,FALSE)</f>
        <v>#N/A</v>
      </c>
      <c r="J1107" t="e">
        <f>VLOOKUP(A1108,[1]timesData!$B:$P,9,FALSE)</f>
        <v>#N/A</v>
      </c>
      <c r="K1107" t="e">
        <f>VLOOKUP(A1108,[1]timesData!$B:$P,10,FALSE)</f>
        <v>#N/A</v>
      </c>
      <c r="L1107" t="e">
        <f>VLOOKUP(A1108,[1]timesData!$B:$P,11,FALSE)</f>
        <v>#N/A</v>
      </c>
      <c r="M1107" t="e">
        <f>VLOOKUP(A1108,[1]timesData!$B:$P,12,FALSE)</f>
        <v>#N/A</v>
      </c>
      <c r="N1107" t="e">
        <f>VLOOKUP(A1108,[1]timesData!$B:$P,13,FALSE)</f>
        <v>#N/A</v>
      </c>
      <c r="O1107">
        <f>VLOOKUP(A1107,[2]cwurData!$B:$P,14,FALSE)</f>
        <v>797</v>
      </c>
      <c r="P1107">
        <f>VLOOKUP(A1107,[2]cwurData!$B:$N, 3, FALSE)</f>
        <v>3</v>
      </c>
      <c r="Q1107">
        <f>VLOOKUP(A1107,[2]cwurData!$B:$N, 4, FALSE)</f>
        <v>355</v>
      </c>
      <c r="R1107">
        <f>VLOOKUP(A1107,[2]cwurData!$B:$N, 5, FALSE)</f>
        <v>478</v>
      </c>
      <c r="S1107">
        <f>VLOOKUP(A1107,[2]cwurData!$B:$N, 6, FALSE)</f>
        <v>210</v>
      </c>
      <c r="T1107">
        <f>VLOOKUP(A1107,[2]cwurData!$B:$N, 7, FALSE)</f>
        <v>704</v>
      </c>
      <c r="U1107">
        <f>VLOOKUP(A1107,[2]cwurData!$B:$N, 8, FALSE)</f>
        <v>452</v>
      </c>
      <c r="V1107">
        <f>VLOOKUP(A1107,[2]cwurData!$B:$N, 9, FALSE)</f>
        <v>800</v>
      </c>
      <c r="W1107">
        <f>VLOOKUP(A1107,[2]cwurData!$B:$N, 10, FALSE)</f>
        <v>724</v>
      </c>
      <c r="X1107">
        <f>VLOOKUP(A1107,[2]cwurData!$B:$N, 11, FALSE)</f>
        <v>426</v>
      </c>
      <c r="Y1107">
        <f>VLOOKUP(A1107,[2]cwurData!$B:$N, 12, FALSE)</f>
        <v>44.53</v>
      </c>
      <c r="Z1107">
        <f>VLOOKUP(A1107,[2]cwurData!$B:$N, 13, FALSE)</f>
        <v>2014</v>
      </c>
    </row>
    <row r="1108" spans="1:26" x14ac:dyDescent="0.3">
      <c r="A1108" t="s">
        <v>1104</v>
      </c>
      <c r="B1108" t="str">
        <f>IFERROR(VLOOKUP(A1108,[1]timesData!$B:$P,2,FALSE),VLOOKUP(A1108,[2]cwurData!$B:$P,2,FALSE))</f>
        <v>Taiwan</v>
      </c>
      <c r="C1108" t="e">
        <f>VLOOKUP(A1108,[1]timesData!$B:$P,3,FALSE)</f>
        <v>#N/A</v>
      </c>
      <c r="D1108" t="e">
        <f>VLOOKUP(A1109,[1]timesData!$B:$P,3,FALSE)</f>
        <v>#N/A</v>
      </c>
      <c r="E1108" t="e">
        <f>VLOOKUP(A1109,[1]timesData!$B:$P,4,FALSE)</f>
        <v>#N/A</v>
      </c>
      <c r="F1108" t="e">
        <f>VLOOKUP(A1109,[1]timesData!$B:$P,5,FALSE)</f>
        <v>#N/A</v>
      </c>
      <c r="G1108" t="e">
        <f>VLOOKUP(A1109,[1]timesData!$B:$P,6,FALSE)</f>
        <v>#N/A</v>
      </c>
      <c r="H1108" t="e">
        <f>VLOOKUP(A1109,[1]timesData!$B:$P,7,FALSE)</f>
        <v>#N/A</v>
      </c>
      <c r="I1108" t="e">
        <f>VLOOKUP(A1109,[1]timesData!$B:$P,8,FALSE)</f>
        <v>#N/A</v>
      </c>
      <c r="J1108" t="e">
        <f>VLOOKUP(A1109,[1]timesData!$B:$P,9,FALSE)</f>
        <v>#N/A</v>
      </c>
      <c r="K1108" t="e">
        <f>VLOOKUP(A1109,[1]timesData!$B:$P,10,FALSE)</f>
        <v>#N/A</v>
      </c>
      <c r="L1108" t="e">
        <f>VLOOKUP(A1109,[1]timesData!$B:$P,11,FALSE)</f>
        <v>#N/A</v>
      </c>
      <c r="M1108" t="e">
        <f>VLOOKUP(A1109,[1]timesData!$B:$P,12,FALSE)</f>
        <v>#N/A</v>
      </c>
      <c r="N1108" t="e">
        <f>VLOOKUP(A1109,[1]timesData!$B:$P,13,FALSE)</f>
        <v>#N/A</v>
      </c>
      <c r="O1108">
        <f>VLOOKUP(A1108,[2]cwurData!$B:$P,14,FALSE)</f>
        <v>798</v>
      </c>
      <c r="P1108">
        <f>VLOOKUP(A1108,[2]cwurData!$B:$N, 3, FALSE)</f>
        <v>12</v>
      </c>
      <c r="Q1108">
        <f>VLOOKUP(A1108,[2]cwurData!$B:$N, 4, FALSE)</f>
        <v>355</v>
      </c>
      <c r="R1108">
        <f>VLOOKUP(A1108,[2]cwurData!$B:$N, 5, FALSE)</f>
        <v>478</v>
      </c>
      <c r="S1108">
        <f>VLOOKUP(A1108,[2]cwurData!$B:$N, 6, FALSE)</f>
        <v>210</v>
      </c>
      <c r="T1108">
        <f>VLOOKUP(A1108,[2]cwurData!$B:$N, 7, FALSE)</f>
        <v>475</v>
      </c>
      <c r="U1108">
        <f>VLOOKUP(A1108,[2]cwurData!$B:$N, 8, FALSE)</f>
        <v>680</v>
      </c>
      <c r="V1108">
        <f>VLOOKUP(A1108,[2]cwurData!$B:$N, 9, FALSE)</f>
        <v>800</v>
      </c>
      <c r="W1108">
        <f>VLOOKUP(A1108,[2]cwurData!$B:$N, 10, FALSE)</f>
        <v>739</v>
      </c>
      <c r="X1108">
        <f>VLOOKUP(A1108,[2]cwurData!$B:$N, 11, FALSE)</f>
        <v>737</v>
      </c>
      <c r="Y1108">
        <f>VLOOKUP(A1108,[2]cwurData!$B:$N, 12, FALSE)</f>
        <v>44.53</v>
      </c>
      <c r="Z1108">
        <f>VLOOKUP(A1108,[2]cwurData!$B:$N, 13, FALSE)</f>
        <v>2014</v>
      </c>
    </row>
    <row r="1109" spans="1:26" x14ac:dyDescent="0.3">
      <c r="A1109" t="s">
        <v>1105</v>
      </c>
      <c r="B1109" t="str">
        <f>IFERROR(VLOOKUP(A1109,[1]timesData!$B:$P,2,FALSE),VLOOKUP(A1109,[2]cwurData!$B:$P,2,FALSE))</f>
        <v>Canada</v>
      </c>
      <c r="C1109" t="e">
        <f>VLOOKUP(A1109,[1]timesData!$B:$P,3,FALSE)</f>
        <v>#N/A</v>
      </c>
      <c r="D1109" t="e">
        <f>VLOOKUP(A1110,[1]timesData!$B:$P,3,FALSE)</f>
        <v>#N/A</v>
      </c>
      <c r="E1109" t="e">
        <f>VLOOKUP(A1110,[1]timesData!$B:$P,4,FALSE)</f>
        <v>#N/A</v>
      </c>
      <c r="F1109" t="e">
        <f>VLOOKUP(A1110,[1]timesData!$B:$P,5,FALSE)</f>
        <v>#N/A</v>
      </c>
      <c r="G1109" t="e">
        <f>VLOOKUP(A1110,[1]timesData!$B:$P,6,FALSE)</f>
        <v>#N/A</v>
      </c>
      <c r="H1109" t="e">
        <f>VLOOKUP(A1110,[1]timesData!$B:$P,7,FALSE)</f>
        <v>#N/A</v>
      </c>
      <c r="I1109" t="e">
        <f>VLOOKUP(A1110,[1]timesData!$B:$P,8,FALSE)</f>
        <v>#N/A</v>
      </c>
      <c r="J1109" t="e">
        <f>VLOOKUP(A1110,[1]timesData!$B:$P,9,FALSE)</f>
        <v>#N/A</v>
      </c>
      <c r="K1109" t="e">
        <f>VLOOKUP(A1110,[1]timesData!$B:$P,10,FALSE)</f>
        <v>#N/A</v>
      </c>
      <c r="L1109" t="e">
        <f>VLOOKUP(A1110,[1]timesData!$B:$P,11,FALSE)</f>
        <v>#N/A</v>
      </c>
      <c r="M1109" t="e">
        <f>VLOOKUP(A1110,[1]timesData!$B:$P,12,FALSE)</f>
        <v>#N/A</v>
      </c>
      <c r="N1109" t="e">
        <f>VLOOKUP(A1110,[1]timesData!$B:$P,13,FALSE)</f>
        <v>#N/A</v>
      </c>
      <c r="O1109">
        <f>VLOOKUP(A1109,[2]cwurData!$B:$P,14,FALSE)</f>
        <v>801</v>
      </c>
      <c r="P1109">
        <f>VLOOKUP(A1109,[2]cwurData!$B:$N, 3, FALSE)</f>
        <v>27</v>
      </c>
      <c r="Q1109">
        <f>VLOOKUP(A1109,[2]cwurData!$B:$N, 4, FALSE)</f>
        <v>355</v>
      </c>
      <c r="R1109">
        <f>VLOOKUP(A1109,[2]cwurData!$B:$N, 5, FALSE)</f>
        <v>240</v>
      </c>
      <c r="S1109">
        <f>VLOOKUP(A1109,[2]cwurData!$B:$N, 6, FALSE)</f>
        <v>210</v>
      </c>
      <c r="T1109">
        <f>VLOOKUP(A1109,[2]cwurData!$B:$N, 7, FALSE)</f>
        <v>987</v>
      </c>
      <c r="U1109">
        <f>VLOOKUP(A1109,[2]cwurData!$B:$N, 8, FALSE)</f>
        <v>920</v>
      </c>
      <c r="V1109">
        <f>VLOOKUP(A1109,[2]cwurData!$B:$N, 9, FALSE)</f>
        <v>800</v>
      </c>
      <c r="W1109">
        <f>VLOOKUP(A1109,[2]cwurData!$B:$N, 10, FALSE)</f>
        <v>948</v>
      </c>
      <c r="X1109">
        <f>VLOOKUP(A1109,[2]cwurData!$B:$N, 11, FALSE)</f>
        <v>737</v>
      </c>
      <c r="Y1109">
        <f>VLOOKUP(A1109,[2]cwurData!$B:$N, 12, FALSE)</f>
        <v>44.53</v>
      </c>
      <c r="Z1109">
        <f>VLOOKUP(A1109,[2]cwurData!$B:$N, 13, FALSE)</f>
        <v>2014</v>
      </c>
    </row>
    <row r="1110" spans="1:26" x14ac:dyDescent="0.3">
      <c r="A1110" t="s">
        <v>1106</v>
      </c>
      <c r="B1110" t="str">
        <f>IFERROR(VLOOKUP(A1110,[1]timesData!$B:$P,2,FALSE),VLOOKUP(A1110,[2]cwurData!$B:$P,2,FALSE))</f>
        <v>Czech Republic</v>
      </c>
      <c r="C1110" t="e">
        <f>VLOOKUP(A1110,[1]timesData!$B:$P,3,FALSE)</f>
        <v>#N/A</v>
      </c>
      <c r="D1110" t="e">
        <f>VLOOKUP(A1111,[1]timesData!$B:$P,3,FALSE)</f>
        <v>#N/A</v>
      </c>
      <c r="E1110" t="e">
        <f>VLOOKUP(A1111,[1]timesData!$B:$P,4,FALSE)</f>
        <v>#N/A</v>
      </c>
      <c r="F1110" t="e">
        <f>VLOOKUP(A1111,[1]timesData!$B:$P,5,FALSE)</f>
        <v>#N/A</v>
      </c>
      <c r="G1110" t="e">
        <f>VLOOKUP(A1111,[1]timesData!$B:$P,6,FALSE)</f>
        <v>#N/A</v>
      </c>
      <c r="H1110" t="e">
        <f>VLOOKUP(A1111,[1]timesData!$B:$P,7,FALSE)</f>
        <v>#N/A</v>
      </c>
      <c r="I1110" t="e">
        <f>VLOOKUP(A1111,[1]timesData!$B:$P,8,FALSE)</f>
        <v>#N/A</v>
      </c>
      <c r="J1110" t="e">
        <f>VLOOKUP(A1111,[1]timesData!$B:$P,9,FALSE)</f>
        <v>#N/A</v>
      </c>
      <c r="K1110" t="e">
        <f>VLOOKUP(A1111,[1]timesData!$B:$P,10,FALSE)</f>
        <v>#N/A</v>
      </c>
      <c r="L1110" t="e">
        <f>VLOOKUP(A1111,[1]timesData!$B:$P,11,FALSE)</f>
        <v>#N/A</v>
      </c>
      <c r="M1110" t="e">
        <f>VLOOKUP(A1111,[1]timesData!$B:$P,12,FALSE)</f>
        <v>#N/A</v>
      </c>
      <c r="N1110" t="e">
        <f>VLOOKUP(A1111,[1]timesData!$B:$P,13,FALSE)</f>
        <v>#N/A</v>
      </c>
      <c r="O1110">
        <f>VLOOKUP(A1110,[2]cwurData!$B:$P,14,FALSE)</f>
        <v>804</v>
      </c>
      <c r="P1110">
        <f>VLOOKUP(A1110,[2]cwurData!$B:$N, 3, FALSE)</f>
        <v>4</v>
      </c>
      <c r="Q1110">
        <f>VLOOKUP(A1110,[2]cwurData!$B:$N, 4, FALSE)</f>
        <v>355</v>
      </c>
      <c r="R1110">
        <f>VLOOKUP(A1110,[2]cwurData!$B:$N, 5, FALSE)</f>
        <v>478</v>
      </c>
      <c r="S1110">
        <f>VLOOKUP(A1110,[2]cwurData!$B:$N, 6, FALSE)</f>
        <v>210</v>
      </c>
      <c r="T1110">
        <f>VLOOKUP(A1110,[2]cwurData!$B:$N, 7, FALSE)</f>
        <v>771</v>
      </c>
      <c r="U1110">
        <f>VLOOKUP(A1110,[2]cwurData!$B:$N, 8, FALSE)</f>
        <v>559</v>
      </c>
      <c r="V1110">
        <f>VLOOKUP(A1110,[2]cwurData!$B:$N, 9, FALSE)</f>
        <v>609</v>
      </c>
      <c r="W1110">
        <f>VLOOKUP(A1110,[2]cwurData!$B:$N, 10, FALSE)</f>
        <v>724</v>
      </c>
      <c r="X1110">
        <f>VLOOKUP(A1110,[2]cwurData!$B:$N, 11, FALSE)</f>
        <v>481</v>
      </c>
      <c r="Y1110">
        <f>VLOOKUP(A1110,[2]cwurData!$B:$N, 12, FALSE)</f>
        <v>44.52</v>
      </c>
      <c r="Z1110">
        <f>VLOOKUP(A1110,[2]cwurData!$B:$N, 13, FALSE)</f>
        <v>2014</v>
      </c>
    </row>
    <row r="1111" spans="1:26" x14ac:dyDescent="0.3">
      <c r="A1111" t="s">
        <v>1107</v>
      </c>
      <c r="B1111" t="str">
        <f>IFERROR(VLOOKUP(A1111,[1]timesData!$B:$P,2,FALSE),VLOOKUP(A1111,[2]cwurData!$B:$P,2,FALSE))</f>
        <v>Turkey</v>
      </c>
      <c r="C1111" t="e">
        <f>VLOOKUP(A1111,[1]timesData!$B:$P,3,FALSE)</f>
        <v>#N/A</v>
      </c>
      <c r="D1111" t="e">
        <f>VLOOKUP(A1112,[1]timesData!$B:$P,3,FALSE)</f>
        <v>#N/A</v>
      </c>
      <c r="E1111" t="e">
        <f>VLOOKUP(A1112,[1]timesData!$B:$P,4,FALSE)</f>
        <v>#N/A</v>
      </c>
      <c r="F1111" t="e">
        <f>VLOOKUP(A1112,[1]timesData!$B:$P,5,FALSE)</f>
        <v>#N/A</v>
      </c>
      <c r="G1111" t="e">
        <f>VLOOKUP(A1112,[1]timesData!$B:$P,6,FALSE)</f>
        <v>#N/A</v>
      </c>
      <c r="H1111" t="e">
        <f>VLOOKUP(A1112,[1]timesData!$B:$P,7,FALSE)</f>
        <v>#N/A</v>
      </c>
      <c r="I1111" t="e">
        <f>VLOOKUP(A1112,[1]timesData!$B:$P,8,FALSE)</f>
        <v>#N/A</v>
      </c>
      <c r="J1111" t="e">
        <f>VLOOKUP(A1112,[1]timesData!$B:$P,9,FALSE)</f>
        <v>#N/A</v>
      </c>
      <c r="K1111" t="e">
        <f>VLOOKUP(A1112,[1]timesData!$B:$P,10,FALSE)</f>
        <v>#N/A</v>
      </c>
      <c r="L1111" t="e">
        <f>VLOOKUP(A1112,[1]timesData!$B:$P,11,FALSE)</f>
        <v>#N/A</v>
      </c>
      <c r="M1111" t="e">
        <f>VLOOKUP(A1112,[1]timesData!$B:$P,12,FALSE)</f>
        <v>#N/A</v>
      </c>
      <c r="N1111" t="e">
        <f>VLOOKUP(A1112,[1]timesData!$B:$P,13,FALSE)</f>
        <v>#N/A</v>
      </c>
      <c r="O1111">
        <f>VLOOKUP(A1111,[2]cwurData!$B:$P,14,FALSE)</f>
        <v>808</v>
      </c>
      <c r="P1111">
        <f>VLOOKUP(A1111,[2]cwurData!$B:$N, 3, FALSE)</f>
        <v>6</v>
      </c>
      <c r="Q1111">
        <f>VLOOKUP(A1111,[2]cwurData!$B:$N, 4, FALSE)</f>
        <v>355</v>
      </c>
      <c r="R1111">
        <f>VLOOKUP(A1111,[2]cwurData!$B:$N, 5, FALSE)</f>
        <v>478</v>
      </c>
      <c r="S1111">
        <f>VLOOKUP(A1111,[2]cwurData!$B:$N, 6, FALSE)</f>
        <v>210</v>
      </c>
      <c r="T1111">
        <f>VLOOKUP(A1111,[2]cwurData!$B:$N, 7, FALSE)</f>
        <v>734</v>
      </c>
      <c r="U1111">
        <f>VLOOKUP(A1111,[2]cwurData!$B:$N, 8, FALSE)</f>
        <v>822</v>
      </c>
      <c r="V1111">
        <f>VLOOKUP(A1111,[2]cwurData!$B:$N, 9, FALSE)</f>
        <v>406</v>
      </c>
      <c r="W1111">
        <f>VLOOKUP(A1111,[2]cwurData!$B:$N, 10, FALSE)</f>
        <v>724</v>
      </c>
      <c r="X1111">
        <f>VLOOKUP(A1111,[2]cwurData!$B:$N, 11, FALSE)</f>
        <v>737</v>
      </c>
      <c r="Y1111">
        <f>VLOOKUP(A1111,[2]cwurData!$B:$N, 12, FALSE)</f>
        <v>44.52</v>
      </c>
      <c r="Z1111">
        <f>VLOOKUP(A1111,[2]cwurData!$B:$N, 13, FALSE)</f>
        <v>2014</v>
      </c>
    </row>
    <row r="1112" spans="1:26" x14ac:dyDescent="0.3">
      <c r="A1112" t="s">
        <v>1108</v>
      </c>
      <c r="B1112" t="str">
        <f>IFERROR(VLOOKUP(A1112,[1]timesData!$B:$P,2,FALSE),VLOOKUP(A1112,[2]cwurData!$B:$P,2,FALSE))</f>
        <v>Italy</v>
      </c>
      <c r="C1112" t="e">
        <f>VLOOKUP(A1112,[1]timesData!$B:$P,3,FALSE)</f>
        <v>#N/A</v>
      </c>
      <c r="D1112" t="e">
        <f>VLOOKUP(A1113,[1]timesData!$B:$P,3,FALSE)</f>
        <v>#N/A</v>
      </c>
      <c r="E1112" t="e">
        <f>VLOOKUP(A1113,[1]timesData!$B:$P,4,FALSE)</f>
        <v>#N/A</v>
      </c>
      <c r="F1112" t="e">
        <f>VLOOKUP(A1113,[1]timesData!$B:$P,5,FALSE)</f>
        <v>#N/A</v>
      </c>
      <c r="G1112" t="e">
        <f>VLOOKUP(A1113,[1]timesData!$B:$P,6,FALSE)</f>
        <v>#N/A</v>
      </c>
      <c r="H1112" t="e">
        <f>VLOOKUP(A1113,[1]timesData!$B:$P,7,FALSE)</f>
        <v>#N/A</v>
      </c>
      <c r="I1112" t="e">
        <f>VLOOKUP(A1113,[1]timesData!$B:$P,8,FALSE)</f>
        <v>#N/A</v>
      </c>
      <c r="J1112" t="e">
        <f>VLOOKUP(A1113,[1]timesData!$B:$P,9,FALSE)</f>
        <v>#N/A</v>
      </c>
      <c r="K1112" t="e">
        <f>VLOOKUP(A1113,[1]timesData!$B:$P,10,FALSE)</f>
        <v>#N/A</v>
      </c>
      <c r="L1112" t="e">
        <f>VLOOKUP(A1113,[1]timesData!$B:$P,11,FALSE)</f>
        <v>#N/A</v>
      </c>
      <c r="M1112" t="e">
        <f>VLOOKUP(A1113,[1]timesData!$B:$P,12,FALSE)</f>
        <v>#N/A</v>
      </c>
      <c r="N1112" t="e">
        <f>VLOOKUP(A1113,[1]timesData!$B:$P,13,FALSE)</f>
        <v>#N/A</v>
      </c>
      <c r="O1112">
        <f>VLOOKUP(A1112,[2]cwurData!$B:$P,14,FALSE)</f>
        <v>810</v>
      </c>
      <c r="P1112">
        <f>VLOOKUP(A1112,[2]cwurData!$B:$N, 3, FALSE)</f>
        <v>43</v>
      </c>
      <c r="Q1112">
        <f>VLOOKUP(A1112,[2]cwurData!$B:$N, 4, FALSE)</f>
        <v>355</v>
      </c>
      <c r="R1112">
        <f>VLOOKUP(A1112,[2]cwurData!$B:$N, 5, FALSE)</f>
        <v>478</v>
      </c>
      <c r="S1112">
        <f>VLOOKUP(A1112,[2]cwurData!$B:$N, 6, FALSE)</f>
        <v>210</v>
      </c>
      <c r="T1112">
        <f>VLOOKUP(A1112,[2]cwurData!$B:$N, 7, FALSE)</f>
        <v>835</v>
      </c>
      <c r="U1112">
        <f>VLOOKUP(A1112,[2]cwurData!$B:$N, 8, FALSE)</f>
        <v>675</v>
      </c>
      <c r="V1112">
        <f>VLOOKUP(A1112,[2]cwurData!$B:$N, 9, FALSE)</f>
        <v>609</v>
      </c>
      <c r="W1112">
        <f>VLOOKUP(A1112,[2]cwurData!$B:$N, 10, FALSE)</f>
        <v>716</v>
      </c>
      <c r="X1112">
        <f>VLOOKUP(A1112,[2]cwurData!$B:$N, 11, FALSE)</f>
        <v>637</v>
      </c>
      <c r="Y1112">
        <f>VLOOKUP(A1112,[2]cwurData!$B:$N, 12, FALSE)</f>
        <v>44.51</v>
      </c>
      <c r="Z1112">
        <f>VLOOKUP(A1112,[2]cwurData!$B:$N, 13, FALSE)</f>
        <v>2014</v>
      </c>
    </row>
    <row r="1113" spans="1:26" x14ac:dyDescent="0.3">
      <c r="A1113" t="s">
        <v>1109</v>
      </c>
      <c r="B1113" t="str">
        <f>IFERROR(VLOOKUP(A1113,[1]timesData!$B:$P,2,FALSE),VLOOKUP(A1113,[2]cwurData!$B:$P,2,FALSE))</f>
        <v>Austria</v>
      </c>
      <c r="C1113" t="e">
        <f>VLOOKUP(A1113,[1]timesData!$B:$P,3,FALSE)</f>
        <v>#N/A</v>
      </c>
      <c r="D1113" t="e">
        <f>VLOOKUP(A1114,[1]timesData!$B:$P,3,FALSE)</f>
        <v>#N/A</v>
      </c>
      <c r="E1113" t="e">
        <f>VLOOKUP(A1114,[1]timesData!$B:$P,4,FALSE)</f>
        <v>#N/A</v>
      </c>
      <c r="F1113" t="e">
        <f>VLOOKUP(A1114,[1]timesData!$B:$P,5,FALSE)</f>
        <v>#N/A</v>
      </c>
      <c r="G1113" t="e">
        <f>VLOOKUP(A1114,[1]timesData!$B:$P,6,FALSE)</f>
        <v>#N/A</v>
      </c>
      <c r="H1113" t="e">
        <f>VLOOKUP(A1114,[1]timesData!$B:$P,7,FALSE)</f>
        <v>#N/A</v>
      </c>
      <c r="I1113" t="e">
        <f>VLOOKUP(A1114,[1]timesData!$B:$P,8,FALSE)</f>
        <v>#N/A</v>
      </c>
      <c r="J1113" t="e">
        <f>VLOOKUP(A1114,[1]timesData!$B:$P,9,FALSE)</f>
        <v>#N/A</v>
      </c>
      <c r="K1113" t="e">
        <f>VLOOKUP(A1114,[1]timesData!$B:$P,10,FALSE)</f>
        <v>#N/A</v>
      </c>
      <c r="L1113" t="e">
        <f>VLOOKUP(A1114,[1]timesData!$B:$P,11,FALSE)</f>
        <v>#N/A</v>
      </c>
      <c r="M1113" t="e">
        <f>VLOOKUP(A1114,[1]timesData!$B:$P,12,FALSE)</f>
        <v>#N/A</v>
      </c>
      <c r="N1113" t="e">
        <f>VLOOKUP(A1114,[1]timesData!$B:$P,13,FALSE)</f>
        <v>#N/A</v>
      </c>
      <c r="O1113">
        <f>VLOOKUP(A1113,[2]cwurData!$B:$P,14,FALSE)</f>
        <v>812</v>
      </c>
      <c r="P1113">
        <f>VLOOKUP(A1113,[2]cwurData!$B:$N, 3, FALSE)</f>
        <v>11</v>
      </c>
      <c r="Q1113">
        <f>VLOOKUP(A1113,[2]cwurData!$B:$N, 4, FALSE)</f>
        <v>355</v>
      </c>
      <c r="R1113">
        <f>VLOOKUP(A1113,[2]cwurData!$B:$N, 5, FALSE)</f>
        <v>367</v>
      </c>
      <c r="S1113">
        <f>VLOOKUP(A1113,[2]cwurData!$B:$N, 6, FALSE)</f>
        <v>210</v>
      </c>
      <c r="T1113">
        <f>VLOOKUP(A1113,[2]cwurData!$B:$N, 7, FALSE)</f>
        <v>970</v>
      </c>
      <c r="U1113">
        <f>VLOOKUP(A1113,[2]cwurData!$B:$N, 8, FALSE)</f>
        <v>703</v>
      </c>
      <c r="V1113">
        <f>VLOOKUP(A1113,[2]cwurData!$B:$N, 9, FALSE)</f>
        <v>800</v>
      </c>
      <c r="W1113">
        <f>VLOOKUP(A1113,[2]cwurData!$B:$N, 10, FALSE)</f>
        <v>783</v>
      </c>
      <c r="X1113">
        <f>VLOOKUP(A1113,[2]cwurData!$B:$N, 11, FALSE)</f>
        <v>737</v>
      </c>
      <c r="Y1113">
        <f>VLOOKUP(A1113,[2]cwurData!$B:$N, 12, FALSE)</f>
        <v>44.51</v>
      </c>
      <c r="Z1113">
        <f>VLOOKUP(A1113,[2]cwurData!$B:$N, 13, FALSE)</f>
        <v>2014</v>
      </c>
    </row>
    <row r="1114" spans="1:26" x14ac:dyDescent="0.3">
      <c r="A1114" t="s">
        <v>1110</v>
      </c>
      <c r="B1114" t="str">
        <f>IFERROR(VLOOKUP(A1114,[1]timesData!$B:$P,2,FALSE),VLOOKUP(A1114,[2]cwurData!$B:$P,2,FALSE))</f>
        <v>USA</v>
      </c>
      <c r="C1114" t="e">
        <f>VLOOKUP(A1114,[1]timesData!$B:$P,3,FALSE)</f>
        <v>#N/A</v>
      </c>
      <c r="D1114" t="e">
        <f>VLOOKUP(A1115,[1]timesData!$B:$P,3,FALSE)</f>
        <v>#N/A</v>
      </c>
      <c r="E1114" t="e">
        <f>VLOOKUP(A1115,[1]timesData!$B:$P,4,FALSE)</f>
        <v>#N/A</v>
      </c>
      <c r="F1114" t="e">
        <f>VLOOKUP(A1115,[1]timesData!$B:$P,5,FALSE)</f>
        <v>#N/A</v>
      </c>
      <c r="G1114" t="e">
        <f>VLOOKUP(A1115,[1]timesData!$B:$P,6,FALSE)</f>
        <v>#N/A</v>
      </c>
      <c r="H1114" t="e">
        <f>VLOOKUP(A1115,[1]timesData!$B:$P,7,FALSE)</f>
        <v>#N/A</v>
      </c>
      <c r="I1114" t="e">
        <f>VLOOKUP(A1115,[1]timesData!$B:$P,8,FALSE)</f>
        <v>#N/A</v>
      </c>
      <c r="J1114" t="e">
        <f>VLOOKUP(A1115,[1]timesData!$B:$P,9,FALSE)</f>
        <v>#N/A</v>
      </c>
      <c r="K1114" t="e">
        <f>VLOOKUP(A1115,[1]timesData!$B:$P,10,FALSE)</f>
        <v>#N/A</v>
      </c>
      <c r="L1114" t="e">
        <f>VLOOKUP(A1115,[1]timesData!$B:$P,11,FALSE)</f>
        <v>#N/A</v>
      </c>
      <c r="M1114" t="e">
        <f>VLOOKUP(A1115,[1]timesData!$B:$P,12,FALSE)</f>
        <v>#N/A</v>
      </c>
      <c r="N1114" t="e">
        <f>VLOOKUP(A1115,[1]timesData!$B:$P,13,FALSE)</f>
        <v>#N/A</v>
      </c>
      <c r="O1114">
        <f>VLOOKUP(A1114,[2]cwurData!$B:$P,14,FALSE)</f>
        <v>813</v>
      </c>
      <c r="P1114">
        <f>VLOOKUP(A1114,[2]cwurData!$B:$N, 3, FALSE)</f>
        <v>217</v>
      </c>
      <c r="Q1114">
        <f>VLOOKUP(A1114,[2]cwurData!$B:$N, 4, FALSE)</f>
        <v>355</v>
      </c>
      <c r="R1114">
        <f>VLOOKUP(A1114,[2]cwurData!$B:$N, 5, FALSE)</f>
        <v>478</v>
      </c>
      <c r="S1114">
        <f>VLOOKUP(A1114,[2]cwurData!$B:$N, 6, FALSE)</f>
        <v>210</v>
      </c>
      <c r="T1114">
        <f>VLOOKUP(A1114,[2]cwurData!$B:$N, 7, FALSE)</f>
        <v>926</v>
      </c>
      <c r="U1114">
        <f>VLOOKUP(A1114,[2]cwurData!$B:$N, 8, FALSE)</f>
        <v>928</v>
      </c>
      <c r="V1114">
        <f>VLOOKUP(A1114,[2]cwurData!$B:$N, 9, FALSE)</f>
        <v>406</v>
      </c>
      <c r="W1114">
        <f>VLOOKUP(A1114,[2]cwurData!$B:$N, 10, FALSE)</f>
        <v>874</v>
      </c>
      <c r="X1114">
        <f>VLOOKUP(A1114,[2]cwurData!$B:$N, 11, FALSE)</f>
        <v>227</v>
      </c>
      <c r="Y1114">
        <f>VLOOKUP(A1114,[2]cwurData!$B:$N, 12, FALSE)</f>
        <v>44.51</v>
      </c>
      <c r="Z1114">
        <f>VLOOKUP(A1114,[2]cwurData!$B:$N, 13, FALSE)</f>
        <v>2014</v>
      </c>
    </row>
    <row r="1115" spans="1:26" x14ac:dyDescent="0.3">
      <c r="A1115" t="s">
        <v>1111</v>
      </c>
      <c r="B1115" t="str">
        <f>IFERROR(VLOOKUP(A1115,[1]timesData!$B:$P,2,FALSE),VLOOKUP(A1115,[2]cwurData!$B:$P,2,FALSE))</f>
        <v>Spain</v>
      </c>
      <c r="C1115" t="e">
        <f>VLOOKUP(A1115,[1]timesData!$B:$P,3,FALSE)</f>
        <v>#N/A</v>
      </c>
      <c r="D1115" t="e">
        <f>VLOOKUP(A1116,[1]timesData!$B:$P,3,FALSE)</f>
        <v>#N/A</v>
      </c>
      <c r="E1115" t="e">
        <f>VLOOKUP(A1116,[1]timesData!$B:$P,4,FALSE)</f>
        <v>#N/A</v>
      </c>
      <c r="F1115" t="e">
        <f>VLOOKUP(A1116,[1]timesData!$B:$P,5,FALSE)</f>
        <v>#N/A</v>
      </c>
      <c r="G1115" t="e">
        <f>VLOOKUP(A1116,[1]timesData!$B:$P,6,FALSE)</f>
        <v>#N/A</v>
      </c>
      <c r="H1115" t="e">
        <f>VLOOKUP(A1116,[1]timesData!$B:$P,7,FALSE)</f>
        <v>#N/A</v>
      </c>
      <c r="I1115" t="e">
        <f>VLOOKUP(A1116,[1]timesData!$B:$P,8,FALSE)</f>
        <v>#N/A</v>
      </c>
      <c r="J1115" t="e">
        <f>VLOOKUP(A1116,[1]timesData!$B:$P,9,FALSE)</f>
        <v>#N/A</v>
      </c>
      <c r="K1115" t="e">
        <f>VLOOKUP(A1116,[1]timesData!$B:$P,10,FALSE)</f>
        <v>#N/A</v>
      </c>
      <c r="L1115" t="e">
        <f>VLOOKUP(A1116,[1]timesData!$B:$P,11,FALSE)</f>
        <v>#N/A</v>
      </c>
      <c r="M1115" t="e">
        <f>VLOOKUP(A1116,[1]timesData!$B:$P,12,FALSE)</f>
        <v>#N/A</v>
      </c>
      <c r="N1115" t="e">
        <f>VLOOKUP(A1116,[1]timesData!$B:$P,13,FALSE)</f>
        <v>#N/A</v>
      </c>
      <c r="O1115">
        <f>VLOOKUP(A1115,[2]cwurData!$B:$P,14,FALSE)</f>
        <v>814</v>
      </c>
      <c r="P1115">
        <f>VLOOKUP(A1115,[2]cwurData!$B:$N, 3, FALSE)</f>
        <v>31</v>
      </c>
      <c r="Q1115">
        <f>VLOOKUP(A1115,[2]cwurData!$B:$N, 4, FALSE)</f>
        <v>355</v>
      </c>
      <c r="R1115">
        <f>VLOOKUP(A1115,[2]cwurData!$B:$N, 5, FALSE)</f>
        <v>478</v>
      </c>
      <c r="S1115">
        <f>VLOOKUP(A1115,[2]cwurData!$B:$N, 6, FALSE)</f>
        <v>210</v>
      </c>
      <c r="T1115">
        <f>VLOOKUP(A1115,[2]cwurData!$B:$N, 7, FALSE)</f>
        <v>806</v>
      </c>
      <c r="U1115">
        <f>VLOOKUP(A1115,[2]cwurData!$B:$N, 8, FALSE)</f>
        <v>948</v>
      </c>
      <c r="V1115">
        <f>VLOOKUP(A1115,[2]cwurData!$B:$N, 9, FALSE)</f>
        <v>609</v>
      </c>
      <c r="W1115">
        <f>VLOOKUP(A1115,[2]cwurData!$B:$N, 10, FALSE)</f>
        <v>739</v>
      </c>
      <c r="X1115">
        <f>VLOOKUP(A1115,[2]cwurData!$B:$N, 11, FALSE)</f>
        <v>481</v>
      </c>
      <c r="Y1115">
        <f>VLOOKUP(A1115,[2]cwurData!$B:$N, 12, FALSE)</f>
        <v>44.5</v>
      </c>
      <c r="Z1115">
        <f>VLOOKUP(A1115,[2]cwurData!$B:$N, 13, FALSE)</f>
        <v>2014</v>
      </c>
    </row>
    <row r="1116" spans="1:26" x14ac:dyDescent="0.3">
      <c r="A1116" t="s">
        <v>1112</v>
      </c>
      <c r="B1116" t="str">
        <f>IFERROR(VLOOKUP(A1116,[1]timesData!$B:$P,2,FALSE),VLOOKUP(A1116,[2]cwurData!$B:$P,2,FALSE))</f>
        <v>China</v>
      </c>
      <c r="C1116" t="e">
        <f>VLOOKUP(A1116,[1]timesData!$B:$P,3,FALSE)</f>
        <v>#N/A</v>
      </c>
      <c r="D1116" t="e">
        <f>VLOOKUP(A1117,[1]timesData!$B:$P,3,FALSE)</f>
        <v>#N/A</v>
      </c>
      <c r="E1116" t="e">
        <f>VLOOKUP(A1117,[1]timesData!$B:$P,4,FALSE)</f>
        <v>#N/A</v>
      </c>
      <c r="F1116" t="e">
        <f>VLOOKUP(A1117,[1]timesData!$B:$P,5,FALSE)</f>
        <v>#N/A</v>
      </c>
      <c r="G1116" t="e">
        <f>VLOOKUP(A1117,[1]timesData!$B:$P,6,FALSE)</f>
        <v>#N/A</v>
      </c>
      <c r="H1116" t="e">
        <f>VLOOKUP(A1117,[1]timesData!$B:$P,7,FALSE)</f>
        <v>#N/A</v>
      </c>
      <c r="I1116" t="e">
        <f>VLOOKUP(A1117,[1]timesData!$B:$P,8,FALSE)</f>
        <v>#N/A</v>
      </c>
      <c r="J1116" t="e">
        <f>VLOOKUP(A1117,[1]timesData!$B:$P,9,FALSE)</f>
        <v>#N/A</v>
      </c>
      <c r="K1116" t="e">
        <f>VLOOKUP(A1117,[1]timesData!$B:$P,10,FALSE)</f>
        <v>#N/A</v>
      </c>
      <c r="L1116" t="e">
        <f>VLOOKUP(A1117,[1]timesData!$B:$P,11,FALSE)</f>
        <v>#N/A</v>
      </c>
      <c r="M1116" t="e">
        <f>VLOOKUP(A1117,[1]timesData!$B:$P,12,FALSE)</f>
        <v>#N/A</v>
      </c>
      <c r="N1116" t="e">
        <f>VLOOKUP(A1117,[1]timesData!$B:$P,13,FALSE)</f>
        <v>#N/A</v>
      </c>
      <c r="O1116">
        <f>VLOOKUP(A1116,[2]cwurData!$B:$P,14,FALSE)</f>
        <v>818</v>
      </c>
      <c r="P1116">
        <f>VLOOKUP(A1116,[2]cwurData!$B:$N, 3, FALSE)</f>
        <v>46</v>
      </c>
      <c r="Q1116">
        <f>VLOOKUP(A1116,[2]cwurData!$B:$N, 4, FALSE)</f>
        <v>355</v>
      </c>
      <c r="R1116">
        <f>VLOOKUP(A1116,[2]cwurData!$B:$N, 5, FALSE)</f>
        <v>463</v>
      </c>
      <c r="S1116">
        <f>VLOOKUP(A1116,[2]cwurData!$B:$N, 6, FALSE)</f>
        <v>210</v>
      </c>
      <c r="T1116">
        <f>VLOOKUP(A1116,[2]cwurData!$B:$N, 7, FALSE)</f>
        <v>725</v>
      </c>
      <c r="U1116">
        <f>VLOOKUP(A1116,[2]cwurData!$B:$N, 8, FALSE)</f>
        <v>778</v>
      </c>
      <c r="V1116">
        <f>VLOOKUP(A1116,[2]cwurData!$B:$N, 9, FALSE)</f>
        <v>800</v>
      </c>
      <c r="W1116">
        <f>VLOOKUP(A1116,[2]cwurData!$B:$N, 10, FALSE)</f>
        <v>783</v>
      </c>
      <c r="X1116">
        <f>VLOOKUP(A1116,[2]cwurData!$B:$N, 11, FALSE)</f>
        <v>637</v>
      </c>
      <c r="Y1116">
        <f>VLOOKUP(A1116,[2]cwurData!$B:$N, 12, FALSE)</f>
        <v>44.49</v>
      </c>
      <c r="Z1116">
        <f>VLOOKUP(A1116,[2]cwurData!$B:$N, 13, FALSE)</f>
        <v>2014</v>
      </c>
    </row>
    <row r="1117" spans="1:26" x14ac:dyDescent="0.3">
      <c r="A1117" t="s">
        <v>1113</v>
      </c>
      <c r="B1117" t="str">
        <f>IFERROR(VLOOKUP(A1117,[1]timesData!$B:$P,2,FALSE),VLOOKUP(A1117,[2]cwurData!$B:$P,2,FALSE))</f>
        <v>South Korea</v>
      </c>
      <c r="C1117" t="e">
        <f>VLOOKUP(A1117,[1]timesData!$B:$P,3,FALSE)</f>
        <v>#N/A</v>
      </c>
      <c r="D1117" t="e">
        <f>VLOOKUP(A1118,[1]timesData!$B:$P,3,FALSE)</f>
        <v>#N/A</v>
      </c>
      <c r="E1117" t="e">
        <f>VLOOKUP(A1118,[1]timesData!$B:$P,4,FALSE)</f>
        <v>#N/A</v>
      </c>
      <c r="F1117" t="e">
        <f>VLOOKUP(A1118,[1]timesData!$B:$P,5,FALSE)</f>
        <v>#N/A</v>
      </c>
      <c r="G1117" t="e">
        <f>VLOOKUP(A1118,[1]timesData!$B:$P,6,FALSE)</f>
        <v>#N/A</v>
      </c>
      <c r="H1117" t="e">
        <f>VLOOKUP(A1118,[1]timesData!$B:$P,7,FALSE)</f>
        <v>#N/A</v>
      </c>
      <c r="I1117" t="e">
        <f>VLOOKUP(A1118,[1]timesData!$B:$P,8,FALSE)</f>
        <v>#N/A</v>
      </c>
      <c r="J1117" t="e">
        <f>VLOOKUP(A1118,[1]timesData!$B:$P,9,FALSE)</f>
        <v>#N/A</v>
      </c>
      <c r="K1117" t="e">
        <f>VLOOKUP(A1118,[1]timesData!$B:$P,10,FALSE)</f>
        <v>#N/A</v>
      </c>
      <c r="L1117" t="e">
        <f>VLOOKUP(A1118,[1]timesData!$B:$P,11,FALSE)</f>
        <v>#N/A</v>
      </c>
      <c r="M1117" t="e">
        <f>VLOOKUP(A1118,[1]timesData!$B:$P,12,FALSE)</f>
        <v>#N/A</v>
      </c>
      <c r="N1117" t="e">
        <f>VLOOKUP(A1118,[1]timesData!$B:$P,13,FALSE)</f>
        <v>#N/A</v>
      </c>
      <c r="O1117">
        <f>VLOOKUP(A1117,[2]cwurData!$B:$P,14,FALSE)</f>
        <v>821</v>
      </c>
      <c r="P1117">
        <f>VLOOKUP(A1117,[2]cwurData!$B:$N, 3, FALSE)</f>
        <v>27</v>
      </c>
      <c r="Q1117">
        <f>VLOOKUP(A1117,[2]cwurData!$B:$N, 4, FALSE)</f>
        <v>355</v>
      </c>
      <c r="R1117">
        <f>VLOOKUP(A1117,[2]cwurData!$B:$N, 5, FALSE)</f>
        <v>478</v>
      </c>
      <c r="S1117">
        <f>VLOOKUP(A1117,[2]cwurData!$B:$N, 6, FALSE)</f>
        <v>210</v>
      </c>
      <c r="T1117">
        <f>VLOOKUP(A1117,[2]cwurData!$B:$N, 7, FALSE)</f>
        <v>707</v>
      </c>
      <c r="U1117">
        <f>VLOOKUP(A1117,[2]cwurData!$B:$N, 8, FALSE)</f>
        <v>850</v>
      </c>
      <c r="V1117">
        <f>VLOOKUP(A1117,[2]cwurData!$B:$N, 9, FALSE)</f>
        <v>609</v>
      </c>
      <c r="W1117">
        <f>VLOOKUP(A1117,[2]cwurData!$B:$N, 10, FALSE)</f>
        <v>800</v>
      </c>
      <c r="X1117">
        <f>VLOOKUP(A1117,[2]cwurData!$B:$N, 11, FALSE)</f>
        <v>338</v>
      </c>
      <c r="Y1117">
        <f>VLOOKUP(A1117,[2]cwurData!$B:$N, 12, FALSE)</f>
        <v>44.49</v>
      </c>
      <c r="Z1117">
        <f>VLOOKUP(A1117,[2]cwurData!$B:$N, 13, FALSE)</f>
        <v>2014</v>
      </c>
    </row>
    <row r="1118" spans="1:26" x14ac:dyDescent="0.3">
      <c r="A1118" t="s">
        <v>1114</v>
      </c>
      <c r="B1118" t="str">
        <f>IFERROR(VLOOKUP(A1118,[1]timesData!$B:$P,2,FALSE),VLOOKUP(A1118,[2]cwurData!$B:$P,2,FALSE))</f>
        <v>United Kingdom</v>
      </c>
      <c r="C1118" t="e">
        <f>VLOOKUP(A1118,[1]timesData!$B:$P,3,FALSE)</f>
        <v>#N/A</v>
      </c>
      <c r="D1118" t="e">
        <f>VLOOKUP(A1119,[1]timesData!$B:$P,3,FALSE)</f>
        <v>#N/A</v>
      </c>
      <c r="E1118" t="e">
        <f>VLOOKUP(A1119,[1]timesData!$B:$P,4,FALSE)</f>
        <v>#N/A</v>
      </c>
      <c r="F1118" t="e">
        <f>VLOOKUP(A1119,[1]timesData!$B:$P,5,FALSE)</f>
        <v>#N/A</v>
      </c>
      <c r="G1118" t="e">
        <f>VLOOKUP(A1119,[1]timesData!$B:$P,6,FALSE)</f>
        <v>#N/A</v>
      </c>
      <c r="H1118" t="e">
        <f>VLOOKUP(A1119,[1]timesData!$B:$P,7,FALSE)</f>
        <v>#N/A</v>
      </c>
      <c r="I1118" t="e">
        <f>VLOOKUP(A1119,[1]timesData!$B:$P,8,FALSE)</f>
        <v>#N/A</v>
      </c>
      <c r="J1118" t="e">
        <f>VLOOKUP(A1119,[1]timesData!$B:$P,9,FALSE)</f>
        <v>#N/A</v>
      </c>
      <c r="K1118" t="e">
        <f>VLOOKUP(A1119,[1]timesData!$B:$P,10,FALSE)</f>
        <v>#N/A</v>
      </c>
      <c r="L1118" t="e">
        <f>VLOOKUP(A1119,[1]timesData!$B:$P,11,FALSE)</f>
        <v>#N/A</v>
      </c>
      <c r="M1118" t="e">
        <f>VLOOKUP(A1119,[1]timesData!$B:$P,12,FALSE)</f>
        <v>#N/A</v>
      </c>
      <c r="N1118" t="e">
        <f>VLOOKUP(A1119,[1]timesData!$B:$P,13,FALSE)</f>
        <v>#N/A</v>
      </c>
      <c r="O1118">
        <f>VLOOKUP(A1118,[2]cwurData!$B:$P,14,FALSE)</f>
        <v>822</v>
      </c>
      <c r="P1118">
        <f>VLOOKUP(A1118,[2]cwurData!$B:$N, 3, FALSE)</f>
        <v>62</v>
      </c>
      <c r="Q1118">
        <f>VLOOKUP(A1118,[2]cwurData!$B:$N, 4, FALSE)</f>
        <v>205</v>
      </c>
      <c r="R1118">
        <f>VLOOKUP(A1118,[2]cwurData!$B:$N, 5, FALSE)</f>
        <v>478</v>
      </c>
      <c r="S1118">
        <f>VLOOKUP(A1118,[2]cwurData!$B:$N, 6, FALSE)</f>
        <v>210</v>
      </c>
      <c r="T1118">
        <f>VLOOKUP(A1118,[2]cwurData!$B:$N, 7, FALSE)</f>
        <v>827</v>
      </c>
      <c r="U1118">
        <f>VLOOKUP(A1118,[2]cwurData!$B:$N, 8, FALSE)</f>
        <v>551</v>
      </c>
      <c r="V1118">
        <f>VLOOKUP(A1118,[2]cwurData!$B:$N, 9, FALSE)</f>
        <v>493</v>
      </c>
      <c r="W1118">
        <f>VLOOKUP(A1118,[2]cwurData!$B:$N, 10, FALSE)</f>
        <v>819</v>
      </c>
      <c r="X1118">
        <f>VLOOKUP(A1118,[2]cwurData!$B:$N, 11, FALSE)</f>
        <v>737</v>
      </c>
      <c r="Y1118">
        <f>VLOOKUP(A1118,[2]cwurData!$B:$N, 12, FALSE)</f>
        <v>44.49</v>
      </c>
      <c r="Z1118">
        <f>VLOOKUP(A1118,[2]cwurData!$B:$N, 13, FALSE)</f>
        <v>2014</v>
      </c>
    </row>
    <row r="1119" spans="1:26" x14ac:dyDescent="0.3">
      <c r="A1119" t="s">
        <v>1115</v>
      </c>
      <c r="B1119" t="str">
        <f>IFERROR(VLOOKUP(A1119,[1]timesData!$B:$P,2,FALSE),VLOOKUP(A1119,[2]cwurData!$B:$P,2,FALSE))</f>
        <v>USA</v>
      </c>
      <c r="C1119" t="e">
        <f>VLOOKUP(A1119,[1]timesData!$B:$P,3,FALSE)</f>
        <v>#N/A</v>
      </c>
      <c r="D1119" t="e">
        <f>VLOOKUP(A1120,[1]timesData!$B:$P,3,FALSE)</f>
        <v>#N/A</v>
      </c>
      <c r="E1119" t="e">
        <f>VLOOKUP(A1120,[1]timesData!$B:$P,4,FALSE)</f>
        <v>#N/A</v>
      </c>
      <c r="F1119" t="e">
        <f>VLOOKUP(A1120,[1]timesData!$B:$P,5,FALSE)</f>
        <v>#N/A</v>
      </c>
      <c r="G1119" t="e">
        <f>VLOOKUP(A1120,[1]timesData!$B:$P,6,FALSE)</f>
        <v>#N/A</v>
      </c>
      <c r="H1119" t="e">
        <f>VLOOKUP(A1120,[1]timesData!$B:$P,7,FALSE)</f>
        <v>#N/A</v>
      </c>
      <c r="I1119" t="e">
        <f>VLOOKUP(A1120,[1]timesData!$B:$P,8,FALSE)</f>
        <v>#N/A</v>
      </c>
      <c r="J1119" t="e">
        <f>VLOOKUP(A1120,[1]timesData!$B:$P,9,FALSE)</f>
        <v>#N/A</v>
      </c>
      <c r="K1119" t="e">
        <f>VLOOKUP(A1120,[1]timesData!$B:$P,10,FALSE)</f>
        <v>#N/A</v>
      </c>
      <c r="L1119" t="e">
        <f>VLOOKUP(A1120,[1]timesData!$B:$P,11,FALSE)</f>
        <v>#N/A</v>
      </c>
      <c r="M1119" t="e">
        <f>VLOOKUP(A1120,[1]timesData!$B:$P,12,FALSE)</f>
        <v>#N/A</v>
      </c>
      <c r="N1119" t="e">
        <f>VLOOKUP(A1120,[1]timesData!$B:$P,13,FALSE)</f>
        <v>#N/A</v>
      </c>
      <c r="O1119">
        <f>VLOOKUP(A1119,[2]cwurData!$B:$P,14,FALSE)</f>
        <v>823</v>
      </c>
      <c r="P1119">
        <f>VLOOKUP(A1119,[2]cwurData!$B:$N, 3, FALSE)</f>
        <v>218</v>
      </c>
      <c r="Q1119">
        <f>VLOOKUP(A1119,[2]cwurData!$B:$N, 4, FALSE)</f>
        <v>355</v>
      </c>
      <c r="R1119">
        <f>VLOOKUP(A1119,[2]cwurData!$B:$N, 5, FALSE)</f>
        <v>478</v>
      </c>
      <c r="S1119">
        <f>VLOOKUP(A1119,[2]cwurData!$B:$N, 6, FALSE)</f>
        <v>210</v>
      </c>
      <c r="T1119">
        <f>VLOOKUP(A1119,[2]cwurData!$B:$N, 7, FALSE)</f>
        <v>794</v>
      </c>
      <c r="U1119">
        <f>VLOOKUP(A1119,[2]cwurData!$B:$N, 8, FALSE)</f>
        <v>845</v>
      </c>
      <c r="V1119">
        <f>VLOOKUP(A1119,[2]cwurData!$B:$N, 9, FALSE)</f>
        <v>800</v>
      </c>
      <c r="W1119">
        <f>VLOOKUP(A1119,[2]cwurData!$B:$N, 10, FALSE)</f>
        <v>739</v>
      </c>
      <c r="X1119">
        <f>VLOOKUP(A1119,[2]cwurData!$B:$N, 11, FALSE)</f>
        <v>737</v>
      </c>
      <c r="Y1119">
        <f>VLOOKUP(A1119,[2]cwurData!$B:$N, 12, FALSE)</f>
        <v>44.49</v>
      </c>
      <c r="Z1119">
        <f>VLOOKUP(A1119,[2]cwurData!$B:$N, 13, FALSE)</f>
        <v>2014</v>
      </c>
    </row>
    <row r="1120" spans="1:26" x14ac:dyDescent="0.3">
      <c r="A1120" t="s">
        <v>1116</v>
      </c>
      <c r="B1120" t="str">
        <f>IFERROR(VLOOKUP(A1120,[1]timesData!$B:$P,2,FALSE),VLOOKUP(A1120,[2]cwurData!$B:$P,2,FALSE))</f>
        <v>Bulgaria</v>
      </c>
      <c r="C1120" t="e">
        <f>VLOOKUP(A1120,[1]timesData!$B:$P,3,FALSE)</f>
        <v>#N/A</v>
      </c>
      <c r="D1120" t="e">
        <f>VLOOKUP(A1121,[1]timesData!$B:$P,3,FALSE)</f>
        <v>#N/A</v>
      </c>
      <c r="E1120" t="e">
        <f>VLOOKUP(A1121,[1]timesData!$B:$P,4,FALSE)</f>
        <v>#N/A</v>
      </c>
      <c r="F1120" t="e">
        <f>VLOOKUP(A1121,[1]timesData!$B:$P,5,FALSE)</f>
        <v>#N/A</v>
      </c>
      <c r="G1120" t="e">
        <f>VLOOKUP(A1121,[1]timesData!$B:$P,6,FALSE)</f>
        <v>#N/A</v>
      </c>
      <c r="H1120" t="e">
        <f>VLOOKUP(A1121,[1]timesData!$B:$P,7,FALSE)</f>
        <v>#N/A</v>
      </c>
      <c r="I1120" t="e">
        <f>VLOOKUP(A1121,[1]timesData!$B:$P,8,FALSE)</f>
        <v>#N/A</v>
      </c>
      <c r="J1120" t="e">
        <f>VLOOKUP(A1121,[1]timesData!$B:$P,9,FALSE)</f>
        <v>#N/A</v>
      </c>
      <c r="K1120" t="e">
        <f>VLOOKUP(A1121,[1]timesData!$B:$P,10,FALSE)</f>
        <v>#N/A</v>
      </c>
      <c r="L1120" t="e">
        <f>VLOOKUP(A1121,[1]timesData!$B:$P,11,FALSE)</f>
        <v>#N/A</v>
      </c>
      <c r="M1120" t="e">
        <f>VLOOKUP(A1121,[1]timesData!$B:$P,12,FALSE)</f>
        <v>#N/A</v>
      </c>
      <c r="N1120" t="e">
        <f>VLOOKUP(A1121,[1]timesData!$B:$P,13,FALSE)</f>
        <v>#N/A</v>
      </c>
      <c r="O1120">
        <f>VLOOKUP(A1120,[2]cwurData!$B:$P,14,FALSE)</f>
        <v>826</v>
      </c>
      <c r="P1120">
        <f>VLOOKUP(A1120,[2]cwurData!$B:$N, 3, FALSE)</f>
        <v>1</v>
      </c>
      <c r="Q1120">
        <f>VLOOKUP(A1120,[2]cwurData!$B:$N, 4, FALSE)</f>
        <v>234</v>
      </c>
      <c r="R1120">
        <f>VLOOKUP(A1120,[2]cwurData!$B:$N, 5, FALSE)</f>
        <v>478</v>
      </c>
      <c r="S1120">
        <f>VLOOKUP(A1120,[2]cwurData!$B:$N, 6, FALSE)</f>
        <v>210</v>
      </c>
      <c r="T1120">
        <f>VLOOKUP(A1120,[2]cwurData!$B:$N, 7, FALSE)</f>
        <v>798</v>
      </c>
      <c r="U1120">
        <f>VLOOKUP(A1120,[2]cwurData!$B:$N, 8, FALSE)</f>
        <v>874</v>
      </c>
      <c r="V1120">
        <f>VLOOKUP(A1120,[2]cwurData!$B:$N, 9, FALSE)</f>
        <v>406</v>
      </c>
      <c r="W1120">
        <f>VLOOKUP(A1120,[2]cwurData!$B:$N, 10, FALSE)</f>
        <v>819</v>
      </c>
      <c r="X1120">
        <f>VLOOKUP(A1120,[2]cwurData!$B:$N, 11, FALSE)</f>
        <v>737</v>
      </c>
      <c r="Y1120">
        <f>VLOOKUP(A1120,[2]cwurData!$B:$N, 12, FALSE)</f>
        <v>44.48</v>
      </c>
      <c r="Z1120">
        <f>VLOOKUP(A1120,[2]cwurData!$B:$N, 13, FALSE)</f>
        <v>2014</v>
      </c>
    </row>
    <row r="1121" spans="1:26" x14ac:dyDescent="0.3">
      <c r="A1121" t="s">
        <v>1117</v>
      </c>
      <c r="B1121" t="str">
        <f>IFERROR(VLOOKUP(A1121,[1]timesData!$B:$P,2,FALSE),VLOOKUP(A1121,[2]cwurData!$B:$P,2,FALSE))</f>
        <v>Italy</v>
      </c>
      <c r="C1121" t="e">
        <f>VLOOKUP(A1121,[1]timesData!$B:$P,3,FALSE)</f>
        <v>#N/A</v>
      </c>
      <c r="D1121" t="e">
        <f>VLOOKUP(A1122,[1]timesData!$B:$P,3,FALSE)</f>
        <v>#N/A</v>
      </c>
      <c r="E1121" t="e">
        <f>VLOOKUP(A1122,[1]timesData!$B:$P,4,FALSE)</f>
        <v>#N/A</v>
      </c>
      <c r="F1121" t="e">
        <f>VLOOKUP(A1122,[1]timesData!$B:$P,5,FALSE)</f>
        <v>#N/A</v>
      </c>
      <c r="G1121" t="e">
        <f>VLOOKUP(A1122,[1]timesData!$B:$P,6,FALSE)</f>
        <v>#N/A</v>
      </c>
      <c r="H1121" t="e">
        <f>VLOOKUP(A1122,[1]timesData!$B:$P,7,FALSE)</f>
        <v>#N/A</v>
      </c>
      <c r="I1121" t="e">
        <f>VLOOKUP(A1122,[1]timesData!$B:$P,8,FALSE)</f>
        <v>#N/A</v>
      </c>
      <c r="J1121" t="e">
        <f>VLOOKUP(A1122,[1]timesData!$B:$P,9,FALSE)</f>
        <v>#N/A</v>
      </c>
      <c r="K1121" t="e">
        <f>VLOOKUP(A1122,[1]timesData!$B:$P,10,FALSE)</f>
        <v>#N/A</v>
      </c>
      <c r="L1121" t="e">
        <f>VLOOKUP(A1122,[1]timesData!$B:$P,11,FALSE)</f>
        <v>#N/A</v>
      </c>
      <c r="M1121" t="e">
        <f>VLOOKUP(A1122,[1]timesData!$B:$P,12,FALSE)</f>
        <v>#N/A</v>
      </c>
      <c r="N1121" t="e">
        <f>VLOOKUP(A1122,[1]timesData!$B:$P,13,FALSE)</f>
        <v>#N/A</v>
      </c>
      <c r="O1121">
        <f>VLOOKUP(A1121,[2]cwurData!$B:$P,14,FALSE)</f>
        <v>828</v>
      </c>
      <c r="P1121">
        <f>VLOOKUP(A1121,[2]cwurData!$B:$N, 3, FALSE)</f>
        <v>44</v>
      </c>
      <c r="Q1121">
        <f>VLOOKUP(A1121,[2]cwurData!$B:$N, 4, FALSE)</f>
        <v>355</v>
      </c>
      <c r="R1121">
        <f>VLOOKUP(A1121,[2]cwurData!$B:$N, 5, FALSE)</f>
        <v>478</v>
      </c>
      <c r="S1121">
        <f>VLOOKUP(A1121,[2]cwurData!$B:$N, 6, FALSE)</f>
        <v>210</v>
      </c>
      <c r="T1121">
        <f>VLOOKUP(A1121,[2]cwurData!$B:$N, 7, FALSE)</f>
        <v>939</v>
      </c>
      <c r="U1121">
        <f>VLOOKUP(A1121,[2]cwurData!$B:$N, 8, FALSE)</f>
        <v>781</v>
      </c>
      <c r="V1121">
        <f>VLOOKUP(A1121,[2]cwurData!$B:$N, 9, FALSE)</f>
        <v>800</v>
      </c>
      <c r="W1121">
        <f>VLOOKUP(A1121,[2]cwurData!$B:$N, 10, FALSE)</f>
        <v>749</v>
      </c>
      <c r="X1121">
        <f>VLOOKUP(A1121,[2]cwurData!$B:$N, 11, FALSE)</f>
        <v>552</v>
      </c>
      <c r="Y1121">
        <f>VLOOKUP(A1121,[2]cwurData!$B:$N, 12, FALSE)</f>
        <v>44.48</v>
      </c>
      <c r="Z1121">
        <f>VLOOKUP(A1121,[2]cwurData!$B:$N, 13, FALSE)</f>
        <v>2014</v>
      </c>
    </row>
    <row r="1122" spans="1:26" x14ac:dyDescent="0.3">
      <c r="A1122" t="s">
        <v>1118</v>
      </c>
      <c r="B1122" t="str">
        <f>IFERROR(VLOOKUP(A1122,[1]timesData!$B:$P,2,FALSE),VLOOKUP(A1122,[2]cwurData!$B:$P,2,FALSE))</f>
        <v>South Korea</v>
      </c>
      <c r="C1122" t="e">
        <f>VLOOKUP(A1122,[1]timesData!$B:$P,3,FALSE)</f>
        <v>#N/A</v>
      </c>
      <c r="D1122" t="e">
        <f>VLOOKUP(A1123,[1]timesData!$B:$P,3,FALSE)</f>
        <v>#N/A</v>
      </c>
      <c r="E1122" t="e">
        <f>VLOOKUP(A1123,[1]timesData!$B:$P,4,FALSE)</f>
        <v>#N/A</v>
      </c>
      <c r="F1122" t="e">
        <f>VLOOKUP(A1123,[1]timesData!$B:$P,5,FALSE)</f>
        <v>#N/A</v>
      </c>
      <c r="G1122" t="e">
        <f>VLOOKUP(A1123,[1]timesData!$B:$P,6,FALSE)</f>
        <v>#N/A</v>
      </c>
      <c r="H1122" t="e">
        <f>VLOOKUP(A1123,[1]timesData!$B:$P,7,FALSE)</f>
        <v>#N/A</v>
      </c>
      <c r="I1122" t="e">
        <f>VLOOKUP(A1123,[1]timesData!$B:$P,8,FALSE)</f>
        <v>#N/A</v>
      </c>
      <c r="J1122" t="e">
        <f>VLOOKUP(A1123,[1]timesData!$B:$P,9,FALSE)</f>
        <v>#N/A</v>
      </c>
      <c r="K1122" t="e">
        <f>VLOOKUP(A1123,[1]timesData!$B:$P,10,FALSE)</f>
        <v>#N/A</v>
      </c>
      <c r="L1122" t="e">
        <f>VLOOKUP(A1123,[1]timesData!$B:$P,11,FALSE)</f>
        <v>#N/A</v>
      </c>
      <c r="M1122" t="e">
        <f>VLOOKUP(A1123,[1]timesData!$B:$P,12,FALSE)</f>
        <v>#N/A</v>
      </c>
      <c r="N1122" t="e">
        <f>VLOOKUP(A1123,[1]timesData!$B:$P,13,FALSE)</f>
        <v>#N/A</v>
      </c>
      <c r="O1122">
        <f>VLOOKUP(A1122,[2]cwurData!$B:$P,14,FALSE)</f>
        <v>829</v>
      </c>
      <c r="P1122">
        <f>VLOOKUP(A1122,[2]cwurData!$B:$N, 3, FALSE)</f>
        <v>28</v>
      </c>
      <c r="Q1122">
        <f>VLOOKUP(A1122,[2]cwurData!$B:$N, 4, FALSE)</f>
        <v>355</v>
      </c>
      <c r="R1122">
        <f>VLOOKUP(A1122,[2]cwurData!$B:$N, 5, FALSE)</f>
        <v>478</v>
      </c>
      <c r="S1122">
        <f>VLOOKUP(A1122,[2]cwurData!$B:$N, 6, FALSE)</f>
        <v>210</v>
      </c>
      <c r="T1122">
        <f>VLOOKUP(A1122,[2]cwurData!$B:$N, 7, FALSE)</f>
        <v>751</v>
      </c>
      <c r="U1122">
        <f>VLOOKUP(A1122,[2]cwurData!$B:$N, 8, FALSE)</f>
        <v>863</v>
      </c>
      <c r="V1122">
        <f>VLOOKUP(A1122,[2]cwurData!$B:$N, 9, FALSE)</f>
        <v>800</v>
      </c>
      <c r="W1122">
        <f>VLOOKUP(A1122,[2]cwurData!$B:$N, 10, FALSE)</f>
        <v>819</v>
      </c>
      <c r="X1122">
        <f>VLOOKUP(A1122,[2]cwurData!$B:$N, 11, FALSE)</f>
        <v>338</v>
      </c>
      <c r="Y1122">
        <f>VLOOKUP(A1122,[2]cwurData!$B:$N, 12, FALSE)</f>
        <v>44.47</v>
      </c>
      <c r="Z1122">
        <f>VLOOKUP(A1122,[2]cwurData!$B:$N, 13, FALSE)</f>
        <v>2014</v>
      </c>
    </row>
    <row r="1123" spans="1:26" x14ac:dyDescent="0.3">
      <c r="A1123" t="s">
        <v>1119</v>
      </c>
      <c r="B1123" t="str">
        <f>IFERROR(VLOOKUP(A1123,[1]timesData!$B:$P,2,FALSE),VLOOKUP(A1123,[2]cwurData!$B:$P,2,FALSE))</f>
        <v>Japan</v>
      </c>
      <c r="C1123" t="e">
        <f>VLOOKUP(A1123,[1]timesData!$B:$P,3,FALSE)</f>
        <v>#N/A</v>
      </c>
      <c r="D1123" t="e">
        <f>VLOOKUP(A1124,[1]timesData!$B:$P,3,FALSE)</f>
        <v>#N/A</v>
      </c>
      <c r="E1123" t="e">
        <f>VLOOKUP(A1124,[1]timesData!$B:$P,4,FALSE)</f>
        <v>#N/A</v>
      </c>
      <c r="F1123" t="e">
        <f>VLOOKUP(A1124,[1]timesData!$B:$P,5,FALSE)</f>
        <v>#N/A</v>
      </c>
      <c r="G1123" t="e">
        <f>VLOOKUP(A1124,[1]timesData!$B:$P,6,FALSE)</f>
        <v>#N/A</v>
      </c>
      <c r="H1123" t="e">
        <f>VLOOKUP(A1124,[1]timesData!$B:$P,7,FALSE)</f>
        <v>#N/A</v>
      </c>
      <c r="I1123" t="e">
        <f>VLOOKUP(A1124,[1]timesData!$B:$P,8,FALSE)</f>
        <v>#N/A</v>
      </c>
      <c r="J1123" t="e">
        <f>VLOOKUP(A1124,[1]timesData!$B:$P,9,FALSE)</f>
        <v>#N/A</v>
      </c>
      <c r="K1123" t="e">
        <f>VLOOKUP(A1124,[1]timesData!$B:$P,10,FALSE)</f>
        <v>#N/A</v>
      </c>
      <c r="L1123" t="e">
        <f>VLOOKUP(A1124,[1]timesData!$B:$P,11,FALSE)</f>
        <v>#N/A</v>
      </c>
      <c r="M1123" t="e">
        <f>VLOOKUP(A1124,[1]timesData!$B:$P,12,FALSE)</f>
        <v>#N/A</v>
      </c>
      <c r="N1123" t="e">
        <f>VLOOKUP(A1124,[1]timesData!$B:$P,13,FALSE)</f>
        <v>#N/A</v>
      </c>
      <c r="O1123">
        <f>VLOOKUP(A1123,[2]cwurData!$B:$P,14,FALSE)</f>
        <v>830</v>
      </c>
      <c r="P1123">
        <f>VLOOKUP(A1123,[2]cwurData!$B:$N, 3, FALSE)</f>
        <v>64</v>
      </c>
      <c r="Q1123">
        <f>VLOOKUP(A1123,[2]cwurData!$B:$N, 4, FALSE)</f>
        <v>355</v>
      </c>
      <c r="R1123">
        <f>VLOOKUP(A1123,[2]cwurData!$B:$N, 5, FALSE)</f>
        <v>478</v>
      </c>
      <c r="S1123">
        <f>VLOOKUP(A1123,[2]cwurData!$B:$N, 6, FALSE)</f>
        <v>210</v>
      </c>
      <c r="T1123">
        <f>VLOOKUP(A1123,[2]cwurData!$B:$N, 7, FALSE)</f>
        <v>925</v>
      </c>
      <c r="U1123">
        <f>VLOOKUP(A1123,[2]cwurData!$B:$N, 8, FALSE)</f>
        <v>788</v>
      </c>
      <c r="V1123">
        <f>VLOOKUP(A1123,[2]cwurData!$B:$N, 9, FALSE)</f>
        <v>800</v>
      </c>
      <c r="W1123">
        <f>VLOOKUP(A1123,[2]cwurData!$B:$N, 10, FALSE)</f>
        <v>769</v>
      </c>
      <c r="X1123">
        <f>VLOOKUP(A1123,[2]cwurData!$B:$N, 11, FALSE)</f>
        <v>426</v>
      </c>
      <c r="Y1123">
        <f>VLOOKUP(A1123,[2]cwurData!$B:$N, 12, FALSE)</f>
        <v>44.47</v>
      </c>
      <c r="Z1123">
        <f>VLOOKUP(A1123,[2]cwurData!$B:$N, 13, FALSE)</f>
        <v>2014</v>
      </c>
    </row>
    <row r="1124" spans="1:26" x14ac:dyDescent="0.3">
      <c r="A1124" t="s">
        <v>1120</v>
      </c>
      <c r="B1124" t="str">
        <f>IFERROR(VLOOKUP(A1124,[1]timesData!$B:$P,2,FALSE),VLOOKUP(A1124,[2]cwurData!$B:$P,2,FALSE))</f>
        <v>Canada</v>
      </c>
      <c r="C1124" t="e">
        <f>VLOOKUP(A1124,[1]timesData!$B:$P,3,FALSE)</f>
        <v>#N/A</v>
      </c>
      <c r="D1124" t="e">
        <f>VLOOKUP(A1125,[1]timesData!$B:$P,3,FALSE)</f>
        <v>#N/A</v>
      </c>
      <c r="E1124" t="e">
        <f>VLOOKUP(A1125,[1]timesData!$B:$P,4,FALSE)</f>
        <v>#N/A</v>
      </c>
      <c r="F1124" t="e">
        <f>VLOOKUP(A1125,[1]timesData!$B:$P,5,FALSE)</f>
        <v>#N/A</v>
      </c>
      <c r="G1124" t="e">
        <f>VLOOKUP(A1125,[1]timesData!$B:$P,6,FALSE)</f>
        <v>#N/A</v>
      </c>
      <c r="H1124" t="e">
        <f>VLOOKUP(A1125,[1]timesData!$B:$P,7,FALSE)</f>
        <v>#N/A</v>
      </c>
      <c r="I1124" t="e">
        <f>VLOOKUP(A1125,[1]timesData!$B:$P,8,FALSE)</f>
        <v>#N/A</v>
      </c>
      <c r="J1124" t="e">
        <f>VLOOKUP(A1125,[1]timesData!$B:$P,9,FALSE)</f>
        <v>#N/A</v>
      </c>
      <c r="K1124" t="e">
        <f>VLOOKUP(A1125,[1]timesData!$B:$P,10,FALSE)</f>
        <v>#N/A</v>
      </c>
      <c r="L1124" t="e">
        <f>VLOOKUP(A1125,[1]timesData!$B:$P,11,FALSE)</f>
        <v>#N/A</v>
      </c>
      <c r="M1124" t="e">
        <f>VLOOKUP(A1125,[1]timesData!$B:$P,12,FALSE)</f>
        <v>#N/A</v>
      </c>
      <c r="N1124" t="e">
        <f>VLOOKUP(A1125,[1]timesData!$B:$P,13,FALSE)</f>
        <v>#N/A</v>
      </c>
      <c r="O1124">
        <f>VLOOKUP(A1124,[2]cwurData!$B:$P,14,FALSE)</f>
        <v>831</v>
      </c>
      <c r="P1124">
        <f>VLOOKUP(A1124,[2]cwurData!$B:$N, 3, FALSE)</f>
        <v>29</v>
      </c>
      <c r="Q1124">
        <f>VLOOKUP(A1124,[2]cwurData!$B:$N, 4, FALSE)</f>
        <v>355</v>
      </c>
      <c r="R1124">
        <f>VLOOKUP(A1124,[2]cwurData!$B:$N, 5, FALSE)</f>
        <v>329</v>
      </c>
      <c r="S1124">
        <f>VLOOKUP(A1124,[2]cwurData!$B:$N, 6, FALSE)</f>
        <v>210</v>
      </c>
      <c r="T1124">
        <f>VLOOKUP(A1124,[2]cwurData!$B:$N, 7, FALSE)</f>
        <v>719</v>
      </c>
      <c r="U1124">
        <f>VLOOKUP(A1124,[2]cwurData!$B:$N, 8, FALSE)</f>
        <v>784</v>
      </c>
      <c r="V1124">
        <f>VLOOKUP(A1124,[2]cwurData!$B:$N, 9, FALSE)</f>
        <v>800</v>
      </c>
      <c r="W1124">
        <f>VLOOKUP(A1124,[2]cwurData!$B:$N, 10, FALSE)</f>
        <v>874</v>
      </c>
      <c r="X1124">
        <f>VLOOKUP(A1124,[2]cwurData!$B:$N, 11, FALSE)</f>
        <v>552</v>
      </c>
      <c r="Y1124">
        <f>VLOOKUP(A1124,[2]cwurData!$B:$N, 12, FALSE)</f>
        <v>44.47</v>
      </c>
      <c r="Z1124">
        <f>VLOOKUP(A1124,[2]cwurData!$B:$N, 13, FALSE)</f>
        <v>2014</v>
      </c>
    </row>
    <row r="1125" spans="1:26" x14ac:dyDescent="0.3">
      <c r="A1125" t="s">
        <v>1121</v>
      </c>
      <c r="B1125" t="str">
        <f>IFERROR(VLOOKUP(A1125,[1]timesData!$B:$P,2,FALSE),VLOOKUP(A1125,[2]cwurData!$B:$P,2,FALSE))</f>
        <v>USA</v>
      </c>
      <c r="C1125" t="e">
        <f>VLOOKUP(A1125,[1]timesData!$B:$P,3,FALSE)</f>
        <v>#N/A</v>
      </c>
      <c r="D1125" t="e">
        <f>VLOOKUP(A1126,[1]timesData!$B:$P,3,FALSE)</f>
        <v>#N/A</v>
      </c>
      <c r="E1125" t="e">
        <f>VLOOKUP(A1126,[1]timesData!$B:$P,4,FALSE)</f>
        <v>#N/A</v>
      </c>
      <c r="F1125" t="e">
        <f>VLOOKUP(A1126,[1]timesData!$B:$P,5,FALSE)</f>
        <v>#N/A</v>
      </c>
      <c r="G1125" t="e">
        <f>VLOOKUP(A1126,[1]timesData!$B:$P,6,FALSE)</f>
        <v>#N/A</v>
      </c>
      <c r="H1125" t="e">
        <f>VLOOKUP(A1126,[1]timesData!$B:$P,7,FALSE)</f>
        <v>#N/A</v>
      </c>
      <c r="I1125" t="e">
        <f>VLOOKUP(A1126,[1]timesData!$B:$P,8,FALSE)</f>
        <v>#N/A</v>
      </c>
      <c r="J1125" t="e">
        <f>VLOOKUP(A1126,[1]timesData!$B:$P,9,FALSE)</f>
        <v>#N/A</v>
      </c>
      <c r="K1125" t="e">
        <f>VLOOKUP(A1126,[1]timesData!$B:$P,10,FALSE)</f>
        <v>#N/A</v>
      </c>
      <c r="L1125" t="e">
        <f>VLOOKUP(A1126,[1]timesData!$B:$P,11,FALSE)</f>
        <v>#N/A</v>
      </c>
      <c r="M1125" t="e">
        <f>VLOOKUP(A1126,[1]timesData!$B:$P,12,FALSE)</f>
        <v>#N/A</v>
      </c>
      <c r="N1125" t="e">
        <f>VLOOKUP(A1126,[1]timesData!$B:$P,13,FALSE)</f>
        <v>#N/A</v>
      </c>
      <c r="O1125">
        <f>VLOOKUP(A1125,[2]cwurData!$B:$P,14,FALSE)</f>
        <v>835</v>
      </c>
      <c r="P1125">
        <f>VLOOKUP(A1125,[2]cwurData!$B:$N, 3, FALSE)</f>
        <v>219</v>
      </c>
      <c r="Q1125">
        <f>VLOOKUP(A1125,[2]cwurData!$B:$N, 4, FALSE)</f>
        <v>303</v>
      </c>
      <c r="R1125">
        <f>VLOOKUP(A1125,[2]cwurData!$B:$N, 5, FALSE)</f>
        <v>368</v>
      </c>
      <c r="S1125">
        <f>VLOOKUP(A1125,[2]cwurData!$B:$N, 6, FALSE)</f>
        <v>210</v>
      </c>
      <c r="T1125">
        <f>VLOOKUP(A1125,[2]cwurData!$B:$N, 7, FALSE)</f>
        <v>992</v>
      </c>
      <c r="U1125">
        <f>VLOOKUP(A1125,[2]cwurData!$B:$N, 8, FALSE)</f>
        <v>669</v>
      </c>
      <c r="V1125">
        <f>VLOOKUP(A1125,[2]cwurData!$B:$N, 9, FALSE)</f>
        <v>800</v>
      </c>
      <c r="W1125">
        <f>VLOOKUP(A1125,[2]cwurData!$B:$N, 10, FALSE)</f>
        <v>869</v>
      </c>
      <c r="X1125">
        <f>VLOOKUP(A1125,[2]cwurData!$B:$N, 11, FALSE)</f>
        <v>637</v>
      </c>
      <c r="Y1125">
        <f>VLOOKUP(A1125,[2]cwurData!$B:$N, 12, FALSE)</f>
        <v>44.46</v>
      </c>
      <c r="Z1125">
        <f>VLOOKUP(A1125,[2]cwurData!$B:$N, 13, FALSE)</f>
        <v>2014</v>
      </c>
    </row>
    <row r="1126" spans="1:26" x14ac:dyDescent="0.3">
      <c r="A1126" t="s">
        <v>1122</v>
      </c>
      <c r="B1126" t="str">
        <f>IFERROR(VLOOKUP(A1126,[1]timesData!$B:$P,2,FALSE),VLOOKUP(A1126,[2]cwurData!$B:$P,2,FALSE))</f>
        <v>South Korea</v>
      </c>
      <c r="C1126" t="e">
        <f>VLOOKUP(A1126,[1]timesData!$B:$P,3,FALSE)</f>
        <v>#N/A</v>
      </c>
      <c r="D1126" t="e">
        <f>VLOOKUP(A1127,[1]timesData!$B:$P,3,FALSE)</f>
        <v>#N/A</v>
      </c>
      <c r="E1126" t="e">
        <f>VLOOKUP(A1127,[1]timesData!$B:$P,4,FALSE)</f>
        <v>#N/A</v>
      </c>
      <c r="F1126" t="e">
        <f>VLOOKUP(A1127,[1]timesData!$B:$P,5,FALSE)</f>
        <v>#N/A</v>
      </c>
      <c r="G1126" t="e">
        <f>VLOOKUP(A1127,[1]timesData!$B:$P,6,FALSE)</f>
        <v>#N/A</v>
      </c>
      <c r="H1126" t="e">
        <f>VLOOKUP(A1127,[1]timesData!$B:$P,7,FALSE)</f>
        <v>#N/A</v>
      </c>
      <c r="I1126" t="e">
        <f>VLOOKUP(A1127,[1]timesData!$B:$P,8,FALSE)</f>
        <v>#N/A</v>
      </c>
      <c r="J1126" t="e">
        <f>VLOOKUP(A1127,[1]timesData!$B:$P,9,FALSE)</f>
        <v>#N/A</v>
      </c>
      <c r="K1126" t="e">
        <f>VLOOKUP(A1127,[1]timesData!$B:$P,10,FALSE)</f>
        <v>#N/A</v>
      </c>
      <c r="L1126" t="e">
        <f>VLOOKUP(A1127,[1]timesData!$B:$P,11,FALSE)</f>
        <v>#N/A</v>
      </c>
      <c r="M1126" t="e">
        <f>VLOOKUP(A1127,[1]timesData!$B:$P,12,FALSE)</f>
        <v>#N/A</v>
      </c>
      <c r="N1126" t="e">
        <f>VLOOKUP(A1127,[1]timesData!$B:$P,13,FALSE)</f>
        <v>#N/A</v>
      </c>
      <c r="O1126">
        <f>VLOOKUP(A1126,[2]cwurData!$B:$P,14,FALSE)</f>
        <v>837</v>
      </c>
      <c r="P1126">
        <f>VLOOKUP(A1126,[2]cwurData!$B:$N, 3, FALSE)</f>
        <v>31</v>
      </c>
      <c r="Q1126">
        <f>VLOOKUP(A1126,[2]cwurData!$B:$N, 4, FALSE)</f>
        <v>355</v>
      </c>
      <c r="R1126">
        <f>VLOOKUP(A1126,[2]cwurData!$B:$N, 5, FALSE)</f>
        <v>478</v>
      </c>
      <c r="S1126">
        <f>VLOOKUP(A1126,[2]cwurData!$B:$N, 6, FALSE)</f>
        <v>210</v>
      </c>
      <c r="T1126">
        <f>VLOOKUP(A1126,[2]cwurData!$B:$N, 7, FALSE)</f>
        <v>918</v>
      </c>
      <c r="U1126">
        <f>VLOOKUP(A1126,[2]cwurData!$B:$N, 8, FALSE)</f>
        <v>974</v>
      </c>
      <c r="V1126">
        <f>VLOOKUP(A1126,[2]cwurData!$B:$N, 9, FALSE)</f>
        <v>800</v>
      </c>
      <c r="W1126">
        <f>VLOOKUP(A1126,[2]cwurData!$B:$N, 10, FALSE)</f>
        <v>970</v>
      </c>
      <c r="X1126">
        <f>VLOOKUP(A1126,[2]cwurData!$B:$N, 11, FALSE)</f>
        <v>194</v>
      </c>
      <c r="Y1126">
        <f>VLOOKUP(A1126,[2]cwurData!$B:$N, 12, FALSE)</f>
        <v>44.46</v>
      </c>
      <c r="Z1126">
        <f>VLOOKUP(A1126,[2]cwurData!$B:$N, 13, FALSE)</f>
        <v>2014</v>
      </c>
    </row>
    <row r="1127" spans="1:26" x14ac:dyDescent="0.3">
      <c r="A1127" t="s">
        <v>1123</v>
      </c>
      <c r="B1127" t="str">
        <f>IFERROR(VLOOKUP(A1127,[1]timesData!$B:$P,2,FALSE),VLOOKUP(A1127,[2]cwurData!$B:$P,2,FALSE))</f>
        <v>Japan</v>
      </c>
      <c r="C1127" t="e">
        <f>VLOOKUP(A1127,[1]timesData!$B:$P,3,FALSE)</f>
        <v>#N/A</v>
      </c>
      <c r="D1127" t="e">
        <f>VLOOKUP(A1128,[1]timesData!$B:$P,3,FALSE)</f>
        <v>#N/A</v>
      </c>
      <c r="E1127" t="e">
        <f>VLOOKUP(A1128,[1]timesData!$B:$P,4,FALSE)</f>
        <v>#N/A</v>
      </c>
      <c r="F1127" t="e">
        <f>VLOOKUP(A1128,[1]timesData!$B:$P,5,FALSE)</f>
        <v>#N/A</v>
      </c>
      <c r="G1127" t="e">
        <f>VLOOKUP(A1128,[1]timesData!$B:$P,6,FALSE)</f>
        <v>#N/A</v>
      </c>
      <c r="H1127" t="e">
        <f>VLOOKUP(A1128,[1]timesData!$B:$P,7,FALSE)</f>
        <v>#N/A</v>
      </c>
      <c r="I1127" t="e">
        <f>VLOOKUP(A1128,[1]timesData!$B:$P,8,FALSE)</f>
        <v>#N/A</v>
      </c>
      <c r="J1127" t="e">
        <f>VLOOKUP(A1128,[1]timesData!$B:$P,9,FALSE)</f>
        <v>#N/A</v>
      </c>
      <c r="K1127" t="e">
        <f>VLOOKUP(A1128,[1]timesData!$B:$P,10,FALSE)</f>
        <v>#N/A</v>
      </c>
      <c r="L1127" t="e">
        <f>VLOOKUP(A1128,[1]timesData!$B:$P,11,FALSE)</f>
        <v>#N/A</v>
      </c>
      <c r="M1127" t="e">
        <f>VLOOKUP(A1128,[1]timesData!$B:$P,12,FALSE)</f>
        <v>#N/A</v>
      </c>
      <c r="N1127" t="e">
        <f>VLOOKUP(A1128,[1]timesData!$B:$P,13,FALSE)</f>
        <v>#N/A</v>
      </c>
      <c r="O1127">
        <f>VLOOKUP(A1127,[2]cwurData!$B:$P,14,FALSE)</f>
        <v>840</v>
      </c>
      <c r="P1127">
        <f>VLOOKUP(A1127,[2]cwurData!$B:$N, 3, FALSE)</f>
        <v>65</v>
      </c>
      <c r="Q1127">
        <f>VLOOKUP(A1127,[2]cwurData!$B:$N, 4, FALSE)</f>
        <v>355</v>
      </c>
      <c r="R1127">
        <f>VLOOKUP(A1127,[2]cwurData!$B:$N, 5, FALSE)</f>
        <v>281</v>
      </c>
      <c r="S1127">
        <f>VLOOKUP(A1127,[2]cwurData!$B:$N, 6, FALSE)</f>
        <v>210</v>
      </c>
      <c r="T1127">
        <f>VLOOKUP(A1127,[2]cwurData!$B:$N, 7, FALSE)</f>
        <v>870</v>
      </c>
      <c r="U1127">
        <f>VLOOKUP(A1127,[2]cwurData!$B:$N, 8, FALSE)</f>
        <v>884</v>
      </c>
      <c r="V1127">
        <f>VLOOKUP(A1127,[2]cwurData!$B:$N, 9, FALSE)</f>
        <v>493</v>
      </c>
      <c r="W1127">
        <f>VLOOKUP(A1127,[2]cwurData!$B:$N, 10, FALSE)</f>
        <v>973</v>
      </c>
      <c r="X1127">
        <f>VLOOKUP(A1127,[2]cwurData!$B:$N, 11, FALSE)</f>
        <v>426</v>
      </c>
      <c r="Y1127">
        <f>VLOOKUP(A1127,[2]cwurData!$B:$N, 12, FALSE)</f>
        <v>44.46</v>
      </c>
      <c r="Z1127">
        <f>VLOOKUP(A1127,[2]cwurData!$B:$N, 13, FALSE)</f>
        <v>2014</v>
      </c>
    </row>
    <row r="1128" spans="1:26" x14ac:dyDescent="0.3">
      <c r="A1128" t="s">
        <v>1124</v>
      </c>
      <c r="B1128" t="str">
        <f>IFERROR(VLOOKUP(A1128,[1]timesData!$B:$P,2,FALSE),VLOOKUP(A1128,[2]cwurData!$B:$P,2,FALSE))</f>
        <v>Italy</v>
      </c>
      <c r="C1128" t="e">
        <f>VLOOKUP(A1128,[1]timesData!$B:$P,3,FALSE)</f>
        <v>#N/A</v>
      </c>
      <c r="D1128" t="e">
        <f>VLOOKUP(A1129,[1]timesData!$B:$P,3,FALSE)</f>
        <v>#N/A</v>
      </c>
      <c r="E1128" t="e">
        <f>VLOOKUP(A1129,[1]timesData!$B:$P,4,FALSE)</f>
        <v>#N/A</v>
      </c>
      <c r="F1128" t="e">
        <f>VLOOKUP(A1129,[1]timesData!$B:$P,5,FALSE)</f>
        <v>#N/A</v>
      </c>
      <c r="G1128" t="e">
        <f>VLOOKUP(A1129,[1]timesData!$B:$P,6,FALSE)</f>
        <v>#N/A</v>
      </c>
      <c r="H1128" t="e">
        <f>VLOOKUP(A1129,[1]timesData!$B:$P,7,FALSE)</f>
        <v>#N/A</v>
      </c>
      <c r="I1128" t="e">
        <f>VLOOKUP(A1129,[1]timesData!$B:$P,8,FALSE)</f>
        <v>#N/A</v>
      </c>
      <c r="J1128" t="e">
        <f>VLOOKUP(A1129,[1]timesData!$B:$P,9,FALSE)</f>
        <v>#N/A</v>
      </c>
      <c r="K1128" t="e">
        <f>VLOOKUP(A1129,[1]timesData!$B:$P,10,FALSE)</f>
        <v>#N/A</v>
      </c>
      <c r="L1128" t="e">
        <f>VLOOKUP(A1129,[1]timesData!$B:$P,11,FALSE)</f>
        <v>#N/A</v>
      </c>
      <c r="M1128" t="e">
        <f>VLOOKUP(A1129,[1]timesData!$B:$P,12,FALSE)</f>
        <v>#N/A</v>
      </c>
      <c r="N1128" t="e">
        <f>VLOOKUP(A1129,[1]timesData!$B:$P,13,FALSE)</f>
        <v>#N/A</v>
      </c>
      <c r="O1128">
        <f>VLOOKUP(A1128,[2]cwurData!$B:$P,14,FALSE)</f>
        <v>841</v>
      </c>
      <c r="P1128">
        <f>VLOOKUP(A1128,[2]cwurData!$B:$N, 3, FALSE)</f>
        <v>45</v>
      </c>
      <c r="Q1128">
        <f>VLOOKUP(A1128,[2]cwurData!$B:$N, 4, FALSE)</f>
        <v>355</v>
      </c>
      <c r="R1128">
        <f>VLOOKUP(A1128,[2]cwurData!$B:$N, 5, FALSE)</f>
        <v>478</v>
      </c>
      <c r="S1128">
        <f>VLOOKUP(A1128,[2]cwurData!$B:$N, 6, FALSE)</f>
        <v>210</v>
      </c>
      <c r="T1128">
        <f>VLOOKUP(A1128,[2]cwurData!$B:$N, 7, FALSE)</f>
        <v>740</v>
      </c>
      <c r="U1128">
        <f>VLOOKUP(A1128,[2]cwurData!$B:$N, 8, FALSE)</f>
        <v>605</v>
      </c>
      <c r="V1128">
        <f>VLOOKUP(A1128,[2]cwurData!$B:$N, 9, FALSE)</f>
        <v>800</v>
      </c>
      <c r="W1128">
        <f>VLOOKUP(A1128,[2]cwurData!$B:$N, 10, FALSE)</f>
        <v>769</v>
      </c>
      <c r="X1128">
        <f>VLOOKUP(A1128,[2]cwurData!$B:$N, 11, FALSE)</f>
        <v>737</v>
      </c>
      <c r="Y1128">
        <f>VLOOKUP(A1128,[2]cwurData!$B:$N, 12, FALSE)</f>
        <v>44.46</v>
      </c>
      <c r="Z1128">
        <f>VLOOKUP(A1128,[2]cwurData!$B:$N, 13, FALSE)</f>
        <v>2014</v>
      </c>
    </row>
    <row r="1129" spans="1:26" x14ac:dyDescent="0.3">
      <c r="A1129" t="s">
        <v>1125</v>
      </c>
      <c r="B1129" t="str">
        <f>IFERROR(VLOOKUP(A1129,[1]timesData!$B:$P,2,FALSE),VLOOKUP(A1129,[2]cwurData!$B:$P,2,FALSE))</f>
        <v>China</v>
      </c>
      <c r="C1129" t="e">
        <f>VLOOKUP(A1129,[1]timesData!$B:$P,3,FALSE)</f>
        <v>#N/A</v>
      </c>
      <c r="D1129" t="e">
        <f>VLOOKUP(A1130,[1]timesData!$B:$P,3,FALSE)</f>
        <v>#N/A</v>
      </c>
      <c r="E1129" t="e">
        <f>VLOOKUP(A1130,[1]timesData!$B:$P,4,FALSE)</f>
        <v>#N/A</v>
      </c>
      <c r="F1129" t="e">
        <f>VLOOKUP(A1130,[1]timesData!$B:$P,5,FALSE)</f>
        <v>#N/A</v>
      </c>
      <c r="G1129" t="e">
        <f>VLOOKUP(A1130,[1]timesData!$B:$P,6,FALSE)</f>
        <v>#N/A</v>
      </c>
      <c r="H1129" t="e">
        <f>VLOOKUP(A1130,[1]timesData!$B:$P,7,FALSE)</f>
        <v>#N/A</v>
      </c>
      <c r="I1129" t="e">
        <f>VLOOKUP(A1130,[1]timesData!$B:$P,8,FALSE)</f>
        <v>#N/A</v>
      </c>
      <c r="J1129" t="e">
        <f>VLOOKUP(A1130,[1]timesData!$B:$P,9,FALSE)</f>
        <v>#N/A</v>
      </c>
      <c r="K1129" t="e">
        <f>VLOOKUP(A1130,[1]timesData!$B:$P,10,FALSE)</f>
        <v>#N/A</v>
      </c>
      <c r="L1129" t="e">
        <f>VLOOKUP(A1130,[1]timesData!$B:$P,11,FALSE)</f>
        <v>#N/A</v>
      </c>
      <c r="M1129" t="e">
        <f>VLOOKUP(A1130,[1]timesData!$B:$P,12,FALSE)</f>
        <v>#N/A</v>
      </c>
      <c r="N1129" t="e">
        <f>VLOOKUP(A1130,[1]timesData!$B:$P,13,FALSE)</f>
        <v>#N/A</v>
      </c>
      <c r="O1129">
        <f>VLOOKUP(A1129,[2]cwurData!$B:$P,14,FALSE)</f>
        <v>842</v>
      </c>
      <c r="P1129">
        <f>VLOOKUP(A1129,[2]cwurData!$B:$N, 3, FALSE)</f>
        <v>48</v>
      </c>
      <c r="Q1129">
        <f>VLOOKUP(A1129,[2]cwurData!$B:$N, 4, FALSE)</f>
        <v>355</v>
      </c>
      <c r="R1129">
        <f>VLOOKUP(A1129,[2]cwurData!$B:$N, 5, FALSE)</f>
        <v>436</v>
      </c>
      <c r="S1129">
        <f>VLOOKUP(A1129,[2]cwurData!$B:$N, 6, FALSE)</f>
        <v>210</v>
      </c>
      <c r="T1129">
        <f>VLOOKUP(A1129,[2]cwurData!$B:$N, 7, FALSE)</f>
        <v>777</v>
      </c>
      <c r="U1129">
        <f>VLOOKUP(A1129,[2]cwurData!$B:$N, 8, FALSE)</f>
        <v>699</v>
      </c>
      <c r="V1129">
        <f>VLOOKUP(A1129,[2]cwurData!$B:$N, 9, FALSE)</f>
        <v>609</v>
      </c>
      <c r="W1129">
        <f>VLOOKUP(A1129,[2]cwurData!$B:$N, 10, FALSE)</f>
        <v>849</v>
      </c>
      <c r="X1129">
        <f>VLOOKUP(A1129,[2]cwurData!$B:$N, 11, FALSE)</f>
        <v>552</v>
      </c>
      <c r="Y1129">
        <f>VLOOKUP(A1129,[2]cwurData!$B:$N, 12, FALSE)</f>
        <v>44.45</v>
      </c>
      <c r="Z1129">
        <f>VLOOKUP(A1129,[2]cwurData!$B:$N, 13, FALSE)</f>
        <v>2014</v>
      </c>
    </row>
    <row r="1130" spans="1:26" x14ac:dyDescent="0.3">
      <c r="A1130" t="s">
        <v>1126</v>
      </c>
      <c r="B1130" t="str">
        <f>IFERROR(VLOOKUP(A1130,[1]timesData!$B:$P,2,FALSE),VLOOKUP(A1130,[2]cwurData!$B:$P,2,FALSE))</f>
        <v>France</v>
      </c>
      <c r="C1130" t="e">
        <f>VLOOKUP(A1130,[1]timesData!$B:$P,3,FALSE)</f>
        <v>#N/A</v>
      </c>
      <c r="D1130" t="e">
        <f>VLOOKUP(A1131,[1]timesData!$B:$P,3,FALSE)</f>
        <v>#N/A</v>
      </c>
      <c r="E1130" t="e">
        <f>VLOOKUP(A1131,[1]timesData!$B:$P,4,FALSE)</f>
        <v>#N/A</v>
      </c>
      <c r="F1130" t="e">
        <f>VLOOKUP(A1131,[1]timesData!$B:$P,5,FALSE)</f>
        <v>#N/A</v>
      </c>
      <c r="G1130" t="e">
        <f>VLOOKUP(A1131,[1]timesData!$B:$P,6,FALSE)</f>
        <v>#N/A</v>
      </c>
      <c r="H1130" t="e">
        <f>VLOOKUP(A1131,[1]timesData!$B:$P,7,FALSE)</f>
        <v>#N/A</v>
      </c>
      <c r="I1130" t="e">
        <f>VLOOKUP(A1131,[1]timesData!$B:$P,8,FALSE)</f>
        <v>#N/A</v>
      </c>
      <c r="J1130" t="e">
        <f>VLOOKUP(A1131,[1]timesData!$B:$P,9,FALSE)</f>
        <v>#N/A</v>
      </c>
      <c r="K1130" t="e">
        <f>VLOOKUP(A1131,[1]timesData!$B:$P,10,FALSE)</f>
        <v>#N/A</v>
      </c>
      <c r="L1130" t="e">
        <f>VLOOKUP(A1131,[1]timesData!$B:$P,11,FALSE)</f>
        <v>#N/A</v>
      </c>
      <c r="M1130" t="e">
        <f>VLOOKUP(A1131,[1]timesData!$B:$P,12,FALSE)</f>
        <v>#N/A</v>
      </c>
      <c r="N1130" t="e">
        <f>VLOOKUP(A1131,[1]timesData!$B:$P,13,FALSE)</f>
        <v>#N/A</v>
      </c>
      <c r="O1130">
        <f>VLOOKUP(A1130,[2]cwurData!$B:$P,14,FALSE)</f>
        <v>843</v>
      </c>
      <c r="P1130">
        <f>VLOOKUP(A1130,[2]cwurData!$B:$N, 3, FALSE)</f>
        <v>42</v>
      </c>
      <c r="Q1130">
        <f>VLOOKUP(A1130,[2]cwurData!$B:$N, 4, FALSE)</f>
        <v>284</v>
      </c>
      <c r="R1130">
        <f>VLOOKUP(A1130,[2]cwurData!$B:$N, 5, FALSE)</f>
        <v>478</v>
      </c>
      <c r="S1130">
        <f>VLOOKUP(A1130,[2]cwurData!$B:$N, 6, FALSE)</f>
        <v>210</v>
      </c>
      <c r="T1130">
        <f>VLOOKUP(A1130,[2]cwurData!$B:$N, 7, FALSE)</f>
        <v>832</v>
      </c>
      <c r="U1130">
        <f>VLOOKUP(A1130,[2]cwurData!$B:$N, 8, FALSE)</f>
        <v>833</v>
      </c>
      <c r="V1130">
        <f>VLOOKUP(A1130,[2]cwurData!$B:$N, 9, FALSE)</f>
        <v>609</v>
      </c>
      <c r="W1130">
        <f>VLOOKUP(A1130,[2]cwurData!$B:$N, 10, FALSE)</f>
        <v>800</v>
      </c>
      <c r="X1130">
        <f>VLOOKUP(A1130,[2]cwurData!$B:$N, 11, FALSE)</f>
        <v>637</v>
      </c>
      <c r="Y1130">
        <f>VLOOKUP(A1130,[2]cwurData!$B:$N, 12, FALSE)</f>
        <v>44.45</v>
      </c>
      <c r="Z1130">
        <f>VLOOKUP(A1130,[2]cwurData!$B:$N, 13, FALSE)</f>
        <v>2014</v>
      </c>
    </row>
    <row r="1131" spans="1:26" x14ac:dyDescent="0.3">
      <c r="A1131" t="s">
        <v>1127</v>
      </c>
      <c r="B1131" t="str">
        <f>IFERROR(VLOOKUP(A1131,[1]timesData!$B:$P,2,FALSE),VLOOKUP(A1131,[2]cwurData!$B:$P,2,FALSE))</f>
        <v>Brazil</v>
      </c>
      <c r="C1131" t="e">
        <f>VLOOKUP(A1131,[1]timesData!$B:$P,3,FALSE)</f>
        <v>#N/A</v>
      </c>
      <c r="D1131" t="e">
        <f>VLOOKUP(A1132,[1]timesData!$B:$P,3,FALSE)</f>
        <v>#N/A</v>
      </c>
      <c r="E1131" t="e">
        <f>VLOOKUP(A1132,[1]timesData!$B:$P,4,FALSE)</f>
        <v>#N/A</v>
      </c>
      <c r="F1131" t="e">
        <f>VLOOKUP(A1132,[1]timesData!$B:$P,5,FALSE)</f>
        <v>#N/A</v>
      </c>
      <c r="G1131" t="e">
        <f>VLOOKUP(A1132,[1]timesData!$B:$P,6,FALSE)</f>
        <v>#N/A</v>
      </c>
      <c r="H1131" t="e">
        <f>VLOOKUP(A1132,[1]timesData!$B:$P,7,FALSE)</f>
        <v>#N/A</v>
      </c>
      <c r="I1131" t="e">
        <f>VLOOKUP(A1132,[1]timesData!$B:$P,8,FALSE)</f>
        <v>#N/A</v>
      </c>
      <c r="J1131" t="e">
        <f>VLOOKUP(A1132,[1]timesData!$B:$P,9,FALSE)</f>
        <v>#N/A</v>
      </c>
      <c r="K1131" t="e">
        <f>VLOOKUP(A1132,[1]timesData!$B:$P,10,FALSE)</f>
        <v>#N/A</v>
      </c>
      <c r="L1131" t="e">
        <f>VLOOKUP(A1132,[1]timesData!$B:$P,11,FALSE)</f>
        <v>#N/A</v>
      </c>
      <c r="M1131" t="e">
        <f>VLOOKUP(A1132,[1]timesData!$B:$P,12,FALSE)</f>
        <v>#N/A</v>
      </c>
      <c r="N1131" t="e">
        <f>VLOOKUP(A1132,[1]timesData!$B:$P,13,FALSE)</f>
        <v>#N/A</v>
      </c>
      <c r="O1131">
        <f>VLOOKUP(A1131,[2]cwurData!$B:$P,14,FALSE)</f>
        <v>845</v>
      </c>
      <c r="P1131">
        <f>VLOOKUP(A1131,[2]cwurData!$B:$N, 3, FALSE)</f>
        <v>8</v>
      </c>
      <c r="Q1131">
        <f>VLOOKUP(A1131,[2]cwurData!$B:$N, 4, FALSE)</f>
        <v>355</v>
      </c>
      <c r="R1131">
        <f>VLOOKUP(A1131,[2]cwurData!$B:$N, 5, FALSE)</f>
        <v>478</v>
      </c>
      <c r="S1131">
        <f>VLOOKUP(A1131,[2]cwurData!$B:$N, 6, FALSE)</f>
        <v>210</v>
      </c>
      <c r="T1131">
        <f>VLOOKUP(A1131,[2]cwurData!$B:$N, 7, FALSE)</f>
        <v>754</v>
      </c>
      <c r="U1131">
        <f>VLOOKUP(A1131,[2]cwurData!$B:$N, 8, FALSE)</f>
        <v>856</v>
      </c>
      <c r="V1131">
        <f>VLOOKUP(A1131,[2]cwurData!$B:$N, 9, FALSE)</f>
        <v>493</v>
      </c>
      <c r="W1131">
        <f>VLOOKUP(A1131,[2]cwurData!$B:$N, 10, FALSE)</f>
        <v>783</v>
      </c>
      <c r="X1131">
        <f>VLOOKUP(A1131,[2]cwurData!$B:$N, 11, FALSE)</f>
        <v>637</v>
      </c>
      <c r="Y1131">
        <f>VLOOKUP(A1131,[2]cwurData!$B:$N, 12, FALSE)</f>
        <v>44.45</v>
      </c>
      <c r="Z1131">
        <f>VLOOKUP(A1131,[2]cwurData!$B:$N, 13, FALSE)</f>
        <v>2014</v>
      </c>
    </row>
    <row r="1132" spans="1:26" x14ac:dyDescent="0.3">
      <c r="A1132" t="s">
        <v>1128</v>
      </c>
      <c r="B1132" t="str">
        <f>IFERROR(VLOOKUP(A1132,[1]timesData!$B:$P,2,FALSE),VLOOKUP(A1132,[2]cwurData!$B:$P,2,FALSE))</f>
        <v>China</v>
      </c>
      <c r="C1132" t="e">
        <f>VLOOKUP(A1132,[1]timesData!$B:$P,3,FALSE)</f>
        <v>#N/A</v>
      </c>
      <c r="D1132" t="e">
        <f>VLOOKUP(A1133,[1]timesData!$B:$P,3,FALSE)</f>
        <v>#N/A</v>
      </c>
      <c r="E1132" t="e">
        <f>VLOOKUP(A1133,[1]timesData!$B:$P,4,FALSE)</f>
        <v>#N/A</v>
      </c>
      <c r="F1132" t="e">
        <f>VLOOKUP(A1133,[1]timesData!$B:$P,5,FALSE)</f>
        <v>#N/A</v>
      </c>
      <c r="G1132" t="e">
        <f>VLOOKUP(A1133,[1]timesData!$B:$P,6,FALSE)</f>
        <v>#N/A</v>
      </c>
      <c r="H1132" t="e">
        <f>VLOOKUP(A1133,[1]timesData!$B:$P,7,FALSE)</f>
        <v>#N/A</v>
      </c>
      <c r="I1132" t="e">
        <f>VLOOKUP(A1133,[1]timesData!$B:$P,8,FALSE)</f>
        <v>#N/A</v>
      </c>
      <c r="J1132" t="e">
        <f>VLOOKUP(A1133,[1]timesData!$B:$P,9,FALSE)</f>
        <v>#N/A</v>
      </c>
      <c r="K1132" t="e">
        <f>VLOOKUP(A1133,[1]timesData!$B:$P,10,FALSE)</f>
        <v>#N/A</v>
      </c>
      <c r="L1132" t="e">
        <f>VLOOKUP(A1133,[1]timesData!$B:$P,11,FALSE)</f>
        <v>#N/A</v>
      </c>
      <c r="M1132" t="e">
        <f>VLOOKUP(A1133,[1]timesData!$B:$P,12,FALSE)</f>
        <v>#N/A</v>
      </c>
      <c r="N1132" t="e">
        <f>VLOOKUP(A1133,[1]timesData!$B:$P,13,FALSE)</f>
        <v>#N/A</v>
      </c>
      <c r="O1132">
        <f>VLOOKUP(A1132,[2]cwurData!$B:$P,14,FALSE)</f>
        <v>846</v>
      </c>
      <c r="P1132">
        <f>VLOOKUP(A1132,[2]cwurData!$B:$N, 3, FALSE)</f>
        <v>49</v>
      </c>
      <c r="Q1132">
        <f>VLOOKUP(A1132,[2]cwurData!$B:$N, 4, FALSE)</f>
        <v>355</v>
      </c>
      <c r="R1132">
        <f>VLOOKUP(A1132,[2]cwurData!$B:$N, 5, FALSE)</f>
        <v>290</v>
      </c>
      <c r="S1132">
        <f>VLOOKUP(A1132,[2]cwurData!$B:$N, 6, FALSE)</f>
        <v>210</v>
      </c>
      <c r="T1132">
        <f>VLOOKUP(A1132,[2]cwurData!$B:$N, 7, FALSE)</f>
        <v>855</v>
      </c>
      <c r="U1132">
        <f>VLOOKUP(A1132,[2]cwurData!$B:$N, 8, FALSE)</f>
        <v>880</v>
      </c>
      <c r="V1132">
        <f>VLOOKUP(A1132,[2]cwurData!$B:$N, 9, FALSE)</f>
        <v>800</v>
      </c>
      <c r="W1132">
        <f>VLOOKUP(A1132,[2]cwurData!$B:$N, 10, FALSE)</f>
        <v>956</v>
      </c>
      <c r="X1132">
        <f>VLOOKUP(A1132,[2]cwurData!$B:$N, 11, FALSE)</f>
        <v>481</v>
      </c>
      <c r="Y1132">
        <f>VLOOKUP(A1132,[2]cwurData!$B:$N, 12, FALSE)</f>
        <v>44.45</v>
      </c>
      <c r="Z1132">
        <f>VLOOKUP(A1132,[2]cwurData!$B:$N, 13, FALSE)</f>
        <v>2014</v>
      </c>
    </row>
    <row r="1133" spans="1:26" x14ac:dyDescent="0.3">
      <c r="A1133" t="s">
        <v>1129</v>
      </c>
      <c r="B1133" t="str">
        <f>IFERROR(VLOOKUP(A1133,[1]timesData!$B:$P,2,FALSE),VLOOKUP(A1133,[2]cwurData!$B:$P,2,FALSE))</f>
        <v>USA</v>
      </c>
      <c r="C1133" t="e">
        <f>VLOOKUP(A1133,[1]timesData!$B:$P,3,FALSE)</f>
        <v>#N/A</v>
      </c>
      <c r="D1133" t="e">
        <f>VLOOKUP(A1134,[1]timesData!$B:$P,3,FALSE)</f>
        <v>#N/A</v>
      </c>
      <c r="E1133" t="e">
        <f>VLOOKUP(A1134,[1]timesData!$B:$P,4,FALSE)</f>
        <v>#N/A</v>
      </c>
      <c r="F1133" t="e">
        <f>VLOOKUP(A1134,[1]timesData!$B:$P,5,FALSE)</f>
        <v>#N/A</v>
      </c>
      <c r="G1133" t="e">
        <f>VLOOKUP(A1134,[1]timesData!$B:$P,6,FALSE)</f>
        <v>#N/A</v>
      </c>
      <c r="H1133" t="e">
        <f>VLOOKUP(A1134,[1]timesData!$B:$P,7,FALSE)</f>
        <v>#N/A</v>
      </c>
      <c r="I1133" t="e">
        <f>VLOOKUP(A1134,[1]timesData!$B:$P,8,FALSE)</f>
        <v>#N/A</v>
      </c>
      <c r="J1133" t="e">
        <f>VLOOKUP(A1134,[1]timesData!$B:$P,9,FALSE)</f>
        <v>#N/A</v>
      </c>
      <c r="K1133" t="e">
        <f>VLOOKUP(A1134,[1]timesData!$B:$P,10,FALSE)</f>
        <v>#N/A</v>
      </c>
      <c r="L1133" t="e">
        <f>VLOOKUP(A1134,[1]timesData!$B:$P,11,FALSE)</f>
        <v>#N/A</v>
      </c>
      <c r="M1133" t="e">
        <f>VLOOKUP(A1134,[1]timesData!$B:$P,12,FALSE)</f>
        <v>#N/A</v>
      </c>
      <c r="N1133" t="e">
        <f>VLOOKUP(A1134,[1]timesData!$B:$P,13,FALSE)</f>
        <v>#N/A</v>
      </c>
      <c r="O1133">
        <f>VLOOKUP(A1133,[2]cwurData!$B:$P,14,FALSE)</f>
        <v>847</v>
      </c>
      <c r="P1133">
        <f>VLOOKUP(A1133,[2]cwurData!$B:$N, 3, FALSE)</f>
        <v>221</v>
      </c>
      <c r="Q1133">
        <f>VLOOKUP(A1133,[2]cwurData!$B:$N, 4, FALSE)</f>
        <v>355</v>
      </c>
      <c r="R1133">
        <f>VLOOKUP(A1133,[2]cwurData!$B:$N, 5, FALSE)</f>
        <v>478</v>
      </c>
      <c r="S1133">
        <f>VLOOKUP(A1133,[2]cwurData!$B:$N, 6, FALSE)</f>
        <v>210</v>
      </c>
      <c r="T1133">
        <f>VLOOKUP(A1133,[2]cwurData!$B:$N, 7, FALSE)</f>
        <v>864</v>
      </c>
      <c r="U1133">
        <f>VLOOKUP(A1133,[2]cwurData!$B:$N, 8, FALSE)</f>
        <v>704</v>
      </c>
      <c r="V1133">
        <f>VLOOKUP(A1133,[2]cwurData!$B:$N, 9, FALSE)</f>
        <v>406</v>
      </c>
      <c r="W1133">
        <f>VLOOKUP(A1133,[2]cwurData!$B:$N, 10, FALSE)</f>
        <v>783</v>
      </c>
      <c r="X1133">
        <f>VLOOKUP(A1133,[2]cwurData!$B:$N, 11, FALSE)</f>
        <v>737</v>
      </c>
      <c r="Y1133">
        <f>VLOOKUP(A1133,[2]cwurData!$B:$N, 12, FALSE)</f>
        <v>44.45</v>
      </c>
      <c r="Z1133">
        <f>VLOOKUP(A1133,[2]cwurData!$B:$N, 13, FALSE)</f>
        <v>2014</v>
      </c>
    </row>
    <row r="1134" spans="1:26" x14ac:dyDescent="0.3">
      <c r="A1134" t="s">
        <v>1130</v>
      </c>
      <c r="B1134" t="str">
        <f>IFERROR(VLOOKUP(A1134,[1]timesData!$B:$P,2,FALSE),VLOOKUP(A1134,[2]cwurData!$B:$P,2,FALSE))</f>
        <v>Japan</v>
      </c>
      <c r="C1134" t="e">
        <f>VLOOKUP(A1134,[1]timesData!$B:$P,3,FALSE)</f>
        <v>#N/A</v>
      </c>
      <c r="D1134" t="e">
        <f>VLOOKUP(A1135,[1]timesData!$B:$P,3,FALSE)</f>
        <v>#N/A</v>
      </c>
      <c r="E1134" t="e">
        <f>VLOOKUP(A1135,[1]timesData!$B:$P,4,FALSE)</f>
        <v>#N/A</v>
      </c>
      <c r="F1134" t="e">
        <f>VLOOKUP(A1135,[1]timesData!$B:$P,5,FALSE)</f>
        <v>#N/A</v>
      </c>
      <c r="G1134" t="e">
        <f>VLOOKUP(A1135,[1]timesData!$B:$P,6,FALSE)</f>
        <v>#N/A</v>
      </c>
      <c r="H1134" t="e">
        <f>VLOOKUP(A1135,[1]timesData!$B:$P,7,FALSE)</f>
        <v>#N/A</v>
      </c>
      <c r="I1134" t="e">
        <f>VLOOKUP(A1135,[1]timesData!$B:$P,8,FALSE)</f>
        <v>#N/A</v>
      </c>
      <c r="J1134" t="e">
        <f>VLOOKUP(A1135,[1]timesData!$B:$P,9,FALSE)</f>
        <v>#N/A</v>
      </c>
      <c r="K1134" t="e">
        <f>VLOOKUP(A1135,[1]timesData!$B:$P,10,FALSE)</f>
        <v>#N/A</v>
      </c>
      <c r="L1134" t="e">
        <f>VLOOKUP(A1135,[1]timesData!$B:$P,11,FALSE)</f>
        <v>#N/A</v>
      </c>
      <c r="M1134" t="e">
        <f>VLOOKUP(A1135,[1]timesData!$B:$P,12,FALSE)</f>
        <v>#N/A</v>
      </c>
      <c r="N1134" t="e">
        <f>VLOOKUP(A1135,[1]timesData!$B:$P,13,FALSE)</f>
        <v>#N/A</v>
      </c>
      <c r="O1134">
        <f>VLOOKUP(A1134,[2]cwurData!$B:$P,14,FALSE)</f>
        <v>850</v>
      </c>
      <c r="P1134">
        <f>VLOOKUP(A1134,[2]cwurData!$B:$N, 3, FALSE)</f>
        <v>66</v>
      </c>
      <c r="Q1134">
        <f>VLOOKUP(A1134,[2]cwurData!$B:$N, 4, FALSE)</f>
        <v>355</v>
      </c>
      <c r="R1134">
        <f>VLOOKUP(A1134,[2]cwurData!$B:$N, 5, FALSE)</f>
        <v>478</v>
      </c>
      <c r="S1134">
        <f>VLOOKUP(A1134,[2]cwurData!$B:$N, 6, FALSE)</f>
        <v>210</v>
      </c>
      <c r="T1134">
        <f>VLOOKUP(A1134,[2]cwurData!$B:$N, 7, FALSE)</f>
        <v>887</v>
      </c>
      <c r="U1134">
        <f>VLOOKUP(A1134,[2]cwurData!$B:$N, 8, FALSE)</f>
        <v>657</v>
      </c>
      <c r="V1134">
        <f>VLOOKUP(A1134,[2]cwurData!$B:$N, 9, FALSE)</f>
        <v>609</v>
      </c>
      <c r="W1134">
        <f>VLOOKUP(A1134,[2]cwurData!$B:$N, 10, FALSE)</f>
        <v>783</v>
      </c>
      <c r="X1134">
        <f>VLOOKUP(A1134,[2]cwurData!$B:$N, 11, FALSE)</f>
        <v>552</v>
      </c>
      <c r="Y1134">
        <f>VLOOKUP(A1134,[2]cwurData!$B:$N, 12, FALSE)</f>
        <v>44.45</v>
      </c>
      <c r="Z1134">
        <f>VLOOKUP(A1134,[2]cwurData!$B:$N, 13, FALSE)</f>
        <v>2014</v>
      </c>
    </row>
    <row r="1135" spans="1:26" x14ac:dyDescent="0.3">
      <c r="A1135" t="s">
        <v>1131</v>
      </c>
      <c r="B1135" t="str">
        <f>IFERROR(VLOOKUP(A1135,[1]timesData!$B:$P,2,FALSE),VLOOKUP(A1135,[2]cwurData!$B:$P,2,FALSE))</f>
        <v>France</v>
      </c>
      <c r="C1135" t="e">
        <f>VLOOKUP(A1135,[1]timesData!$B:$P,3,FALSE)</f>
        <v>#N/A</v>
      </c>
      <c r="D1135" t="e">
        <f>VLOOKUP(A1136,[1]timesData!$B:$P,3,FALSE)</f>
        <v>#N/A</v>
      </c>
      <c r="E1135" t="e">
        <f>VLOOKUP(A1136,[1]timesData!$B:$P,4,FALSE)</f>
        <v>#N/A</v>
      </c>
      <c r="F1135" t="e">
        <f>VLOOKUP(A1136,[1]timesData!$B:$P,5,FALSE)</f>
        <v>#N/A</v>
      </c>
      <c r="G1135" t="e">
        <f>VLOOKUP(A1136,[1]timesData!$B:$P,6,FALSE)</f>
        <v>#N/A</v>
      </c>
      <c r="H1135" t="e">
        <f>VLOOKUP(A1136,[1]timesData!$B:$P,7,FALSE)</f>
        <v>#N/A</v>
      </c>
      <c r="I1135" t="e">
        <f>VLOOKUP(A1136,[1]timesData!$B:$P,8,FALSE)</f>
        <v>#N/A</v>
      </c>
      <c r="J1135" t="e">
        <f>VLOOKUP(A1136,[1]timesData!$B:$P,9,FALSE)</f>
        <v>#N/A</v>
      </c>
      <c r="K1135" t="e">
        <f>VLOOKUP(A1136,[1]timesData!$B:$P,10,FALSE)</f>
        <v>#N/A</v>
      </c>
      <c r="L1135" t="e">
        <f>VLOOKUP(A1136,[1]timesData!$B:$P,11,FALSE)</f>
        <v>#N/A</v>
      </c>
      <c r="M1135" t="e">
        <f>VLOOKUP(A1136,[1]timesData!$B:$P,12,FALSE)</f>
        <v>#N/A</v>
      </c>
      <c r="N1135" t="e">
        <f>VLOOKUP(A1136,[1]timesData!$B:$P,13,FALSE)</f>
        <v>#N/A</v>
      </c>
      <c r="O1135">
        <f>VLOOKUP(A1135,[2]cwurData!$B:$P,14,FALSE)</f>
        <v>851</v>
      </c>
      <c r="P1135">
        <f>VLOOKUP(A1135,[2]cwurData!$B:$N, 3, FALSE)</f>
        <v>43</v>
      </c>
      <c r="Q1135">
        <f>VLOOKUP(A1135,[2]cwurData!$B:$N, 4, FALSE)</f>
        <v>355</v>
      </c>
      <c r="R1135">
        <f>VLOOKUP(A1135,[2]cwurData!$B:$N, 5, FALSE)</f>
        <v>478</v>
      </c>
      <c r="S1135">
        <f>VLOOKUP(A1135,[2]cwurData!$B:$N, 6, FALSE)</f>
        <v>210</v>
      </c>
      <c r="T1135">
        <f>VLOOKUP(A1135,[2]cwurData!$B:$N, 7, FALSE)</f>
        <v>824</v>
      </c>
      <c r="U1135">
        <f>VLOOKUP(A1135,[2]cwurData!$B:$N, 8, FALSE)</f>
        <v>805</v>
      </c>
      <c r="V1135">
        <f>VLOOKUP(A1135,[2]cwurData!$B:$N, 9, FALSE)</f>
        <v>800</v>
      </c>
      <c r="W1135">
        <f>VLOOKUP(A1135,[2]cwurData!$B:$N, 10, FALSE)</f>
        <v>783</v>
      </c>
      <c r="X1135">
        <f>VLOOKUP(A1135,[2]cwurData!$B:$N, 11, FALSE)</f>
        <v>552</v>
      </c>
      <c r="Y1135">
        <f>VLOOKUP(A1135,[2]cwurData!$B:$N, 12, FALSE)</f>
        <v>44.45</v>
      </c>
      <c r="Z1135">
        <f>VLOOKUP(A1135,[2]cwurData!$B:$N, 13, FALSE)</f>
        <v>2014</v>
      </c>
    </row>
    <row r="1136" spans="1:26" x14ac:dyDescent="0.3">
      <c r="A1136" t="s">
        <v>1132</v>
      </c>
      <c r="B1136" t="str">
        <f>IFERROR(VLOOKUP(A1136,[1]timesData!$B:$P,2,FALSE),VLOOKUP(A1136,[2]cwurData!$B:$P,2,FALSE))</f>
        <v>Brazil</v>
      </c>
      <c r="C1136" t="e">
        <f>VLOOKUP(A1136,[1]timesData!$B:$P,3,FALSE)</f>
        <v>#N/A</v>
      </c>
      <c r="D1136" t="e">
        <f>VLOOKUP(A1137,[1]timesData!$B:$P,3,FALSE)</f>
        <v>#N/A</v>
      </c>
      <c r="E1136" t="e">
        <f>VLOOKUP(A1137,[1]timesData!$B:$P,4,FALSE)</f>
        <v>#N/A</v>
      </c>
      <c r="F1136" t="e">
        <f>VLOOKUP(A1137,[1]timesData!$B:$P,5,FALSE)</f>
        <v>#N/A</v>
      </c>
      <c r="G1136" t="e">
        <f>VLOOKUP(A1137,[1]timesData!$B:$P,6,FALSE)</f>
        <v>#N/A</v>
      </c>
      <c r="H1136" t="e">
        <f>VLOOKUP(A1137,[1]timesData!$B:$P,7,FALSE)</f>
        <v>#N/A</v>
      </c>
      <c r="I1136" t="e">
        <f>VLOOKUP(A1137,[1]timesData!$B:$P,8,FALSE)</f>
        <v>#N/A</v>
      </c>
      <c r="J1136" t="e">
        <f>VLOOKUP(A1137,[1]timesData!$B:$P,9,FALSE)</f>
        <v>#N/A</v>
      </c>
      <c r="K1136" t="e">
        <f>VLOOKUP(A1137,[1]timesData!$B:$P,10,FALSE)</f>
        <v>#N/A</v>
      </c>
      <c r="L1136" t="e">
        <f>VLOOKUP(A1137,[1]timesData!$B:$P,11,FALSE)</f>
        <v>#N/A</v>
      </c>
      <c r="M1136" t="e">
        <f>VLOOKUP(A1137,[1]timesData!$B:$P,12,FALSE)</f>
        <v>#N/A</v>
      </c>
      <c r="N1136" t="e">
        <f>VLOOKUP(A1137,[1]timesData!$B:$P,13,FALSE)</f>
        <v>#N/A</v>
      </c>
      <c r="O1136">
        <f>VLOOKUP(A1136,[2]cwurData!$B:$P,14,FALSE)</f>
        <v>852</v>
      </c>
      <c r="P1136">
        <f>VLOOKUP(A1136,[2]cwurData!$B:$N, 3, FALSE)</f>
        <v>9</v>
      </c>
      <c r="Q1136">
        <f>VLOOKUP(A1136,[2]cwurData!$B:$N, 4, FALSE)</f>
        <v>355</v>
      </c>
      <c r="R1136">
        <f>VLOOKUP(A1136,[2]cwurData!$B:$N, 5, FALSE)</f>
        <v>300</v>
      </c>
      <c r="S1136">
        <f>VLOOKUP(A1136,[2]cwurData!$B:$N, 6, FALSE)</f>
        <v>210</v>
      </c>
      <c r="T1136">
        <f>VLOOKUP(A1136,[2]cwurData!$B:$N, 7, FALSE)</f>
        <v>783</v>
      </c>
      <c r="U1136">
        <f>VLOOKUP(A1136,[2]cwurData!$B:$N, 8, FALSE)</f>
        <v>922</v>
      </c>
      <c r="V1136">
        <f>VLOOKUP(A1136,[2]cwurData!$B:$N, 9, FALSE)</f>
        <v>609</v>
      </c>
      <c r="W1136">
        <f>VLOOKUP(A1136,[2]cwurData!$B:$N, 10, FALSE)</f>
        <v>937</v>
      </c>
      <c r="X1136">
        <f>VLOOKUP(A1136,[2]cwurData!$B:$N, 11, FALSE)</f>
        <v>737</v>
      </c>
      <c r="Y1136">
        <f>VLOOKUP(A1136,[2]cwurData!$B:$N, 12, FALSE)</f>
        <v>44.45</v>
      </c>
      <c r="Z1136">
        <f>VLOOKUP(A1136,[2]cwurData!$B:$N, 13, FALSE)</f>
        <v>2014</v>
      </c>
    </row>
    <row r="1137" spans="1:26" x14ac:dyDescent="0.3">
      <c r="A1137" t="s">
        <v>1133</v>
      </c>
      <c r="B1137" t="str">
        <f>IFERROR(VLOOKUP(A1137,[1]timesData!$B:$P,2,FALSE),VLOOKUP(A1137,[2]cwurData!$B:$P,2,FALSE))</f>
        <v>Canada</v>
      </c>
      <c r="C1137" t="e">
        <f>VLOOKUP(A1137,[1]timesData!$B:$P,3,FALSE)</f>
        <v>#N/A</v>
      </c>
      <c r="D1137" t="e">
        <f>VLOOKUP(A1138,[1]timesData!$B:$P,3,FALSE)</f>
        <v>#N/A</v>
      </c>
      <c r="E1137" t="e">
        <f>VLOOKUP(A1138,[1]timesData!$B:$P,4,FALSE)</f>
        <v>#N/A</v>
      </c>
      <c r="F1137" t="e">
        <f>VLOOKUP(A1138,[1]timesData!$B:$P,5,FALSE)</f>
        <v>#N/A</v>
      </c>
      <c r="G1137" t="e">
        <f>VLOOKUP(A1138,[1]timesData!$B:$P,6,FALSE)</f>
        <v>#N/A</v>
      </c>
      <c r="H1137" t="e">
        <f>VLOOKUP(A1138,[1]timesData!$B:$P,7,FALSE)</f>
        <v>#N/A</v>
      </c>
      <c r="I1137" t="e">
        <f>VLOOKUP(A1138,[1]timesData!$B:$P,8,FALSE)</f>
        <v>#N/A</v>
      </c>
      <c r="J1137" t="e">
        <f>VLOOKUP(A1138,[1]timesData!$B:$P,9,FALSE)</f>
        <v>#N/A</v>
      </c>
      <c r="K1137" t="e">
        <f>VLOOKUP(A1138,[1]timesData!$B:$P,10,FALSE)</f>
        <v>#N/A</v>
      </c>
      <c r="L1137" t="e">
        <f>VLOOKUP(A1138,[1]timesData!$B:$P,11,FALSE)</f>
        <v>#N/A</v>
      </c>
      <c r="M1137" t="e">
        <f>VLOOKUP(A1138,[1]timesData!$B:$P,12,FALSE)</f>
        <v>#N/A</v>
      </c>
      <c r="N1137" t="e">
        <f>VLOOKUP(A1138,[1]timesData!$B:$P,13,FALSE)</f>
        <v>#N/A</v>
      </c>
      <c r="O1137">
        <f>VLOOKUP(A1137,[2]cwurData!$B:$P,14,FALSE)</f>
        <v>854</v>
      </c>
      <c r="P1137">
        <f>VLOOKUP(A1137,[2]cwurData!$B:$N, 3, FALSE)</f>
        <v>30</v>
      </c>
      <c r="Q1137">
        <f>VLOOKUP(A1137,[2]cwurData!$B:$N, 4, FALSE)</f>
        <v>355</v>
      </c>
      <c r="R1137">
        <f>VLOOKUP(A1137,[2]cwurData!$B:$N, 5, FALSE)</f>
        <v>478</v>
      </c>
      <c r="S1137">
        <f>VLOOKUP(A1137,[2]cwurData!$B:$N, 6, FALSE)</f>
        <v>210</v>
      </c>
      <c r="T1137">
        <f>VLOOKUP(A1137,[2]cwurData!$B:$N, 7, FALSE)</f>
        <v>912</v>
      </c>
      <c r="U1137">
        <f>VLOOKUP(A1137,[2]cwurData!$B:$N, 8, FALSE)</f>
        <v>829</v>
      </c>
      <c r="V1137">
        <f>VLOOKUP(A1137,[2]cwurData!$B:$N, 9, FALSE)</f>
        <v>493</v>
      </c>
      <c r="W1137">
        <f>VLOOKUP(A1137,[2]cwurData!$B:$N, 10, FALSE)</f>
        <v>783</v>
      </c>
      <c r="X1137">
        <f>VLOOKUP(A1137,[2]cwurData!$B:$N, 11, FALSE)</f>
        <v>637</v>
      </c>
      <c r="Y1137">
        <f>VLOOKUP(A1137,[2]cwurData!$B:$N, 12, FALSE)</f>
        <v>44.44</v>
      </c>
      <c r="Z1137">
        <f>VLOOKUP(A1137,[2]cwurData!$B:$N, 13, FALSE)</f>
        <v>2014</v>
      </c>
    </row>
    <row r="1138" spans="1:26" x14ac:dyDescent="0.3">
      <c r="A1138" t="s">
        <v>1134</v>
      </c>
      <c r="B1138" t="str">
        <f>IFERROR(VLOOKUP(A1138,[1]timesData!$B:$P,2,FALSE),VLOOKUP(A1138,[2]cwurData!$B:$P,2,FALSE))</f>
        <v>Japan</v>
      </c>
      <c r="C1138" t="e">
        <f>VLOOKUP(A1138,[1]timesData!$B:$P,3,FALSE)</f>
        <v>#N/A</v>
      </c>
      <c r="D1138" t="e">
        <f>VLOOKUP(A1139,[1]timesData!$B:$P,3,FALSE)</f>
        <v>#N/A</v>
      </c>
      <c r="E1138" t="e">
        <f>VLOOKUP(A1139,[1]timesData!$B:$P,4,FALSE)</f>
        <v>#N/A</v>
      </c>
      <c r="F1138" t="e">
        <f>VLOOKUP(A1139,[1]timesData!$B:$P,5,FALSE)</f>
        <v>#N/A</v>
      </c>
      <c r="G1138" t="e">
        <f>VLOOKUP(A1139,[1]timesData!$B:$P,6,FALSE)</f>
        <v>#N/A</v>
      </c>
      <c r="H1138" t="e">
        <f>VLOOKUP(A1139,[1]timesData!$B:$P,7,FALSE)</f>
        <v>#N/A</v>
      </c>
      <c r="I1138" t="e">
        <f>VLOOKUP(A1139,[1]timesData!$B:$P,8,FALSE)</f>
        <v>#N/A</v>
      </c>
      <c r="J1138" t="e">
        <f>VLOOKUP(A1139,[1]timesData!$B:$P,9,FALSE)</f>
        <v>#N/A</v>
      </c>
      <c r="K1138" t="e">
        <f>VLOOKUP(A1139,[1]timesData!$B:$P,10,FALSE)</f>
        <v>#N/A</v>
      </c>
      <c r="L1138" t="e">
        <f>VLOOKUP(A1139,[1]timesData!$B:$P,11,FALSE)</f>
        <v>#N/A</v>
      </c>
      <c r="M1138" t="e">
        <f>VLOOKUP(A1139,[1]timesData!$B:$P,12,FALSE)</f>
        <v>#N/A</v>
      </c>
      <c r="N1138" t="e">
        <f>VLOOKUP(A1139,[1]timesData!$B:$P,13,FALSE)</f>
        <v>#N/A</v>
      </c>
      <c r="O1138">
        <f>VLOOKUP(A1138,[2]cwurData!$B:$P,14,FALSE)</f>
        <v>860</v>
      </c>
      <c r="P1138">
        <f>VLOOKUP(A1138,[2]cwurData!$B:$N, 3, FALSE)</f>
        <v>68</v>
      </c>
      <c r="Q1138">
        <f>VLOOKUP(A1138,[2]cwurData!$B:$N, 4, FALSE)</f>
        <v>355</v>
      </c>
      <c r="R1138">
        <f>VLOOKUP(A1138,[2]cwurData!$B:$N, 5, FALSE)</f>
        <v>478</v>
      </c>
      <c r="S1138">
        <f>VLOOKUP(A1138,[2]cwurData!$B:$N, 6, FALSE)</f>
        <v>210</v>
      </c>
      <c r="T1138">
        <f>VLOOKUP(A1138,[2]cwurData!$B:$N, 7, FALSE)</f>
        <v>966</v>
      </c>
      <c r="U1138">
        <f>VLOOKUP(A1138,[2]cwurData!$B:$N, 8, FALSE)</f>
        <v>901</v>
      </c>
      <c r="V1138">
        <f>VLOOKUP(A1138,[2]cwurData!$B:$N, 9, FALSE)</f>
        <v>609</v>
      </c>
      <c r="W1138">
        <f>VLOOKUP(A1138,[2]cwurData!$B:$N, 10, FALSE)</f>
        <v>783</v>
      </c>
      <c r="X1138">
        <f>VLOOKUP(A1138,[2]cwurData!$B:$N, 11, FALSE)</f>
        <v>637</v>
      </c>
      <c r="Y1138">
        <f>VLOOKUP(A1138,[2]cwurData!$B:$N, 12, FALSE)</f>
        <v>44.44</v>
      </c>
      <c r="Z1138">
        <f>VLOOKUP(A1138,[2]cwurData!$B:$N, 13, FALSE)</f>
        <v>2014</v>
      </c>
    </row>
    <row r="1139" spans="1:26" x14ac:dyDescent="0.3">
      <c r="A1139" t="s">
        <v>1135</v>
      </c>
      <c r="B1139" t="str">
        <f>IFERROR(VLOOKUP(A1139,[1]timesData!$B:$P,2,FALSE),VLOOKUP(A1139,[2]cwurData!$B:$P,2,FALSE))</f>
        <v>Japan</v>
      </c>
      <c r="C1139" t="e">
        <f>VLOOKUP(A1139,[1]timesData!$B:$P,3,FALSE)</f>
        <v>#N/A</v>
      </c>
      <c r="D1139" t="e">
        <f>VLOOKUP(A1140,[1]timesData!$B:$P,3,FALSE)</f>
        <v>#N/A</v>
      </c>
      <c r="E1139" t="e">
        <f>VLOOKUP(A1140,[1]timesData!$B:$P,4,FALSE)</f>
        <v>#N/A</v>
      </c>
      <c r="F1139" t="e">
        <f>VLOOKUP(A1140,[1]timesData!$B:$P,5,FALSE)</f>
        <v>#N/A</v>
      </c>
      <c r="G1139" t="e">
        <f>VLOOKUP(A1140,[1]timesData!$B:$P,6,FALSE)</f>
        <v>#N/A</v>
      </c>
      <c r="H1139" t="e">
        <f>VLOOKUP(A1140,[1]timesData!$B:$P,7,FALSE)</f>
        <v>#N/A</v>
      </c>
      <c r="I1139" t="e">
        <f>VLOOKUP(A1140,[1]timesData!$B:$P,8,FALSE)</f>
        <v>#N/A</v>
      </c>
      <c r="J1139" t="e">
        <f>VLOOKUP(A1140,[1]timesData!$B:$P,9,FALSE)</f>
        <v>#N/A</v>
      </c>
      <c r="K1139" t="e">
        <f>VLOOKUP(A1140,[1]timesData!$B:$P,10,FALSE)</f>
        <v>#N/A</v>
      </c>
      <c r="L1139" t="e">
        <f>VLOOKUP(A1140,[1]timesData!$B:$P,11,FALSE)</f>
        <v>#N/A</v>
      </c>
      <c r="M1139" t="e">
        <f>VLOOKUP(A1140,[1]timesData!$B:$P,12,FALSE)</f>
        <v>#N/A</v>
      </c>
      <c r="N1139" t="e">
        <f>VLOOKUP(A1140,[1]timesData!$B:$P,13,FALSE)</f>
        <v>#N/A</v>
      </c>
      <c r="O1139">
        <f>VLOOKUP(A1139,[2]cwurData!$B:$P,14,FALSE)</f>
        <v>863</v>
      </c>
      <c r="P1139">
        <f>VLOOKUP(A1139,[2]cwurData!$B:$N, 3, FALSE)</f>
        <v>69</v>
      </c>
      <c r="Q1139">
        <f>VLOOKUP(A1139,[2]cwurData!$B:$N, 4, FALSE)</f>
        <v>355</v>
      </c>
      <c r="R1139">
        <f>VLOOKUP(A1139,[2]cwurData!$B:$N, 5, FALSE)</f>
        <v>478</v>
      </c>
      <c r="S1139">
        <f>VLOOKUP(A1139,[2]cwurData!$B:$N, 6, FALSE)</f>
        <v>210</v>
      </c>
      <c r="T1139">
        <f>VLOOKUP(A1139,[2]cwurData!$B:$N, 7, FALSE)</f>
        <v>879</v>
      </c>
      <c r="U1139">
        <f>VLOOKUP(A1139,[2]cwurData!$B:$N, 8, FALSE)</f>
        <v>761</v>
      </c>
      <c r="V1139">
        <f>VLOOKUP(A1139,[2]cwurData!$B:$N, 9, FALSE)</f>
        <v>800</v>
      </c>
      <c r="W1139">
        <f>VLOOKUP(A1139,[2]cwurData!$B:$N, 10, FALSE)</f>
        <v>783</v>
      </c>
      <c r="X1139">
        <f>VLOOKUP(A1139,[2]cwurData!$B:$N, 11, FALSE)</f>
        <v>737</v>
      </c>
      <c r="Y1139">
        <f>VLOOKUP(A1139,[2]cwurData!$B:$N, 12, FALSE)</f>
        <v>44.44</v>
      </c>
      <c r="Z1139">
        <f>VLOOKUP(A1139,[2]cwurData!$B:$N, 13, FALSE)</f>
        <v>2014</v>
      </c>
    </row>
    <row r="1140" spans="1:26" x14ac:dyDescent="0.3">
      <c r="A1140" t="s">
        <v>1136</v>
      </c>
      <c r="B1140" t="str">
        <f>IFERROR(VLOOKUP(A1140,[1]timesData!$B:$P,2,FALSE),VLOOKUP(A1140,[2]cwurData!$B:$P,2,FALSE))</f>
        <v>China</v>
      </c>
      <c r="C1140" t="e">
        <f>VLOOKUP(A1140,[1]timesData!$B:$P,3,FALSE)</f>
        <v>#N/A</v>
      </c>
      <c r="D1140" t="e">
        <f>VLOOKUP(A1141,[1]timesData!$B:$P,3,FALSE)</f>
        <v>#N/A</v>
      </c>
      <c r="E1140" t="e">
        <f>VLOOKUP(A1141,[1]timesData!$B:$P,4,FALSE)</f>
        <v>#N/A</v>
      </c>
      <c r="F1140" t="e">
        <f>VLOOKUP(A1141,[1]timesData!$B:$P,5,FALSE)</f>
        <v>#N/A</v>
      </c>
      <c r="G1140" t="e">
        <f>VLOOKUP(A1141,[1]timesData!$B:$P,6,FALSE)</f>
        <v>#N/A</v>
      </c>
      <c r="H1140" t="e">
        <f>VLOOKUP(A1141,[1]timesData!$B:$P,7,FALSE)</f>
        <v>#N/A</v>
      </c>
      <c r="I1140" t="e">
        <f>VLOOKUP(A1141,[1]timesData!$B:$P,8,FALSE)</f>
        <v>#N/A</v>
      </c>
      <c r="J1140" t="e">
        <f>VLOOKUP(A1141,[1]timesData!$B:$P,9,FALSE)</f>
        <v>#N/A</v>
      </c>
      <c r="K1140" t="e">
        <f>VLOOKUP(A1141,[1]timesData!$B:$P,10,FALSE)</f>
        <v>#N/A</v>
      </c>
      <c r="L1140" t="e">
        <f>VLOOKUP(A1141,[1]timesData!$B:$P,11,FALSE)</f>
        <v>#N/A</v>
      </c>
      <c r="M1140" t="e">
        <f>VLOOKUP(A1141,[1]timesData!$B:$P,12,FALSE)</f>
        <v>#N/A</v>
      </c>
      <c r="N1140" t="e">
        <f>VLOOKUP(A1141,[1]timesData!$B:$P,13,FALSE)</f>
        <v>#N/A</v>
      </c>
      <c r="O1140">
        <f>VLOOKUP(A1140,[2]cwurData!$B:$P,14,FALSE)</f>
        <v>865</v>
      </c>
      <c r="P1140">
        <f>VLOOKUP(A1140,[2]cwurData!$B:$N, 3, FALSE)</f>
        <v>50</v>
      </c>
      <c r="Q1140">
        <f>VLOOKUP(A1140,[2]cwurData!$B:$N, 4, FALSE)</f>
        <v>355</v>
      </c>
      <c r="R1140">
        <f>VLOOKUP(A1140,[2]cwurData!$B:$N, 5, FALSE)</f>
        <v>478</v>
      </c>
      <c r="S1140">
        <f>VLOOKUP(A1140,[2]cwurData!$B:$N, 6, FALSE)</f>
        <v>210</v>
      </c>
      <c r="T1140">
        <f>VLOOKUP(A1140,[2]cwurData!$B:$N, 7, FALSE)</f>
        <v>810</v>
      </c>
      <c r="U1140">
        <f>VLOOKUP(A1140,[2]cwurData!$B:$N, 8, FALSE)</f>
        <v>987</v>
      </c>
      <c r="V1140">
        <f>VLOOKUP(A1140,[2]cwurData!$B:$N, 9, FALSE)</f>
        <v>800</v>
      </c>
      <c r="W1140">
        <f>VLOOKUP(A1140,[2]cwurData!$B:$N, 10, FALSE)</f>
        <v>948</v>
      </c>
      <c r="X1140">
        <f>VLOOKUP(A1140,[2]cwurData!$B:$N, 11, FALSE)</f>
        <v>227</v>
      </c>
      <c r="Y1140">
        <f>VLOOKUP(A1140,[2]cwurData!$B:$N, 12, FALSE)</f>
        <v>44.44</v>
      </c>
      <c r="Z1140">
        <f>VLOOKUP(A1140,[2]cwurData!$B:$N, 13, FALSE)</f>
        <v>2014</v>
      </c>
    </row>
    <row r="1141" spans="1:26" x14ac:dyDescent="0.3">
      <c r="A1141" t="s">
        <v>1137</v>
      </c>
      <c r="B1141" t="str">
        <f>IFERROR(VLOOKUP(A1141,[1]timesData!$B:$P,2,FALSE),VLOOKUP(A1141,[2]cwurData!$B:$P,2,FALSE))</f>
        <v>Australia</v>
      </c>
      <c r="C1141" t="e">
        <f>VLOOKUP(A1141,[1]timesData!$B:$P,3,FALSE)</f>
        <v>#N/A</v>
      </c>
      <c r="D1141" t="e">
        <f>VLOOKUP(A1142,[1]timesData!$B:$P,3,FALSE)</f>
        <v>#N/A</v>
      </c>
      <c r="E1141" t="e">
        <f>VLOOKUP(A1142,[1]timesData!$B:$P,4,FALSE)</f>
        <v>#N/A</v>
      </c>
      <c r="F1141" t="e">
        <f>VLOOKUP(A1142,[1]timesData!$B:$P,5,FALSE)</f>
        <v>#N/A</v>
      </c>
      <c r="G1141" t="e">
        <f>VLOOKUP(A1142,[1]timesData!$B:$P,6,FALSE)</f>
        <v>#N/A</v>
      </c>
      <c r="H1141" t="e">
        <f>VLOOKUP(A1142,[1]timesData!$B:$P,7,FALSE)</f>
        <v>#N/A</v>
      </c>
      <c r="I1141" t="e">
        <f>VLOOKUP(A1142,[1]timesData!$B:$P,8,FALSE)</f>
        <v>#N/A</v>
      </c>
      <c r="J1141" t="e">
        <f>VLOOKUP(A1142,[1]timesData!$B:$P,9,FALSE)</f>
        <v>#N/A</v>
      </c>
      <c r="K1141" t="e">
        <f>VLOOKUP(A1142,[1]timesData!$B:$P,10,FALSE)</f>
        <v>#N/A</v>
      </c>
      <c r="L1141" t="e">
        <f>VLOOKUP(A1142,[1]timesData!$B:$P,11,FALSE)</f>
        <v>#N/A</v>
      </c>
      <c r="M1141" t="e">
        <f>VLOOKUP(A1142,[1]timesData!$B:$P,12,FALSE)</f>
        <v>#N/A</v>
      </c>
      <c r="N1141" t="e">
        <f>VLOOKUP(A1142,[1]timesData!$B:$P,13,FALSE)</f>
        <v>#N/A</v>
      </c>
      <c r="O1141">
        <f>VLOOKUP(A1141,[2]cwurData!$B:$P,14,FALSE)</f>
        <v>866</v>
      </c>
      <c r="P1141">
        <f>VLOOKUP(A1141,[2]cwurData!$B:$N, 3, FALSE)</f>
        <v>24</v>
      </c>
      <c r="Q1141">
        <f>VLOOKUP(A1141,[2]cwurData!$B:$N, 4, FALSE)</f>
        <v>355</v>
      </c>
      <c r="R1141">
        <f>VLOOKUP(A1141,[2]cwurData!$B:$N, 5, FALSE)</f>
        <v>478</v>
      </c>
      <c r="S1141">
        <f>VLOOKUP(A1141,[2]cwurData!$B:$N, 6, FALSE)</f>
        <v>210</v>
      </c>
      <c r="T1141">
        <f>VLOOKUP(A1141,[2]cwurData!$B:$N, 7, FALSE)</f>
        <v>613</v>
      </c>
      <c r="U1141">
        <f>VLOOKUP(A1141,[2]cwurData!$B:$N, 8, FALSE)</f>
        <v>696</v>
      </c>
      <c r="V1141">
        <f>VLOOKUP(A1141,[2]cwurData!$B:$N, 9, FALSE)</f>
        <v>493</v>
      </c>
      <c r="W1141">
        <f>VLOOKUP(A1141,[2]cwurData!$B:$N, 10, FALSE)</f>
        <v>849</v>
      </c>
      <c r="X1141">
        <f>VLOOKUP(A1141,[2]cwurData!$B:$N, 11, FALSE)</f>
        <v>426</v>
      </c>
      <c r="Y1141">
        <f>VLOOKUP(A1141,[2]cwurData!$B:$N, 12, FALSE)</f>
        <v>44.43</v>
      </c>
      <c r="Z1141">
        <f>VLOOKUP(A1141,[2]cwurData!$B:$N, 13, FALSE)</f>
        <v>2014</v>
      </c>
    </row>
    <row r="1142" spans="1:26" x14ac:dyDescent="0.3">
      <c r="A1142" t="s">
        <v>1138</v>
      </c>
      <c r="B1142" t="str">
        <f>IFERROR(VLOOKUP(A1142,[1]timesData!$B:$P,2,FALSE),VLOOKUP(A1142,[2]cwurData!$B:$P,2,FALSE))</f>
        <v>India</v>
      </c>
      <c r="C1142" t="e">
        <f>VLOOKUP(A1142,[1]timesData!$B:$P,3,FALSE)</f>
        <v>#N/A</v>
      </c>
      <c r="D1142" t="e">
        <f>VLOOKUP(A1143,[1]timesData!$B:$P,3,FALSE)</f>
        <v>#N/A</v>
      </c>
      <c r="E1142" t="e">
        <f>VLOOKUP(A1143,[1]timesData!$B:$P,4,FALSE)</f>
        <v>#N/A</v>
      </c>
      <c r="F1142" t="e">
        <f>VLOOKUP(A1143,[1]timesData!$B:$P,5,FALSE)</f>
        <v>#N/A</v>
      </c>
      <c r="G1142" t="e">
        <f>VLOOKUP(A1143,[1]timesData!$B:$P,6,FALSE)</f>
        <v>#N/A</v>
      </c>
      <c r="H1142" t="e">
        <f>VLOOKUP(A1143,[1]timesData!$B:$P,7,FALSE)</f>
        <v>#N/A</v>
      </c>
      <c r="I1142" t="e">
        <f>VLOOKUP(A1143,[1]timesData!$B:$P,8,FALSE)</f>
        <v>#N/A</v>
      </c>
      <c r="J1142" t="e">
        <f>VLOOKUP(A1143,[1]timesData!$B:$P,9,FALSE)</f>
        <v>#N/A</v>
      </c>
      <c r="K1142" t="e">
        <f>VLOOKUP(A1143,[1]timesData!$B:$P,10,FALSE)</f>
        <v>#N/A</v>
      </c>
      <c r="L1142" t="e">
        <f>VLOOKUP(A1143,[1]timesData!$B:$P,11,FALSE)</f>
        <v>#N/A</v>
      </c>
      <c r="M1142" t="e">
        <f>VLOOKUP(A1143,[1]timesData!$B:$P,12,FALSE)</f>
        <v>#N/A</v>
      </c>
      <c r="N1142" t="e">
        <f>VLOOKUP(A1143,[1]timesData!$B:$P,13,FALSE)</f>
        <v>#N/A</v>
      </c>
      <c r="O1142">
        <f>VLOOKUP(A1142,[2]cwurData!$B:$P,14,FALSE)</f>
        <v>868</v>
      </c>
      <c r="P1142">
        <f>VLOOKUP(A1142,[2]cwurData!$B:$N, 3, FALSE)</f>
        <v>13</v>
      </c>
      <c r="Q1142">
        <f>VLOOKUP(A1142,[2]cwurData!$B:$N, 4, FALSE)</f>
        <v>355</v>
      </c>
      <c r="R1142">
        <f>VLOOKUP(A1142,[2]cwurData!$B:$N, 5, FALSE)</f>
        <v>478</v>
      </c>
      <c r="S1142">
        <f>VLOOKUP(A1142,[2]cwurData!$B:$N, 6, FALSE)</f>
        <v>210</v>
      </c>
      <c r="T1142">
        <f>VLOOKUP(A1142,[2]cwurData!$B:$N, 7, FALSE)</f>
        <v>879</v>
      </c>
      <c r="U1142">
        <f>VLOOKUP(A1142,[2]cwurData!$B:$N, 8, FALSE)</f>
        <v>853</v>
      </c>
      <c r="V1142">
        <f>VLOOKUP(A1142,[2]cwurData!$B:$N, 9, FALSE)</f>
        <v>609</v>
      </c>
      <c r="W1142">
        <f>VLOOKUP(A1142,[2]cwurData!$B:$N, 10, FALSE)</f>
        <v>800</v>
      </c>
      <c r="X1142">
        <f>VLOOKUP(A1142,[2]cwurData!$B:$N, 11, FALSE)</f>
        <v>637</v>
      </c>
      <c r="Y1142">
        <f>VLOOKUP(A1142,[2]cwurData!$B:$N, 12, FALSE)</f>
        <v>44.43</v>
      </c>
      <c r="Z1142">
        <f>VLOOKUP(A1142,[2]cwurData!$B:$N, 13, FALSE)</f>
        <v>2014</v>
      </c>
    </row>
    <row r="1143" spans="1:26" x14ac:dyDescent="0.3">
      <c r="A1143" t="s">
        <v>1139</v>
      </c>
      <c r="B1143" t="str">
        <f>IFERROR(VLOOKUP(A1143,[1]timesData!$B:$P,2,FALSE),VLOOKUP(A1143,[2]cwurData!$B:$P,2,FALSE))</f>
        <v>Japan</v>
      </c>
      <c r="C1143" t="e">
        <f>VLOOKUP(A1143,[1]timesData!$B:$P,3,FALSE)</f>
        <v>#N/A</v>
      </c>
      <c r="D1143" t="e">
        <f>VLOOKUP(A1144,[1]timesData!$B:$P,3,FALSE)</f>
        <v>#N/A</v>
      </c>
      <c r="E1143" t="e">
        <f>VLOOKUP(A1144,[1]timesData!$B:$P,4,FALSE)</f>
        <v>#N/A</v>
      </c>
      <c r="F1143" t="e">
        <f>VLOOKUP(A1144,[1]timesData!$B:$P,5,FALSE)</f>
        <v>#N/A</v>
      </c>
      <c r="G1143" t="e">
        <f>VLOOKUP(A1144,[1]timesData!$B:$P,6,FALSE)</f>
        <v>#N/A</v>
      </c>
      <c r="H1143" t="e">
        <f>VLOOKUP(A1144,[1]timesData!$B:$P,7,FALSE)</f>
        <v>#N/A</v>
      </c>
      <c r="I1143" t="e">
        <f>VLOOKUP(A1144,[1]timesData!$B:$P,8,FALSE)</f>
        <v>#N/A</v>
      </c>
      <c r="J1143" t="e">
        <f>VLOOKUP(A1144,[1]timesData!$B:$P,9,FALSE)</f>
        <v>#N/A</v>
      </c>
      <c r="K1143" t="e">
        <f>VLOOKUP(A1144,[1]timesData!$B:$P,10,FALSE)</f>
        <v>#N/A</v>
      </c>
      <c r="L1143" t="e">
        <f>VLOOKUP(A1144,[1]timesData!$B:$P,11,FALSE)</f>
        <v>#N/A</v>
      </c>
      <c r="M1143" t="e">
        <f>VLOOKUP(A1144,[1]timesData!$B:$P,12,FALSE)</f>
        <v>#N/A</v>
      </c>
      <c r="N1143" t="e">
        <f>VLOOKUP(A1144,[1]timesData!$B:$P,13,FALSE)</f>
        <v>#N/A</v>
      </c>
      <c r="O1143">
        <f>VLOOKUP(A1143,[2]cwurData!$B:$P,14,FALSE)</f>
        <v>869</v>
      </c>
      <c r="P1143">
        <f>VLOOKUP(A1143,[2]cwurData!$B:$N, 3, FALSE)</f>
        <v>70</v>
      </c>
      <c r="Q1143">
        <f>VLOOKUP(A1143,[2]cwurData!$B:$N, 4, FALSE)</f>
        <v>355</v>
      </c>
      <c r="R1143">
        <f>VLOOKUP(A1143,[2]cwurData!$B:$N, 5, FALSE)</f>
        <v>478</v>
      </c>
      <c r="S1143">
        <f>VLOOKUP(A1143,[2]cwurData!$B:$N, 6, FALSE)</f>
        <v>210</v>
      </c>
      <c r="T1143">
        <f>VLOOKUP(A1143,[2]cwurData!$B:$N, 7, FALSE)</f>
        <v>927</v>
      </c>
      <c r="U1143">
        <f>VLOOKUP(A1143,[2]cwurData!$B:$N, 8, FALSE)</f>
        <v>831</v>
      </c>
      <c r="V1143">
        <f>VLOOKUP(A1143,[2]cwurData!$B:$N, 9, FALSE)</f>
        <v>800</v>
      </c>
      <c r="W1143">
        <f>VLOOKUP(A1143,[2]cwurData!$B:$N, 10, FALSE)</f>
        <v>874</v>
      </c>
      <c r="X1143">
        <f>VLOOKUP(A1143,[2]cwurData!$B:$N, 11, FALSE)</f>
        <v>307</v>
      </c>
      <c r="Y1143">
        <f>VLOOKUP(A1143,[2]cwurData!$B:$N, 12, FALSE)</f>
        <v>44.43</v>
      </c>
      <c r="Z1143">
        <f>VLOOKUP(A1143,[2]cwurData!$B:$N, 13, FALSE)</f>
        <v>2014</v>
      </c>
    </row>
    <row r="1144" spans="1:26" x14ac:dyDescent="0.3">
      <c r="A1144" t="s">
        <v>1140</v>
      </c>
      <c r="B1144" t="str">
        <f>IFERROR(VLOOKUP(A1144,[1]timesData!$B:$P,2,FALSE),VLOOKUP(A1144,[2]cwurData!$B:$P,2,FALSE))</f>
        <v>Italy</v>
      </c>
      <c r="C1144" t="e">
        <f>VLOOKUP(A1144,[1]timesData!$B:$P,3,FALSE)</f>
        <v>#N/A</v>
      </c>
      <c r="D1144" t="e">
        <f>VLOOKUP(A1145,[1]timesData!$B:$P,3,FALSE)</f>
        <v>#N/A</v>
      </c>
      <c r="E1144" t="e">
        <f>VLOOKUP(A1145,[1]timesData!$B:$P,4,FALSE)</f>
        <v>#N/A</v>
      </c>
      <c r="F1144" t="e">
        <f>VLOOKUP(A1145,[1]timesData!$B:$P,5,FALSE)</f>
        <v>#N/A</v>
      </c>
      <c r="G1144" t="e">
        <f>VLOOKUP(A1145,[1]timesData!$B:$P,6,FALSE)</f>
        <v>#N/A</v>
      </c>
      <c r="H1144" t="e">
        <f>VLOOKUP(A1145,[1]timesData!$B:$P,7,FALSE)</f>
        <v>#N/A</v>
      </c>
      <c r="I1144" t="e">
        <f>VLOOKUP(A1145,[1]timesData!$B:$P,8,FALSE)</f>
        <v>#N/A</v>
      </c>
      <c r="J1144" t="e">
        <f>VLOOKUP(A1145,[1]timesData!$B:$P,9,FALSE)</f>
        <v>#N/A</v>
      </c>
      <c r="K1144" t="e">
        <f>VLOOKUP(A1145,[1]timesData!$B:$P,10,FALSE)</f>
        <v>#N/A</v>
      </c>
      <c r="L1144" t="e">
        <f>VLOOKUP(A1145,[1]timesData!$B:$P,11,FALSE)</f>
        <v>#N/A</v>
      </c>
      <c r="M1144" t="e">
        <f>VLOOKUP(A1145,[1]timesData!$B:$P,12,FALSE)</f>
        <v>#N/A</v>
      </c>
      <c r="N1144" t="e">
        <f>VLOOKUP(A1145,[1]timesData!$B:$P,13,FALSE)</f>
        <v>#N/A</v>
      </c>
      <c r="O1144">
        <f>VLOOKUP(A1144,[2]cwurData!$B:$P,14,FALSE)</f>
        <v>872</v>
      </c>
      <c r="P1144">
        <f>VLOOKUP(A1144,[2]cwurData!$B:$N, 3, FALSE)</f>
        <v>46</v>
      </c>
      <c r="Q1144">
        <f>VLOOKUP(A1144,[2]cwurData!$B:$N, 4, FALSE)</f>
        <v>355</v>
      </c>
      <c r="R1144">
        <f>VLOOKUP(A1144,[2]cwurData!$B:$N, 5, FALSE)</f>
        <v>478</v>
      </c>
      <c r="S1144">
        <f>VLOOKUP(A1144,[2]cwurData!$B:$N, 6, FALSE)</f>
        <v>210</v>
      </c>
      <c r="T1144">
        <f>VLOOKUP(A1144,[2]cwurData!$B:$N, 7, FALSE)</f>
        <v>844</v>
      </c>
      <c r="U1144">
        <f>VLOOKUP(A1144,[2]cwurData!$B:$N, 8, FALSE)</f>
        <v>804</v>
      </c>
      <c r="V1144">
        <f>VLOOKUP(A1144,[2]cwurData!$B:$N, 9, FALSE)</f>
        <v>800</v>
      </c>
      <c r="W1144">
        <f>VLOOKUP(A1144,[2]cwurData!$B:$N, 10, FALSE)</f>
        <v>800</v>
      </c>
      <c r="X1144">
        <f>VLOOKUP(A1144,[2]cwurData!$B:$N, 11, FALSE)</f>
        <v>637</v>
      </c>
      <c r="Y1144">
        <f>VLOOKUP(A1144,[2]cwurData!$B:$N, 12, FALSE)</f>
        <v>44.43</v>
      </c>
      <c r="Z1144">
        <f>VLOOKUP(A1144,[2]cwurData!$B:$N, 13, FALSE)</f>
        <v>2014</v>
      </c>
    </row>
    <row r="1145" spans="1:26" x14ac:dyDescent="0.3">
      <c r="A1145" t="s">
        <v>1141</v>
      </c>
      <c r="B1145" t="str">
        <f>IFERROR(VLOOKUP(A1145,[1]timesData!$B:$P,2,FALSE),VLOOKUP(A1145,[2]cwurData!$B:$P,2,FALSE))</f>
        <v>Japan</v>
      </c>
      <c r="C1145" t="e">
        <f>VLOOKUP(A1145,[1]timesData!$B:$P,3,FALSE)</f>
        <v>#N/A</v>
      </c>
      <c r="D1145" t="e">
        <f>VLOOKUP(A1146,[1]timesData!$B:$P,3,FALSE)</f>
        <v>#N/A</v>
      </c>
      <c r="E1145" t="e">
        <f>VLOOKUP(A1146,[1]timesData!$B:$P,4,FALSE)</f>
        <v>#N/A</v>
      </c>
      <c r="F1145" t="e">
        <f>VLOOKUP(A1146,[1]timesData!$B:$P,5,FALSE)</f>
        <v>#N/A</v>
      </c>
      <c r="G1145" t="e">
        <f>VLOOKUP(A1146,[1]timesData!$B:$P,6,FALSE)</f>
        <v>#N/A</v>
      </c>
      <c r="H1145" t="e">
        <f>VLOOKUP(A1146,[1]timesData!$B:$P,7,FALSE)</f>
        <v>#N/A</v>
      </c>
      <c r="I1145" t="e">
        <f>VLOOKUP(A1146,[1]timesData!$B:$P,8,FALSE)</f>
        <v>#N/A</v>
      </c>
      <c r="J1145" t="e">
        <f>VLOOKUP(A1146,[1]timesData!$B:$P,9,FALSE)</f>
        <v>#N/A</v>
      </c>
      <c r="K1145" t="e">
        <f>VLOOKUP(A1146,[1]timesData!$B:$P,10,FALSE)</f>
        <v>#N/A</v>
      </c>
      <c r="L1145" t="e">
        <f>VLOOKUP(A1146,[1]timesData!$B:$P,11,FALSE)</f>
        <v>#N/A</v>
      </c>
      <c r="M1145" t="e">
        <f>VLOOKUP(A1146,[1]timesData!$B:$P,12,FALSE)</f>
        <v>#N/A</v>
      </c>
      <c r="N1145" t="e">
        <f>VLOOKUP(A1146,[1]timesData!$B:$P,13,FALSE)</f>
        <v>#N/A</v>
      </c>
      <c r="O1145">
        <f>VLOOKUP(A1145,[2]cwurData!$B:$P,14,FALSE)</f>
        <v>873</v>
      </c>
      <c r="P1145">
        <f>VLOOKUP(A1145,[2]cwurData!$B:$N, 3, FALSE)</f>
        <v>71</v>
      </c>
      <c r="Q1145">
        <f>VLOOKUP(A1145,[2]cwurData!$B:$N, 4, FALSE)</f>
        <v>355</v>
      </c>
      <c r="R1145">
        <f>VLOOKUP(A1145,[2]cwurData!$B:$N, 5, FALSE)</f>
        <v>478</v>
      </c>
      <c r="S1145">
        <f>VLOOKUP(A1145,[2]cwurData!$B:$N, 6, FALSE)</f>
        <v>210</v>
      </c>
      <c r="T1145">
        <f>VLOOKUP(A1145,[2]cwurData!$B:$N, 7, FALSE)</f>
        <v>952</v>
      </c>
      <c r="U1145">
        <f>VLOOKUP(A1145,[2]cwurData!$B:$N, 8, FALSE)</f>
        <v>819</v>
      </c>
      <c r="V1145">
        <f>VLOOKUP(A1145,[2]cwurData!$B:$N, 9, FALSE)</f>
        <v>609</v>
      </c>
      <c r="W1145">
        <f>VLOOKUP(A1145,[2]cwurData!$B:$N, 10, FALSE)</f>
        <v>832</v>
      </c>
      <c r="X1145">
        <f>VLOOKUP(A1145,[2]cwurData!$B:$N, 11, FALSE)</f>
        <v>426</v>
      </c>
      <c r="Y1145">
        <f>VLOOKUP(A1145,[2]cwurData!$B:$N, 12, FALSE)</f>
        <v>44.43</v>
      </c>
      <c r="Z1145">
        <f>VLOOKUP(A1145,[2]cwurData!$B:$N, 13, FALSE)</f>
        <v>2014</v>
      </c>
    </row>
    <row r="1146" spans="1:26" x14ac:dyDescent="0.3">
      <c r="A1146" t="s">
        <v>1142</v>
      </c>
      <c r="B1146" t="str">
        <f>IFERROR(VLOOKUP(A1146,[1]timesData!$B:$P,2,FALSE),VLOOKUP(A1146,[2]cwurData!$B:$P,2,FALSE))</f>
        <v>USA</v>
      </c>
      <c r="C1146" t="e">
        <f>VLOOKUP(A1146,[1]timesData!$B:$P,3,FALSE)</f>
        <v>#N/A</v>
      </c>
      <c r="D1146" t="e">
        <f>VLOOKUP(A1147,[1]timesData!$B:$P,3,FALSE)</f>
        <v>#N/A</v>
      </c>
      <c r="E1146" t="e">
        <f>VLOOKUP(A1147,[1]timesData!$B:$P,4,FALSE)</f>
        <v>#N/A</v>
      </c>
      <c r="F1146" t="e">
        <f>VLOOKUP(A1147,[1]timesData!$B:$P,5,FALSE)</f>
        <v>#N/A</v>
      </c>
      <c r="G1146" t="e">
        <f>VLOOKUP(A1147,[1]timesData!$B:$P,6,FALSE)</f>
        <v>#N/A</v>
      </c>
      <c r="H1146" t="e">
        <f>VLOOKUP(A1147,[1]timesData!$B:$P,7,FALSE)</f>
        <v>#N/A</v>
      </c>
      <c r="I1146" t="e">
        <f>VLOOKUP(A1147,[1]timesData!$B:$P,8,FALSE)</f>
        <v>#N/A</v>
      </c>
      <c r="J1146" t="e">
        <f>VLOOKUP(A1147,[1]timesData!$B:$P,9,FALSE)</f>
        <v>#N/A</v>
      </c>
      <c r="K1146" t="e">
        <f>VLOOKUP(A1147,[1]timesData!$B:$P,10,FALSE)</f>
        <v>#N/A</v>
      </c>
      <c r="L1146" t="e">
        <f>VLOOKUP(A1147,[1]timesData!$B:$P,11,FALSE)</f>
        <v>#N/A</v>
      </c>
      <c r="M1146" t="e">
        <f>VLOOKUP(A1147,[1]timesData!$B:$P,12,FALSE)</f>
        <v>#N/A</v>
      </c>
      <c r="N1146" t="e">
        <f>VLOOKUP(A1147,[1]timesData!$B:$P,13,FALSE)</f>
        <v>#N/A</v>
      </c>
      <c r="O1146">
        <f>VLOOKUP(A1146,[2]cwurData!$B:$P,14,FALSE)</f>
        <v>874</v>
      </c>
      <c r="P1146">
        <f>VLOOKUP(A1146,[2]cwurData!$B:$N, 3, FALSE)</f>
        <v>225</v>
      </c>
      <c r="Q1146">
        <f>VLOOKUP(A1146,[2]cwurData!$B:$N, 4, FALSE)</f>
        <v>355</v>
      </c>
      <c r="R1146">
        <f>VLOOKUP(A1146,[2]cwurData!$B:$N, 5, FALSE)</f>
        <v>478</v>
      </c>
      <c r="S1146">
        <f>VLOOKUP(A1146,[2]cwurData!$B:$N, 6, FALSE)</f>
        <v>210</v>
      </c>
      <c r="T1146">
        <f>VLOOKUP(A1146,[2]cwurData!$B:$N, 7, FALSE)</f>
        <v>935</v>
      </c>
      <c r="U1146">
        <f>VLOOKUP(A1146,[2]cwurData!$B:$N, 8, FALSE)</f>
        <v>647</v>
      </c>
      <c r="V1146">
        <f>VLOOKUP(A1146,[2]cwurData!$B:$N, 9, FALSE)</f>
        <v>800</v>
      </c>
      <c r="W1146">
        <f>VLOOKUP(A1146,[2]cwurData!$B:$N, 10, FALSE)</f>
        <v>832</v>
      </c>
      <c r="X1146">
        <f>VLOOKUP(A1146,[2]cwurData!$B:$N, 11, FALSE)</f>
        <v>426</v>
      </c>
      <c r="Y1146">
        <f>VLOOKUP(A1146,[2]cwurData!$B:$N, 12, FALSE)</f>
        <v>44.43</v>
      </c>
      <c r="Z1146">
        <f>VLOOKUP(A1146,[2]cwurData!$B:$N, 13, FALSE)</f>
        <v>2014</v>
      </c>
    </row>
    <row r="1147" spans="1:26" x14ac:dyDescent="0.3">
      <c r="A1147" t="s">
        <v>1143</v>
      </c>
      <c r="B1147" t="str">
        <f>IFERROR(VLOOKUP(A1147,[1]timesData!$B:$P,2,FALSE),VLOOKUP(A1147,[2]cwurData!$B:$P,2,FALSE))</f>
        <v>Spain</v>
      </c>
      <c r="C1147" t="e">
        <f>VLOOKUP(A1147,[1]timesData!$B:$P,3,FALSE)</f>
        <v>#N/A</v>
      </c>
      <c r="D1147" t="e">
        <f>VLOOKUP(A1148,[1]timesData!$B:$P,3,FALSE)</f>
        <v>#N/A</v>
      </c>
      <c r="E1147" t="e">
        <f>VLOOKUP(A1148,[1]timesData!$B:$P,4,FALSE)</f>
        <v>#N/A</v>
      </c>
      <c r="F1147" t="e">
        <f>VLOOKUP(A1148,[1]timesData!$B:$P,5,FALSE)</f>
        <v>#N/A</v>
      </c>
      <c r="G1147" t="e">
        <f>VLOOKUP(A1148,[1]timesData!$B:$P,6,FALSE)</f>
        <v>#N/A</v>
      </c>
      <c r="H1147" t="e">
        <f>VLOOKUP(A1148,[1]timesData!$B:$P,7,FALSE)</f>
        <v>#N/A</v>
      </c>
      <c r="I1147" t="e">
        <f>VLOOKUP(A1148,[1]timesData!$B:$P,8,FALSE)</f>
        <v>#N/A</v>
      </c>
      <c r="J1147" t="e">
        <f>VLOOKUP(A1148,[1]timesData!$B:$P,9,FALSE)</f>
        <v>#N/A</v>
      </c>
      <c r="K1147" t="e">
        <f>VLOOKUP(A1148,[1]timesData!$B:$P,10,FALSE)</f>
        <v>#N/A</v>
      </c>
      <c r="L1147" t="e">
        <f>VLOOKUP(A1148,[1]timesData!$B:$P,11,FALSE)</f>
        <v>#N/A</v>
      </c>
      <c r="M1147" t="e">
        <f>VLOOKUP(A1148,[1]timesData!$B:$P,12,FALSE)</f>
        <v>#N/A</v>
      </c>
      <c r="N1147" t="e">
        <f>VLOOKUP(A1148,[1]timesData!$B:$P,13,FALSE)</f>
        <v>#N/A</v>
      </c>
      <c r="O1147">
        <f>VLOOKUP(A1147,[2]cwurData!$B:$P,14,FALSE)</f>
        <v>875</v>
      </c>
      <c r="P1147">
        <f>VLOOKUP(A1147,[2]cwurData!$B:$N, 3, FALSE)</f>
        <v>33</v>
      </c>
      <c r="Q1147">
        <f>VLOOKUP(A1147,[2]cwurData!$B:$N, 4, FALSE)</f>
        <v>355</v>
      </c>
      <c r="R1147">
        <f>VLOOKUP(A1147,[2]cwurData!$B:$N, 5, FALSE)</f>
        <v>478</v>
      </c>
      <c r="S1147">
        <f>VLOOKUP(A1147,[2]cwurData!$B:$N, 6, FALSE)</f>
        <v>210</v>
      </c>
      <c r="T1147">
        <f>VLOOKUP(A1147,[2]cwurData!$B:$N, 7, FALSE)</f>
        <v>729</v>
      </c>
      <c r="U1147">
        <f>VLOOKUP(A1147,[2]cwurData!$B:$N, 8, FALSE)</f>
        <v>871</v>
      </c>
      <c r="V1147">
        <f>VLOOKUP(A1147,[2]cwurData!$B:$N, 9, FALSE)</f>
        <v>800</v>
      </c>
      <c r="W1147">
        <f>VLOOKUP(A1147,[2]cwurData!$B:$N, 10, FALSE)</f>
        <v>819</v>
      </c>
      <c r="X1147">
        <f>VLOOKUP(A1147,[2]cwurData!$B:$N, 11, FALSE)</f>
        <v>637</v>
      </c>
      <c r="Y1147">
        <f>VLOOKUP(A1147,[2]cwurData!$B:$N, 12, FALSE)</f>
        <v>44.42</v>
      </c>
      <c r="Z1147">
        <f>VLOOKUP(A1147,[2]cwurData!$B:$N, 13, FALSE)</f>
        <v>2014</v>
      </c>
    </row>
    <row r="1148" spans="1:26" x14ac:dyDescent="0.3">
      <c r="A1148" t="s">
        <v>1144</v>
      </c>
      <c r="B1148" t="str">
        <f>IFERROR(VLOOKUP(A1148,[1]timesData!$B:$P,2,FALSE),VLOOKUP(A1148,[2]cwurData!$B:$P,2,FALSE))</f>
        <v>Japan</v>
      </c>
      <c r="C1148" t="e">
        <f>VLOOKUP(A1148,[1]timesData!$B:$P,3,FALSE)</f>
        <v>#N/A</v>
      </c>
      <c r="D1148" t="e">
        <f>VLOOKUP(A1149,[1]timesData!$B:$P,3,FALSE)</f>
        <v>#N/A</v>
      </c>
      <c r="E1148" t="e">
        <f>VLOOKUP(A1149,[1]timesData!$B:$P,4,FALSE)</f>
        <v>#N/A</v>
      </c>
      <c r="F1148" t="e">
        <f>VLOOKUP(A1149,[1]timesData!$B:$P,5,FALSE)</f>
        <v>#N/A</v>
      </c>
      <c r="G1148" t="e">
        <f>VLOOKUP(A1149,[1]timesData!$B:$P,6,FALSE)</f>
        <v>#N/A</v>
      </c>
      <c r="H1148" t="e">
        <f>VLOOKUP(A1149,[1]timesData!$B:$P,7,FALSE)</f>
        <v>#N/A</v>
      </c>
      <c r="I1148" t="e">
        <f>VLOOKUP(A1149,[1]timesData!$B:$P,8,FALSE)</f>
        <v>#N/A</v>
      </c>
      <c r="J1148" t="e">
        <f>VLOOKUP(A1149,[1]timesData!$B:$P,9,FALSE)</f>
        <v>#N/A</v>
      </c>
      <c r="K1148" t="e">
        <f>VLOOKUP(A1149,[1]timesData!$B:$P,10,FALSE)</f>
        <v>#N/A</v>
      </c>
      <c r="L1148" t="e">
        <f>VLOOKUP(A1149,[1]timesData!$B:$P,11,FALSE)</f>
        <v>#N/A</v>
      </c>
      <c r="M1148" t="e">
        <f>VLOOKUP(A1149,[1]timesData!$B:$P,12,FALSE)</f>
        <v>#N/A</v>
      </c>
      <c r="N1148" t="e">
        <f>VLOOKUP(A1149,[1]timesData!$B:$P,13,FALSE)</f>
        <v>#N/A</v>
      </c>
      <c r="O1148">
        <f>VLOOKUP(A1148,[2]cwurData!$B:$P,14,FALSE)</f>
        <v>876</v>
      </c>
      <c r="P1148">
        <f>VLOOKUP(A1148,[2]cwurData!$B:$N, 3, FALSE)</f>
        <v>72</v>
      </c>
      <c r="Q1148">
        <f>VLOOKUP(A1148,[2]cwurData!$B:$N, 4, FALSE)</f>
        <v>355</v>
      </c>
      <c r="R1148">
        <f>VLOOKUP(A1148,[2]cwurData!$B:$N, 5, FALSE)</f>
        <v>478</v>
      </c>
      <c r="S1148">
        <f>VLOOKUP(A1148,[2]cwurData!$B:$N, 6, FALSE)</f>
        <v>210</v>
      </c>
      <c r="T1148">
        <f>VLOOKUP(A1148,[2]cwurData!$B:$N, 7, FALSE)</f>
        <v>965</v>
      </c>
      <c r="U1148">
        <f>VLOOKUP(A1148,[2]cwurData!$B:$N, 8, FALSE)</f>
        <v>738</v>
      </c>
      <c r="V1148">
        <f>VLOOKUP(A1148,[2]cwurData!$B:$N, 9, FALSE)</f>
        <v>800</v>
      </c>
      <c r="W1148">
        <f>VLOOKUP(A1148,[2]cwurData!$B:$N, 10, FALSE)</f>
        <v>800</v>
      </c>
      <c r="X1148">
        <f>VLOOKUP(A1148,[2]cwurData!$B:$N, 11, FALSE)</f>
        <v>737</v>
      </c>
      <c r="Y1148">
        <f>VLOOKUP(A1148,[2]cwurData!$B:$N, 12, FALSE)</f>
        <v>44.42</v>
      </c>
      <c r="Z1148">
        <f>VLOOKUP(A1148,[2]cwurData!$B:$N, 13, FALSE)</f>
        <v>2014</v>
      </c>
    </row>
    <row r="1149" spans="1:26" x14ac:dyDescent="0.3">
      <c r="A1149" t="s">
        <v>1145</v>
      </c>
      <c r="B1149" t="str">
        <f>IFERROR(VLOOKUP(A1149,[1]timesData!$B:$P,2,FALSE),VLOOKUP(A1149,[2]cwurData!$B:$P,2,FALSE))</f>
        <v>China</v>
      </c>
      <c r="C1149" t="e">
        <f>VLOOKUP(A1149,[1]timesData!$B:$P,3,FALSE)</f>
        <v>#N/A</v>
      </c>
      <c r="D1149" t="e">
        <f>VLOOKUP(A1150,[1]timesData!$B:$P,3,FALSE)</f>
        <v>#N/A</v>
      </c>
      <c r="E1149" t="e">
        <f>VLOOKUP(A1150,[1]timesData!$B:$P,4,FALSE)</f>
        <v>#N/A</v>
      </c>
      <c r="F1149" t="e">
        <f>VLOOKUP(A1150,[1]timesData!$B:$P,5,FALSE)</f>
        <v>#N/A</v>
      </c>
      <c r="G1149" t="e">
        <f>VLOOKUP(A1150,[1]timesData!$B:$P,6,FALSE)</f>
        <v>#N/A</v>
      </c>
      <c r="H1149" t="e">
        <f>VLOOKUP(A1150,[1]timesData!$B:$P,7,FALSE)</f>
        <v>#N/A</v>
      </c>
      <c r="I1149" t="e">
        <f>VLOOKUP(A1150,[1]timesData!$B:$P,8,FALSE)</f>
        <v>#N/A</v>
      </c>
      <c r="J1149" t="e">
        <f>VLOOKUP(A1150,[1]timesData!$B:$P,9,FALSE)</f>
        <v>#N/A</v>
      </c>
      <c r="K1149" t="e">
        <f>VLOOKUP(A1150,[1]timesData!$B:$P,10,FALSE)</f>
        <v>#N/A</v>
      </c>
      <c r="L1149" t="e">
        <f>VLOOKUP(A1150,[1]timesData!$B:$P,11,FALSE)</f>
        <v>#N/A</v>
      </c>
      <c r="M1149" t="e">
        <f>VLOOKUP(A1150,[1]timesData!$B:$P,12,FALSE)</f>
        <v>#N/A</v>
      </c>
      <c r="N1149" t="e">
        <f>VLOOKUP(A1150,[1]timesData!$B:$P,13,FALSE)</f>
        <v>#N/A</v>
      </c>
      <c r="O1149">
        <f>VLOOKUP(A1149,[2]cwurData!$B:$P,14,FALSE)</f>
        <v>877</v>
      </c>
      <c r="P1149">
        <f>VLOOKUP(A1149,[2]cwurData!$B:$N, 3, FALSE)</f>
        <v>52</v>
      </c>
      <c r="Q1149">
        <f>VLOOKUP(A1149,[2]cwurData!$B:$N, 4, FALSE)</f>
        <v>355</v>
      </c>
      <c r="R1149">
        <f>VLOOKUP(A1149,[2]cwurData!$B:$N, 5, FALSE)</f>
        <v>478</v>
      </c>
      <c r="S1149">
        <f>VLOOKUP(A1149,[2]cwurData!$B:$N, 6, FALSE)</f>
        <v>210</v>
      </c>
      <c r="T1149">
        <f>VLOOKUP(A1149,[2]cwurData!$B:$N, 7, FALSE)</f>
        <v>873</v>
      </c>
      <c r="U1149">
        <f>VLOOKUP(A1149,[2]cwurData!$B:$N, 8, FALSE)</f>
        <v>922</v>
      </c>
      <c r="V1149">
        <f>VLOOKUP(A1149,[2]cwurData!$B:$N, 9, FALSE)</f>
        <v>800</v>
      </c>
      <c r="W1149">
        <f>VLOOKUP(A1149,[2]cwurData!$B:$N, 10, FALSE)</f>
        <v>819</v>
      </c>
      <c r="X1149">
        <f>VLOOKUP(A1149,[2]cwurData!$B:$N, 11, FALSE)</f>
        <v>552</v>
      </c>
      <c r="Y1149">
        <f>VLOOKUP(A1149,[2]cwurData!$B:$N, 12, FALSE)</f>
        <v>44.42</v>
      </c>
      <c r="Z1149">
        <f>VLOOKUP(A1149,[2]cwurData!$B:$N, 13, FALSE)</f>
        <v>2014</v>
      </c>
    </row>
    <row r="1150" spans="1:26" x14ac:dyDescent="0.3">
      <c r="A1150" t="s">
        <v>1146</v>
      </c>
      <c r="B1150" t="str">
        <f>IFERROR(VLOOKUP(A1150,[1]timesData!$B:$P,2,FALSE),VLOOKUP(A1150,[2]cwurData!$B:$P,2,FALSE))</f>
        <v>Poland</v>
      </c>
      <c r="C1150" t="e">
        <f>VLOOKUP(A1150,[1]timesData!$B:$P,3,FALSE)</f>
        <v>#N/A</v>
      </c>
      <c r="D1150" t="e">
        <f>VLOOKUP(A1151,[1]timesData!$B:$P,3,FALSE)</f>
        <v>#N/A</v>
      </c>
      <c r="E1150" t="e">
        <f>VLOOKUP(A1151,[1]timesData!$B:$P,4,FALSE)</f>
        <v>#N/A</v>
      </c>
      <c r="F1150" t="e">
        <f>VLOOKUP(A1151,[1]timesData!$B:$P,5,FALSE)</f>
        <v>#N/A</v>
      </c>
      <c r="G1150" t="e">
        <f>VLOOKUP(A1151,[1]timesData!$B:$P,6,FALSE)</f>
        <v>#N/A</v>
      </c>
      <c r="H1150" t="e">
        <f>VLOOKUP(A1151,[1]timesData!$B:$P,7,FALSE)</f>
        <v>#N/A</v>
      </c>
      <c r="I1150" t="e">
        <f>VLOOKUP(A1151,[1]timesData!$B:$P,8,FALSE)</f>
        <v>#N/A</v>
      </c>
      <c r="J1150" t="e">
        <f>VLOOKUP(A1151,[1]timesData!$B:$P,9,FALSE)</f>
        <v>#N/A</v>
      </c>
      <c r="K1150" t="e">
        <f>VLOOKUP(A1151,[1]timesData!$B:$P,10,FALSE)</f>
        <v>#N/A</v>
      </c>
      <c r="L1150" t="e">
        <f>VLOOKUP(A1151,[1]timesData!$B:$P,11,FALSE)</f>
        <v>#N/A</v>
      </c>
      <c r="M1150" t="e">
        <f>VLOOKUP(A1151,[1]timesData!$B:$P,12,FALSE)</f>
        <v>#N/A</v>
      </c>
      <c r="N1150" t="e">
        <f>VLOOKUP(A1151,[1]timesData!$B:$P,13,FALSE)</f>
        <v>#N/A</v>
      </c>
      <c r="O1150">
        <f>VLOOKUP(A1150,[2]cwurData!$B:$P,14,FALSE)</f>
        <v>878</v>
      </c>
      <c r="P1150">
        <f>VLOOKUP(A1150,[2]cwurData!$B:$N, 3, FALSE)</f>
        <v>5</v>
      </c>
      <c r="Q1150">
        <f>VLOOKUP(A1150,[2]cwurData!$B:$N, 4, FALSE)</f>
        <v>233</v>
      </c>
      <c r="R1150">
        <f>VLOOKUP(A1150,[2]cwurData!$B:$N, 5, FALSE)</f>
        <v>478</v>
      </c>
      <c r="S1150">
        <f>VLOOKUP(A1150,[2]cwurData!$B:$N, 6, FALSE)</f>
        <v>210</v>
      </c>
      <c r="T1150">
        <f>VLOOKUP(A1150,[2]cwurData!$B:$N, 7, FALSE)</f>
        <v>665</v>
      </c>
      <c r="U1150">
        <f>VLOOKUP(A1150,[2]cwurData!$B:$N, 8, FALSE)</f>
        <v>762</v>
      </c>
      <c r="V1150">
        <f>VLOOKUP(A1150,[2]cwurData!$B:$N, 9, FALSE)</f>
        <v>800</v>
      </c>
      <c r="W1150">
        <f>VLOOKUP(A1150,[2]cwurData!$B:$N, 10, FALSE)</f>
        <v>897</v>
      </c>
      <c r="X1150">
        <f>VLOOKUP(A1150,[2]cwurData!$B:$N, 11, FALSE)</f>
        <v>481</v>
      </c>
      <c r="Y1150">
        <f>VLOOKUP(A1150,[2]cwurData!$B:$N, 12, FALSE)</f>
        <v>44.42</v>
      </c>
      <c r="Z1150">
        <f>VLOOKUP(A1150,[2]cwurData!$B:$N, 13, FALSE)</f>
        <v>2014</v>
      </c>
    </row>
    <row r="1151" spans="1:26" x14ac:dyDescent="0.3">
      <c r="A1151" t="s">
        <v>1147</v>
      </c>
      <c r="B1151" t="str">
        <f>IFERROR(VLOOKUP(A1151,[1]timesData!$B:$P,2,FALSE),VLOOKUP(A1151,[2]cwurData!$B:$P,2,FALSE))</f>
        <v>Austria</v>
      </c>
      <c r="C1151" t="e">
        <f>VLOOKUP(A1151,[1]timesData!$B:$P,3,FALSE)</f>
        <v>#N/A</v>
      </c>
      <c r="D1151" t="e">
        <f>VLOOKUP(A1152,[1]timesData!$B:$P,3,FALSE)</f>
        <v>#N/A</v>
      </c>
      <c r="E1151" t="e">
        <f>VLOOKUP(A1152,[1]timesData!$B:$P,4,FALSE)</f>
        <v>#N/A</v>
      </c>
      <c r="F1151" t="e">
        <f>VLOOKUP(A1152,[1]timesData!$B:$P,5,FALSE)</f>
        <v>#N/A</v>
      </c>
      <c r="G1151" t="e">
        <f>VLOOKUP(A1152,[1]timesData!$B:$P,6,FALSE)</f>
        <v>#N/A</v>
      </c>
      <c r="H1151" t="e">
        <f>VLOOKUP(A1152,[1]timesData!$B:$P,7,FALSE)</f>
        <v>#N/A</v>
      </c>
      <c r="I1151" t="e">
        <f>VLOOKUP(A1152,[1]timesData!$B:$P,8,FALSE)</f>
        <v>#N/A</v>
      </c>
      <c r="J1151" t="e">
        <f>VLOOKUP(A1152,[1]timesData!$B:$P,9,FALSE)</f>
        <v>#N/A</v>
      </c>
      <c r="K1151" t="e">
        <f>VLOOKUP(A1152,[1]timesData!$B:$P,10,FALSE)</f>
        <v>#N/A</v>
      </c>
      <c r="L1151" t="e">
        <f>VLOOKUP(A1152,[1]timesData!$B:$P,11,FALSE)</f>
        <v>#N/A</v>
      </c>
      <c r="M1151" t="e">
        <f>VLOOKUP(A1152,[1]timesData!$B:$P,12,FALSE)</f>
        <v>#N/A</v>
      </c>
      <c r="N1151" t="e">
        <f>VLOOKUP(A1152,[1]timesData!$B:$P,13,FALSE)</f>
        <v>#N/A</v>
      </c>
      <c r="O1151">
        <f>VLOOKUP(A1151,[2]cwurData!$B:$P,14,FALSE)</f>
        <v>880</v>
      </c>
      <c r="P1151">
        <f>VLOOKUP(A1151,[2]cwurData!$B:$N, 3, FALSE)</f>
        <v>12</v>
      </c>
      <c r="Q1151">
        <f>VLOOKUP(A1151,[2]cwurData!$B:$N, 4, FALSE)</f>
        <v>355</v>
      </c>
      <c r="R1151">
        <f>VLOOKUP(A1151,[2]cwurData!$B:$N, 5, FALSE)</f>
        <v>478</v>
      </c>
      <c r="S1151">
        <f>VLOOKUP(A1151,[2]cwurData!$B:$N, 6, FALSE)</f>
        <v>210</v>
      </c>
      <c r="T1151">
        <f>VLOOKUP(A1151,[2]cwurData!$B:$N, 7, FALSE)</f>
        <v>853</v>
      </c>
      <c r="U1151">
        <f>VLOOKUP(A1151,[2]cwurData!$B:$N, 8, FALSE)</f>
        <v>691</v>
      </c>
      <c r="V1151">
        <f>VLOOKUP(A1151,[2]cwurData!$B:$N, 9, FALSE)</f>
        <v>609</v>
      </c>
      <c r="W1151">
        <f>VLOOKUP(A1151,[2]cwurData!$B:$N, 10, FALSE)</f>
        <v>819</v>
      </c>
      <c r="X1151">
        <f>VLOOKUP(A1151,[2]cwurData!$B:$N, 11, FALSE)</f>
        <v>637</v>
      </c>
      <c r="Y1151">
        <f>VLOOKUP(A1151,[2]cwurData!$B:$N, 12, FALSE)</f>
        <v>44.42</v>
      </c>
      <c r="Z1151">
        <f>VLOOKUP(A1151,[2]cwurData!$B:$N, 13, FALSE)</f>
        <v>2014</v>
      </c>
    </row>
    <row r="1152" spans="1:26" x14ac:dyDescent="0.3">
      <c r="A1152" t="s">
        <v>1238</v>
      </c>
      <c r="B1152" t="str">
        <f>IFERROR(VLOOKUP(A1152,[1]timesData!$B:$P,2,FALSE),VLOOKUP(A1152,[2]cwurData!$B:$P,2,FALSE))</f>
        <v>France</v>
      </c>
      <c r="C1152" t="e">
        <f>VLOOKUP(A1152,[1]timesData!$B:$P,3,FALSE)</f>
        <v>#N/A</v>
      </c>
      <c r="D1152" t="e">
        <f>VLOOKUP(A1153,[1]timesData!$B:$P,3,FALSE)</f>
        <v>#N/A</v>
      </c>
      <c r="E1152" t="e">
        <f>VLOOKUP(A1153,[1]timesData!$B:$P,4,FALSE)</f>
        <v>#N/A</v>
      </c>
      <c r="F1152" t="e">
        <f>VLOOKUP(A1153,[1]timesData!$B:$P,5,FALSE)</f>
        <v>#N/A</v>
      </c>
      <c r="G1152" t="e">
        <f>VLOOKUP(A1153,[1]timesData!$B:$P,6,FALSE)</f>
        <v>#N/A</v>
      </c>
      <c r="H1152" t="e">
        <f>VLOOKUP(A1153,[1]timesData!$B:$P,7,FALSE)</f>
        <v>#N/A</v>
      </c>
      <c r="I1152" t="e">
        <f>VLOOKUP(A1153,[1]timesData!$B:$P,8,FALSE)</f>
        <v>#N/A</v>
      </c>
      <c r="J1152" t="e">
        <f>VLOOKUP(A1153,[1]timesData!$B:$P,9,FALSE)</f>
        <v>#N/A</v>
      </c>
      <c r="K1152" t="e">
        <f>VLOOKUP(A1153,[1]timesData!$B:$P,10,FALSE)</f>
        <v>#N/A</v>
      </c>
      <c r="L1152" t="e">
        <f>VLOOKUP(A1153,[1]timesData!$B:$P,11,FALSE)</f>
        <v>#N/A</v>
      </c>
      <c r="M1152" t="e">
        <f>VLOOKUP(A1153,[1]timesData!$B:$P,12,FALSE)</f>
        <v>#N/A</v>
      </c>
      <c r="N1152" t="e">
        <f>VLOOKUP(A1153,[1]timesData!$B:$P,13,FALSE)</f>
        <v>#N/A</v>
      </c>
      <c r="O1152">
        <f>VLOOKUP(A1152,[2]cwurData!$B:$P,14,FALSE)</f>
        <v>881</v>
      </c>
      <c r="P1152">
        <f>VLOOKUP(A1152,[2]cwurData!$B:$N, 3, FALSE)</f>
        <v>45</v>
      </c>
      <c r="Q1152">
        <f>VLOOKUP(A1152,[2]cwurData!$B:$N, 4, FALSE)</f>
        <v>367</v>
      </c>
      <c r="R1152">
        <f>VLOOKUP(A1152,[2]cwurData!$B:$N, 5, FALSE)</f>
        <v>255</v>
      </c>
      <c r="S1152">
        <f>VLOOKUP(A1152,[2]cwurData!$B:$N, 6, FALSE)</f>
        <v>218</v>
      </c>
      <c r="T1152">
        <f>VLOOKUP(A1152,[2]cwurData!$B:$N, 7, FALSE)</f>
        <v>856</v>
      </c>
      <c r="U1152">
        <f>VLOOKUP(A1152,[2]cwurData!$B:$N, 8, FALSE)</f>
        <v>841</v>
      </c>
      <c r="V1152">
        <f>VLOOKUP(A1152,[2]cwurData!$B:$N, 9, FALSE)</f>
        <v>812</v>
      </c>
      <c r="W1152">
        <f>VLOOKUP(A1152,[2]cwurData!$B:$N, 10, FALSE)</f>
        <v>991</v>
      </c>
      <c r="X1152">
        <f>VLOOKUP(A1152,[2]cwurData!$B:$N, 11, FALSE)</f>
        <v>570</v>
      </c>
      <c r="Y1152">
        <f>VLOOKUP(A1152,[2]cwurData!$B:$N, 12, FALSE)</f>
        <v>44.15</v>
      </c>
      <c r="Z1152">
        <f>VLOOKUP(A1152,[2]cwurData!$B:$N, 13, FALSE)</f>
        <v>2015</v>
      </c>
    </row>
    <row r="1153" spans="1:26" x14ac:dyDescent="0.3">
      <c r="A1153" t="s">
        <v>1148</v>
      </c>
      <c r="B1153" t="str">
        <f>IFERROR(VLOOKUP(A1153,[1]timesData!$B:$P,2,FALSE),VLOOKUP(A1153,[2]cwurData!$B:$P,2,FALSE))</f>
        <v>Spain</v>
      </c>
      <c r="C1153" t="e">
        <f>VLOOKUP(A1153,[1]timesData!$B:$P,3,FALSE)</f>
        <v>#N/A</v>
      </c>
      <c r="D1153" t="e">
        <f>VLOOKUP(A1154,[1]timesData!$B:$P,3,FALSE)</f>
        <v>#N/A</v>
      </c>
      <c r="E1153" t="e">
        <f>VLOOKUP(A1154,[1]timesData!$B:$P,4,FALSE)</f>
        <v>#N/A</v>
      </c>
      <c r="F1153" t="e">
        <f>VLOOKUP(A1154,[1]timesData!$B:$P,5,FALSE)</f>
        <v>#N/A</v>
      </c>
      <c r="G1153" t="e">
        <f>VLOOKUP(A1154,[1]timesData!$B:$P,6,FALSE)</f>
        <v>#N/A</v>
      </c>
      <c r="H1153" t="e">
        <f>VLOOKUP(A1154,[1]timesData!$B:$P,7,FALSE)</f>
        <v>#N/A</v>
      </c>
      <c r="I1153" t="e">
        <f>VLOOKUP(A1154,[1]timesData!$B:$P,8,FALSE)</f>
        <v>#N/A</v>
      </c>
      <c r="J1153" t="e">
        <f>VLOOKUP(A1154,[1]timesData!$B:$P,9,FALSE)</f>
        <v>#N/A</v>
      </c>
      <c r="K1153" t="e">
        <f>VLOOKUP(A1154,[1]timesData!$B:$P,10,FALSE)</f>
        <v>#N/A</v>
      </c>
      <c r="L1153" t="e">
        <f>VLOOKUP(A1154,[1]timesData!$B:$P,11,FALSE)</f>
        <v>#N/A</v>
      </c>
      <c r="M1153" t="e">
        <f>VLOOKUP(A1154,[1]timesData!$B:$P,12,FALSE)</f>
        <v>#N/A</v>
      </c>
      <c r="N1153" t="e">
        <f>VLOOKUP(A1154,[1]timesData!$B:$P,13,FALSE)</f>
        <v>#N/A</v>
      </c>
      <c r="O1153">
        <f>VLOOKUP(A1153,[2]cwurData!$B:$P,14,FALSE)</f>
        <v>881</v>
      </c>
      <c r="P1153">
        <f>VLOOKUP(A1153,[2]cwurData!$B:$N, 3, FALSE)</f>
        <v>34</v>
      </c>
      <c r="Q1153">
        <f>VLOOKUP(A1153,[2]cwurData!$B:$N, 4, FALSE)</f>
        <v>355</v>
      </c>
      <c r="R1153">
        <f>VLOOKUP(A1153,[2]cwurData!$B:$N, 5, FALSE)</f>
        <v>478</v>
      </c>
      <c r="S1153">
        <f>VLOOKUP(A1153,[2]cwurData!$B:$N, 6, FALSE)</f>
        <v>210</v>
      </c>
      <c r="T1153">
        <f>VLOOKUP(A1153,[2]cwurData!$B:$N, 7, FALSE)</f>
        <v>863</v>
      </c>
      <c r="U1153">
        <f>VLOOKUP(A1153,[2]cwurData!$B:$N, 8, FALSE)</f>
        <v>793</v>
      </c>
      <c r="V1153">
        <f>VLOOKUP(A1153,[2]cwurData!$B:$N, 9, FALSE)</f>
        <v>800</v>
      </c>
      <c r="W1153">
        <f>VLOOKUP(A1153,[2]cwurData!$B:$N, 10, FALSE)</f>
        <v>849</v>
      </c>
      <c r="X1153">
        <f>VLOOKUP(A1153,[2]cwurData!$B:$N, 11, FALSE)</f>
        <v>373</v>
      </c>
      <c r="Y1153">
        <f>VLOOKUP(A1153,[2]cwurData!$B:$N, 12, FALSE)</f>
        <v>44.42</v>
      </c>
      <c r="Z1153">
        <f>VLOOKUP(A1153,[2]cwurData!$B:$N, 13, FALSE)</f>
        <v>2014</v>
      </c>
    </row>
    <row r="1154" spans="1:26" x14ac:dyDescent="0.3">
      <c r="A1154" t="s">
        <v>1149</v>
      </c>
      <c r="B1154" t="str">
        <f>IFERROR(VLOOKUP(A1154,[1]timesData!$B:$P,2,FALSE),VLOOKUP(A1154,[2]cwurData!$B:$P,2,FALSE))</f>
        <v>USA</v>
      </c>
      <c r="C1154" t="e">
        <f>VLOOKUP(A1154,[1]timesData!$B:$P,3,FALSE)</f>
        <v>#N/A</v>
      </c>
      <c r="D1154" t="e">
        <f>VLOOKUP(A1155,[1]timesData!$B:$P,3,FALSE)</f>
        <v>#N/A</v>
      </c>
      <c r="E1154" t="e">
        <f>VLOOKUP(A1155,[1]timesData!$B:$P,4,FALSE)</f>
        <v>#N/A</v>
      </c>
      <c r="F1154" t="e">
        <f>VLOOKUP(A1155,[1]timesData!$B:$P,5,FALSE)</f>
        <v>#N/A</v>
      </c>
      <c r="G1154" t="e">
        <f>VLOOKUP(A1155,[1]timesData!$B:$P,6,FALSE)</f>
        <v>#N/A</v>
      </c>
      <c r="H1154" t="e">
        <f>VLOOKUP(A1155,[1]timesData!$B:$P,7,FALSE)</f>
        <v>#N/A</v>
      </c>
      <c r="I1154" t="e">
        <f>VLOOKUP(A1155,[1]timesData!$B:$P,8,FALSE)</f>
        <v>#N/A</v>
      </c>
      <c r="J1154" t="e">
        <f>VLOOKUP(A1155,[1]timesData!$B:$P,9,FALSE)</f>
        <v>#N/A</v>
      </c>
      <c r="K1154" t="e">
        <f>VLOOKUP(A1155,[1]timesData!$B:$P,10,FALSE)</f>
        <v>#N/A</v>
      </c>
      <c r="L1154" t="e">
        <f>VLOOKUP(A1155,[1]timesData!$B:$P,11,FALSE)</f>
        <v>#N/A</v>
      </c>
      <c r="M1154" t="e">
        <f>VLOOKUP(A1155,[1]timesData!$B:$P,12,FALSE)</f>
        <v>#N/A</v>
      </c>
      <c r="N1154" t="e">
        <f>VLOOKUP(A1155,[1]timesData!$B:$P,13,FALSE)</f>
        <v>#N/A</v>
      </c>
      <c r="O1154">
        <f>VLOOKUP(A1154,[2]cwurData!$B:$P,14,FALSE)</f>
        <v>882</v>
      </c>
      <c r="P1154">
        <f>VLOOKUP(A1154,[2]cwurData!$B:$N, 3, FALSE)</f>
        <v>226</v>
      </c>
      <c r="Q1154">
        <f>VLOOKUP(A1154,[2]cwurData!$B:$N, 4, FALSE)</f>
        <v>355</v>
      </c>
      <c r="R1154">
        <f>VLOOKUP(A1154,[2]cwurData!$B:$N, 5, FALSE)</f>
        <v>478</v>
      </c>
      <c r="S1154">
        <f>VLOOKUP(A1154,[2]cwurData!$B:$N, 6, FALSE)</f>
        <v>210</v>
      </c>
      <c r="T1154">
        <f>VLOOKUP(A1154,[2]cwurData!$B:$N, 7, FALSE)</f>
        <v>848</v>
      </c>
      <c r="U1154">
        <f>VLOOKUP(A1154,[2]cwurData!$B:$N, 8, FALSE)</f>
        <v>701</v>
      </c>
      <c r="V1154">
        <f>VLOOKUP(A1154,[2]cwurData!$B:$N, 9, FALSE)</f>
        <v>800</v>
      </c>
      <c r="W1154">
        <f>VLOOKUP(A1154,[2]cwurData!$B:$N, 10, FALSE)</f>
        <v>819</v>
      </c>
      <c r="X1154">
        <f>VLOOKUP(A1154,[2]cwurData!$B:$N, 11, FALSE)</f>
        <v>737</v>
      </c>
      <c r="Y1154">
        <f>VLOOKUP(A1154,[2]cwurData!$B:$N, 12, FALSE)</f>
        <v>44.42</v>
      </c>
      <c r="Z1154">
        <f>VLOOKUP(A1154,[2]cwurData!$B:$N, 13, FALSE)</f>
        <v>2014</v>
      </c>
    </row>
    <row r="1155" spans="1:26" x14ac:dyDescent="0.3">
      <c r="A1155" t="s">
        <v>1239</v>
      </c>
      <c r="B1155" t="str">
        <f>IFERROR(VLOOKUP(A1155,[1]timesData!$B:$P,2,FALSE),VLOOKUP(A1155,[2]cwurData!$B:$P,2,FALSE))</f>
        <v>China</v>
      </c>
      <c r="C1155" t="e">
        <f>VLOOKUP(A1155,[1]timesData!$B:$P,3,FALSE)</f>
        <v>#N/A</v>
      </c>
      <c r="D1155" t="e">
        <f>VLOOKUP(A1156,[1]timesData!$B:$P,3,FALSE)</f>
        <v>#N/A</v>
      </c>
      <c r="E1155" t="e">
        <f>VLOOKUP(A1156,[1]timesData!$B:$P,4,FALSE)</f>
        <v>#N/A</v>
      </c>
      <c r="F1155" t="e">
        <f>VLOOKUP(A1156,[1]timesData!$B:$P,5,FALSE)</f>
        <v>#N/A</v>
      </c>
      <c r="G1155" t="e">
        <f>VLOOKUP(A1156,[1]timesData!$B:$P,6,FALSE)</f>
        <v>#N/A</v>
      </c>
      <c r="H1155" t="e">
        <f>VLOOKUP(A1156,[1]timesData!$B:$P,7,FALSE)</f>
        <v>#N/A</v>
      </c>
      <c r="I1155" t="e">
        <f>VLOOKUP(A1156,[1]timesData!$B:$P,8,FALSE)</f>
        <v>#N/A</v>
      </c>
      <c r="J1155" t="e">
        <f>VLOOKUP(A1156,[1]timesData!$B:$P,9,FALSE)</f>
        <v>#N/A</v>
      </c>
      <c r="K1155" t="e">
        <f>VLOOKUP(A1156,[1]timesData!$B:$P,10,FALSE)</f>
        <v>#N/A</v>
      </c>
      <c r="L1155" t="e">
        <f>VLOOKUP(A1156,[1]timesData!$B:$P,11,FALSE)</f>
        <v>#N/A</v>
      </c>
      <c r="M1155" t="e">
        <f>VLOOKUP(A1156,[1]timesData!$B:$P,12,FALSE)</f>
        <v>#N/A</v>
      </c>
      <c r="N1155" t="e">
        <f>VLOOKUP(A1156,[1]timesData!$B:$P,13,FALSE)</f>
        <v>#N/A</v>
      </c>
      <c r="O1155">
        <f>VLOOKUP(A1155,[2]cwurData!$B:$P,14,FALSE)</f>
        <v>883</v>
      </c>
      <c r="P1155">
        <f>VLOOKUP(A1155,[2]cwurData!$B:$N, 3, FALSE)</f>
        <v>57</v>
      </c>
      <c r="Q1155">
        <f>VLOOKUP(A1155,[2]cwurData!$B:$N, 4, FALSE)</f>
        <v>367</v>
      </c>
      <c r="R1155">
        <f>VLOOKUP(A1155,[2]cwurData!$B:$N, 5, FALSE)</f>
        <v>302</v>
      </c>
      <c r="S1155">
        <f>VLOOKUP(A1155,[2]cwurData!$B:$N, 6, FALSE)</f>
        <v>218</v>
      </c>
      <c r="T1155">
        <f>VLOOKUP(A1155,[2]cwurData!$B:$N, 7, FALSE)</f>
        <v>914</v>
      </c>
      <c r="U1155">
        <f>VLOOKUP(A1155,[2]cwurData!$B:$N, 8, FALSE)</f>
        <v>974</v>
      </c>
      <c r="V1155">
        <f>VLOOKUP(A1155,[2]cwurData!$B:$N, 9, FALSE)</f>
        <v>812</v>
      </c>
      <c r="W1155">
        <f>VLOOKUP(A1155,[2]cwurData!$B:$N, 10, FALSE)</f>
        <v>932</v>
      </c>
      <c r="X1155">
        <f>VLOOKUP(A1155,[2]cwurData!$B:$N, 11, FALSE)</f>
        <v>871</v>
      </c>
      <c r="Y1155">
        <f>VLOOKUP(A1155,[2]cwurData!$B:$N, 12, FALSE)</f>
        <v>44.15</v>
      </c>
      <c r="Z1155">
        <f>VLOOKUP(A1155,[2]cwurData!$B:$N, 13, FALSE)</f>
        <v>2015</v>
      </c>
    </row>
    <row r="1156" spans="1:26" x14ac:dyDescent="0.3">
      <c r="A1156" t="s">
        <v>1150</v>
      </c>
      <c r="B1156" t="str">
        <f>IFERROR(VLOOKUP(A1156,[1]timesData!$B:$P,2,FALSE),VLOOKUP(A1156,[2]cwurData!$B:$P,2,FALSE))</f>
        <v>China</v>
      </c>
      <c r="C1156" t="e">
        <f>VLOOKUP(A1156,[1]timesData!$B:$P,3,FALSE)</f>
        <v>#N/A</v>
      </c>
      <c r="D1156" t="e">
        <f>VLOOKUP(A1157,[1]timesData!$B:$P,3,FALSE)</f>
        <v>#N/A</v>
      </c>
      <c r="E1156" t="e">
        <f>VLOOKUP(A1157,[1]timesData!$B:$P,4,FALSE)</f>
        <v>#N/A</v>
      </c>
      <c r="F1156" t="e">
        <f>VLOOKUP(A1157,[1]timesData!$B:$P,5,FALSE)</f>
        <v>#N/A</v>
      </c>
      <c r="G1156" t="e">
        <f>VLOOKUP(A1157,[1]timesData!$B:$P,6,FALSE)</f>
        <v>#N/A</v>
      </c>
      <c r="H1156" t="e">
        <f>VLOOKUP(A1157,[1]timesData!$B:$P,7,FALSE)</f>
        <v>#N/A</v>
      </c>
      <c r="I1156" t="e">
        <f>VLOOKUP(A1157,[1]timesData!$B:$P,8,FALSE)</f>
        <v>#N/A</v>
      </c>
      <c r="J1156" t="e">
        <f>VLOOKUP(A1157,[1]timesData!$B:$P,9,FALSE)</f>
        <v>#N/A</v>
      </c>
      <c r="K1156" t="e">
        <f>VLOOKUP(A1157,[1]timesData!$B:$P,10,FALSE)</f>
        <v>#N/A</v>
      </c>
      <c r="L1156" t="e">
        <f>VLOOKUP(A1157,[1]timesData!$B:$P,11,FALSE)</f>
        <v>#N/A</v>
      </c>
      <c r="M1156" t="e">
        <f>VLOOKUP(A1157,[1]timesData!$B:$P,12,FALSE)</f>
        <v>#N/A</v>
      </c>
      <c r="N1156" t="e">
        <f>VLOOKUP(A1157,[1]timesData!$B:$P,13,FALSE)</f>
        <v>#N/A</v>
      </c>
      <c r="O1156">
        <f>VLOOKUP(A1156,[2]cwurData!$B:$P,14,FALSE)</f>
        <v>883</v>
      </c>
      <c r="P1156">
        <f>VLOOKUP(A1156,[2]cwurData!$B:$N, 3, FALSE)</f>
        <v>53</v>
      </c>
      <c r="Q1156">
        <f>VLOOKUP(A1156,[2]cwurData!$B:$N, 4, FALSE)</f>
        <v>355</v>
      </c>
      <c r="R1156">
        <f>VLOOKUP(A1156,[2]cwurData!$B:$N, 5, FALSE)</f>
        <v>478</v>
      </c>
      <c r="S1156">
        <f>VLOOKUP(A1156,[2]cwurData!$B:$N, 6, FALSE)</f>
        <v>210</v>
      </c>
      <c r="T1156">
        <f>VLOOKUP(A1156,[2]cwurData!$B:$N, 7, FALSE)</f>
        <v>691</v>
      </c>
      <c r="U1156">
        <f>VLOOKUP(A1156,[2]cwurData!$B:$N, 8, FALSE)</f>
        <v>570</v>
      </c>
      <c r="V1156">
        <f>VLOOKUP(A1156,[2]cwurData!$B:$N, 9, FALSE)</f>
        <v>609</v>
      </c>
      <c r="W1156">
        <f>VLOOKUP(A1156,[2]cwurData!$B:$N, 10, FALSE)</f>
        <v>849</v>
      </c>
      <c r="X1156">
        <f>VLOOKUP(A1156,[2]cwurData!$B:$N, 11, FALSE)</f>
        <v>481</v>
      </c>
      <c r="Y1156">
        <f>VLOOKUP(A1156,[2]cwurData!$B:$N, 12, FALSE)</f>
        <v>44.41</v>
      </c>
      <c r="Z1156">
        <f>VLOOKUP(A1156,[2]cwurData!$B:$N, 13, FALSE)</f>
        <v>2014</v>
      </c>
    </row>
    <row r="1157" spans="1:26" x14ac:dyDescent="0.3">
      <c r="A1157" t="s">
        <v>1151</v>
      </c>
      <c r="B1157" t="str">
        <f>IFERROR(VLOOKUP(A1157,[1]timesData!$B:$P,2,FALSE),VLOOKUP(A1157,[2]cwurData!$B:$P,2,FALSE))</f>
        <v>Canada</v>
      </c>
      <c r="C1157" t="e">
        <f>VLOOKUP(A1157,[1]timesData!$B:$P,3,FALSE)</f>
        <v>#N/A</v>
      </c>
      <c r="D1157" t="e">
        <f>VLOOKUP(A1158,[1]timesData!$B:$P,3,FALSE)</f>
        <v>#N/A</v>
      </c>
      <c r="E1157" t="e">
        <f>VLOOKUP(A1158,[1]timesData!$B:$P,4,FALSE)</f>
        <v>#N/A</v>
      </c>
      <c r="F1157" t="e">
        <f>VLOOKUP(A1158,[1]timesData!$B:$P,5,FALSE)</f>
        <v>#N/A</v>
      </c>
      <c r="G1157" t="e">
        <f>VLOOKUP(A1158,[1]timesData!$B:$P,6,FALSE)</f>
        <v>#N/A</v>
      </c>
      <c r="H1157" t="e">
        <f>VLOOKUP(A1158,[1]timesData!$B:$P,7,FALSE)</f>
        <v>#N/A</v>
      </c>
      <c r="I1157" t="e">
        <f>VLOOKUP(A1158,[1]timesData!$B:$P,8,FALSE)</f>
        <v>#N/A</v>
      </c>
      <c r="J1157" t="e">
        <f>VLOOKUP(A1158,[1]timesData!$B:$P,9,FALSE)</f>
        <v>#N/A</v>
      </c>
      <c r="K1157" t="e">
        <f>VLOOKUP(A1158,[1]timesData!$B:$P,10,FALSE)</f>
        <v>#N/A</v>
      </c>
      <c r="L1157" t="e">
        <f>VLOOKUP(A1158,[1]timesData!$B:$P,11,FALSE)</f>
        <v>#N/A</v>
      </c>
      <c r="M1157" t="e">
        <f>VLOOKUP(A1158,[1]timesData!$B:$P,12,FALSE)</f>
        <v>#N/A</v>
      </c>
      <c r="N1157" t="e">
        <f>VLOOKUP(A1158,[1]timesData!$B:$P,13,FALSE)</f>
        <v>#N/A</v>
      </c>
      <c r="O1157">
        <f>VLOOKUP(A1157,[2]cwurData!$B:$P,14,FALSE)</f>
        <v>884</v>
      </c>
      <c r="P1157">
        <f>VLOOKUP(A1157,[2]cwurData!$B:$N, 3, FALSE)</f>
        <v>31</v>
      </c>
      <c r="Q1157">
        <f>VLOOKUP(A1157,[2]cwurData!$B:$N, 4, FALSE)</f>
        <v>355</v>
      </c>
      <c r="R1157">
        <f>VLOOKUP(A1157,[2]cwurData!$B:$N, 5, FALSE)</f>
        <v>478</v>
      </c>
      <c r="S1157">
        <f>VLOOKUP(A1157,[2]cwurData!$B:$N, 6, FALSE)</f>
        <v>210</v>
      </c>
      <c r="T1157">
        <f>VLOOKUP(A1157,[2]cwurData!$B:$N, 7, FALSE)</f>
        <v>899</v>
      </c>
      <c r="U1157">
        <f>VLOOKUP(A1157,[2]cwurData!$B:$N, 8, FALSE)</f>
        <v>746</v>
      </c>
      <c r="V1157">
        <f>VLOOKUP(A1157,[2]cwurData!$B:$N, 9, FALSE)</f>
        <v>609</v>
      </c>
      <c r="W1157">
        <f>VLOOKUP(A1157,[2]cwurData!$B:$N, 10, FALSE)</f>
        <v>832</v>
      </c>
      <c r="X1157">
        <f>VLOOKUP(A1157,[2]cwurData!$B:$N, 11, FALSE)</f>
        <v>552</v>
      </c>
      <c r="Y1157">
        <f>VLOOKUP(A1157,[2]cwurData!$B:$N, 12, FALSE)</f>
        <v>44.41</v>
      </c>
      <c r="Z1157">
        <f>VLOOKUP(A1157,[2]cwurData!$B:$N, 13, FALSE)</f>
        <v>2014</v>
      </c>
    </row>
    <row r="1158" spans="1:26" x14ac:dyDescent="0.3">
      <c r="A1158" t="s">
        <v>1152</v>
      </c>
      <c r="B1158" t="str">
        <f>IFERROR(VLOOKUP(A1158,[1]timesData!$B:$P,2,FALSE),VLOOKUP(A1158,[2]cwurData!$B:$P,2,FALSE))</f>
        <v>Spain</v>
      </c>
      <c r="C1158" t="e">
        <f>VLOOKUP(A1158,[1]timesData!$B:$P,3,FALSE)</f>
        <v>#N/A</v>
      </c>
      <c r="D1158" t="e">
        <f>VLOOKUP(A1159,[1]timesData!$B:$P,3,FALSE)</f>
        <v>#N/A</v>
      </c>
      <c r="E1158" t="e">
        <f>VLOOKUP(A1159,[1]timesData!$B:$P,4,FALSE)</f>
        <v>#N/A</v>
      </c>
      <c r="F1158" t="e">
        <f>VLOOKUP(A1159,[1]timesData!$B:$P,5,FALSE)</f>
        <v>#N/A</v>
      </c>
      <c r="G1158" t="e">
        <f>VLOOKUP(A1159,[1]timesData!$B:$P,6,FALSE)</f>
        <v>#N/A</v>
      </c>
      <c r="H1158" t="e">
        <f>VLOOKUP(A1159,[1]timesData!$B:$P,7,FALSE)</f>
        <v>#N/A</v>
      </c>
      <c r="I1158" t="e">
        <f>VLOOKUP(A1159,[1]timesData!$B:$P,8,FALSE)</f>
        <v>#N/A</v>
      </c>
      <c r="J1158" t="e">
        <f>VLOOKUP(A1159,[1]timesData!$B:$P,9,FALSE)</f>
        <v>#N/A</v>
      </c>
      <c r="K1158" t="e">
        <f>VLOOKUP(A1159,[1]timesData!$B:$P,10,FALSE)</f>
        <v>#N/A</v>
      </c>
      <c r="L1158" t="e">
        <f>VLOOKUP(A1159,[1]timesData!$B:$P,11,FALSE)</f>
        <v>#N/A</v>
      </c>
      <c r="M1158" t="e">
        <f>VLOOKUP(A1159,[1]timesData!$B:$P,12,FALSE)</f>
        <v>#N/A</v>
      </c>
      <c r="N1158" t="e">
        <f>VLOOKUP(A1159,[1]timesData!$B:$P,13,FALSE)</f>
        <v>#N/A</v>
      </c>
      <c r="O1158">
        <f>VLOOKUP(A1158,[2]cwurData!$B:$P,14,FALSE)</f>
        <v>885</v>
      </c>
      <c r="P1158">
        <f>VLOOKUP(A1158,[2]cwurData!$B:$N, 3, FALSE)</f>
        <v>35</v>
      </c>
      <c r="Q1158">
        <f>VLOOKUP(A1158,[2]cwurData!$B:$N, 4, FALSE)</f>
        <v>355</v>
      </c>
      <c r="R1158">
        <f>VLOOKUP(A1158,[2]cwurData!$B:$N, 5, FALSE)</f>
        <v>478</v>
      </c>
      <c r="S1158">
        <f>VLOOKUP(A1158,[2]cwurData!$B:$N, 6, FALSE)</f>
        <v>210</v>
      </c>
      <c r="T1158">
        <f>VLOOKUP(A1158,[2]cwurData!$B:$N, 7, FALSE)</f>
        <v>871</v>
      </c>
      <c r="U1158">
        <f>VLOOKUP(A1158,[2]cwurData!$B:$N, 8, FALSE)</f>
        <v>888</v>
      </c>
      <c r="V1158">
        <f>VLOOKUP(A1158,[2]cwurData!$B:$N, 9, FALSE)</f>
        <v>609</v>
      </c>
      <c r="W1158">
        <f>VLOOKUP(A1158,[2]cwurData!$B:$N, 10, FALSE)</f>
        <v>832</v>
      </c>
      <c r="X1158">
        <f>VLOOKUP(A1158,[2]cwurData!$B:$N, 11, FALSE)</f>
        <v>637</v>
      </c>
      <c r="Y1158">
        <f>VLOOKUP(A1158,[2]cwurData!$B:$N, 12, FALSE)</f>
        <v>44.41</v>
      </c>
      <c r="Z1158">
        <f>VLOOKUP(A1158,[2]cwurData!$B:$N, 13, FALSE)</f>
        <v>2014</v>
      </c>
    </row>
    <row r="1159" spans="1:26" x14ac:dyDescent="0.3">
      <c r="A1159" t="s">
        <v>1153</v>
      </c>
      <c r="B1159" t="str">
        <f>IFERROR(VLOOKUP(A1159,[1]timesData!$B:$P,2,FALSE),VLOOKUP(A1159,[2]cwurData!$B:$P,2,FALSE))</f>
        <v>China</v>
      </c>
      <c r="C1159" t="e">
        <f>VLOOKUP(A1159,[1]timesData!$B:$P,3,FALSE)</f>
        <v>#N/A</v>
      </c>
      <c r="D1159" t="e">
        <f>VLOOKUP(A1160,[1]timesData!$B:$P,3,FALSE)</f>
        <v>#N/A</v>
      </c>
      <c r="E1159" t="e">
        <f>VLOOKUP(A1160,[1]timesData!$B:$P,4,FALSE)</f>
        <v>#N/A</v>
      </c>
      <c r="F1159" t="e">
        <f>VLOOKUP(A1160,[1]timesData!$B:$P,5,FALSE)</f>
        <v>#N/A</v>
      </c>
      <c r="G1159" t="e">
        <f>VLOOKUP(A1160,[1]timesData!$B:$P,6,FALSE)</f>
        <v>#N/A</v>
      </c>
      <c r="H1159" t="e">
        <f>VLOOKUP(A1160,[1]timesData!$B:$P,7,FALSE)</f>
        <v>#N/A</v>
      </c>
      <c r="I1159" t="e">
        <f>VLOOKUP(A1160,[1]timesData!$B:$P,8,FALSE)</f>
        <v>#N/A</v>
      </c>
      <c r="J1159" t="e">
        <f>VLOOKUP(A1160,[1]timesData!$B:$P,9,FALSE)</f>
        <v>#N/A</v>
      </c>
      <c r="K1159" t="e">
        <f>VLOOKUP(A1160,[1]timesData!$B:$P,10,FALSE)</f>
        <v>#N/A</v>
      </c>
      <c r="L1159" t="e">
        <f>VLOOKUP(A1160,[1]timesData!$B:$P,11,FALSE)</f>
        <v>#N/A</v>
      </c>
      <c r="M1159" t="e">
        <f>VLOOKUP(A1160,[1]timesData!$B:$P,12,FALSE)</f>
        <v>#N/A</v>
      </c>
      <c r="N1159" t="e">
        <f>VLOOKUP(A1160,[1]timesData!$B:$P,13,FALSE)</f>
        <v>#N/A</v>
      </c>
      <c r="O1159">
        <f>VLOOKUP(A1159,[2]cwurData!$B:$P,14,FALSE)</f>
        <v>886</v>
      </c>
      <c r="P1159">
        <f>VLOOKUP(A1159,[2]cwurData!$B:$N, 3, FALSE)</f>
        <v>54</v>
      </c>
      <c r="Q1159">
        <f>VLOOKUP(A1159,[2]cwurData!$B:$N, 4, FALSE)</f>
        <v>355</v>
      </c>
      <c r="R1159">
        <f>VLOOKUP(A1159,[2]cwurData!$B:$N, 5, FALSE)</f>
        <v>458</v>
      </c>
      <c r="S1159">
        <f>VLOOKUP(A1159,[2]cwurData!$B:$N, 6, FALSE)</f>
        <v>210</v>
      </c>
      <c r="T1159">
        <f>VLOOKUP(A1159,[2]cwurData!$B:$N, 7, FALSE)</f>
        <v>974</v>
      </c>
      <c r="U1159">
        <f>VLOOKUP(A1159,[2]cwurData!$B:$N, 8, FALSE)</f>
        <v>938</v>
      </c>
      <c r="V1159">
        <f>VLOOKUP(A1159,[2]cwurData!$B:$N, 9, FALSE)</f>
        <v>800</v>
      </c>
      <c r="W1159">
        <f>VLOOKUP(A1159,[2]cwurData!$B:$N, 10, FALSE)</f>
        <v>874</v>
      </c>
      <c r="X1159">
        <f>VLOOKUP(A1159,[2]cwurData!$B:$N, 11, FALSE)</f>
        <v>737</v>
      </c>
      <c r="Y1159">
        <f>VLOOKUP(A1159,[2]cwurData!$B:$N, 12, FALSE)</f>
        <v>44.41</v>
      </c>
      <c r="Z1159">
        <f>VLOOKUP(A1159,[2]cwurData!$B:$N, 13, FALSE)</f>
        <v>2014</v>
      </c>
    </row>
    <row r="1160" spans="1:26" x14ac:dyDescent="0.3">
      <c r="A1160" t="s">
        <v>1154</v>
      </c>
      <c r="B1160" t="str">
        <f>IFERROR(VLOOKUP(A1160,[1]timesData!$B:$P,2,FALSE),VLOOKUP(A1160,[2]cwurData!$B:$P,2,FALSE))</f>
        <v>France</v>
      </c>
      <c r="C1160" t="e">
        <f>VLOOKUP(A1160,[1]timesData!$B:$P,3,FALSE)</f>
        <v>#N/A</v>
      </c>
      <c r="D1160" t="e">
        <f>VLOOKUP(A1161,[1]timesData!$B:$P,3,FALSE)</f>
        <v>#N/A</v>
      </c>
      <c r="E1160" t="e">
        <f>VLOOKUP(A1161,[1]timesData!$B:$P,4,FALSE)</f>
        <v>#N/A</v>
      </c>
      <c r="F1160" t="e">
        <f>VLOOKUP(A1161,[1]timesData!$B:$P,5,FALSE)</f>
        <v>#N/A</v>
      </c>
      <c r="G1160" t="e">
        <f>VLOOKUP(A1161,[1]timesData!$B:$P,6,FALSE)</f>
        <v>#N/A</v>
      </c>
      <c r="H1160" t="e">
        <f>VLOOKUP(A1161,[1]timesData!$B:$P,7,FALSE)</f>
        <v>#N/A</v>
      </c>
      <c r="I1160" t="e">
        <f>VLOOKUP(A1161,[1]timesData!$B:$P,8,FALSE)</f>
        <v>#N/A</v>
      </c>
      <c r="J1160" t="e">
        <f>VLOOKUP(A1161,[1]timesData!$B:$P,9,FALSE)</f>
        <v>#N/A</v>
      </c>
      <c r="K1160" t="e">
        <f>VLOOKUP(A1161,[1]timesData!$B:$P,10,FALSE)</f>
        <v>#N/A</v>
      </c>
      <c r="L1160" t="e">
        <f>VLOOKUP(A1161,[1]timesData!$B:$P,11,FALSE)</f>
        <v>#N/A</v>
      </c>
      <c r="M1160" t="e">
        <f>VLOOKUP(A1161,[1]timesData!$B:$P,12,FALSE)</f>
        <v>#N/A</v>
      </c>
      <c r="N1160" t="e">
        <f>VLOOKUP(A1161,[1]timesData!$B:$P,13,FALSE)</f>
        <v>#N/A</v>
      </c>
      <c r="O1160">
        <f>VLOOKUP(A1160,[2]cwurData!$B:$P,14,FALSE)</f>
        <v>887</v>
      </c>
      <c r="P1160">
        <f>VLOOKUP(A1160,[2]cwurData!$B:$N, 3, FALSE)</f>
        <v>44</v>
      </c>
      <c r="Q1160">
        <f>VLOOKUP(A1160,[2]cwurData!$B:$N, 4, FALSE)</f>
        <v>355</v>
      </c>
      <c r="R1160">
        <f>VLOOKUP(A1160,[2]cwurData!$B:$N, 5, FALSE)</f>
        <v>478</v>
      </c>
      <c r="S1160">
        <f>VLOOKUP(A1160,[2]cwurData!$B:$N, 6, FALSE)</f>
        <v>210</v>
      </c>
      <c r="T1160">
        <f>VLOOKUP(A1160,[2]cwurData!$B:$N, 7, FALSE)</f>
        <v>661</v>
      </c>
      <c r="U1160">
        <f>VLOOKUP(A1160,[2]cwurData!$B:$N, 8, FALSE)</f>
        <v>472</v>
      </c>
      <c r="V1160">
        <f>VLOOKUP(A1160,[2]cwurData!$B:$N, 9, FALSE)</f>
        <v>800</v>
      </c>
      <c r="W1160">
        <f>VLOOKUP(A1160,[2]cwurData!$B:$N, 10, FALSE)</f>
        <v>849</v>
      </c>
      <c r="X1160">
        <f>VLOOKUP(A1160,[2]cwurData!$B:$N, 11, FALSE)</f>
        <v>552</v>
      </c>
      <c r="Y1160">
        <f>VLOOKUP(A1160,[2]cwurData!$B:$N, 12, FALSE)</f>
        <v>44.41</v>
      </c>
      <c r="Z1160">
        <f>VLOOKUP(A1160,[2]cwurData!$B:$N, 13, FALSE)</f>
        <v>2014</v>
      </c>
    </row>
    <row r="1161" spans="1:26" x14ac:dyDescent="0.3">
      <c r="A1161" t="s">
        <v>1155</v>
      </c>
      <c r="B1161" t="str">
        <f>IFERROR(VLOOKUP(A1161,[1]timesData!$B:$P,2,FALSE),VLOOKUP(A1161,[2]cwurData!$B:$P,2,FALSE))</f>
        <v>Japan</v>
      </c>
      <c r="C1161" t="e">
        <f>VLOOKUP(A1161,[1]timesData!$B:$P,3,FALSE)</f>
        <v>#N/A</v>
      </c>
      <c r="D1161" t="e">
        <f>VLOOKUP(A1162,[1]timesData!$B:$P,3,FALSE)</f>
        <v>#N/A</v>
      </c>
      <c r="E1161" t="e">
        <f>VLOOKUP(A1162,[1]timesData!$B:$P,4,FALSE)</f>
        <v>#N/A</v>
      </c>
      <c r="F1161" t="e">
        <f>VLOOKUP(A1162,[1]timesData!$B:$P,5,FALSE)</f>
        <v>#N/A</v>
      </c>
      <c r="G1161" t="e">
        <f>VLOOKUP(A1162,[1]timesData!$B:$P,6,FALSE)</f>
        <v>#N/A</v>
      </c>
      <c r="H1161" t="e">
        <f>VLOOKUP(A1162,[1]timesData!$B:$P,7,FALSE)</f>
        <v>#N/A</v>
      </c>
      <c r="I1161" t="e">
        <f>VLOOKUP(A1162,[1]timesData!$B:$P,8,FALSE)</f>
        <v>#N/A</v>
      </c>
      <c r="J1161" t="e">
        <f>VLOOKUP(A1162,[1]timesData!$B:$P,9,FALSE)</f>
        <v>#N/A</v>
      </c>
      <c r="K1161" t="e">
        <f>VLOOKUP(A1162,[1]timesData!$B:$P,10,FALSE)</f>
        <v>#N/A</v>
      </c>
      <c r="L1161" t="e">
        <f>VLOOKUP(A1162,[1]timesData!$B:$P,11,FALSE)</f>
        <v>#N/A</v>
      </c>
      <c r="M1161" t="e">
        <f>VLOOKUP(A1162,[1]timesData!$B:$P,12,FALSE)</f>
        <v>#N/A</v>
      </c>
      <c r="N1161" t="e">
        <f>VLOOKUP(A1162,[1]timesData!$B:$P,13,FALSE)</f>
        <v>#N/A</v>
      </c>
      <c r="O1161">
        <f>VLOOKUP(A1161,[2]cwurData!$B:$P,14,FALSE)</f>
        <v>888</v>
      </c>
      <c r="P1161">
        <f>VLOOKUP(A1161,[2]cwurData!$B:$N, 3, FALSE)</f>
        <v>73</v>
      </c>
      <c r="Q1161">
        <f>VLOOKUP(A1161,[2]cwurData!$B:$N, 4, FALSE)</f>
        <v>355</v>
      </c>
      <c r="R1161">
        <f>VLOOKUP(A1161,[2]cwurData!$B:$N, 5, FALSE)</f>
        <v>478</v>
      </c>
      <c r="S1161">
        <f>VLOOKUP(A1161,[2]cwurData!$B:$N, 6, FALSE)</f>
        <v>210</v>
      </c>
      <c r="T1161">
        <f>VLOOKUP(A1161,[2]cwurData!$B:$N, 7, FALSE)</f>
        <v>922</v>
      </c>
      <c r="U1161">
        <f>VLOOKUP(A1161,[2]cwurData!$B:$N, 8, FALSE)</f>
        <v>693</v>
      </c>
      <c r="V1161">
        <f>VLOOKUP(A1161,[2]cwurData!$B:$N, 9, FALSE)</f>
        <v>609</v>
      </c>
      <c r="W1161">
        <f>VLOOKUP(A1161,[2]cwurData!$B:$N, 10, FALSE)</f>
        <v>832</v>
      </c>
      <c r="X1161">
        <f>VLOOKUP(A1161,[2]cwurData!$B:$N, 11, FALSE)</f>
        <v>637</v>
      </c>
      <c r="Y1161">
        <f>VLOOKUP(A1161,[2]cwurData!$B:$N, 12, FALSE)</f>
        <v>44.41</v>
      </c>
      <c r="Z1161">
        <f>VLOOKUP(A1161,[2]cwurData!$B:$N, 13, FALSE)</f>
        <v>2014</v>
      </c>
    </row>
    <row r="1162" spans="1:26" x14ac:dyDescent="0.3">
      <c r="A1162" t="s">
        <v>1156</v>
      </c>
      <c r="B1162" t="str">
        <f>IFERROR(VLOOKUP(A1162,[1]timesData!$B:$P,2,FALSE),VLOOKUP(A1162,[2]cwurData!$B:$P,2,FALSE))</f>
        <v>France</v>
      </c>
      <c r="C1162" t="e">
        <f>VLOOKUP(A1162,[1]timesData!$B:$P,3,FALSE)</f>
        <v>#N/A</v>
      </c>
      <c r="D1162" t="e">
        <f>VLOOKUP(A1163,[1]timesData!$B:$P,3,FALSE)</f>
        <v>#N/A</v>
      </c>
      <c r="E1162" t="e">
        <f>VLOOKUP(A1163,[1]timesData!$B:$P,4,FALSE)</f>
        <v>#N/A</v>
      </c>
      <c r="F1162" t="e">
        <f>VLOOKUP(A1163,[1]timesData!$B:$P,5,FALSE)</f>
        <v>#N/A</v>
      </c>
      <c r="G1162" t="e">
        <f>VLOOKUP(A1163,[1]timesData!$B:$P,6,FALSE)</f>
        <v>#N/A</v>
      </c>
      <c r="H1162" t="e">
        <f>VLOOKUP(A1163,[1]timesData!$B:$P,7,FALSE)</f>
        <v>#N/A</v>
      </c>
      <c r="I1162" t="e">
        <f>VLOOKUP(A1163,[1]timesData!$B:$P,8,FALSE)</f>
        <v>#N/A</v>
      </c>
      <c r="J1162" t="e">
        <f>VLOOKUP(A1163,[1]timesData!$B:$P,9,FALSE)</f>
        <v>#N/A</v>
      </c>
      <c r="K1162" t="e">
        <f>VLOOKUP(A1163,[1]timesData!$B:$P,10,FALSE)</f>
        <v>#N/A</v>
      </c>
      <c r="L1162" t="e">
        <f>VLOOKUP(A1163,[1]timesData!$B:$P,11,FALSE)</f>
        <v>#N/A</v>
      </c>
      <c r="M1162" t="e">
        <f>VLOOKUP(A1163,[1]timesData!$B:$P,12,FALSE)</f>
        <v>#N/A</v>
      </c>
      <c r="N1162" t="e">
        <f>VLOOKUP(A1163,[1]timesData!$B:$P,13,FALSE)</f>
        <v>#N/A</v>
      </c>
      <c r="O1162">
        <f>VLOOKUP(A1162,[2]cwurData!$B:$P,14,FALSE)</f>
        <v>889</v>
      </c>
      <c r="P1162">
        <f>VLOOKUP(A1162,[2]cwurData!$B:$N, 3, FALSE)</f>
        <v>45</v>
      </c>
      <c r="Q1162">
        <f>VLOOKUP(A1162,[2]cwurData!$B:$N, 4, FALSE)</f>
        <v>355</v>
      </c>
      <c r="R1162">
        <f>VLOOKUP(A1162,[2]cwurData!$B:$N, 5, FALSE)</f>
        <v>478</v>
      </c>
      <c r="S1162">
        <f>VLOOKUP(A1162,[2]cwurData!$B:$N, 6, FALSE)</f>
        <v>210</v>
      </c>
      <c r="T1162">
        <f>VLOOKUP(A1162,[2]cwurData!$B:$N, 7, FALSE)</f>
        <v>743</v>
      </c>
      <c r="U1162">
        <f>VLOOKUP(A1162,[2]cwurData!$B:$N, 8, FALSE)</f>
        <v>509</v>
      </c>
      <c r="V1162">
        <f>VLOOKUP(A1162,[2]cwurData!$B:$N, 9, FALSE)</f>
        <v>609</v>
      </c>
      <c r="W1162">
        <f>VLOOKUP(A1162,[2]cwurData!$B:$N, 10, FALSE)</f>
        <v>843</v>
      </c>
      <c r="X1162">
        <f>VLOOKUP(A1162,[2]cwurData!$B:$N, 11, FALSE)</f>
        <v>637</v>
      </c>
      <c r="Y1162">
        <f>VLOOKUP(A1162,[2]cwurData!$B:$N, 12, FALSE)</f>
        <v>44.41</v>
      </c>
      <c r="Z1162">
        <f>VLOOKUP(A1162,[2]cwurData!$B:$N, 13, FALSE)</f>
        <v>2014</v>
      </c>
    </row>
    <row r="1163" spans="1:26" x14ac:dyDescent="0.3">
      <c r="A1163" t="s">
        <v>1157</v>
      </c>
      <c r="B1163" t="str">
        <f>IFERROR(VLOOKUP(A1163,[1]timesData!$B:$P,2,FALSE),VLOOKUP(A1163,[2]cwurData!$B:$P,2,FALSE))</f>
        <v>Germany</v>
      </c>
      <c r="C1163" t="e">
        <f>VLOOKUP(A1163,[1]timesData!$B:$P,3,FALSE)</f>
        <v>#N/A</v>
      </c>
      <c r="D1163" t="e">
        <f>VLOOKUP(A1164,[1]timesData!$B:$P,3,FALSE)</f>
        <v>#N/A</v>
      </c>
      <c r="E1163" t="e">
        <f>VLOOKUP(A1164,[1]timesData!$B:$P,4,FALSE)</f>
        <v>#N/A</v>
      </c>
      <c r="F1163" t="e">
        <f>VLOOKUP(A1164,[1]timesData!$B:$P,5,FALSE)</f>
        <v>#N/A</v>
      </c>
      <c r="G1163" t="e">
        <f>VLOOKUP(A1164,[1]timesData!$B:$P,6,FALSE)</f>
        <v>#N/A</v>
      </c>
      <c r="H1163" t="e">
        <f>VLOOKUP(A1164,[1]timesData!$B:$P,7,FALSE)</f>
        <v>#N/A</v>
      </c>
      <c r="I1163" t="e">
        <f>VLOOKUP(A1164,[1]timesData!$B:$P,8,FALSE)</f>
        <v>#N/A</v>
      </c>
      <c r="J1163" t="e">
        <f>VLOOKUP(A1164,[1]timesData!$B:$P,9,FALSE)</f>
        <v>#N/A</v>
      </c>
      <c r="K1163" t="e">
        <f>VLOOKUP(A1164,[1]timesData!$B:$P,10,FALSE)</f>
        <v>#N/A</v>
      </c>
      <c r="L1163" t="e">
        <f>VLOOKUP(A1164,[1]timesData!$B:$P,11,FALSE)</f>
        <v>#N/A</v>
      </c>
      <c r="M1163" t="e">
        <f>VLOOKUP(A1164,[1]timesData!$B:$P,12,FALSE)</f>
        <v>#N/A</v>
      </c>
      <c r="N1163" t="e">
        <f>VLOOKUP(A1164,[1]timesData!$B:$P,13,FALSE)</f>
        <v>#N/A</v>
      </c>
      <c r="O1163">
        <f>VLOOKUP(A1163,[2]cwurData!$B:$P,14,FALSE)</f>
        <v>890</v>
      </c>
      <c r="P1163">
        <f>VLOOKUP(A1163,[2]cwurData!$B:$N, 3, FALSE)</f>
        <v>51</v>
      </c>
      <c r="Q1163">
        <f>VLOOKUP(A1163,[2]cwurData!$B:$N, 4, FALSE)</f>
        <v>355</v>
      </c>
      <c r="R1163">
        <f>VLOOKUP(A1163,[2]cwurData!$B:$N, 5, FALSE)</f>
        <v>478</v>
      </c>
      <c r="S1163">
        <f>VLOOKUP(A1163,[2]cwurData!$B:$N, 6, FALSE)</f>
        <v>210</v>
      </c>
      <c r="T1163">
        <f>VLOOKUP(A1163,[2]cwurData!$B:$N, 7, FALSE)</f>
        <v>877</v>
      </c>
      <c r="U1163">
        <f>VLOOKUP(A1163,[2]cwurData!$B:$N, 8, FALSE)</f>
        <v>714</v>
      </c>
      <c r="V1163">
        <f>VLOOKUP(A1163,[2]cwurData!$B:$N, 9, FALSE)</f>
        <v>406</v>
      </c>
      <c r="W1163">
        <f>VLOOKUP(A1163,[2]cwurData!$B:$N, 10, FALSE)</f>
        <v>843</v>
      </c>
      <c r="X1163">
        <f>VLOOKUP(A1163,[2]cwurData!$B:$N, 11, FALSE)</f>
        <v>737</v>
      </c>
      <c r="Y1163">
        <f>VLOOKUP(A1163,[2]cwurData!$B:$N, 12, FALSE)</f>
        <v>44.41</v>
      </c>
      <c r="Z1163">
        <f>VLOOKUP(A1163,[2]cwurData!$B:$N, 13, FALSE)</f>
        <v>2014</v>
      </c>
    </row>
    <row r="1164" spans="1:26" x14ac:dyDescent="0.3">
      <c r="A1164" t="s">
        <v>1158</v>
      </c>
      <c r="B1164" t="str">
        <f>IFERROR(VLOOKUP(A1164,[1]timesData!$B:$P,2,FALSE),VLOOKUP(A1164,[2]cwurData!$B:$P,2,FALSE))</f>
        <v>United Kingdom</v>
      </c>
      <c r="C1164" t="e">
        <f>VLOOKUP(A1164,[1]timesData!$B:$P,3,FALSE)</f>
        <v>#N/A</v>
      </c>
      <c r="D1164" t="e">
        <f>VLOOKUP(A1165,[1]timesData!$B:$P,3,FALSE)</f>
        <v>#N/A</v>
      </c>
      <c r="E1164" t="e">
        <f>VLOOKUP(A1165,[1]timesData!$B:$P,4,FALSE)</f>
        <v>#N/A</v>
      </c>
      <c r="F1164" t="e">
        <f>VLOOKUP(A1165,[1]timesData!$B:$P,5,FALSE)</f>
        <v>#N/A</v>
      </c>
      <c r="G1164" t="e">
        <f>VLOOKUP(A1165,[1]timesData!$B:$P,6,FALSE)</f>
        <v>#N/A</v>
      </c>
      <c r="H1164" t="e">
        <f>VLOOKUP(A1165,[1]timesData!$B:$P,7,FALSE)</f>
        <v>#N/A</v>
      </c>
      <c r="I1164" t="e">
        <f>VLOOKUP(A1165,[1]timesData!$B:$P,8,FALSE)</f>
        <v>#N/A</v>
      </c>
      <c r="J1164" t="e">
        <f>VLOOKUP(A1165,[1]timesData!$B:$P,9,FALSE)</f>
        <v>#N/A</v>
      </c>
      <c r="K1164" t="e">
        <f>VLOOKUP(A1165,[1]timesData!$B:$P,10,FALSE)</f>
        <v>#N/A</v>
      </c>
      <c r="L1164" t="e">
        <f>VLOOKUP(A1165,[1]timesData!$B:$P,11,FALSE)</f>
        <v>#N/A</v>
      </c>
      <c r="M1164" t="e">
        <f>VLOOKUP(A1165,[1]timesData!$B:$P,12,FALSE)</f>
        <v>#N/A</v>
      </c>
      <c r="N1164" t="e">
        <f>VLOOKUP(A1165,[1]timesData!$B:$P,13,FALSE)</f>
        <v>#N/A</v>
      </c>
      <c r="O1164">
        <f>VLOOKUP(A1164,[2]cwurData!$B:$P,14,FALSE)</f>
        <v>892</v>
      </c>
      <c r="P1164">
        <f>VLOOKUP(A1164,[2]cwurData!$B:$N, 3, FALSE)</f>
        <v>64</v>
      </c>
      <c r="Q1164">
        <f>VLOOKUP(A1164,[2]cwurData!$B:$N, 4, FALSE)</f>
        <v>355</v>
      </c>
      <c r="R1164">
        <f>VLOOKUP(A1164,[2]cwurData!$B:$N, 5, FALSE)</f>
        <v>478</v>
      </c>
      <c r="S1164">
        <f>VLOOKUP(A1164,[2]cwurData!$B:$N, 6, FALSE)</f>
        <v>210</v>
      </c>
      <c r="T1164">
        <f>VLOOKUP(A1164,[2]cwurData!$B:$N, 7, FALSE)</f>
        <v>966</v>
      </c>
      <c r="U1164">
        <f>VLOOKUP(A1164,[2]cwurData!$B:$N, 8, FALSE)</f>
        <v>859</v>
      </c>
      <c r="V1164">
        <f>VLOOKUP(A1164,[2]cwurData!$B:$N, 9, FALSE)</f>
        <v>406</v>
      </c>
      <c r="W1164">
        <f>VLOOKUP(A1164,[2]cwurData!$B:$N, 10, FALSE)</f>
        <v>843</v>
      </c>
      <c r="X1164">
        <f>VLOOKUP(A1164,[2]cwurData!$B:$N, 11, FALSE)</f>
        <v>737</v>
      </c>
      <c r="Y1164">
        <f>VLOOKUP(A1164,[2]cwurData!$B:$N, 12, FALSE)</f>
        <v>44.4</v>
      </c>
      <c r="Z1164">
        <f>VLOOKUP(A1164,[2]cwurData!$B:$N, 13, FALSE)</f>
        <v>2014</v>
      </c>
    </row>
    <row r="1165" spans="1:26" x14ac:dyDescent="0.3">
      <c r="A1165" t="s">
        <v>1159</v>
      </c>
      <c r="B1165" t="str">
        <f>IFERROR(VLOOKUP(A1165,[1]timesData!$B:$P,2,FALSE),VLOOKUP(A1165,[2]cwurData!$B:$P,2,FALSE))</f>
        <v>Taiwan</v>
      </c>
      <c r="C1165" t="e">
        <f>VLOOKUP(A1165,[1]timesData!$B:$P,3,FALSE)</f>
        <v>#N/A</v>
      </c>
      <c r="D1165" t="e">
        <f>VLOOKUP(A1166,[1]timesData!$B:$P,3,FALSE)</f>
        <v>#N/A</v>
      </c>
      <c r="E1165" t="e">
        <f>VLOOKUP(A1166,[1]timesData!$B:$P,4,FALSE)</f>
        <v>#N/A</v>
      </c>
      <c r="F1165" t="e">
        <f>VLOOKUP(A1166,[1]timesData!$B:$P,5,FALSE)</f>
        <v>#N/A</v>
      </c>
      <c r="G1165" t="e">
        <f>VLOOKUP(A1166,[1]timesData!$B:$P,6,FALSE)</f>
        <v>#N/A</v>
      </c>
      <c r="H1165" t="e">
        <f>VLOOKUP(A1166,[1]timesData!$B:$P,7,FALSE)</f>
        <v>#N/A</v>
      </c>
      <c r="I1165" t="e">
        <f>VLOOKUP(A1166,[1]timesData!$B:$P,8,FALSE)</f>
        <v>#N/A</v>
      </c>
      <c r="J1165" t="e">
        <f>VLOOKUP(A1166,[1]timesData!$B:$P,9,FALSE)</f>
        <v>#N/A</v>
      </c>
      <c r="K1165" t="e">
        <f>VLOOKUP(A1166,[1]timesData!$B:$P,10,FALSE)</f>
        <v>#N/A</v>
      </c>
      <c r="L1165" t="e">
        <f>VLOOKUP(A1166,[1]timesData!$B:$P,11,FALSE)</f>
        <v>#N/A</v>
      </c>
      <c r="M1165" t="e">
        <f>VLOOKUP(A1166,[1]timesData!$B:$P,12,FALSE)</f>
        <v>#N/A</v>
      </c>
      <c r="N1165" t="e">
        <f>VLOOKUP(A1166,[1]timesData!$B:$P,13,FALSE)</f>
        <v>#N/A</v>
      </c>
      <c r="O1165">
        <f>VLOOKUP(A1165,[2]cwurData!$B:$P,14,FALSE)</f>
        <v>893</v>
      </c>
      <c r="P1165">
        <f>VLOOKUP(A1165,[2]cwurData!$B:$N, 3, FALSE)</f>
        <v>16</v>
      </c>
      <c r="Q1165">
        <f>VLOOKUP(A1165,[2]cwurData!$B:$N, 4, FALSE)</f>
        <v>355</v>
      </c>
      <c r="R1165">
        <f>VLOOKUP(A1165,[2]cwurData!$B:$N, 5, FALSE)</f>
        <v>478</v>
      </c>
      <c r="S1165">
        <f>VLOOKUP(A1165,[2]cwurData!$B:$N, 6, FALSE)</f>
        <v>210</v>
      </c>
      <c r="T1165">
        <f>VLOOKUP(A1165,[2]cwurData!$B:$N, 7, FALSE)</f>
        <v>610</v>
      </c>
      <c r="U1165">
        <f>VLOOKUP(A1165,[2]cwurData!$B:$N, 8, FALSE)</f>
        <v>974</v>
      </c>
      <c r="V1165">
        <f>VLOOKUP(A1165,[2]cwurData!$B:$N, 9, FALSE)</f>
        <v>800</v>
      </c>
      <c r="W1165">
        <f>VLOOKUP(A1165,[2]cwurData!$B:$N, 10, FALSE)</f>
        <v>849</v>
      </c>
      <c r="X1165">
        <f>VLOOKUP(A1165,[2]cwurData!$B:$N, 11, FALSE)</f>
        <v>737</v>
      </c>
      <c r="Y1165">
        <f>VLOOKUP(A1165,[2]cwurData!$B:$N, 12, FALSE)</f>
        <v>44.4</v>
      </c>
      <c r="Z1165">
        <f>VLOOKUP(A1165,[2]cwurData!$B:$N, 13, FALSE)</f>
        <v>2014</v>
      </c>
    </row>
    <row r="1166" spans="1:26" x14ac:dyDescent="0.3">
      <c r="A1166" t="s">
        <v>1160</v>
      </c>
      <c r="B1166" t="str">
        <f>IFERROR(VLOOKUP(A1166,[1]timesData!$B:$P,2,FALSE),VLOOKUP(A1166,[2]cwurData!$B:$P,2,FALSE))</f>
        <v>France</v>
      </c>
      <c r="C1166" t="e">
        <f>VLOOKUP(A1166,[1]timesData!$B:$P,3,FALSE)</f>
        <v>#N/A</v>
      </c>
      <c r="D1166" t="e">
        <f>VLOOKUP(A1167,[1]timesData!$B:$P,3,FALSE)</f>
        <v>#N/A</v>
      </c>
      <c r="E1166" t="e">
        <f>VLOOKUP(A1167,[1]timesData!$B:$P,4,FALSE)</f>
        <v>#N/A</v>
      </c>
      <c r="F1166" t="e">
        <f>VLOOKUP(A1167,[1]timesData!$B:$P,5,FALSE)</f>
        <v>#N/A</v>
      </c>
      <c r="G1166" t="e">
        <f>VLOOKUP(A1167,[1]timesData!$B:$P,6,FALSE)</f>
        <v>#N/A</v>
      </c>
      <c r="H1166" t="e">
        <f>VLOOKUP(A1167,[1]timesData!$B:$P,7,FALSE)</f>
        <v>#N/A</v>
      </c>
      <c r="I1166" t="e">
        <f>VLOOKUP(A1167,[1]timesData!$B:$P,8,FALSE)</f>
        <v>#N/A</v>
      </c>
      <c r="J1166" t="e">
        <f>VLOOKUP(A1167,[1]timesData!$B:$P,9,FALSE)</f>
        <v>#N/A</v>
      </c>
      <c r="K1166" t="e">
        <f>VLOOKUP(A1167,[1]timesData!$B:$P,10,FALSE)</f>
        <v>#N/A</v>
      </c>
      <c r="L1166" t="e">
        <f>VLOOKUP(A1167,[1]timesData!$B:$P,11,FALSE)</f>
        <v>#N/A</v>
      </c>
      <c r="M1166" t="e">
        <f>VLOOKUP(A1167,[1]timesData!$B:$P,12,FALSE)</f>
        <v>#N/A</v>
      </c>
      <c r="N1166" t="e">
        <f>VLOOKUP(A1167,[1]timesData!$B:$P,13,FALSE)</f>
        <v>#N/A</v>
      </c>
      <c r="O1166">
        <f>VLOOKUP(A1166,[2]cwurData!$B:$P,14,FALSE)</f>
        <v>895</v>
      </c>
      <c r="P1166">
        <f>VLOOKUP(A1166,[2]cwurData!$B:$N, 3, FALSE)</f>
        <v>46</v>
      </c>
      <c r="Q1166">
        <f>VLOOKUP(A1166,[2]cwurData!$B:$N, 4, FALSE)</f>
        <v>355</v>
      </c>
      <c r="R1166">
        <f>VLOOKUP(A1166,[2]cwurData!$B:$N, 5, FALSE)</f>
        <v>478</v>
      </c>
      <c r="S1166">
        <f>VLOOKUP(A1166,[2]cwurData!$B:$N, 6, FALSE)</f>
        <v>210</v>
      </c>
      <c r="T1166">
        <f>VLOOKUP(A1166,[2]cwurData!$B:$N, 7, FALSE)</f>
        <v>834</v>
      </c>
      <c r="U1166">
        <f>VLOOKUP(A1166,[2]cwurData!$B:$N, 8, FALSE)</f>
        <v>644</v>
      </c>
      <c r="V1166">
        <f>VLOOKUP(A1166,[2]cwurData!$B:$N, 9, FALSE)</f>
        <v>800</v>
      </c>
      <c r="W1166">
        <f>VLOOKUP(A1166,[2]cwurData!$B:$N, 10, FALSE)</f>
        <v>849</v>
      </c>
      <c r="X1166">
        <f>VLOOKUP(A1166,[2]cwurData!$B:$N, 11, FALSE)</f>
        <v>481</v>
      </c>
      <c r="Y1166">
        <f>VLOOKUP(A1166,[2]cwurData!$B:$N, 12, FALSE)</f>
        <v>44.4</v>
      </c>
      <c r="Z1166">
        <f>VLOOKUP(A1166,[2]cwurData!$B:$N, 13, FALSE)</f>
        <v>2014</v>
      </c>
    </row>
    <row r="1167" spans="1:26" x14ac:dyDescent="0.3">
      <c r="A1167" t="s">
        <v>1161</v>
      </c>
      <c r="B1167" t="str">
        <f>IFERROR(VLOOKUP(A1167,[1]timesData!$B:$P,2,FALSE),VLOOKUP(A1167,[2]cwurData!$B:$P,2,FALSE))</f>
        <v>China</v>
      </c>
      <c r="C1167" t="e">
        <f>VLOOKUP(A1167,[1]timesData!$B:$P,3,FALSE)</f>
        <v>#N/A</v>
      </c>
      <c r="D1167" t="e">
        <f>VLOOKUP(A1168,[1]timesData!$B:$P,3,FALSE)</f>
        <v>#N/A</v>
      </c>
      <c r="E1167" t="e">
        <f>VLOOKUP(A1168,[1]timesData!$B:$P,4,FALSE)</f>
        <v>#N/A</v>
      </c>
      <c r="F1167" t="e">
        <f>VLOOKUP(A1168,[1]timesData!$B:$P,5,FALSE)</f>
        <v>#N/A</v>
      </c>
      <c r="G1167" t="e">
        <f>VLOOKUP(A1168,[1]timesData!$B:$P,6,FALSE)</f>
        <v>#N/A</v>
      </c>
      <c r="H1167" t="e">
        <f>VLOOKUP(A1168,[1]timesData!$B:$P,7,FALSE)</f>
        <v>#N/A</v>
      </c>
      <c r="I1167" t="e">
        <f>VLOOKUP(A1168,[1]timesData!$B:$P,8,FALSE)</f>
        <v>#N/A</v>
      </c>
      <c r="J1167" t="e">
        <f>VLOOKUP(A1168,[1]timesData!$B:$P,9,FALSE)</f>
        <v>#N/A</v>
      </c>
      <c r="K1167" t="e">
        <f>VLOOKUP(A1168,[1]timesData!$B:$P,10,FALSE)</f>
        <v>#N/A</v>
      </c>
      <c r="L1167" t="e">
        <f>VLOOKUP(A1168,[1]timesData!$B:$P,11,FALSE)</f>
        <v>#N/A</v>
      </c>
      <c r="M1167" t="e">
        <f>VLOOKUP(A1168,[1]timesData!$B:$P,12,FALSE)</f>
        <v>#N/A</v>
      </c>
      <c r="N1167" t="e">
        <f>VLOOKUP(A1168,[1]timesData!$B:$P,13,FALSE)</f>
        <v>#N/A</v>
      </c>
      <c r="O1167">
        <f>VLOOKUP(A1167,[2]cwurData!$B:$P,14,FALSE)</f>
        <v>896</v>
      </c>
      <c r="P1167">
        <f>VLOOKUP(A1167,[2]cwurData!$B:$N, 3, FALSE)</f>
        <v>55</v>
      </c>
      <c r="Q1167">
        <f>VLOOKUP(A1167,[2]cwurData!$B:$N, 4, FALSE)</f>
        <v>355</v>
      </c>
      <c r="R1167">
        <f>VLOOKUP(A1167,[2]cwurData!$B:$N, 5, FALSE)</f>
        <v>478</v>
      </c>
      <c r="S1167">
        <f>VLOOKUP(A1167,[2]cwurData!$B:$N, 6, FALSE)</f>
        <v>210</v>
      </c>
      <c r="T1167">
        <f>VLOOKUP(A1167,[2]cwurData!$B:$N, 7, FALSE)</f>
        <v>674</v>
      </c>
      <c r="U1167">
        <f>VLOOKUP(A1167,[2]cwurData!$B:$N, 8, FALSE)</f>
        <v>766</v>
      </c>
      <c r="V1167">
        <f>VLOOKUP(A1167,[2]cwurData!$B:$N, 9, FALSE)</f>
        <v>800</v>
      </c>
      <c r="W1167">
        <f>VLOOKUP(A1167,[2]cwurData!$B:$N, 10, FALSE)</f>
        <v>849</v>
      </c>
      <c r="X1167">
        <f>VLOOKUP(A1167,[2]cwurData!$B:$N, 11, FALSE)</f>
        <v>637</v>
      </c>
      <c r="Y1167">
        <f>VLOOKUP(A1167,[2]cwurData!$B:$N, 12, FALSE)</f>
        <v>44.4</v>
      </c>
      <c r="Z1167">
        <f>VLOOKUP(A1167,[2]cwurData!$B:$N, 13, FALSE)</f>
        <v>2014</v>
      </c>
    </row>
    <row r="1168" spans="1:26" x14ac:dyDescent="0.3">
      <c r="A1168" t="s">
        <v>1162</v>
      </c>
      <c r="B1168" t="str">
        <f>IFERROR(VLOOKUP(A1168,[1]timesData!$B:$P,2,FALSE),VLOOKUP(A1168,[2]cwurData!$B:$P,2,FALSE))</f>
        <v>Turkey</v>
      </c>
      <c r="C1168" t="e">
        <f>VLOOKUP(A1168,[1]timesData!$B:$P,3,FALSE)</f>
        <v>#N/A</v>
      </c>
      <c r="D1168" t="e">
        <f>VLOOKUP(A1169,[1]timesData!$B:$P,3,FALSE)</f>
        <v>#N/A</v>
      </c>
      <c r="E1168" t="e">
        <f>VLOOKUP(A1169,[1]timesData!$B:$P,4,FALSE)</f>
        <v>#N/A</v>
      </c>
      <c r="F1168" t="e">
        <f>VLOOKUP(A1169,[1]timesData!$B:$P,5,FALSE)</f>
        <v>#N/A</v>
      </c>
      <c r="G1168" t="e">
        <f>VLOOKUP(A1169,[1]timesData!$B:$P,6,FALSE)</f>
        <v>#N/A</v>
      </c>
      <c r="H1168" t="e">
        <f>VLOOKUP(A1169,[1]timesData!$B:$P,7,FALSE)</f>
        <v>#N/A</v>
      </c>
      <c r="I1168" t="e">
        <f>VLOOKUP(A1169,[1]timesData!$B:$P,8,FALSE)</f>
        <v>#N/A</v>
      </c>
      <c r="J1168" t="e">
        <f>VLOOKUP(A1169,[1]timesData!$B:$P,9,FALSE)</f>
        <v>#N/A</v>
      </c>
      <c r="K1168" t="e">
        <f>VLOOKUP(A1169,[1]timesData!$B:$P,10,FALSE)</f>
        <v>#N/A</v>
      </c>
      <c r="L1168" t="e">
        <f>VLOOKUP(A1169,[1]timesData!$B:$P,11,FALSE)</f>
        <v>#N/A</v>
      </c>
      <c r="M1168" t="e">
        <f>VLOOKUP(A1169,[1]timesData!$B:$P,12,FALSE)</f>
        <v>#N/A</v>
      </c>
      <c r="N1168" t="e">
        <f>VLOOKUP(A1169,[1]timesData!$B:$P,13,FALSE)</f>
        <v>#N/A</v>
      </c>
      <c r="O1168">
        <f>VLOOKUP(A1168,[2]cwurData!$B:$P,14,FALSE)</f>
        <v>900</v>
      </c>
      <c r="P1168">
        <f>VLOOKUP(A1168,[2]cwurData!$B:$N, 3, FALSE)</f>
        <v>8</v>
      </c>
      <c r="Q1168">
        <f>VLOOKUP(A1168,[2]cwurData!$B:$N, 4, FALSE)</f>
        <v>355</v>
      </c>
      <c r="R1168">
        <f>VLOOKUP(A1168,[2]cwurData!$B:$N, 5, FALSE)</f>
        <v>478</v>
      </c>
      <c r="S1168">
        <f>VLOOKUP(A1168,[2]cwurData!$B:$N, 6, FALSE)</f>
        <v>210</v>
      </c>
      <c r="T1168">
        <f>VLOOKUP(A1168,[2]cwurData!$B:$N, 7, FALSE)</f>
        <v>742</v>
      </c>
      <c r="U1168">
        <f>VLOOKUP(A1168,[2]cwurData!$B:$N, 8, FALSE)</f>
        <v>952</v>
      </c>
      <c r="V1168">
        <f>VLOOKUP(A1168,[2]cwurData!$B:$N, 9, FALSE)</f>
        <v>609</v>
      </c>
      <c r="W1168">
        <f>VLOOKUP(A1168,[2]cwurData!$B:$N, 10, FALSE)</f>
        <v>849</v>
      </c>
      <c r="X1168">
        <f>VLOOKUP(A1168,[2]cwurData!$B:$N, 11, FALSE)</f>
        <v>737</v>
      </c>
      <c r="Y1168">
        <f>VLOOKUP(A1168,[2]cwurData!$B:$N, 12, FALSE)</f>
        <v>44.39</v>
      </c>
      <c r="Z1168">
        <f>VLOOKUP(A1168,[2]cwurData!$B:$N, 13, FALSE)</f>
        <v>2014</v>
      </c>
    </row>
    <row r="1169" spans="1:26" x14ac:dyDescent="0.3">
      <c r="A1169" t="s">
        <v>1163</v>
      </c>
      <c r="B1169" t="str">
        <f>IFERROR(VLOOKUP(A1169,[1]timesData!$B:$P,2,FALSE),VLOOKUP(A1169,[2]cwurData!$B:$P,2,FALSE))</f>
        <v>Colombia</v>
      </c>
      <c r="C1169" t="e">
        <f>VLOOKUP(A1169,[1]timesData!$B:$P,3,FALSE)</f>
        <v>#N/A</v>
      </c>
      <c r="D1169" t="e">
        <f>VLOOKUP(A1170,[1]timesData!$B:$P,3,FALSE)</f>
        <v>#N/A</v>
      </c>
      <c r="E1169" t="e">
        <f>VLOOKUP(A1170,[1]timesData!$B:$P,4,FALSE)</f>
        <v>#N/A</v>
      </c>
      <c r="F1169" t="e">
        <f>VLOOKUP(A1170,[1]timesData!$B:$P,5,FALSE)</f>
        <v>#N/A</v>
      </c>
      <c r="G1169" t="e">
        <f>VLOOKUP(A1170,[1]timesData!$B:$P,6,FALSE)</f>
        <v>#N/A</v>
      </c>
      <c r="H1169" t="e">
        <f>VLOOKUP(A1170,[1]timesData!$B:$P,7,FALSE)</f>
        <v>#N/A</v>
      </c>
      <c r="I1169" t="e">
        <f>VLOOKUP(A1170,[1]timesData!$B:$P,8,FALSE)</f>
        <v>#N/A</v>
      </c>
      <c r="J1169" t="e">
        <f>VLOOKUP(A1170,[1]timesData!$B:$P,9,FALSE)</f>
        <v>#N/A</v>
      </c>
      <c r="K1169" t="e">
        <f>VLOOKUP(A1170,[1]timesData!$B:$P,10,FALSE)</f>
        <v>#N/A</v>
      </c>
      <c r="L1169" t="e">
        <f>VLOOKUP(A1170,[1]timesData!$B:$P,11,FALSE)</f>
        <v>#N/A</v>
      </c>
      <c r="M1169" t="e">
        <f>VLOOKUP(A1170,[1]timesData!$B:$P,12,FALSE)</f>
        <v>#N/A</v>
      </c>
      <c r="N1169" t="e">
        <f>VLOOKUP(A1170,[1]timesData!$B:$P,13,FALSE)</f>
        <v>#N/A</v>
      </c>
      <c r="O1169">
        <f>VLOOKUP(A1169,[2]cwurData!$B:$P,14,FALSE)</f>
        <v>901</v>
      </c>
      <c r="P1169">
        <f>VLOOKUP(A1169,[2]cwurData!$B:$N, 3, FALSE)</f>
        <v>2</v>
      </c>
      <c r="Q1169">
        <f>VLOOKUP(A1169,[2]cwurData!$B:$N, 4, FALSE)</f>
        <v>355</v>
      </c>
      <c r="R1169">
        <f>VLOOKUP(A1169,[2]cwurData!$B:$N, 5, FALSE)</f>
        <v>297</v>
      </c>
      <c r="S1169">
        <f>VLOOKUP(A1169,[2]cwurData!$B:$N, 6, FALSE)</f>
        <v>210</v>
      </c>
      <c r="T1169">
        <f>VLOOKUP(A1169,[2]cwurData!$B:$N, 7, FALSE)</f>
        <v>882</v>
      </c>
      <c r="U1169">
        <f>VLOOKUP(A1169,[2]cwurData!$B:$N, 8, FALSE)</f>
        <v>748</v>
      </c>
      <c r="V1169">
        <f>VLOOKUP(A1169,[2]cwurData!$B:$N, 9, FALSE)</f>
        <v>609</v>
      </c>
      <c r="W1169">
        <f>VLOOKUP(A1169,[2]cwurData!$B:$N, 10, FALSE)</f>
        <v>979</v>
      </c>
      <c r="X1169">
        <f>VLOOKUP(A1169,[2]cwurData!$B:$N, 11, FALSE)</f>
        <v>737</v>
      </c>
      <c r="Y1169">
        <f>VLOOKUP(A1169,[2]cwurData!$B:$N, 12, FALSE)</f>
        <v>44.39</v>
      </c>
      <c r="Z1169">
        <f>VLOOKUP(A1169,[2]cwurData!$B:$N, 13, FALSE)</f>
        <v>2014</v>
      </c>
    </row>
    <row r="1170" spans="1:26" x14ac:dyDescent="0.3">
      <c r="A1170" t="s">
        <v>1164</v>
      </c>
      <c r="B1170" t="str">
        <f>IFERROR(VLOOKUP(A1170,[1]timesData!$B:$P,2,FALSE),VLOOKUP(A1170,[2]cwurData!$B:$P,2,FALSE))</f>
        <v>Spain</v>
      </c>
      <c r="C1170" t="e">
        <f>VLOOKUP(A1170,[1]timesData!$B:$P,3,FALSE)</f>
        <v>#N/A</v>
      </c>
      <c r="D1170" t="e">
        <f>VLOOKUP(A1171,[1]timesData!$B:$P,3,FALSE)</f>
        <v>#N/A</v>
      </c>
      <c r="E1170" t="e">
        <f>VLOOKUP(A1171,[1]timesData!$B:$P,4,FALSE)</f>
        <v>#N/A</v>
      </c>
      <c r="F1170" t="e">
        <f>VLOOKUP(A1171,[1]timesData!$B:$P,5,FALSE)</f>
        <v>#N/A</v>
      </c>
      <c r="G1170" t="e">
        <f>VLOOKUP(A1171,[1]timesData!$B:$P,6,FALSE)</f>
        <v>#N/A</v>
      </c>
      <c r="H1170" t="e">
        <f>VLOOKUP(A1171,[1]timesData!$B:$P,7,FALSE)</f>
        <v>#N/A</v>
      </c>
      <c r="I1170" t="e">
        <f>VLOOKUP(A1171,[1]timesData!$B:$P,8,FALSE)</f>
        <v>#N/A</v>
      </c>
      <c r="J1170" t="e">
        <f>VLOOKUP(A1171,[1]timesData!$B:$P,9,FALSE)</f>
        <v>#N/A</v>
      </c>
      <c r="K1170" t="e">
        <f>VLOOKUP(A1171,[1]timesData!$B:$P,10,FALSE)</f>
        <v>#N/A</v>
      </c>
      <c r="L1170" t="e">
        <f>VLOOKUP(A1171,[1]timesData!$B:$P,11,FALSE)</f>
        <v>#N/A</v>
      </c>
      <c r="M1170" t="e">
        <f>VLOOKUP(A1171,[1]timesData!$B:$P,12,FALSE)</f>
        <v>#N/A</v>
      </c>
      <c r="N1170" t="e">
        <f>VLOOKUP(A1171,[1]timesData!$B:$P,13,FALSE)</f>
        <v>#N/A</v>
      </c>
      <c r="O1170">
        <f>VLOOKUP(A1170,[2]cwurData!$B:$P,14,FALSE)</f>
        <v>902</v>
      </c>
      <c r="P1170">
        <f>VLOOKUP(A1170,[2]cwurData!$B:$N, 3, FALSE)</f>
        <v>36</v>
      </c>
      <c r="Q1170">
        <f>VLOOKUP(A1170,[2]cwurData!$B:$N, 4, FALSE)</f>
        <v>355</v>
      </c>
      <c r="R1170">
        <f>VLOOKUP(A1170,[2]cwurData!$B:$N, 5, FALSE)</f>
        <v>478</v>
      </c>
      <c r="S1170">
        <f>VLOOKUP(A1170,[2]cwurData!$B:$N, 6, FALSE)</f>
        <v>210</v>
      </c>
      <c r="T1170">
        <f>VLOOKUP(A1170,[2]cwurData!$B:$N, 7, FALSE)</f>
        <v>932</v>
      </c>
      <c r="U1170">
        <f>VLOOKUP(A1170,[2]cwurData!$B:$N, 8, FALSE)</f>
        <v>864</v>
      </c>
      <c r="V1170">
        <f>VLOOKUP(A1170,[2]cwurData!$B:$N, 9, FALSE)</f>
        <v>493</v>
      </c>
      <c r="W1170">
        <f>VLOOKUP(A1170,[2]cwurData!$B:$N, 10, FALSE)</f>
        <v>874</v>
      </c>
      <c r="X1170">
        <f>VLOOKUP(A1170,[2]cwurData!$B:$N, 11, FALSE)</f>
        <v>426</v>
      </c>
      <c r="Y1170">
        <f>VLOOKUP(A1170,[2]cwurData!$B:$N, 12, FALSE)</f>
        <v>44.39</v>
      </c>
      <c r="Z1170">
        <f>VLOOKUP(A1170,[2]cwurData!$B:$N, 13, FALSE)</f>
        <v>2014</v>
      </c>
    </row>
    <row r="1171" spans="1:26" x14ac:dyDescent="0.3">
      <c r="A1171" t="s">
        <v>1165</v>
      </c>
      <c r="B1171" t="str">
        <f>IFERROR(VLOOKUP(A1171,[1]timesData!$B:$P,2,FALSE),VLOOKUP(A1171,[2]cwurData!$B:$P,2,FALSE))</f>
        <v>South Korea</v>
      </c>
      <c r="C1171" t="e">
        <f>VLOOKUP(A1171,[1]timesData!$B:$P,3,FALSE)</f>
        <v>#N/A</v>
      </c>
      <c r="D1171" t="e">
        <f>VLOOKUP(A1172,[1]timesData!$B:$P,3,FALSE)</f>
        <v>#N/A</v>
      </c>
      <c r="E1171" t="e">
        <f>VLOOKUP(A1172,[1]timesData!$B:$P,4,FALSE)</f>
        <v>#N/A</v>
      </c>
      <c r="F1171" t="e">
        <f>VLOOKUP(A1172,[1]timesData!$B:$P,5,FALSE)</f>
        <v>#N/A</v>
      </c>
      <c r="G1171" t="e">
        <f>VLOOKUP(A1172,[1]timesData!$B:$P,6,FALSE)</f>
        <v>#N/A</v>
      </c>
      <c r="H1171" t="e">
        <f>VLOOKUP(A1172,[1]timesData!$B:$P,7,FALSE)</f>
        <v>#N/A</v>
      </c>
      <c r="I1171" t="e">
        <f>VLOOKUP(A1172,[1]timesData!$B:$P,8,FALSE)</f>
        <v>#N/A</v>
      </c>
      <c r="J1171" t="e">
        <f>VLOOKUP(A1172,[1]timesData!$B:$P,9,FALSE)</f>
        <v>#N/A</v>
      </c>
      <c r="K1171" t="e">
        <f>VLOOKUP(A1172,[1]timesData!$B:$P,10,FALSE)</f>
        <v>#N/A</v>
      </c>
      <c r="L1171" t="e">
        <f>VLOOKUP(A1172,[1]timesData!$B:$P,11,FALSE)</f>
        <v>#N/A</v>
      </c>
      <c r="M1171" t="e">
        <f>VLOOKUP(A1172,[1]timesData!$B:$P,12,FALSE)</f>
        <v>#N/A</v>
      </c>
      <c r="N1171" t="e">
        <f>VLOOKUP(A1172,[1]timesData!$B:$P,13,FALSE)</f>
        <v>#N/A</v>
      </c>
      <c r="O1171">
        <f>VLOOKUP(A1171,[2]cwurData!$B:$P,14,FALSE)</f>
        <v>905</v>
      </c>
      <c r="P1171">
        <f>VLOOKUP(A1171,[2]cwurData!$B:$N, 3, FALSE)</f>
        <v>32</v>
      </c>
      <c r="Q1171">
        <f>VLOOKUP(A1171,[2]cwurData!$B:$N, 4, FALSE)</f>
        <v>355</v>
      </c>
      <c r="R1171">
        <f>VLOOKUP(A1171,[2]cwurData!$B:$N, 5, FALSE)</f>
        <v>478</v>
      </c>
      <c r="S1171">
        <f>VLOOKUP(A1171,[2]cwurData!$B:$N, 6, FALSE)</f>
        <v>210</v>
      </c>
      <c r="T1171">
        <f>VLOOKUP(A1171,[2]cwurData!$B:$N, 7, FALSE)</f>
        <v>904</v>
      </c>
      <c r="U1171">
        <f>VLOOKUP(A1171,[2]cwurData!$B:$N, 8, FALSE)</f>
        <v>952</v>
      </c>
      <c r="V1171">
        <f>VLOOKUP(A1171,[2]cwurData!$B:$N, 9, FALSE)</f>
        <v>800</v>
      </c>
      <c r="W1171">
        <f>VLOOKUP(A1171,[2]cwurData!$B:$N, 10, FALSE)</f>
        <v>889</v>
      </c>
      <c r="X1171">
        <f>VLOOKUP(A1171,[2]cwurData!$B:$N, 11, FALSE)</f>
        <v>373</v>
      </c>
      <c r="Y1171">
        <f>VLOOKUP(A1171,[2]cwurData!$B:$N, 12, FALSE)</f>
        <v>44.39</v>
      </c>
      <c r="Z1171">
        <f>VLOOKUP(A1171,[2]cwurData!$B:$N, 13, FALSE)</f>
        <v>2014</v>
      </c>
    </row>
    <row r="1172" spans="1:26" x14ac:dyDescent="0.3">
      <c r="A1172" t="s">
        <v>1166</v>
      </c>
      <c r="B1172" t="str">
        <f>IFERROR(VLOOKUP(A1172,[1]timesData!$B:$P,2,FALSE),VLOOKUP(A1172,[2]cwurData!$B:$P,2,FALSE))</f>
        <v>Australia</v>
      </c>
      <c r="C1172" t="e">
        <f>VLOOKUP(A1172,[1]timesData!$B:$P,3,FALSE)</f>
        <v>#N/A</v>
      </c>
      <c r="D1172" t="e">
        <f>VLOOKUP(A1173,[1]timesData!$B:$P,3,FALSE)</f>
        <v>#N/A</v>
      </c>
      <c r="E1172" t="e">
        <f>VLOOKUP(A1173,[1]timesData!$B:$P,4,FALSE)</f>
        <v>#N/A</v>
      </c>
      <c r="F1172" t="e">
        <f>VLOOKUP(A1173,[1]timesData!$B:$P,5,FALSE)</f>
        <v>#N/A</v>
      </c>
      <c r="G1172" t="e">
        <f>VLOOKUP(A1173,[1]timesData!$B:$P,6,FALSE)</f>
        <v>#N/A</v>
      </c>
      <c r="H1172" t="e">
        <f>VLOOKUP(A1173,[1]timesData!$B:$P,7,FALSE)</f>
        <v>#N/A</v>
      </c>
      <c r="I1172" t="e">
        <f>VLOOKUP(A1173,[1]timesData!$B:$P,8,FALSE)</f>
        <v>#N/A</v>
      </c>
      <c r="J1172" t="e">
        <f>VLOOKUP(A1173,[1]timesData!$B:$P,9,FALSE)</f>
        <v>#N/A</v>
      </c>
      <c r="K1172" t="e">
        <f>VLOOKUP(A1173,[1]timesData!$B:$P,10,FALSE)</f>
        <v>#N/A</v>
      </c>
      <c r="L1172" t="e">
        <f>VLOOKUP(A1173,[1]timesData!$B:$P,11,FALSE)</f>
        <v>#N/A</v>
      </c>
      <c r="M1172" t="e">
        <f>VLOOKUP(A1173,[1]timesData!$B:$P,12,FALSE)</f>
        <v>#N/A</v>
      </c>
      <c r="N1172" t="e">
        <f>VLOOKUP(A1173,[1]timesData!$B:$P,13,FALSE)</f>
        <v>#N/A</v>
      </c>
      <c r="O1172">
        <f>VLOOKUP(A1172,[2]cwurData!$B:$P,14,FALSE)</f>
        <v>906</v>
      </c>
      <c r="P1172">
        <f>VLOOKUP(A1172,[2]cwurData!$B:$N, 3, FALSE)</f>
        <v>25</v>
      </c>
      <c r="Q1172">
        <f>VLOOKUP(A1172,[2]cwurData!$B:$N, 4, FALSE)</f>
        <v>355</v>
      </c>
      <c r="R1172">
        <f>VLOOKUP(A1172,[2]cwurData!$B:$N, 5, FALSE)</f>
        <v>478</v>
      </c>
      <c r="S1172">
        <f>VLOOKUP(A1172,[2]cwurData!$B:$N, 6, FALSE)</f>
        <v>210</v>
      </c>
      <c r="T1172">
        <f>VLOOKUP(A1172,[2]cwurData!$B:$N, 7, FALSE)</f>
        <v>693</v>
      </c>
      <c r="U1172">
        <f>VLOOKUP(A1172,[2]cwurData!$B:$N, 8, FALSE)</f>
        <v>591</v>
      </c>
      <c r="V1172">
        <f>VLOOKUP(A1172,[2]cwurData!$B:$N, 9, FALSE)</f>
        <v>609</v>
      </c>
      <c r="W1172">
        <f>VLOOKUP(A1172,[2]cwurData!$B:$N, 10, FALSE)</f>
        <v>869</v>
      </c>
      <c r="X1172">
        <f>VLOOKUP(A1172,[2]cwurData!$B:$N, 11, FALSE)</f>
        <v>737</v>
      </c>
      <c r="Y1172">
        <f>VLOOKUP(A1172,[2]cwurData!$B:$N, 12, FALSE)</f>
        <v>44.39</v>
      </c>
      <c r="Z1172">
        <f>VLOOKUP(A1172,[2]cwurData!$B:$N, 13, FALSE)</f>
        <v>2014</v>
      </c>
    </row>
    <row r="1173" spans="1:26" x14ac:dyDescent="0.3">
      <c r="A1173" t="s">
        <v>1167</v>
      </c>
      <c r="B1173" t="str">
        <f>IFERROR(VLOOKUP(A1173,[1]timesData!$B:$P,2,FALSE),VLOOKUP(A1173,[2]cwurData!$B:$P,2,FALSE))</f>
        <v>China</v>
      </c>
      <c r="C1173" t="e">
        <f>VLOOKUP(A1173,[1]timesData!$B:$P,3,FALSE)</f>
        <v>#N/A</v>
      </c>
      <c r="D1173" t="e">
        <f>VLOOKUP(A1174,[1]timesData!$B:$P,3,FALSE)</f>
        <v>#N/A</v>
      </c>
      <c r="E1173" t="e">
        <f>VLOOKUP(A1174,[1]timesData!$B:$P,4,FALSE)</f>
        <v>#N/A</v>
      </c>
      <c r="F1173" t="e">
        <f>VLOOKUP(A1174,[1]timesData!$B:$P,5,FALSE)</f>
        <v>#N/A</v>
      </c>
      <c r="G1173" t="e">
        <f>VLOOKUP(A1174,[1]timesData!$B:$P,6,FALSE)</f>
        <v>#N/A</v>
      </c>
      <c r="H1173" t="e">
        <f>VLOOKUP(A1174,[1]timesData!$B:$P,7,FALSE)</f>
        <v>#N/A</v>
      </c>
      <c r="I1173" t="e">
        <f>VLOOKUP(A1174,[1]timesData!$B:$P,8,FALSE)</f>
        <v>#N/A</v>
      </c>
      <c r="J1173" t="e">
        <f>VLOOKUP(A1174,[1]timesData!$B:$P,9,FALSE)</f>
        <v>#N/A</v>
      </c>
      <c r="K1173" t="e">
        <f>VLOOKUP(A1174,[1]timesData!$B:$P,10,FALSE)</f>
        <v>#N/A</v>
      </c>
      <c r="L1173" t="e">
        <f>VLOOKUP(A1174,[1]timesData!$B:$P,11,FALSE)</f>
        <v>#N/A</v>
      </c>
      <c r="M1173" t="e">
        <f>VLOOKUP(A1174,[1]timesData!$B:$P,12,FALSE)</f>
        <v>#N/A</v>
      </c>
      <c r="N1173" t="e">
        <f>VLOOKUP(A1174,[1]timesData!$B:$P,13,FALSE)</f>
        <v>#N/A</v>
      </c>
      <c r="O1173">
        <f>VLOOKUP(A1173,[2]cwurData!$B:$P,14,FALSE)</f>
        <v>907</v>
      </c>
      <c r="P1173">
        <f>VLOOKUP(A1173,[2]cwurData!$B:$N, 3, FALSE)</f>
        <v>56</v>
      </c>
      <c r="Q1173">
        <f>VLOOKUP(A1173,[2]cwurData!$B:$N, 4, FALSE)</f>
        <v>355</v>
      </c>
      <c r="R1173">
        <f>VLOOKUP(A1173,[2]cwurData!$B:$N, 5, FALSE)</f>
        <v>425</v>
      </c>
      <c r="S1173">
        <f>VLOOKUP(A1173,[2]cwurData!$B:$N, 6, FALSE)</f>
        <v>210</v>
      </c>
      <c r="T1173">
        <f>VLOOKUP(A1173,[2]cwurData!$B:$N, 7, FALSE)</f>
        <v>797</v>
      </c>
      <c r="U1173">
        <f>VLOOKUP(A1173,[2]cwurData!$B:$N, 8, FALSE)</f>
        <v>966</v>
      </c>
      <c r="V1173">
        <f>VLOOKUP(A1173,[2]cwurData!$B:$N, 9, FALSE)</f>
        <v>800</v>
      </c>
      <c r="W1173">
        <f>VLOOKUP(A1173,[2]cwurData!$B:$N, 10, FALSE)</f>
        <v>917</v>
      </c>
      <c r="X1173">
        <f>VLOOKUP(A1173,[2]cwurData!$B:$N, 11, FALSE)</f>
        <v>737</v>
      </c>
      <c r="Y1173">
        <f>VLOOKUP(A1173,[2]cwurData!$B:$N, 12, FALSE)</f>
        <v>44.39</v>
      </c>
      <c r="Z1173">
        <f>VLOOKUP(A1173,[2]cwurData!$B:$N, 13, FALSE)</f>
        <v>2014</v>
      </c>
    </row>
    <row r="1174" spans="1:26" x14ac:dyDescent="0.3">
      <c r="A1174" t="s">
        <v>1168</v>
      </c>
      <c r="B1174" t="str">
        <f>IFERROR(VLOOKUP(A1174,[1]timesData!$B:$P,2,FALSE),VLOOKUP(A1174,[2]cwurData!$B:$P,2,FALSE))</f>
        <v>Germany</v>
      </c>
      <c r="C1174" t="e">
        <f>VLOOKUP(A1174,[1]timesData!$B:$P,3,FALSE)</f>
        <v>#N/A</v>
      </c>
      <c r="D1174" t="e">
        <f>VLOOKUP(A1175,[1]timesData!$B:$P,3,FALSE)</f>
        <v>#N/A</v>
      </c>
      <c r="E1174" t="e">
        <f>VLOOKUP(A1175,[1]timesData!$B:$P,4,FALSE)</f>
        <v>#N/A</v>
      </c>
      <c r="F1174" t="e">
        <f>VLOOKUP(A1175,[1]timesData!$B:$P,5,FALSE)</f>
        <v>#N/A</v>
      </c>
      <c r="G1174" t="e">
        <f>VLOOKUP(A1175,[1]timesData!$B:$P,6,FALSE)</f>
        <v>#N/A</v>
      </c>
      <c r="H1174" t="e">
        <f>VLOOKUP(A1175,[1]timesData!$B:$P,7,FALSE)</f>
        <v>#N/A</v>
      </c>
      <c r="I1174" t="e">
        <f>VLOOKUP(A1175,[1]timesData!$B:$P,8,FALSE)</f>
        <v>#N/A</v>
      </c>
      <c r="J1174" t="e">
        <f>VLOOKUP(A1175,[1]timesData!$B:$P,9,FALSE)</f>
        <v>#N/A</v>
      </c>
      <c r="K1174" t="e">
        <f>VLOOKUP(A1175,[1]timesData!$B:$P,10,FALSE)</f>
        <v>#N/A</v>
      </c>
      <c r="L1174" t="e">
        <f>VLOOKUP(A1175,[1]timesData!$B:$P,11,FALSE)</f>
        <v>#N/A</v>
      </c>
      <c r="M1174" t="e">
        <f>VLOOKUP(A1175,[1]timesData!$B:$P,12,FALSE)</f>
        <v>#N/A</v>
      </c>
      <c r="N1174" t="e">
        <f>VLOOKUP(A1175,[1]timesData!$B:$P,13,FALSE)</f>
        <v>#N/A</v>
      </c>
      <c r="O1174">
        <f>VLOOKUP(A1174,[2]cwurData!$B:$P,14,FALSE)</f>
        <v>909</v>
      </c>
      <c r="P1174">
        <f>VLOOKUP(A1174,[2]cwurData!$B:$N, 3, FALSE)</f>
        <v>53</v>
      </c>
      <c r="Q1174">
        <f>VLOOKUP(A1174,[2]cwurData!$B:$N, 4, FALSE)</f>
        <v>355</v>
      </c>
      <c r="R1174">
        <f>VLOOKUP(A1174,[2]cwurData!$B:$N, 5, FALSE)</f>
        <v>478</v>
      </c>
      <c r="S1174">
        <f>VLOOKUP(A1174,[2]cwurData!$B:$N, 6, FALSE)</f>
        <v>210</v>
      </c>
      <c r="T1174">
        <f>VLOOKUP(A1174,[2]cwurData!$B:$N, 7, FALSE)</f>
        <v>841</v>
      </c>
      <c r="U1174">
        <f>VLOOKUP(A1174,[2]cwurData!$B:$N, 8, FALSE)</f>
        <v>628</v>
      </c>
      <c r="V1174">
        <f>VLOOKUP(A1174,[2]cwurData!$B:$N, 9, FALSE)</f>
        <v>800</v>
      </c>
      <c r="W1174">
        <f>VLOOKUP(A1174,[2]cwurData!$B:$N, 10, FALSE)</f>
        <v>849</v>
      </c>
      <c r="X1174">
        <f>VLOOKUP(A1174,[2]cwurData!$B:$N, 11, FALSE)</f>
        <v>737</v>
      </c>
      <c r="Y1174">
        <f>VLOOKUP(A1174,[2]cwurData!$B:$N, 12, FALSE)</f>
        <v>44.38</v>
      </c>
      <c r="Z1174">
        <f>VLOOKUP(A1174,[2]cwurData!$B:$N, 13, FALSE)</f>
        <v>2014</v>
      </c>
    </row>
    <row r="1175" spans="1:26" x14ac:dyDescent="0.3">
      <c r="A1175" t="s">
        <v>1169</v>
      </c>
      <c r="B1175" t="str">
        <f>IFERROR(VLOOKUP(A1175,[1]timesData!$B:$P,2,FALSE),VLOOKUP(A1175,[2]cwurData!$B:$P,2,FALSE))</f>
        <v>India</v>
      </c>
      <c r="C1175" t="e">
        <f>VLOOKUP(A1175,[1]timesData!$B:$P,3,FALSE)</f>
        <v>#N/A</v>
      </c>
      <c r="D1175" t="e">
        <f>VLOOKUP(A1176,[1]timesData!$B:$P,3,FALSE)</f>
        <v>#N/A</v>
      </c>
      <c r="E1175" t="e">
        <f>VLOOKUP(A1176,[1]timesData!$B:$P,4,FALSE)</f>
        <v>#N/A</v>
      </c>
      <c r="F1175" t="e">
        <f>VLOOKUP(A1176,[1]timesData!$B:$P,5,FALSE)</f>
        <v>#N/A</v>
      </c>
      <c r="G1175" t="e">
        <f>VLOOKUP(A1176,[1]timesData!$B:$P,6,FALSE)</f>
        <v>#N/A</v>
      </c>
      <c r="H1175" t="e">
        <f>VLOOKUP(A1176,[1]timesData!$B:$P,7,FALSE)</f>
        <v>#N/A</v>
      </c>
      <c r="I1175" t="e">
        <f>VLOOKUP(A1176,[1]timesData!$B:$P,8,FALSE)</f>
        <v>#N/A</v>
      </c>
      <c r="J1175" t="e">
        <f>VLOOKUP(A1176,[1]timesData!$B:$P,9,FALSE)</f>
        <v>#N/A</v>
      </c>
      <c r="K1175" t="e">
        <f>VLOOKUP(A1176,[1]timesData!$B:$P,10,FALSE)</f>
        <v>#N/A</v>
      </c>
      <c r="L1175" t="e">
        <f>VLOOKUP(A1176,[1]timesData!$B:$P,11,FALSE)</f>
        <v>#N/A</v>
      </c>
      <c r="M1175" t="e">
        <f>VLOOKUP(A1176,[1]timesData!$B:$P,12,FALSE)</f>
        <v>#N/A</v>
      </c>
      <c r="N1175" t="e">
        <f>VLOOKUP(A1176,[1]timesData!$B:$P,13,FALSE)</f>
        <v>#N/A</v>
      </c>
      <c r="O1175">
        <f>VLOOKUP(A1175,[2]cwurData!$B:$P,14,FALSE)</f>
        <v>911</v>
      </c>
      <c r="P1175">
        <f>VLOOKUP(A1175,[2]cwurData!$B:$N, 3, FALSE)</f>
        <v>15</v>
      </c>
      <c r="Q1175">
        <f>VLOOKUP(A1175,[2]cwurData!$B:$N, 4, FALSE)</f>
        <v>355</v>
      </c>
      <c r="R1175">
        <f>VLOOKUP(A1175,[2]cwurData!$B:$N, 5, FALSE)</f>
        <v>478</v>
      </c>
      <c r="S1175">
        <f>VLOOKUP(A1175,[2]cwurData!$B:$N, 6, FALSE)</f>
        <v>210</v>
      </c>
      <c r="T1175">
        <f>VLOOKUP(A1175,[2]cwurData!$B:$N, 7, FALSE)</f>
        <v>857</v>
      </c>
      <c r="U1175">
        <f>VLOOKUP(A1175,[2]cwurData!$B:$N, 8, FALSE)</f>
        <v>938</v>
      </c>
      <c r="V1175">
        <f>VLOOKUP(A1175,[2]cwurData!$B:$N, 9, FALSE)</f>
        <v>800</v>
      </c>
      <c r="W1175">
        <f>VLOOKUP(A1175,[2]cwurData!$B:$N, 10, FALSE)</f>
        <v>849</v>
      </c>
      <c r="X1175">
        <f>VLOOKUP(A1175,[2]cwurData!$B:$N, 11, FALSE)</f>
        <v>737</v>
      </c>
      <c r="Y1175">
        <f>VLOOKUP(A1175,[2]cwurData!$B:$N, 12, FALSE)</f>
        <v>44.38</v>
      </c>
      <c r="Z1175">
        <f>VLOOKUP(A1175,[2]cwurData!$B:$N, 13, FALSE)</f>
        <v>2014</v>
      </c>
    </row>
    <row r="1176" spans="1:26" x14ac:dyDescent="0.3">
      <c r="A1176" t="s">
        <v>1170</v>
      </c>
      <c r="B1176" t="str">
        <f>IFERROR(VLOOKUP(A1176,[1]timesData!$B:$P,2,FALSE),VLOOKUP(A1176,[2]cwurData!$B:$P,2,FALSE))</f>
        <v>China</v>
      </c>
      <c r="C1176" t="e">
        <f>VLOOKUP(A1176,[1]timesData!$B:$P,3,FALSE)</f>
        <v>#N/A</v>
      </c>
      <c r="D1176" t="e">
        <f>VLOOKUP(A1177,[1]timesData!$B:$P,3,FALSE)</f>
        <v>#N/A</v>
      </c>
      <c r="E1176" t="e">
        <f>VLOOKUP(A1177,[1]timesData!$B:$P,4,FALSE)</f>
        <v>#N/A</v>
      </c>
      <c r="F1176" t="e">
        <f>VLOOKUP(A1177,[1]timesData!$B:$P,5,FALSE)</f>
        <v>#N/A</v>
      </c>
      <c r="G1176" t="e">
        <f>VLOOKUP(A1177,[1]timesData!$B:$P,6,FALSE)</f>
        <v>#N/A</v>
      </c>
      <c r="H1176" t="e">
        <f>VLOOKUP(A1177,[1]timesData!$B:$P,7,FALSE)</f>
        <v>#N/A</v>
      </c>
      <c r="I1176" t="e">
        <f>VLOOKUP(A1177,[1]timesData!$B:$P,8,FALSE)</f>
        <v>#N/A</v>
      </c>
      <c r="J1176" t="e">
        <f>VLOOKUP(A1177,[1]timesData!$B:$P,9,FALSE)</f>
        <v>#N/A</v>
      </c>
      <c r="K1176" t="e">
        <f>VLOOKUP(A1177,[1]timesData!$B:$P,10,FALSE)</f>
        <v>#N/A</v>
      </c>
      <c r="L1176" t="e">
        <f>VLOOKUP(A1177,[1]timesData!$B:$P,11,FALSE)</f>
        <v>#N/A</v>
      </c>
      <c r="M1176" t="e">
        <f>VLOOKUP(A1177,[1]timesData!$B:$P,12,FALSE)</f>
        <v>#N/A</v>
      </c>
      <c r="N1176" t="e">
        <f>VLOOKUP(A1177,[1]timesData!$B:$P,13,FALSE)</f>
        <v>#N/A</v>
      </c>
      <c r="O1176">
        <f>VLOOKUP(A1176,[2]cwurData!$B:$P,14,FALSE)</f>
        <v>912</v>
      </c>
      <c r="P1176">
        <f>VLOOKUP(A1176,[2]cwurData!$B:$N, 3, FALSE)</f>
        <v>57</v>
      </c>
      <c r="Q1176">
        <f>VLOOKUP(A1176,[2]cwurData!$B:$N, 4, FALSE)</f>
        <v>355</v>
      </c>
      <c r="R1176">
        <f>VLOOKUP(A1176,[2]cwurData!$B:$N, 5, FALSE)</f>
        <v>478</v>
      </c>
      <c r="S1176">
        <f>VLOOKUP(A1176,[2]cwurData!$B:$N, 6, FALSE)</f>
        <v>210</v>
      </c>
      <c r="T1176">
        <f>VLOOKUP(A1176,[2]cwurData!$B:$N, 7, FALSE)</f>
        <v>969</v>
      </c>
      <c r="U1176">
        <f>VLOOKUP(A1176,[2]cwurData!$B:$N, 8, FALSE)</f>
        <v>751</v>
      </c>
      <c r="V1176">
        <f>VLOOKUP(A1176,[2]cwurData!$B:$N, 9, FALSE)</f>
        <v>609</v>
      </c>
      <c r="W1176">
        <f>VLOOKUP(A1176,[2]cwurData!$B:$N, 10, FALSE)</f>
        <v>849</v>
      </c>
      <c r="X1176">
        <f>VLOOKUP(A1176,[2]cwurData!$B:$N, 11, FALSE)</f>
        <v>737</v>
      </c>
      <c r="Y1176">
        <f>VLOOKUP(A1176,[2]cwurData!$B:$N, 12, FALSE)</f>
        <v>44.38</v>
      </c>
      <c r="Z1176">
        <f>VLOOKUP(A1176,[2]cwurData!$B:$N, 13, FALSE)</f>
        <v>2014</v>
      </c>
    </row>
    <row r="1177" spans="1:26" x14ac:dyDescent="0.3">
      <c r="A1177" t="s">
        <v>1171</v>
      </c>
      <c r="B1177" t="str">
        <f>IFERROR(VLOOKUP(A1177,[1]timesData!$B:$P,2,FALSE),VLOOKUP(A1177,[2]cwurData!$B:$P,2,FALSE))</f>
        <v>Poland</v>
      </c>
      <c r="C1177" t="e">
        <f>VLOOKUP(A1177,[1]timesData!$B:$P,3,FALSE)</f>
        <v>#N/A</v>
      </c>
      <c r="D1177" t="e">
        <f>VLOOKUP(A1178,[1]timesData!$B:$P,3,FALSE)</f>
        <v>#N/A</v>
      </c>
      <c r="E1177" t="e">
        <f>VLOOKUP(A1178,[1]timesData!$B:$P,4,FALSE)</f>
        <v>#N/A</v>
      </c>
      <c r="F1177" t="e">
        <f>VLOOKUP(A1178,[1]timesData!$B:$P,5,FALSE)</f>
        <v>#N/A</v>
      </c>
      <c r="G1177" t="e">
        <f>VLOOKUP(A1178,[1]timesData!$B:$P,6,FALSE)</f>
        <v>#N/A</v>
      </c>
      <c r="H1177" t="e">
        <f>VLOOKUP(A1178,[1]timesData!$B:$P,7,FALSE)</f>
        <v>#N/A</v>
      </c>
      <c r="I1177" t="e">
        <f>VLOOKUP(A1178,[1]timesData!$B:$P,8,FALSE)</f>
        <v>#N/A</v>
      </c>
      <c r="J1177" t="e">
        <f>VLOOKUP(A1178,[1]timesData!$B:$P,9,FALSE)</f>
        <v>#N/A</v>
      </c>
      <c r="K1177" t="e">
        <f>VLOOKUP(A1178,[1]timesData!$B:$P,10,FALSE)</f>
        <v>#N/A</v>
      </c>
      <c r="L1177" t="e">
        <f>VLOOKUP(A1178,[1]timesData!$B:$P,11,FALSE)</f>
        <v>#N/A</v>
      </c>
      <c r="M1177" t="e">
        <f>VLOOKUP(A1178,[1]timesData!$B:$P,12,FALSE)</f>
        <v>#N/A</v>
      </c>
      <c r="N1177" t="e">
        <f>VLOOKUP(A1178,[1]timesData!$B:$P,13,FALSE)</f>
        <v>#N/A</v>
      </c>
      <c r="O1177">
        <f>VLOOKUP(A1177,[2]cwurData!$B:$P,14,FALSE)</f>
        <v>914</v>
      </c>
      <c r="P1177">
        <f>VLOOKUP(A1177,[2]cwurData!$B:$N, 3, FALSE)</f>
        <v>6</v>
      </c>
      <c r="Q1177">
        <f>VLOOKUP(A1177,[2]cwurData!$B:$N, 4, FALSE)</f>
        <v>344</v>
      </c>
      <c r="R1177">
        <f>VLOOKUP(A1177,[2]cwurData!$B:$N, 5, FALSE)</f>
        <v>478</v>
      </c>
      <c r="S1177">
        <f>VLOOKUP(A1177,[2]cwurData!$B:$N, 6, FALSE)</f>
        <v>210</v>
      </c>
      <c r="T1177">
        <f>VLOOKUP(A1177,[2]cwurData!$B:$N, 7, FALSE)</f>
        <v>732</v>
      </c>
      <c r="U1177">
        <f>VLOOKUP(A1177,[2]cwurData!$B:$N, 8, FALSE)</f>
        <v>812</v>
      </c>
      <c r="V1177">
        <f>VLOOKUP(A1177,[2]cwurData!$B:$N, 9, FALSE)</f>
        <v>800</v>
      </c>
      <c r="W1177">
        <f>VLOOKUP(A1177,[2]cwurData!$B:$N, 10, FALSE)</f>
        <v>869</v>
      </c>
      <c r="X1177">
        <f>VLOOKUP(A1177,[2]cwurData!$B:$N, 11, FALSE)</f>
        <v>737</v>
      </c>
      <c r="Y1177">
        <f>VLOOKUP(A1177,[2]cwurData!$B:$N, 12, FALSE)</f>
        <v>44.38</v>
      </c>
      <c r="Z1177">
        <f>VLOOKUP(A1177,[2]cwurData!$B:$N, 13, FALSE)</f>
        <v>2014</v>
      </c>
    </row>
    <row r="1178" spans="1:26" x14ac:dyDescent="0.3">
      <c r="A1178" t="s">
        <v>1172</v>
      </c>
      <c r="B1178" t="str">
        <f>IFERROR(VLOOKUP(A1178,[1]timesData!$B:$P,2,FALSE),VLOOKUP(A1178,[2]cwurData!$B:$P,2,FALSE))</f>
        <v>China</v>
      </c>
      <c r="C1178" t="e">
        <f>VLOOKUP(A1178,[1]timesData!$B:$P,3,FALSE)</f>
        <v>#N/A</v>
      </c>
      <c r="D1178" t="e">
        <f>VLOOKUP(A1179,[1]timesData!$B:$P,3,FALSE)</f>
        <v>#N/A</v>
      </c>
      <c r="E1178" t="e">
        <f>VLOOKUP(A1179,[1]timesData!$B:$P,4,FALSE)</f>
        <v>#N/A</v>
      </c>
      <c r="F1178" t="e">
        <f>VLOOKUP(A1179,[1]timesData!$B:$P,5,FALSE)</f>
        <v>#N/A</v>
      </c>
      <c r="G1178" t="e">
        <f>VLOOKUP(A1179,[1]timesData!$B:$P,6,FALSE)</f>
        <v>#N/A</v>
      </c>
      <c r="H1178" t="e">
        <f>VLOOKUP(A1179,[1]timesData!$B:$P,7,FALSE)</f>
        <v>#N/A</v>
      </c>
      <c r="I1178" t="e">
        <f>VLOOKUP(A1179,[1]timesData!$B:$P,8,FALSE)</f>
        <v>#N/A</v>
      </c>
      <c r="J1178" t="e">
        <f>VLOOKUP(A1179,[1]timesData!$B:$P,9,FALSE)</f>
        <v>#N/A</v>
      </c>
      <c r="K1178" t="e">
        <f>VLOOKUP(A1179,[1]timesData!$B:$P,10,FALSE)</f>
        <v>#N/A</v>
      </c>
      <c r="L1178" t="e">
        <f>VLOOKUP(A1179,[1]timesData!$B:$P,11,FALSE)</f>
        <v>#N/A</v>
      </c>
      <c r="M1178" t="e">
        <f>VLOOKUP(A1179,[1]timesData!$B:$P,12,FALSE)</f>
        <v>#N/A</v>
      </c>
      <c r="N1178" t="e">
        <f>VLOOKUP(A1179,[1]timesData!$B:$P,13,FALSE)</f>
        <v>#N/A</v>
      </c>
      <c r="O1178">
        <f>VLOOKUP(A1178,[2]cwurData!$B:$P,14,FALSE)</f>
        <v>917</v>
      </c>
      <c r="P1178">
        <f>VLOOKUP(A1178,[2]cwurData!$B:$N, 3, FALSE)</f>
        <v>58</v>
      </c>
      <c r="Q1178">
        <f>VLOOKUP(A1178,[2]cwurData!$B:$N, 4, FALSE)</f>
        <v>355</v>
      </c>
      <c r="R1178">
        <f>VLOOKUP(A1178,[2]cwurData!$B:$N, 5, FALSE)</f>
        <v>478</v>
      </c>
      <c r="S1178">
        <f>VLOOKUP(A1178,[2]cwurData!$B:$N, 6, FALSE)</f>
        <v>210</v>
      </c>
      <c r="T1178">
        <f>VLOOKUP(A1178,[2]cwurData!$B:$N, 7, FALSE)</f>
        <v>672</v>
      </c>
      <c r="U1178">
        <f>VLOOKUP(A1178,[2]cwurData!$B:$N, 8, FALSE)</f>
        <v>715</v>
      </c>
      <c r="V1178">
        <f>VLOOKUP(A1178,[2]cwurData!$B:$N, 9, FALSE)</f>
        <v>800</v>
      </c>
      <c r="W1178">
        <f>VLOOKUP(A1178,[2]cwurData!$B:$N, 10, FALSE)</f>
        <v>874</v>
      </c>
      <c r="X1178">
        <f>VLOOKUP(A1178,[2]cwurData!$B:$N, 11, FALSE)</f>
        <v>737</v>
      </c>
      <c r="Y1178">
        <f>VLOOKUP(A1178,[2]cwurData!$B:$N, 12, FALSE)</f>
        <v>44.38</v>
      </c>
      <c r="Z1178">
        <f>VLOOKUP(A1178,[2]cwurData!$B:$N, 13, FALSE)</f>
        <v>2014</v>
      </c>
    </row>
    <row r="1179" spans="1:26" x14ac:dyDescent="0.3">
      <c r="A1179" t="s">
        <v>1240</v>
      </c>
      <c r="B1179" t="str">
        <f>IFERROR(VLOOKUP(A1179,[1]timesData!$B:$P,2,FALSE),VLOOKUP(A1179,[2]cwurData!$B:$P,2,FALSE))</f>
        <v>Canada</v>
      </c>
      <c r="C1179" t="e">
        <f>VLOOKUP(A1179,[1]timesData!$B:$P,3,FALSE)</f>
        <v>#N/A</v>
      </c>
      <c r="D1179" t="e">
        <f>VLOOKUP(A1180,[1]timesData!$B:$P,3,FALSE)</f>
        <v>#N/A</v>
      </c>
      <c r="E1179" t="e">
        <f>VLOOKUP(A1180,[1]timesData!$B:$P,4,FALSE)</f>
        <v>#N/A</v>
      </c>
      <c r="F1179" t="e">
        <f>VLOOKUP(A1180,[1]timesData!$B:$P,5,FALSE)</f>
        <v>#N/A</v>
      </c>
      <c r="G1179" t="e">
        <f>VLOOKUP(A1180,[1]timesData!$B:$P,6,FALSE)</f>
        <v>#N/A</v>
      </c>
      <c r="H1179" t="e">
        <f>VLOOKUP(A1180,[1]timesData!$B:$P,7,FALSE)</f>
        <v>#N/A</v>
      </c>
      <c r="I1179" t="e">
        <f>VLOOKUP(A1180,[1]timesData!$B:$P,8,FALSE)</f>
        <v>#N/A</v>
      </c>
      <c r="J1179" t="e">
        <f>VLOOKUP(A1180,[1]timesData!$B:$P,9,FALSE)</f>
        <v>#N/A</v>
      </c>
      <c r="K1179" t="e">
        <f>VLOOKUP(A1180,[1]timesData!$B:$P,10,FALSE)</f>
        <v>#N/A</v>
      </c>
      <c r="L1179" t="e">
        <f>VLOOKUP(A1180,[1]timesData!$B:$P,11,FALSE)</f>
        <v>#N/A</v>
      </c>
      <c r="M1179" t="e">
        <f>VLOOKUP(A1180,[1]timesData!$B:$P,12,FALSE)</f>
        <v>#N/A</v>
      </c>
      <c r="N1179" t="e">
        <f>VLOOKUP(A1180,[1]timesData!$B:$P,13,FALSE)</f>
        <v>#N/A</v>
      </c>
      <c r="O1179">
        <f>VLOOKUP(A1179,[2]cwurData!$B:$P,14,FALSE)</f>
        <v>917</v>
      </c>
      <c r="P1179">
        <f>VLOOKUP(A1179,[2]cwurData!$B:$N, 3, FALSE)</f>
        <v>32</v>
      </c>
      <c r="Q1179">
        <f>VLOOKUP(A1179,[2]cwurData!$B:$N, 4, FALSE)</f>
        <v>367</v>
      </c>
      <c r="R1179">
        <f>VLOOKUP(A1179,[2]cwurData!$B:$N, 5, FALSE)</f>
        <v>567</v>
      </c>
      <c r="S1179">
        <f>VLOOKUP(A1179,[2]cwurData!$B:$N, 6, FALSE)</f>
        <v>218</v>
      </c>
      <c r="T1179">
        <f>VLOOKUP(A1179,[2]cwurData!$B:$N, 7, FALSE)</f>
        <v>957</v>
      </c>
      <c r="U1179">
        <f>VLOOKUP(A1179,[2]cwurData!$B:$N, 8, FALSE)</f>
        <v>718</v>
      </c>
      <c r="V1179">
        <f>VLOOKUP(A1179,[2]cwurData!$B:$N, 9, FALSE)</f>
        <v>511</v>
      </c>
      <c r="W1179">
        <f>VLOOKUP(A1179,[2]cwurData!$B:$N, 10, FALSE)</f>
        <v>867</v>
      </c>
      <c r="X1179">
        <f>VLOOKUP(A1179,[2]cwurData!$B:$N, 11, FALSE)</f>
        <v>853</v>
      </c>
      <c r="Y1179">
        <f>VLOOKUP(A1179,[2]cwurData!$B:$N, 12, FALSE)</f>
        <v>44.12</v>
      </c>
      <c r="Z1179">
        <f>VLOOKUP(A1179,[2]cwurData!$B:$N, 13, FALSE)</f>
        <v>2015</v>
      </c>
    </row>
    <row r="1180" spans="1:26" x14ac:dyDescent="0.3">
      <c r="A1180" t="s">
        <v>1173</v>
      </c>
      <c r="B1180" t="str">
        <f>IFERROR(VLOOKUP(A1180,[1]timesData!$B:$P,2,FALSE),VLOOKUP(A1180,[2]cwurData!$B:$P,2,FALSE))</f>
        <v>Poland</v>
      </c>
      <c r="C1180" t="e">
        <f>VLOOKUP(A1180,[1]timesData!$B:$P,3,FALSE)</f>
        <v>#N/A</v>
      </c>
      <c r="D1180" t="e">
        <f>VLOOKUP(A1181,[1]timesData!$B:$P,3,FALSE)</f>
        <v>#N/A</v>
      </c>
      <c r="E1180" t="e">
        <f>VLOOKUP(A1181,[1]timesData!$B:$P,4,FALSE)</f>
        <v>#N/A</v>
      </c>
      <c r="F1180" t="e">
        <f>VLOOKUP(A1181,[1]timesData!$B:$P,5,FALSE)</f>
        <v>#N/A</v>
      </c>
      <c r="G1180" t="e">
        <f>VLOOKUP(A1181,[1]timesData!$B:$P,6,FALSE)</f>
        <v>#N/A</v>
      </c>
      <c r="H1180" t="e">
        <f>VLOOKUP(A1181,[1]timesData!$B:$P,7,FALSE)</f>
        <v>#N/A</v>
      </c>
      <c r="I1180" t="e">
        <f>VLOOKUP(A1181,[1]timesData!$B:$P,8,FALSE)</f>
        <v>#N/A</v>
      </c>
      <c r="J1180" t="e">
        <f>VLOOKUP(A1181,[1]timesData!$B:$P,9,FALSE)</f>
        <v>#N/A</v>
      </c>
      <c r="K1180" t="e">
        <f>VLOOKUP(A1181,[1]timesData!$B:$P,10,FALSE)</f>
        <v>#N/A</v>
      </c>
      <c r="L1180" t="e">
        <f>VLOOKUP(A1181,[1]timesData!$B:$P,11,FALSE)</f>
        <v>#N/A</v>
      </c>
      <c r="M1180" t="e">
        <f>VLOOKUP(A1181,[1]timesData!$B:$P,12,FALSE)</f>
        <v>#N/A</v>
      </c>
      <c r="N1180" t="e">
        <f>VLOOKUP(A1181,[1]timesData!$B:$P,13,FALSE)</f>
        <v>#N/A</v>
      </c>
      <c r="O1180">
        <f>VLOOKUP(A1180,[2]cwurData!$B:$P,14,FALSE)</f>
        <v>918</v>
      </c>
      <c r="P1180">
        <f>VLOOKUP(A1180,[2]cwurData!$B:$N, 3, FALSE)</f>
        <v>7</v>
      </c>
      <c r="Q1180">
        <f>VLOOKUP(A1180,[2]cwurData!$B:$N, 4, FALSE)</f>
        <v>355</v>
      </c>
      <c r="R1180">
        <f>VLOOKUP(A1180,[2]cwurData!$B:$N, 5, FALSE)</f>
        <v>478</v>
      </c>
      <c r="S1180">
        <f>VLOOKUP(A1180,[2]cwurData!$B:$N, 6, FALSE)</f>
        <v>210</v>
      </c>
      <c r="T1180">
        <f>VLOOKUP(A1180,[2]cwurData!$B:$N, 7, FALSE)</f>
        <v>879</v>
      </c>
      <c r="U1180">
        <f>VLOOKUP(A1180,[2]cwurData!$B:$N, 8, FALSE)</f>
        <v>839</v>
      </c>
      <c r="V1180">
        <f>VLOOKUP(A1180,[2]cwurData!$B:$N, 9, FALSE)</f>
        <v>493</v>
      </c>
      <c r="W1180">
        <f>VLOOKUP(A1180,[2]cwurData!$B:$N, 10, FALSE)</f>
        <v>874</v>
      </c>
      <c r="X1180">
        <f>VLOOKUP(A1180,[2]cwurData!$B:$N, 11, FALSE)</f>
        <v>552</v>
      </c>
      <c r="Y1180">
        <f>VLOOKUP(A1180,[2]cwurData!$B:$N, 12, FALSE)</f>
        <v>44.38</v>
      </c>
      <c r="Z1180">
        <f>VLOOKUP(A1180,[2]cwurData!$B:$N, 13, FALSE)</f>
        <v>2014</v>
      </c>
    </row>
    <row r="1181" spans="1:26" x14ac:dyDescent="0.3">
      <c r="A1181" t="s">
        <v>1174</v>
      </c>
      <c r="B1181" t="str">
        <f>IFERROR(VLOOKUP(A1181,[1]timesData!$B:$P,2,FALSE),VLOOKUP(A1181,[2]cwurData!$B:$P,2,FALSE))</f>
        <v>Brazil</v>
      </c>
      <c r="C1181" t="e">
        <f>VLOOKUP(A1181,[1]timesData!$B:$P,3,FALSE)</f>
        <v>#N/A</v>
      </c>
      <c r="D1181" t="e">
        <f>VLOOKUP(A1182,[1]timesData!$B:$P,3,FALSE)</f>
        <v>#N/A</v>
      </c>
      <c r="E1181" t="e">
        <f>VLOOKUP(A1182,[1]timesData!$B:$P,4,FALSE)</f>
        <v>#N/A</v>
      </c>
      <c r="F1181" t="e">
        <f>VLOOKUP(A1182,[1]timesData!$B:$P,5,FALSE)</f>
        <v>#N/A</v>
      </c>
      <c r="G1181" t="e">
        <f>VLOOKUP(A1182,[1]timesData!$B:$P,6,FALSE)</f>
        <v>#N/A</v>
      </c>
      <c r="H1181" t="e">
        <f>VLOOKUP(A1182,[1]timesData!$B:$P,7,FALSE)</f>
        <v>#N/A</v>
      </c>
      <c r="I1181" t="e">
        <f>VLOOKUP(A1182,[1]timesData!$B:$P,8,FALSE)</f>
        <v>#N/A</v>
      </c>
      <c r="J1181" t="e">
        <f>VLOOKUP(A1182,[1]timesData!$B:$P,9,FALSE)</f>
        <v>#N/A</v>
      </c>
      <c r="K1181" t="e">
        <f>VLOOKUP(A1182,[1]timesData!$B:$P,10,FALSE)</f>
        <v>#N/A</v>
      </c>
      <c r="L1181" t="e">
        <f>VLOOKUP(A1182,[1]timesData!$B:$P,11,FALSE)</f>
        <v>#N/A</v>
      </c>
      <c r="M1181" t="e">
        <f>VLOOKUP(A1182,[1]timesData!$B:$P,12,FALSE)</f>
        <v>#N/A</v>
      </c>
      <c r="N1181" t="e">
        <f>VLOOKUP(A1182,[1]timesData!$B:$P,13,FALSE)</f>
        <v>#N/A</v>
      </c>
      <c r="O1181">
        <f>VLOOKUP(A1181,[2]cwurData!$B:$P,14,FALSE)</f>
        <v>919</v>
      </c>
      <c r="P1181">
        <f>VLOOKUP(A1181,[2]cwurData!$B:$N, 3, FALSE)</f>
        <v>12</v>
      </c>
      <c r="Q1181">
        <f>VLOOKUP(A1181,[2]cwurData!$B:$N, 4, FALSE)</f>
        <v>355</v>
      </c>
      <c r="R1181">
        <f>VLOOKUP(A1181,[2]cwurData!$B:$N, 5, FALSE)</f>
        <v>414</v>
      </c>
      <c r="S1181">
        <f>VLOOKUP(A1181,[2]cwurData!$B:$N, 6, FALSE)</f>
        <v>210</v>
      </c>
      <c r="T1181">
        <f>VLOOKUP(A1181,[2]cwurData!$B:$N, 7, FALSE)</f>
        <v>985</v>
      </c>
      <c r="U1181">
        <f>VLOOKUP(A1181,[2]cwurData!$B:$N, 8, FALSE)</f>
        <v>974</v>
      </c>
      <c r="V1181">
        <f>VLOOKUP(A1181,[2]cwurData!$B:$N, 9, FALSE)</f>
        <v>800</v>
      </c>
      <c r="W1181">
        <f>VLOOKUP(A1181,[2]cwurData!$B:$N, 10, FALSE)</f>
        <v>923</v>
      </c>
      <c r="X1181">
        <f>VLOOKUP(A1181,[2]cwurData!$B:$N, 11, FALSE)</f>
        <v>737</v>
      </c>
      <c r="Y1181">
        <f>VLOOKUP(A1181,[2]cwurData!$B:$N, 12, FALSE)</f>
        <v>44.37</v>
      </c>
      <c r="Z1181">
        <f>VLOOKUP(A1181,[2]cwurData!$B:$N, 13, FALSE)</f>
        <v>2014</v>
      </c>
    </row>
    <row r="1182" spans="1:26" x14ac:dyDescent="0.3">
      <c r="A1182" t="s">
        <v>1175</v>
      </c>
      <c r="B1182" t="str">
        <f>IFERROR(VLOOKUP(A1182,[1]timesData!$B:$P,2,FALSE),VLOOKUP(A1182,[2]cwurData!$B:$P,2,FALSE))</f>
        <v>Germany</v>
      </c>
      <c r="C1182" t="e">
        <f>VLOOKUP(A1182,[1]timesData!$B:$P,3,FALSE)</f>
        <v>#N/A</v>
      </c>
      <c r="D1182" t="e">
        <f>VLOOKUP(A1183,[1]timesData!$B:$P,3,FALSE)</f>
        <v>#N/A</v>
      </c>
      <c r="E1182" t="e">
        <f>VLOOKUP(A1183,[1]timesData!$B:$P,4,FALSE)</f>
        <v>#N/A</v>
      </c>
      <c r="F1182" t="e">
        <f>VLOOKUP(A1183,[1]timesData!$B:$P,5,FALSE)</f>
        <v>#N/A</v>
      </c>
      <c r="G1182" t="e">
        <f>VLOOKUP(A1183,[1]timesData!$B:$P,6,FALSE)</f>
        <v>#N/A</v>
      </c>
      <c r="H1182" t="e">
        <f>VLOOKUP(A1183,[1]timesData!$B:$P,7,FALSE)</f>
        <v>#N/A</v>
      </c>
      <c r="I1182" t="e">
        <f>VLOOKUP(A1183,[1]timesData!$B:$P,8,FALSE)</f>
        <v>#N/A</v>
      </c>
      <c r="J1182" t="e">
        <f>VLOOKUP(A1183,[1]timesData!$B:$P,9,FALSE)</f>
        <v>#N/A</v>
      </c>
      <c r="K1182" t="e">
        <f>VLOOKUP(A1183,[1]timesData!$B:$P,10,FALSE)</f>
        <v>#N/A</v>
      </c>
      <c r="L1182" t="e">
        <f>VLOOKUP(A1183,[1]timesData!$B:$P,11,FALSE)</f>
        <v>#N/A</v>
      </c>
      <c r="M1182" t="e">
        <f>VLOOKUP(A1183,[1]timesData!$B:$P,12,FALSE)</f>
        <v>#N/A</v>
      </c>
      <c r="N1182" t="e">
        <f>VLOOKUP(A1183,[1]timesData!$B:$P,13,FALSE)</f>
        <v>#N/A</v>
      </c>
      <c r="O1182">
        <f>VLOOKUP(A1182,[2]cwurData!$B:$P,14,FALSE)</f>
        <v>920</v>
      </c>
      <c r="P1182">
        <f>VLOOKUP(A1182,[2]cwurData!$B:$N, 3, FALSE)</f>
        <v>54</v>
      </c>
      <c r="Q1182">
        <f>VLOOKUP(A1182,[2]cwurData!$B:$N, 4, FALSE)</f>
        <v>355</v>
      </c>
      <c r="R1182">
        <f>VLOOKUP(A1182,[2]cwurData!$B:$N, 5, FALSE)</f>
        <v>330</v>
      </c>
      <c r="S1182">
        <f>VLOOKUP(A1182,[2]cwurData!$B:$N, 6, FALSE)</f>
        <v>210</v>
      </c>
      <c r="T1182">
        <f>VLOOKUP(A1182,[2]cwurData!$B:$N, 7, FALSE)</f>
        <v>988</v>
      </c>
      <c r="U1182">
        <f>VLOOKUP(A1182,[2]cwurData!$B:$N, 8, FALSE)</f>
        <v>952</v>
      </c>
      <c r="V1182">
        <f>VLOOKUP(A1182,[2]cwurData!$B:$N, 9, FALSE)</f>
        <v>800</v>
      </c>
      <c r="W1182">
        <f>VLOOKUP(A1182,[2]cwurData!$B:$N, 10, FALSE)</f>
        <v>985</v>
      </c>
      <c r="X1182">
        <f>VLOOKUP(A1182,[2]cwurData!$B:$N, 11, FALSE)</f>
        <v>373</v>
      </c>
      <c r="Y1182">
        <f>VLOOKUP(A1182,[2]cwurData!$B:$N, 12, FALSE)</f>
        <v>44.37</v>
      </c>
      <c r="Z1182">
        <f>VLOOKUP(A1182,[2]cwurData!$B:$N, 13, FALSE)</f>
        <v>2014</v>
      </c>
    </row>
    <row r="1183" spans="1:26" x14ac:dyDescent="0.3">
      <c r="A1183" t="s">
        <v>1176</v>
      </c>
      <c r="B1183" t="str">
        <f>IFERROR(VLOOKUP(A1183,[1]timesData!$B:$P,2,FALSE),VLOOKUP(A1183,[2]cwurData!$B:$P,2,FALSE))</f>
        <v>China</v>
      </c>
      <c r="C1183" t="e">
        <f>VLOOKUP(A1183,[1]timesData!$B:$P,3,FALSE)</f>
        <v>#N/A</v>
      </c>
      <c r="D1183" t="e">
        <f>VLOOKUP(A1184,[1]timesData!$B:$P,3,FALSE)</f>
        <v>#N/A</v>
      </c>
      <c r="E1183" t="e">
        <f>VLOOKUP(A1184,[1]timesData!$B:$P,4,FALSE)</f>
        <v>#N/A</v>
      </c>
      <c r="F1183" t="e">
        <f>VLOOKUP(A1184,[1]timesData!$B:$P,5,FALSE)</f>
        <v>#N/A</v>
      </c>
      <c r="G1183" t="e">
        <f>VLOOKUP(A1184,[1]timesData!$B:$P,6,FALSE)</f>
        <v>#N/A</v>
      </c>
      <c r="H1183" t="e">
        <f>VLOOKUP(A1184,[1]timesData!$B:$P,7,FALSE)</f>
        <v>#N/A</v>
      </c>
      <c r="I1183" t="e">
        <f>VLOOKUP(A1184,[1]timesData!$B:$P,8,FALSE)</f>
        <v>#N/A</v>
      </c>
      <c r="J1183" t="e">
        <f>VLOOKUP(A1184,[1]timesData!$B:$P,9,FALSE)</f>
        <v>#N/A</v>
      </c>
      <c r="K1183" t="e">
        <f>VLOOKUP(A1184,[1]timesData!$B:$P,10,FALSE)</f>
        <v>#N/A</v>
      </c>
      <c r="L1183" t="e">
        <f>VLOOKUP(A1184,[1]timesData!$B:$P,11,FALSE)</f>
        <v>#N/A</v>
      </c>
      <c r="M1183" t="e">
        <f>VLOOKUP(A1184,[1]timesData!$B:$P,12,FALSE)</f>
        <v>#N/A</v>
      </c>
      <c r="N1183" t="e">
        <f>VLOOKUP(A1184,[1]timesData!$B:$P,13,FALSE)</f>
        <v>#N/A</v>
      </c>
      <c r="O1183">
        <f>VLOOKUP(A1183,[2]cwurData!$B:$P,14,FALSE)</f>
        <v>921</v>
      </c>
      <c r="P1183">
        <f>VLOOKUP(A1183,[2]cwurData!$B:$N, 3, FALSE)</f>
        <v>59</v>
      </c>
      <c r="Q1183">
        <f>VLOOKUP(A1183,[2]cwurData!$B:$N, 4, FALSE)</f>
        <v>264</v>
      </c>
      <c r="R1183">
        <f>VLOOKUP(A1183,[2]cwurData!$B:$N, 5, FALSE)</f>
        <v>478</v>
      </c>
      <c r="S1183">
        <f>VLOOKUP(A1183,[2]cwurData!$B:$N, 6, FALSE)</f>
        <v>210</v>
      </c>
      <c r="T1183">
        <f>VLOOKUP(A1183,[2]cwurData!$B:$N, 7, FALSE)</f>
        <v>760</v>
      </c>
      <c r="U1183">
        <f>VLOOKUP(A1183,[2]cwurData!$B:$N, 8, FALSE)</f>
        <v>875</v>
      </c>
      <c r="V1183">
        <f>VLOOKUP(A1183,[2]cwurData!$B:$N, 9, FALSE)</f>
        <v>609</v>
      </c>
      <c r="W1183">
        <f>VLOOKUP(A1183,[2]cwurData!$B:$N, 10, FALSE)</f>
        <v>909</v>
      </c>
      <c r="X1183">
        <f>VLOOKUP(A1183,[2]cwurData!$B:$N, 11, FALSE)</f>
        <v>737</v>
      </c>
      <c r="Y1183">
        <f>VLOOKUP(A1183,[2]cwurData!$B:$N, 12, FALSE)</f>
        <v>44.37</v>
      </c>
      <c r="Z1183">
        <f>VLOOKUP(A1183,[2]cwurData!$B:$N, 13, FALSE)</f>
        <v>2014</v>
      </c>
    </row>
    <row r="1184" spans="1:26" x14ac:dyDescent="0.3">
      <c r="A1184" t="s">
        <v>1177</v>
      </c>
      <c r="B1184" t="str">
        <f>IFERROR(VLOOKUP(A1184,[1]timesData!$B:$P,2,FALSE),VLOOKUP(A1184,[2]cwurData!$B:$P,2,FALSE))</f>
        <v>Poland</v>
      </c>
      <c r="C1184" t="e">
        <f>VLOOKUP(A1184,[1]timesData!$B:$P,3,FALSE)</f>
        <v>#N/A</v>
      </c>
      <c r="D1184" t="e">
        <f>VLOOKUP(A1185,[1]timesData!$B:$P,3,FALSE)</f>
        <v>#N/A</v>
      </c>
      <c r="E1184" t="e">
        <f>VLOOKUP(A1185,[1]timesData!$B:$P,4,FALSE)</f>
        <v>#N/A</v>
      </c>
      <c r="F1184" t="e">
        <f>VLOOKUP(A1185,[1]timesData!$B:$P,5,FALSE)</f>
        <v>#N/A</v>
      </c>
      <c r="G1184" t="e">
        <f>VLOOKUP(A1185,[1]timesData!$B:$P,6,FALSE)</f>
        <v>#N/A</v>
      </c>
      <c r="H1184" t="e">
        <f>VLOOKUP(A1185,[1]timesData!$B:$P,7,FALSE)</f>
        <v>#N/A</v>
      </c>
      <c r="I1184" t="e">
        <f>VLOOKUP(A1185,[1]timesData!$B:$P,8,FALSE)</f>
        <v>#N/A</v>
      </c>
      <c r="J1184" t="e">
        <f>VLOOKUP(A1185,[1]timesData!$B:$P,9,FALSE)</f>
        <v>#N/A</v>
      </c>
      <c r="K1184" t="e">
        <f>VLOOKUP(A1185,[1]timesData!$B:$P,10,FALSE)</f>
        <v>#N/A</v>
      </c>
      <c r="L1184" t="e">
        <f>VLOOKUP(A1185,[1]timesData!$B:$P,11,FALSE)</f>
        <v>#N/A</v>
      </c>
      <c r="M1184" t="e">
        <f>VLOOKUP(A1185,[1]timesData!$B:$P,12,FALSE)</f>
        <v>#N/A</v>
      </c>
      <c r="N1184" t="e">
        <f>VLOOKUP(A1185,[1]timesData!$B:$P,13,FALSE)</f>
        <v>#N/A</v>
      </c>
      <c r="O1184">
        <f>VLOOKUP(A1184,[2]cwurData!$B:$P,14,FALSE)</f>
        <v>922</v>
      </c>
      <c r="P1184">
        <f>VLOOKUP(A1184,[2]cwurData!$B:$N, 3, FALSE)</f>
        <v>8</v>
      </c>
      <c r="Q1184">
        <f>VLOOKUP(A1184,[2]cwurData!$B:$N, 4, FALSE)</f>
        <v>355</v>
      </c>
      <c r="R1184">
        <f>VLOOKUP(A1184,[2]cwurData!$B:$N, 5, FALSE)</f>
        <v>443</v>
      </c>
      <c r="S1184">
        <f>VLOOKUP(A1184,[2]cwurData!$B:$N, 6, FALSE)</f>
        <v>210</v>
      </c>
      <c r="T1184">
        <f>VLOOKUP(A1184,[2]cwurData!$B:$N, 7, FALSE)</f>
        <v>771</v>
      </c>
      <c r="U1184">
        <f>VLOOKUP(A1184,[2]cwurData!$B:$N, 8, FALSE)</f>
        <v>900</v>
      </c>
      <c r="V1184">
        <f>VLOOKUP(A1184,[2]cwurData!$B:$N, 9, FALSE)</f>
        <v>800</v>
      </c>
      <c r="W1184">
        <f>VLOOKUP(A1184,[2]cwurData!$B:$N, 10, FALSE)</f>
        <v>937</v>
      </c>
      <c r="X1184">
        <f>VLOOKUP(A1184,[2]cwurData!$B:$N, 11, FALSE)</f>
        <v>737</v>
      </c>
      <c r="Y1184">
        <f>VLOOKUP(A1184,[2]cwurData!$B:$N, 12, FALSE)</f>
        <v>44.37</v>
      </c>
      <c r="Z1184">
        <f>VLOOKUP(A1184,[2]cwurData!$B:$N, 13, FALSE)</f>
        <v>2014</v>
      </c>
    </row>
    <row r="1185" spans="1:26" x14ac:dyDescent="0.3">
      <c r="A1185" t="s">
        <v>1178</v>
      </c>
      <c r="B1185" t="str">
        <f>IFERROR(VLOOKUP(A1185,[1]timesData!$B:$P,2,FALSE),VLOOKUP(A1185,[2]cwurData!$B:$P,2,FALSE))</f>
        <v>USA</v>
      </c>
      <c r="C1185" t="e">
        <f>VLOOKUP(A1185,[1]timesData!$B:$P,3,FALSE)</f>
        <v>#N/A</v>
      </c>
      <c r="D1185" t="e">
        <f>VLOOKUP(A1186,[1]timesData!$B:$P,3,FALSE)</f>
        <v>#N/A</v>
      </c>
      <c r="E1185" t="e">
        <f>VLOOKUP(A1186,[1]timesData!$B:$P,4,FALSE)</f>
        <v>#N/A</v>
      </c>
      <c r="F1185" t="e">
        <f>VLOOKUP(A1186,[1]timesData!$B:$P,5,FALSE)</f>
        <v>#N/A</v>
      </c>
      <c r="G1185" t="e">
        <f>VLOOKUP(A1186,[1]timesData!$B:$P,6,FALSE)</f>
        <v>#N/A</v>
      </c>
      <c r="H1185" t="e">
        <f>VLOOKUP(A1186,[1]timesData!$B:$P,7,FALSE)</f>
        <v>#N/A</v>
      </c>
      <c r="I1185" t="e">
        <f>VLOOKUP(A1186,[1]timesData!$B:$P,8,FALSE)</f>
        <v>#N/A</v>
      </c>
      <c r="J1185" t="e">
        <f>VLOOKUP(A1186,[1]timesData!$B:$P,9,FALSE)</f>
        <v>#N/A</v>
      </c>
      <c r="K1185" t="e">
        <f>VLOOKUP(A1186,[1]timesData!$B:$P,10,FALSE)</f>
        <v>#N/A</v>
      </c>
      <c r="L1185" t="e">
        <f>VLOOKUP(A1186,[1]timesData!$B:$P,11,FALSE)</f>
        <v>#N/A</v>
      </c>
      <c r="M1185" t="e">
        <f>VLOOKUP(A1186,[1]timesData!$B:$P,12,FALSE)</f>
        <v>#N/A</v>
      </c>
      <c r="N1185" t="e">
        <f>VLOOKUP(A1186,[1]timesData!$B:$P,13,FALSE)</f>
        <v>#N/A</v>
      </c>
      <c r="O1185">
        <f>VLOOKUP(A1185,[2]cwurData!$B:$P,14,FALSE)</f>
        <v>923</v>
      </c>
      <c r="P1185">
        <f>VLOOKUP(A1185,[2]cwurData!$B:$N, 3, FALSE)</f>
        <v>228</v>
      </c>
      <c r="Q1185">
        <f>VLOOKUP(A1185,[2]cwurData!$B:$N, 4, FALSE)</f>
        <v>355</v>
      </c>
      <c r="R1185">
        <f>VLOOKUP(A1185,[2]cwurData!$B:$N, 5, FALSE)</f>
        <v>478</v>
      </c>
      <c r="S1185">
        <f>VLOOKUP(A1185,[2]cwurData!$B:$N, 6, FALSE)</f>
        <v>210</v>
      </c>
      <c r="T1185">
        <f>VLOOKUP(A1185,[2]cwurData!$B:$N, 7, FALSE)</f>
        <v>957</v>
      </c>
      <c r="U1185">
        <f>VLOOKUP(A1185,[2]cwurData!$B:$N, 8, FALSE)</f>
        <v>576</v>
      </c>
      <c r="V1185">
        <f>VLOOKUP(A1185,[2]cwurData!$B:$N, 9, FALSE)</f>
        <v>800</v>
      </c>
      <c r="W1185">
        <f>VLOOKUP(A1185,[2]cwurData!$B:$N, 10, FALSE)</f>
        <v>923</v>
      </c>
      <c r="X1185">
        <f>VLOOKUP(A1185,[2]cwurData!$B:$N, 11, FALSE)</f>
        <v>338</v>
      </c>
      <c r="Y1185">
        <f>VLOOKUP(A1185,[2]cwurData!$B:$N, 12, FALSE)</f>
        <v>44.37</v>
      </c>
      <c r="Z1185">
        <f>VLOOKUP(A1185,[2]cwurData!$B:$N, 13, FALSE)</f>
        <v>2014</v>
      </c>
    </row>
    <row r="1186" spans="1:26" x14ac:dyDescent="0.3">
      <c r="A1186" t="s">
        <v>1179</v>
      </c>
      <c r="B1186" t="str">
        <f>IFERROR(VLOOKUP(A1186,[1]timesData!$B:$P,2,FALSE),VLOOKUP(A1186,[2]cwurData!$B:$P,2,FALSE))</f>
        <v>Greece</v>
      </c>
      <c r="C1186" t="e">
        <f>VLOOKUP(A1186,[1]timesData!$B:$P,3,FALSE)</f>
        <v>#N/A</v>
      </c>
      <c r="D1186" t="e">
        <f>VLOOKUP(A1187,[1]timesData!$B:$P,3,FALSE)</f>
        <v>#N/A</v>
      </c>
      <c r="E1186" t="e">
        <f>VLOOKUP(A1187,[1]timesData!$B:$P,4,FALSE)</f>
        <v>#N/A</v>
      </c>
      <c r="F1186" t="e">
        <f>VLOOKUP(A1187,[1]timesData!$B:$P,5,FALSE)</f>
        <v>#N/A</v>
      </c>
      <c r="G1186" t="e">
        <f>VLOOKUP(A1187,[1]timesData!$B:$P,6,FALSE)</f>
        <v>#N/A</v>
      </c>
      <c r="H1186" t="e">
        <f>VLOOKUP(A1187,[1]timesData!$B:$P,7,FALSE)</f>
        <v>#N/A</v>
      </c>
      <c r="I1186" t="e">
        <f>VLOOKUP(A1187,[1]timesData!$B:$P,8,FALSE)</f>
        <v>#N/A</v>
      </c>
      <c r="J1186" t="e">
        <f>VLOOKUP(A1187,[1]timesData!$B:$P,9,FALSE)</f>
        <v>#N/A</v>
      </c>
      <c r="K1186" t="e">
        <f>VLOOKUP(A1187,[1]timesData!$B:$P,10,FALSE)</f>
        <v>#N/A</v>
      </c>
      <c r="L1186" t="e">
        <f>VLOOKUP(A1187,[1]timesData!$B:$P,11,FALSE)</f>
        <v>#N/A</v>
      </c>
      <c r="M1186" t="e">
        <f>VLOOKUP(A1187,[1]timesData!$B:$P,12,FALSE)</f>
        <v>#N/A</v>
      </c>
      <c r="N1186" t="e">
        <f>VLOOKUP(A1187,[1]timesData!$B:$P,13,FALSE)</f>
        <v>#N/A</v>
      </c>
      <c r="O1186">
        <f>VLOOKUP(A1186,[2]cwurData!$B:$P,14,FALSE)</f>
        <v>926</v>
      </c>
      <c r="P1186">
        <f>VLOOKUP(A1186,[2]cwurData!$B:$N, 3, FALSE)</f>
        <v>7</v>
      </c>
      <c r="Q1186">
        <f>VLOOKUP(A1186,[2]cwurData!$B:$N, 4, FALSE)</f>
        <v>355</v>
      </c>
      <c r="R1186">
        <f>VLOOKUP(A1186,[2]cwurData!$B:$N, 5, FALSE)</f>
        <v>478</v>
      </c>
      <c r="S1186">
        <f>VLOOKUP(A1186,[2]cwurData!$B:$N, 6, FALSE)</f>
        <v>210</v>
      </c>
      <c r="T1186">
        <f>VLOOKUP(A1186,[2]cwurData!$B:$N, 7, FALSE)</f>
        <v>867</v>
      </c>
      <c r="U1186">
        <f>VLOOKUP(A1186,[2]cwurData!$B:$N, 8, FALSE)</f>
        <v>974</v>
      </c>
      <c r="V1186">
        <f>VLOOKUP(A1186,[2]cwurData!$B:$N, 9, FALSE)</f>
        <v>609</v>
      </c>
      <c r="W1186">
        <f>VLOOKUP(A1186,[2]cwurData!$B:$N, 10, FALSE)</f>
        <v>874</v>
      </c>
      <c r="X1186">
        <f>VLOOKUP(A1186,[2]cwurData!$B:$N, 11, FALSE)</f>
        <v>737</v>
      </c>
      <c r="Y1186">
        <f>VLOOKUP(A1186,[2]cwurData!$B:$N, 12, FALSE)</f>
        <v>44.36</v>
      </c>
      <c r="Z1186">
        <f>VLOOKUP(A1186,[2]cwurData!$B:$N, 13, FALSE)</f>
        <v>2014</v>
      </c>
    </row>
    <row r="1187" spans="1:26" x14ac:dyDescent="0.3">
      <c r="A1187" t="s">
        <v>1180</v>
      </c>
      <c r="B1187" t="str">
        <f>IFERROR(VLOOKUP(A1187,[1]timesData!$B:$P,2,FALSE),VLOOKUP(A1187,[2]cwurData!$B:$P,2,FALSE))</f>
        <v>Italy</v>
      </c>
      <c r="C1187" t="e">
        <f>VLOOKUP(A1187,[1]timesData!$B:$P,3,FALSE)</f>
        <v>#N/A</v>
      </c>
      <c r="D1187" t="e">
        <f>VLOOKUP(A1188,[1]timesData!$B:$P,3,FALSE)</f>
        <v>#N/A</v>
      </c>
      <c r="E1187" t="e">
        <f>VLOOKUP(A1188,[1]timesData!$B:$P,4,FALSE)</f>
        <v>#N/A</v>
      </c>
      <c r="F1187" t="e">
        <f>VLOOKUP(A1188,[1]timesData!$B:$P,5,FALSE)</f>
        <v>#N/A</v>
      </c>
      <c r="G1187" t="e">
        <f>VLOOKUP(A1188,[1]timesData!$B:$P,6,FALSE)</f>
        <v>#N/A</v>
      </c>
      <c r="H1187" t="e">
        <f>VLOOKUP(A1188,[1]timesData!$B:$P,7,FALSE)</f>
        <v>#N/A</v>
      </c>
      <c r="I1187" t="e">
        <f>VLOOKUP(A1188,[1]timesData!$B:$P,8,FALSE)</f>
        <v>#N/A</v>
      </c>
      <c r="J1187" t="e">
        <f>VLOOKUP(A1188,[1]timesData!$B:$P,9,FALSE)</f>
        <v>#N/A</v>
      </c>
      <c r="K1187" t="e">
        <f>VLOOKUP(A1188,[1]timesData!$B:$P,10,FALSE)</f>
        <v>#N/A</v>
      </c>
      <c r="L1187" t="e">
        <f>VLOOKUP(A1188,[1]timesData!$B:$P,11,FALSE)</f>
        <v>#N/A</v>
      </c>
      <c r="M1187" t="e">
        <f>VLOOKUP(A1188,[1]timesData!$B:$P,12,FALSE)</f>
        <v>#N/A</v>
      </c>
      <c r="N1187" t="e">
        <f>VLOOKUP(A1188,[1]timesData!$B:$P,13,FALSE)</f>
        <v>#N/A</v>
      </c>
      <c r="O1187">
        <f>VLOOKUP(A1187,[2]cwurData!$B:$P,14,FALSE)</f>
        <v>927</v>
      </c>
      <c r="P1187">
        <f>VLOOKUP(A1187,[2]cwurData!$B:$N, 3, FALSE)</f>
        <v>47</v>
      </c>
      <c r="Q1187">
        <f>VLOOKUP(A1187,[2]cwurData!$B:$N, 4, FALSE)</f>
        <v>355</v>
      </c>
      <c r="R1187">
        <f>VLOOKUP(A1187,[2]cwurData!$B:$N, 5, FALSE)</f>
        <v>478</v>
      </c>
      <c r="S1187">
        <f>VLOOKUP(A1187,[2]cwurData!$B:$N, 6, FALSE)</f>
        <v>210</v>
      </c>
      <c r="T1187">
        <f>VLOOKUP(A1187,[2]cwurData!$B:$N, 7, FALSE)</f>
        <v>938</v>
      </c>
      <c r="U1187">
        <f>VLOOKUP(A1187,[2]cwurData!$B:$N, 8, FALSE)</f>
        <v>886</v>
      </c>
      <c r="V1187">
        <f>VLOOKUP(A1187,[2]cwurData!$B:$N, 9, FALSE)</f>
        <v>609</v>
      </c>
      <c r="W1187">
        <f>VLOOKUP(A1187,[2]cwurData!$B:$N, 10, FALSE)</f>
        <v>874</v>
      </c>
      <c r="X1187">
        <f>VLOOKUP(A1187,[2]cwurData!$B:$N, 11, FALSE)</f>
        <v>737</v>
      </c>
      <c r="Y1187">
        <f>VLOOKUP(A1187,[2]cwurData!$B:$N, 12, FALSE)</f>
        <v>44.36</v>
      </c>
      <c r="Z1187">
        <f>VLOOKUP(A1187,[2]cwurData!$B:$N, 13, FALSE)</f>
        <v>2014</v>
      </c>
    </row>
    <row r="1188" spans="1:26" x14ac:dyDescent="0.3">
      <c r="A1188" t="s">
        <v>1181</v>
      </c>
      <c r="B1188" t="str">
        <f>IFERROR(VLOOKUP(A1188,[1]timesData!$B:$P,2,FALSE),VLOOKUP(A1188,[2]cwurData!$B:$P,2,FALSE))</f>
        <v>Brazil</v>
      </c>
      <c r="C1188" t="e">
        <f>VLOOKUP(A1188,[1]timesData!$B:$P,3,FALSE)</f>
        <v>#N/A</v>
      </c>
      <c r="D1188" t="e">
        <f>VLOOKUP(A1189,[1]timesData!$B:$P,3,FALSE)</f>
        <v>#N/A</v>
      </c>
      <c r="E1188" t="e">
        <f>VLOOKUP(A1189,[1]timesData!$B:$P,4,FALSE)</f>
        <v>#N/A</v>
      </c>
      <c r="F1188" t="e">
        <f>VLOOKUP(A1189,[1]timesData!$B:$P,5,FALSE)</f>
        <v>#N/A</v>
      </c>
      <c r="G1188" t="e">
        <f>VLOOKUP(A1189,[1]timesData!$B:$P,6,FALSE)</f>
        <v>#N/A</v>
      </c>
      <c r="H1188" t="e">
        <f>VLOOKUP(A1189,[1]timesData!$B:$P,7,FALSE)</f>
        <v>#N/A</v>
      </c>
      <c r="I1188" t="e">
        <f>VLOOKUP(A1189,[1]timesData!$B:$P,8,FALSE)</f>
        <v>#N/A</v>
      </c>
      <c r="J1188" t="e">
        <f>VLOOKUP(A1189,[1]timesData!$B:$P,9,FALSE)</f>
        <v>#N/A</v>
      </c>
      <c r="K1188" t="e">
        <f>VLOOKUP(A1189,[1]timesData!$B:$P,10,FALSE)</f>
        <v>#N/A</v>
      </c>
      <c r="L1188" t="e">
        <f>VLOOKUP(A1189,[1]timesData!$B:$P,11,FALSE)</f>
        <v>#N/A</v>
      </c>
      <c r="M1188" t="e">
        <f>VLOOKUP(A1189,[1]timesData!$B:$P,12,FALSE)</f>
        <v>#N/A</v>
      </c>
      <c r="N1188" t="e">
        <f>VLOOKUP(A1189,[1]timesData!$B:$P,13,FALSE)</f>
        <v>#N/A</v>
      </c>
      <c r="O1188">
        <f>VLOOKUP(A1188,[2]cwurData!$B:$P,14,FALSE)</f>
        <v>929</v>
      </c>
      <c r="P1188">
        <f>VLOOKUP(A1188,[2]cwurData!$B:$N, 3, FALSE)</f>
        <v>14</v>
      </c>
      <c r="Q1188">
        <f>VLOOKUP(A1188,[2]cwurData!$B:$N, 4, FALSE)</f>
        <v>355</v>
      </c>
      <c r="R1188">
        <f>VLOOKUP(A1188,[2]cwurData!$B:$N, 5, FALSE)</f>
        <v>478</v>
      </c>
      <c r="S1188">
        <f>VLOOKUP(A1188,[2]cwurData!$B:$N, 6, FALSE)</f>
        <v>210</v>
      </c>
      <c r="T1188">
        <f>VLOOKUP(A1188,[2]cwurData!$B:$N, 7, FALSE)</f>
        <v>730</v>
      </c>
      <c r="U1188">
        <f>VLOOKUP(A1188,[2]cwurData!$B:$N, 8, FALSE)</f>
        <v>787</v>
      </c>
      <c r="V1188">
        <f>VLOOKUP(A1188,[2]cwurData!$B:$N, 9, FALSE)</f>
        <v>800</v>
      </c>
      <c r="W1188">
        <f>VLOOKUP(A1188,[2]cwurData!$B:$N, 10, FALSE)</f>
        <v>889</v>
      </c>
      <c r="X1188">
        <f>VLOOKUP(A1188,[2]cwurData!$B:$N, 11, FALSE)</f>
        <v>737</v>
      </c>
      <c r="Y1188">
        <f>VLOOKUP(A1188,[2]cwurData!$B:$N, 12, FALSE)</f>
        <v>44.36</v>
      </c>
      <c r="Z1188">
        <f>VLOOKUP(A1188,[2]cwurData!$B:$N, 13, FALSE)</f>
        <v>2014</v>
      </c>
    </row>
    <row r="1189" spans="1:26" x14ac:dyDescent="0.3">
      <c r="A1189" t="s">
        <v>1182</v>
      </c>
      <c r="B1189" t="str">
        <f>IFERROR(VLOOKUP(A1189,[1]timesData!$B:$P,2,FALSE),VLOOKUP(A1189,[2]cwurData!$B:$P,2,FALSE))</f>
        <v>Spain</v>
      </c>
      <c r="C1189" t="e">
        <f>VLOOKUP(A1189,[1]timesData!$B:$P,3,FALSE)</f>
        <v>#N/A</v>
      </c>
      <c r="D1189" t="e">
        <f>VLOOKUP(A1190,[1]timesData!$B:$P,3,FALSE)</f>
        <v>#N/A</v>
      </c>
      <c r="E1189" t="e">
        <f>VLOOKUP(A1190,[1]timesData!$B:$P,4,FALSE)</f>
        <v>#N/A</v>
      </c>
      <c r="F1189" t="e">
        <f>VLOOKUP(A1190,[1]timesData!$B:$P,5,FALSE)</f>
        <v>#N/A</v>
      </c>
      <c r="G1189" t="e">
        <f>VLOOKUP(A1190,[1]timesData!$B:$P,6,FALSE)</f>
        <v>#N/A</v>
      </c>
      <c r="H1189" t="e">
        <f>VLOOKUP(A1190,[1]timesData!$B:$P,7,FALSE)</f>
        <v>#N/A</v>
      </c>
      <c r="I1189" t="e">
        <f>VLOOKUP(A1190,[1]timesData!$B:$P,8,FALSE)</f>
        <v>#N/A</v>
      </c>
      <c r="J1189" t="e">
        <f>VLOOKUP(A1190,[1]timesData!$B:$P,9,FALSE)</f>
        <v>#N/A</v>
      </c>
      <c r="K1189" t="e">
        <f>VLOOKUP(A1190,[1]timesData!$B:$P,10,FALSE)</f>
        <v>#N/A</v>
      </c>
      <c r="L1189" t="e">
        <f>VLOOKUP(A1190,[1]timesData!$B:$P,11,FALSE)</f>
        <v>#N/A</v>
      </c>
      <c r="M1189" t="e">
        <f>VLOOKUP(A1190,[1]timesData!$B:$P,12,FALSE)</f>
        <v>#N/A</v>
      </c>
      <c r="N1189" t="e">
        <f>VLOOKUP(A1190,[1]timesData!$B:$P,13,FALSE)</f>
        <v>#N/A</v>
      </c>
      <c r="O1189">
        <f>VLOOKUP(A1189,[2]cwurData!$B:$P,14,FALSE)</f>
        <v>930</v>
      </c>
      <c r="P1189">
        <f>VLOOKUP(A1189,[2]cwurData!$B:$N, 3, FALSE)</f>
        <v>38</v>
      </c>
      <c r="Q1189">
        <f>VLOOKUP(A1189,[2]cwurData!$B:$N, 4, FALSE)</f>
        <v>355</v>
      </c>
      <c r="R1189">
        <f>VLOOKUP(A1189,[2]cwurData!$B:$N, 5, FALSE)</f>
        <v>478</v>
      </c>
      <c r="S1189">
        <f>VLOOKUP(A1189,[2]cwurData!$B:$N, 6, FALSE)</f>
        <v>210</v>
      </c>
      <c r="T1189">
        <f>VLOOKUP(A1189,[2]cwurData!$B:$N, 7, FALSE)</f>
        <v>959</v>
      </c>
      <c r="U1189">
        <f>VLOOKUP(A1189,[2]cwurData!$B:$N, 8, FALSE)</f>
        <v>966</v>
      </c>
      <c r="V1189">
        <f>VLOOKUP(A1189,[2]cwurData!$B:$N, 9, FALSE)</f>
        <v>800</v>
      </c>
      <c r="W1189">
        <f>VLOOKUP(A1189,[2]cwurData!$B:$N, 10, FALSE)</f>
        <v>874</v>
      </c>
      <c r="X1189">
        <f>VLOOKUP(A1189,[2]cwurData!$B:$N, 11, FALSE)</f>
        <v>737</v>
      </c>
      <c r="Y1189">
        <f>VLOOKUP(A1189,[2]cwurData!$B:$N, 12, FALSE)</f>
        <v>44.36</v>
      </c>
      <c r="Z1189">
        <f>VLOOKUP(A1189,[2]cwurData!$B:$N, 13, FALSE)</f>
        <v>2014</v>
      </c>
    </row>
    <row r="1190" spans="1:26" x14ac:dyDescent="0.3">
      <c r="A1190" t="s">
        <v>1183</v>
      </c>
      <c r="B1190" t="str">
        <f>IFERROR(VLOOKUP(A1190,[1]timesData!$B:$P,2,FALSE),VLOOKUP(A1190,[2]cwurData!$B:$P,2,FALSE))</f>
        <v>South Korea</v>
      </c>
      <c r="C1190" t="e">
        <f>VLOOKUP(A1190,[1]timesData!$B:$P,3,FALSE)</f>
        <v>#N/A</v>
      </c>
      <c r="D1190" t="e">
        <f>VLOOKUP(A1191,[1]timesData!$B:$P,3,FALSE)</f>
        <v>#N/A</v>
      </c>
      <c r="E1190" t="e">
        <f>VLOOKUP(A1191,[1]timesData!$B:$P,4,FALSE)</f>
        <v>#N/A</v>
      </c>
      <c r="F1190" t="e">
        <f>VLOOKUP(A1191,[1]timesData!$B:$P,5,FALSE)</f>
        <v>#N/A</v>
      </c>
      <c r="G1190" t="e">
        <f>VLOOKUP(A1191,[1]timesData!$B:$P,6,FALSE)</f>
        <v>#N/A</v>
      </c>
      <c r="H1190" t="e">
        <f>VLOOKUP(A1191,[1]timesData!$B:$P,7,FALSE)</f>
        <v>#N/A</v>
      </c>
      <c r="I1190" t="e">
        <f>VLOOKUP(A1191,[1]timesData!$B:$P,8,FALSE)</f>
        <v>#N/A</v>
      </c>
      <c r="J1190" t="e">
        <f>VLOOKUP(A1191,[1]timesData!$B:$P,9,FALSE)</f>
        <v>#N/A</v>
      </c>
      <c r="K1190" t="e">
        <f>VLOOKUP(A1191,[1]timesData!$B:$P,10,FALSE)</f>
        <v>#N/A</v>
      </c>
      <c r="L1190" t="e">
        <f>VLOOKUP(A1191,[1]timesData!$B:$P,11,FALSE)</f>
        <v>#N/A</v>
      </c>
      <c r="M1190" t="e">
        <f>VLOOKUP(A1191,[1]timesData!$B:$P,12,FALSE)</f>
        <v>#N/A</v>
      </c>
      <c r="N1190" t="e">
        <f>VLOOKUP(A1191,[1]timesData!$B:$P,13,FALSE)</f>
        <v>#N/A</v>
      </c>
      <c r="O1190">
        <f>VLOOKUP(A1190,[2]cwurData!$B:$P,14,FALSE)</f>
        <v>931</v>
      </c>
      <c r="P1190">
        <f>VLOOKUP(A1190,[2]cwurData!$B:$N, 3, FALSE)</f>
        <v>33</v>
      </c>
      <c r="Q1190">
        <f>VLOOKUP(A1190,[2]cwurData!$B:$N, 4, FALSE)</f>
        <v>355</v>
      </c>
      <c r="R1190">
        <f>VLOOKUP(A1190,[2]cwurData!$B:$N, 5, FALSE)</f>
        <v>478</v>
      </c>
      <c r="S1190">
        <f>VLOOKUP(A1190,[2]cwurData!$B:$N, 6, FALSE)</f>
        <v>210</v>
      </c>
      <c r="T1190">
        <f>VLOOKUP(A1190,[2]cwurData!$B:$N, 7, FALSE)</f>
        <v>942</v>
      </c>
      <c r="U1190">
        <f>VLOOKUP(A1190,[2]cwurData!$B:$N, 8, FALSE)</f>
        <v>950</v>
      </c>
      <c r="V1190">
        <f>VLOOKUP(A1190,[2]cwurData!$B:$N, 9, FALSE)</f>
        <v>800</v>
      </c>
      <c r="W1190">
        <f>VLOOKUP(A1190,[2]cwurData!$B:$N, 10, FALSE)</f>
        <v>889</v>
      </c>
      <c r="X1190">
        <f>VLOOKUP(A1190,[2]cwurData!$B:$N, 11, FALSE)</f>
        <v>552</v>
      </c>
      <c r="Y1190">
        <f>VLOOKUP(A1190,[2]cwurData!$B:$N, 12, FALSE)</f>
        <v>44.36</v>
      </c>
      <c r="Z1190">
        <f>VLOOKUP(A1190,[2]cwurData!$B:$N, 13, FALSE)</f>
        <v>2014</v>
      </c>
    </row>
    <row r="1191" spans="1:26" x14ac:dyDescent="0.3">
      <c r="A1191" t="s">
        <v>1241</v>
      </c>
      <c r="B1191" t="str">
        <f>IFERROR(VLOOKUP(A1191,[1]timesData!$B:$P,2,FALSE),VLOOKUP(A1191,[2]cwurData!$B:$P,2,FALSE))</f>
        <v>Iran</v>
      </c>
      <c r="C1191" t="e">
        <f>VLOOKUP(A1191,[1]timesData!$B:$P,3,FALSE)</f>
        <v>#N/A</v>
      </c>
      <c r="D1191" t="e">
        <f>VLOOKUP(A1192,[1]timesData!$B:$P,3,FALSE)</f>
        <v>#N/A</v>
      </c>
      <c r="E1191" t="e">
        <f>VLOOKUP(A1192,[1]timesData!$B:$P,4,FALSE)</f>
        <v>#N/A</v>
      </c>
      <c r="F1191" t="e">
        <f>VLOOKUP(A1192,[1]timesData!$B:$P,5,FALSE)</f>
        <v>#N/A</v>
      </c>
      <c r="G1191" t="e">
        <f>VLOOKUP(A1192,[1]timesData!$B:$P,6,FALSE)</f>
        <v>#N/A</v>
      </c>
      <c r="H1191" t="e">
        <f>VLOOKUP(A1192,[1]timesData!$B:$P,7,FALSE)</f>
        <v>#N/A</v>
      </c>
      <c r="I1191" t="e">
        <f>VLOOKUP(A1192,[1]timesData!$B:$P,8,FALSE)</f>
        <v>#N/A</v>
      </c>
      <c r="J1191" t="e">
        <f>VLOOKUP(A1192,[1]timesData!$B:$P,9,FALSE)</f>
        <v>#N/A</v>
      </c>
      <c r="K1191" t="e">
        <f>VLOOKUP(A1192,[1]timesData!$B:$P,10,FALSE)</f>
        <v>#N/A</v>
      </c>
      <c r="L1191" t="e">
        <f>VLOOKUP(A1192,[1]timesData!$B:$P,11,FALSE)</f>
        <v>#N/A</v>
      </c>
      <c r="M1191" t="e">
        <f>VLOOKUP(A1192,[1]timesData!$B:$P,12,FALSE)</f>
        <v>#N/A</v>
      </c>
      <c r="N1191" t="e">
        <f>VLOOKUP(A1192,[1]timesData!$B:$P,13,FALSE)</f>
        <v>#N/A</v>
      </c>
      <c r="O1191">
        <f>VLOOKUP(A1191,[2]cwurData!$B:$P,14,FALSE)</f>
        <v>931</v>
      </c>
      <c r="P1191">
        <f>VLOOKUP(A1191,[2]cwurData!$B:$N, 3, FALSE)</f>
        <v>6</v>
      </c>
      <c r="Q1191">
        <f>VLOOKUP(A1191,[2]cwurData!$B:$N, 4, FALSE)</f>
        <v>367</v>
      </c>
      <c r="R1191">
        <f>VLOOKUP(A1191,[2]cwurData!$B:$N, 5, FALSE)</f>
        <v>567</v>
      </c>
      <c r="S1191">
        <f>VLOOKUP(A1191,[2]cwurData!$B:$N, 6, FALSE)</f>
        <v>218</v>
      </c>
      <c r="T1191">
        <f>VLOOKUP(A1191,[2]cwurData!$B:$N, 7, FALSE)</f>
        <v>833</v>
      </c>
      <c r="U1191">
        <f>VLOOKUP(A1191,[2]cwurData!$B:$N, 8, FALSE)</f>
        <v>920</v>
      </c>
      <c r="V1191">
        <f>VLOOKUP(A1191,[2]cwurData!$B:$N, 9, FALSE)</f>
        <v>812</v>
      </c>
      <c r="W1191">
        <f>VLOOKUP(A1191,[2]cwurData!$B:$N, 10, FALSE)</f>
        <v>886</v>
      </c>
      <c r="X1191">
        <f>VLOOKUP(A1191,[2]cwurData!$B:$N, 11, FALSE)</f>
        <v>871</v>
      </c>
      <c r="Y1191">
        <f>VLOOKUP(A1191,[2]cwurData!$B:$N, 12, FALSE)</f>
        <v>44.1</v>
      </c>
      <c r="Z1191">
        <f>VLOOKUP(A1191,[2]cwurData!$B:$N, 13, FALSE)</f>
        <v>2015</v>
      </c>
    </row>
    <row r="1192" spans="1:26" x14ac:dyDescent="0.3">
      <c r="A1192" t="s">
        <v>1184</v>
      </c>
      <c r="B1192" t="str">
        <f>IFERROR(VLOOKUP(A1192,[1]timesData!$B:$P,2,FALSE),VLOOKUP(A1192,[2]cwurData!$B:$P,2,FALSE))</f>
        <v>China</v>
      </c>
      <c r="C1192" t="e">
        <f>VLOOKUP(A1192,[1]timesData!$B:$P,3,FALSE)</f>
        <v>#N/A</v>
      </c>
      <c r="D1192" t="e">
        <f>VLOOKUP(A1193,[1]timesData!$B:$P,3,FALSE)</f>
        <v>#N/A</v>
      </c>
      <c r="E1192" t="e">
        <f>VLOOKUP(A1193,[1]timesData!$B:$P,4,FALSE)</f>
        <v>#N/A</v>
      </c>
      <c r="F1192" t="e">
        <f>VLOOKUP(A1193,[1]timesData!$B:$P,5,FALSE)</f>
        <v>#N/A</v>
      </c>
      <c r="G1192" t="e">
        <f>VLOOKUP(A1193,[1]timesData!$B:$P,6,FALSE)</f>
        <v>#N/A</v>
      </c>
      <c r="H1192" t="e">
        <f>VLOOKUP(A1193,[1]timesData!$B:$P,7,FALSE)</f>
        <v>#N/A</v>
      </c>
      <c r="I1192" t="e">
        <f>VLOOKUP(A1193,[1]timesData!$B:$P,8,FALSE)</f>
        <v>#N/A</v>
      </c>
      <c r="J1192" t="e">
        <f>VLOOKUP(A1193,[1]timesData!$B:$P,9,FALSE)</f>
        <v>#N/A</v>
      </c>
      <c r="K1192" t="e">
        <f>VLOOKUP(A1193,[1]timesData!$B:$P,10,FALSE)</f>
        <v>#N/A</v>
      </c>
      <c r="L1192" t="e">
        <f>VLOOKUP(A1193,[1]timesData!$B:$P,11,FALSE)</f>
        <v>#N/A</v>
      </c>
      <c r="M1192" t="e">
        <f>VLOOKUP(A1193,[1]timesData!$B:$P,12,FALSE)</f>
        <v>#N/A</v>
      </c>
      <c r="N1192" t="e">
        <f>VLOOKUP(A1193,[1]timesData!$B:$P,13,FALSE)</f>
        <v>#N/A</v>
      </c>
      <c r="O1192">
        <f>VLOOKUP(A1192,[2]cwurData!$B:$P,14,FALSE)</f>
        <v>932</v>
      </c>
      <c r="P1192">
        <f>VLOOKUP(A1192,[2]cwurData!$B:$N, 3, FALSE)</f>
        <v>60</v>
      </c>
      <c r="Q1192">
        <f>VLOOKUP(A1192,[2]cwurData!$B:$N, 4, FALSE)</f>
        <v>355</v>
      </c>
      <c r="R1192">
        <f>VLOOKUP(A1192,[2]cwurData!$B:$N, 5, FALSE)</f>
        <v>478</v>
      </c>
      <c r="S1192">
        <f>VLOOKUP(A1192,[2]cwurData!$B:$N, 6, FALSE)</f>
        <v>210</v>
      </c>
      <c r="T1192">
        <f>VLOOKUP(A1192,[2]cwurData!$B:$N, 7, FALSE)</f>
        <v>680</v>
      </c>
      <c r="U1192">
        <f>VLOOKUP(A1192,[2]cwurData!$B:$N, 8, FALSE)</f>
        <v>747</v>
      </c>
      <c r="V1192">
        <f>VLOOKUP(A1192,[2]cwurData!$B:$N, 9, FALSE)</f>
        <v>609</v>
      </c>
      <c r="W1192">
        <f>VLOOKUP(A1192,[2]cwurData!$B:$N, 10, FALSE)</f>
        <v>909</v>
      </c>
      <c r="X1192">
        <f>VLOOKUP(A1192,[2]cwurData!$B:$N, 11, FALSE)</f>
        <v>552</v>
      </c>
      <c r="Y1192">
        <f>VLOOKUP(A1192,[2]cwurData!$B:$N, 12, FALSE)</f>
        <v>44.36</v>
      </c>
      <c r="Z1192">
        <f>VLOOKUP(A1192,[2]cwurData!$B:$N, 13, FALSE)</f>
        <v>2014</v>
      </c>
    </row>
    <row r="1193" spans="1:26" x14ac:dyDescent="0.3">
      <c r="A1193" t="s">
        <v>1185</v>
      </c>
      <c r="B1193" t="str">
        <f>IFERROR(VLOOKUP(A1193,[1]timesData!$B:$P,2,FALSE),VLOOKUP(A1193,[2]cwurData!$B:$P,2,FALSE))</f>
        <v>Uruguay</v>
      </c>
      <c r="C1193" t="e">
        <f>VLOOKUP(A1193,[1]timesData!$B:$P,3,FALSE)</f>
        <v>#N/A</v>
      </c>
      <c r="D1193" t="e">
        <f>VLOOKUP(A1194,[1]timesData!$B:$P,3,FALSE)</f>
        <v>#N/A</v>
      </c>
      <c r="E1193" t="e">
        <f>VLOOKUP(A1194,[1]timesData!$B:$P,4,FALSE)</f>
        <v>#N/A</v>
      </c>
      <c r="F1193" t="e">
        <f>VLOOKUP(A1194,[1]timesData!$B:$P,5,FALSE)</f>
        <v>#N/A</v>
      </c>
      <c r="G1193" t="e">
        <f>VLOOKUP(A1194,[1]timesData!$B:$P,6,FALSE)</f>
        <v>#N/A</v>
      </c>
      <c r="H1193" t="e">
        <f>VLOOKUP(A1194,[1]timesData!$B:$P,7,FALSE)</f>
        <v>#N/A</v>
      </c>
      <c r="I1193" t="e">
        <f>VLOOKUP(A1194,[1]timesData!$B:$P,8,FALSE)</f>
        <v>#N/A</v>
      </c>
      <c r="J1193" t="e">
        <f>VLOOKUP(A1194,[1]timesData!$B:$P,9,FALSE)</f>
        <v>#N/A</v>
      </c>
      <c r="K1193" t="e">
        <f>VLOOKUP(A1194,[1]timesData!$B:$P,10,FALSE)</f>
        <v>#N/A</v>
      </c>
      <c r="L1193" t="e">
        <f>VLOOKUP(A1194,[1]timesData!$B:$P,11,FALSE)</f>
        <v>#N/A</v>
      </c>
      <c r="M1193" t="e">
        <f>VLOOKUP(A1194,[1]timesData!$B:$P,12,FALSE)</f>
        <v>#N/A</v>
      </c>
      <c r="N1193" t="e">
        <f>VLOOKUP(A1194,[1]timesData!$B:$P,13,FALSE)</f>
        <v>#N/A</v>
      </c>
      <c r="O1193">
        <f>VLOOKUP(A1193,[2]cwurData!$B:$P,14,FALSE)</f>
        <v>933</v>
      </c>
      <c r="P1193">
        <f>VLOOKUP(A1193,[2]cwurData!$B:$N, 3, FALSE)</f>
        <v>1</v>
      </c>
      <c r="Q1193">
        <f>VLOOKUP(A1193,[2]cwurData!$B:$N, 4, FALSE)</f>
        <v>355</v>
      </c>
      <c r="R1193">
        <f>VLOOKUP(A1193,[2]cwurData!$B:$N, 5, FALSE)</f>
        <v>478</v>
      </c>
      <c r="S1193">
        <f>VLOOKUP(A1193,[2]cwurData!$B:$N, 6, FALSE)</f>
        <v>210</v>
      </c>
      <c r="T1193">
        <f>VLOOKUP(A1193,[2]cwurData!$B:$N, 7, FALSE)</f>
        <v>940</v>
      </c>
      <c r="U1193">
        <f>VLOOKUP(A1193,[2]cwurData!$B:$N, 8, FALSE)</f>
        <v>744</v>
      </c>
      <c r="V1193">
        <f>VLOOKUP(A1193,[2]cwurData!$B:$N, 9, FALSE)</f>
        <v>800</v>
      </c>
      <c r="W1193">
        <f>VLOOKUP(A1193,[2]cwurData!$B:$N, 10, FALSE)</f>
        <v>889</v>
      </c>
      <c r="X1193">
        <f>VLOOKUP(A1193,[2]cwurData!$B:$N, 11, FALSE)</f>
        <v>737</v>
      </c>
      <c r="Y1193">
        <f>VLOOKUP(A1193,[2]cwurData!$B:$N, 12, FALSE)</f>
        <v>44.35</v>
      </c>
      <c r="Z1193">
        <f>VLOOKUP(A1193,[2]cwurData!$B:$N, 13, FALSE)</f>
        <v>2014</v>
      </c>
    </row>
    <row r="1194" spans="1:26" x14ac:dyDescent="0.3">
      <c r="A1194" t="s">
        <v>1186</v>
      </c>
      <c r="B1194" t="str">
        <f>IFERROR(VLOOKUP(A1194,[1]timesData!$B:$P,2,FALSE),VLOOKUP(A1194,[2]cwurData!$B:$P,2,FALSE))</f>
        <v>Turkey</v>
      </c>
      <c r="C1194" t="e">
        <f>VLOOKUP(A1194,[1]timesData!$B:$P,3,FALSE)</f>
        <v>#N/A</v>
      </c>
      <c r="D1194" t="e">
        <f>VLOOKUP(A1195,[1]timesData!$B:$P,3,FALSE)</f>
        <v>#N/A</v>
      </c>
      <c r="E1194" t="e">
        <f>VLOOKUP(A1195,[1]timesData!$B:$P,4,FALSE)</f>
        <v>#N/A</v>
      </c>
      <c r="F1194" t="e">
        <f>VLOOKUP(A1195,[1]timesData!$B:$P,5,FALSE)</f>
        <v>#N/A</v>
      </c>
      <c r="G1194" t="e">
        <f>VLOOKUP(A1195,[1]timesData!$B:$P,6,FALSE)</f>
        <v>#N/A</v>
      </c>
      <c r="H1194" t="e">
        <f>VLOOKUP(A1195,[1]timesData!$B:$P,7,FALSE)</f>
        <v>#N/A</v>
      </c>
      <c r="I1194" t="e">
        <f>VLOOKUP(A1195,[1]timesData!$B:$P,8,FALSE)</f>
        <v>#N/A</v>
      </c>
      <c r="J1194" t="e">
        <f>VLOOKUP(A1195,[1]timesData!$B:$P,9,FALSE)</f>
        <v>#N/A</v>
      </c>
      <c r="K1194" t="e">
        <f>VLOOKUP(A1195,[1]timesData!$B:$P,10,FALSE)</f>
        <v>#N/A</v>
      </c>
      <c r="L1194" t="e">
        <f>VLOOKUP(A1195,[1]timesData!$B:$P,11,FALSE)</f>
        <v>#N/A</v>
      </c>
      <c r="M1194" t="e">
        <f>VLOOKUP(A1195,[1]timesData!$B:$P,12,FALSE)</f>
        <v>#N/A</v>
      </c>
      <c r="N1194" t="e">
        <f>VLOOKUP(A1195,[1]timesData!$B:$P,13,FALSE)</f>
        <v>#N/A</v>
      </c>
      <c r="O1194">
        <f>VLOOKUP(A1194,[2]cwurData!$B:$P,14,FALSE)</f>
        <v>934</v>
      </c>
      <c r="P1194">
        <f>VLOOKUP(A1194,[2]cwurData!$B:$N, 3, FALSE)</f>
        <v>10</v>
      </c>
      <c r="Q1194">
        <f>VLOOKUP(A1194,[2]cwurData!$B:$N, 4, FALSE)</f>
        <v>355</v>
      </c>
      <c r="R1194">
        <f>VLOOKUP(A1194,[2]cwurData!$B:$N, 5, FALSE)</f>
        <v>478</v>
      </c>
      <c r="S1194">
        <f>VLOOKUP(A1194,[2]cwurData!$B:$N, 6, FALSE)</f>
        <v>210</v>
      </c>
      <c r="T1194">
        <f>VLOOKUP(A1194,[2]cwurData!$B:$N, 7, FALSE)</f>
        <v>948</v>
      </c>
      <c r="U1194">
        <f>VLOOKUP(A1194,[2]cwurData!$B:$N, 8, FALSE)</f>
        <v>914</v>
      </c>
      <c r="V1194">
        <f>VLOOKUP(A1194,[2]cwurData!$B:$N, 9, FALSE)</f>
        <v>800</v>
      </c>
      <c r="W1194">
        <f>VLOOKUP(A1194,[2]cwurData!$B:$N, 10, FALSE)</f>
        <v>889</v>
      </c>
      <c r="X1194">
        <f>VLOOKUP(A1194,[2]cwurData!$B:$N, 11, FALSE)</f>
        <v>737</v>
      </c>
      <c r="Y1194">
        <f>VLOOKUP(A1194,[2]cwurData!$B:$N, 12, FALSE)</f>
        <v>44.35</v>
      </c>
      <c r="Z1194">
        <f>VLOOKUP(A1194,[2]cwurData!$B:$N, 13, FALSE)</f>
        <v>2014</v>
      </c>
    </row>
    <row r="1195" spans="1:26" x14ac:dyDescent="0.3">
      <c r="A1195" t="s">
        <v>1187</v>
      </c>
      <c r="B1195" t="str">
        <f>IFERROR(VLOOKUP(A1195,[1]timesData!$B:$P,2,FALSE),VLOOKUP(A1195,[2]cwurData!$B:$P,2,FALSE))</f>
        <v>China</v>
      </c>
      <c r="C1195" t="e">
        <f>VLOOKUP(A1195,[1]timesData!$B:$P,3,FALSE)</f>
        <v>#N/A</v>
      </c>
      <c r="D1195" t="e">
        <f>VLOOKUP(A1196,[1]timesData!$B:$P,3,FALSE)</f>
        <v>#N/A</v>
      </c>
      <c r="E1195" t="e">
        <f>VLOOKUP(A1196,[1]timesData!$B:$P,4,FALSE)</f>
        <v>#N/A</v>
      </c>
      <c r="F1195" t="e">
        <f>VLOOKUP(A1196,[1]timesData!$B:$P,5,FALSE)</f>
        <v>#N/A</v>
      </c>
      <c r="G1195" t="e">
        <f>VLOOKUP(A1196,[1]timesData!$B:$P,6,FALSE)</f>
        <v>#N/A</v>
      </c>
      <c r="H1195" t="e">
        <f>VLOOKUP(A1196,[1]timesData!$B:$P,7,FALSE)</f>
        <v>#N/A</v>
      </c>
      <c r="I1195" t="e">
        <f>VLOOKUP(A1196,[1]timesData!$B:$P,8,FALSE)</f>
        <v>#N/A</v>
      </c>
      <c r="J1195" t="e">
        <f>VLOOKUP(A1196,[1]timesData!$B:$P,9,FALSE)</f>
        <v>#N/A</v>
      </c>
      <c r="K1195" t="e">
        <f>VLOOKUP(A1196,[1]timesData!$B:$P,10,FALSE)</f>
        <v>#N/A</v>
      </c>
      <c r="L1195" t="e">
        <f>VLOOKUP(A1196,[1]timesData!$B:$P,11,FALSE)</f>
        <v>#N/A</v>
      </c>
      <c r="M1195" t="e">
        <f>VLOOKUP(A1196,[1]timesData!$B:$P,12,FALSE)</f>
        <v>#N/A</v>
      </c>
      <c r="N1195" t="e">
        <f>VLOOKUP(A1196,[1]timesData!$B:$P,13,FALSE)</f>
        <v>#N/A</v>
      </c>
      <c r="O1195">
        <f>VLOOKUP(A1195,[2]cwurData!$B:$P,14,FALSE)</f>
        <v>935</v>
      </c>
      <c r="P1195">
        <f>VLOOKUP(A1195,[2]cwurData!$B:$N, 3, FALSE)</f>
        <v>61</v>
      </c>
      <c r="Q1195">
        <f>VLOOKUP(A1195,[2]cwurData!$B:$N, 4, FALSE)</f>
        <v>355</v>
      </c>
      <c r="R1195">
        <f>VLOOKUP(A1195,[2]cwurData!$B:$N, 5, FALSE)</f>
        <v>478</v>
      </c>
      <c r="S1195">
        <f>VLOOKUP(A1195,[2]cwurData!$B:$N, 6, FALSE)</f>
        <v>210</v>
      </c>
      <c r="T1195">
        <f>VLOOKUP(A1195,[2]cwurData!$B:$N, 7, FALSE)</f>
        <v>775</v>
      </c>
      <c r="U1195">
        <f>VLOOKUP(A1195,[2]cwurData!$B:$N, 8, FALSE)</f>
        <v>974</v>
      </c>
      <c r="V1195">
        <f>VLOOKUP(A1195,[2]cwurData!$B:$N, 9, FALSE)</f>
        <v>800</v>
      </c>
      <c r="W1195">
        <f>VLOOKUP(A1195,[2]cwurData!$B:$N, 10, FALSE)</f>
        <v>897</v>
      </c>
      <c r="X1195">
        <f>VLOOKUP(A1195,[2]cwurData!$B:$N, 11, FALSE)</f>
        <v>737</v>
      </c>
      <c r="Y1195">
        <f>VLOOKUP(A1195,[2]cwurData!$B:$N, 12, FALSE)</f>
        <v>44.35</v>
      </c>
      <c r="Z1195">
        <f>VLOOKUP(A1195,[2]cwurData!$B:$N, 13, FALSE)</f>
        <v>2014</v>
      </c>
    </row>
    <row r="1196" spans="1:26" x14ac:dyDescent="0.3">
      <c r="A1196" t="s">
        <v>1188</v>
      </c>
      <c r="B1196" t="str">
        <f>IFERROR(VLOOKUP(A1196,[1]timesData!$B:$P,2,FALSE),VLOOKUP(A1196,[2]cwurData!$B:$P,2,FALSE))</f>
        <v>Spain</v>
      </c>
      <c r="C1196" t="e">
        <f>VLOOKUP(A1196,[1]timesData!$B:$P,3,FALSE)</f>
        <v>#N/A</v>
      </c>
      <c r="D1196" t="e">
        <f>VLOOKUP(A1197,[1]timesData!$B:$P,3,FALSE)</f>
        <v>#N/A</v>
      </c>
      <c r="E1196" t="e">
        <f>VLOOKUP(A1197,[1]timesData!$B:$P,4,FALSE)</f>
        <v>#N/A</v>
      </c>
      <c r="F1196" t="e">
        <f>VLOOKUP(A1197,[1]timesData!$B:$P,5,FALSE)</f>
        <v>#N/A</v>
      </c>
      <c r="G1196" t="e">
        <f>VLOOKUP(A1197,[1]timesData!$B:$P,6,FALSE)</f>
        <v>#N/A</v>
      </c>
      <c r="H1196" t="e">
        <f>VLOOKUP(A1197,[1]timesData!$B:$P,7,FALSE)</f>
        <v>#N/A</v>
      </c>
      <c r="I1196" t="e">
        <f>VLOOKUP(A1197,[1]timesData!$B:$P,8,FALSE)</f>
        <v>#N/A</v>
      </c>
      <c r="J1196" t="e">
        <f>VLOOKUP(A1197,[1]timesData!$B:$P,9,FALSE)</f>
        <v>#N/A</v>
      </c>
      <c r="K1196" t="e">
        <f>VLOOKUP(A1197,[1]timesData!$B:$P,10,FALSE)</f>
        <v>#N/A</v>
      </c>
      <c r="L1196" t="e">
        <f>VLOOKUP(A1197,[1]timesData!$B:$P,11,FALSE)</f>
        <v>#N/A</v>
      </c>
      <c r="M1196" t="e">
        <f>VLOOKUP(A1197,[1]timesData!$B:$P,12,FALSE)</f>
        <v>#N/A</v>
      </c>
      <c r="N1196" t="e">
        <f>VLOOKUP(A1197,[1]timesData!$B:$P,13,FALSE)</f>
        <v>#N/A</v>
      </c>
      <c r="O1196">
        <f>VLOOKUP(A1196,[2]cwurData!$B:$P,14,FALSE)</f>
        <v>936</v>
      </c>
      <c r="P1196">
        <f>VLOOKUP(A1196,[2]cwurData!$B:$N, 3, FALSE)</f>
        <v>39</v>
      </c>
      <c r="Q1196">
        <f>VLOOKUP(A1196,[2]cwurData!$B:$N, 4, FALSE)</f>
        <v>355</v>
      </c>
      <c r="R1196">
        <f>VLOOKUP(A1196,[2]cwurData!$B:$N, 5, FALSE)</f>
        <v>478</v>
      </c>
      <c r="S1196">
        <f>VLOOKUP(A1196,[2]cwurData!$B:$N, 6, FALSE)</f>
        <v>210</v>
      </c>
      <c r="T1196">
        <f>VLOOKUP(A1196,[2]cwurData!$B:$N, 7, FALSE)</f>
        <v>959</v>
      </c>
      <c r="U1196">
        <f>VLOOKUP(A1196,[2]cwurData!$B:$N, 8, FALSE)</f>
        <v>803</v>
      </c>
      <c r="V1196">
        <f>VLOOKUP(A1196,[2]cwurData!$B:$N, 9, FALSE)</f>
        <v>800</v>
      </c>
      <c r="W1196">
        <f>VLOOKUP(A1196,[2]cwurData!$B:$N, 10, FALSE)</f>
        <v>897</v>
      </c>
      <c r="X1196">
        <f>VLOOKUP(A1196,[2]cwurData!$B:$N, 11, FALSE)</f>
        <v>552</v>
      </c>
      <c r="Y1196">
        <f>VLOOKUP(A1196,[2]cwurData!$B:$N, 12, FALSE)</f>
        <v>44.35</v>
      </c>
      <c r="Z1196">
        <f>VLOOKUP(A1196,[2]cwurData!$B:$N, 13, FALSE)</f>
        <v>2014</v>
      </c>
    </row>
    <row r="1197" spans="1:26" x14ac:dyDescent="0.3">
      <c r="A1197" t="s">
        <v>1189</v>
      </c>
      <c r="B1197" t="str">
        <f>IFERROR(VLOOKUP(A1197,[1]timesData!$B:$P,2,FALSE),VLOOKUP(A1197,[2]cwurData!$B:$P,2,FALSE))</f>
        <v>Australia</v>
      </c>
      <c r="C1197" t="e">
        <f>VLOOKUP(A1197,[1]timesData!$B:$P,3,FALSE)</f>
        <v>#N/A</v>
      </c>
      <c r="D1197" t="e">
        <f>VLOOKUP(A1198,[1]timesData!$B:$P,3,FALSE)</f>
        <v>#N/A</v>
      </c>
      <c r="E1197" t="e">
        <f>VLOOKUP(A1198,[1]timesData!$B:$P,4,FALSE)</f>
        <v>#N/A</v>
      </c>
      <c r="F1197" t="e">
        <f>VLOOKUP(A1198,[1]timesData!$B:$P,5,FALSE)</f>
        <v>#N/A</v>
      </c>
      <c r="G1197" t="e">
        <f>VLOOKUP(A1198,[1]timesData!$B:$P,6,FALSE)</f>
        <v>#N/A</v>
      </c>
      <c r="H1197" t="e">
        <f>VLOOKUP(A1198,[1]timesData!$B:$P,7,FALSE)</f>
        <v>#N/A</v>
      </c>
      <c r="I1197" t="e">
        <f>VLOOKUP(A1198,[1]timesData!$B:$P,8,FALSE)</f>
        <v>#N/A</v>
      </c>
      <c r="J1197" t="e">
        <f>VLOOKUP(A1198,[1]timesData!$B:$P,9,FALSE)</f>
        <v>#N/A</v>
      </c>
      <c r="K1197" t="e">
        <f>VLOOKUP(A1198,[1]timesData!$B:$P,10,FALSE)</f>
        <v>#N/A</v>
      </c>
      <c r="L1197" t="e">
        <f>VLOOKUP(A1198,[1]timesData!$B:$P,11,FALSE)</f>
        <v>#N/A</v>
      </c>
      <c r="M1197" t="e">
        <f>VLOOKUP(A1198,[1]timesData!$B:$P,12,FALSE)</f>
        <v>#N/A</v>
      </c>
      <c r="N1197" t="e">
        <f>VLOOKUP(A1198,[1]timesData!$B:$P,13,FALSE)</f>
        <v>#N/A</v>
      </c>
      <c r="O1197">
        <f>VLOOKUP(A1197,[2]cwurData!$B:$P,14,FALSE)</f>
        <v>939</v>
      </c>
      <c r="P1197">
        <f>VLOOKUP(A1197,[2]cwurData!$B:$N, 3, FALSE)</f>
        <v>27</v>
      </c>
      <c r="Q1197">
        <f>VLOOKUP(A1197,[2]cwurData!$B:$N, 4, FALSE)</f>
        <v>355</v>
      </c>
      <c r="R1197">
        <f>VLOOKUP(A1197,[2]cwurData!$B:$N, 5, FALSE)</f>
        <v>478</v>
      </c>
      <c r="S1197">
        <f>VLOOKUP(A1197,[2]cwurData!$B:$N, 6, FALSE)</f>
        <v>210</v>
      </c>
      <c r="T1197">
        <f>VLOOKUP(A1197,[2]cwurData!$B:$N, 7, FALSE)</f>
        <v>916</v>
      </c>
      <c r="U1197">
        <f>VLOOKUP(A1197,[2]cwurData!$B:$N, 8, FALSE)</f>
        <v>552</v>
      </c>
      <c r="V1197">
        <f>VLOOKUP(A1197,[2]cwurData!$B:$N, 9, FALSE)</f>
        <v>493</v>
      </c>
      <c r="W1197">
        <f>VLOOKUP(A1197,[2]cwurData!$B:$N, 10, FALSE)</f>
        <v>909</v>
      </c>
      <c r="X1197">
        <f>VLOOKUP(A1197,[2]cwurData!$B:$N, 11, FALSE)</f>
        <v>637</v>
      </c>
      <c r="Y1197">
        <f>VLOOKUP(A1197,[2]cwurData!$B:$N, 12, FALSE)</f>
        <v>44.34</v>
      </c>
      <c r="Z1197">
        <f>VLOOKUP(A1197,[2]cwurData!$B:$N, 13, FALSE)</f>
        <v>2014</v>
      </c>
    </row>
    <row r="1198" spans="1:26" x14ac:dyDescent="0.3">
      <c r="A1198" t="s">
        <v>1190</v>
      </c>
      <c r="B1198" t="str">
        <f>IFERROR(VLOOKUP(A1198,[1]timesData!$B:$P,2,FALSE),VLOOKUP(A1198,[2]cwurData!$B:$P,2,FALSE))</f>
        <v>Brazil</v>
      </c>
      <c r="C1198" t="e">
        <f>VLOOKUP(A1198,[1]timesData!$B:$P,3,FALSE)</f>
        <v>#N/A</v>
      </c>
      <c r="D1198" t="e">
        <f>VLOOKUP(A1199,[1]timesData!$B:$P,3,FALSE)</f>
        <v>#N/A</v>
      </c>
      <c r="E1198" t="e">
        <f>VLOOKUP(A1199,[1]timesData!$B:$P,4,FALSE)</f>
        <v>#N/A</v>
      </c>
      <c r="F1198" t="e">
        <f>VLOOKUP(A1199,[1]timesData!$B:$P,5,FALSE)</f>
        <v>#N/A</v>
      </c>
      <c r="G1198" t="e">
        <f>VLOOKUP(A1199,[1]timesData!$B:$P,6,FALSE)</f>
        <v>#N/A</v>
      </c>
      <c r="H1198" t="e">
        <f>VLOOKUP(A1199,[1]timesData!$B:$P,7,FALSE)</f>
        <v>#N/A</v>
      </c>
      <c r="I1198" t="e">
        <f>VLOOKUP(A1199,[1]timesData!$B:$P,8,FALSE)</f>
        <v>#N/A</v>
      </c>
      <c r="J1198" t="e">
        <f>VLOOKUP(A1199,[1]timesData!$B:$P,9,FALSE)</f>
        <v>#N/A</v>
      </c>
      <c r="K1198" t="e">
        <f>VLOOKUP(A1199,[1]timesData!$B:$P,10,FALSE)</f>
        <v>#N/A</v>
      </c>
      <c r="L1198" t="e">
        <f>VLOOKUP(A1199,[1]timesData!$B:$P,11,FALSE)</f>
        <v>#N/A</v>
      </c>
      <c r="M1198" t="e">
        <f>VLOOKUP(A1199,[1]timesData!$B:$P,12,FALSE)</f>
        <v>#N/A</v>
      </c>
      <c r="N1198" t="e">
        <f>VLOOKUP(A1199,[1]timesData!$B:$P,13,FALSE)</f>
        <v>#N/A</v>
      </c>
      <c r="O1198">
        <f>VLOOKUP(A1198,[2]cwurData!$B:$P,14,FALSE)</f>
        <v>940</v>
      </c>
      <c r="P1198">
        <f>VLOOKUP(A1198,[2]cwurData!$B:$N, 3, FALSE)</f>
        <v>15</v>
      </c>
      <c r="Q1198">
        <f>VLOOKUP(A1198,[2]cwurData!$B:$N, 4, FALSE)</f>
        <v>355</v>
      </c>
      <c r="R1198">
        <f>VLOOKUP(A1198,[2]cwurData!$B:$N, 5, FALSE)</f>
        <v>478</v>
      </c>
      <c r="S1198">
        <f>VLOOKUP(A1198,[2]cwurData!$B:$N, 6, FALSE)</f>
        <v>210</v>
      </c>
      <c r="T1198">
        <f>VLOOKUP(A1198,[2]cwurData!$B:$N, 7, FALSE)</f>
        <v>765</v>
      </c>
      <c r="U1198">
        <f>VLOOKUP(A1198,[2]cwurData!$B:$N, 8, FALSE)</f>
        <v>883</v>
      </c>
      <c r="V1198">
        <f>VLOOKUP(A1198,[2]cwurData!$B:$N, 9, FALSE)</f>
        <v>800</v>
      </c>
      <c r="W1198">
        <f>VLOOKUP(A1198,[2]cwurData!$B:$N, 10, FALSE)</f>
        <v>948</v>
      </c>
      <c r="X1198">
        <f>VLOOKUP(A1198,[2]cwurData!$B:$N, 11, FALSE)</f>
        <v>373</v>
      </c>
      <c r="Y1198">
        <f>VLOOKUP(A1198,[2]cwurData!$B:$N, 12, FALSE)</f>
        <v>44.34</v>
      </c>
      <c r="Z1198">
        <f>VLOOKUP(A1198,[2]cwurData!$B:$N, 13, FALSE)</f>
        <v>2014</v>
      </c>
    </row>
    <row r="1199" spans="1:26" x14ac:dyDescent="0.3">
      <c r="A1199" t="s">
        <v>1191</v>
      </c>
      <c r="B1199" t="str">
        <f>IFERROR(VLOOKUP(A1199,[1]timesData!$B:$P,2,FALSE),VLOOKUP(A1199,[2]cwurData!$B:$P,2,FALSE))</f>
        <v>China</v>
      </c>
      <c r="C1199" t="e">
        <f>VLOOKUP(A1199,[1]timesData!$B:$P,3,FALSE)</f>
        <v>#N/A</v>
      </c>
      <c r="D1199" t="e">
        <f>VLOOKUP(A1200,[1]timesData!$B:$P,3,FALSE)</f>
        <v>#N/A</v>
      </c>
      <c r="E1199" t="e">
        <f>VLOOKUP(A1200,[1]timesData!$B:$P,4,FALSE)</f>
        <v>#N/A</v>
      </c>
      <c r="F1199" t="e">
        <f>VLOOKUP(A1200,[1]timesData!$B:$P,5,FALSE)</f>
        <v>#N/A</v>
      </c>
      <c r="G1199" t="e">
        <f>VLOOKUP(A1200,[1]timesData!$B:$P,6,FALSE)</f>
        <v>#N/A</v>
      </c>
      <c r="H1199" t="e">
        <f>VLOOKUP(A1200,[1]timesData!$B:$P,7,FALSE)</f>
        <v>#N/A</v>
      </c>
      <c r="I1199" t="e">
        <f>VLOOKUP(A1200,[1]timesData!$B:$P,8,FALSE)</f>
        <v>#N/A</v>
      </c>
      <c r="J1199" t="e">
        <f>VLOOKUP(A1200,[1]timesData!$B:$P,9,FALSE)</f>
        <v>#N/A</v>
      </c>
      <c r="K1199" t="e">
        <f>VLOOKUP(A1200,[1]timesData!$B:$P,10,FALSE)</f>
        <v>#N/A</v>
      </c>
      <c r="L1199" t="e">
        <f>VLOOKUP(A1200,[1]timesData!$B:$P,11,FALSE)</f>
        <v>#N/A</v>
      </c>
      <c r="M1199" t="e">
        <f>VLOOKUP(A1200,[1]timesData!$B:$P,12,FALSE)</f>
        <v>#N/A</v>
      </c>
      <c r="N1199" t="e">
        <f>VLOOKUP(A1200,[1]timesData!$B:$P,13,FALSE)</f>
        <v>#N/A</v>
      </c>
      <c r="O1199">
        <f>VLOOKUP(A1199,[2]cwurData!$B:$P,14,FALSE)</f>
        <v>941</v>
      </c>
      <c r="P1199">
        <f>VLOOKUP(A1199,[2]cwurData!$B:$N, 3, FALSE)</f>
        <v>62</v>
      </c>
      <c r="Q1199">
        <f>VLOOKUP(A1199,[2]cwurData!$B:$N, 4, FALSE)</f>
        <v>355</v>
      </c>
      <c r="R1199">
        <f>VLOOKUP(A1199,[2]cwurData!$B:$N, 5, FALSE)</f>
        <v>478</v>
      </c>
      <c r="S1199">
        <f>VLOOKUP(A1199,[2]cwurData!$B:$N, 6, FALSE)</f>
        <v>210</v>
      </c>
      <c r="T1199">
        <f>VLOOKUP(A1199,[2]cwurData!$B:$N, 7, FALSE)</f>
        <v>836</v>
      </c>
      <c r="U1199">
        <f>VLOOKUP(A1199,[2]cwurData!$B:$N, 8, FALSE)</f>
        <v>959</v>
      </c>
      <c r="V1199">
        <f>VLOOKUP(A1199,[2]cwurData!$B:$N, 9, FALSE)</f>
        <v>800</v>
      </c>
      <c r="W1199">
        <f>VLOOKUP(A1199,[2]cwurData!$B:$N, 10, FALSE)</f>
        <v>985</v>
      </c>
      <c r="X1199">
        <f>VLOOKUP(A1199,[2]cwurData!$B:$N, 11, FALSE)</f>
        <v>280</v>
      </c>
      <c r="Y1199">
        <f>VLOOKUP(A1199,[2]cwurData!$B:$N, 12, FALSE)</f>
        <v>44.34</v>
      </c>
      <c r="Z1199">
        <f>VLOOKUP(A1199,[2]cwurData!$B:$N, 13, FALSE)</f>
        <v>2014</v>
      </c>
    </row>
    <row r="1200" spans="1:26" x14ac:dyDescent="0.3">
      <c r="A1200" t="s">
        <v>1192</v>
      </c>
      <c r="B1200" t="str">
        <f>IFERROR(VLOOKUP(A1200,[1]timesData!$B:$P,2,FALSE),VLOOKUP(A1200,[2]cwurData!$B:$P,2,FALSE))</f>
        <v>China</v>
      </c>
      <c r="C1200" t="e">
        <f>VLOOKUP(A1200,[1]timesData!$B:$P,3,FALSE)</f>
        <v>#N/A</v>
      </c>
      <c r="D1200" t="e">
        <f>VLOOKUP(A1201,[1]timesData!$B:$P,3,FALSE)</f>
        <v>#N/A</v>
      </c>
      <c r="E1200" t="e">
        <f>VLOOKUP(A1201,[1]timesData!$B:$P,4,FALSE)</f>
        <v>#N/A</v>
      </c>
      <c r="F1200" t="e">
        <f>VLOOKUP(A1201,[1]timesData!$B:$P,5,FALSE)</f>
        <v>#N/A</v>
      </c>
      <c r="G1200" t="e">
        <f>VLOOKUP(A1201,[1]timesData!$B:$P,6,FALSE)</f>
        <v>#N/A</v>
      </c>
      <c r="H1200" t="e">
        <f>VLOOKUP(A1201,[1]timesData!$B:$P,7,FALSE)</f>
        <v>#N/A</v>
      </c>
      <c r="I1200" t="e">
        <f>VLOOKUP(A1201,[1]timesData!$B:$P,8,FALSE)</f>
        <v>#N/A</v>
      </c>
      <c r="J1200" t="e">
        <f>VLOOKUP(A1201,[1]timesData!$B:$P,9,FALSE)</f>
        <v>#N/A</v>
      </c>
      <c r="K1200" t="e">
        <f>VLOOKUP(A1201,[1]timesData!$B:$P,10,FALSE)</f>
        <v>#N/A</v>
      </c>
      <c r="L1200" t="e">
        <f>VLOOKUP(A1201,[1]timesData!$B:$P,11,FALSE)</f>
        <v>#N/A</v>
      </c>
      <c r="M1200" t="e">
        <f>VLOOKUP(A1201,[1]timesData!$B:$P,12,FALSE)</f>
        <v>#N/A</v>
      </c>
      <c r="N1200" t="e">
        <f>VLOOKUP(A1201,[1]timesData!$B:$P,13,FALSE)</f>
        <v>#N/A</v>
      </c>
      <c r="O1200">
        <f>VLOOKUP(A1200,[2]cwurData!$B:$P,14,FALSE)</f>
        <v>942</v>
      </c>
      <c r="P1200">
        <f>VLOOKUP(A1200,[2]cwurData!$B:$N, 3, FALSE)</f>
        <v>63</v>
      </c>
      <c r="Q1200">
        <f>VLOOKUP(A1200,[2]cwurData!$B:$N, 4, FALSE)</f>
        <v>355</v>
      </c>
      <c r="R1200">
        <f>VLOOKUP(A1200,[2]cwurData!$B:$N, 5, FALSE)</f>
        <v>478</v>
      </c>
      <c r="S1200">
        <f>VLOOKUP(A1200,[2]cwurData!$B:$N, 6, FALSE)</f>
        <v>210</v>
      </c>
      <c r="T1200">
        <f>VLOOKUP(A1200,[2]cwurData!$B:$N, 7, FALSE)</f>
        <v>800</v>
      </c>
      <c r="U1200">
        <f>VLOOKUP(A1200,[2]cwurData!$B:$N, 8, FALSE)</f>
        <v>844</v>
      </c>
      <c r="V1200">
        <f>VLOOKUP(A1200,[2]cwurData!$B:$N, 9, FALSE)</f>
        <v>609</v>
      </c>
      <c r="W1200">
        <f>VLOOKUP(A1200,[2]cwurData!$B:$N, 10, FALSE)</f>
        <v>923</v>
      </c>
      <c r="X1200">
        <f>VLOOKUP(A1200,[2]cwurData!$B:$N, 11, FALSE)</f>
        <v>481</v>
      </c>
      <c r="Y1200">
        <f>VLOOKUP(A1200,[2]cwurData!$B:$N, 12, FALSE)</f>
        <v>44.34</v>
      </c>
      <c r="Z1200">
        <f>VLOOKUP(A1200,[2]cwurData!$B:$N, 13, FALSE)</f>
        <v>2014</v>
      </c>
    </row>
    <row r="1201" spans="1:26" x14ac:dyDescent="0.3">
      <c r="A1201" t="s">
        <v>1193</v>
      </c>
      <c r="B1201" t="str">
        <f>IFERROR(VLOOKUP(A1201,[1]timesData!$B:$P,2,FALSE),VLOOKUP(A1201,[2]cwurData!$B:$P,2,FALSE))</f>
        <v>China</v>
      </c>
      <c r="C1201" t="e">
        <f>VLOOKUP(A1201,[1]timesData!$B:$P,3,FALSE)</f>
        <v>#N/A</v>
      </c>
      <c r="D1201" t="e">
        <f>VLOOKUP(A1202,[1]timesData!$B:$P,3,FALSE)</f>
        <v>#N/A</v>
      </c>
      <c r="E1201" t="e">
        <f>VLOOKUP(A1202,[1]timesData!$B:$P,4,FALSE)</f>
        <v>#N/A</v>
      </c>
      <c r="F1201" t="e">
        <f>VLOOKUP(A1202,[1]timesData!$B:$P,5,FALSE)</f>
        <v>#N/A</v>
      </c>
      <c r="G1201" t="e">
        <f>VLOOKUP(A1202,[1]timesData!$B:$P,6,FALSE)</f>
        <v>#N/A</v>
      </c>
      <c r="H1201" t="e">
        <f>VLOOKUP(A1202,[1]timesData!$B:$P,7,FALSE)</f>
        <v>#N/A</v>
      </c>
      <c r="I1201" t="e">
        <f>VLOOKUP(A1202,[1]timesData!$B:$P,8,FALSE)</f>
        <v>#N/A</v>
      </c>
      <c r="J1201" t="e">
        <f>VLOOKUP(A1202,[1]timesData!$B:$P,9,FALSE)</f>
        <v>#N/A</v>
      </c>
      <c r="K1201" t="e">
        <f>VLOOKUP(A1202,[1]timesData!$B:$P,10,FALSE)</f>
        <v>#N/A</v>
      </c>
      <c r="L1201" t="e">
        <f>VLOOKUP(A1202,[1]timesData!$B:$P,11,FALSE)</f>
        <v>#N/A</v>
      </c>
      <c r="M1201" t="e">
        <f>VLOOKUP(A1202,[1]timesData!$B:$P,12,FALSE)</f>
        <v>#N/A</v>
      </c>
      <c r="N1201" t="e">
        <f>VLOOKUP(A1202,[1]timesData!$B:$P,13,FALSE)</f>
        <v>#N/A</v>
      </c>
      <c r="O1201">
        <f>VLOOKUP(A1201,[2]cwurData!$B:$P,14,FALSE)</f>
        <v>943</v>
      </c>
      <c r="P1201">
        <f>VLOOKUP(A1201,[2]cwurData!$B:$N, 3, FALSE)</f>
        <v>64</v>
      </c>
      <c r="Q1201">
        <f>VLOOKUP(A1201,[2]cwurData!$B:$N, 4, FALSE)</f>
        <v>355</v>
      </c>
      <c r="R1201">
        <f>VLOOKUP(A1201,[2]cwurData!$B:$N, 5, FALSE)</f>
        <v>478</v>
      </c>
      <c r="S1201">
        <f>VLOOKUP(A1201,[2]cwurData!$B:$N, 6, FALSE)</f>
        <v>210</v>
      </c>
      <c r="T1201">
        <f>VLOOKUP(A1201,[2]cwurData!$B:$N, 7, FALSE)</f>
        <v>737</v>
      </c>
      <c r="U1201">
        <f>VLOOKUP(A1201,[2]cwurData!$B:$N, 8, FALSE)</f>
        <v>932</v>
      </c>
      <c r="V1201">
        <f>VLOOKUP(A1201,[2]cwurData!$B:$N, 9, FALSE)</f>
        <v>800</v>
      </c>
      <c r="W1201">
        <f>VLOOKUP(A1201,[2]cwurData!$B:$N, 10, FALSE)</f>
        <v>917</v>
      </c>
      <c r="X1201">
        <f>VLOOKUP(A1201,[2]cwurData!$B:$N, 11, FALSE)</f>
        <v>637</v>
      </c>
      <c r="Y1201">
        <f>VLOOKUP(A1201,[2]cwurData!$B:$N, 12, FALSE)</f>
        <v>44.33</v>
      </c>
      <c r="Z1201">
        <f>VLOOKUP(A1201,[2]cwurData!$B:$N, 13, FALSE)</f>
        <v>2014</v>
      </c>
    </row>
    <row r="1202" spans="1:26" x14ac:dyDescent="0.3">
      <c r="A1202" t="s">
        <v>1194</v>
      </c>
      <c r="B1202" t="str">
        <f>IFERROR(VLOOKUP(A1202,[1]timesData!$B:$P,2,FALSE),VLOOKUP(A1202,[2]cwurData!$B:$P,2,FALSE))</f>
        <v>China</v>
      </c>
      <c r="C1202" t="e">
        <f>VLOOKUP(A1202,[1]timesData!$B:$P,3,FALSE)</f>
        <v>#N/A</v>
      </c>
      <c r="D1202" t="e">
        <f>VLOOKUP(A1203,[1]timesData!$B:$P,3,FALSE)</f>
        <v>#N/A</v>
      </c>
      <c r="E1202" t="e">
        <f>VLOOKUP(A1203,[1]timesData!$B:$P,4,FALSE)</f>
        <v>#N/A</v>
      </c>
      <c r="F1202" t="e">
        <f>VLOOKUP(A1203,[1]timesData!$B:$P,5,FALSE)</f>
        <v>#N/A</v>
      </c>
      <c r="G1202" t="e">
        <f>VLOOKUP(A1203,[1]timesData!$B:$P,6,FALSE)</f>
        <v>#N/A</v>
      </c>
      <c r="H1202" t="e">
        <f>VLOOKUP(A1203,[1]timesData!$B:$P,7,FALSE)</f>
        <v>#N/A</v>
      </c>
      <c r="I1202" t="e">
        <f>VLOOKUP(A1203,[1]timesData!$B:$P,8,FALSE)</f>
        <v>#N/A</v>
      </c>
      <c r="J1202" t="e">
        <f>VLOOKUP(A1203,[1]timesData!$B:$P,9,FALSE)</f>
        <v>#N/A</v>
      </c>
      <c r="K1202" t="e">
        <f>VLOOKUP(A1203,[1]timesData!$B:$P,10,FALSE)</f>
        <v>#N/A</v>
      </c>
      <c r="L1202" t="e">
        <f>VLOOKUP(A1203,[1]timesData!$B:$P,11,FALSE)</f>
        <v>#N/A</v>
      </c>
      <c r="M1202" t="e">
        <f>VLOOKUP(A1203,[1]timesData!$B:$P,12,FALSE)</f>
        <v>#N/A</v>
      </c>
      <c r="N1202" t="e">
        <f>VLOOKUP(A1203,[1]timesData!$B:$P,13,FALSE)</f>
        <v>#N/A</v>
      </c>
      <c r="O1202">
        <f>VLOOKUP(A1202,[2]cwurData!$B:$P,14,FALSE)</f>
        <v>945</v>
      </c>
      <c r="P1202">
        <f>VLOOKUP(A1202,[2]cwurData!$B:$N, 3, FALSE)</f>
        <v>65</v>
      </c>
      <c r="Q1202">
        <f>VLOOKUP(A1202,[2]cwurData!$B:$N, 4, FALSE)</f>
        <v>355</v>
      </c>
      <c r="R1202">
        <f>VLOOKUP(A1202,[2]cwurData!$B:$N, 5, FALSE)</f>
        <v>393</v>
      </c>
      <c r="S1202">
        <f>VLOOKUP(A1202,[2]cwurData!$B:$N, 6, FALSE)</f>
        <v>210</v>
      </c>
      <c r="T1202">
        <f>VLOOKUP(A1202,[2]cwurData!$B:$N, 7, FALSE)</f>
        <v>893</v>
      </c>
      <c r="U1202">
        <f>VLOOKUP(A1202,[2]cwurData!$B:$N, 8, FALSE)</f>
        <v>918</v>
      </c>
      <c r="V1202">
        <f>VLOOKUP(A1202,[2]cwurData!$B:$N, 9, FALSE)</f>
        <v>800</v>
      </c>
      <c r="W1202">
        <f>VLOOKUP(A1202,[2]cwurData!$B:$N, 10, FALSE)</f>
        <v>973</v>
      </c>
      <c r="X1202">
        <f>VLOOKUP(A1202,[2]cwurData!$B:$N, 11, FALSE)</f>
        <v>737</v>
      </c>
      <c r="Y1202">
        <f>VLOOKUP(A1202,[2]cwurData!$B:$N, 12, FALSE)</f>
        <v>44.33</v>
      </c>
      <c r="Z1202">
        <f>VLOOKUP(A1202,[2]cwurData!$B:$N, 13, FALSE)</f>
        <v>2014</v>
      </c>
    </row>
    <row r="1203" spans="1:26" x14ac:dyDescent="0.3">
      <c r="A1203" t="s">
        <v>1195</v>
      </c>
      <c r="B1203" t="str">
        <f>IFERROR(VLOOKUP(A1203,[1]timesData!$B:$P,2,FALSE),VLOOKUP(A1203,[2]cwurData!$B:$P,2,FALSE))</f>
        <v>China</v>
      </c>
      <c r="C1203" t="e">
        <f>VLOOKUP(A1203,[1]timesData!$B:$P,3,FALSE)</f>
        <v>#N/A</v>
      </c>
      <c r="D1203" t="e">
        <f>VLOOKUP(A1204,[1]timesData!$B:$P,3,FALSE)</f>
        <v>#N/A</v>
      </c>
      <c r="E1203" t="e">
        <f>VLOOKUP(A1204,[1]timesData!$B:$P,4,FALSE)</f>
        <v>#N/A</v>
      </c>
      <c r="F1203" t="e">
        <f>VLOOKUP(A1204,[1]timesData!$B:$P,5,FALSE)</f>
        <v>#N/A</v>
      </c>
      <c r="G1203" t="e">
        <f>VLOOKUP(A1204,[1]timesData!$B:$P,6,FALSE)</f>
        <v>#N/A</v>
      </c>
      <c r="H1203" t="e">
        <f>VLOOKUP(A1204,[1]timesData!$B:$P,7,FALSE)</f>
        <v>#N/A</v>
      </c>
      <c r="I1203" t="e">
        <f>VLOOKUP(A1204,[1]timesData!$B:$P,8,FALSE)</f>
        <v>#N/A</v>
      </c>
      <c r="J1203" t="e">
        <f>VLOOKUP(A1204,[1]timesData!$B:$P,9,FALSE)</f>
        <v>#N/A</v>
      </c>
      <c r="K1203" t="e">
        <f>VLOOKUP(A1204,[1]timesData!$B:$P,10,FALSE)</f>
        <v>#N/A</v>
      </c>
      <c r="L1203" t="e">
        <f>VLOOKUP(A1204,[1]timesData!$B:$P,11,FALSE)</f>
        <v>#N/A</v>
      </c>
      <c r="M1203" t="e">
        <f>VLOOKUP(A1204,[1]timesData!$B:$P,12,FALSE)</f>
        <v>#N/A</v>
      </c>
      <c r="N1203" t="e">
        <f>VLOOKUP(A1204,[1]timesData!$B:$P,13,FALSE)</f>
        <v>#N/A</v>
      </c>
      <c r="O1203">
        <f>VLOOKUP(A1203,[2]cwurData!$B:$P,14,FALSE)</f>
        <v>946</v>
      </c>
      <c r="P1203">
        <f>VLOOKUP(A1203,[2]cwurData!$B:$N, 3, FALSE)</f>
        <v>66</v>
      </c>
      <c r="Q1203">
        <f>VLOOKUP(A1203,[2]cwurData!$B:$N, 4, FALSE)</f>
        <v>355</v>
      </c>
      <c r="R1203">
        <f>VLOOKUP(A1203,[2]cwurData!$B:$N, 5, FALSE)</f>
        <v>478</v>
      </c>
      <c r="S1203">
        <f>VLOOKUP(A1203,[2]cwurData!$B:$N, 6, FALSE)</f>
        <v>210</v>
      </c>
      <c r="T1203">
        <f>VLOOKUP(A1203,[2]cwurData!$B:$N, 7, FALSE)</f>
        <v>928</v>
      </c>
      <c r="U1203">
        <f>VLOOKUP(A1203,[2]cwurData!$B:$N, 8, FALSE)</f>
        <v>907</v>
      </c>
      <c r="V1203">
        <f>VLOOKUP(A1203,[2]cwurData!$B:$N, 9, FALSE)</f>
        <v>800</v>
      </c>
      <c r="W1203">
        <f>VLOOKUP(A1203,[2]cwurData!$B:$N, 10, FALSE)</f>
        <v>909</v>
      </c>
      <c r="X1203">
        <f>VLOOKUP(A1203,[2]cwurData!$B:$N, 11, FALSE)</f>
        <v>737</v>
      </c>
      <c r="Y1203">
        <f>VLOOKUP(A1203,[2]cwurData!$B:$N, 12, FALSE)</f>
        <v>44.33</v>
      </c>
      <c r="Z1203">
        <f>VLOOKUP(A1203,[2]cwurData!$B:$N, 13, FALSE)</f>
        <v>2014</v>
      </c>
    </row>
    <row r="1204" spans="1:26" x14ac:dyDescent="0.3">
      <c r="A1204" t="s">
        <v>1196</v>
      </c>
      <c r="B1204" t="str">
        <f>IFERROR(VLOOKUP(A1204,[1]timesData!$B:$P,2,FALSE),VLOOKUP(A1204,[2]cwurData!$B:$P,2,FALSE))</f>
        <v>France</v>
      </c>
      <c r="C1204" t="e">
        <f>VLOOKUP(A1204,[1]timesData!$B:$P,3,FALSE)</f>
        <v>#N/A</v>
      </c>
      <c r="D1204" t="e">
        <f>VLOOKUP(A1205,[1]timesData!$B:$P,3,FALSE)</f>
        <v>#N/A</v>
      </c>
      <c r="E1204" t="e">
        <f>VLOOKUP(A1205,[1]timesData!$B:$P,4,FALSE)</f>
        <v>#N/A</v>
      </c>
      <c r="F1204" t="e">
        <f>VLOOKUP(A1205,[1]timesData!$B:$P,5,FALSE)</f>
        <v>#N/A</v>
      </c>
      <c r="G1204" t="e">
        <f>VLOOKUP(A1205,[1]timesData!$B:$P,6,FALSE)</f>
        <v>#N/A</v>
      </c>
      <c r="H1204" t="e">
        <f>VLOOKUP(A1205,[1]timesData!$B:$P,7,FALSE)</f>
        <v>#N/A</v>
      </c>
      <c r="I1204" t="e">
        <f>VLOOKUP(A1205,[1]timesData!$B:$P,8,FALSE)</f>
        <v>#N/A</v>
      </c>
      <c r="J1204" t="e">
        <f>VLOOKUP(A1205,[1]timesData!$B:$P,9,FALSE)</f>
        <v>#N/A</v>
      </c>
      <c r="K1204" t="e">
        <f>VLOOKUP(A1205,[1]timesData!$B:$P,10,FALSE)</f>
        <v>#N/A</v>
      </c>
      <c r="L1204" t="e">
        <f>VLOOKUP(A1205,[1]timesData!$B:$P,11,FALSE)</f>
        <v>#N/A</v>
      </c>
      <c r="M1204" t="e">
        <f>VLOOKUP(A1205,[1]timesData!$B:$P,12,FALSE)</f>
        <v>#N/A</v>
      </c>
      <c r="N1204" t="e">
        <f>VLOOKUP(A1205,[1]timesData!$B:$P,13,FALSE)</f>
        <v>#N/A</v>
      </c>
      <c r="O1204">
        <f>VLOOKUP(A1204,[2]cwurData!$B:$P,14,FALSE)</f>
        <v>948</v>
      </c>
      <c r="P1204">
        <f>VLOOKUP(A1204,[2]cwurData!$B:$N, 3, FALSE)</f>
        <v>47</v>
      </c>
      <c r="Q1204">
        <f>VLOOKUP(A1204,[2]cwurData!$B:$N, 4, FALSE)</f>
        <v>355</v>
      </c>
      <c r="R1204">
        <f>VLOOKUP(A1204,[2]cwurData!$B:$N, 5, FALSE)</f>
        <v>478</v>
      </c>
      <c r="S1204">
        <f>VLOOKUP(A1204,[2]cwurData!$B:$N, 6, FALSE)</f>
        <v>210</v>
      </c>
      <c r="T1204">
        <f>VLOOKUP(A1204,[2]cwurData!$B:$N, 7, FALSE)</f>
        <v>977</v>
      </c>
      <c r="U1204">
        <f>VLOOKUP(A1204,[2]cwurData!$B:$N, 8, FALSE)</f>
        <v>868</v>
      </c>
      <c r="V1204">
        <f>VLOOKUP(A1204,[2]cwurData!$B:$N, 9, FALSE)</f>
        <v>609</v>
      </c>
      <c r="W1204">
        <f>VLOOKUP(A1204,[2]cwurData!$B:$N, 10, FALSE)</f>
        <v>923</v>
      </c>
      <c r="X1204">
        <f>VLOOKUP(A1204,[2]cwurData!$B:$N, 11, FALSE)</f>
        <v>481</v>
      </c>
      <c r="Y1204">
        <f>VLOOKUP(A1204,[2]cwurData!$B:$N, 12, FALSE)</f>
        <v>44.33</v>
      </c>
      <c r="Z1204">
        <f>VLOOKUP(A1204,[2]cwurData!$B:$N, 13, FALSE)</f>
        <v>2014</v>
      </c>
    </row>
    <row r="1205" spans="1:26" x14ac:dyDescent="0.3">
      <c r="A1205" t="s">
        <v>1197</v>
      </c>
      <c r="B1205" t="str">
        <f>IFERROR(VLOOKUP(A1205,[1]timesData!$B:$P,2,FALSE),VLOOKUP(A1205,[2]cwurData!$B:$P,2,FALSE))</f>
        <v>Japan</v>
      </c>
      <c r="C1205" t="e">
        <f>VLOOKUP(A1205,[1]timesData!$B:$P,3,FALSE)</f>
        <v>#N/A</v>
      </c>
      <c r="D1205" t="e">
        <f>VLOOKUP(A1206,[1]timesData!$B:$P,3,FALSE)</f>
        <v>#N/A</v>
      </c>
      <c r="E1205" t="e">
        <f>VLOOKUP(A1206,[1]timesData!$B:$P,4,FALSE)</f>
        <v>#N/A</v>
      </c>
      <c r="F1205" t="e">
        <f>VLOOKUP(A1206,[1]timesData!$B:$P,5,FALSE)</f>
        <v>#N/A</v>
      </c>
      <c r="G1205" t="e">
        <f>VLOOKUP(A1206,[1]timesData!$B:$P,6,FALSE)</f>
        <v>#N/A</v>
      </c>
      <c r="H1205" t="e">
        <f>VLOOKUP(A1206,[1]timesData!$B:$P,7,FALSE)</f>
        <v>#N/A</v>
      </c>
      <c r="I1205" t="e">
        <f>VLOOKUP(A1206,[1]timesData!$B:$P,8,FALSE)</f>
        <v>#N/A</v>
      </c>
      <c r="J1205" t="e">
        <f>VLOOKUP(A1206,[1]timesData!$B:$P,9,FALSE)</f>
        <v>#N/A</v>
      </c>
      <c r="K1205" t="e">
        <f>VLOOKUP(A1206,[1]timesData!$B:$P,10,FALSE)</f>
        <v>#N/A</v>
      </c>
      <c r="L1205" t="e">
        <f>VLOOKUP(A1206,[1]timesData!$B:$P,11,FALSE)</f>
        <v>#N/A</v>
      </c>
      <c r="M1205" t="e">
        <f>VLOOKUP(A1206,[1]timesData!$B:$P,12,FALSE)</f>
        <v>#N/A</v>
      </c>
      <c r="N1205" t="e">
        <f>VLOOKUP(A1206,[1]timesData!$B:$P,13,FALSE)</f>
        <v>#N/A</v>
      </c>
      <c r="O1205">
        <f>VLOOKUP(A1205,[2]cwurData!$B:$P,14,FALSE)</f>
        <v>949</v>
      </c>
      <c r="P1205">
        <f>VLOOKUP(A1205,[2]cwurData!$B:$N, 3, FALSE)</f>
        <v>74</v>
      </c>
      <c r="Q1205">
        <f>VLOOKUP(A1205,[2]cwurData!$B:$N, 4, FALSE)</f>
        <v>355</v>
      </c>
      <c r="R1205">
        <f>VLOOKUP(A1205,[2]cwurData!$B:$N, 5, FALSE)</f>
        <v>478</v>
      </c>
      <c r="S1205">
        <f>VLOOKUP(A1205,[2]cwurData!$B:$N, 6, FALSE)</f>
        <v>210</v>
      </c>
      <c r="T1205">
        <f>VLOOKUP(A1205,[2]cwurData!$B:$N, 7, FALSE)</f>
        <v>995</v>
      </c>
      <c r="U1205">
        <f>VLOOKUP(A1205,[2]cwurData!$B:$N, 8, FALSE)</f>
        <v>439</v>
      </c>
      <c r="V1205">
        <f>VLOOKUP(A1205,[2]cwurData!$B:$N, 9, FALSE)</f>
        <v>609</v>
      </c>
      <c r="W1205">
        <f>VLOOKUP(A1205,[2]cwurData!$B:$N, 10, FALSE)</f>
        <v>917</v>
      </c>
      <c r="X1205">
        <f>VLOOKUP(A1205,[2]cwurData!$B:$N, 11, FALSE)</f>
        <v>737</v>
      </c>
      <c r="Y1205">
        <f>VLOOKUP(A1205,[2]cwurData!$B:$N, 12, FALSE)</f>
        <v>44.33</v>
      </c>
      <c r="Z1205">
        <f>VLOOKUP(A1205,[2]cwurData!$B:$N, 13, FALSE)</f>
        <v>2014</v>
      </c>
    </row>
    <row r="1206" spans="1:26" x14ac:dyDescent="0.3">
      <c r="A1206" t="s">
        <v>1198</v>
      </c>
      <c r="B1206" t="str">
        <f>IFERROR(VLOOKUP(A1206,[1]timesData!$B:$P,2,FALSE),VLOOKUP(A1206,[2]cwurData!$B:$P,2,FALSE))</f>
        <v>Taiwan</v>
      </c>
      <c r="C1206" t="e">
        <f>VLOOKUP(A1206,[1]timesData!$B:$P,3,FALSE)</f>
        <v>#N/A</v>
      </c>
      <c r="D1206" t="e">
        <f>VLOOKUP(A1207,[1]timesData!$B:$P,3,FALSE)</f>
        <v>#N/A</v>
      </c>
      <c r="E1206" t="e">
        <f>VLOOKUP(A1207,[1]timesData!$B:$P,4,FALSE)</f>
        <v>#N/A</v>
      </c>
      <c r="F1206" t="e">
        <f>VLOOKUP(A1207,[1]timesData!$B:$P,5,FALSE)</f>
        <v>#N/A</v>
      </c>
      <c r="G1206" t="e">
        <f>VLOOKUP(A1207,[1]timesData!$B:$P,6,FALSE)</f>
        <v>#N/A</v>
      </c>
      <c r="H1206" t="e">
        <f>VLOOKUP(A1207,[1]timesData!$B:$P,7,FALSE)</f>
        <v>#N/A</v>
      </c>
      <c r="I1206" t="e">
        <f>VLOOKUP(A1207,[1]timesData!$B:$P,8,FALSE)</f>
        <v>#N/A</v>
      </c>
      <c r="J1206" t="e">
        <f>VLOOKUP(A1207,[1]timesData!$B:$P,9,FALSE)</f>
        <v>#N/A</v>
      </c>
      <c r="K1206" t="e">
        <f>VLOOKUP(A1207,[1]timesData!$B:$P,10,FALSE)</f>
        <v>#N/A</v>
      </c>
      <c r="L1206" t="e">
        <f>VLOOKUP(A1207,[1]timesData!$B:$P,11,FALSE)</f>
        <v>#N/A</v>
      </c>
      <c r="M1206" t="e">
        <f>VLOOKUP(A1207,[1]timesData!$B:$P,12,FALSE)</f>
        <v>#N/A</v>
      </c>
      <c r="N1206" t="e">
        <f>VLOOKUP(A1207,[1]timesData!$B:$P,13,FALSE)</f>
        <v>#N/A</v>
      </c>
      <c r="O1206">
        <f>VLOOKUP(A1206,[2]cwurData!$B:$P,14,FALSE)</f>
        <v>950</v>
      </c>
      <c r="P1206">
        <f>VLOOKUP(A1206,[2]cwurData!$B:$N, 3, FALSE)</f>
        <v>19</v>
      </c>
      <c r="Q1206">
        <f>VLOOKUP(A1206,[2]cwurData!$B:$N, 4, FALSE)</f>
        <v>355</v>
      </c>
      <c r="R1206">
        <f>VLOOKUP(A1206,[2]cwurData!$B:$N, 5, FALSE)</f>
        <v>478</v>
      </c>
      <c r="S1206">
        <f>VLOOKUP(A1206,[2]cwurData!$B:$N, 6, FALSE)</f>
        <v>210</v>
      </c>
      <c r="T1206">
        <f>VLOOKUP(A1206,[2]cwurData!$B:$N, 7, FALSE)</f>
        <v>750</v>
      </c>
      <c r="U1206">
        <f>VLOOKUP(A1206,[2]cwurData!$B:$N, 8, FALSE)</f>
        <v>987</v>
      </c>
      <c r="V1206">
        <f>VLOOKUP(A1206,[2]cwurData!$B:$N, 9, FALSE)</f>
        <v>609</v>
      </c>
      <c r="W1206">
        <f>VLOOKUP(A1206,[2]cwurData!$B:$N, 10, FALSE)</f>
        <v>923</v>
      </c>
      <c r="X1206">
        <f>VLOOKUP(A1206,[2]cwurData!$B:$N, 11, FALSE)</f>
        <v>737</v>
      </c>
      <c r="Y1206">
        <f>VLOOKUP(A1206,[2]cwurData!$B:$N, 12, FALSE)</f>
        <v>44.32</v>
      </c>
      <c r="Z1206">
        <f>VLOOKUP(A1206,[2]cwurData!$B:$N, 13, FALSE)</f>
        <v>2014</v>
      </c>
    </row>
    <row r="1207" spans="1:26" x14ac:dyDescent="0.3">
      <c r="A1207" t="s">
        <v>1242</v>
      </c>
      <c r="B1207" t="str">
        <f>IFERROR(VLOOKUP(A1207,[1]timesData!$B:$P,2,FALSE),VLOOKUP(A1207,[2]cwurData!$B:$P,2,FALSE))</f>
        <v>South Korea</v>
      </c>
      <c r="C1207" t="e">
        <f>VLOOKUP(A1207,[1]timesData!$B:$P,3,FALSE)</f>
        <v>#N/A</v>
      </c>
      <c r="D1207" t="e">
        <f>VLOOKUP(A1208,[1]timesData!$B:$P,3,FALSE)</f>
        <v>#N/A</v>
      </c>
      <c r="E1207" t="e">
        <f>VLOOKUP(A1208,[1]timesData!$B:$P,4,FALSE)</f>
        <v>#N/A</v>
      </c>
      <c r="F1207" t="e">
        <f>VLOOKUP(A1208,[1]timesData!$B:$P,5,FALSE)</f>
        <v>#N/A</v>
      </c>
      <c r="G1207" t="e">
        <f>VLOOKUP(A1208,[1]timesData!$B:$P,6,FALSE)</f>
        <v>#N/A</v>
      </c>
      <c r="H1207" t="e">
        <f>VLOOKUP(A1208,[1]timesData!$B:$P,7,FALSE)</f>
        <v>#N/A</v>
      </c>
      <c r="I1207" t="e">
        <f>VLOOKUP(A1208,[1]timesData!$B:$P,8,FALSE)</f>
        <v>#N/A</v>
      </c>
      <c r="J1207" t="e">
        <f>VLOOKUP(A1208,[1]timesData!$B:$P,9,FALSE)</f>
        <v>#N/A</v>
      </c>
      <c r="K1207" t="e">
        <f>VLOOKUP(A1208,[1]timesData!$B:$P,10,FALSE)</f>
        <v>#N/A</v>
      </c>
      <c r="L1207" t="e">
        <f>VLOOKUP(A1208,[1]timesData!$B:$P,11,FALSE)</f>
        <v>#N/A</v>
      </c>
      <c r="M1207" t="e">
        <f>VLOOKUP(A1208,[1]timesData!$B:$P,12,FALSE)</f>
        <v>#N/A</v>
      </c>
      <c r="N1207" t="e">
        <f>VLOOKUP(A1208,[1]timesData!$B:$P,13,FALSE)</f>
        <v>#N/A</v>
      </c>
      <c r="O1207">
        <f>VLOOKUP(A1207,[2]cwurData!$B:$P,14,FALSE)</f>
        <v>951</v>
      </c>
      <c r="P1207">
        <f>VLOOKUP(A1207,[2]cwurData!$B:$N, 3, FALSE)</f>
        <v>34</v>
      </c>
      <c r="Q1207">
        <f>VLOOKUP(A1207,[2]cwurData!$B:$N, 4, FALSE)</f>
        <v>367</v>
      </c>
      <c r="R1207">
        <f>VLOOKUP(A1207,[2]cwurData!$B:$N, 5, FALSE)</f>
        <v>567</v>
      </c>
      <c r="S1207">
        <f>VLOOKUP(A1207,[2]cwurData!$B:$N, 6, FALSE)</f>
        <v>218</v>
      </c>
      <c r="T1207">
        <f>VLOOKUP(A1207,[2]cwurData!$B:$N, 7, FALSE)</f>
        <v>918</v>
      </c>
      <c r="U1207">
        <f>VLOOKUP(A1207,[2]cwurData!$B:$N, 8, FALSE)</f>
        <v>880</v>
      </c>
      <c r="V1207">
        <f>VLOOKUP(A1207,[2]cwurData!$B:$N, 9, FALSE)</f>
        <v>812</v>
      </c>
      <c r="W1207">
        <f>VLOOKUP(A1207,[2]cwurData!$B:$N, 10, FALSE)</f>
        <v>932</v>
      </c>
      <c r="X1207">
        <f>VLOOKUP(A1207,[2]cwurData!$B:$N, 11, FALSE)</f>
        <v>451</v>
      </c>
      <c r="Y1207">
        <f>VLOOKUP(A1207,[2]cwurData!$B:$N, 12, FALSE)</f>
        <v>44.08</v>
      </c>
      <c r="Z1207">
        <f>VLOOKUP(A1207,[2]cwurData!$B:$N, 13, FALSE)</f>
        <v>2015</v>
      </c>
    </row>
    <row r="1208" spans="1:26" x14ac:dyDescent="0.3">
      <c r="A1208" t="s">
        <v>1243</v>
      </c>
      <c r="B1208" t="str">
        <f>IFERROR(VLOOKUP(A1208,[1]timesData!$B:$P,2,FALSE),VLOOKUP(A1208,[2]cwurData!$B:$P,2,FALSE))</f>
        <v>China</v>
      </c>
      <c r="C1208" t="e">
        <f>VLOOKUP(A1208,[1]timesData!$B:$P,3,FALSE)</f>
        <v>#N/A</v>
      </c>
      <c r="D1208" t="e">
        <f>VLOOKUP(A1209,[1]timesData!$B:$P,3,FALSE)</f>
        <v>#N/A</v>
      </c>
      <c r="E1208" t="e">
        <f>VLOOKUP(A1209,[1]timesData!$B:$P,4,FALSE)</f>
        <v>#N/A</v>
      </c>
      <c r="F1208" t="e">
        <f>VLOOKUP(A1209,[1]timesData!$B:$P,5,FALSE)</f>
        <v>#N/A</v>
      </c>
      <c r="G1208" t="e">
        <f>VLOOKUP(A1209,[1]timesData!$B:$P,6,FALSE)</f>
        <v>#N/A</v>
      </c>
      <c r="H1208" t="e">
        <f>VLOOKUP(A1209,[1]timesData!$B:$P,7,FALSE)</f>
        <v>#N/A</v>
      </c>
      <c r="I1208" t="e">
        <f>VLOOKUP(A1209,[1]timesData!$B:$P,8,FALSE)</f>
        <v>#N/A</v>
      </c>
      <c r="J1208" t="e">
        <f>VLOOKUP(A1209,[1]timesData!$B:$P,9,FALSE)</f>
        <v>#N/A</v>
      </c>
      <c r="K1208" t="e">
        <f>VLOOKUP(A1209,[1]timesData!$B:$P,10,FALSE)</f>
        <v>#N/A</v>
      </c>
      <c r="L1208" t="e">
        <f>VLOOKUP(A1209,[1]timesData!$B:$P,11,FALSE)</f>
        <v>#N/A</v>
      </c>
      <c r="M1208" t="e">
        <f>VLOOKUP(A1209,[1]timesData!$B:$P,12,FALSE)</f>
        <v>#N/A</v>
      </c>
      <c r="N1208" t="e">
        <f>VLOOKUP(A1209,[1]timesData!$B:$P,13,FALSE)</f>
        <v>#N/A</v>
      </c>
      <c r="O1208">
        <f>VLOOKUP(A1208,[2]cwurData!$B:$P,14,FALSE)</f>
        <v>953</v>
      </c>
      <c r="P1208">
        <f>VLOOKUP(A1208,[2]cwurData!$B:$N, 3, FALSE)</f>
        <v>69</v>
      </c>
      <c r="Q1208">
        <f>VLOOKUP(A1208,[2]cwurData!$B:$N, 4, FALSE)</f>
        <v>367</v>
      </c>
      <c r="R1208">
        <f>VLOOKUP(A1208,[2]cwurData!$B:$N, 5, FALSE)</f>
        <v>567</v>
      </c>
      <c r="S1208">
        <f>VLOOKUP(A1208,[2]cwurData!$B:$N, 6, FALSE)</f>
        <v>218</v>
      </c>
      <c r="T1208">
        <f>VLOOKUP(A1208,[2]cwurData!$B:$N, 7, FALSE)</f>
        <v>970</v>
      </c>
      <c r="U1208">
        <f>VLOOKUP(A1208,[2]cwurData!$B:$N, 8, FALSE)</f>
        <v>991</v>
      </c>
      <c r="V1208">
        <f>VLOOKUP(A1208,[2]cwurData!$B:$N, 9, FALSE)</f>
        <v>645</v>
      </c>
      <c r="W1208">
        <f>VLOOKUP(A1208,[2]cwurData!$B:$N, 10, FALSE)</f>
        <v>906</v>
      </c>
      <c r="X1208">
        <f>VLOOKUP(A1208,[2]cwurData!$B:$N, 11, FALSE)</f>
        <v>839</v>
      </c>
      <c r="Y1208">
        <f>VLOOKUP(A1208,[2]cwurData!$B:$N, 12, FALSE)</f>
        <v>44.07</v>
      </c>
      <c r="Z1208">
        <f>VLOOKUP(A1208,[2]cwurData!$B:$N, 13, FALSE)</f>
        <v>2015</v>
      </c>
    </row>
    <row r="1209" spans="1:26" x14ac:dyDescent="0.3">
      <c r="A1209" t="s">
        <v>1199</v>
      </c>
      <c r="B1209" t="str">
        <f>IFERROR(VLOOKUP(A1209,[1]timesData!$B:$P,2,FALSE),VLOOKUP(A1209,[2]cwurData!$B:$P,2,FALSE))</f>
        <v>Poland</v>
      </c>
      <c r="C1209" t="e">
        <f>VLOOKUP(A1209,[1]timesData!$B:$P,3,FALSE)</f>
        <v>#N/A</v>
      </c>
      <c r="D1209" t="e">
        <f>VLOOKUP(A1210,[1]timesData!$B:$P,3,FALSE)</f>
        <v>#N/A</v>
      </c>
      <c r="E1209" t="e">
        <f>VLOOKUP(A1210,[1]timesData!$B:$P,4,FALSE)</f>
        <v>#N/A</v>
      </c>
      <c r="F1209" t="e">
        <f>VLOOKUP(A1210,[1]timesData!$B:$P,5,FALSE)</f>
        <v>#N/A</v>
      </c>
      <c r="G1209" t="e">
        <f>VLOOKUP(A1210,[1]timesData!$B:$P,6,FALSE)</f>
        <v>#N/A</v>
      </c>
      <c r="H1209" t="e">
        <f>VLOOKUP(A1210,[1]timesData!$B:$P,7,FALSE)</f>
        <v>#N/A</v>
      </c>
      <c r="I1209" t="e">
        <f>VLOOKUP(A1210,[1]timesData!$B:$P,8,FALSE)</f>
        <v>#N/A</v>
      </c>
      <c r="J1209" t="e">
        <f>VLOOKUP(A1210,[1]timesData!$B:$P,9,FALSE)</f>
        <v>#N/A</v>
      </c>
      <c r="K1209" t="e">
        <f>VLOOKUP(A1210,[1]timesData!$B:$P,10,FALSE)</f>
        <v>#N/A</v>
      </c>
      <c r="L1209" t="e">
        <f>VLOOKUP(A1210,[1]timesData!$B:$P,11,FALSE)</f>
        <v>#N/A</v>
      </c>
      <c r="M1209" t="e">
        <f>VLOOKUP(A1210,[1]timesData!$B:$P,12,FALSE)</f>
        <v>#N/A</v>
      </c>
      <c r="N1209" t="e">
        <f>VLOOKUP(A1210,[1]timesData!$B:$P,13,FALSE)</f>
        <v>#N/A</v>
      </c>
      <c r="O1209">
        <f>VLOOKUP(A1209,[2]cwurData!$B:$P,14,FALSE)</f>
        <v>954</v>
      </c>
      <c r="P1209">
        <f>VLOOKUP(A1209,[2]cwurData!$B:$N, 3, FALSE)</f>
        <v>9</v>
      </c>
      <c r="Q1209">
        <f>VLOOKUP(A1209,[2]cwurData!$B:$N, 4, FALSE)</f>
        <v>355</v>
      </c>
      <c r="R1209">
        <f>VLOOKUP(A1209,[2]cwurData!$B:$N, 5, FALSE)</f>
        <v>478</v>
      </c>
      <c r="S1209">
        <f>VLOOKUP(A1209,[2]cwurData!$B:$N, 6, FALSE)</f>
        <v>210</v>
      </c>
      <c r="T1209">
        <f>VLOOKUP(A1209,[2]cwurData!$B:$N, 7, FALSE)</f>
        <v>815</v>
      </c>
      <c r="U1209">
        <f>VLOOKUP(A1209,[2]cwurData!$B:$N, 8, FALSE)</f>
        <v>843</v>
      </c>
      <c r="V1209">
        <f>VLOOKUP(A1209,[2]cwurData!$B:$N, 9, FALSE)</f>
        <v>609</v>
      </c>
      <c r="W1209">
        <f>VLOOKUP(A1209,[2]cwurData!$B:$N, 10, FALSE)</f>
        <v>923</v>
      </c>
      <c r="X1209">
        <f>VLOOKUP(A1209,[2]cwurData!$B:$N, 11, FALSE)</f>
        <v>737</v>
      </c>
      <c r="Y1209">
        <f>VLOOKUP(A1209,[2]cwurData!$B:$N, 12, FALSE)</f>
        <v>44.32</v>
      </c>
      <c r="Z1209">
        <f>VLOOKUP(A1209,[2]cwurData!$B:$N, 13, FALSE)</f>
        <v>2014</v>
      </c>
    </row>
    <row r="1210" spans="1:26" x14ac:dyDescent="0.3">
      <c r="A1210" t="s">
        <v>1200</v>
      </c>
      <c r="B1210" t="str">
        <f>IFERROR(VLOOKUP(A1210,[1]timesData!$B:$P,2,FALSE),VLOOKUP(A1210,[2]cwurData!$B:$P,2,FALSE))</f>
        <v>China</v>
      </c>
      <c r="C1210" t="e">
        <f>VLOOKUP(A1210,[1]timesData!$B:$P,3,FALSE)</f>
        <v>#N/A</v>
      </c>
      <c r="D1210" t="e">
        <f>VLOOKUP(A1211,[1]timesData!$B:$P,3,FALSE)</f>
        <v>#N/A</v>
      </c>
      <c r="E1210" t="e">
        <f>VLOOKUP(A1211,[1]timesData!$B:$P,4,FALSE)</f>
        <v>#N/A</v>
      </c>
      <c r="F1210" t="e">
        <f>VLOOKUP(A1211,[1]timesData!$B:$P,5,FALSE)</f>
        <v>#N/A</v>
      </c>
      <c r="G1210" t="e">
        <f>VLOOKUP(A1211,[1]timesData!$B:$P,6,FALSE)</f>
        <v>#N/A</v>
      </c>
      <c r="H1210" t="e">
        <f>VLOOKUP(A1211,[1]timesData!$B:$P,7,FALSE)</f>
        <v>#N/A</v>
      </c>
      <c r="I1210" t="e">
        <f>VLOOKUP(A1211,[1]timesData!$B:$P,8,FALSE)</f>
        <v>#N/A</v>
      </c>
      <c r="J1210" t="e">
        <f>VLOOKUP(A1211,[1]timesData!$B:$P,9,FALSE)</f>
        <v>#N/A</v>
      </c>
      <c r="K1210" t="e">
        <f>VLOOKUP(A1211,[1]timesData!$B:$P,10,FALSE)</f>
        <v>#N/A</v>
      </c>
      <c r="L1210" t="e">
        <f>VLOOKUP(A1211,[1]timesData!$B:$P,11,FALSE)</f>
        <v>#N/A</v>
      </c>
      <c r="M1210" t="e">
        <f>VLOOKUP(A1211,[1]timesData!$B:$P,12,FALSE)</f>
        <v>#N/A</v>
      </c>
      <c r="N1210" t="e">
        <f>VLOOKUP(A1211,[1]timesData!$B:$P,13,FALSE)</f>
        <v>#N/A</v>
      </c>
      <c r="O1210">
        <f>VLOOKUP(A1210,[2]cwurData!$B:$P,14,FALSE)</f>
        <v>955</v>
      </c>
      <c r="P1210">
        <f>VLOOKUP(A1210,[2]cwurData!$B:$N, 3, FALSE)</f>
        <v>68</v>
      </c>
      <c r="Q1210">
        <f>VLOOKUP(A1210,[2]cwurData!$B:$N, 4, FALSE)</f>
        <v>355</v>
      </c>
      <c r="R1210">
        <f>VLOOKUP(A1210,[2]cwurData!$B:$N, 5, FALSE)</f>
        <v>478</v>
      </c>
      <c r="S1210">
        <f>VLOOKUP(A1210,[2]cwurData!$B:$N, 6, FALSE)</f>
        <v>210</v>
      </c>
      <c r="T1210">
        <f>VLOOKUP(A1210,[2]cwurData!$B:$N, 7, FALSE)</f>
        <v>873</v>
      </c>
      <c r="U1210">
        <f>VLOOKUP(A1210,[2]cwurData!$B:$N, 8, FALSE)</f>
        <v>737</v>
      </c>
      <c r="V1210">
        <f>VLOOKUP(A1210,[2]cwurData!$B:$N, 9, FALSE)</f>
        <v>800</v>
      </c>
      <c r="W1210">
        <f>VLOOKUP(A1210,[2]cwurData!$B:$N, 10, FALSE)</f>
        <v>923</v>
      </c>
      <c r="X1210">
        <f>VLOOKUP(A1210,[2]cwurData!$B:$N, 11, FALSE)</f>
        <v>637</v>
      </c>
      <c r="Y1210">
        <f>VLOOKUP(A1210,[2]cwurData!$B:$N, 12, FALSE)</f>
        <v>44.32</v>
      </c>
      <c r="Z1210">
        <f>VLOOKUP(A1210,[2]cwurData!$B:$N, 13, FALSE)</f>
        <v>2014</v>
      </c>
    </row>
    <row r="1211" spans="1:26" x14ac:dyDescent="0.3">
      <c r="A1211" t="s">
        <v>1201</v>
      </c>
      <c r="B1211" t="str">
        <f>IFERROR(VLOOKUP(A1211,[1]timesData!$B:$P,2,FALSE),VLOOKUP(A1211,[2]cwurData!$B:$P,2,FALSE))</f>
        <v>Iran</v>
      </c>
      <c r="C1211" t="e">
        <f>VLOOKUP(A1211,[1]timesData!$B:$P,3,FALSE)</f>
        <v>#N/A</v>
      </c>
      <c r="D1211" t="e">
        <f>VLOOKUP(A1212,[1]timesData!$B:$P,3,FALSE)</f>
        <v>#N/A</v>
      </c>
      <c r="E1211" t="e">
        <f>VLOOKUP(A1212,[1]timesData!$B:$P,4,FALSE)</f>
        <v>#N/A</v>
      </c>
      <c r="F1211" t="e">
        <f>VLOOKUP(A1212,[1]timesData!$B:$P,5,FALSE)</f>
        <v>#N/A</v>
      </c>
      <c r="G1211" t="e">
        <f>VLOOKUP(A1212,[1]timesData!$B:$P,6,FALSE)</f>
        <v>#N/A</v>
      </c>
      <c r="H1211" t="e">
        <f>VLOOKUP(A1212,[1]timesData!$B:$P,7,FALSE)</f>
        <v>#N/A</v>
      </c>
      <c r="I1211" t="e">
        <f>VLOOKUP(A1212,[1]timesData!$B:$P,8,FALSE)</f>
        <v>#N/A</v>
      </c>
      <c r="J1211" t="e">
        <f>VLOOKUP(A1212,[1]timesData!$B:$P,9,FALSE)</f>
        <v>#N/A</v>
      </c>
      <c r="K1211" t="e">
        <f>VLOOKUP(A1212,[1]timesData!$B:$P,10,FALSE)</f>
        <v>#N/A</v>
      </c>
      <c r="L1211" t="e">
        <f>VLOOKUP(A1212,[1]timesData!$B:$P,11,FALSE)</f>
        <v>#N/A</v>
      </c>
      <c r="M1211" t="e">
        <f>VLOOKUP(A1212,[1]timesData!$B:$P,12,FALSE)</f>
        <v>#N/A</v>
      </c>
      <c r="N1211" t="e">
        <f>VLOOKUP(A1212,[1]timesData!$B:$P,13,FALSE)</f>
        <v>#N/A</v>
      </c>
      <c r="O1211">
        <f>VLOOKUP(A1211,[2]cwurData!$B:$P,14,FALSE)</f>
        <v>956</v>
      </c>
      <c r="P1211">
        <f>VLOOKUP(A1211,[2]cwurData!$B:$N, 3, FALSE)</f>
        <v>5</v>
      </c>
      <c r="Q1211">
        <f>VLOOKUP(A1211,[2]cwurData!$B:$N, 4, FALSE)</f>
        <v>355</v>
      </c>
      <c r="R1211">
        <f>VLOOKUP(A1211,[2]cwurData!$B:$N, 5, FALSE)</f>
        <v>478</v>
      </c>
      <c r="S1211">
        <f>VLOOKUP(A1211,[2]cwurData!$B:$N, 6, FALSE)</f>
        <v>210</v>
      </c>
      <c r="T1211">
        <f>VLOOKUP(A1211,[2]cwurData!$B:$N, 7, FALSE)</f>
        <v>860</v>
      </c>
      <c r="U1211">
        <f>VLOOKUP(A1211,[2]cwurData!$B:$N, 8, FALSE)</f>
        <v>952</v>
      </c>
      <c r="V1211">
        <f>VLOOKUP(A1211,[2]cwurData!$B:$N, 9, FALSE)</f>
        <v>609</v>
      </c>
      <c r="W1211">
        <f>VLOOKUP(A1211,[2]cwurData!$B:$N, 10, FALSE)</f>
        <v>923</v>
      </c>
      <c r="X1211">
        <f>VLOOKUP(A1211,[2]cwurData!$B:$N, 11, FALSE)</f>
        <v>737</v>
      </c>
      <c r="Y1211">
        <f>VLOOKUP(A1211,[2]cwurData!$B:$N, 12, FALSE)</f>
        <v>44.32</v>
      </c>
      <c r="Z1211">
        <f>VLOOKUP(A1211,[2]cwurData!$B:$N, 13, FALSE)</f>
        <v>2014</v>
      </c>
    </row>
    <row r="1212" spans="1:26" x14ac:dyDescent="0.3">
      <c r="A1212" t="s">
        <v>1202</v>
      </c>
      <c r="B1212" t="str">
        <f>IFERROR(VLOOKUP(A1212,[1]timesData!$B:$P,2,FALSE),VLOOKUP(A1212,[2]cwurData!$B:$P,2,FALSE))</f>
        <v>Egypt</v>
      </c>
      <c r="C1212" t="e">
        <f>VLOOKUP(A1212,[1]timesData!$B:$P,3,FALSE)</f>
        <v>#N/A</v>
      </c>
      <c r="D1212" t="e">
        <f>VLOOKUP(A1213,[1]timesData!$B:$P,3,FALSE)</f>
        <v>#N/A</v>
      </c>
      <c r="E1212" t="e">
        <f>VLOOKUP(A1213,[1]timesData!$B:$P,4,FALSE)</f>
        <v>#N/A</v>
      </c>
      <c r="F1212" t="e">
        <f>VLOOKUP(A1213,[1]timesData!$B:$P,5,FALSE)</f>
        <v>#N/A</v>
      </c>
      <c r="G1212" t="e">
        <f>VLOOKUP(A1213,[1]timesData!$B:$P,6,FALSE)</f>
        <v>#N/A</v>
      </c>
      <c r="H1212" t="e">
        <f>VLOOKUP(A1213,[1]timesData!$B:$P,7,FALSE)</f>
        <v>#N/A</v>
      </c>
      <c r="I1212" t="e">
        <f>VLOOKUP(A1213,[1]timesData!$B:$P,8,FALSE)</f>
        <v>#N/A</v>
      </c>
      <c r="J1212" t="e">
        <f>VLOOKUP(A1213,[1]timesData!$B:$P,9,FALSE)</f>
        <v>#N/A</v>
      </c>
      <c r="K1212" t="e">
        <f>VLOOKUP(A1213,[1]timesData!$B:$P,10,FALSE)</f>
        <v>#N/A</v>
      </c>
      <c r="L1212" t="e">
        <f>VLOOKUP(A1213,[1]timesData!$B:$P,11,FALSE)</f>
        <v>#N/A</v>
      </c>
      <c r="M1212" t="e">
        <f>VLOOKUP(A1213,[1]timesData!$B:$P,12,FALSE)</f>
        <v>#N/A</v>
      </c>
      <c r="N1212" t="e">
        <f>VLOOKUP(A1213,[1]timesData!$B:$P,13,FALSE)</f>
        <v>#N/A</v>
      </c>
      <c r="O1212">
        <f>VLOOKUP(A1212,[2]cwurData!$B:$P,14,FALSE)</f>
        <v>958</v>
      </c>
      <c r="P1212">
        <f>VLOOKUP(A1212,[2]cwurData!$B:$N, 3, FALSE)</f>
        <v>3</v>
      </c>
      <c r="Q1212">
        <f>VLOOKUP(A1212,[2]cwurData!$B:$N, 4, FALSE)</f>
        <v>355</v>
      </c>
      <c r="R1212">
        <f>VLOOKUP(A1212,[2]cwurData!$B:$N, 5, FALSE)</f>
        <v>478</v>
      </c>
      <c r="S1212">
        <f>VLOOKUP(A1212,[2]cwurData!$B:$N, 6, FALSE)</f>
        <v>210</v>
      </c>
      <c r="T1212">
        <f>VLOOKUP(A1212,[2]cwurData!$B:$N, 7, FALSE)</f>
        <v>978</v>
      </c>
      <c r="U1212">
        <f>VLOOKUP(A1212,[2]cwurData!$B:$N, 8, FALSE)</f>
        <v>974</v>
      </c>
      <c r="V1212">
        <f>VLOOKUP(A1212,[2]cwurData!$B:$N, 9, FALSE)</f>
        <v>609</v>
      </c>
      <c r="W1212">
        <f>VLOOKUP(A1212,[2]cwurData!$B:$N, 10, FALSE)</f>
        <v>923</v>
      </c>
      <c r="X1212">
        <f>VLOOKUP(A1212,[2]cwurData!$B:$N, 11, FALSE)</f>
        <v>737</v>
      </c>
      <c r="Y1212">
        <f>VLOOKUP(A1212,[2]cwurData!$B:$N, 12, FALSE)</f>
        <v>44.31</v>
      </c>
      <c r="Z1212">
        <f>VLOOKUP(A1212,[2]cwurData!$B:$N, 13, FALSE)</f>
        <v>2014</v>
      </c>
    </row>
    <row r="1213" spans="1:26" x14ac:dyDescent="0.3">
      <c r="A1213" t="s">
        <v>1203</v>
      </c>
      <c r="B1213" t="str">
        <f>IFERROR(VLOOKUP(A1213,[1]timesData!$B:$P,2,FALSE),VLOOKUP(A1213,[2]cwurData!$B:$P,2,FALSE))</f>
        <v>China</v>
      </c>
      <c r="C1213" t="e">
        <f>VLOOKUP(A1213,[1]timesData!$B:$P,3,FALSE)</f>
        <v>#N/A</v>
      </c>
      <c r="D1213" t="e">
        <f>VLOOKUP(A1214,[1]timesData!$B:$P,3,FALSE)</f>
        <v>#N/A</v>
      </c>
      <c r="E1213" t="e">
        <f>VLOOKUP(A1214,[1]timesData!$B:$P,4,FALSE)</f>
        <v>#N/A</v>
      </c>
      <c r="F1213" t="e">
        <f>VLOOKUP(A1214,[1]timesData!$B:$P,5,FALSE)</f>
        <v>#N/A</v>
      </c>
      <c r="G1213" t="e">
        <f>VLOOKUP(A1214,[1]timesData!$B:$P,6,FALSE)</f>
        <v>#N/A</v>
      </c>
      <c r="H1213" t="e">
        <f>VLOOKUP(A1214,[1]timesData!$B:$P,7,FALSE)</f>
        <v>#N/A</v>
      </c>
      <c r="I1213" t="e">
        <f>VLOOKUP(A1214,[1]timesData!$B:$P,8,FALSE)</f>
        <v>#N/A</v>
      </c>
      <c r="J1213" t="e">
        <f>VLOOKUP(A1214,[1]timesData!$B:$P,9,FALSE)</f>
        <v>#N/A</v>
      </c>
      <c r="K1213" t="e">
        <f>VLOOKUP(A1214,[1]timesData!$B:$P,10,FALSE)</f>
        <v>#N/A</v>
      </c>
      <c r="L1213" t="e">
        <f>VLOOKUP(A1214,[1]timesData!$B:$P,11,FALSE)</f>
        <v>#N/A</v>
      </c>
      <c r="M1213" t="e">
        <f>VLOOKUP(A1214,[1]timesData!$B:$P,12,FALSE)</f>
        <v>#N/A</v>
      </c>
      <c r="N1213" t="e">
        <f>VLOOKUP(A1214,[1]timesData!$B:$P,13,FALSE)</f>
        <v>#N/A</v>
      </c>
      <c r="O1213">
        <f>VLOOKUP(A1213,[2]cwurData!$B:$P,14,FALSE)</f>
        <v>960</v>
      </c>
      <c r="P1213">
        <f>VLOOKUP(A1213,[2]cwurData!$B:$N, 3, FALSE)</f>
        <v>69</v>
      </c>
      <c r="Q1213">
        <f>VLOOKUP(A1213,[2]cwurData!$B:$N, 4, FALSE)</f>
        <v>355</v>
      </c>
      <c r="R1213">
        <f>VLOOKUP(A1213,[2]cwurData!$B:$N, 5, FALSE)</f>
        <v>478</v>
      </c>
      <c r="S1213">
        <f>VLOOKUP(A1213,[2]cwurData!$B:$N, 6, FALSE)</f>
        <v>210</v>
      </c>
      <c r="T1213">
        <f>VLOOKUP(A1213,[2]cwurData!$B:$N, 7, FALSE)</f>
        <v>971</v>
      </c>
      <c r="U1213">
        <f>VLOOKUP(A1213,[2]cwurData!$B:$N, 8, FALSE)</f>
        <v>987</v>
      </c>
      <c r="V1213">
        <f>VLOOKUP(A1213,[2]cwurData!$B:$N, 9, FALSE)</f>
        <v>800</v>
      </c>
      <c r="W1213">
        <f>VLOOKUP(A1213,[2]cwurData!$B:$N, 10, FALSE)</f>
        <v>997</v>
      </c>
      <c r="X1213">
        <f>VLOOKUP(A1213,[2]cwurData!$B:$N, 11, FALSE)</f>
        <v>280</v>
      </c>
      <c r="Y1213">
        <f>VLOOKUP(A1213,[2]cwurData!$B:$N, 12, FALSE)</f>
        <v>44.31</v>
      </c>
      <c r="Z1213">
        <f>VLOOKUP(A1213,[2]cwurData!$B:$N, 13, FALSE)</f>
        <v>2014</v>
      </c>
    </row>
    <row r="1214" spans="1:26" x14ac:dyDescent="0.3">
      <c r="A1214" t="s">
        <v>1204</v>
      </c>
      <c r="B1214" t="str">
        <f>IFERROR(VLOOKUP(A1214,[1]timesData!$B:$P,2,FALSE),VLOOKUP(A1214,[2]cwurData!$B:$P,2,FALSE))</f>
        <v>France</v>
      </c>
      <c r="C1214" t="e">
        <f>VLOOKUP(A1214,[1]timesData!$B:$P,3,FALSE)</f>
        <v>#N/A</v>
      </c>
      <c r="D1214" t="e">
        <f>VLOOKUP(A1215,[1]timesData!$B:$P,3,FALSE)</f>
        <v>#N/A</v>
      </c>
      <c r="E1214" t="e">
        <f>VLOOKUP(A1215,[1]timesData!$B:$P,4,FALSE)</f>
        <v>#N/A</v>
      </c>
      <c r="F1214" t="e">
        <f>VLOOKUP(A1215,[1]timesData!$B:$P,5,FALSE)</f>
        <v>#N/A</v>
      </c>
      <c r="G1214" t="e">
        <f>VLOOKUP(A1215,[1]timesData!$B:$P,6,FALSE)</f>
        <v>#N/A</v>
      </c>
      <c r="H1214" t="e">
        <f>VLOOKUP(A1215,[1]timesData!$B:$P,7,FALSE)</f>
        <v>#N/A</v>
      </c>
      <c r="I1214" t="e">
        <f>VLOOKUP(A1215,[1]timesData!$B:$P,8,FALSE)</f>
        <v>#N/A</v>
      </c>
      <c r="J1214" t="e">
        <f>VLOOKUP(A1215,[1]timesData!$B:$P,9,FALSE)</f>
        <v>#N/A</v>
      </c>
      <c r="K1214" t="e">
        <f>VLOOKUP(A1215,[1]timesData!$B:$P,10,FALSE)</f>
        <v>#N/A</v>
      </c>
      <c r="L1214" t="e">
        <f>VLOOKUP(A1215,[1]timesData!$B:$P,11,FALSE)</f>
        <v>#N/A</v>
      </c>
      <c r="M1214" t="e">
        <f>VLOOKUP(A1215,[1]timesData!$B:$P,12,FALSE)</f>
        <v>#N/A</v>
      </c>
      <c r="N1214" t="e">
        <f>VLOOKUP(A1215,[1]timesData!$B:$P,13,FALSE)</f>
        <v>#N/A</v>
      </c>
      <c r="O1214">
        <f>VLOOKUP(A1214,[2]cwurData!$B:$P,14,FALSE)</f>
        <v>961</v>
      </c>
      <c r="P1214">
        <f>VLOOKUP(A1214,[2]cwurData!$B:$N, 3, FALSE)</f>
        <v>48</v>
      </c>
      <c r="Q1214">
        <f>VLOOKUP(A1214,[2]cwurData!$B:$N, 4, FALSE)</f>
        <v>355</v>
      </c>
      <c r="R1214">
        <f>VLOOKUP(A1214,[2]cwurData!$B:$N, 5, FALSE)</f>
        <v>478</v>
      </c>
      <c r="S1214">
        <f>VLOOKUP(A1214,[2]cwurData!$B:$N, 6, FALSE)</f>
        <v>210</v>
      </c>
      <c r="T1214">
        <f>VLOOKUP(A1214,[2]cwurData!$B:$N, 7, FALSE)</f>
        <v>840</v>
      </c>
      <c r="U1214">
        <f>VLOOKUP(A1214,[2]cwurData!$B:$N, 8, FALSE)</f>
        <v>938</v>
      </c>
      <c r="V1214">
        <f>VLOOKUP(A1214,[2]cwurData!$B:$N, 9, FALSE)</f>
        <v>493</v>
      </c>
      <c r="W1214">
        <f>VLOOKUP(A1214,[2]cwurData!$B:$N, 10, FALSE)</f>
        <v>937</v>
      </c>
      <c r="X1214">
        <f>VLOOKUP(A1214,[2]cwurData!$B:$N, 11, FALSE)</f>
        <v>737</v>
      </c>
      <c r="Y1214">
        <f>VLOOKUP(A1214,[2]cwurData!$B:$N, 12, FALSE)</f>
        <v>44.31</v>
      </c>
      <c r="Z1214">
        <f>VLOOKUP(A1214,[2]cwurData!$B:$N, 13, FALSE)</f>
        <v>2014</v>
      </c>
    </row>
    <row r="1215" spans="1:26" x14ac:dyDescent="0.3">
      <c r="A1215" t="s">
        <v>1205</v>
      </c>
      <c r="B1215" t="str">
        <f>IFERROR(VLOOKUP(A1215,[1]timesData!$B:$P,2,FALSE),VLOOKUP(A1215,[2]cwurData!$B:$P,2,FALSE))</f>
        <v>Portugal</v>
      </c>
      <c r="C1215" t="e">
        <f>VLOOKUP(A1215,[1]timesData!$B:$P,3,FALSE)</f>
        <v>#N/A</v>
      </c>
      <c r="D1215" t="e">
        <f>VLOOKUP(A1216,[1]timesData!$B:$P,3,FALSE)</f>
        <v>#N/A</v>
      </c>
      <c r="E1215" t="e">
        <f>VLOOKUP(A1216,[1]timesData!$B:$P,4,FALSE)</f>
        <v>#N/A</v>
      </c>
      <c r="F1215" t="e">
        <f>VLOOKUP(A1216,[1]timesData!$B:$P,5,FALSE)</f>
        <v>#N/A</v>
      </c>
      <c r="G1215" t="e">
        <f>VLOOKUP(A1216,[1]timesData!$B:$P,6,FALSE)</f>
        <v>#N/A</v>
      </c>
      <c r="H1215" t="e">
        <f>VLOOKUP(A1216,[1]timesData!$B:$P,7,FALSE)</f>
        <v>#N/A</v>
      </c>
      <c r="I1215" t="e">
        <f>VLOOKUP(A1216,[1]timesData!$B:$P,8,FALSE)</f>
        <v>#N/A</v>
      </c>
      <c r="J1215" t="e">
        <f>VLOOKUP(A1216,[1]timesData!$B:$P,9,FALSE)</f>
        <v>#N/A</v>
      </c>
      <c r="K1215" t="e">
        <f>VLOOKUP(A1216,[1]timesData!$B:$P,10,FALSE)</f>
        <v>#N/A</v>
      </c>
      <c r="L1215" t="e">
        <f>VLOOKUP(A1216,[1]timesData!$B:$P,11,FALSE)</f>
        <v>#N/A</v>
      </c>
      <c r="M1215" t="e">
        <f>VLOOKUP(A1216,[1]timesData!$B:$P,12,FALSE)</f>
        <v>#N/A</v>
      </c>
      <c r="N1215" t="e">
        <f>VLOOKUP(A1216,[1]timesData!$B:$P,13,FALSE)</f>
        <v>#N/A</v>
      </c>
      <c r="O1215">
        <f>VLOOKUP(A1215,[2]cwurData!$B:$P,14,FALSE)</f>
        <v>962</v>
      </c>
      <c r="P1215">
        <f>VLOOKUP(A1215,[2]cwurData!$B:$N, 3, FALSE)</f>
        <v>7</v>
      </c>
      <c r="Q1215">
        <f>VLOOKUP(A1215,[2]cwurData!$B:$N, 4, FALSE)</f>
        <v>355</v>
      </c>
      <c r="R1215">
        <f>VLOOKUP(A1215,[2]cwurData!$B:$N, 5, FALSE)</f>
        <v>478</v>
      </c>
      <c r="S1215">
        <f>VLOOKUP(A1215,[2]cwurData!$B:$N, 6, FALSE)</f>
        <v>210</v>
      </c>
      <c r="T1215">
        <f>VLOOKUP(A1215,[2]cwurData!$B:$N, 7, FALSE)</f>
        <v>951</v>
      </c>
      <c r="U1215">
        <f>VLOOKUP(A1215,[2]cwurData!$B:$N, 8, FALSE)</f>
        <v>826</v>
      </c>
      <c r="V1215">
        <f>VLOOKUP(A1215,[2]cwurData!$B:$N, 9, FALSE)</f>
        <v>800</v>
      </c>
      <c r="W1215">
        <f>VLOOKUP(A1215,[2]cwurData!$B:$N, 10, FALSE)</f>
        <v>923</v>
      </c>
      <c r="X1215">
        <f>VLOOKUP(A1215,[2]cwurData!$B:$N, 11, FALSE)</f>
        <v>737</v>
      </c>
      <c r="Y1215">
        <f>VLOOKUP(A1215,[2]cwurData!$B:$N, 12, FALSE)</f>
        <v>44.31</v>
      </c>
      <c r="Z1215">
        <f>VLOOKUP(A1215,[2]cwurData!$B:$N, 13, FALSE)</f>
        <v>2014</v>
      </c>
    </row>
    <row r="1216" spans="1:26" x14ac:dyDescent="0.3">
      <c r="A1216" t="s">
        <v>1206</v>
      </c>
      <c r="B1216" t="str">
        <f>IFERROR(VLOOKUP(A1216,[1]timesData!$B:$P,2,FALSE),VLOOKUP(A1216,[2]cwurData!$B:$P,2,FALSE))</f>
        <v>Brazil</v>
      </c>
      <c r="C1216" t="e">
        <f>VLOOKUP(A1216,[1]timesData!$B:$P,3,FALSE)</f>
        <v>#N/A</v>
      </c>
      <c r="D1216" t="e">
        <f>VLOOKUP(A1217,[1]timesData!$B:$P,3,FALSE)</f>
        <v>#N/A</v>
      </c>
      <c r="E1216" t="e">
        <f>VLOOKUP(A1217,[1]timesData!$B:$P,4,FALSE)</f>
        <v>#N/A</v>
      </c>
      <c r="F1216" t="e">
        <f>VLOOKUP(A1217,[1]timesData!$B:$P,5,FALSE)</f>
        <v>#N/A</v>
      </c>
      <c r="G1216" t="e">
        <f>VLOOKUP(A1217,[1]timesData!$B:$P,6,FALSE)</f>
        <v>#N/A</v>
      </c>
      <c r="H1216" t="e">
        <f>VLOOKUP(A1217,[1]timesData!$B:$P,7,FALSE)</f>
        <v>#N/A</v>
      </c>
      <c r="I1216" t="e">
        <f>VLOOKUP(A1217,[1]timesData!$B:$P,8,FALSE)</f>
        <v>#N/A</v>
      </c>
      <c r="J1216" t="e">
        <f>VLOOKUP(A1217,[1]timesData!$B:$P,9,FALSE)</f>
        <v>#N/A</v>
      </c>
      <c r="K1216" t="e">
        <f>VLOOKUP(A1217,[1]timesData!$B:$P,10,FALSE)</f>
        <v>#N/A</v>
      </c>
      <c r="L1216" t="e">
        <f>VLOOKUP(A1217,[1]timesData!$B:$P,11,FALSE)</f>
        <v>#N/A</v>
      </c>
      <c r="M1216" t="e">
        <f>VLOOKUP(A1217,[1]timesData!$B:$P,12,FALSE)</f>
        <v>#N/A</v>
      </c>
      <c r="N1216" t="e">
        <f>VLOOKUP(A1217,[1]timesData!$B:$P,13,FALSE)</f>
        <v>#N/A</v>
      </c>
      <c r="O1216">
        <f>VLOOKUP(A1216,[2]cwurData!$B:$P,14,FALSE)</f>
        <v>964</v>
      </c>
      <c r="P1216">
        <f>VLOOKUP(A1216,[2]cwurData!$B:$N, 3, FALSE)</f>
        <v>16</v>
      </c>
      <c r="Q1216">
        <f>VLOOKUP(A1216,[2]cwurData!$B:$N, 4, FALSE)</f>
        <v>355</v>
      </c>
      <c r="R1216">
        <f>VLOOKUP(A1216,[2]cwurData!$B:$N, 5, FALSE)</f>
        <v>478</v>
      </c>
      <c r="S1216">
        <f>VLOOKUP(A1216,[2]cwurData!$B:$N, 6, FALSE)</f>
        <v>210</v>
      </c>
      <c r="T1216">
        <f>VLOOKUP(A1216,[2]cwurData!$B:$N, 7, FALSE)</f>
        <v>826</v>
      </c>
      <c r="U1216">
        <f>VLOOKUP(A1216,[2]cwurData!$B:$N, 8, FALSE)</f>
        <v>806</v>
      </c>
      <c r="V1216">
        <f>VLOOKUP(A1216,[2]cwurData!$B:$N, 9, FALSE)</f>
        <v>800</v>
      </c>
      <c r="W1216">
        <f>VLOOKUP(A1216,[2]cwurData!$B:$N, 10, FALSE)</f>
        <v>937</v>
      </c>
      <c r="X1216">
        <f>VLOOKUP(A1216,[2]cwurData!$B:$N, 11, FALSE)</f>
        <v>737</v>
      </c>
      <c r="Y1216">
        <f>VLOOKUP(A1216,[2]cwurData!$B:$N, 12, FALSE)</f>
        <v>44.31</v>
      </c>
      <c r="Z1216">
        <f>VLOOKUP(A1216,[2]cwurData!$B:$N, 13, FALSE)</f>
        <v>2014</v>
      </c>
    </row>
    <row r="1217" spans="1:26" x14ac:dyDescent="0.3">
      <c r="A1217" t="s">
        <v>1207</v>
      </c>
      <c r="B1217" t="str">
        <f>IFERROR(VLOOKUP(A1217,[1]timesData!$B:$P,2,FALSE),VLOOKUP(A1217,[2]cwurData!$B:$P,2,FALSE))</f>
        <v>Egypt</v>
      </c>
      <c r="C1217" t="e">
        <f>VLOOKUP(A1217,[1]timesData!$B:$P,3,FALSE)</f>
        <v>#N/A</v>
      </c>
      <c r="D1217" t="e">
        <f>VLOOKUP(A1218,[1]timesData!$B:$P,3,FALSE)</f>
        <v>#N/A</v>
      </c>
      <c r="E1217" t="e">
        <f>VLOOKUP(A1218,[1]timesData!$B:$P,4,FALSE)</f>
        <v>#N/A</v>
      </c>
      <c r="F1217" t="e">
        <f>VLOOKUP(A1218,[1]timesData!$B:$P,5,FALSE)</f>
        <v>#N/A</v>
      </c>
      <c r="G1217" t="e">
        <f>VLOOKUP(A1218,[1]timesData!$B:$P,6,FALSE)</f>
        <v>#N/A</v>
      </c>
      <c r="H1217" t="e">
        <f>VLOOKUP(A1218,[1]timesData!$B:$P,7,FALSE)</f>
        <v>#N/A</v>
      </c>
      <c r="I1217" t="e">
        <f>VLOOKUP(A1218,[1]timesData!$B:$P,8,FALSE)</f>
        <v>#N/A</v>
      </c>
      <c r="J1217" t="e">
        <f>VLOOKUP(A1218,[1]timesData!$B:$P,9,FALSE)</f>
        <v>#N/A</v>
      </c>
      <c r="K1217" t="e">
        <f>VLOOKUP(A1218,[1]timesData!$B:$P,10,FALSE)</f>
        <v>#N/A</v>
      </c>
      <c r="L1217" t="e">
        <f>VLOOKUP(A1218,[1]timesData!$B:$P,11,FALSE)</f>
        <v>#N/A</v>
      </c>
      <c r="M1217" t="e">
        <f>VLOOKUP(A1218,[1]timesData!$B:$P,12,FALSE)</f>
        <v>#N/A</v>
      </c>
      <c r="N1217" t="e">
        <f>VLOOKUP(A1218,[1]timesData!$B:$P,13,FALSE)</f>
        <v>#N/A</v>
      </c>
      <c r="O1217">
        <f>VLOOKUP(A1217,[2]cwurData!$B:$P,14,FALSE)</f>
        <v>965</v>
      </c>
      <c r="P1217">
        <f>VLOOKUP(A1217,[2]cwurData!$B:$N, 3, FALSE)</f>
        <v>4</v>
      </c>
      <c r="Q1217">
        <f>VLOOKUP(A1217,[2]cwurData!$B:$N, 4, FALSE)</f>
        <v>355</v>
      </c>
      <c r="R1217">
        <f>VLOOKUP(A1217,[2]cwurData!$B:$N, 5, FALSE)</f>
        <v>478</v>
      </c>
      <c r="S1217">
        <f>VLOOKUP(A1217,[2]cwurData!$B:$N, 6, FALSE)</f>
        <v>210</v>
      </c>
      <c r="T1217">
        <f>VLOOKUP(A1217,[2]cwurData!$B:$N, 7, FALSE)</f>
        <v>891</v>
      </c>
      <c r="U1217">
        <f>VLOOKUP(A1217,[2]cwurData!$B:$N, 8, FALSE)</f>
        <v>848</v>
      </c>
      <c r="V1217">
        <f>VLOOKUP(A1217,[2]cwurData!$B:$N, 9, FALSE)</f>
        <v>609</v>
      </c>
      <c r="W1217">
        <f>VLOOKUP(A1217,[2]cwurData!$B:$N, 10, FALSE)</f>
        <v>937</v>
      </c>
      <c r="X1217">
        <f>VLOOKUP(A1217,[2]cwurData!$B:$N, 11, FALSE)</f>
        <v>737</v>
      </c>
      <c r="Y1217">
        <f>VLOOKUP(A1217,[2]cwurData!$B:$N, 12, FALSE)</f>
        <v>44.31</v>
      </c>
      <c r="Z1217">
        <f>VLOOKUP(A1217,[2]cwurData!$B:$N, 13, FALSE)</f>
        <v>2014</v>
      </c>
    </row>
    <row r="1218" spans="1:26" x14ac:dyDescent="0.3">
      <c r="A1218" t="s">
        <v>1208</v>
      </c>
      <c r="B1218" t="str">
        <f>IFERROR(VLOOKUP(A1218,[1]timesData!$B:$P,2,FALSE),VLOOKUP(A1218,[2]cwurData!$B:$P,2,FALSE))</f>
        <v>Germany</v>
      </c>
      <c r="C1218" t="e">
        <f>VLOOKUP(A1218,[1]timesData!$B:$P,3,FALSE)</f>
        <v>#N/A</v>
      </c>
      <c r="D1218" t="e">
        <f>VLOOKUP(A1219,[1]timesData!$B:$P,3,FALSE)</f>
        <v>#N/A</v>
      </c>
      <c r="E1218" t="e">
        <f>VLOOKUP(A1219,[1]timesData!$B:$P,4,FALSE)</f>
        <v>#N/A</v>
      </c>
      <c r="F1218" t="e">
        <f>VLOOKUP(A1219,[1]timesData!$B:$P,5,FALSE)</f>
        <v>#N/A</v>
      </c>
      <c r="G1218" t="e">
        <f>VLOOKUP(A1219,[1]timesData!$B:$P,6,FALSE)</f>
        <v>#N/A</v>
      </c>
      <c r="H1218" t="e">
        <f>VLOOKUP(A1219,[1]timesData!$B:$P,7,FALSE)</f>
        <v>#N/A</v>
      </c>
      <c r="I1218" t="e">
        <f>VLOOKUP(A1219,[1]timesData!$B:$P,8,FALSE)</f>
        <v>#N/A</v>
      </c>
      <c r="J1218" t="e">
        <f>VLOOKUP(A1219,[1]timesData!$B:$P,9,FALSE)</f>
        <v>#N/A</v>
      </c>
      <c r="K1218" t="e">
        <f>VLOOKUP(A1219,[1]timesData!$B:$P,10,FALSE)</f>
        <v>#N/A</v>
      </c>
      <c r="L1218" t="e">
        <f>VLOOKUP(A1219,[1]timesData!$B:$P,11,FALSE)</f>
        <v>#N/A</v>
      </c>
      <c r="M1218" t="e">
        <f>VLOOKUP(A1219,[1]timesData!$B:$P,12,FALSE)</f>
        <v>#N/A</v>
      </c>
      <c r="N1218" t="e">
        <f>VLOOKUP(A1219,[1]timesData!$B:$P,13,FALSE)</f>
        <v>#N/A</v>
      </c>
      <c r="O1218">
        <f>VLOOKUP(A1218,[2]cwurData!$B:$P,14,FALSE)</f>
        <v>966</v>
      </c>
      <c r="P1218">
        <f>VLOOKUP(A1218,[2]cwurData!$B:$N, 3, FALSE)</f>
        <v>55</v>
      </c>
      <c r="Q1218">
        <f>VLOOKUP(A1218,[2]cwurData!$B:$N, 4, FALSE)</f>
        <v>355</v>
      </c>
      <c r="R1218">
        <f>VLOOKUP(A1218,[2]cwurData!$B:$N, 5, FALSE)</f>
        <v>478</v>
      </c>
      <c r="S1218">
        <f>VLOOKUP(A1218,[2]cwurData!$B:$N, 6, FALSE)</f>
        <v>210</v>
      </c>
      <c r="T1218">
        <f>VLOOKUP(A1218,[2]cwurData!$B:$N, 7, FALSE)</f>
        <v>849</v>
      </c>
      <c r="U1218">
        <f>VLOOKUP(A1218,[2]cwurData!$B:$N, 8, FALSE)</f>
        <v>831</v>
      </c>
      <c r="V1218">
        <f>VLOOKUP(A1218,[2]cwurData!$B:$N, 9, FALSE)</f>
        <v>800</v>
      </c>
      <c r="W1218">
        <f>VLOOKUP(A1218,[2]cwurData!$B:$N, 10, FALSE)</f>
        <v>937</v>
      </c>
      <c r="X1218">
        <f>VLOOKUP(A1218,[2]cwurData!$B:$N, 11, FALSE)</f>
        <v>737</v>
      </c>
      <c r="Y1218">
        <f>VLOOKUP(A1218,[2]cwurData!$B:$N, 12, FALSE)</f>
        <v>44.31</v>
      </c>
      <c r="Z1218">
        <f>VLOOKUP(A1218,[2]cwurData!$B:$N, 13, FALSE)</f>
        <v>2014</v>
      </c>
    </row>
    <row r="1219" spans="1:26" x14ac:dyDescent="0.3">
      <c r="A1219" t="s">
        <v>1209</v>
      </c>
      <c r="B1219" t="str">
        <f>IFERROR(VLOOKUP(A1219,[1]timesData!$B:$P,2,FALSE),VLOOKUP(A1219,[2]cwurData!$B:$P,2,FALSE))</f>
        <v>China</v>
      </c>
      <c r="C1219" t="e">
        <f>VLOOKUP(A1219,[1]timesData!$B:$P,3,FALSE)</f>
        <v>#N/A</v>
      </c>
      <c r="D1219" t="e">
        <f>VLOOKUP(A1220,[1]timesData!$B:$P,3,FALSE)</f>
        <v>#N/A</v>
      </c>
      <c r="E1219" t="e">
        <f>VLOOKUP(A1220,[1]timesData!$B:$P,4,FALSE)</f>
        <v>#N/A</v>
      </c>
      <c r="F1219" t="e">
        <f>VLOOKUP(A1220,[1]timesData!$B:$P,5,FALSE)</f>
        <v>#N/A</v>
      </c>
      <c r="G1219" t="e">
        <f>VLOOKUP(A1220,[1]timesData!$B:$P,6,FALSE)</f>
        <v>#N/A</v>
      </c>
      <c r="H1219" t="e">
        <f>VLOOKUP(A1220,[1]timesData!$B:$P,7,FALSE)</f>
        <v>#N/A</v>
      </c>
      <c r="I1219" t="e">
        <f>VLOOKUP(A1220,[1]timesData!$B:$P,8,FALSE)</f>
        <v>#N/A</v>
      </c>
      <c r="J1219" t="e">
        <f>VLOOKUP(A1220,[1]timesData!$B:$P,9,FALSE)</f>
        <v>#N/A</v>
      </c>
      <c r="K1219" t="e">
        <f>VLOOKUP(A1220,[1]timesData!$B:$P,10,FALSE)</f>
        <v>#N/A</v>
      </c>
      <c r="L1219" t="e">
        <f>VLOOKUP(A1220,[1]timesData!$B:$P,11,FALSE)</f>
        <v>#N/A</v>
      </c>
      <c r="M1219" t="e">
        <f>VLOOKUP(A1220,[1]timesData!$B:$P,12,FALSE)</f>
        <v>#N/A</v>
      </c>
      <c r="N1219" t="e">
        <f>VLOOKUP(A1220,[1]timesData!$B:$P,13,FALSE)</f>
        <v>#N/A</v>
      </c>
      <c r="O1219">
        <f>VLOOKUP(A1219,[2]cwurData!$B:$P,14,FALSE)</f>
        <v>968</v>
      </c>
      <c r="P1219">
        <f>VLOOKUP(A1219,[2]cwurData!$B:$N, 3, FALSE)</f>
        <v>70</v>
      </c>
      <c r="Q1219">
        <f>VLOOKUP(A1219,[2]cwurData!$B:$N, 4, FALSE)</f>
        <v>355</v>
      </c>
      <c r="R1219">
        <f>VLOOKUP(A1219,[2]cwurData!$B:$N, 5, FALSE)</f>
        <v>478</v>
      </c>
      <c r="S1219">
        <f>VLOOKUP(A1219,[2]cwurData!$B:$N, 6, FALSE)</f>
        <v>210</v>
      </c>
      <c r="T1219">
        <f>VLOOKUP(A1219,[2]cwurData!$B:$N, 7, FALSE)</f>
        <v>923</v>
      </c>
      <c r="U1219">
        <f>VLOOKUP(A1219,[2]cwurData!$B:$N, 8, FALSE)</f>
        <v>915</v>
      </c>
      <c r="V1219">
        <f>VLOOKUP(A1219,[2]cwurData!$B:$N, 9, FALSE)</f>
        <v>800</v>
      </c>
      <c r="W1219">
        <f>VLOOKUP(A1219,[2]cwurData!$B:$N, 10, FALSE)</f>
        <v>937</v>
      </c>
      <c r="X1219">
        <f>VLOOKUP(A1219,[2]cwurData!$B:$N, 11, FALSE)</f>
        <v>737</v>
      </c>
      <c r="Y1219">
        <f>VLOOKUP(A1219,[2]cwurData!$B:$N, 12, FALSE)</f>
        <v>44.3</v>
      </c>
      <c r="Z1219">
        <f>VLOOKUP(A1219,[2]cwurData!$B:$N, 13, FALSE)</f>
        <v>2014</v>
      </c>
    </row>
    <row r="1220" spans="1:26" x14ac:dyDescent="0.3">
      <c r="A1220" t="s">
        <v>1210</v>
      </c>
      <c r="B1220" t="str">
        <f>IFERROR(VLOOKUP(A1220,[1]timesData!$B:$P,2,FALSE),VLOOKUP(A1220,[2]cwurData!$B:$P,2,FALSE))</f>
        <v>USA</v>
      </c>
      <c r="C1220" t="e">
        <f>VLOOKUP(A1220,[1]timesData!$B:$P,3,FALSE)</f>
        <v>#N/A</v>
      </c>
      <c r="D1220" t="e">
        <f>VLOOKUP(A1221,[1]timesData!$B:$P,3,FALSE)</f>
        <v>#N/A</v>
      </c>
      <c r="E1220" t="e">
        <f>VLOOKUP(A1221,[1]timesData!$B:$P,4,FALSE)</f>
        <v>#N/A</v>
      </c>
      <c r="F1220" t="e">
        <f>VLOOKUP(A1221,[1]timesData!$B:$P,5,FALSE)</f>
        <v>#N/A</v>
      </c>
      <c r="G1220" t="e">
        <f>VLOOKUP(A1221,[1]timesData!$B:$P,6,FALSE)</f>
        <v>#N/A</v>
      </c>
      <c r="H1220" t="e">
        <f>VLOOKUP(A1221,[1]timesData!$B:$P,7,FALSE)</f>
        <v>#N/A</v>
      </c>
      <c r="I1220" t="e">
        <f>VLOOKUP(A1221,[1]timesData!$B:$P,8,FALSE)</f>
        <v>#N/A</v>
      </c>
      <c r="J1220" t="e">
        <f>VLOOKUP(A1221,[1]timesData!$B:$P,9,FALSE)</f>
        <v>#N/A</v>
      </c>
      <c r="K1220" t="e">
        <f>VLOOKUP(A1221,[1]timesData!$B:$P,10,FALSE)</f>
        <v>#N/A</v>
      </c>
      <c r="L1220" t="e">
        <f>VLOOKUP(A1221,[1]timesData!$B:$P,11,FALSE)</f>
        <v>#N/A</v>
      </c>
      <c r="M1220" t="e">
        <f>VLOOKUP(A1221,[1]timesData!$B:$P,12,FALSE)</f>
        <v>#N/A</v>
      </c>
      <c r="N1220" t="e">
        <f>VLOOKUP(A1221,[1]timesData!$B:$P,13,FALSE)</f>
        <v>#N/A</v>
      </c>
      <c r="O1220">
        <f>VLOOKUP(A1220,[2]cwurData!$B:$P,14,FALSE)</f>
        <v>969</v>
      </c>
      <c r="P1220">
        <f>VLOOKUP(A1220,[2]cwurData!$B:$N, 3, FALSE)</f>
        <v>229</v>
      </c>
      <c r="Q1220">
        <f>VLOOKUP(A1220,[2]cwurData!$B:$N, 4, FALSE)</f>
        <v>355</v>
      </c>
      <c r="R1220">
        <f>VLOOKUP(A1220,[2]cwurData!$B:$N, 5, FALSE)</f>
        <v>478</v>
      </c>
      <c r="S1220">
        <f>VLOOKUP(A1220,[2]cwurData!$B:$N, 6, FALSE)</f>
        <v>210</v>
      </c>
      <c r="T1220">
        <f>VLOOKUP(A1220,[2]cwurData!$B:$N, 7, FALSE)</f>
        <v>962</v>
      </c>
      <c r="U1220">
        <f>VLOOKUP(A1220,[2]cwurData!$B:$N, 8, FALSE)</f>
        <v>815</v>
      </c>
      <c r="V1220">
        <f>VLOOKUP(A1220,[2]cwurData!$B:$N, 9, FALSE)</f>
        <v>800</v>
      </c>
      <c r="W1220">
        <f>VLOOKUP(A1220,[2]cwurData!$B:$N, 10, FALSE)</f>
        <v>937</v>
      </c>
      <c r="X1220">
        <f>VLOOKUP(A1220,[2]cwurData!$B:$N, 11, FALSE)</f>
        <v>737</v>
      </c>
      <c r="Y1220">
        <f>VLOOKUP(A1220,[2]cwurData!$B:$N, 12, FALSE)</f>
        <v>44.3</v>
      </c>
      <c r="Z1220">
        <f>VLOOKUP(A1220,[2]cwurData!$B:$N, 13, FALSE)</f>
        <v>2014</v>
      </c>
    </row>
    <row r="1221" spans="1:26" x14ac:dyDescent="0.3">
      <c r="A1221" t="s">
        <v>1211</v>
      </c>
      <c r="B1221" t="str">
        <f>IFERROR(VLOOKUP(A1221,[1]timesData!$B:$P,2,FALSE),VLOOKUP(A1221,[2]cwurData!$B:$P,2,FALSE))</f>
        <v>Canada</v>
      </c>
      <c r="C1221" t="e">
        <f>VLOOKUP(A1221,[1]timesData!$B:$P,3,FALSE)</f>
        <v>#N/A</v>
      </c>
      <c r="D1221" t="e">
        <f>VLOOKUP(A1222,[1]timesData!$B:$P,3,FALSE)</f>
        <v>#N/A</v>
      </c>
      <c r="E1221" t="e">
        <f>VLOOKUP(A1222,[1]timesData!$B:$P,4,FALSE)</f>
        <v>#N/A</v>
      </c>
      <c r="F1221" t="e">
        <f>VLOOKUP(A1222,[1]timesData!$B:$P,5,FALSE)</f>
        <v>#N/A</v>
      </c>
      <c r="G1221" t="e">
        <f>VLOOKUP(A1222,[1]timesData!$B:$P,6,FALSE)</f>
        <v>#N/A</v>
      </c>
      <c r="H1221" t="e">
        <f>VLOOKUP(A1222,[1]timesData!$B:$P,7,FALSE)</f>
        <v>#N/A</v>
      </c>
      <c r="I1221" t="e">
        <f>VLOOKUP(A1222,[1]timesData!$B:$P,8,FALSE)</f>
        <v>#N/A</v>
      </c>
      <c r="J1221" t="e">
        <f>VLOOKUP(A1222,[1]timesData!$B:$P,9,FALSE)</f>
        <v>#N/A</v>
      </c>
      <c r="K1221" t="e">
        <f>VLOOKUP(A1222,[1]timesData!$B:$P,10,FALSE)</f>
        <v>#N/A</v>
      </c>
      <c r="L1221" t="e">
        <f>VLOOKUP(A1222,[1]timesData!$B:$P,11,FALSE)</f>
        <v>#N/A</v>
      </c>
      <c r="M1221" t="e">
        <f>VLOOKUP(A1222,[1]timesData!$B:$P,12,FALSE)</f>
        <v>#N/A</v>
      </c>
      <c r="N1221" t="e">
        <f>VLOOKUP(A1222,[1]timesData!$B:$P,13,FALSE)</f>
        <v>#N/A</v>
      </c>
      <c r="O1221">
        <f>VLOOKUP(A1221,[2]cwurData!$B:$P,14,FALSE)</f>
        <v>972</v>
      </c>
      <c r="P1221">
        <f>VLOOKUP(A1221,[2]cwurData!$B:$N, 3, FALSE)</f>
        <v>32</v>
      </c>
      <c r="Q1221">
        <f>VLOOKUP(A1221,[2]cwurData!$B:$N, 4, FALSE)</f>
        <v>355</v>
      </c>
      <c r="R1221">
        <f>VLOOKUP(A1221,[2]cwurData!$B:$N, 5, FALSE)</f>
        <v>478</v>
      </c>
      <c r="S1221">
        <f>VLOOKUP(A1221,[2]cwurData!$B:$N, 6, FALSE)</f>
        <v>210</v>
      </c>
      <c r="T1221">
        <f>VLOOKUP(A1221,[2]cwurData!$B:$N, 7, FALSE)</f>
        <v>813</v>
      </c>
      <c r="U1221">
        <f>VLOOKUP(A1221,[2]cwurData!$B:$N, 8, FALSE)</f>
        <v>966</v>
      </c>
      <c r="V1221">
        <f>VLOOKUP(A1221,[2]cwurData!$B:$N, 9, FALSE)</f>
        <v>609</v>
      </c>
      <c r="W1221">
        <f>VLOOKUP(A1221,[2]cwurData!$B:$N, 10, FALSE)</f>
        <v>956</v>
      </c>
      <c r="X1221">
        <f>VLOOKUP(A1221,[2]cwurData!$B:$N, 11, FALSE)</f>
        <v>637</v>
      </c>
      <c r="Y1221">
        <f>VLOOKUP(A1221,[2]cwurData!$B:$N, 12, FALSE)</f>
        <v>44.3</v>
      </c>
      <c r="Z1221">
        <f>VLOOKUP(A1221,[2]cwurData!$B:$N, 13, FALSE)</f>
        <v>2014</v>
      </c>
    </row>
    <row r="1222" spans="1:26" x14ac:dyDescent="0.3">
      <c r="A1222" t="s">
        <v>1212</v>
      </c>
      <c r="B1222" t="str">
        <f>IFERROR(VLOOKUP(A1222,[1]timesData!$B:$P,2,FALSE),VLOOKUP(A1222,[2]cwurData!$B:$P,2,FALSE))</f>
        <v>China</v>
      </c>
      <c r="C1222" t="e">
        <f>VLOOKUP(A1222,[1]timesData!$B:$P,3,FALSE)</f>
        <v>#N/A</v>
      </c>
      <c r="D1222" t="e">
        <f>VLOOKUP(A1223,[1]timesData!$B:$P,3,FALSE)</f>
        <v>#N/A</v>
      </c>
      <c r="E1222" t="e">
        <f>VLOOKUP(A1223,[1]timesData!$B:$P,4,FALSE)</f>
        <v>#N/A</v>
      </c>
      <c r="F1222" t="e">
        <f>VLOOKUP(A1223,[1]timesData!$B:$P,5,FALSE)</f>
        <v>#N/A</v>
      </c>
      <c r="G1222" t="e">
        <f>VLOOKUP(A1223,[1]timesData!$B:$P,6,FALSE)</f>
        <v>#N/A</v>
      </c>
      <c r="H1222" t="e">
        <f>VLOOKUP(A1223,[1]timesData!$B:$P,7,FALSE)</f>
        <v>#N/A</v>
      </c>
      <c r="I1222" t="e">
        <f>VLOOKUP(A1223,[1]timesData!$B:$P,8,FALSE)</f>
        <v>#N/A</v>
      </c>
      <c r="J1222" t="e">
        <f>VLOOKUP(A1223,[1]timesData!$B:$P,9,FALSE)</f>
        <v>#N/A</v>
      </c>
      <c r="K1222" t="e">
        <f>VLOOKUP(A1223,[1]timesData!$B:$P,10,FALSE)</f>
        <v>#N/A</v>
      </c>
      <c r="L1222" t="e">
        <f>VLOOKUP(A1223,[1]timesData!$B:$P,11,FALSE)</f>
        <v>#N/A</v>
      </c>
      <c r="M1222" t="e">
        <f>VLOOKUP(A1223,[1]timesData!$B:$P,12,FALSE)</f>
        <v>#N/A</v>
      </c>
      <c r="N1222" t="e">
        <f>VLOOKUP(A1223,[1]timesData!$B:$P,13,FALSE)</f>
        <v>#N/A</v>
      </c>
      <c r="O1222">
        <f>VLOOKUP(A1222,[2]cwurData!$B:$P,14,FALSE)</f>
        <v>973</v>
      </c>
      <c r="P1222">
        <f>VLOOKUP(A1222,[2]cwurData!$B:$N, 3, FALSE)</f>
        <v>71</v>
      </c>
      <c r="Q1222">
        <f>VLOOKUP(A1222,[2]cwurData!$B:$N, 4, FALSE)</f>
        <v>355</v>
      </c>
      <c r="R1222">
        <f>VLOOKUP(A1222,[2]cwurData!$B:$N, 5, FALSE)</f>
        <v>478</v>
      </c>
      <c r="S1222">
        <f>VLOOKUP(A1222,[2]cwurData!$B:$N, 6, FALSE)</f>
        <v>210</v>
      </c>
      <c r="T1222">
        <f>VLOOKUP(A1222,[2]cwurData!$B:$N, 7, FALSE)</f>
        <v>946</v>
      </c>
      <c r="U1222">
        <f>VLOOKUP(A1222,[2]cwurData!$B:$N, 8, FALSE)</f>
        <v>830</v>
      </c>
      <c r="V1222">
        <f>VLOOKUP(A1222,[2]cwurData!$B:$N, 9, FALSE)</f>
        <v>800</v>
      </c>
      <c r="W1222">
        <f>VLOOKUP(A1222,[2]cwurData!$B:$N, 10, FALSE)</f>
        <v>948</v>
      </c>
      <c r="X1222">
        <f>VLOOKUP(A1222,[2]cwurData!$B:$N, 11, FALSE)</f>
        <v>737</v>
      </c>
      <c r="Y1222">
        <f>VLOOKUP(A1222,[2]cwurData!$B:$N, 12, FALSE)</f>
        <v>44.3</v>
      </c>
      <c r="Z1222">
        <f>VLOOKUP(A1222,[2]cwurData!$B:$N, 13, FALSE)</f>
        <v>2014</v>
      </c>
    </row>
    <row r="1223" spans="1:26" x14ac:dyDescent="0.3">
      <c r="A1223" t="s">
        <v>1244</v>
      </c>
      <c r="B1223" t="str">
        <f>IFERROR(VLOOKUP(A1223,[1]timesData!$B:$P,2,FALSE),VLOOKUP(A1223,[2]cwurData!$B:$P,2,FALSE))</f>
        <v>South Korea</v>
      </c>
      <c r="C1223" t="e">
        <f>VLOOKUP(A1223,[1]timesData!$B:$P,3,FALSE)</f>
        <v>#N/A</v>
      </c>
      <c r="D1223" t="e">
        <f>VLOOKUP(A1224,[1]timesData!$B:$P,3,FALSE)</f>
        <v>#N/A</v>
      </c>
      <c r="E1223" t="e">
        <f>VLOOKUP(A1224,[1]timesData!$B:$P,4,FALSE)</f>
        <v>#N/A</v>
      </c>
      <c r="F1223" t="e">
        <f>VLOOKUP(A1224,[1]timesData!$B:$P,5,FALSE)</f>
        <v>#N/A</v>
      </c>
      <c r="G1223" t="e">
        <f>VLOOKUP(A1224,[1]timesData!$B:$P,6,FALSE)</f>
        <v>#N/A</v>
      </c>
      <c r="H1223" t="e">
        <f>VLOOKUP(A1224,[1]timesData!$B:$P,7,FALSE)</f>
        <v>#N/A</v>
      </c>
      <c r="I1223" t="e">
        <f>VLOOKUP(A1224,[1]timesData!$B:$P,8,FALSE)</f>
        <v>#N/A</v>
      </c>
      <c r="J1223" t="e">
        <f>VLOOKUP(A1224,[1]timesData!$B:$P,9,FALSE)</f>
        <v>#N/A</v>
      </c>
      <c r="K1223" t="e">
        <f>VLOOKUP(A1224,[1]timesData!$B:$P,10,FALSE)</f>
        <v>#N/A</v>
      </c>
      <c r="L1223" t="e">
        <f>VLOOKUP(A1224,[1]timesData!$B:$P,11,FALSE)</f>
        <v>#N/A</v>
      </c>
      <c r="M1223" t="e">
        <f>VLOOKUP(A1224,[1]timesData!$B:$P,12,FALSE)</f>
        <v>#N/A</v>
      </c>
      <c r="N1223" t="e">
        <f>VLOOKUP(A1224,[1]timesData!$B:$P,13,FALSE)</f>
        <v>#N/A</v>
      </c>
      <c r="O1223">
        <f>VLOOKUP(A1223,[2]cwurData!$B:$P,14,FALSE)</f>
        <v>973</v>
      </c>
      <c r="P1223">
        <f>VLOOKUP(A1223,[2]cwurData!$B:$N, 3, FALSE)</f>
        <v>36</v>
      </c>
      <c r="Q1223">
        <f>VLOOKUP(A1223,[2]cwurData!$B:$N, 4, FALSE)</f>
        <v>367</v>
      </c>
      <c r="R1223">
        <f>VLOOKUP(A1223,[2]cwurData!$B:$N, 5, FALSE)</f>
        <v>567</v>
      </c>
      <c r="S1223">
        <f>VLOOKUP(A1223,[2]cwurData!$B:$N, 6, FALSE)</f>
        <v>218</v>
      </c>
      <c r="T1223">
        <f>VLOOKUP(A1223,[2]cwurData!$B:$N, 7, FALSE)</f>
        <v>880</v>
      </c>
      <c r="U1223">
        <f>VLOOKUP(A1223,[2]cwurData!$B:$N, 8, FALSE)</f>
        <v>912</v>
      </c>
      <c r="V1223">
        <f>VLOOKUP(A1223,[2]cwurData!$B:$N, 9, FALSE)</f>
        <v>645</v>
      </c>
      <c r="W1223">
        <f>VLOOKUP(A1223,[2]cwurData!$B:$N, 10, FALSE)</f>
        <v>984</v>
      </c>
      <c r="X1223">
        <f>VLOOKUP(A1223,[2]cwurData!$B:$N, 11, FALSE)</f>
        <v>349</v>
      </c>
      <c r="Y1223">
        <f>VLOOKUP(A1223,[2]cwurData!$B:$N, 12, FALSE)</f>
        <v>44.06</v>
      </c>
      <c r="Z1223">
        <f>VLOOKUP(A1223,[2]cwurData!$B:$N, 13, FALSE)</f>
        <v>2015</v>
      </c>
    </row>
    <row r="1224" spans="1:26" x14ac:dyDescent="0.3">
      <c r="A1224" t="s">
        <v>1213</v>
      </c>
      <c r="B1224" t="str">
        <f>IFERROR(VLOOKUP(A1224,[1]timesData!$B:$P,2,FALSE),VLOOKUP(A1224,[2]cwurData!$B:$P,2,FALSE))</f>
        <v>China</v>
      </c>
      <c r="C1224" t="e">
        <f>VLOOKUP(A1224,[1]timesData!$B:$P,3,FALSE)</f>
        <v>#N/A</v>
      </c>
      <c r="D1224" t="e">
        <f>VLOOKUP(A1225,[1]timesData!$B:$P,3,FALSE)</f>
        <v>#N/A</v>
      </c>
      <c r="E1224" t="e">
        <f>VLOOKUP(A1225,[1]timesData!$B:$P,4,FALSE)</f>
        <v>#N/A</v>
      </c>
      <c r="F1224" t="e">
        <f>VLOOKUP(A1225,[1]timesData!$B:$P,5,FALSE)</f>
        <v>#N/A</v>
      </c>
      <c r="G1224" t="e">
        <f>VLOOKUP(A1225,[1]timesData!$B:$P,6,FALSE)</f>
        <v>#N/A</v>
      </c>
      <c r="H1224" t="e">
        <f>VLOOKUP(A1225,[1]timesData!$B:$P,7,FALSE)</f>
        <v>#N/A</v>
      </c>
      <c r="I1224" t="e">
        <f>VLOOKUP(A1225,[1]timesData!$B:$P,8,FALSE)</f>
        <v>#N/A</v>
      </c>
      <c r="J1224" t="e">
        <f>VLOOKUP(A1225,[1]timesData!$B:$P,9,FALSE)</f>
        <v>#N/A</v>
      </c>
      <c r="K1224" t="e">
        <f>VLOOKUP(A1225,[1]timesData!$B:$P,10,FALSE)</f>
        <v>#N/A</v>
      </c>
      <c r="L1224" t="e">
        <f>VLOOKUP(A1225,[1]timesData!$B:$P,11,FALSE)</f>
        <v>#N/A</v>
      </c>
      <c r="M1224" t="e">
        <f>VLOOKUP(A1225,[1]timesData!$B:$P,12,FALSE)</f>
        <v>#N/A</v>
      </c>
      <c r="N1224" t="e">
        <f>VLOOKUP(A1225,[1]timesData!$B:$P,13,FALSE)</f>
        <v>#N/A</v>
      </c>
      <c r="O1224">
        <f>VLOOKUP(A1224,[2]cwurData!$B:$P,14,FALSE)</f>
        <v>975</v>
      </c>
      <c r="P1224">
        <f>VLOOKUP(A1224,[2]cwurData!$B:$N, 3, FALSE)</f>
        <v>72</v>
      </c>
      <c r="Q1224">
        <f>VLOOKUP(A1224,[2]cwurData!$B:$N, 4, FALSE)</f>
        <v>355</v>
      </c>
      <c r="R1224">
        <f>VLOOKUP(A1224,[2]cwurData!$B:$N, 5, FALSE)</f>
        <v>478</v>
      </c>
      <c r="S1224">
        <f>VLOOKUP(A1224,[2]cwurData!$B:$N, 6, FALSE)</f>
        <v>210</v>
      </c>
      <c r="T1224">
        <f>VLOOKUP(A1224,[2]cwurData!$B:$N, 7, FALSE)</f>
        <v>919</v>
      </c>
      <c r="U1224">
        <f>VLOOKUP(A1224,[2]cwurData!$B:$N, 8, FALSE)</f>
        <v>987</v>
      </c>
      <c r="V1224">
        <f>VLOOKUP(A1224,[2]cwurData!$B:$N, 9, FALSE)</f>
        <v>800</v>
      </c>
      <c r="W1224">
        <f>VLOOKUP(A1224,[2]cwurData!$B:$N, 10, FALSE)</f>
        <v>956</v>
      </c>
      <c r="X1224">
        <f>VLOOKUP(A1224,[2]cwurData!$B:$N, 11, FALSE)</f>
        <v>552</v>
      </c>
      <c r="Y1224">
        <f>VLOOKUP(A1224,[2]cwurData!$B:$N, 12, FALSE)</f>
        <v>44.3</v>
      </c>
      <c r="Z1224">
        <f>VLOOKUP(A1224,[2]cwurData!$B:$N, 13, FALSE)</f>
        <v>2014</v>
      </c>
    </row>
    <row r="1225" spans="1:26" x14ac:dyDescent="0.3">
      <c r="A1225" t="s">
        <v>1245</v>
      </c>
      <c r="B1225" t="str">
        <f>IFERROR(VLOOKUP(A1225,[1]timesData!$B:$P,2,FALSE),VLOOKUP(A1225,[2]cwurData!$B:$P,2,FALSE))</f>
        <v>China</v>
      </c>
      <c r="C1225" t="e">
        <f>VLOOKUP(A1225,[1]timesData!$B:$P,3,FALSE)</f>
        <v>#N/A</v>
      </c>
      <c r="D1225" t="e">
        <f>VLOOKUP(A1226,[1]timesData!$B:$P,3,FALSE)</f>
        <v>#N/A</v>
      </c>
      <c r="E1225" t="e">
        <f>VLOOKUP(A1226,[1]timesData!$B:$P,4,FALSE)</f>
        <v>#N/A</v>
      </c>
      <c r="F1225" t="e">
        <f>VLOOKUP(A1226,[1]timesData!$B:$P,5,FALSE)</f>
        <v>#N/A</v>
      </c>
      <c r="G1225" t="e">
        <f>VLOOKUP(A1226,[1]timesData!$B:$P,6,FALSE)</f>
        <v>#N/A</v>
      </c>
      <c r="H1225" t="e">
        <f>VLOOKUP(A1226,[1]timesData!$B:$P,7,FALSE)</f>
        <v>#N/A</v>
      </c>
      <c r="I1225" t="e">
        <f>VLOOKUP(A1226,[1]timesData!$B:$P,8,FALSE)</f>
        <v>#N/A</v>
      </c>
      <c r="J1225" t="e">
        <f>VLOOKUP(A1226,[1]timesData!$B:$P,9,FALSE)</f>
        <v>#N/A</v>
      </c>
      <c r="K1225" t="e">
        <f>VLOOKUP(A1226,[1]timesData!$B:$P,10,FALSE)</f>
        <v>#N/A</v>
      </c>
      <c r="L1225" t="e">
        <f>VLOOKUP(A1226,[1]timesData!$B:$P,11,FALSE)</f>
        <v>#N/A</v>
      </c>
      <c r="M1225" t="e">
        <f>VLOOKUP(A1226,[1]timesData!$B:$P,12,FALSE)</f>
        <v>#N/A</v>
      </c>
      <c r="N1225" t="e">
        <f>VLOOKUP(A1226,[1]timesData!$B:$P,13,FALSE)</f>
        <v>#N/A</v>
      </c>
      <c r="O1225">
        <f>VLOOKUP(A1225,[2]cwurData!$B:$P,14,FALSE)</f>
        <v>975</v>
      </c>
      <c r="P1225">
        <f>VLOOKUP(A1225,[2]cwurData!$B:$N, 3, FALSE)</f>
        <v>75</v>
      </c>
      <c r="Q1225">
        <f>VLOOKUP(A1225,[2]cwurData!$B:$N, 4, FALSE)</f>
        <v>367</v>
      </c>
      <c r="R1225">
        <f>VLOOKUP(A1225,[2]cwurData!$B:$N, 5, FALSE)</f>
        <v>410</v>
      </c>
      <c r="S1225">
        <f>VLOOKUP(A1225,[2]cwurData!$B:$N, 6, FALSE)</f>
        <v>218</v>
      </c>
      <c r="T1225">
        <f>VLOOKUP(A1225,[2]cwurData!$B:$N, 7, FALSE)</f>
        <v>976</v>
      </c>
      <c r="U1225">
        <f>VLOOKUP(A1225,[2]cwurData!$B:$N, 8, FALSE)</f>
        <v>778</v>
      </c>
      <c r="V1225">
        <f>VLOOKUP(A1225,[2]cwurData!$B:$N, 9, FALSE)</f>
        <v>645</v>
      </c>
      <c r="W1225">
        <f>VLOOKUP(A1225,[2]cwurData!$B:$N, 10, FALSE)</f>
        <v>999</v>
      </c>
      <c r="X1225">
        <f>VLOOKUP(A1225,[2]cwurData!$B:$N, 11, FALSE)</f>
        <v>318</v>
      </c>
      <c r="Y1225">
        <f>VLOOKUP(A1225,[2]cwurData!$B:$N, 12, FALSE)</f>
        <v>44.05</v>
      </c>
      <c r="Z1225">
        <f>VLOOKUP(A1225,[2]cwurData!$B:$N, 13, FALSE)</f>
        <v>2015</v>
      </c>
    </row>
    <row r="1226" spans="1:26" x14ac:dyDescent="0.3">
      <c r="A1226" t="s">
        <v>1214</v>
      </c>
      <c r="B1226" t="str">
        <f>IFERROR(VLOOKUP(A1226,[1]timesData!$B:$P,2,FALSE),VLOOKUP(A1226,[2]cwurData!$B:$P,2,FALSE))</f>
        <v>Iran</v>
      </c>
      <c r="C1226" t="e">
        <f>VLOOKUP(A1226,[1]timesData!$B:$P,3,FALSE)</f>
        <v>#N/A</v>
      </c>
      <c r="D1226" t="e">
        <f>VLOOKUP(A1227,[1]timesData!$B:$P,3,FALSE)</f>
        <v>#N/A</v>
      </c>
      <c r="E1226" t="e">
        <f>VLOOKUP(A1227,[1]timesData!$B:$P,4,FALSE)</f>
        <v>#N/A</v>
      </c>
      <c r="F1226" t="e">
        <f>VLOOKUP(A1227,[1]timesData!$B:$P,5,FALSE)</f>
        <v>#N/A</v>
      </c>
      <c r="G1226" t="e">
        <f>VLOOKUP(A1227,[1]timesData!$B:$P,6,FALSE)</f>
        <v>#N/A</v>
      </c>
      <c r="H1226" t="e">
        <f>VLOOKUP(A1227,[1]timesData!$B:$P,7,FALSE)</f>
        <v>#N/A</v>
      </c>
      <c r="I1226" t="e">
        <f>VLOOKUP(A1227,[1]timesData!$B:$P,8,FALSE)</f>
        <v>#N/A</v>
      </c>
      <c r="J1226" t="e">
        <f>VLOOKUP(A1227,[1]timesData!$B:$P,9,FALSE)</f>
        <v>#N/A</v>
      </c>
      <c r="K1226" t="e">
        <f>VLOOKUP(A1227,[1]timesData!$B:$P,10,FALSE)</f>
        <v>#N/A</v>
      </c>
      <c r="L1226" t="e">
        <f>VLOOKUP(A1227,[1]timesData!$B:$P,11,FALSE)</f>
        <v>#N/A</v>
      </c>
      <c r="M1226" t="e">
        <f>VLOOKUP(A1227,[1]timesData!$B:$P,12,FALSE)</f>
        <v>#N/A</v>
      </c>
      <c r="N1226" t="e">
        <f>VLOOKUP(A1227,[1]timesData!$B:$P,13,FALSE)</f>
        <v>#N/A</v>
      </c>
      <c r="O1226">
        <f>VLOOKUP(A1226,[2]cwurData!$B:$P,14,FALSE)</f>
        <v>976</v>
      </c>
      <c r="P1226">
        <f>VLOOKUP(A1226,[2]cwurData!$B:$N, 3, FALSE)</f>
        <v>7</v>
      </c>
      <c r="Q1226">
        <f>VLOOKUP(A1226,[2]cwurData!$B:$N, 4, FALSE)</f>
        <v>355</v>
      </c>
      <c r="R1226">
        <f>VLOOKUP(A1226,[2]cwurData!$B:$N, 5, FALSE)</f>
        <v>478</v>
      </c>
      <c r="S1226">
        <f>VLOOKUP(A1226,[2]cwurData!$B:$N, 6, FALSE)</f>
        <v>210</v>
      </c>
      <c r="T1226">
        <f>VLOOKUP(A1226,[2]cwurData!$B:$N, 7, FALSE)</f>
        <v>811</v>
      </c>
      <c r="U1226">
        <f>VLOOKUP(A1226,[2]cwurData!$B:$N, 8, FALSE)</f>
        <v>987</v>
      </c>
      <c r="V1226">
        <f>VLOOKUP(A1226,[2]cwurData!$B:$N, 9, FALSE)</f>
        <v>800</v>
      </c>
      <c r="W1226">
        <f>VLOOKUP(A1226,[2]cwurData!$B:$N, 10, FALSE)</f>
        <v>956</v>
      </c>
      <c r="X1226">
        <f>VLOOKUP(A1226,[2]cwurData!$B:$N, 11, FALSE)</f>
        <v>737</v>
      </c>
      <c r="Y1226">
        <f>VLOOKUP(A1226,[2]cwurData!$B:$N, 12, FALSE)</f>
        <v>44.29</v>
      </c>
      <c r="Z1226">
        <f>VLOOKUP(A1226,[2]cwurData!$B:$N, 13, FALSE)</f>
        <v>2014</v>
      </c>
    </row>
    <row r="1227" spans="1:26" x14ac:dyDescent="0.3">
      <c r="A1227" t="s">
        <v>1246</v>
      </c>
      <c r="B1227" t="str">
        <f>IFERROR(VLOOKUP(A1227,[1]timesData!$B:$P,2,FALSE),VLOOKUP(A1227,[2]cwurData!$B:$P,2,FALSE))</f>
        <v>China</v>
      </c>
      <c r="C1227" t="e">
        <f>VLOOKUP(A1227,[1]timesData!$B:$P,3,FALSE)</f>
        <v>#N/A</v>
      </c>
      <c r="D1227" t="e">
        <f>VLOOKUP(A1228,[1]timesData!$B:$P,3,FALSE)</f>
        <v>#N/A</v>
      </c>
      <c r="E1227" t="e">
        <f>VLOOKUP(A1228,[1]timesData!$B:$P,4,FALSE)</f>
        <v>#N/A</v>
      </c>
      <c r="F1227" t="e">
        <f>VLOOKUP(A1228,[1]timesData!$B:$P,5,FALSE)</f>
        <v>#N/A</v>
      </c>
      <c r="G1227" t="e">
        <f>VLOOKUP(A1228,[1]timesData!$B:$P,6,FALSE)</f>
        <v>#N/A</v>
      </c>
      <c r="H1227" t="e">
        <f>VLOOKUP(A1228,[1]timesData!$B:$P,7,FALSE)</f>
        <v>#N/A</v>
      </c>
      <c r="I1227" t="e">
        <f>VLOOKUP(A1228,[1]timesData!$B:$P,8,FALSE)</f>
        <v>#N/A</v>
      </c>
      <c r="J1227" t="e">
        <f>VLOOKUP(A1228,[1]timesData!$B:$P,9,FALSE)</f>
        <v>#N/A</v>
      </c>
      <c r="K1227" t="e">
        <f>VLOOKUP(A1228,[1]timesData!$B:$P,10,FALSE)</f>
        <v>#N/A</v>
      </c>
      <c r="L1227" t="e">
        <f>VLOOKUP(A1228,[1]timesData!$B:$P,11,FALSE)</f>
        <v>#N/A</v>
      </c>
      <c r="M1227" t="e">
        <f>VLOOKUP(A1228,[1]timesData!$B:$P,12,FALSE)</f>
        <v>#N/A</v>
      </c>
      <c r="N1227" t="e">
        <f>VLOOKUP(A1228,[1]timesData!$B:$P,13,FALSE)</f>
        <v>#N/A</v>
      </c>
      <c r="O1227">
        <f>VLOOKUP(A1227,[2]cwurData!$B:$P,14,FALSE)</f>
        <v>976</v>
      </c>
      <c r="P1227">
        <f>VLOOKUP(A1227,[2]cwurData!$B:$N, 3, FALSE)</f>
        <v>76</v>
      </c>
      <c r="Q1227">
        <f>VLOOKUP(A1227,[2]cwurData!$B:$N, 4, FALSE)</f>
        <v>367</v>
      </c>
      <c r="R1227">
        <f>VLOOKUP(A1227,[2]cwurData!$B:$N, 5, FALSE)</f>
        <v>567</v>
      </c>
      <c r="S1227">
        <f>VLOOKUP(A1227,[2]cwurData!$B:$N, 6, FALSE)</f>
        <v>218</v>
      </c>
      <c r="T1227">
        <f>VLOOKUP(A1227,[2]cwurData!$B:$N, 7, FALSE)</f>
        <v>885</v>
      </c>
      <c r="U1227">
        <f>VLOOKUP(A1227,[2]cwurData!$B:$N, 8, FALSE)</f>
        <v>857</v>
      </c>
      <c r="V1227">
        <f>VLOOKUP(A1227,[2]cwurData!$B:$N, 9, FALSE)</f>
        <v>812</v>
      </c>
      <c r="W1227">
        <f>VLOOKUP(A1227,[2]cwurData!$B:$N, 10, FALSE)</f>
        <v>946</v>
      </c>
      <c r="X1227">
        <f>VLOOKUP(A1227,[2]cwurData!$B:$N, 11, FALSE)</f>
        <v>839</v>
      </c>
      <c r="Y1227">
        <f>VLOOKUP(A1227,[2]cwurData!$B:$N, 12, FALSE)</f>
        <v>44.05</v>
      </c>
      <c r="Z1227">
        <f>VLOOKUP(A1227,[2]cwurData!$B:$N, 13, FALSE)</f>
        <v>2015</v>
      </c>
    </row>
    <row r="1228" spans="1:26" x14ac:dyDescent="0.3">
      <c r="A1228" t="s">
        <v>1215</v>
      </c>
      <c r="B1228" t="str">
        <f>IFERROR(VLOOKUP(A1228,[1]timesData!$B:$P,2,FALSE),VLOOKUP(A1228,[2]cwurData!$B:$P,2,FALSE))</f>
        <v>Puerto Rico</v>
      </c>
      <c r="C1228" t="e">
        <f>VLOOKUP(A1228,[1]timesData!$B:$P,3,FALSE)</f>
        <v>#N/A</v>
      </c>
      <c r="D1228" t="e">
        <f>VLOOKUP(A1229,[1]timesData!$B:$P,3,FALSE)</f>
        <v>#N/A</v>
      </c>
      <c r="E1228" t="e">
        <f>VLOOKUP(A1229,[1]timesData!$B:$P,4,FALSE)</f>
        <v>#N/A</v>
      </c>
      <c r="F1228" t="e">
        <f>VLOOKUP(A1229,[1]timesData!$B:$P,5,FALSE)</f>
        <v>#N/A</v>
      </c>
      <c r="G1228" t="e">
        <f>VLOOKUP(A1229,[1]timesData!$B:$P,6,FALSE)</f>
        <v>#N/A</v>
      </c>
      <c r="H1228" t="e">
        <f>VLOOKUP(A1229,[1]timesData!$B:$P,7,FALSE)</f>
        <v>#N/A</v>
      </c>
      <c r="I1228" t="e">
        <f>VLOOKUP(A1229,[1]timesData!$B:$P,8,FALSE)</f>
        <v>#N/A</v>
      </c>
      <c r="J1228" t="e">
        <f>VLOOKUP(A1229,[1]timesData!$B:$P,9,FALSE)</f>
        <v>#N/A</v>
      </c>
      <c r="K1228" t="e">
        <f>VLOOKUP(A1229,[1]timesData!$B:$P,10,FALSE)</f>
        <v>#N/A</v>
      </c>
      <c r="L1228" t="e">
        <f>VLOOKUP(A1229,[1]timesData!$B:$P,11,FALSE)</f>
        <v>#N/A</v>
      </c>
      <c r="M1228" t="e">
        <f>VLOOKUP(A1229,[1]timesData!$B:$P,12,FALSE)</f>
        <v>#N/A</v>
      </c>
      <c r="N1228" t="e">
        <f>VLOOKUP(A1229,[1]timesData!$B:$P,13,FALSE)</f>
        <v>#N/A</v>
      </c>
      <c r="O1228">
        <f>VLOOKUP(A1228,[2]cwurData!$B:$P,14,FALSE)</f>
        <v>977</v>
      </c>
      <c r="P1228">
        <f>VLOOKUP(A1228,[2]cwurData!$B:$N, 3, FALSE)</f>
        <v>1</v>
      </c>
      <c r="Q1228">
        <f>VLOOKUP(A1228,[2]cwurData!$B:$N, 4, FALSE)</f>
        <v>355</v>
      </c>
      <c r="R1228">
        <f>VLOOKUP(A1228,[2]cwurData!$B:$N, 5, FALSE)</f>
        <v>478</v>
      </c>
      <c r="S1228">
        <f>VLOOKUP(A1228,[2]cwurData!$B:$N, 6, FALSE)</f>
        <v>210</v>
      </c>
      <c r="T1228">
        <f>VLOOKUP(A1228,[2]cwurData!$B:$N, 7, FALSE)</f>
        <v>999</v>
      </c>
      <c r="U1228">
        <f>VLOOKUP(A1228,[2]cwurData!$B:$N, 8, FALSE)</f>
        <v>778</v>
      </c>
      <c r="V1228">
        <f>VLOOKUP(A1228,[2]cwurData!$B:$N, 9, FALSE)</f>
        <v>609</v>
      </c>
      <c r="W1228">
        <f>VLOOKUP(A1228,[2]cwurData!$B:$N, 10, FALSE)</f>
        <v>956</v>
      </c>
      <c r="X1228">
        <f>VLOOKUP(A1228,[2]cwurData!$B:$N, 11, FALSE)</f>
        <v>737</v>
      </c>
      <c r="Y1228">
        <f>VLOOKUP(A1228,[2]cwurData!$B:$N, 12, FALSE)</f>
        <v>44.29</v>
      </c>
      <c r="Z1228">
        <f>VLOOKUP(A1228,[2]cwurData!$B:$N, 13, FALSE)</f>
        <v>2014</v>
      </c>
    </row>
    <row r="1229" spans="1:26" x14ac:dyDescent="0.3">
      <c r="A1229" t="s">
        <v>1216</v>
      </c>
      <c r="B1229" t="str">
        <f>IFERROR(VLOOKUP(A1229,[1]timesData!$B:$P,2,FALSE),VLOOKUP(A1229,[2]cwurData!$B:$P,2,FALSE))</f>
        <v>Argentina</v>
      </c>
      <c r="C1229" t="e">
        <f>VLOOKUP(A1229,[1]timesData!$B:$P,3,FALSE)</f>
        <v>#N/A</v>
      </c>
      <c r="D1229" t="e">
        <f>VLOOKUP(A1230,[1]timesData!$B:$P,3,FALSE)</f>
        <v>#N/A</v>
      </c>
      <c r="E1229" t="e">
        <f>VLOOKUP(A1230,[1]timesData!$B:$P,4,FALSE)</f>
        <v>#N/A</v>
      </c>
      <c r="F1229" t="e">
        <f>VLOOKUP(A1230,[1]timesData!$B:$P,5,FALSE)</f>
        <v>#N/A</v>
      </c>
      <c r="G1229" t="e">
        <f>VLOOKUP(A1230,[1]timesData!$B:$P,6,FALSE)</f>
        <v>#N/A</v>
      </c>
      <c r="H1229" t="e">
        <f>VLOOKUP(A1230,[1]timesData!$B:$P,7,FALSE)</f>
        <v>#N/A</v>
      </c>
      <c r="I1229" t="e">
        <f>VLOOKUP(A1230,[1]timesData!$B:$P,8,FALSE)</f>
        <v>#N/A</v>
      </c>
      <c r="J1229" t="e">
        <f>VLOOKUP(A1230,[1]timesData!$B:$P,9,FALSE)</f>
        <v>#N/A</v>
      </c>
      <c r="K1229" t="e">
        <f>VLOOKUP(A1230,[1]timesData!$B:$P,10,FALSE)</f>
        <v>#N/A</v>
      </c>
      <c r="L1229" t="e">
        <f>VLOOKUP(A1230,[1]timesData!$B:$P,11,FALSE)</f>
        <v>#N/A</v>
      </c>
      <c r="M1229" t="e">
        <f>VLOOKUP(A1230,[1]timesData!$B:$P,12,FALSE)</f>
        <v>#N/A</v>
      </c>
      <c r="N1229" t="e">
        <f>VLOOKUP(A1230,[1]timesData!$B:$P,13,FALSE)</f>
        <v>#N/A</v>
      </c>
      <c r="O1229">
        <f>VLOOKUP(A1229,[2]cwurData!$B:$P,14,FALSE)</f>
        <v>978</v>
      </c>
      <c r="P1229">
        <f>VLOOKUP(A1229,[2]cwurData!$B:$N, 3, FALSE)</f>
        <v>4</v>
      </c>
      <c r="Q1229">
        <f>VLOOKUP(A1229,[2]cwurData!$B:$N, 4, FALSE)</f>
        <v>355</v>
      </c>
      <c r="R1229">
        <f>VLOOKUP(A1229,[2]cwurData!$B:$N, 5, FALSE)</f>
        <v>478</v>
      </c>
      <c r="S1229">
        <f>VLOOKUP(A1229,[2]cwurData!$B:$N, 6, FALSE)</f>
        <v>210</v>
      </c>
      <c r="T1229">
        <f>VLOOKUP(A1229,[2]cwurData!$B:$N, 7, FALSE)</f>
        <v>976</v>
      </c>
      <c r="U1229">
        <f>VLOOKUP(A1229,[2]cwurData!$B:$N, 8, FALSE)</f>
        <v>811</v>
      </c>
      <c r="V1229">
        <f>VLOOKUP(A1229,[2]cwurData!$B:$N, 9, FALSE)</f>
        <v>800</v>
      </c>
      <c r="W1229">
        <f>VLOOKUP(A1229,[2]cwurData!$B:$N, 10, FALSE)</f>
        <v>956</v>
      </c>
      <c r="X1229">
        <f>VLOOKUP(A1229,[2]cwurData!$B:$N, 11, FALSE)</f>
        <v>737</v>
      </c>
      <c r="Y1229">
        <f>VLOOKUP(A1229,[2]cwurData!$B:$N, 12, FALSE)</f>
        <v>44.29</v>
      </c>
      <c r="Z1229">
        <f>VLOOKUP(A1229,[2]cwurData!$B:$N, 13, FALSE)</f>
        <v>2014</v>
      </c>
    </row>
    <row r="1230" spans="1:26" x14ac:dyDescent="0.3">
      <c r="A1230" t="s">
        <v>1217</v>
      </c>
      <c r="B1230" t="str">
        <f>IFERROR(VLOOKUP(A1230,[1]timesData!$B:$P,2,FALSE),VLOOKUP(A1230,[2]cwurData!$B:$P,2,FALSE))</f>
        <v>France</v>
      </c>
      <c r="C1230" t="e">
        <f>VLOOKUP(A1230,[1]timesData!$B:$P,3,FALSE)</f>
        <v>#N/A</v>
      </c>
      <c r="D1230" t="e">
        <f>VLOOKUP(A1231,[1]timesData!$B:$P,3,FALSE)</f>
        <v>#N/A</v>
      </c>
      <c r="E1230" t="e">
        <f>VLOOKUP(A1231,[1]timesData!$B:$P,4,FALSE)</f>
        <v>#N/A</v>
      </c>
      <c r="F1230" t="e">
        <f>VLOOKUP(A1231,[1]timesData!$B:$P,5,FALSE)</f>
        <v>#N/A</v>
      </c>
      <c r="G1230" t="e">
        <f>VLOOKUP(A1231,[1]timesData!$B:$P,6,FALSE)</f>
        <v>#N/A</v>
      </c>
      <c r="H1230" t="e">
        <f>VLOOKUP(A1231,[1]timesData!$B:$P,7,FALSE)</f>
        <v>#N/A</v>
      </c>
      <c r="I1230" t="e">
        <f>VLOOKUP(A1231,[1]timesData!$B:$P,8,FALSE)</f>
        <v>#N/A</v>
      </c>
      <c r="J1230" t="e">
        <f>VLOOKUP(A1231,[1]timesData!$B:$P,9,FALSE)</f>
        <v>#N/A</v>
      </c>
      <c r="K1230" t="e">
        <f>VLOOKUP(A1231,[1]timesData!$B:$P,10,FALSE)</f>
        <v>#N/A</v>
      </c>
      <c r="L1230" t="e">
        <f>VLOOKUP(A1231,[1]timesData!$B:$P,11,FALSE)</f>
        <v>#N/A</v>
      </c>
      <c r="M1230" t="e">
        <f>VLOOKUP(A1231,[1]timesData!$B:$P,12,FALSE)</f>
        <v>#N/A</v>
      </c>
      <c r="N1230" t="e">
        <f>VLOOKUP(A1231,[1]timesData!$B:$P,13,FALSE)</f>
        <v>#N/A</v>
      </c>
      <c r="O1230">
        <f>VLOOKUP(A1230,[2]cwurData!$B:$P,14,FALSE)</f>
        <v>979</v>
      </c>
      <c r="P1230">
        <f>VLOOKUP(A1230,[2]cwurData!$B:$N, 3, FALSE)</f>
        <v>49</v>
      </c>
      <c r="Q1230">
        <f>VLOOKUP(A1230,[2]cwurData!$B:$N, 4, FALSE)</f>
        <v>355</v>
      </c>
      <c r="R1230">
        <f>VLOOKUP(A1230,[2]cwurData!$B:$N, 5, FALSE)</f>
        <v>478</v>
      </c>
      <c r="S1230">
        <f>VLOOKUP(A1230,[2]cwurData!$B:$N, 6, FALSE)</f>
        <v>210</v>
      </c>
      <c r="T1230">
        <f>VLOOKUP(A1230,[2]cwurData!$B:$N, 7, FALSE)</f>
        <v>988</v>
      </c>
      <c r="U1230">
        <f>VLOOKUP(A1230,[2]cwurData!$B:$N, 8, FALSE)</f>
        <v>987</v>
      </c>
      <c r="V1230">
        <f>VLOOKUP(A1230,[2]cwurData!$B:$N, 9, FALSE)</f>
        <v>800</v>
      </c>
      <c r="W1230">
        <f>VLOOKUP(A1230,[2]cwurData!$B:$N, 10, FALSE)</f>
        <v>956</v>
      </c>
      <c r="X1230">
        <f>VLOOKUP(A1230,[2]cwurData!$B:$N, 11, FALSE)</f>
        <v>737</v>
      </c>
      <c r="Y1230">
        <f>VLOOKUP(A1230,[2]cwurData!$B:$N, 12, FALSE)</f>
        <v>44.29</v>
      </c>
      <c r="Z1230">
        <f>VLOOKUP(A1230,[2]cwurData!$B:$N, 13, FALSE)</f>
        <v>2014</v>
      </c>
    </row>
    <row r="1231" spans="1:26" x14ac:dyDescent="0.3">
      <c r="A1231" t="s">
        <v>1218</v>
      </c>
      <c r="B1231" t="str">
        <f>IFERROR(VLOOKUP(A1231,[1]timesData!$B:$P,2,FALSE),VLOOKUP(A1231,[2]cwurData!$B:$P,2,FALSE))</f>
        <v>China</v>
      </c>
      <c r="C1231" t="e">
        <f>VLOOKUP(A1231,[1]timesData!$B:$P,3,FALSE)</f>
        <v>#N/A</v>
      </c>
      <c r="D1231" t="e">
        <f>VLOOKUP(A1232,[1]timesData!$B:$P,3,FALSE)</f>
        <v>#N/A</v>
      </c>
      <c r="E1231" t="e">
        <f>VLOOKUP(A1232,[1]timesData!$B:$P,4,FALSE)</f>
        <v>#N/A</v>
      </c>
      <c r="F1231" t="e">
        <f>VLOOKUP(A1232,[1]timesData!$B:$P,5,FALSE)</f>
        <v>#N/A</v>
      </c>
      <c r="G1231" t="e">
        <f>VLOOKUP(A1232,[1]timesData!$B:$P,6,FALSE)</f>
        <v>#N/A</v>
      </c>
      <c r="H1231" t="e">
        <f>VLOOKUP(A1232,[1]timesData!$B:$P,7,FALSE)</f>
        <v>#N/A</v>
      </c>
      <c r="I1231" t="e">
        <f>VLOOKUP(A1232,[1]timesData!$B:$P,8,FALSE)</f>
        <v>#N/A</v>
      </c>
      <c r="J1231" t="e">
        <f>VLOOKUP(A1232,[1]timesData!$B:$P,9,FALSE)</f>
        <v>#N/A</v>
      </c>
      <c r="K1231" t="e">
        <f>VLOOKUP(A1232,[1]timesData!$B:$P,10,FALSE)</f>
        <v>#N/A</v>
      </c>
      <c r="L1231" t="e">
        <f>VLOOKUP(A1232,[1]timesData!$B:$P,11,FALSE)</f>
        <v>#N/A</v>
      </c>
      <c r="M1231" t="e">
        <f>VLOOKUP(A1232,[1]timesData!$B:$P,12,FALSE)</f>
        <v>#N/A</v>
      </c>
      <c r="N1231" t="e">
        <f>VLOOKUP(A1232,[1]timesData!$B:$P,13,FALSE)</f>
        <v>#N/A</v>
      </c>
      <c r="O1231">
        <f>VLOOKUP(A1231,[2]cwurData!$B:$P,14,FALSE)</f>
        <v>981</v>
      </c>
      <c r="P1231">
        <f>VLOOKUP(A1231,[2]cwurData!$B:$N, 3, FALSE)</f>
        <v>74</v>
      </c>
      <c r="Q1231">
        <f>VLOOKUP(A1231,[2]cwurData!$B:$N, 4, FALSE)</f>
        <v>355</v>
      </c>
      <c r="R1231">
        <f>VLOOKUP(A1231,[2]cwurData!$B:$N, 5, FALSE)</f>
        <v>478</v>
      </c>
      <c r="S1231">
        <f>VLOOKUP(A1231,[2]cwurData!$B:$N, 6, FALSE)</f>
        <v>210</v>
      </c>
      <c r="T1231">
        <f>VLOOKUP(A1231,[2]cwurData!$B:$N, 7, FALSE)</f>
        <v>917</v>
      </c>
      <c r="U1231">
        <f>VLOOKUP(A1231,[2]cwurData!$B:$N, 8, FALSE)</f>
        <v>987</v>
      </c>
      <c r="V1231">
        <f>VLOOKUP(A1231,[2]cwurData!$B:$N, 9, FALSE)</f>
        <v>800</v>
      </c>
      <c r="W1231">
        <f>VLOOKUP(A1231,[2]cwurData!$B:$N, 10, FALSE)</f>
        <v>966</v>
      </c>
      <c r="X1231">
        <f>VLOOKUP(A1231,[2]cwurData!$B:$N, 11, FALSE)</f>
        <v>637</v>
      </c>
      <c r="Y1231">
        <f>VLOOKUP(A1231,[2]cwurData!$B:$N, 12, FALSE)</f>
        <v>44.28</v>
      </c>
      <c r="Z1231">
        <f>VLOOKUP(A1231,[2]cwurData!$B:$N, 13, FALSE)</f>
        <v>2014</v>
      </c>
    </row>
    <row r="1232" spans="1:26" x14ac:dyDescent="0.3">
      <c r="A1232" t="s">
        <v>1219</v>
      </c>
      <c r="B1232" t="str">
        <f>IFERROR(VLOOKUP(A1232,[1]timesData!$B:$P,2,FALSE),VLOOKUP(A1232,[2]cwurData!$B:$P,2,FALSE))</f>
        <v>China</v>
      </c>
      <c r="C1232" t="e">
        <f>VLOOKUP(A1232,[1]timesData!$B:$P,3,FALSE)</f>
        <v>#N/A</v>
      </c>
      <c r="D1232" t="e">
        <f>VLOOKUP(A1233,[1]timesData!$B:$P,3,FALSE)</f>
        <v>#N/A</v>
      </c>
      <c r="E1232" t="e">
        <f>VLOOKUP(A1233,[1]timesData!$B:$P,4,FALSE)</f>
        <v>#N/A</v>
      </c>
      <c r="F1232" t="e">
        <f>VLOOKUP(A1233,[1]timesData!$B:$P,5,FALSE)</f>
        <v>#N/A</v>
      </c>
      <c r="G1232" t="e">
        <f>VLOOKUP(A1233,[1]timesData!$B:$P,6,FALSE)</f>
        <v>#N/A</v>
      </c>
      <c r="H1232" t="e">
        <f>VLOOKUP(A1233,[1]timesData!$B:$P,7,FALSE)</f>
        <v>#N/A</v>
      </c>
      <c r="I1232" t="e">
        <f>VLOOKUP(A1233,[1]timesData!$B:$P,8,FALSE)</f>
        <v>#N/A</v>
      </c>
      <c r="J1232" t="e">
        <f>VLOOKUP(A1233,[1]timesData!$B:$P,9,FALSE)</f>
        <v>#N/A</v>
      </c>
      <c r="K1232" t="e">
        <f>VLOOKUP(A1233,[1]timesData!$B:$P,10,FALSE)</f>
        <v>#N/A</v>
      </c>
      <c r="L1232" t="e">
        <f>VLOOKUP(A1233,[1]timesData!$B:$P,11,FALSE)</f>
        <v>#N/A</v>
      </c>
      <c r="M1232" t="e">
        <f>VLOOKUP(A1233,[1]timesData!$B:$P,12,FALSE)</f>
        <v>#N/A</v>
      </c>
      <c r="N1232" t="e">
        <f>VLOOKUP(A1233,[1]timesData!$B:$P,13,FALSE)</f>
        <v>#N/A</v>
      </c>
      <c r="O1232">
        <f>VLOOKUP(A1232,[2]cwurData!$B:$P,14,FALSE)</f>
        <v>982</v>
      </c>
      <c r="P1232">
        <f>VLOOKUP(A1232,[2]cwurData!$B:$N, 3, FALSE)</f>
        <v>75</v>
      </c>
      <c r="Q1232">
        <f>VLOOKUP(A1232,[2]cwurData!$B:$N, 4, FALSE)</f>
        <v>355</v>
      </c>
      <c r="R1232">
        <f>VLOOKUP(A1232,[2]cwurData!$B:$N, 5, FALSE)</f>
        <v>478</v>
      </c>
      <c r="S1232">
        <f>VLOOKUP(A1232,[2]cwurData!$B:$N, 6, FALSE)</f>
        <v>210</v>
      </c>
      <c r="T1232">
        <f>VLOOKUP(A1232,[2]cwurData!$B:$N, 7, FALSE)</f>
        <v>849</v>
      </c>
      <c r="U1232">
        <f>VLOOKUP(A1232,[2]cwurData!$B:$N, 8, FALSE)</f>
        <v>709</v>
      </c>
      <c r="V1232">
        <f>VLOOKUP(A1232,[2]cwurData!$B:$N, 9, FALSE)</f>
        <v>800</v>
      </c>
      <c r="W1232">
        <f>VLOOKUP(A1232,[2]cwurData!$B:$N, 10, FALSE)</f>
        <v>966</v>
      </c>
      <c r="X1232">
        <f>VLOOKUP(A1232,[2]cwurData!$B:$N, 11, FALSE)</f>
        <v>737</v>
      </c>
      <c r="Y1232">
        <f>VLOOKUP(A1232,[2]cwurData!$B:$N, 12, FALSE)</f>
        <v>44.28</v>
      </c>
      <c r="Z1232">
        <f>VLOOKUP(A1232,[2]cwurData!$B:$N, 13, FALSE)</f>
        <v>2014</v>
      </c>
    </row>
    <row r="1233" spans="1:26" x14ac:dyDescent="0.3">
      <c r="A1233" t="s">
        <v>1220</v>
      </c>
      <c r="B1233" t="str">
        <f>IFERROR(VLOOKUP(A1233,[1]timesData!$B:$P,2,FALSE),VLOOKUP(A1233,[2]cwurData!$B:$P,2,FALSE))</f>
        <v>Brazil</v>
      </c>
      <c r="C1233" t="e">
        <f>VLOOKUP(A1233,[1]timesData!$B:$P,3,FALSE)</f>
        <v>#N/A</v>
      </c>
      <c r="D1233" t="e">
        <f>VLOOKUP(A1234,[1]timesData!$B:$P,3,FALSE)</f>
        <v>#N/A</v>
      </c>
      <c r="E1233" t="e">
        <f>VLOOKUP(A1234,[1]timesData!$B:$P,4,FALSE)</f>
        <v>#N/A</v>
      </c>
      <c r="F1233" t="e">
        <f>VLOOKUP(A1234,[1]timesData!$B:$P,5,FALSE)</f>
        <v>#N/A</v>
      </c>
      <c r="G1233" t="e">
        <f>VLOOKUP(A1234,[1]timesData!$B:$P,6,FALSE)</f>
        <v>#N/A</v>
      </c>
      <c r="H1233" t="e">
        <f>VLOOKUP(A1234,[1]timesData!$B:$P,7,FALSE)</f>
        <v>#N/A</v>
      </c>
      <c r="I1233" t="e">
        <f>VLOOKUP(A1234,[1]timesData!$B:$P,8,FALSE)</f>
        <v>#N/A</v>
      </c>
      <c r="J1233" t="e">
        <f>VLOOKUP(A1234,[1]timesData!$B:$P,9,FALSE)</f>
        <v>#N/A</v>
      </c>
      <c r="K1233" t="e">
        <f>VLOOKUP(A1234,[1]timesData!$B:$P,10,FALSE)</f>
        <v>#N/A</v>
      </c>
      <c r="L1233" t="e">
        <f>VLOOKUP(A1234,[1]timesData!$B:$P,11,FALSE)</f>
        <v>#N/A</v>
      </c>
      <c r="M1233" t="e">
        <f>VLOOKUP(A1234,[1]timesData!$B:$P,12,FALSE)</f>
        <v>#N/A</v>
      </c>
      <c r="N1233" t="e">
        <f>VLOOKUP(A1234,[1]timesData!$B:$P,13,FALSE)</f>
        <v>#N/A</v>
      </c>
      <c r="O1233">
        <f>VLOOKUP(A1233,[2]cwurData!$B:$P,14,FALSE)</f>
        <v>983</v>
      </c>
      <c r="P1233">
        <f>VLOOKUP(A1233,[2]cwurData!$B:$N, 3, FALSE)</f>
        <v>18</v>
      </c>
      <c r="Q1233">
        <f>VLOOKUP(A1233,[2]cwurData!$B:$N, 4, FALSE)</f>
        <v>355</v>
      </c>
      <c r="R1233">
        <f>VLOOKUP(A1233,[2]cwurData!$B:$N, 5, FALSE)</f>
        <v>478</v>
      </c>
      <c r="S1233">
        <f>VLOOKUP(A1233,[2]cwurData!$B:$N, 6, FALSE)</f>
        <v>210</v>
      </c>
      <c r="T1233">
        <f>VLOOKUP(A1233,[2]cwurData!$B:$N, 7, FALSE)</f>
        <v>952</v>
      </c>
      <c r="U1233">
        <f>VLOOKUP(A1233,[2]cwurData!$B:$N, 8, FALSE)</f>
        <v>904</v>
      </c>
      <c r="V1233">
        <f>VLOOKUP(A1233,[2]cwurData!$B:$N, 9, FALSE)</f>
        <v>609</v>
      </c>
      <c r="W1233">
        <f>VLOOKUP(A1233,[2]cwurData!$B:$N, 10, FALSE)</f>
        <v>966</v>
      </c>
      <c r="X1233">
        <f>VLOOKUP(A1233,[2]cwurData!$B:$N, 11, FALSE)</f>
        <v>737</v>
      </c>
      <c r="Y1233">
        <f>VLOOKUP(A1233,[2]cwurData!$B:$N, 12, FALSE)</f>
        <v>44.28</v>
      </c>
      <c r="Z1233">
        <f>VLOOKUP(A1233,[2]cwurData!$B:$N, 13, FALSE)</f>
        <v>2014</v>
      </c>
    </row>
    <row r="1234" spans="1:26" x14ac:dyDescent="0.3">
      <c r="A1234" t="s">
        <v>1221</v>
      </c>
      <c r="B1234" t="str">
        <f>IFERROR(VLOOKUP(A1234,[1]timesData!$B:$P,2,FALSE),VLOOKUP(A1234,[2]cwurData!$B:$P,2,FALSE))</f>
        <v>Spain</v>
      </c>
      <c r="C1234" t="e">
        <f>VLOOKUP(A1234,[1]timesData!$B:$P,3,FALSE)</f>
        <v>#N/A</v>
      </c>
      <c r="D1234" t="e">
        <f>VLOOKUP(A1235,[1]timesData!$B:$P,3,FALSE)</f>
        <v>#N/A</v>
      </c>
      <c r="E1234" t="e">
        <f>VLOOKUP(A1235,[1]timesData!$B:$P,4,FALSE)</f>
        <v>#N/A</v>
      </c>
      <c r="F1234" t="e">
        <f>VLOOKUP(A1235,[1]timesData!$B:$P,5,FALSE)</f>
        <v>#N/A</v>
      </c>
      <c r="G1234" t="e">
        <f>VLOOKUP(A1235,[1]timesData!$B:$P,6,FALSE)</f>
        <v>#N/A</v>
      </c>
      <c r="H1234" t="e">
        <f>VLOOKUP(A1235,[1]timesData!$B:$P,7,FALSE)</f>
        <v>#N/A</v>
      </c>
      <c r="I1234" t="e">
        <f>VLOOKUP(A1235,[1]timesData!$B:$P,8,FALSE)</f>
        <v>#N/A</v>
      </c>
      <c r="J1234" t="e">
        <f>VLOOKUP(A1235,[1]timesData!$B:$P,9,FALSE)</f>
        <v>#N/A</v>
      </c>
      <c r="K1234" t="e">
        <f>VLOOKUP(A1235,[1]timesData!$B:$P,10,FALSE)</f>
        <v>#N/A</v>
      </c>
      <c r="L1234" t="e">
        <f>VLOOKUP(A1235,[1]timesData!$B:$P,11,FALSE)</f>
        <v>#N/A</v>
      </c>
      <c r="M1234" t="e">
        <f>VLOOKUP(A1235,[1]timesData!$B:$P,12,FALSE)</f>
        <v>#N/A</v>
      </c>
      <c r="N1234" t="e">
        <f>VLOOKUP(A1235,[1]timesData!$B:$P,13,FALSE)</f>
        <v>#N/A</v>
      </c>
      <c r="O1234">
        <f>VLOOKUP(A1234,[2]cwurData!$B:$P,14,FALSE)</f>
        <v>984</v>
      </c>
      <c r="P1234">
        <f>VLOOKUP(A1234,[2]cwurData!$B:$N, 3, FALSE)</f>
        <v>41</v>
      </c>
      <c r="Q1234">
        <f>VLOOKUP(A1234,[2]cwurData!$B:$N, 4, FALSE)</f>
        <v>355</v>
      </c>
      <c r="R1234">
        <f>VLOOKUP(A1234,[2]cwurData!$B:$N, 5, FALSE)</f>
        <v>478</v>
      </c>
      <c r="S1234">
        <f>VLOOKUP(A1234,[2]cwurData!$B:$N, 6, FALSE)</f>
        <v>210</v>
      </c>
      <c r="T1234">
        <f>VLOOKUP(A1234,[2]cwurData!$B:$N, 7, FALSE)</f>
        <v>859</v>
      </c>
      <c r="U1234">
        <f>VLOOKUP(A1234,[2]cwurData!$B:$N, 8, FALSE)</f>
        <v>836</v>
      </c>
      <c r="V1234">
        <f>VLOOKUP(A1234,[2]cwurData!$B:$N, 9, FALSE)</f>
        <v>800</v>
      </c>
      <c r="W1234">
        <f>VLOOKUP(A1234,[2]cwurData!$B:$N, 10, FALSE)</f>
        <v>970</v>
      </c>
      <c r="X1234">
        <f>VLOOKUP(A1234,[2]cwurData!$B:$N, 11, FALSE)</f>
        <v>737</v>
      </c>
      <c r="Y1234">
        <f>VLOOKUP(A1234,[2]cwurData!$B:$N, 12, FALSE)</f>
        <v>44.27</v>
      </c>
      <c r="Z1234">
        <f>VLOOKUP(A1234,[2]cwurData!$B:$N, 13, FALSE)</f>
        <v>2014</v>
      </c>
    </row>
    <row r="1235" spans="1:26" x14ac:dyDescent="0.3">
      <c r="A1235" t="s">
        <v>1222</v>
      </c>
      <c r="B1235" t="str">
        <f>IFERROR(VLOOKUP(A1235,[1]timesData!$B:$P,2,FALSE),VLOOKUP(A1235,[2]cwurData!$B:$P,2,FALSE))</f>
        <v>China</v>
      </c>
      <c r="C1235" t="e">
        <f>VLOOKUP(A1235,[1]timesData!$B:$P,3,FALSE)</f>
        <v>#N/A</v>
      </c>
      <c r="D1235" t="e">
        <f>VLOOKUP(A1236,[1]timesData!$B:$P,3,FALSE)</f>
        <v>#N/A</v>
      </c>
      <c r="E1235" t="e">
        <f>VLOOKUP(A1236,[1]timesData!$B:$P,4,FALSE)</f>
        <v>#N/A</v>
      </c>
      <c r="F1235" t="e">
        <f>VLOOKUP(A1236,[1]timesData!$B:$P,5,FALSE)</f>
        <v>#N/A</v>
      </c>
      <c r="G1235" t="e">
        <f>VLOOKUP(A1236,[1]timesData!$B:$P,6,FALSE)</f>
        <v>#N/A</v>
      </c>
      <c r="H1235" t="e">
        <f>VLOOKUP(A1236,[1]timesData!$B:$P,7,FALSE)</f>
        <v>#N/A</v>
      </c>
      <c r="I1235" t="e">
        <f>VLOOKUP(A1236,[1]timesData!$B:$P,8,FALSE)</f>
        <v>#N/A</v>
      </c>
      <c r="J1235" t="e">
        <f>VLOOKUP(A1236,[1]timesData!$B:$P,9,FALSE)</f>
        <v>#N/A</v>
      </c>
      <c r="K1235" t="e">
        <f>VLOOKUP(A1236,[1]timesData!$B:$P,10,FALSE)</f>
        <v>#N/A</v>
      </c>
      <c r="L1235" t="e">
        <f>VLOOKUP(A1236,[1]timesData!$B:$P,11,FALSE)</f>
        <v>#N/A</v>
      </c>
      <c r="M1235" t="e">
        <f>VLOOKUP(A1236,[1]timesData!$B:$P,12,FALSE)</f>
        <v>#N/A</v>
      </c>
      <c r="N1235" t="e">
        <f>VLOOKUP(A1236,[1]timesData!$B:$P,13,FALSE)</f>
        <v>#N/A</v>
      </c>
      <c r="O1235">
        <f>VLOOKUP(A1235,[2]cwurData!$B:$P,14,FALSE)</f>
        <v>985</v>
      </c>
      <c r="P1235">
        <f>VLOOKUP(A1235,[2]cwurData!$B:$N, 3, FALSE)</f>
        <v>76</v>
      </c>
      <c r="Q1235">
        <f>VLOOKUP(A1235,[2]cwurData!$B:$N, 4, FALSE)</f>
        <v>355</v>
      </c>
      <c r="R1235">
        <f>VLOOKUP(A1235,[2]cwurData!$B:$N, 5, FALSE)</f>
        <v>478</v>
      </c>
      <c r="S1235">
        <f>VLOOKUP(A1235,[2]cwurData!$B:$N, 6, FALSE)</f>
        <v>210</v>
      </c>
      <c r="T1235">
        <f>VLOOKUP(A1235,[2]cwurData!$B:$N, 7, FALSE)</f>
        <v>809</v>
      </c>
      <c r="U1235">
        <f>VLOOKUP(A1235,[2]cwurData!$B:$N, 8, FALSE)</f>
        <v>938</v>
      </c>
      <c r="V1235">
        <f>VLOOKUP(A1235,[2]cwurData!$B:$N, 9, FALSE)</f>
        <v>609</v>
      </c>
      <c r="W1235">
        <f>VLOOKUP(A1235,[2]cwurData!$B:$N, 10, FALSE)</f>
        <v>973</v>
      </c>
      <c r="X1235">
        <f>VLOOKUP(A1235,[2]cwurData!$B:$N, 11, FALSE)</f>
        <v>637</v>
      </c>
      <c r="Y1235">
        <f>VLOOKUP(A1235,[2]cwurData!$B:$N, 12, FALSE)</f>
        <v>44.27</v>
      </c>
      <c r="Z1235">
        <f>VLOOKUP(A1235,[2]cwurData!$B:$N, 13, FALSE)</f>
        <v>2014</v>
      </c>
    </row>
    <row r="1236" spans="1:26" x14ac:dyDescent="0.3">
      <c r="A1236" t="s">
        <v>1223</v>
      </c>
      <c r="B1236" t="str">
        <f>IFERROR(VLOOKUP(A1236,[1]timesData!$B:$P,2,FALSE),VLOOKUP(A1236,[2]cwurData!$B:$P,2,FALSE))</f>
        <v>China</v>
      </c>
      <c r="C1236" t="e">
        <f>VLOOKUP(A1236,[1]timesData!$B:$P,3,FALSE)</f>
        <v>#N/A</v>
      </c>
      <c r="D1236" t="e">
        <f>VLOOKUP(A1237,[1]timesData!$B:$P,3,FALSE)</f>
        <v>#N/A</v>
      </c>
      <c r="E1236" t="e">
        <f>VLOOKUP(A1237,[1]timesData!$B:$P,4,FALSE)</f>
        <v>#N/A</v>
      </c>
      <c r="F1236" t="e">
        <f>VLOOKUP(A1237,[1]timesData!$B:$P,5,FALSE)</f>
        <v>#N/A</v>
      </c>
      <c r="G1236" t="e">
        <f>VLOOKUP(A1237,[1]timesData!$B:$P,6,FALSE)</f>
        <v>#N/A</v>
      </c>
      <c r="H1236" t="e">
        <f>VLOOKUP(A1237,[1]timesData!$B:$P,7,FALSE)</f>
        <v>#N/A</v>
      </c>
      <c r="I1236" t="e">
        <f>VLOOKUP(A1237,[1]timesData!$B:$P,8,FALSE)</f>
        <v>#N/A</v>
      </c>
      <c r="J1236" t="e">
        <f>VLOOKUP(A1237,[1]timesData!$B:$P,9,FALSE)</f>
        <v>#N/A</v>
      </c>
      <c r="K1236" t="e">
        <f>VLOOKUP(A1237,[1]timesData!$B:$P,10,FALSE)</f>
        <v>#N/A</v>
      </c>
      <c r="L1236" t="e">
        <f>VLOOKUP(A1237,[1]timesData!$B:$P,11,FALSE)</f>
        <v>#N/A</v>
      </c>
      <c r="M1236" t="e">
        <f>VLOOKUP(A1237,[1]timesData!$B:$P,12,FALSE)</f>
        <v>#N/A</v>
      </c>
      <c r="N1236" t="e">
        <f>VLOOKUP(A1237,[1]timesData!$B:$P,13,FALSE)</f>
        <v>#N/A</v>
      </c>
      <c r="O1236">
        <f>VLOOKUP(A1236,[2]cwurData!$B:$P,14,FALSE)</f>
        <v>986</v>
      </c>
      <c r="P1236">
        <f>VLOOKUP(A1236,[2]cwurData!$B:$N, 3, FALSE)</f>
        <v>77</v>
      </c>
      <c r="Q1236">
        <f>VLOOKUP(A1236,[2]cwurData!$B:$N, 4, FALSE)</f>
        <v>313</v>
      </c>
      <c r="R1236">
        <f>VLOOKUP(A1236,[2]cwurData!$B:$N, 5, FALSE)</f>
        <v>478</v>
      </c>
      <c r="S1236">
        <f>VLOOKUP(A1236,[2]cwurData!$B:$N, 6, FALSE)</f>
        <v>210</v>
      </c>
      <c r="T1236">
        <f>VLOOKUP(A1236,[2]cwurData!$B:$N, 7, FALSE)</f>
        <v>919</v>
      </c>
      <c r="U1236">
        <f>VLOOKUP(A1236,[2]cwurData!$B:$N, 8, FALSE)</f>
        <v>974</v>
      </c>
      <c r="V1236">
        <f>VLOOKUP(A1236,[2]cwurData!$B:$N, 9, FALSE)</f>
        <v>800</v>
      </c>
      <c r="W1236">
        <f>VLOOKUP(A1236,[2]cwurData!$B:$N, 10, FALSE)</f>
        <v>979</v>
      </c>
      <c r="X1236">
        <f>VLOOKUP(A1236,[2]cwurData!$B:$N, 11, FALSE)</f>
        <v>637</v>
      </c>
      <c r="Y1236">
        <f>VLOOKUP(A1236,[2]cwurData!$B:$N, 12, FALSE)</f>
        <v>44.27</v>
      </c>
      <c r="Z1236">
        <f>VLOOKUP(A1236,[2]cwurData!$B:$N, 13, FALSE)</f>
        <v>2014</v>
      </c>
    </row>
    <row r="1237" spans="1:26" x14ac:dyDescent="0.3">
      <c r="A1237" t="s">
        <v>1247</v>
      </c>
      <c r="B1237" t="str">
        <f>IFERROR(VLOOKUP(A1237,[1]timesData!$B:$P,2,FALSE),VLOOKUP(A1237,[2]cwurData!$B:$P,2,FALSE))</f>
        <v>Romania</v>
      </c>
      <c r="C1237" t="e">
        <f>VLOOKUP(A1237,[1]timesData!$B:$P,3,FALSE)</f>
        <v>#N/A</v>
      </c>
      <c r="D1237" t="e">
        <f>VLOOKUP(A1238,[1]timesData!$B:$P,3,FALSE)</f>
        <v>#N/A</v>
      </c>
      <c r="E1237" t="e">
        <f>VLOOKUP(A1238,[1]timesData!$B:$P,4,FALSE)</f>
        <v>#N/A</v>
      </c>
      <c r="F1237" t="e">
        <f>VLOOKUP(A1238,[1]timesData!$B:$P,5,FALSE)</f>
        <v>#N/A</v>
      </c>
      <c r="G1237" t="e">
        <f>VLOOKUP(A1238,[1]timesData!$B:$P,6,FALSE)</f>
        <v>#N/A</v>
      </c>
      <c r="H1237" t="e">
        <f>VLOOKUP(A1238,[1]timesData!$B:$P,7,FALSE)</f>
        <v>#N/A</v>
      </c>
      <c r="I1237" t="e">
        <f>VLOOKUP(A1238,[1]timesData!$B:$P,8,FALSE)</f>
        <v>#N/A</v>
      </c>
      <c r="J1237" t="e">
        <f>VLOOKUP(A1238,[1]timesData!$B:$P,9,FALSE)</f>
        <v>#N/A</v>
      </c>
      <c r="K1237" t="e">
        <f>VLOOKUP(A1238,[1]timesData!$B:$P,10,FALSE)</f>
        <v>#N/A</v>
      </c>
      <c r="L1237" t="e">
        <f>VLOOKUP(A1238,[1]timesData!$B:$P,11,FALSE)</f>
        <v>#N/A</v>
      </c>
      <c r="M1237" t="e">
        <f>VLOOKUP(A1238,[1]timesData!$B:$P,12,FALSE)</f>
        <v>#N/A</v>
      </c>
      <c r="N1237" t="e">
        <f>VLOOKUP(A1238,[1]timesData!$B:$P,13,FALSE)</f>
        <v>#N/A</v>
      </c>
      <c r="O1237">
        <f>VLOOKUP(A1237,[2]cwurData!$B:$P,14,FALSE)</f>
        <v>987</v>
      </c>
      <c r="P1237">
        <f>VLOOKUP(A1237,[2]cwurData!$B:$N, 3, FALSE)</f>
        <v>2</v>
      </c>
      <c r="Q1237">
        <f>VLOOKUP(A1237,[2]cwurData!$B:$N, 4, FALSE)</f>
        <v>367</v>
      </c>
      <c r="R1237">
        <f>VLOOKUP(A1237,[2]cwurData!$B:$N, 5, FALSE)</f>
        <v>567</v>
      </c>
      <c r="S1237">
        <f>VLOOKUP(A1237,[2]cwurData!$B:$N, 6, FALSE)</f>
        <v>218</v>
      </c>
      <c r="T1237">
        <f>VLOOKUP(A1237,[2]cwurData!$B:$N, 7, FALSE)</f>
        <v>874</v>
      </c>
      <c r="U1237">
        <f>VLOOKUP(A1237,[2]cwurData!$B:$N, 8, FALSE)</f>
        <v>855</v>
      </c>
      <c r="V1237">
        <f>VLOOKUP(A1237,[2]cwurData!$B:$N, 9, FALSE)</f>
        <v>812</v>
      </c>
      <c r="W1237">
        <f>VLOOKUP(A1237,[2]cwurData!$B:$N, 10, FALSE)</f>
        <v>958</v>
      </c>
      <c r="X1237">
        <f>VLOOKUP(A1237,[2]cwurData!$B:$N, 11, FALSE)</f>
        <v>871</v>
      </c>
      <c r="Y1237">
        <f>VLOOKUP(A1237,[2]cwurData!$B:$N, 12, FALSE)</f>
        <v>44.04</v>
      </c>
      <c r="Z1237">
        <f>VLOOKUP(A1237,[2]cwurData!$B:$N, 13, FALSE)</f>
        <v>2015</v>
      </c>
    </row>
    <row r="1238" spans="1:26" x14ac:dyDescent="0.3">
      <c r="A1238" t="s">
        <v>1224</v>
      </c>
      <c r="B1238" t="str">
        <f>IFERROR(VLOOKUP(A1238,[1]timesData!$B:$P,2,FALSE),VLOOKUP(A1238,[2]cwurData!$B:$P,2,FALSE))</f>
        <v>China</v>
      </c>
      <c r="C1238" t="e">
        <f>VLOOKUP(A1238,[1]timesData!$B:$P,3,FALSE)</f>
        <v>#N/A</v>
      </c>
      <c r="D1238" t="e">
        <f>VLOOKUP(A1239,[1]timesData!$B:$P,3,FALSE)</f>
        <v>#N/A</v>
      </c>
      <c r="E1238" t="e">
        <f>VLOOKUP(A1239,[1]timesData!$B:$P,4,FALSE)</f>
        <v>#N/A</v>
      </c>
      <c r="F1238" t="e">
        <f>VLOOKUP(A1239,[1]timesData!$B:$P,5,FALSE)</f>
        <v>#N/A</v>
      </c>
      <c r="G1238" t="e">
        <f>VLOOKUP(A1239,[1]timesData!$B:$P,6,FALSE)</f>
        <v>#N/A</v>
      </c>
      <c r="H1238" t="e">
        <f>VLOOKUP(A1239,[1]timesData!$B:$P,7,FALSE)</f>
        <v>#N/A</v>
      </c>
      <c r="I1238" t="e">
        <f>VLOOKUP(A1239,[1]timesData!$B:$P,8,FALSE)</f>
        <v>#N/A</v>
      </c>
      <c r="J1238" t="e">
        <f>VLOOKUP(A1239,[1]timesData!$B:$P,9,FALSE)</f>
        <v>#N/A</v>
      </c>
      <c r="K1238" t="e">
        <f>VLOOKUP(A1239,[1]timesData!$B:$P,10,FALSE)</f>
        <v>#N/A</v>
      </c>
      <c r="L1238" t="e">
        <f>VLOOKUP(A1239,[1]timesData!$B:$P,11,FALSE)</f>
        <v>#N/A</v>
      </c>
      <c r="M1238" t="e">
        <f>VLOOKUP(A1239,[1]timesData!$B:$P,12,FALSE)</f>
        <v>#N/A</v>
      </c>
      <c r="N1238" t="e">
        <f>VLOOKUP(A1239,[1]timesData!$B:$P,13,FALSE)</f>
        <v>#N/A</v>
      </c>
      <c r="O1238">
        <f>VLOOKUP(A1238,[2]cwurData!$B:$P,14,FALSE)</f>
        <v>987</v>
      </c>
      <c r="P1238">
        <f>VLOOKUP(A1238,[2]cwurData!$B:$N, 3, FALSE)</f>
        <v>78</v>
      </c>
      <c r="Q1238">
        <f>VLOOKUP(A1238,[2]cwurData!$B:$N, 4, FALSE)</f>
        <v>355</v>
      </c>
      <c r="R1238">
        <f>VLOOKUP(A1238,[2]cwurData!$B:$N, 5, FALSE)</f>
        <v>478</v>
      </c>
      <c r="S1238">
        <f>VLOOKUP(A1238,[2]cwurData!$B:$N, 6, FALSE)</f>
        <v>210</v>
      </c>
      <c r="T1238">
        <f>VLOOKUP(A1238,[2]cwurData!$B:$N, 7, FALSE)</f>
        <v>787</v>
      </c>
      <c r="U1238">
        <f>VLOOKUP(A1238,[2]cwurData!$B:$N, 8, FALSE)</f>
        <v>894</v>
      </c>
      <c r="V1238">
        <f>VLOOKUP(A1238,[2]cwurData!$B:$N, 9, FALSE)</f>
        <v>800</v>
      </c>
      <c r="W1238">
        <f>VLOOKUP(A1238,[2]cwurData!$B:$N, 10, FALSE)</f>
        <v>973</v>
      </c>
      <c r="X1238">
        <f>VLOOKUP(A1238,[2]cwurData!$B:$N, 11, FALSE)</f>
        <v>737</v>
      </c>
      <c r="Y1238">
        <f>VLOOKUP(A1238,[2]cwurData!$B:$N, 12, FALSE)</f>
        <v>44.27</v>
      </c>
      <c r="Z1238">
        <f>VLOOKUP(A1238,[2]cwurData!$B:$N, 13, FALSE)</f>
        <v>2014</v>
      </c>
    </row>
    <row r="1239" spans="1:26" x14ac:dyDescent="0.3">
      <c r="A1239" t="s">
        <v>1225</v>
      </c>
      <c r="B1239" t="str">
        <f>IFERROR(VLOOKUP(A1239,[1]timesData!$B:$P,2,FALSE),VLOOKUP(A1239,[2]cwurData!$B:$P,2,FALSE))</f>
        <v>China</v>
      </c>
      <c r="C1239" t="e">
        <f>VLOOKUP(A1239,[1]timesData!$B:$P,3,FALSE)</f>
        <v>#N/A</v>
      </c>
      <c r="D1239" t="e">
        <f>VLOOKUP(A1240,[1]timesData!$B:$P,3,FALSE)</f>
        <v>#N/A</v>
      </c>
      <c r="E1239" t="e">
        <f>VLOOKUP(A1240,[1]timesData!$B:$P,4,FALSE)</f>
        <v>#N/A</v>
      </c>
      <c r="F1239" t="e">
        <f>VLOOKUP(A1240,[1]timesData!$B:$P,5,FALSE)</f>
        <v>#N/A</v>
      </c>
      <c r="G1239" t="e">
        <f>VLOOKUP(A1240,[1]timesData!$B:$P,6,FALSE)</f>
        <v>#N/A</v>
      </c>
      <c r="H1239" t="e">
        <f>VLOOKUP(A1240,[1]timesData!$B:$P,7,FALSE)</f>
        <v>#N/A</v>
      </c>
      <c r="I1239" t="e">
        <f>VLOOKUP(A1240,[1]timesData!$B:$P,8,FALSE)</f>
        <v>#N/A</v>
      </c>
      <c r="J1239" t="e">
        <f>VLOOKUP(A1240,[1]timesData!$B:$P,9,FALSE)</f>
        <v>#N/A</v>
      </c>
      <c r="K1239" t="e">
        <f>VLOOKUP(A1240,[1]timesData!$B:$P,10,FALSE)</f>
        <v>#N/A</v>
      </c>
      <c r="L1239" t="e">
        <f>VLOOKUP(A1240,[1]timesData!$B:$P,11,FALSE)</f>
        <v>#N/A</v>
      </c>
      <c r="M1239" t="e">
        <f>VLOOKUP(A1240,[1]timesData!$B:$P,12,FALSE)</f>
        <v>#N/A</v>
      </c>
      <c r="N1239" t="e">
        <f>VLOOKUP(A1240,[1]timesData!$B:$P,13,FALSE)</f>
        <v>#N/A</v>
      </c>
      <c r="O1239">
        <f>VLOOKUP(A1239,[2]cwurData!$B:$P,14,FALSE)</f>
        <v>988</v>
      </c>
      <c r="P1239">
        <f>VLOOKUP(A1239,[2]cwurData!$B:$N, 3, FALSE)</f>
        <v>79</v>
      </c>
      <c r="Q1239">
        <f>VLOOKUP(A1239,[2]cwurData!$B:$N, 4, FALSE)</f>
        <v>355</v>
      </c>
      <c r="R1239">
        <f>VLOOKUP(A1239,[2]cwurData!$B:$N, 5, FALSE)</f>
        <v>478</v>
      </c>
      <c r="S1239">
        <f>VLOOKUP(A1239,[2]cwurData!$B:$N, 6, FALSE)</f>
        <v>210</v>
      </c>
      <c r="T1239">
        <f>VLOOKUP(A1239,[2]cwurData!$B:$N, 7, FALSE)</f>
        <v>885</v>
      </c>
      <c r="U1239">
        <f>VLOOKUP(A1239,[2]cwurData!$B:$N, 8, FALSE)</f>
        <v>907</v>
      </c>
      <c r="V1239">
        <f>VLOOKUP(A1239,[2]cwurData!$B:$N, 9, FALSE)</f>
        <v>800</v>
      </c>
      <c r="W1239">
        <f>VLOOKUP(A1239,[2]cwurData!$B:$N, 10, FALSE)</f>
        <v>973</v>
      </c>
      <c r="X1239">
        <f>VLOOKUP(A1239,[2]cwurData!$B:$N, 11, FALSE)</f>
        <v>737</v>
      </c>
      <c r="Y1239">
        <f>VLOOKUP(A1239,[2]cwurData!$B:$N, 12, FALSE)</f>
        <v>44.26</v>
      </c>
      <c r="Z1239">
        <f>VLOOKUP(A1239,[2]cwurData!$B:$N, 13, FALSE)</f>
        <v>2014</v>
      </c>
    </row>
    <row r="1240" spans="1:26" x14ac:dyDescent="0.3">
      <c r="A1240" t="s">
        <v>1226</v>
      </c>
      <c r="B1240" t="str">
        <f>IFERROR(VLOOKUP(A1240,[1]timesData!$B:$P,2,FALSE),VLOOKUP(A1240,[2]cwurData!$B:$P,2,FALSE))</f>
        <v>Taiwan</v>
      </c>
      <c r="C1240" t="e">
        <f>VLOOKUP(A1240,[1]timesData!$B:$P,3,FALSE)</f>
        <v>#N/A</v>
      </c>
      <c r="D1240" t="e">
        <f>VLOOKUP(A1241,[1]timesData!$B:$P,3,FALSE)</f>
        <v>#N/A</v>
      </c>
      <c r="E1240" t="e">
        <f>VLOOKUP(A1241,[1]timesData!$B:$P,4,FALSE)</f>
        <v>#N/A</v>
      </c>
      <c r="F1240" t="e">
        <f>VLOOKUP(A1241,[1]timesData!$B:$P,5,FALSE)</f>
        <v>#N/A</v>
      </c>
      <c r="G1240" t="e">
        <f>VLOOKUP(A1241,[1]timesData!$B:$P,6,FALSE)</f>
        <v>#N/A</v>
      </c>
      <c r="H1240" t="e">
        <f>VLOOKUP(A1241,[1]timesData!$B:$P,7,FALSE)</f>
        <v>#N/A</v>
      </c>
      <c r="I1240" t="e">
        <f>VLOOKUP(A1241,[1]timesData!$B:$P,8,FALSE)</f>
        <v>#N/A</v>
      </c>
      <c r="J1240" t="e">
        <f>VLOOKUP(A1241,[1]timesData!$B:$P,9,FALSE)</f>
        <v>#N/A</v>
      </c>
      <c r="K1240" t="e">
        <f>VLOOKUP(A1241,[1]timesData!$B:$P,10,FALSE)</f>
        <v>#N/A</v>
      </c>
      <c r="L1240" t="e">
        <f>VLOOKUP(A1241,[1]timesData!$B:$P,11,FALSE)</f>
        <v>#N/A</v>
      </c>
      <c r="M1240" t="e">
        <f>VLOOKUP(A1241,[1]timesData!$B:$P,12,FALSE)</f>
        <v>#N/A</v>
      </c>
      <c r="N1240" t="e">
        <f>VLOOKUP(A1241,[1]timesData!$B:$P,13,FALSE)</f>
        <v>#N/A</v>
      </c>
      <c r="O1240">
        <f>VLOOKUP(A1240,[2]cwurData!$B:$P,14,FALSE)</f>
        <v>989</v>
      </c>
      <c r="P1240">
        <f>VLOOKUP(A1240,[2]cwurData!$B:$N, 3, FALSE)</f>
        <v>22</v>
      </c>
      <c r="Q1240">
        <f>VLOOKUP(A1240,[2]cwurData!$B:$N, 4, FALSE)</f>
        <v>355</v>
      </c>
      <c r="R1240">
        <f>VLOOKUP(A1240,[2]cwurData!$B:$N, 5, FALSE)</f>
        <v>478</v>
      </c>
      <c r="S1240">
        <f>VLOOKUP(A1240,[2]cwurData!$B:$N, 6, FALSE)</f>
        <v>210</v>
      </c>
      <c r="T1240">
        <f>VLOOKUP(A1240,[2]cwurData!$B:$N, 7, FALSE)</f>
        <v>929</v>
      </c>
      <c r="U1240">
        <f>VLOOKUP(A1240,[2]cwurData!$B:$N, 8, FALSE)</f>
        <v>974</v>
      </c>
      <c r="V1240">
        <f>VLOOKUP(A1240,[2]cwurData!$B:$N, 9, FALSE)</f>
        <v>800</v>
      </c>
      <c r="W1240">
        <f>VLOOKUP(A1240,[2]cwurData!$B:$N, 10, FALSE)</f>
        <v>973</v>
      </c>
      <c r="X1240">
        <f>VLOOKUP(A1240,[2]cwurData!$B:$N, 11, FALSE)</f>
        <v>737</v>
      </c>
      <c r="Y1240">
        <f>VLOOKUP(A1240,[2]cwurData!$B:$N, 12, FALSE)</f>
        <v>44.26</v>
      </c>
      <c r="Z1240">
        <f>VLOOKUP(A1240,[2]cwurData!$B:$N, 13, FALSE)</f>
        <v>2014</v>
      </c>
    </row>
    <row r="1241" spans="1:26" x14ac:dyDescent="0.3">
      <c r="A1241" t="s">
        <v>1227</v>
      </c>
      <c r="B1241" t="str">
        <f>IFERROR(VLOOKUP(A1241,[1]timesData!$B:$P,2,FALSE),VLOOKUP(A1241,[2]cwurData!$B:$P,2,FALSE))</f>
        <v>China</v>
      </c>
      <c r="C1241" t="e">
        <f>VLOOKUP(A1241,[1]timesData!$B:$P,3,FALSE)</f>
        <v>#N/A</v>
      </c>
      <c r="D1241" t="e">
        <f>VLOOKUP(A1242,[1]timesData!$B:$P,3,FALSE)</f>
        <v>#N/A</v>
      </c>
      <c r="E1241" t="e">
        <f>VLOOKUP(A1242,[1]timesData!$B:$P,4,FALSE)</f>
        <v>#N/A</v>
      </c>
      <c r="F1241" t="e">
        <f>VLOOKUP(A1242,[1]timesData!$B:$P,5,FALSE)</f>
        <v>#N/A</v>
      </c>
      <c r="G1241" t="e">
        <f>VLOOKUP(A1242,[1]timesData!$B:$P,6,FALSE)</f>
        <v>#N/A</v>
      </c>
      <c r="H1241" t="e">
        <f>VLOOKUP(A1242,[1]timesData!$B:$P,7,FALSE)</f>
        <v>#N/A</v>
      </c>
      <c r="I1241" t="e">
        <f>VLOOKUP(A1242,[1]timesData!$B:$P,8,FALSE)</f>
        <v>#N/A</v>
      </c>
      <c r="J1241" t="e">
        <f>VLOOKUP(A1242,[1]timesData!$B:$P,9,FALSE)</f>
        <v>#N/A</v>
      </c>
      <c r="K1241" t="e">
        <f>VLOOKUP(A1242,[1]timesData!$B:$P,10,FALSE)</f>
        <v>#N/A</v>
      </c>
      <c r="L1241" t="e">
        <f>VLOOKUP(A1242,[1]timesData!$B:$P,11,FALSE)</f>
        <v>#N/A</v>
      </c>
      <c r="M1241" t="e">
        <f>VLOOKUP(A1242,[1]timesData!$B:$P,12,FALSE)</f>
        <v>#N/A</v>
      </c>
      <c r="N1241" t="e">
        <f>VLOOKUP(A1242,[1]timesData!$B:$P,13,FALSE)</f>
        <v>#N/A</v>
      </c>
      <c r="O1241">
        <f>VLOOKUP(A1241,[2]cwurData!$B:$P,14,FALSE)</f>
        <v>990</v>
      </c>
      <c r="P1241">
        <f>VLOOKUP(A1241,[2]cwurData!$B:$N, 3, FALSE)</f>
        <v>80</v>
      </c>
      <c r="Q1241">
        <f>VLOOKUP(A1241,[2]cwurData!$B:$N, 4, FALSE)</f>
        <v>355</v>
      </c>
      <c r="R1241">
        <f>VLOOKUP(A1241,[2]cwurData!$B:$N, 5, FALSE)</f>
        <v>478</v>
      </c>
      <c r="S1241">
        <f>VLOOKUP(A1241,[2]cwurData!$B:$N, 6, FALSE)</f>
        <v>210</v>
      </c>
      <c r="T1241">
        <f>VLOOKUP(A1241,[2]cwurData!$B:$N, 7, FALSE)</f>
        <v>900</v>
      </c>
      <c r="U1241">
        <f>VLOOKUP(A1241,[2]cwurData!$B:$N, 8, FALSE)</f>
        <v>862</v>
      </c>
      <c r="V1241">
        <f>VLOOKUP(A1241,[2]cwurData!$B:$N, 9, FALSE)</f>
        <v>800</v>
      </c>
      <c r="W1241">
        <f>VLOOKUP(A1241,[2]cwurData!$B:$N, 10, FALSE)</f>
        <v>979</v>
      </c>
      <c r="X1241">
        <f>VLOOKUP(A1241,[2]cwurData!$B:$N, 11, FALSE)</f>
        <v>737</v>
      </c>
      <c r="Y1241">
        <f>VLOOKUP(A1241,[2]cwurData!$B:$N, 12, FALSE)</f>
        <v>44.26</v>
      </c>
      <c r="Z1241">
        <f>VLOOKUP(A1241,[2]cwurData!$B:$N, 13, FALSE)</f>
        <v>2014</v>
      </c>
    </row>
    <row r="1242" spans="1:26" x14ac:dyDescent="0.3">
      <c r="A1242" t="s">
        <v>1248</v>
      </c>
      <c r="B1242" t="str">
        <f>IFERROR(VLOOKUP(A1242,[1]timesData!$B:$P,2,FALSE),VLOOKUP(A1242,[2]cwurData!$B:$P,2,FALSE))</f>
        <v>China</v>
      </c>
      <c r="C1242" t="e">
        <f>VLOOKUP(A1242,[1]timesData!$B:$P,3,FALSE)</f>
        <v>#N/A</v>
      </c>
      <c r="D1242" t="e">
        <f>VLOOKUP(A1243,[1]timesData!$B:$P,3,FALSE)</f>
        <v>#N/A</v>
      </c>
      <c r="E1242" t="e">
        <f>VLOOKUP(A1243,[1]timesData!$B:$P,4,FALSE)</f>
        <v>#N/A</v>
      </c>
      <c r="F1242" t="e">
        <f>VLOOKUP(A1243,[1]timesData!$B:$P,5,FALSE)</f>
        <v>#N/A</v>
      </c>
      <c r="G1242" t="e">
        <f>VLOOKUP(A1243,[1]timesData!$B:$P,6,FALSE)</f>
        <v>#N/A</v>
      </c>
      <c r="H1242" t="e">
        <f>VLOOKUP(A1243,[1]timesData!$B:$P,7,FALSE)</f>
        <v>#N/A</v>
      </c>
      <c r="I1242" t="e">
        <f>VLOOKUP(A1243,[1]timesData!$B:$P,8,FALSE)</f>
        <v>#N/A</v>
      </c>
      <c r="J1242" t="e">
        <f>VLOOKUP(A1243,[1]timesData!$B:$P,9,FALSE)</f>
        <v>#N/A</v>
      </c>
      <c r="K1242" t="e">
        <f>VLOOKUP(A1243,[1]timesData!$B:$P,10,FALSE)</f>
        <v>#N/A</v>
      </c>
      <c r="L1242" t="e">
        <f>VLOOKUP(A1243,[1]timesData!$B:$P,11,FALSE)</f>
        <v>#N/A</v>
      </c>
      <c r="M1242" t="e">
        <f>VLOOKUP(A1243,[1]timesData!$B:$P,12,FALSE)</f>
        <v>#N/A</v>
      </c>
      <c r="N1242" t="e">
        <f>VLOOKUP(A1243,[1]timesData!$B:$P,13,FALSE)</f>
        <v>#N/A</v>
      </c>
      <c r="O1242">
        <f>VLOOKUP(A1242,[2]cwurData!$B:$P,14,FALSE)</f>
        <v>990</v>
      </c>
      <c r="P1242">
        <f>VLOOKUP(A1242,[2]cwurData!$B:$N, 3, FALSE)</f>
        <v>80</v>
      </c>
      <c r="Q1242">
        <f>VLOOKUP(A1242,[2]cwurData!$B:$N, 4, FALSE)</f>
        <v>367</v>
      </c>
      <c r="R1242">
        <f>VLOOKUP(A1242,[2]cwurData!$B:$N, 5, FALSE)</f>
        <v>567</v>
      </c>
      <c r="S1242">
        <f>VLOOKUP(A1242,[2]cwurData!$B:$N, 6, FALSE)</f>
        <v>218</v>
      </c>
      <c r="T1242">
        <f>VLOOKUP(A1242,[2]cwurData!$B:$N, 7, FALSE)</f>
        <v>959</v>
      </c>
      <c r="U1242">
        <f>VLOOKUP(A1242,[2]cwurData!$B:$N, 8, FALSE)</f>
        <v>991</v>
      </c>
      <c r="V1242">
        <f>VLOOKUP(A1242,[2]cwurData!$B:$N, 9, FALSE)</f>
        <v>812</v>
      </c>
      <c r="W1242">
        <f>VLOOKUP(A1242,[2]cwurData!$B:$N, 10, FALSE)</f>
        <v>958</v>
      </c>
      <c r="X1242">
        <f>VLOOKUP(A1242,[2]cwurData!$B:$N, 11, FALSE)</f>
        <v>871</v>
      </c>
      <c r="Y1242">
        <f>VLOOKUP(A1242,[2]cwurData!$B:$N, 12, FALSE)</f>
        <v>44.04</v>
      </c>
      <c r="Z1242">
        <f>VLOOKUP(A1242,[2]cwurData!$B:$N, 13, FALSE)</f>
        <v>2015</v>
      </c>
    </row>
    <row r="1243" spans="1:26" x14ac:dyDescent="0.3">
      <c r="A1243" t="s">
        <v>1228</v>
      </c>
      <c r="B1243" t="str">
        <f>IFERROR(VLOOKUP(A1243,[1]timesData!$B:$P,2,FALSE),VLOOKUP(A1243,[2]cwurData!$B:$P,2,FALSE))</f>
        <v>China</v>
      </c>
      <c r="C1243" t="e">
        <f>VLOOKUP(A1243,[1]timesData!$B:$P,3,FALSE)</f>
        <v>#N/A</v>
      </c>
      <c r="D1243" t="e">
        <f>VLOOKUP(A1244,[1]timesData!$B:$P,3,FALSE)</f>
        <v>#N/A</v>
      </c>
      <c r="E1243" t="e">
        <f>VLOOKUP(A1244,[1]timesData!$B:$P,4,FALSE)</f>
        <v>#N/A</v>
      </c>
      <c r="F1243" t="e">
        <f>VLOOKUP(A1244,[1]timesData!$B:$P,5,FALSE)</f>
        <v>#N/A</v>
      </c>
      <c r="G1243" t="e">
        <f>VLOOKUP(A1244,[1]timesData!$B:$P,6,FALSE)</f>
        <v>#N/A</v>
      </c>
      <c r="H1243" t="e">
        <f>VLOOKUP(A1244,[1]timesData!$B:$P,7,FALSE)</f>
        <v>#N/A</v>
      </c>
      <c r="I1243" t="e">
        <f>VLOOKUP(A1244,[1]timesData!$B:$P,8,FALSE)</f>
        <v>#N/A</v>
      </c>
      <c r="J1243" t="e">
        <f>VLOOKUP(A1244,[1]timesData!$B:$P,9,FALSE)</f>
        <v>#N/A</v>
      </c>
      <c r="K1243" t="e">
        <f>VLOOKUP(A1244,[1]timesData!$B:$P,10,FALSE)</f>
        <v>#N/A</v>
      </c>
      <c r="L1243" t="e">
        <f>VLOOKUP(A1244,[1]timesData!$B:$P,11,FALSE)</f>
        <v>#N/A</v>
      </c>
      <c r="M1243" t="e">
        <f>VLOOKUP(A1244,[1]timesData!$B:$P,12,FALSE)</f>
        <v>#N/A</v>
      </c>
      <c r="N1243" t="e">
        <f>VLOOKUP(A1244,[1]timesData!$B:$P,13,FALSE)</f>
        <v>#N/A</v>
      </c>
      <c r="O1243">
        <f>VLOOKUP(A1243,[2]cwurData!$B:$P,14,FALSE)</f>
        <v>991</v>
      </c>
      <c r="P1243">
        <f>VLOOKUP(A1243,[2]cwurData!$B:$N, 3, FALSE)</f>
        <v>81</v>
      </c>
      <c r="Q1243">
        <f>VLOOKUP(A1243,[2]cwurData!$B:$N, 4, FALSE)</f>
        <v>355</v>
      </c>
      <c r="R1243">
        <f>VLOOKUP(A1243,[2]cwurData!$B:$N, 5, FALSE)</f>
        <v>478</v>
      </c>
      <c r="S1243">
        <f>VLOOKUP(A1243,[2]cwurData!$B:$N, 6, FALSE)</f>
        <v>210</v>
      </c>
      <c r="T1243">
        <f>VLOOKUP(A1243,[2]cwurData!$B:$N, 7, FALSE)</f>
        <v>905</v>
      </c>
      <c r="U1243">
        <f>VLOOKUP(A1243,[2]cwurData!$B:$N, 8, FALSE)</f>
        <v>932</v>
      </c>
      <c r="V1243">
        <f>VLOOKUP(A1243,[2]cwurData!$B:$N, 9, FALSE)</f>
        <v>800</v>
      </c>
      <c r="W1243">
        <f>VLOOKUP(A1243,[2]cwurData!$B:$N, 10, FALSE)</f>
        <v>979</v>
      </c>
      <c r="X1243">
        <f>VLOOKUP(A1243,[2]cwurData!$B:$N, 11, FALSE)</f>
        <v>737</v>
      </c>
      <c r="Y1243">
        <f>VLOOKUP(A1243,[2]cwurData!$B:$N, 12, FALSE)</f>
        <v>44.26</v>
      </c>
      <c r="Z1243">
        <f>VLOOKUP(A1243,[2]cwurData!$B:$N, 13, FALSE)</f>
        <v>2014</v>
      </c>
    </row>
    <row r="1244" spans="1:26" x14ac:dyDescent="0.3">
      <c r="A1244" t="s">
        <v>1249</v>
      </c>
      <c r="B1244" t="str">
        <f>IFERROR(VLOOKUP(A1244,[1]timesData!$B:$P,2,FALSE),VLOOKUP(A1244,[2]cwurData!$B:$P,2,FALSE))</f>
        <v>China</v>
      </c>
      <c r="C1244" t="e">
        <f>VLOOKUP(A1244,[1]timesData!$B:$P,3,FALSE)</f>
        <v>#N/A</v>
      </c>
      <c r="D1244" t="e">
        <f>VLOOKUP(A1245,[1]timesData!$B:$P,3,FALSE)</f>
        <v>#N/A</v>
      </c>
      <c r="E1244" t="e">
        <f>VLOOKUP(A1245,[1]timesData!$B:$P,4,FALSE)</f>
        <v>#N/A</v>
      </c>
      <c r="F1244" t="e">
        <f>VLOOKUP(A1245,[1]timesData!$B:$P,5,FALSE)</f>
        <v>#N/A</v>
      </c>
      <c r="G1244" t="e">
        <f>VLOOKUP(A1245,[1]timesData!$B:$P,6,FALSE)</f>
        <v>#N/A</v>
      </c>
      <c r="H1244" t="e">
        <f>VLOOKUP(A1245,[1]timesData!$B:$P,7,FALSE)</f>
        <v>#N/A</v>
      </c>
      <c r="I1244" t="e">
        <f>VLOOKUP(A1245,[1]timesData!$B:$P,8,FALSE)</f>
        <v>#N/A</v>
      </c>
      <c r="J1244" t="e">
        <f>VLOOKUP(A1245,[1]timesData!$B:$P,9,FALSE)</f>
        <v>#N/A</v>
      </c>
      <c r="K1244" t="e">
        <f>VLOOKUP(A1245,[1]timesData!$B:$P,10,FALSE)</f>
        <v>#N/A</v>
      </c>
      <c r="L1244" t="e">
        <f>VLOOKUP(A1245,[1]timesData!$B:$P,11,FALSE)</f>
        <v>#N/A</v>
      </c>
      <c r="M1244" t="e">
        <f>VLOOKUP(A1245,[1]timesData!$B:$P,12,FALSE)</f>
        <v>#N/A</v>
      </c>
      <c r="N1244" t="e">
        <f>VLOOKUP(A1245,[1]timesData!$B:$P,13,FALSE)</f>
        <v>#N/A</v>
      </c>
      <c r="O1244">
        <f>VLOOKUP(A1244,[2]cwurData!$B:$P,14,FALSE)</f>
        <v>993</v>
      </c>
      <c r="P1244">
        <f>VLOOKUP(A1244,[2]cwurData!$B:$N, 3, FALSE)</f>
        <v>82</v>
      </c>
      <c r="Q1244">
        <f>VLOOKUP(A1244,[2]cwurData!$B:$N, 4, FALSE)</f>
        <v>367</v>
      </c>
      <c r="R1244">
        <f>VLOOKUP(A1244,[2]cwurData!$B:$N, 5, FALSE)</f>
        <v>327</v>
      </c>
      <c r="S1244">
        <f>VLOOKUP(A1244,[2]cwurData!$B:$N, 6, FALSE)</f>
        <v>218</v>
      </c>
      <c r="T1244">
        <f>VLOOKUP(A1244,[2]cwurData!$B:$N, 7, FALSE)</f>
        <v>937</v>
      </c>
      <c r="U1244">
        <f>VLOOKUP(A1244,[2]cwurData!$B:$N, 8, FALSE)</f>
        <v>962</v>
      </c>
      <c r="V1244">
        <f>VLOOKUP(A1244,[2]cwurData!$B:$N, 9, FALSE)</f>
        <v>812</v>
      </c>
      <c r="W1244">
        <f>VLOOKUP(A1244,[2]cwurData!$B:$N, 10, FALSE)</f>
        <v>998</v>
      </c>
      <c r="X1244">
        <f>VLOOKUP(A1244,[2]cwurData!$B:$N, 11, FALSE)</f>
        <v>861</v>
      </c>
      <c r="Y1244">
        <f>VLOOKUP(A1244,[2]cwurData!$B:$N, 12, FALSE)</f>
        <v>44.03</v>
      </c>
      <c r="Z1244">
        <f>VLOOKUP(A1244,[2]cwurData!$B:$N, 13, FALSE)</f>
        <v>2015</v>
      </c>
    </row>
    <row r="1245" spans="1:26" x14ac:dyDescent="0.3">
      <c r="A1245" t="s">
        <v>1229</v>
      </c>
      <c r="B1245" t="str">
        <f>IFERROR(VLOOKUP(A1245,[1]timesData!$B:$P,2,FALSE),VLOOKUP(A1245,[2]cwurData!$B:$P,2,FALSE))</f>
        <v>France</v>
      </c>
      <c r="C1245" t="e">
        <f>VLOOKUP(A1245,[1]timesData!$B:$P,3,FALSE)</f>
        <v>#N/A</v>
      </c>
      <c r="D1245" t="e">
        <f>VLOOKUP(A1246,[1]timesData!$B:$P,3,FALSE)</f>
        <v>#N/A</v>
      </c>
      <c r="E1245" t="e">
        <f>VLOOKUP(A1246,[1]timesData!$B:$P,4,FALSE)</f>
        <v>#N/A</v>
      </c>
      <c r="F1245" t="e">
        <f>VLOOKUP(A1246,[1]timesData!$B:$P,5,FALSE)</f>
        <v>#N/A</v>
      </c>
      <c r="G1245" t="e">
        <f>VLOOKUP(A1246,[1]timesData!$B:$P,6,FALSE)</f>
        <v>#N/A</v>
      </c>
      <c r="H1245" t="e">
        <f>VLOOKUP(A1246,[1]timesData!$B:$P,7,FALSE)</f>
        <v>#N/A</v>
      </c>
      <c r="I1245" t="e">
        <f>VLOOKUP(A1246,[1]timesData!$B:$P,8,FALSE)</f>
        <v>#N/A</v>
      </c>
      <c r="J1245" t="e">
        <f>VLOOKUP(A1246,[1]timesData!$B:$P,9,FALSE)</f>
        <v>#N/A</v>
      </c>
      <c r="K1245" t="e">
        <f>VLOOKUP(A1246,[1]timesData!$B:$P,10,FALSE)</f>
        <v>#N/A</v>
      </c>
      <c r="L1245" t="e">
        <f>VLOOKUP(A1246,[1]timesData!$B:$P,11,FALSE)</f>
        <v>#N/A</v>
      </c>
      <c r="M1245" t="e">
        <f>VLOOKUP(A1246,[1]timesData!$B:$P,12,FALSE)</f>
        <v>#N/A</v>
      </c>
      <c r="N1245" t="e">
        <f>VLOOKUP(A1246,[1]timesData!$B:$P,13,FALSE)</f>
        <v>#N/A</v>
      </c>
      <c r="O1245">
        <f>VLOOKUP(A1245,[2]cwurData!$B:$P,14,FALSE)</f>
        <v>995</v>
      </c>
      <c r="P1245">
        <f>VLOOKUP(A1245,[2]cwurData!$B:$N, 3, FALSE)</f>
        <v>50</v>
      </c>
      <c r="Q1245">
        <f>VLOOKUP(A1245,[2]cwurData!$B:$N, 4, FALSE)</f>
        <v>355</v>
      </c>
      <c r="R1245">
        <f>VLOOKUP(A1245,[2]cwurData!$B:$N, 5, FALSE)</f>
        <v>478</v>
      </c>
      <c r="S1245">
        <f>VLOOKUP(A1245,[2]cwurData!$B:$N, 6, FALSE)</f>
        <v>210</v>
      </c>
      <c r="T1245">
        <f>VLOOKUP(A1245,[2]cwurData!$B:$N, 7, FALSE)</f>
        <v>990</v>
      </c>
      <c r="U1245">
        <f>VLOOKUP(A1245,[2]cwurData!$B:$N, 8, FALSE)</f>
        <v>918</v>
      </c>
      <c r="V1245">
        <f>VLOOKUP(A1245,[2]cwurData!$B:$N, 9, FALSE)</f>
        <v>800</v>
      </c>
      <c r="W1245">
        <f>VLOOKUP(A1245,[2]cwurData!$B:$N, 10, FALSE)</f>
        <v>989</v>
      </c>
      <c r="X1245">
        <f>VLOOKUP(A1245,[2]cwurData!$B:$N, 11, FALSE)</f>
        <v>637</v>
      </c>
      <c r="Y1245">
        <f>VLOOKUP(A1245,[2]cwurData!$B:$N, 12, FALSE)</f>
        <v>44.24</v>
      </c>
      <c r="Z1245">
        <f>VLOOKUP(A1245,[2]cwurData!$B:$N, 13, FALSE)</f>
        <v>2014</v>
      </c>
    </row>
    <row r="1246" spans="1:26" x14ac:dyDescent="0.3">
      <c r="A1246" t="s">
        <v>1230</v>
      </c>
      <c r="B1246" t="str">
        <f>IFERROR(VLOOKUP(A1246,[1]timesData!$B:$P,2,FALSE),VLOOKUP(A1246,[2]cwurData!$B:$P,2,FALSE))</f>
        <v>Taiwan</v>
      </c>
      <c r="C1246" t="e">
        <f>VLOOKUP(A1246,[1]timesData!$B:$P,3,FALSE)</f>
        <v>#N/A</v>
      </c>
      <c r="D1246" t="e">
        <f>VLOOKUP(A1247,[1]timesData!$B:$P,3,FALSE)</f>
        <v>#N/A</v>
      </c>
      <c r="E1246" t="e">
        <f>VLOOKUP(A1247,[1]timesData!$B:$P,4,FALSE)</f>
        <v>#N/A</v>
      </c>
      <c r="F1246" t="e">
        <f>VLOOKUP(A1247,[1]timesData!$B:$P,5,FALSE)</f>
        <v>#N/A</v>
      </c>
      <c r="G1246" t="e">
        <f>VLOOKUP(A1247,[1]timesData!$B:$P,6,FALSE)</f>
        <v>#N/A</v>
      </c>
      <c r="H1246" t="e">
        <f>VLOOKUP(A1247,[1]timesData!$B:$P,7,FALSE)</f>
        <v>#N/A</v>
      </c>
      <c r="I1246" t="e">
        <f>VLOOKUP(A1247,[1]timesData!$B:$P,8,FALSE)</f>
        <v>#N/A</v>
      </c>
      <c r="J1246" t="e">
        <f>VLOOKUP(A1247,[1]timesData!$B:$P,9,FALSE)</f>
        <v>#N/A</v>
      </c>
      <c r="K1246" t="e">
        <f>VLOOKUP(A1247,[1]timesData!$B:$P,10,FALSE)</f>
        <v>#N/A</v>
      </c>
      <c r="L1246" t="e">
        <f>VLOOKUP(A1247,[1]timesData!$B:$P,11,FALSE)</f>
        <v>#N/A</v>
      </c>
      <c r="M1246" t="e">
        <f>VLOOKUP(A1247,[1]timesData!$B:$P,12,FALSE)</f>
        <v>#N/A</v>
      </c>
      <c r="N1246" t="e">
        <f>VLOOKUP(A1247,[1]timesData!$B:$P,13,FALSE)</f>
        <v>#N/A</v>
      </c>
      <c r="O1246">
        <f>VLOOKUP(A1246,[2]cwurData!$B:$P,14,FALSE)</f>
        <v>996</v>
      </c>
      <c r="P1246">
        <f>VLOOKUP(A1246,[2]cwurData!$B:$N, 3, FALSE)</f>
        <v>24</v>
      </c>
      <c r="Q1246">
        <f>VLOOKUP(A1246,[2]cwurData!$B:$N, 4, FALSE)</f>
        <v>355</v>
      </c>
      <c r="R1246">
        <f>VLOOKUP(A1246,[2]cwurData!$B:$N, 5, FALSE)</f>
        <v>478</v>
      </c>
      <c r="S1246">
        <f>VLOOKUP(A1246,[2]cwurData!$B:$N, 6, FALSE)</f>
        <v>210</v>
      </c>
      <c r="T1246">
        <f>VLOOKUP(A1246,[2]cwurData!$B:$N, 7, FALSE)</f>
        <v>901</v>
      </c>
      <c r="U1246">
        <f>VLOOKUP(A1246,[2]cwurData!$B:$N, 8, FALSE)</f>
        <v>934</v>
      </c>
      <c r="V1246">
        <f>VLOOKUP(A1246,[2]cwurData!$B:$N, 9, FALSE)</f>
        <v>800</v>
      </c>
      <c r="W1246">
        <f>VLOOKUP(A1246,[2]cwurData!$B:$N, 10, FALSE)</f>
        <v>989</v>
      </c>
      <c r="X1246">
        <f>VLOOKUP(A1246,[2]cwurData!$B:$N, 11, FALSE)</f>
        <v>737</v>
      </c>
      <c r="Y1246">
        <f>VLOOKUP(A1246,[2]cwurData!$B:$N, 12, FALSE)</f>
        <v>44.24</v>
      </c>
      <c r="Z1246">
        <f>VLOOKUP(A1246,[2]cwurData!$B:$N, 13, FALSE)</f>
        <v>2014</v>
      </c>
    </row>
    <row r="1247" spans="1:26" x14ac:dyDescent="0.3">
      <c r="A1247" t="s">
        <v>1231</v>
      </c>
      <c r="B1247" t="str">
        <f>IFERROR(VLOOKUP(A1247,[1]timesData!$B:$P,2,FALSE),VLOOKUP(A1247,[2]cwurData!$B:$P,2,FALSE))</f>
        <v>China</v>
      </c>
      <c r="C1247" t="e">
        <f>VLOOKUP(A1247,[1]timesData!$B:$P,3,FALSE)</f>
        <v>#N/A</v>
      </c>
      <c r="D1247" t="e">
        <f>VLOOKUP(A1248,[1]timesData!$B:$P,3,FALSE)</f>
        <v>#N/A</v>
      </c>
      <c r="E1247" t="e">
        <f>VLOOKUP(A1248,[1]timesData!$B:$P,4,FALSE)</f>
        <v>#N/A</v>
      </c>
      <c r="F1247" t="e">
        <f>VLOOKUP(A1248,[1]timesData!$B:$P,5,FALSE)</f>
        <v>#N/A</v>
      </c>
      <c r="G1247" t="e">
        <f>VLOOKUP(A1248,[1]timesData!$B:$P,6,FALSE)</f>
        <v>#N/A</v>
      </c>
      <c r="H1247" t="e">
        <f>VLOOKUP(A1248,[1]timesData!$B:$P,7,FALSE)</f>
        <v>#N/A</v>
      </c>
      <c r="I1247" t="e">
        <f>VLOOKUP(A1248,[1]timesData!$B:$P,8,FALSE)</f>
        <v>#N/A</v>
      </c>
      <c r="J1247" t="e">
        <f>VLOOKUP(A1248,[1]timesData!$B:$P,9,FALSE)</f>
        <v>#N/A</v>
      </c>
      <c r="K1247" t="e">
        <f>VLOOKUP(A1248,[1]timesData!$B:$P,10,FALSE)</f>
        <v>#N/A</v>
      </c>
      <c r="L1247" t="e">
        <f>VLOOKUP(A1248,[1]timesData!$B:$P,11,FALSE)</f>
        <v>#N/A</v>
      </c>
      <c r="M1247" t="e">
        <f>VLOOKUP(A1248,[1]timesData!$B:$P,12,FALSE)</f>
        <v>#N/A</v>
      </c>
      <c r="N1247" t="e">
        <f>VLOOKUP(A1248,[1]timesData!$B:$P,13,FALSE)</f>
        <v>#N/A</v>
      </c>
      <c r="O1247">
        <f>VLOOKUP(A1247,[2]cwurData!$B:$P,14,FALSE)</f>
        <v>998</v>
      </c>
      <c r="P1247">
        <f>VLOOKUP(A1247,[2]cwurData!$B:$N, 3, FALSE)</f>
        <v>82</v>
      </c>
      <c r="Q1247">
        <f>VLOOKUP(A1247,[2]cwurData!$B:$N, 4, FALSE)</f>
        <v>355</v>
      </c>
      <c r="R1247">
        <f>VLOOKUP(A1247,[2]cwurData!$B:$N, 5, FALSE)</f>
        <v>478</v>
      </c>
      <c r="S1247">
        <f>VLOOKUP(A1247,[2]cwurData!$B:$N, 6, FALSE)</f>
        <v>210</v>
      </c>
      <c r="T1247">
        <f>VLOOKUP(A1247,[2]cwurData!$B:$N, 7, FALSE)</f>
        <v>956</v>
      </c>
      <c r="U1247">
        <f>VLOOKUP(A1247,[2]cwurData!$B:$N, 8, FALSE)</f>
        <v>965</v>
      </c>
      <c r="V1247">
        <f>VLOOKUP(A1247,[2]cwurData!$B:$N, 9, FALSE)</f>
        <v>800</v>
      </c>
      <c r="W1247">
        <f>VLOOKUP(A1247,[2]cwurData!$B:$N, 10, FALSE)</f>
        <v>994</v>
      </c>
      <c r="X1247">
        <f>VLOOKUP(A1247,[2]cwurData!$B:$N, 11, FALSE)</f>
        <v>737</v>
      </c>
      <c r="Y1247">
        <f>VLOOKUP(A1247,[2]cwurData!$B:$N, 12, FALSE)</f>
        <v>44.23</v>
      </c>
      <c r="Z1247">
        <f>VLOOKUP(A1247,[2]cwurData!$B:$N, 13, FALSE)</f>
        <v>2014</v>
      </c>
    </row>
    <row r="1248" spans="1:26" x14ac:dyDescent="0.3">
      <c r="A1248" t="s">
        <v>1232</v>
      </c>
      <c r="B1248" t="str">
        <f>IFERROR(VLOOKUP(A1248,[1]timesData!$B:$P,2,FALSE),VLOOKUP(A1248,[2]cwurData!$B:$P,2,FALSE))</f>
        <v>China</v>
      </c>
      <c r="C1248" t="e">
        <f>VLOOKUP(A1248,[1]timesData!$B:$P,3,FALSE)</f>
        <v>#N/A</v>
      </c>
      <c r="D1248" t="e">
        <f>VLOOKUP(A1249,[1]timesData!$B:$P,3,FALSE)</f>
        <v>#N/A</v>
      </c>
      <c r="E1248" t="e">
        <f>VLOOKUP(A1249,[1]timesData!$B:$P,4,FALSE)</f>
        <v>#N/A</v>
      </c>
      <c r="F1248" t="e">
        <f>VLOOKUP(A1249,[1]timesData!$B:$P,5,FALSE)</f>
        <v>#N/A</v>
      </c>
      <c r="G1248" t="e">
        <f>VLOOKUP(A1249,[1]timesData!$B:$P,6,FALSE)</f>
        <v>#N/A</v>
      </c>
      <c r="H1248" t="e">
        <f>VLOOKUP(A1249,[1]timesData!$B:$P,7,FALSE)</f>
        <v>#N/A</v>
      </c>
      <c r="I1248" t="e">
        <f>VLOOKUP(A1249,[1]timesData!$B:$P,8,FALSE)</f>
        <v>#N/A</v>
      </c>
      <c r="J1248" t="e">
        <f>VLOOKUP(A1249,[1]timesData!$B:$P,9,FALSE)</f>
        <v>#N/A</v>
      </c>
      <c r="K1248" t="e">
        <f>VLOOKUP(A1249,[1]timesData!$B:$P,10,FALSE)</f>
        <v>#N/A</v>
      </c>
      <c r="L1248" t="e">
        <f>VLOOKUP(A1249,[1]timesData!$B:$P,11,FALSE)</f>
        <v>#N/A</v>
      </c>
      <c r="M1248" t="e">
        <f>VLOOKUP(A1249,[1]timesData!$B:$P,12,FALSE)</f>
        <v>#N/A</v>
      </c>
      <c r="N1248" t="e">
        <f>VLOOKUP(A1249,[1]timesData!$B:$P,13,FALSE)</f>
        <v>#N/A</v>
      </c>
      <c r="O1248">
        <f>VLOOKUP(A1248,[2]cwurData!$B:$P,14,FALSE)</f>
        <v>999</v>
      </c>
      <c r="P1248">
        <f>VLOOKUP(A1248,[2]cwurData!$B:$N, 3, FALSE)</f>
        <v>83</v>
      </c>
      <c r="Q1248">
        <f>VLOOKUP(A1248,[2]cwurData!$B:$N, 4, FALSE)</f>
        <v>355</v>
      </c>
      <c r="R1248">
        <f>VLOOKUP(A1248,[2]cwurData!$B:$N, 5, FALSE)</f>
        <v>478</v>
      </c>
      <c r="S1248">
        <f>VLOOKUP(A1248,[2]cwurData!$B:$N, 6, FALSE)</f>
        <v>210</v>
      </c>
      <c r="T1248">
        <f>VLOOKUP(A1248,[2]cwurData!$B:$N, 7, FALSE)</f>
        <v>860</v>
      </c>
      <c r="U1248">
        <f>VLOOKUP(A1248,[2]cwurData!$B:$N, 8, FALSE)</f>
        <v>973</v>
      </c>
      <c r="V1248">
        <f>VLOOKUP(A1248,[2]cwurData!$B:$N, 9, FALSE)</f>
        <v>800</v>
      </c>
      <c r="W1248">
        <f>VLOOKUP(A1248,[2]cwurData!$B:$N, 10, FALSE)</f>
        <v>999</v>
      </c>
      <c r="X1248">
        <f>VLOOKUP(A1248,[2]cwurData!$B:$N, 11, FALSE)</f>
        <v>637</v>
      </c>
      <c r="Y1248">
        <f>VLOOKUP(A1248,[2]cwurData!$B:$N, 12, FALSE)</f>
        <v>44.21</v>
      </c>
      <c r="Z1248">
        <f>VLOOKUP(A1248,[2]cwurData!$B:$N, 13, FALSE)</f>
        <v>2014</v>
      </c>
    </row>
    <row r="1249" spans="1:26" x14ac:dyDescent="0.3">
      <c r="A1249" t="s">
        <v>1233</v>
      </c>
      <c r="B1249" t="str">
        <f>IFERROR(VLOOKUP(A1249,[1]timesData!$B:$P,2,FALSE),VLOOKUP(A1249,[2]cwurData!$B:$P,2,FALSE))</f>
        <v>China</v>
      </c>
      <c r="C1249" t="e">
        <f>VLOOKUP(A1249,[1]timesData!$B:$P,3,FALSE)</f>
        <v>#N/A</v>
      </c>
      <c r="D1249" t="e">
        <f>VLOOKUP(A1250,[1]timesData!$B:$P,3,FALSE)</f>
        <v>#N/A</v>
      </c>
      <c r="E1249" t="e">
        <f>VLOOKUP(A1250,[1]timesData!$B:$P,4,FALSE)</f>
        <v>#N/A</v>
      </c>
      <c r="F1249" t="e">
        <f>VLOOKUP(A1250,[1]timesData!$B:$P,5,FALSE)</f>
        <v>#N/A</v>
      </c>
      <c r="G1249" t="e">
        <f>VLOOKUP(A1250,[1]timesData!$B:$P,6,FALSE)</f>
        <v>#N/A</v>
      </c>
      <c r="H1249" t="e">
        <f>VLOOKUP(A1250,[1]timesData!$B:$P,7,FALSE)</f>
        <v>#N/A</v>
      </c>
      <c r="I1249" t="e">
        <f>VLOOKUP(A1250,[1]timesData!$B:$P,8,FALSE)</f>
        <v>#N/A</v>
      </c>
      <c r="J1249" t="e">
        <f>VLOOKUP(A1250,[1]timesData!$B:$P,9,FALSE)</f>
        <v>#N/A</v>
      </c>
      <c r="K1249" t="e">
        <f>VLOOKUP(A1250,[1]timesData!$B:$P,10,FALSE)</f>
        <v>#N/A</v>
      </c>
      <c r="L1249" t="e">
        <f>VLOOKUP(A1250,[1]timesData!$B:$P,11,FALSE)</f>
        <v>#N/A</v>
      </c>
      <c r="M1249" t="e">
        <f>VLOOKUP(A1250,[1]timesData!$B:$P,12,FALSE)</f>
        <v>#N/A</v>
      </c>
      <c r="N1249" t="e">
        <f>VLOOKUP(A1250,[1]timesData!$B:$P,13,FALSE)</f>
        <v>#N/A</v>
      </c>
      <c r="O1249">
        <f>VLOOKUP(A1249,[2]cwurData!$B:$P,14,FALSE)</f>
        <v>1000</v>
      </c>
      <c r="P1249">
        <f>VLOOKUP(A1249,[2]cwurData!$B:$N, 3, FALSE)</f>
        <v>84</v>
      </c>
      <c r="Q1249">
        <f>VLOOKUP(A1249,[2]cwurData!$B:$N, 4, FALSE)</f>
        <v>355</v>
      </c>
      <c r="R1249">
        <f>VLOOKUP(A1249,[2]cwurData!$B:$N, 5, FALSE)</f>
        <v>478</v>
      </c>
      <c r="S1249">
        <f>VLOOKUP(A1249,[2]cwurData!$B:$N, 6, FALSE)</f>
        <v>210</v>
      </c>
      <c r="T1249">
        <f>VLOOKUP(A1249,[2]cwurData!$B:$N, 7, FALSE)</f>
        <v>890</v>
      </c>
      <c r="U1249">
        <f>VLOOKUP(A1249,[2]cwurData!$B:$N, 8, FALSE)</f>
        <v>790</v>
      </c>
      <c r="V1249">
        <f>VLOOKUP(A1249,[2]cwurData!$B:$N, 9, FALSE)</f>
        <v>800</v>
      </c>
      <c r="W1249">
        <f>VLOOKUP(A1249,[2]cwurData!$B:$N, 10, FALSE)</f>
        <v>1000</v>
      </c>
      <c r="X1249">
        <f>VLOOKUP(A1249,[2]cwurData!$B:$N, 11, FALSE)</f>
        <v>737</v>
      </c>
      <c r="Y1249">
        <f>VLOOKUP(A1249,[2]cwurData!$B:$N, 12, FALSE)</f>
        <v>44.18</v>
      </c>
      <c r="Z1249">
        <f>VLOOKUP(A1249,[2]cwurData!$B:$N, 13, FALSE)</f>
        <v>2014</v>
      </c>
    </row>
    <row r="1250" spans="1:26" x14ac:dyDescent="0.3">
      <c r="A1250" t="s">
        <v>819</v>
      </c>
      <c r="B1250" t="str">
        <f>IFERROR(VLOOKUP(A1250,[1]timesData!$B:$P,2,FALSE),VLOOKUP(A1250,[2]cwurData!$B:$P,2,FALSE))</f>
        <v>country</v>
      </c>
      <c r="C1250" t="e">
        <f>VLOOKUP(A1250,[1]timesData!$B:$P,3,FALSE)</f>
        <v>#N/A</v>
      </c>
      <c r="D1250" t="e">
        <f>VLOOKUP(A1251,[1]timesData!$B:$P,3,FALSE)</f>
        <v>#N/A</v>
      </c>
      <c r="E1250" t="e">
        <f>VLOOKUP(A1251,[1]timesData!$B:$P,4,FALSE)</f>
        <v>#N/A</v>
      </c>
      <c r="F1250" t="e">
        <f>VLOOKUP(A1251,[1]timesData!$B:$P,5,FALSE)</f>
        <v>#N/A</v>
      </c>
      <c r="G1250" t="e">
        <f>VLOOKUP(A1251,[1]timesData!$B:$P,6,FALSE)</f>
        <v>#N/A</v>
      </c>
      <c r="H1250" t="e">
        <f>VLOOKUP(A1251,[1]timesData!$B:$P,7,FALSE)</f>
        <v>#N/A</v>
      </c>
      <c r="I1250" t="e">
        <f>VLOOKUP(A1251,[1]timesData!$B:$P,8,FALSE)</f>
        <v>#N/A</v>
      </c>
      <c r="J1250" t="e">
        <f>VLOOKUP(A1251,[1]timesData!$B:$P,9,FALSE)</f>
        <v>#N/A</v>
      </c>
      <c r="K1250" t="e">
        <f>VLOOKUP(A1251,[1]timesData!$B:$P,10,FALSE)</f>
        <v>#N/A</v>
      </c>
      <c r="L1250" t="e">
        <f>VLOOKUP(A1251,[1]timesData!$B:$P,11,FALSE)</f>
        <v>#N/A</v>
      </c>
      <c r="M1250" t="e">
        <f>VLOOKUP(A1251,[1]timesData!$B:$P,12,FALSE)</f>
        <v>#N/A</v>
      </c>
      <c r="N1250" t="e">
        <f>VLOOKUP(A1251,[1]timesData!$B:$P,13,FALSE)</f>
        <v>#N/A</v>
      </c>
      <c r="O1250" t="str">
        <f>VLOOKUP(A1250,[2]cwurData!$B:$P,14,FALSE)</f>
        <v>world_rank</v>
      </c>
      <c r="P1250" t="str">
        <f>VLOOKUP(A1250,[2]cwurData!$B:$N, 3, FALSE)</f>
        <v>national_rank</v>
      </c>
      <c r="Q1250" t="str">
        <f>VLOOKUP(A1250,[2]cwurData!$B:$N, 4, FALSE)</f>
        <v>quality_of_education</v>
      </c>
      <c r="R1250" t="str">
        <f>VLOOKUP(A1250,[2]cwurData!$B:$N, 5, FALSE)</f>
        <v>alumni_employment</v>
      </c>
      <c r="S1250" t="str">
        <f>VLOOKUP(A1250,[2]cwurData!$B:$N, 6, FALSE)</f>
        <v>quality_of_faculty</v>
      </c>
      <c r="T1250" t="str">
        <f>VLOOKUP(A1250,[2]cwurData!$B:$N, 7, FALSE)</f>
        <v>publications</v>
      </c>
      <c r="U1250" t="str">
        <f>VLOOKUP(A1250,[2]cwurData!$B:$N, 8, FALSE)</f>
        <v>influence</v>
      </c>
      <c r="V1250" t="str">
        <f>VLOOKUP(A1250,[2]cwurData!$B:$N, 9, FALSE)</f>
        <v>citations</v>
      </c>
      <c r="W1250" t="str">
        <f>VLOOKUP(A1250,[2]cwurData!$B:$N, 10, FALSE)</f>
        <v>broad_impact</v>
      </c>
      <c r="X1250" t="str">
        <f>VLOOKUP(A1250,[2]cwurData!$B:$N, 11, FALSE)</f>
        <v>patents</v>
      </c>
      <c r="Y1250" t="str">
        <f>VLOOKUP(A1250,[2]cwurData!$B:$N, 12, FALSE)</f>
        <v>score</v>
      </c>
      <c r="Z1250" t="str">
        <f>VLOOKUP(A1250,[2]cwurData!$B:$N, 13, FALSE)</f>
        <v>year</v>
      </c>
    </row>
  </sheetData>
  <sortState xmlns:xlrd2="http://schemas.microsoft.com/office/spreadsheetml/2017/richdata2" ref="A2:Z1251">
    <sortCondition ref="C1:C1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</dc:creator>
  <cp:lastModifiedBy>Vera Llugiqi</cp:lastModifiedBy>
  <dcterms:created xsi:type="dcterms:W3CDTF">2015-06-05T18:17:20Z</dcterms:created>
  <dcterms:modified xsi:type="dcterms:W3CDTF">2025-10-03T21:43:19Z</dcterms:modified>
</cp:coreProperties>
</file>